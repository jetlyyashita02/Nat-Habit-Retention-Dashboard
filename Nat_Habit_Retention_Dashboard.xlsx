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CLUSIONS" sheetId="3" state="visible" r:id="rId3"/>
    <sheet xmlns:r="http://schemas.openxmlformats.org/officeDocument/2006/relationships" name="VARIANTS" sheetId="4" state="visible" r:id="rId4"/>
    <sheet xmlns:r="http://schemas.openxmlformats.org/officeDocument/2006/relationships" name="GRAMMAGE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DEC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1F4D3F"/>
      <sz val="16"/>
    </font>
    <font>
      <color rgb="00666666"/>
      <sz val="10"/>
    </font>
    <font>
      <b val="1"/>
      <color rgb="001F4D3F"/>
      <sz val="12"/>
    </font>
    <font>
      <sz val="10"/>
    </font>
    <font>
      <b val="1"/>
    </font>
    <font>
      <b val="1"/>
      <color rgb="00FFFFFF"/>
      <sz val="11"/>
    </font>
    <font>
      <b val="1"/>
      <color rgb="00FFFFFF"/>
      <sz val="9"/>
    </font>
    <font>
      <b val="1"/>
      <color rgb="00FFFFFF"/>
    </font>
    <font>
      <b val="1"/>
      <sz val="10"/>
    </font>
    <font>
      <sz val="9"/>
    </font>
    <font>
      <color rgb="00888888"/>
      <sz val="8"/>
    </font>
    <font>
      <b val="1"/>
      <color rgb="001F4D3F"/>
    </font>
  </fonts>
  <fills count="6">
    <fill>
      <patternFill/>
    </fill>
    <fill>
      <patternFill patternType="gray125"/>
    </fill>
    <fill>
      <patternFill patternType="solid">
        <fgColor rgb="00EAF3EE"/>
      </patternFill>
    </fill>
    <fill>
      <patternFill patternType="solid">
        <fgColor rgb="003C8C6E"/>
      </patternFill>
    </fill>
    <fill>
      <patternFill patternType="solid">
        <fgColor rgb="007A7A7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0" fontId="8" fillId="3" borderId="0" pivotButton="0" quotePrefix="0" xfId="0"/>
    <xf numFmtId="0" fontId="9" fillId="5" borderId="1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10" fillId="0" borderId="0" pivotButton="0" quotePrefix="0" xfId="0"/>
    <xf numFmtId="0" fontId="11" fillId="0" borderId="0" pivotButton="0" quotePrefix="0" xfId="0"/>
    <xf numFmtId="1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1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4" fontId="5" fillId="0" borderId="0" pivotButton="0" quotePrefix="0" xfId="0"/>
    <xf numFmtId="0" fontId="6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ump" displayName="Dump" ref="A1:CZ656" headerRowCount="1">
  <autoFilter ref="A1:CZ656"/>
  <tableColumns count="104">
    <tableColumn id="1" name="Name"/>
    <tableColumn id="2" name="category_first"/>
    <tableColumn id="3" name="category_2nd"/>
    <tableColumn id="4" name="category_3rd"/>
    <tableColumn id="5" name="category_4th"/>
    <tableColumn id="6" name="category_5th"/>
    <tableColumn id="7" name="category_6th"/>
    <tableColumn id="8" name="first_purchased_short_code"/>
    <tableColumn id="9" name="second_purchased_short_code"/>
    <tableColumn id="10" name="third_purchased_short_code"/>
    <tableColumn id="11" name="fourth_purchased_short_code"/>
    <tableColumn id="12" name="fifth_purchased_short_code"/>
    <tableColumn id="13" name="sixth_purchased_short_code"/>
    <tableColumn id="14" name="first_purchased_sku"/>
    <tableColumn id="15" name="second_purchased_sku"/>
    <tableColumn id="16" name="third_purchased_sku"/>
    <tableColumn id="17" name="fourth_purchased_sku"/>
    <tableColumn id="18" name="fifth_purchased_sku"/>
    <tableColumn id="19" name="sixth_purchased_sku"/>
    <tableColumn id="20" name="first_order_date"/>
    <tableColumn id="21" name="second_order_date"/>
    <tableColumn id="22" name="third_order_date"/>
    <tableColumn id="23" name="fourth_order_date"/>
    <tableColumn id="24" name="fifth_order_date"/>
    <tableColumn id="25" name="sixth_order_date"/>
    <tableColumn id="26" name="days_between_1st_and_2nd"/>
    <tableColumn id="27" name="days_between_2nd_and_3rd"/>
    <tableColumn id="28" name="days_between_3rd_and_4th"/>
    <tableColumn id="29" name="days_between_4th_and_5th"/>
    <tableColumn id="30" name="days_between_5th_and_6th"/>
    <tableColumn id="31" name="city"/>
    <tableColumn id="32" name="Month-Year"/>
    <tableColumn id="33" name="Month Number "/>
    <tableColumn id="34" name="Journey Depth"/>
    <tableColumn id="35" name="Is Repeat Buyer? "/>
    <tableColumn id="36" name="Region"/>
    <tableColumn id="37" name="first code"/>
    <tableColumn id="38" name="first line"/>
    <tableColumn id="39" name="first vcode"/>
    <tableColumn id="40" name="first category"/>
    <tableColumn id="41" name="first variant"/>
    <tableColumn id="42" name="first size"/>
    <tableColumn id="43" name="first date"/>
    <tableColumn id="44" name="first season"/>
    <tableColumn id="45" name="first intent"/>
    <tableColumn id="46" name="second code"/>
    <tableColumn id="47" name="second line"/>
    <tableColumn id="48" name="second vcode"/>
    <tableColumn id="49" name="second category"/>
    <tableColumn id="50" name="second variant"/>
    <tableColumn id="51" name="second size"/>
    <tableColumn id="52" name="second date"/>
    <tableColumn id="53" name="second season"/>
    <tableColumn id="54" name="second intent"/>
    <tableColumn id="55" name="third code"/>
    <tableColumn id="56" name="third line"/>
    <tableColumn id="57" name="third vcode"/>
    <tableColumn id="58" name="third category"/>
    <tableColumn id="59" name="third variant"/>
    <tableColumn id="60" name="third size"/>
    <tableColumn id="61" name="third date"/>
    <tableColumn id="62" name="third season"/>
    <tableColumn id="63" name="third intent"/>
    <tableColumn id="64" name="fourth code"/>
    <tableColumn id="65" name="fourth line"/>
    <tableColumn id="66" name="fourth vcode"/>
    <tableColumn id="67" name="fourth category"/>
    <tableColumn id="68" name="fourth variant"/>
    <tableColumn id="69" name="fourth size"/>
    <tableColumn id="70" name="fourth date"/>
    <tableColumn id="71" name="fourth season"/>
    <tableColumn id="72" name="fourth intent"/>
    <tableColumn id="73" name="fifth code"/>
    <tableColumn id="74" name="fifth line"/>
    <tableColumn id="75" name="fifth vcode"/>
    <tableColumn id="76" name="fifth category"/>
    <tableColumn id="77" name="fifth variant"/>
    <tableColumn id="78" name="fifth size"/>
    <tableColumn id="79" name="fifth date"/>
    <tableColumn id="80" name="fifth season"/>
    <tableColumn id="81" name="fifth intent"/>
    <tableColumn id="82" name="sixth code"/>
    <tableColumn id="83" name="sixth line"/>
    <tableColumn id="84" name="sixth vcode"/>
    <tableColumn id="85" name="sixth category"/>
    <tableColumn id="86" name="sixth variant"/>
    <tableColumn id="87" name="sixth size"/>
    <tableColumn id="88" name="sixth date"/>
    <tableColumn id="89" name="sixth season"/>
    <tableColumn id="90" name="sixth intent"/>
    <tableColumn id="91" name="entry category"/>
    <tableColumn id="92" name="entry variant"/>
    <tableColumn id="93" name="entry size"/>
    <tableColumn id="94" name="entry sku"/>
    <tableColumn id="95" name="has next?"/>
    <tableColumn id="96" name="next category"/>
    <tableColumn id="97" name="next variant"/>
    <tableColumn id="98" name="next size"/>
    <tableColumn id="99" name="next sku"/>
    <tableColumn id="100" name="move type"/>
    <tableColumn id="101" name="gap days"/>
    <tableColumn id="102" name="V2V hit"/>
    <tableColumn id="103" name="V2C hit"/>
    <tableColumn id="104" name="in cohort?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🧴 Moisturisers — Formula-Driven Interactive Dashboard</t>
        </is>
      </c>
    </row>
    <row r="3">
      <c r="B3" s="2" t="inlineStr">
        <is>
          <t>Retention &amp; category intelligence · Jan 2024 – Jun 2026 · works entirely with native Excel formulas (no macros)</t>
        </is>
      </c>
    </row>
    <row r="4">
      <c r="B4" t="inlineStr"/>
    </row>
    <row r="5">
      <c r="B5" s="3" t="inlineStr">
        <is>
          <t>HOW TO USE WITH YOUR FULL RAW DUMP (155,537 orders)</t>
        </is>
      </c>
    </row>
    <row r="6">
      <c r="B6" s="4" t="inlineStr">
        <is>
          <t>1. Open the DATA sheet. Row 1 holds the exact column headers of your raw journey dump.</t>
        </is>
      </c>
    </row>
    <row r="7">
      <c r="B7" s="4" t="inlineStr">
        <is>
          <t>2. Select cell A2 and paste your whole dump over the sample rows (all 35 columns, any number of rows).</t>
        </is>
      </c>
    </row>
    <row r="8">
      <c r="B8" s="4" t="inlineStr">
        <is>
          <t>3. The grey helper columns (AJ onwards) auto-fill for pasted rows because DATA is an Excel Table.</t>
        </is>
      </c>
    </row>
    <row r="9">
      <c r="B9" s="4" t="inlineStr">
        <is>
          <t xml:space="preserve">   If they ever stop at the old row count: click the last filled helper cell, copy (Ctrl+C),</t>
        </is>
      </c>
    </row>
    <row r="10">
      <c r="B10" s="4" t="inlineStr">
        <is>
          <t xml:space="preserve">   select down to your last data row (Ctrl+Shift+End on the helper columns), and paste (Ctrl+V).</t>
        </is>
      </c>
    </row>
    <row r="11">
      <c r="B11" s="4" t="inlineStr">
        <is>
          <t>4. Press F9 to recalculate (first full recalc on 155k rows can take a minute or two).</t>
        </is>
      </c>
    </row>
    <row r="12">
      <c r="B12" s="4" t="inlineStr">
        <is>
          <t>5. Everything else updates by itself: DASHBOARD tiles, CONCLUSIONS text, VARIANTS and GRAMMAGE tables.</t>
        </is>
      </c>
    </row>
    <row r="13">
      <c r="B13" t="inlineStr"/>
    </row>
    <row r="14">
      <c r="B14" s="3" t="inlineStr">
        <is>
          <t>WHAT EACH SHEET DOES</t>
        </is>
      </c>
    </row>
    <row r="15">
      <c r="B15" s="4" t="inlineStr">
        <is>
          <t>DASHBOARD — the interactive mockup: dropdown filters (Category, Variant SKU, From/To month, Journey Depth, Geo region)</t>
        </is>
      </c>
    </row>
    <row r="16">
      <c r="B16" s="4" t="inlineStr">
        <is>
          <t xml:space="preserve">   drive every tile through COUNTIFS/SUMIFS. Filters apply to each customer's FIRST (entry) order = cohort semantics.</t>
        </is>
      </c>
    </row>
    <row r="17">
      <c r="B17" s="4" t="inlineStr">
        <is>
          <t>CONCLUSIONS — the conclusion blocks, 100% formula-driven: every number is computed and every verdict word</t>
        </is>
      </c>
    </row>
    <row r="18">
      <c r="B18" s="4" t="inlineStr">
        <is>
          <t xml:space="preserve">   (YES/NO, MODERATE, DOWNSIZE ALERT, FOCUS) is a formula branch. They reflect the WHOLE workbook (not the dashboard filters).</t>
        </is>
      </c>
    </row>
    <row r="19">
      <c r="B19" s="4" t="inlineStr">
        <is>
          <t>VARIANTS — per-variant seasonality (purchase-month buckets), peak season, season match, seasonality strength,</t>
        </is>
      </c>
    </row>
    <row r="20">
      <c r="B20" s="4" t="inlineStr">
        <is>
          <t xml:space="preserve">   entry users, drop-off and reorder speed. Whole-workbook level.</t>
        </is>
      </c>
    </row>
    <row r="21">
      <c r="B21" s="4" t="inlineStr">
        <is>
          <t>GRAMMAGE — entry size → next purchase moves (repeat / upsize / lateral / downsize) + the exact path counts</t>
        </is>
      </c>
    </row>
    <row r="22">
      <c r="B22" s="4" t="inlineStr">
        <is>
          <t xml:space="preserve">   the conclusions quote (FM30→FM50, FM30→AG50, FM50→FM30, AG50→FM30). Whole-workbook level.</t>
        </is>
      </c>
    </row>
    <row r="23">
      <c r="B23" s="4" t="inlineStr">
        <is>
          <t>DATA — your dump + decoder helper columns (SKU code → line/variant/size, dates, seasons, entry→next transitions).</t>
        </is>
      </c>
    </row>
    <row r="24">
      <c r="B24" s="4" t="inlineStr">
        <is>
          <t>DECODE — all lookup tables (SKU codes, city→region, month list, variant→intended season). Edit region map here.</t>
        </is>
      </c>
    </row>
    <row r="25">
      <c r="B25" t="inlineStr"/>
    </row>
    <row r="26">
      <c r="B26" s="3" t="inlineStr">
        <is>
          <t>NOTES</t>
        </is>
      </c>
    </row>
    <row r="27">
      <c r="B27" s="4" t="inlineStr">
        <is>
          <t>· Multi-item orders are analysed by their FIRST SKU code in the cell (primary item) — same convention as the sample.</t>
        </is>
      </c>
    </row>
    <row r="28">
      <c r="B28" s="4" t="inlineStr">
        <is>
          <t>· Dates must be text like 'Jan 15, 2026' or real Excel dates; both are handled.</t>
        </is>
      </c>
    </row>
    <row r="29">
      <c r="B29" s="4" t="inlineStr">
        <is>
          <t>· V2V = 2nd order repeats an entry variant · V2C = 2nd order stays in an entry category.</t>
        </is>
      </c>
    </row>
    <row r="30">
      <c r="B30" s="4" t="inlineStr">
        <is>
          <t>· Seasons: Cold Winter Dec–Feb · Hot Dry Mar–May · Hot Humid Jun–Sep · Post-Monsoon Oct–Nov.</t>
        </is>
      </c>
    </row>
    <row r="31">
      <c r="B31" s="4" t="inlineStr">
        <is>
          <t>· Seasonality strength: Highly ≥40% of orders in peak season · Moderately 30–40% · Evergreen &lt;30%.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2">
      <c r="B2" s="1" t="inlineStr">
        <is>
          <t>🧴 NAT HABIT — RETENTION DASHBOARD</t>
        </is>
      </c>
    </row>
    <row r="3">
      <c r="B3" s="2" t="inlineStr">
        <is>
          <t>Dropdown filters drive every tile below (cohort = customers whose FIRST order matches)</t>
        </is>
      </c>
    </row>
    <row r="4">
      <c r="B4" s="5" t="inlineStr">
        <is>
          <t>Category</t>
        </is>
      </c>
      <c r="C4" s="6" t="inlineStr">
        <is>
          <t>All</t>
        </is>
      </c>
    </row>
    <row r="6">
      <c r="B6" s="5" t="inlineStr">
        <is>
          <t>Variant (SKU)</t>
        </is>
      </c>
      <c r="C6" s="6" t="inlineStr">
        <is>
          <t>All</t>
        </is>
      </c>
    </row>
    <row r="8">
      <c r="B8" s="5" t="inlineStr">
        <is>
          <t>From month</t>
        </is>
      </c>
      <c r="C8" s="6" t="inlineStr">
        <is>
          <t>All</t>
        </is>
      </c>
    </row>
    <row r="10">
      <c r="B10" s="5" t="inlineStr">
        <is>
          <t>To month</t>
        </is>
      </c>
      <c r="C10" s="6" t="inlineStr">
        <is>
          <t>All</t>
        </is>
      </c>
    </row>
    <row r="12">
      <c r="B12" s="5" t="inlineStr">
        <is>
          <t>Journey depth</t>
        </is>
      </c>
      <c r="C12" s="6" t="inlineStr">
        <is>
          <t>All</t>
        </is>
      </c>
    </row>
    <row r="14">
      <c r="B14" s="5" t="inlineStr">
        <is>
          <t>Geo region</t>
        </is>
      </c>
      <c r="C14" s="6" t="inlineStr">
        <is>
          <t>All</t>
        </is>
      </c>
    </row>
    <row r="17">
      <c r="B17" s="7" t="inlineStr">
        <is>
          <t>COHORT</t>
        </is>
      </c>
    </row>
    <row r="18">
      <c r="B18" s="8" t="inlineStr">
        <is>
          <t>Customers in cohort</t>
        </is>
      </c>
      <c r="C18" s="9">
        <f>COUNTIFS(DATA!$CZ:$CZ,1)</f>
        <v/>
      </c>
    </row>
    <row r="19">
      <c r="B19" s="8" t="inlineStr">
        <is>
          <t>Total orders</t>
        </is>
      </c>
      <c r="C19" s="9">
        <f>SUMIFS(DATA!$AH:$AH,DATA!$CZ:$CZ,1)</f>
        <v/>
      </c>
    </row>
    <row r="20">
      <c r="B20" s="8" t="inlineStr">
        <is>
          <t>Repeat buyers</t>
        </is>
      </c>
      <c r="C20" s="9">
        <f>COUNTIFS(DATA!$CZ:$CZ,1,DATA!$AI:$AI,1)</f>
        <v/>
      </c>
    </row>
    <row r="21">
      <c r="B21" s="8" t="inlineStr">
        <is>
          <t>Repeat rate</t>
        </is>
      </c>
      <c r="C21" s="10">
        <f>IFERROR(C20/C18,"")</f>
        <v/>
      </c>
    </row>
    <row r="23">
      <c r="B23" s="7" t="inlineStr">
        <is>
          <t>SEASONALITY  (orders by variant's intended season line)</t>
        </is>
      </c>
    </row>
    <row r="24">
      <c r="B24" s="8" t="inlineStr">
        <is>
          <t>Cold Winter (Dec–Feb) variants</t>
        </is>
      </c>
      <c r="C24" s="9">
        <f>COUNTIFS(DATA!$CZ:$CZ,1,DATA!$AS:$AS,"Cold Winter")+COUNTIFS(DATA!$CZ:$CZ,1,DATA!$BB:$BB,"Cold Winter")+COUNTIFS(DATA!$CZ:$CZ,1,DATA!$BK:$BK,"Cold Winter")+COUNTIFS(DATA!$CZ:$CZ,1,DATA!$BT:$BT,"Cold Winter")+COUNTIFS(DATA!$CZ:$CZ,1,DATA!$CC:$CC,"Cold Winter")+COUNTIFS(DATA!$CZ:$CZ,1,DATA!$CL:$CL,"Cold Winter")</f>
        <v/>
      </c>
    </row>
    <row r="25">
      <c r="B25" s="8" t="inlineStr">
        <is>
          <t>Hot Dry (Mar–May) variants</t>
        </is>
      </c>
      <c r="C25" s="9">
        <f>COUNTIFS(DATA!$CZ:$CZ,1,DATA!$AS:$AS,"Hot Dry")+COUNTIFS(DATA!$CZ:$CZ,1,DATA!$BB:$BB,"Hot Dry")+COUNTIFS(DATA!$CZ:$CZ,1,DATA!$BK:$BK,"Hot Dry")+COUNTIFS(DATA!$CZ:$CZ,1,DATA!$BT:$BT,"Hot Dry")+COUNTIFS(DATA!$CZ:$CZ,1,DATA!$CC:$CC,"Hot Dry")+COUNTIFS(DATA!$CZ:$CZ,1,DATA!$CL:$CL,"Hot Dry")</f>
        <v/>
      </c>
    </row>
    <row r="26">
      <c r="B26" s="8" t="inlineStr">
        <is>
          <t>Hot Humid (Jun–Sep) variants</t>
        </is>
      </c>
      <c r="C26" s="9">
        <f>COUNTIFS(DATA!$CZ:$CZ,1,DATA!$AS:$AS,"Hot Humid")+COUNTIFS(DATA!$CZ:$CZ,1,DATA!$BB:$BB,"Hot Humid")+COUNTIFS(DATA!$CZ:$CZ,1,DATA!$BK:$BK,"Hot Humid")+COUNTIFS(DATA!$CZ:$CZ,1,DATA!$BT:$BT,"Hot Humid")+COUNTIFS(DATA!$CZ:$CZ,1,DATA!$CC:$CC,"Hot Humid")+COUNTIFS(DATA!$CZ:$CZ,1,DATA!$CL:$CL,"Hot Humid")</f>
        <v/>
      </c>
    </row>
    <row r="27">
      <c r="B27" s="8" t="inlineStr">
        <is>
          <t>Non-Seasonal / Concern variants</t>
        </is>
      </c>
      <c r="C27" s="9">
        <f>COUNTIFS(DATA!$CZ:$CZ,1,DATA!$AS:$AS,"Non-Seasonal")+COUNTIFS(DATA!$CZ:$CZ,1,DATA!$BB:$BB,"Non-Seasonal")+COUNTIFS(DATA!$CZ:$CZ,1,DATA!$BK:$BK,"Non-Seasonal")+COUNTIFS(DATA!$CZ:$CZ,1,DATA!$BT:$BT,"Non-Seasonal")+COUNTIFS(DATA!$CZ:$CZ,1,DATA!$CC:$CC,"Non-Seasonal")+COUNTIFS(DATA!$CZ:$CZ,1,DATA!$CL:$CL,"Non-Seasonal")</f>
        <v/>
      </c>
    </row>
    <row r="28">
      <c r="B28" s="8" t="inlineStr">
        <is>
          <t>Peak Season</t>
        </is>
      </c>
      <c r="C28" s="11">
        <f>IF(SUM(C24:C27)=0,"—",INDEX({"Cold Winter";"Hot Dry";"Hot Humid";"Non-Seasonal"},MATCH(MAX(C24:C27),C24:C27,0)))</f>
        <v/>
      </c>
    </row>
    <row r="29">
      <c r="B29" s="2" t="inlineStr">
        <is>
          <t>Purchase timing (calendar month buckets):</t>
        </is>
      </c>
      <c r="C29" s="12">
        <f>COUNTIFS(DATA!$CZ:$CZ,1,DATA!$AR:$AR,"Cold Winter")+COUNTIFS(DATA!$CZ:$CZ,1,DATA!$BA:$BA,"Cold Winter")+COUNTIFS(DATA!$CZ:$CZ,1,DATA!$BJ:$BJ,"Cold Winter")+COUNTIFS(DATA!$CZ:$CZ,1,DATA!$BS:$BS,"Cold Winter")+COUNTIFS(DATA!$CZ:$CZ,1,DATA!$CB:$CB,"Cold Winter")+COUNTIFS(DATA!$CZ:$CZ,1,DATA!$CK:$CK,"Cold Winter")</f>
        <v/>
      </c>
      <c r="D29" s="12">
        <f>COUNTIFS(DATA!$CZ:$CZ,1,DATA!$AR:$AR,"Hot Dry")+COUNTIFS(DATA!$CZ:$CZ,1,DATA!$BA:$BA,"Hot Dry")+COUNTIFS(DATA!$CZ:$CZ,1,DATA!$BJ:$BJ,"Hot Dry")+COUNTIFS(DATA!$CZ:$CZ,1,DATA!$BS:$BS,"Hot Dry")+COUNTIFS(DATA!$CZ:$CZ,1,DATA!$CB:$CB,"Hot Dry")+COUNTIFS(DATA!$CZ:$CZ,1,DATA!$CK:$CK,"Hot Dry")</f>
        <v/>
      </c>
      <c r="E29" s="12">
        <f>COUNTIFS(DATA!$CZ:$CZ,1,DATA!$AR:$AR,"Hot Humid")+COUNTIFS(DATA!$CZ:$CZ,1,DATA!$BA:$BA,"Hot Humid")+COUNTIFS(DATA!$CZ:$CZ,1,DATA!$BJ:$BJ,"Hot Humid")+COUNTIFS(DATA!$CZ:$CZ,1,DATA!$BS:$BS,"Hot Humid")+COUNTIFS(DATA!$CZ:$CZ,1,DATA!$CB:$CB,"Hot Humid")+COUNTIFS(DATA!$CZ:$CZ,1,DATA!$CK:$CK,"Hot Humid")</f>
        <v/>
      </c>
      <c r="F29" s="12">
        <f>COUNTIFS(DATA!$CZ:$CZ,1,DATA!$AR:$AR,"Post-Monsoon")+COUNTIFS(DATA!$CZ:$CZ,1,DATA!$BA:$BA,"Post-Monsoon")+COUNTIFS(DATA!$CZ:$CZ,1,DATA!$BJ:$BJ,"Post-Monsoon")+COUNTIFS(DATA!$CZ:$CZ,1,DATA!$BS:$BS,"Post-Monsoon")+COUNTIFS(DATA!$CZ:$CZ,1,DATA!$CB:$CB,"Post-Monsoon")+COUNTIFS(DATA!$CZ:$CZ,1,DATA!$CK:$CK,"Post-Monsoon")</f>
        <v/>
      </c>
    </row>
    <row r="30">
      <c r="C30" s="13" t="inlineStr">
        <is>
          <t>Cold Winter</t>
        </is>
      </c>
      <c r="D30" s="13" t="inlineStr">
        <is>
          <t>Hot Dry</t>
        </is>
      </c>
      <c r="E30" s="13" t="inlineStr">
        <is>
          <t>Hot Humid</t>
        </is>
      </c>
      <c r="F30" s="13" t="inlineStr">
        <is>
          <t>Post-Monsoon</t>
        </is>
      </c>
    </row>
    <row r="32">
      <c r="B32" s="7" t="inlineStr">
        <is>
          <t>GELS &amp; TOTALS</t>
        </is>
      </c>
    </row>
    <row r="33">
      <c r="B33" s="8" t="inlineStr">
        <is>
          <t>Active Gel Count</t>
        </is>
      </c>
      <c r="C33" s="9">
        <f>COUNTIFS(DATA!$CZ:$CZ,1,DATA!$AN:$AN,"Active Gel")+COUNTIFS(DATA!$CZ:$CZ,1,DATA!$AW:$AW,"Active Gel")+COUNTIFS(DATA!$CZ:$CZ,1,DATA!$BF:$BF,"Active Gel")+COUNTIFS(DATA!$CZ:$CZ,1,DATA!$BO:$BO,"Active Gel")+COUNTIFS(DATA!$CZ:$CZ,1,DATA!$BX:$BX,"Active Gel")+COUNTIFS(DATA!$CZ:$CZ,1,DATA!$CG:$CG,"Active Gel")</f>
        <v/>
      </c>
    </row>
    <row r="34">
      <c r="B34" s="8" t="inlineStr">
        <is>
          <t>Aloevera Gel Count</t>
        </is>
      </c>
      <c r="C34" s="9">
        <f>COUNTIFS(DATA!$CZ:$CZ,1,DATA!$AN:$AN,"Aloe Vera Gel")+COUNTIFS(DATA!$CZ:$CZ,1,DATA!$AW:$AW,"Aloe Vera Gel")+COUNTIFS(DATA!$CZ:$CZ,1,DATA!$BF:$BF,"Aloe Vera Gel")+COUNTIFS(DATA!$CZ:$CZ,1,DATA!$BO:$BO,"Aloe Vera Gel")+COUNTIFS(DATA!$CZ:$CZ,1,DATA!$BX:$BX,"Aloe Vera Gel")+COUNTIFS(DATA!$CZ:$CZ,1,DATA!$CG:$CG,"Aloe Vera Gel")</f>
        <v/>
      </c>
    </row>
    <row r="35">
      <c r="B35" s="8" t="inlineStr">
        <is>
          <t>Face Malai Count</t>
        </is>
      </c>
      <c r="C35" s="9">
        <f>COUNTIFS(DATA!$CZ:$CZ,1,DATA!$AN:$AN,"Face Malai")+COUNTIFS(DATA!$CZ:$CZ,1,DATA!$AW:$AW,"Face Malai")+COUNTIFS(DATA!$CZ:$CZ,1,DATA!$BF:$BF,"Face Malai")+COUNTIFS(DATA!$CZ:$CZ,1,DATA!$BO:$BO,"Face Malai")+COUNTIFS(DATA!$CZ:$CZ,1,DATA!$BX:$BX,"Face Malai")+COUNTIFS(DATA!$CZ:$CZ,1,DATA!$CG:$CG,"Face Malai")</f>
        <v/>
      </c>
    </row>
    <row r="36">
      <c r="B36" s="8" t="inlineStr">
        <is>
          <t>Total Orders</t>
        </is>
      </c>
      <c r="C36" s="9">
        <f>SUMIFS(DATA!$AH:$AH,DATA!$CZ:$CZ,1)</f>
        <v/>
      </c>
    </row>
    <row r="38">
      <c r="B38" s="7" t="inlineStr">
        <is>
          <t>LOYALTY &amp; JOURNEY</t>
        </is>
      </c>
    </row>
    <row r="39">
      <c r="B39" s="8" t="inlineStr">
        <is>
          <t>Repeat customers (2+ orders)</t>
        </is>
      </c>
      <c r="C39" s="9">
        <f>COUNTIFS(DATA!$CZ:$CZ,1,DATA!$CQ:$CQ,1)</f>
        <v/>
      </c>
    </row>
    <row r="40">
      <c r="B40" s="8" t="inlineStr">
        <is>
          <t>V2V Loyalty %</t>
        </is>
      </c>
      <c r="C40" s="10">
        <f>IFERROR(COUNTIFS(DATA!$CZ:$CZ,1,DATA!$CQ:$CQ,1,DATA!$CX:$CX,1)/C39,"")</f>
        <v/>
      </c>
    </row>
    <row r="41">
      <c r="B41" s="8" t="inlineStr">
        <is>
          <t>V2C Loyalty %</t>
        </is>
      </c>
      <c r="C41" s="10">
        <f>IFERROR(COUNTIFS(DATA!$CZ:$CZ,1,DATA!$CQ:$CQ,1,DATA!$CY:$CY,1)/C39,"")</f>
        <v/>
      </c>
    </row>
    <row r="42">
      <c r="B42" s="8" t="inlineStr">
        <is>
          <t>Avg Purchase Days V2V</t>
        </is>
      </c>
      <c r="C42" s="14">
        <f>IFERROR(AVERAGEIFS(DATA!$CW:$CW,DATA!$CZ:$CZ,1,DATA!$CX:$CX,1),"")</f>
        <v/>
      </c>
    </row>
    <row r="43">
      <c r="B43" s="8" t="inlineStr">
        <is>
          <t>Avg Purchase Days V2C</t>
        </is>
      </c>
      <c r="C43" s="14">
        <f>IFERROR(AVERAGEIFS(DATA!$CW:$CW,DATA!$CZ:$CZ,1,DATA!$CY:$CY,1),"")</f>
        <v/>
      </c>
    </row>
    <row r="44">
      <c r="B44" s="8" t="inlineStr">
        <is>
          <t>Avg Order Count V2V</t>
        </is>
      </c>
      <c r="C44" s="15">
        <f>IFERROR(AVERAGEIFS(DATA!$AH:$AH,DATA!$CZ:$CZ,1,DATA!$CX:$CX,1),"")</f>
        <v/>
      </c>
    </row>
    <row r="45">
      <c r="B45" s="8" t="inlineStr">
        <is>
          <t>Avg Order Count V2C</t>
        </is>
      </c>
      <c r="C45" s="15">
        <f>IFERROR(AVERAGEIFS(DATA!$AH:$AH,DATA!$CZ:$CZ,1,DATA!$CY:$CY,1),"")</f>
        <v/>
      </c>
    </row>
  </sheetData>
  <dataValidations count="6">
    <dataValidation sqref="C4" showDropDown="0" showInputMessage="0" showErrorMessage="0" allowBlank="0" type="list">
      <formula1>=DECODE!$N$3:$N$6</formula1>
    </dataValidation>
    <dataValidation sqref="C6" showDropDown="0" showInputMessage="0" showErrorMessage="0" allowBlank="0" type="list">
      <formula1>=DECODE!$O$3:$O$36</formula1>
    </dataValidation>
    <dataValidation sqref="C8" showDropDown="0" showInputMessage="0" showErrorMessage="0" allowBlank="0" type="list">
      <formula1>=DECODE!$P$3:$P$51</formula1>
    </dataValidation>
    <dataValidation sqref="C10" showDropDown="0" showInputMessage="0" showErrorMessage="0" allowBlank="0" type="list">
      <formula1>=DECODE!$P$3:$P$51</formula1>
    </dataValidation>
    <dataValidation sqref="C12" showDropDown="0" showInputMessage="0" showErrorMessage="0" allowBlank="0" type="list">
      <formula1>=DECODE!$Q$3:$Q$9</formula1>
    </dataValidation>
    <dataValidation sqref="C14" showDropDown="0" showInputMessage="0" showErrorMessage="0" allowBlank="0" type="list">
      <formula1>=DECODE!$R$3:$R$8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0" customWidth="1" min="3" max="3"/>
  </cols>
  <sheetData>
    <row r="1">
      <c r="B1" s="5" t="inlineStr">
        <is>
          <t>FORMULA-DRIVEN CONCLUSIONS — whole workbook level</t>
        </is>
      </c>
    </row>
    <row r="2">
      <c r="B2" s="2" t="inlineStr">
        <is>
          <t>Every number is computed and every verdict is a formula branch; they update as soon as DATA changes.</t>
        </is>
      </c>
    </row>
    <row r="4" ht="45" customHeight="1">
      <c r="B4" s="16" t="inlineStr">
        <is>
          <t>Is Face Malai Seasonal?</t>
        </is>
      </c>
      <c r="C4" s="17">
        <f>IF(COUNTIF(VARIANTS!$K$3:$K$21,"Highly Seasonal")=0,IF(COUNTIF(VARIANTS!$K$3:$K$21,"Evergreen")&gt;0,"NO — Mostly evergreen with "&amp;COUNTIF(VARIANTS!$K$3:$K$21,"Evergreen")&amp;" evergreen variants","MIXED"),IF(COUNTIF(VARIANTS!$K$3:$K$21,"Highly Seasonal")&gt;=COUNTIF(VARIANTS!$K$3:$K$21,"Evergreen"),"YES — "&amp;COUNTIF(VARIANTS!$K$3:$K$21,"Highly Seasonal")&amp;" of "&amp;COUNTIF(VARIANTS!$I$3:$I$21,"&lt;&gt;Gel")&amp;" Face Malai variants are highly seasonal","MIXED — "&amp;COUNTIF(VARIANTS!$K$3:$K$21,"Highly Seasonal")&amp;" highly seasonal vs "&amp;COUNTIF(VARIANTS!$K$3:$K$21,"Evergreen")&amp;" evergreen variants"))</f>
        <v/>
      </c>
    </row>
    <row r="5" ht="45" customHeight="1">
      <c r="B5" s="16" t="inlineStr">
        <is>
          <t>Overall Repeat Behaviour</t>
        </is>
      </c>
      <c r="C5" s="17">
        <f>IFERROR(TEXT(GRAMMAGE!D9/GRAMMAGE!C9,"0%")&amp;" of all face moisturiser transitions are same product repeats ("&amp;TEXT(GRAMMAGE!D9,"#,##0")&amp;" of "&amp;TEXT(GRAMMAGE!C9,"#,##0")&amp;" transitions). "&amp;IF(GRAMMAGE!D9/GRAMMAGE!C9&gt;=0.6,"STRONG",IF(GRAMMAGE!D9/GRAMMAGE!C9&gt;=0.45,"MODERATE","WEAK"))&amp;" — switching behaviour exists across sizes and formats.","")</f>
        <v/>
      </c>
    </row>
    <row r="6" ht="45" customHeight="1">
      <c r="B6" s="16" t="inlineStr">
        <is>
          <t>30g → 50g Conversion (FM Only)</t>
        </is>
      </c>
      <c r="C6" s="17">
        <f>"Out of "&amp;TEXT(GRAMMAGE!C4,"#,##0")&amp;" FM 30g transitions — "&amp;TEXT(GRAMMAGE!L4,"#,##0")&amp;" ("&amp;TEXT(IFERROR(GRAMMAGE!L4/GRAMMAGE!C4,0),"0%")&amp;") moved to FM 50g. "&amp;IF(GRAMMAGE!L4&gt;=GRAMMAGE!M4,"This is the primary internal upsize path.","Secondary — the cross-category gel switch is bigger.")</f>
        <v/>
      </c>
    </row>
    <row r="7" ht="45" customHeight="1">
      <c r="B7" s="16" t="inlineStr">
        <is>
          <t>30g → Active Gel (Cross-Category Upsize)</t>
        </is>
      </c>
      <c r="C7" s="17">
        <f>"Out of "&amp;TEXT(GRAMMAGE!C4,"#,##0")&amp;" FM 30g transitions — "&amp;TEXT(GRAMMAGE!M4,"#,##0")&amp;" ("&amp;TEXT(IFERROR(GRAMMAGE!M4/GRAMMAGE!C4,0),"0%")&amp;") moved to Active Gel 50g. "&amp;IF(GRAMMAGE!M4&gt;GRAMMAGE!L4,"More 30g buyers move to Active Gel than FM 50g — gel format has stronger pull than size upgrade within FM.","FM 50g currently converts better than the gel switch.")</f>
        <v/>
      </c>
    </row>
    <row r="8" ht="45" customHeight="1">
      <c r="B8" s="16" t="inlineStr">
        <is>
          <t>Downsize Risk Assessment</t>
        </is>
      </c>
      <c r="C8" s="17">
        <f>"DOWNSIZE ALERT: "&amp;TEXT(IFERROR(GRAMMAGE!N5/GRAMMAGE!C5,0),"0%")&amp;" of FM 50g buyers drop to 30g ("&amp;TEXT(GRAMMAGE!N5,"#,##0")&amp;" transitions). AND "&amp;TEXT(IFERROR(GRAMMAGE!O6/GRAMMAGE!C6,0),"0%")&amp;" of Active Gel buyers also drop to FM 30g ("&amp;TEXT(GRAMMAGE!O6,"#,##0")&amp;" transitions). "&amp;IF(OR(IFERROR(GRAMMAGE!N5/GRAMMAGE!C5,0)&gt;=0.2,IFERROR(GRAMMAGE!O6/GRAMMAGE!C6,0)&gt;=0.2),"Portfolio-wide downsize pressure detected.","Downsize pressure within tolerance.")</f>
        <v/>
      </c>
    </row>
    <row r="9" ht="45" customHeight="1">
      <c r="B9" s="16" t="inlineStr">
        <is>
          <t>Key Business Recommendation</t>
        </is>
      </c>
      <c r="C9" s="17">
        <f>IF(GRAMMAGE!M4&gt;GRAMMAGE!L4,"FOCUS: 30g buyers prefer switching to Active Gel over FM 50g. Bundle strategy: FM 30g + Active Gel 50g trial kit could accelerate this natural behaviour.","FOCUS: strengthen the FM 30g → FM 50g upsize path ("&amp;TEXT(IFERROR(GRAMMAGE!L4/GRAMMAGE!C4,0),"0%")&amp;" today). Consider 50g refill pricing or a size-up nudge at reorder.")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" t="inlineStr">
        <is>
          <t>VARIANT SUMMARY — whole workbook (ignores dashboard filters)</t>
        </is>
      </c>
    </row>
    <row r="2">
      <c r="A2" s="18" t="inlineStr">
        <is>
          <t>Variant</t>
        </is>
      </c>
      <c r="B2" s="18" t="inlineStr">
        <is>
          <t>Cold Winter</t>
        </is>
      </c>
      <c r="C2" s="18" t="inlineStr">
        <is>
          <t>Hot Dry</t>
        </is>
      </c>
      <c r="D2" s="18" t="inlineStr">
        <is>
          <t>Hot Humid</t>
        </is>
      </c>
      <c r="E2" s="18" t="inlineStr">
        <is>
          <t>Post-Monsoon</t>
        </is>
      </c>
      <c r="F2" s="18" t="inlineStr">
        <is>
          <t>Total Orders</t>
        </is>
      </c>
      <c r="G2" s="18" t="inlineStr">
        <is>
          <t>Peak Season</t>
        </is>
      </c>
      <c r="H2" s="18" t="inlineStr">
        <is>
          <t>Peak Share</t>
        </is>
      </c>
      <c r="I2" s="18" t="inlineStr">
        <is>
          <t>Intended Season</t>
        </is>
      </c>
      <c r="J2" s="18" t="inlineStr">
        <is>
          <t>Season Match?</t>
        </is>
      </c>
      <c r="K2" s="18" t="inlineStr">
        <is>
          <t>Seasonality Strength</t>
        </is>
      </c>
      <c r="L2" s="18" t="inlineStr">
        <is>
          <t>Entry Users</t>
        </is>
      </c>
      <c r="M2" s="18" t="inlineStr">
        <is>
          <t>Bought Once</t>
        </is>
      </c>
      <c r="N2" s="18" t="inlineStr">
        <is>
          <t>Repeat Rate</t>
        </is>
      </c>
      <c r="O2" s="18" t="inlineStr">
        <is>
          <t>Avg Days 1→2</t>
        </is>
      </c>
    </row>
    <row r="3">
      <c r="A3" t="inlineStr">
        <is>
          <t>Flax Walnut</t>
        </is>
      </c>
      <c r="B3">
        <f>COUNTIFS(DATA!$AO:$AO,$A3,DATA!$AR:$AR,"Cold Winter")+COUNTIFS(DATA!$AX:$AX,$A3,DATA!$BA:$BA,"Cold Winter")+COUNTIFS(DATA!$BG:$BG,$A3,DATA!$BJ:$BJ,"Cold Winter")+COUNTIFS(DATA!$BP:$BP,$A3,DATA!$BS:$BS,"Cold Winter")+COUNTIFS(DATA!$BY:$BY,$A3,DATA!$CB:$CB,"Cold Winter")+COUNTIFS(DATA!$CH:$CH,$A3,DATA!$CK:$CK,"Cold Winter")</f>
        <v/>
      </c>
      <c r="C3">
        <f>COUNTIFS(DATA!$AO:$AO,$A3,DATA!$AR:$AR,"Hot Dry")+COUNTIFS(DATA!$AX:$AX,$A3,DATA!$BA:$BA,"Hot Dry")+COUNTIFS(DATA!$BG:$BG,$A3,DATA!$BJ:$BJ,"Hot Dry")+COUNTIFS(DATA!$BP:$BP,$A3,DATA!$BS:$BS,"Hot Dry")+COUNTIFS(DATA!$BY:$BY,$A3,DATA!$CB:$CB,"Hot Dry")+COUNTIFS(DATA!$CH:$CH,$A3,DATA!$CK:$CK,"Hot Dry")</f>
        <v/>
      </c>
      <c r="D3">
        <f>COUNTIFS(DATA!$AO:$AO,$A3,DATA!$AR:$AR,"Hot Humid")+COUNTIFS(DATA!$AX:$AX,$A3,DATA!$BA:$BA,"Hot Humid")+COUNTIFS(DATA!$BG:$BG,$A3,DATA!$BJ:$BJ,"Hot Humid")+COUNTIFS(DATA!$BP:$BP,$A3,DATA!$BS:$BS,"Hot Humid")+COUNTIFS(DATA!$BY:$BY,$A3,DATA!$CB:$CB,"Hot Humid")+COUNTIFS(DATA!$CH:$CH,$A3,DATA!$CK:$CK,"Hot Humid")</f>
        <v/>
      </c>
      <c r="E3">
        <f>COUNTIFS(DATA!$AO:$AO,$A3,DATA!$AR:$AR,"Post-Monsoon")+COUNTIFS(DATA!$AX:$AX,$A3,DATA!$BA:$BA,"Post-Monsoon")+COUNTIFS(DATA!$BG:$BG,$A3,DATA!$BJ:$BJ,"Post-Monsoon")+COUNTIFS(DATA!$BP:$BP,$A3,DATA!$BS:$BS,"Post-Monsoon")+COUNTIFS(DATA!$BY:$BY,$A3,DATA!$CB:$CB,"Post-Monsoon")+COUNTIFS(DATA!$CH:$CH,$A3,DATA!$CK:$CK,"Post-Monsoon")</f>
        <v/>
      </c>
      <c r="F3">
        <f>SUM(B3:E3)</f>
        <v/>
      </c>
      <c r="G3">
        <f>IF(F3=0,"—",INDEX({"Cold Winter";"Hot Dry";"Hot Humid";"Post-Monsoon"},MATCH(MAX(B3:E3),B3:E3,0)))</f>
        <v/>
      </c>
      <c r="H3" s="19">
        <f>IFERROR(MAX(B3:E3)/F3,"")</f>
        <v/>
      </c>
      <c r="I3">
        <f>IFERROR(VLOOKUP($A3,DECODE!$K$3:$L$21,2,FALSE),"")</f>
        <v/>
      </c>
      <c r="J3">
        <f>IF(OR(I3="Non-Seasonal",I3="Gel"),"—",IF(G3=I3,"Matches","No Match"))</f>
        <v/>
      </c>
      <c r="K3">
        <f>IF(J3="—",IF(I3="Gel","—","Evergreen"),IF(H3&gt;=0.4,"Highly Seasonal",IF(H3&gt;=0.3,"Moderately Seasonal","Evergreen")))</f>
        <v/>
      </c>
      <c r="L3">
        <f>COUNTIFS(DATA!$AO:$AO,$A3)</f>
        <v/>
      </c>
      <c r="M3">
        <f>COUNTIFS(DATA!$AO:$AO,$A3,DATA!$AH:$AH,1)</f>
        <v/>
      </c>
      <c r="N3" s="19">
        <f>IFERROR(1-M3/L3,"")</f>
        <v/>
      </c>
      <c r="O3" s="20">
        <f>IFERROR(AVERAGEIFS(DATA!$CW:$CW,DATA!$CN:$CN,$A3),"")</f>
        <v/>
      </c>
    </row>
    <row r="4">
      <c r="A4" t="inlineStr">
        <is>
          <t>Tomato Patchouli</t>
        </is>
      </c>
      <c r="B4">
        <f>COUNTIFS(DATA!$AO:$AO,$A4,DATA!$AR:$AR,"Cold Winter")+COUNTIFS(DATA!$AX:$AX,$A4,DATA!$BA:$BA,"Cold Winter")+COUNTIFS(DATA!$BG:$BG,$A4,DATA!$BJ:$BJ,"Cold Winter")+COUNTIFS(DATA!$BP:$BP,$A4,DATA!$BS:$BS,"Cold Winter")+COUNTIFS(DATA!$BY:$BY,$A4,DATA!$CB:$CB,"Cold Winter")+COUNTIFS(DATA!$CH:$CH,$A4,DATA!$CK:$CK,"Cold Winter")</f>
        <v/>
      </c>
      <c r="C4">
        <f>COUNTIFS(DATA!$AO:$AO,$A4,DATA!$AR:$AR,"Hot Dry")+COUNTIFS(DATA!$AX:$AX,$A4,DATA!$BA:$BA,"Hot Dry")+COUNTIFS(DATA!$BG:$BG,$A4,DATA!$BJ:$BJ,"Hot Dry")+COUNTIFS(DATA!$BP:$BP,$A4,DATA!$BS:$BS,"Hot Dry")+COUNTIFS(DATA!$BY:$BY,$A4,DATA!$CB:$CB,"Hot Dry")+COUNTIFS(DATA!$CH:$CH,$A4,DATA!$CK:$CK,"Hot Dry")</f>
        <v/>
      </c>
      <c r="D4">
        <f>COUNTIFS(DATA!$AO:$AO,$A4,DATA!$AR:$AR,"Hot Humid")+COUNTIFS(DATA!$AX:$AX,$A4,DATA!$BA:$BA,"Hot Humid")+COUNTIFS(DATA!$BG:$BG,$A4,DATA!$BJ:$BJ,"Hot Humid")+COUNTIFS(DATA!$BP:$BP,$A4,DATA!$BS:$BS,"Hot Humid")+COUNTIFS(DATA!$BY:$BY,$A4,DATA!$CB:$CB,"Hot Humid")+COUNTIFS(DATA!$CH:$CH,$A4,DATA!$CK:$CK,"Hot Humid")</f>
        <v/>
      </c>
      <c r="E4">
        <f>COUNTIFS(DATA!$AO:$AO,$A4,DATA!$AR:$AR,"Post-Monsoon")+COUNTIFS(DATA!$AX:$AX,$A4,DATA!$BA:$BA,"Post-Monsoon")+COUNTIFS(DATA!$BG:$BG,$A4,DATA!$BJ:$BJ,"Post-Monsoon")+COUNTIFS(DATA!$BP:$BP,$A4,DATA!$BS:$BS,"Post-Monsoon")+COUNTIFS(DATA!$BY:$BY,$A4,DATA!$CB:$CB,"Post-Monsoon")+COUNTIFS(DATA!$CH:$CH,$A4,DATA!$CK:$CK,"Post-Monsoon")</f>
        <v/>
      </c>
      <c r="F4">
        <f>SUM(B4:E4)</f>
        <v/>
      </c>
      <c r="G4">
        <f>IF(F4=0,"—",INDEX({"Cold Winter";"Hot Dry";"Hot Humid";"Post-Monsoon"},MATCH(MAX(B4:E4),B4:E4,0)))</f>
        <v/>
      </c>
      <c r="H4" s="19">
        <f>IFERROR(MAX(B4:E4)/F4,"")</f>
        <v/>
      </c>
      <c r="I4">
        <f>IFERROR(VLOOKUP($A4,DECODE!$K$3:$L$21,2,FALSE),"")</f>
        <v/>
      </c>
      <c r="J4">
        <f>IF(OR(I4="Non-Seasonal",I4="Gel"),"—",IF(G4=I4,"Matches","No Match"))</f>
        <v/>
      </c>
      <c r="K4">
        <f>IF(J4="—",IF(I4="Gel","—","Evergreen"),IF(H4&gt;=0.4,"Highly Seasonal",IF(H4&gt;=0.3,"Moderately Seasonal","Evergreen")))</f>
        <v/>
      </c>
      <c r="L4">
        <f>COUNTIFS(DATA!$AO:$AO,$A4)</f>
        <v/>
      </c>
      <c r="M4">
        <f>COUNTIFS(DATA!$AO:$AO,$A4,DATA!$AH:$AH,1)</f>
        <v/>
      </c>
      <c r="N4" s="19">
        <f>IFERROR(1-M4/L4,"")</f>
        <v/>
      </c>
      <c r="O4" s="20">
        <f>IFERROR(AVERAGEIFS(DATA!$CW:$CW,DATA!$CN:$CN,$A4),"")</f>
        <v/>
      </c>
    </row>
    <row r="5">
      <c r="A5" t="inlineStr">
        <is>
          <t>Winter Blackseed</t>
        </is>
      </c>
      <c r="B5">
        <f>COUNTIFS(DATA!$AO:$AO,$A5,DATA!$AR:$AR,"Cold Winter")+COUNTIFS(DATA!$AX:$AX,$A5,DATA!$BA:$BA,"Cold Winter")+COUNTIFS(DATA!$BG:$BG,$A5,DATA!$BJ:$BJ,"Cold Winter")+COUNTIFS(DATA!$BP:$BP,$A5,DATA!$BS:$BS,"Cold Winter")+COUNTIFS(DATA!$BY:$BY,$A5,DATA!$CB:$CB,"Cold Winter")+COUNTIFS(DATA!$CH:$CH,$A5,DATA!$CK:$CK,"Cold Winter")</f>
        <v/>
      </c>
      <c r="C5">
        <f>COUNTIFS(DATA!$AO:$AO,$A5,DATA!$AR:$AR,"Hot Dry")+COUNTIFS(DATA!$AX:$AX,$A5,DATA!$BA:$BA,"Hot Dry")+COUNTIFS(DATA!$BG:$BG,$A5,DATA!$BJ:$BJ,"Hot Dry")+COUNTIFS(DATA!$BP:$BP,$A5,DATA!$BS:$BS,"Hot Dry")+COUNTIFS(DATA!$BY:$BY,$A5,DATA!$CB:$CB,"Hot Dry")+COUNTIFS(DATA!$CH:$CH,$A5,DATA!$CK:$CK,"Hot Dry")</f>
        <v/>
      </c>
      <c r="D5">
        <f>COUNTIFS(DATA!$AO:$AO,$A5,DATA!$AR:$AR,"Hot Humid")+COUNTIFS(DATA!$AX:$AX,$A5,DATA!$BA:$BA,"Hot Humid")+COUNTIFS(DATA!$BG:$BG,$A5,DATA!$BJ:$BJ,"Hot Humid")+COUNTIFS(DATA!$BP:$BP,$A5,DATA!$BS:$BS,"Hot Humid")+COUNTIFS(DATA!$BY:$BY,$A5,DATA!$CB:$CB,"Hot Humid")+COUNTIFS(DATA!$CH:$CH,$A5,DATA!$CK:$CK,"Hot Humid")</f>
        <v/>
      </c>
      <c r="E5">
        <f>COUNTIFS(DATA!$AO:$AO,$A5,DATA!$AR:$AR,"Post-Monsoon")+COUNTIFS(DATA!$AX:$AX,$A5,DATA!$BA:$BA,"Post-Monsoon")+COUNTIFS(DATA!$BG:$BG,$A5,DATA!$BJ:$BJ,"Post-Monsoon")+COUNTIFS(DATA!$BP:$BP,$A5,DATA!$BS:$BS,"Post-Monsoon")+COUNTIFS(DATA!$BY:$BY,$A5,DATA!$CB:$CB,"Post-Monsoon")+COUNTIFS(DATA!$CH:$CH,$A5,DATA!$CK:$CK,"Post-Monsoon")</f>
        <v/>
      </c>
      <c r="F5">
        <f>SUM(B5:E5)</f>
        <v/>
      </c>
      <c r="G5">
        <f>IF(F5=0,"—",INDEX({"Cold Winter";"Hot Dry";"Hot Humid";"Post-Monsoon"},MATCH(MAX(B5:E5),B5:E5,0)))</f>
        <v/>
      </c>
      <c r="H5" s="19">
        <f>IFERROR(MAX(B5:E5)/F5,"")</f>
        <v/>
      </c>
      <c r="I5">
        <f>IFERROR(VLOOKUP($A5,DECODE!$K$3:$L$21,2,FALSE),"")</f>
        <v/>
      </c>
      <c r="J5">
        <f>IF(OR(I5="Non-Seasonal",I5="Gel"),"—",IF(G5=I5,"Matches","No Match"))</f>
        <v/>
      </c>
      <c r="K5">
        <f>IF(J5="—",IF(I5="Gel","—","Evergreen"),IF(H5&gt;=0.4,"Highly Seasonal",IF(H5&gt;=0.3,"Moderately Seasonal","Evergreen")))</f>
        <v/>
      </c>
      <c r="L5">
        <f>COUNTIFS(DATA!$AO:$AO,$A5)</f>
        <v/>
      </c>
      <c r="M5">
        <f>COUNTIFS(DATA!$AO:$AO,$A5,DATA!$AH:$AH,1)</f>
        <v/>
      </c>
      <c r="N5" s="19">
        <f>IFERROR(1-M5/L5,"")</f>
        <v/>
      </c>
      <c r="O5" s="20">
        <f>IFERROR(AVERAGEIFS(DATA!$CW:$CW,DATA!$CN:$CN,$A5),"")</f>
        <v/>
      </c>
    </row>
    <row r="6">
      <c r="A6" t="inlineStr">
        <is>
          <t>Flax Bakuchi</t>
        </is>
      </c>
      <c r="B6">
        <f>COUNTIFS(DATA!$AO:$AO,$A6,DATA!$AR:$AR,"Cold Winter")+COUNTIFS(DATA!$AX:$AX,$A6,DATA!$BA:$BA,"Cold Winter")+COUNTIFS(DATA!$BG:$BG,$A6,DATA!$BJ:$BJ,"Cold Winter")+COUNTIFS(DATA!$BP:$BP,$A6,DATA!$BS:$BS,"Cold Winter")+COUNTIFS(DATA!$BY:$BY,$A6,DATA!$CB:$CB,"Cold Winter")+COUNTIFS(DATA!$CH:$CH,$A6,DATA!$CK:$CK,"Cold Winter")</f>
        <v/>
      </c>
      <c r="C6">
        <f>COUNTIFS(DATA!$AO:$AO,$A6,DATA!$AR:$AR,"Hot Dry")+COUNTIFS(DATA!$AX:$AX,$A6,DATA!$BA:$BA,"Hot Dry")+COUNTIFS(DATA!$BG:$BG,$A6,DATA!$BJ:$BJ,"Hot Dry")+COUNTIFS(DATA!$BP:$BP,$A6,DATA!$BS:$BS,"Hot Dry")+COUNTIFS(DATA!$BY:$BY,$A6,DATA!$CB:$CB,"Hot Dry")+COUNTIFS(DATA!$CH:$CH,$A6,DATA!$CK:$CK,"Hot Dry")</f>
        <v/>
      </c>
      <c r="D6">
        <f>COUNTIFS(DATA!$AO:$AO,$A6,DATA!$AR:$AR,"Hot Humid")+COUNTIFS(DATA!$AX:$AX,$A6,DATA!$BA:$BA,"Hot Humid")+COUNTIFS(DATA!$BG:$BG,$A6,DATA!$BJ:$BJ,"Hot Humid")+COUNTIFS(DATA!$BP:$BP,$A6,DATA!$BS:$BS,"Hot Humid")+COUNTIFS(DATA!$BY:$BY,$A6,DATA!$CB:$CB,"Hot Humid")+COUNTIFS(DATA!$CH:$CH,$A6,DATA!$CK:$CK,"Hot Humid")</f>
        <v/>
      </c>
      <c r="E6">
        <f>COUNTIFS(DATA!$AO:$AO,$A6,DATA!$AR:$AR,"Post-Monsoon")+COUNTIFS(DATA!$AX:$AX,$A6,DATA!$BA:$BA,"Post-Monsoon")+COUNTIFS(DATA!$BG:$BG,$A6,DATA!$BJ:$BJ,"Post-Monsoon")+COUNTIFS(DATA!$BP:$BP,$A6,DATA!$BS:$BS,"Post-Monsoon")+COUNTIFS(DATA!$BY:$BY,$A6,DATA!$CB:$CB,"Post-Monsoon")+COUNTIFS(DATA!$CH:$CH,$A6,DATA!$CK:$CK,"Post-Monsoon")</f>
        <v/>
      </c>
      <c r="F6">
        <f>SUM(B6:E6)</f>
        <v/>
      </c>
      <c r="G6">
        <f>IF(F6=0,"—",INDEX({"Cold Winter";"Hot Dry";"Hot Humid";"Post-Monsoon"},MATCH(MAX(B6:E6),B6:E6,0)))</f>
        <v/>
      </c>
      <c r="H6" s="19">
        <f>IFERROR(MAX(B6:E6)/F6,"")</f>
        <v/>
      </c>
      <c r="I6">
        <f>IFERROR(VLOOKUP($A6,DECODE!$K$3:$L$21,2,FALSE),"")</f>
        <v/>
      </c>
      <c r="J6">
        <f>IF(OR(I6="Non-Seasonal",I6="Gel"),"—",IF(G6=I6,"Matches","No Match"))</f>
        <v/>
      </c>
      <c r="K6">
        <f>IF(J6="—",IF(I6="Gel","—","Evergreen"),IF(H6&gt;=0.4,"Highly Seasonal",IF(H6&gt;=0.3,"Moderately Seasonal","Evergreen")))</f>
        <v/>
      </c>
      <c r="L6">
        <f>COUNTIFS(DATA!$AO:$AO,$A6)</f>
        <v/>
      </c>
      <c r="M6">
        <f>COUNTIFS(DATA!$AO:$AO,$A6,DATA!$AH:$AH,1)</f>
        <v/>
      </c>
      <c r="N6" s="19">
        <f>IFERROR(1-M6/L6,"")</f>
        <v/>
      </c>
      <c r="O6" s="20">
        <f>IFERROR(AVERAGEIFS(DATA!$CW:$CW,DATA!$CN:$CN,$A6),"")</f>
        <v/>
      </c>
    </row>
    <row r="7">
      <c r="A7" t="inlineStr">
        <is>
          <t>Tomato Rosehip</t>
        </is>
      </c>
      <c r="B7">
        <f>COUNTIFS(DATA!$AO:$AO,$A7,DATA!$AR:$AR,"Cold Winter")+COUNTIFS(DATA!$AX:$AX,$A7,DATA!$BA:$BA,"Cold Winter")+COUNTIFS(DATA!$BG:$BG,$A7,DATA!$BJ:$BJ,"Cold Winter")+COUNTIFS(DATA!$BP:$BP,$A7,DATA!$BS:$BS,"Cold Winter")+COUNTIFS(DATA!$BY:$BY,$A7,DATA!$CB:$CB,"Cold Winter")+COUNTIFS(DATA!$CH:$CH,$A7,DATA!$CK:$CK,"Cold Winter")</f>
        <v/>
      </c>
      <c r="C7">
        <f>COUNTIFS(DATA!$AO:$AO,$A7,DATA!$AR:$AR,"Hot Dry")+COUNTIFS(DATA!$AX:$AX,$A7,DATA!$BA:$BA,"Hot Dry")+COUNTIFS(DATA!$BG:$BG,$A7,DATA!$BJ:$BJ,"Hot Dry")+COUNTIFS(DATA!$BP:$BP,$A7,DATA!$BS:$BS,"Hot Dry")+COUNTIFS(DATA!$BY:$BY,$A7,DATA!$CB:$CB,"Hot Dry")+COUNTIFS(DATA!$CH:$CH,$A7,DATA!$CK:$CK,"Hot Dry")</f>
        <v/>
      </c>
      <c r="D7">
        <f>COUNTIFS(DATA!$AO:$AO,$A7,DATA!$AR:$AR,"Hot Humid")+COUNTIFS(DATA!$AX:$AX,$A7,DATA!$BA:$BA,"Hot Humid")+COUNTIFS(DATA!$BG:$BG,$A7,DATA!$BJ:$BJ,"Hot Humid")+COUNTIFS(DATA!$BP:$BP,$A7,DATA!$BS:$BS,"Hot Humid")+COUNTIFS(DATA!$BY:$BY,$A7,DATA!$CB:$CB,"Hot Humid")+COUNTIFS(DATA!$CH:$CH,$A7,DATA!$CK:$CK,"Hot Humid")</f>
        <v/>
      </c>
      <c r="E7">
        <f>COUNTIFS(DATA!$AO:$AO,$A7,DATA!$AR:$AR,"Post-Monsoon")+COUNTIFS(DATA!$AX:$AX,$A7,DATA!$BA:$BA,"Post-Monsoon")+COUNTIFS(DATA!$BG:$BG,$A7,DATA!$BJ:$BJ,"Post-Monsoon")+COUNTIFS(DATA!$BP:$BP,$A7,DATA!$BS:$BS,"Post-Monsoon")+COUNTIFS(DATA!$BY:$BY,$A7,DATA!$CB:$CB,"Post-Monsoon")+COUNTIFS(DATA!$CH:$CH,$A7,DATA!$CK:$CK,"Post-Monsoon")</f>
        <v/>
      </c>
      <c r="F7">
        <f>SUM(B7:E7)</f>
        <v/>
      </c>
      <c r="G7">
        <f>IF(F7=0,"—",INDEX({"Cold Winter";"Hot Dry";"Hot Humid";"Post-Monsoon"},MATCH(MAX(B7:E7),B7:E7,0)))</f>
        <v/>
      </c>
      <c r="H7" s="19">
        <f>IFERROR(MAX(B7:E7)/F7,"")</f>
        <v/>
      </c>
      <c r="I7">
        <f>IFERROR(VLOOKUP($A7,DECODE!$K$3:$L$21,2,FALSE),"")</f>
        <v/>
      </c>
      <c r="J7">
        <f>IF(OR(I7="Non-Seasonal",I7="Gel"),"—",IF(G7=I7,"Matches","No Match"))</f>
        <v/>
      </c>
      <c r="K7">
        <f>IF(J7="—",IF(I7="Gel","—","Evergreen"),IF(H7&gt;=0.4,"Highly Seasonal",IF(H7&gt;=0.3,"Moderately Seasonal","Evergreen")))</f>
        <v/>
      </c>
      <c r="L7">
        <f>COUNTIFS(DATA!$AO:$AO,$A7)</f>
        <v/>
      </c>
      <c r="M7">
        <f>COUNTIFS(DATA!$AO:$AO,$A7,DATA!$AH:$AH,1)</f>
        <v/>
      </c>
      <c r="N7" s="19">
        <f>IFERROR(1-M7/L7,"")</f>
        <v/>
      </c>
      <c r="O7" s="20">
        <f>IFERROR(AVERAGEIFS(DATA!$CW:$CW,DATA!$CN:$CN,$A7),"")</f>
        <v/>
      </c>
    </row>
    <row r="8">
      <c r="A8" t="inlineStr">
        <is>
          <t>Pomegranate Tulsi</t>
        </is>
      </c>
      <c r="B8">
        <f>COUNTIFS(DATA!$AO:$AO,$A8,DATA!$AR:$AR,"Cold Winter")+COUNTIFS(DATA!$AX:$AX,$A8,DATA!$BA:$BA,"Cold Winter")+COUNTIFS(DATA!$BG:$BG,$A8,DATA!$BJ:$BJ,"Cold Winter")+COUNTIFS(DATA!$BP:$BP,$A8,DATA!$BS:$BS,"Cold Winter")+COUNTIFS(DATA!$BY:$BY,$A8,DATA!$CB:$CB,"Cold Winter")+COUNTIFS(DATA!$CH:$CH,$A8,DATA!$CK:$CK,"Cold Winter")</f>
        <v/>
      </c>
      <c r="C8">
        <f>COUNTIFS(DATA!$AO:$AO,$A8,DATA!$AR:$AR,"Hot Dry")+COUNTIFS(DATA!$AX:$AX,$A8,DATA!$BA:$BA,"Hot Dry")+COUNTIFS(DATA!$BG:$BG,$A8,DATA!$BJ:$BJ,"Hot Dry")+COUNTIFS(DATA!$BP:$BP,$A8,DATA!$BS:$BS,"Hot Dry")+COUNTIFS(DATA!$BY:$BY,$A8,DATA!$CB:$CB,"Hot Dry")+COUNTIFS(DATA!$CH:$CH,$A8,DATA!$CK:$CK,"Hot Dry")</f>
        <v/>
      </c>
      <c r="D8">
        <f>COUNTIFS(DATA!$AO:$AO,$A8,DATA!$AR:$AR,"Hot Humid")+COUNTIFS(DATA!$AX:$AX,$A8,DATA!$BA:$BA,"Hot Humid")+COUNTIFS(DATA!$BG:$BG,$A8,DATA!$BJ:$BJ,"Hot Humid")+COUNTIFS(DATA!$BP:$BP,$A8,DATA!$BS:$BS,"Hot Humid")+COUNTIFS(DATA!$BY:$BY,$A8,DATA!$CB:$CB,"Hot Humid")+COUNTIFS(DATA!$CH:$CH,$A8,DATA!$CK:$CK,"Hot Humid")</f>
        <v/>
      </c>
      <c r="E8">
        <f>COUNTIFS(DATA!$AO:$AO,$A8,DATA!$AR:$AR,"Post-Monsoon")+COUNTIFS(DATA!$AX:$AX,$A8,DATA!$BA:$BA,"Post-Monsoon")+COUNTIFS(DATA!$BG:$BG,$A8,DATA!$BJ:$BJ,"Post-Monsoon")+COUNTIFS(DATA!$BP:$BP,$A8,DATA!$BS:$BS,"Post-Monsoon")+COUNTIFS(DATA!$BY:$BY,$A8,DATA!$CB:$CB,"Post-Monsoon")+COUNTIFS(DATA!$CH:$CH,$A8,DATA!$CK:$CK,"Post-Monsoon")</f>
        <v/>
      </c>
      <c r="F8">
        <f>SUM(B8:E8)</f>
        <v/>
      </c>
      <c r="G8">
        <f>IF(F8=0,"—",INDEX({"Cold Winter";"Hot Dry";"Hot Humid";"Post-Monsoon"},MATCH(MAX(B8:E8),B8:E8,0)))</f>
        <v/>
      </c>
      <c r="H8" s="19">
        <f>IFERROR(MAX(B8:E8)/F8,"")</f>
        <v/>
      </c>
      <c r="I8">
        <f>IFERROR(VLOOKUP($A8,DECODE!$K$3:$L$21,2,FALSE),"")</f>
        <v/>
      </c>
      <c r="J8">
        <f>IF(OR(I8="Non-Seasonal",I8="Gel"),"—",IF(G8=I8,"Matches","No Match"))</f>
        <v/>
      </c>
      <c r="K8">
        <f>IF(J8="—",IF(I8="Gel","—","Evergreen"),IF(H8&gt;=0.4,"Highly Seasonal",IF(H8&gt;=0.3,"Moderately Seasonal","Evergreen")))</f>
        <v/>
      </c>
      <c r="L8">
        <f>COUNTIFS(DATA!$AO:$AO,$A8)</f>
        <v/>
      </c>
      <c r="M8">
        <f>COUNTIFS(DATA!$AO:$AO,$A8,DATA!$AH:$AH,1)</f>
        <v/>
      </c>
      <c r="N8" s="19">
        <f>IFERROR(1-M8/L8,"")</f>
        <v/>
      </c>
      <c r="O8" s="20">
        <f>IFERROR(AVERAGEIFS(DATA!$CW:$CW,DATA!$CN:$CN,$A8),"")</f>
        <v/>
      </c>
    </row>
    <row r="9">
      <c r="A9" t="inlineStr">
        <is>
          <t>Flax Carrot</t>
        </is>
      </c>
      <c r="B9">
        <f>COUNTIFS(DATA!$AO:$AO,$A9,DATA!$AR:$AR,"Cold Winter")+COUNTIFS(DATA!$AX:$AX,$A9,DATA!$BA:$BA,"Cold Winter")+COUNTIFS(DATA!$BG:$BG,$A9,DATA!$BJ:$BJ,"Cold Winter")+COUNTIFS(DATA!$BP:$BP,$A9,DATA!$BS:$BS,"Cold Winter")+COUNTIFS(DATA!$BY:$BY,$A9,DATA!$CB:$CB,"Cold Winter")+COUNTIFS(DATA!$CH:$CH,$A9,DATA!$CK:$CK,"Cold Winter")</f>
        <v/>
      </c>
      <c r="C9">
        <f>COUNTIFS(DATA!$AO:$AO,$A9,DATA!$AR:$AR,"Hot Dry")+COUNTIFS(DATA!$AX:$AX,$A9,DATA!$BA:$BA,"Hot Dry")+COUNTIFS(DATA!$BG:$BG,$A9,DATA!$BJ:$BJ,"Hot Dry")+COUNTIFS(DATA!$BP:$BP,$A9,DATA!$BS:$BS,"Hot Dry")+COUNTIFS(DATA!$BY:$BY,$A9,DATA!$CB:$CB,"Hot Dry")+COUNTIFS(DATA!$CH:$CH,$A9,DATA!$CK:$CK,"Hot Dry")</f>
        <v/>
      </c>
      <c r="D9">
        <f>COUNTIFS(DATA!$AO:$AO,$A9,DATA!$AR:$AR,"Hot Humid")+COUNTIFS(DATA!$AX:$AX,$A9,DATA!$BA:$BA,"Hot Humid")+COUNTIFS(DATA!$BG:$BG,$A9,DATA!$BJ:$BJ,"Hot Humid")+COUNTIFS(DATA!$BP:$BP,$A9,DATA!$BS:$BS,"Hot Humid")+COUNTIFS(DATA!$BY:$BY,$A9,DATA!$CB:$CB,"Hot Humid")+COUNTIFS(DATA!$CH:$CH,$A9,DATA!$CK:$CK,"Hot Humid")</f>
        <v/>
      </c>
      <c r="E9">
        <f>COUNTIFS(DATA!$AO:$AO,$A9,DATA!$AR:$AR,"Post-Monsoon")+COUNTIFS(DATA!$AX:$AX,$A9,DATA!$BA:$BA,"Post-Monsoon")+COUNTIFS(DATA!$BG:$BG,$A9,DATA!$BJ:$BJ,"Post-Monsoon")+COUNTIFS(DATA!$BP:$BP,$A9,DATA!$BS:$BS,"Post-Monsoon")+COUNTIFS(DATA!$BY:$BY,$A9,DATA!$CB:$CB,"Post-Monsoon")+COUNTIFS(DATA!$CH:$CH,$A9,DATA!$CK:$CK,"Post-Monsoon")</f>
        <v/>
      </c>
      <c r="F9">
        <f>SUM(B9:E9)</f>
        <v/>
      </c>
      <c r="G9">
        <f>IF(F9=0,"—",INDEX({"Cold Winter";"Hot Dry";"Hot Humid";"Post-Monsoon"},MATCH(MAX(B9:E9),B9:E9,0)))</f>
        <v/>
      </c>
      <c r="H9" s="19">
        <f>IFERROR(MAX(B9:E9)/F9,"")</f>
        <v/>
      </c>
      <c r="I9">
        <f>IFERROR(VLOOKUP($A9,DECODE!$K$3:$L$21,2,FALSE),"")</f>
        <v/>
      </c>
      <c r="J9">
        <f>IF(OR(I9="Non-Seasonal",I9="Gel"),"—",IF(G9=I9,"Matches","No Match"))</f>
        <v/>
      </c>
      <c r="K9">
        <f>IF(J9="—",IF(I9="Gel","—","Evergreen"),IF(H9&gt;=0.4,"Highly Seasonal",IF(H9&gt;=0.3,"Moderately Seasonal","Evergreen")))</f>
        <v/>
      </c>
      <c r="L9">
        <f>COUNTIFS(DATA!$AO:$AO,$A9)</f>
        <v/>
      </c>
      <c r="M9">
        <f>COUNTIFS(DATA!$AO:$AO,$A9,DATA!$AH:$AH,1)</f>
        <v/>
      </c>
      <c r="N9" s="19">
        <f>IFERROR(1-M9/L9,"")</f>
        <v/>
      </c>
      <c r="O9" s="20">
        <f>IFERROR(AVERAGEIFS(DATA!$CW:$CW,DATA!$CN:$CN,$A9),"")</f>
        <v/>
      </c>
    </row>
    <row r="10">
      <c r="A10" t="inlineStr">
        <is>
          <t>Tomato Vetiver</t>
        </is>
      </c>
      <c r="B10">
        <f>COUNTIFS(DATA!$AO:$AO,$A10,DATA!$AR:$AR,"Cold Winter")+COUNTIFS(DATA!$AX:$AX,$A10,DATA!$BA:$BA,"Cold Winter")+COUNTIFS(DATA!$BG:$BG,$A10,DATA!$BJ:$BJ,"Cold Winter")+COUNTIFS(DATA!$BP:$BP,$A10,DATA!$BS:$BS,"Cold Winter")+COUNTIFS(DATA!$BY:$BY,$A10,DATA!$CB:$CB,"Cold Winter")+COUNTIFS(DATA!$CH:$CH,$A10,DATA!$CK:$CK,"Cold Winter")</f>
        <v/>
      </c>
      <c r="C10">
        <f>COUNTIFS(DATA!$AO:$AO,$A10,DATA!$AR:$AR,"Hot Dry")+COUNTIFS(DATA!$AX:$AX,$A10,DATA!$BA:$BA,"Hot Dry")+COUNTIFS(DATA!$BG:$BG,$A10,DATA!$BJ:$BJ,"Hot Dry")+COUNTIFS(DATA!$BP:$BP,$A10,DATA!$BS:$BS,"Hot Dry")+COUNTIFS(DATA!$BY:$BY,$A10,DATA!$CB:$CB,"Hot Dry")+COUNTIFS(DATA!$CH:$CH,$A10,DATA!$CK:$CK,"Hot Dry")</f>
        <v/>
      </c>
      <c r="D10">
        <f>COUNTIFS(DATA!$AO:$AO,$A10,DATA!$AR:$AR,"Hot Humid")+COUNTIFS(DATA!$AX:$AX,$A10,DATA!$BA:$BA,"Hot Humid")+COUNTIFS(DATA!$BG:$BG,$A10,DATA!$BJ:$BJ,"Hot Humid")+COUNTIFS(DATA!$BP:$BP,$A10,DATA!$BS:$BS,"Hot Humid")+COUNTIFS(DATA!$BY:$BY,$A10,DATA!$CB:$CB,"Hot Humid")+COUNTIFS(DATA!$CH:$CH,$A10,DATA!$CK:$CK,"Hot Humid")</f>
        <v/>
      </c>
      <c r="E10">
        <f>COUNTIFS(DATA!$AO:$AO,$A10,DATA!$AR:$AR,"Post-Monsoon")+COUNTIFS(DATA!$AX:$AX,$A10,DATA!$BA:$BA,"Post-Monsoon")+COUNTIFS(DATA!$BG:$BG,$A10,DATA!$BJ:$BJ,"Post-Monsoon")+COUNTIFS(DATA!$BP:$BP,$A10,DATA!$BS:$BS,"Post-Monsoon")+COUNTIFS(DATA!$BY:$BY,$A10,DATA!$CB:$CB,"Post-Monsoon")+COUNTIFS(DATA!$CH:$CH,$A10,DATA!$CK:$CK,"Post-Monsoon")</f>
        <v/>
      </c>
      <c r="F10">
        <f>SUM(B10:E10)</f>
        <v/>
      </c>
      <c r="G10">
        <f>IF(F10=0,"—",INDEX({"Cold Winter";"Hot Dry";"Hot Humid";"Post-Monsoon"},MATCH(MAX(B10:E10),B10:E10,0)))</f>
        <v/>
      </c>
      <c r="H10" s="19">
        <f>IFERROR(MAX(B10:E10)/F10,"")</f>
        <v/>
      </c>
      <c r="I10">
        <f>IFERROR(VLOOKUP($A10,DECODE!$K$3:$L$21,2,FALSE),"")</f>
        <v/>
      </c>
      <c r="J10">
        <f>IF(OR(I10="Non-Seasonal",I10="Gel"),"—",IF(G10=I10,"Matches","No Match"))</f>
        <v/>
      </c>
      <c r="K10">
        <f>IF(J10="—",IF(I10="Gel","—","Evergreen"),IF(H10&gt;=0.4,"Highly Seasonal",IF(H10&gt;=0.3,"Moderately Seasonal","Evergreen")))</f>
        <v/>
      </c>
      <c r="L10">
        <f>COUNTIFS(DATA!$AO:$AO,$A10)</f>
        <v/>
      </c>
      <c r="M10">
        <f>COUNTIFS(DATA!$AO:$AO,$A10,DATA!$AH:$AH,1)</f>
        <v/>
      </c>
      <c r="N10" s="19">
        <f>IFERROR(1-M10/L10,"")</f>
        <v/>
      </c>
      <c r="O10" s="20">
        <f>IFERROR(AVERAGEIFS(DATA!$CW:$CW,DATA!$CN:$CN,$A10),"")</f>
        <v/>
      </c>
    </row>
    <row r="11">
      <c r="A11" t="inlineStr">
        <is>
          <t>GreenApple Tulsi</t>
        </is>
      </c>
      <c r="B11">
        <f>COUNTIFS(DATA!$AO:$AO,$A11,DATA!$AR:$AR,"Cold Winter")+COUNTIFS(DATA!$AX:$AX,$A11,DATA!$BA:$BA,"Cold Winter")+COUNTIFS(DATA!$BG:$BG,$A11,DATA!$BJ:$BJ,"Cold Winter")+COUNTIFS(DATA!$BP:$BP,$A11,DATA!$BS:$BS,"Cold Winter")+COUNTIFS(DATA!$BY:$BY,$A11,DATA!$CB:$CB,"Cold Winter")+COUNTIFS(DATA!$CH:$CH,$A11,DATA!$CK:$CK,"Cold Winter")</f>
        <v/>
      </c>
      <c r="C11">
        <f>COUNTIFS(DATA!$AO:$AO,$A11,DATA!$AR:$AR,"Hot Dry")+COUNTIFS(DATA!$AX:$AX,$A11,DATA!$BA:$BA,"Hot Dry")+COUNTIFS(DATA!$BG:$BG,$A11,DATA!$BJ:$BJ,"Hot Dry")+COUNTIFS(DATA!$BP:$BP,$A11,DATA!$BS:$BS,"Hot Dry")+COUNTIFS(DATA!$BY:$BY,$A11,DATA!$CB:$CB,"Hot Dry")+COUNTIFS(DATA!$CH:$CH,$A11,DATA!$CK:$CK,"Hot Dry")</f>
        <v/>
      </c>
      <c r="D11">
        <f>COUNTIFS(DATA!$AO:$AO,$A11,DATA!$AR:$AR,"Hot Humid")+COUNTIFS(DATA!$AX:$AX,$A11,DATA!$BA:$BA,"Hot Humid")+COUNTIFS(DATA!$BG:$BG,$A11,DATA!$BJ:$BJ,"Hot Humid")+COUNTIFS(DATA!$BP:$BP,$A11,DATA!$BS:$BS,"Hot Humid")+COUNTIFS(DATA!$BY:$BY,$A11,DATA!$CB:$CB,"Hot Humid")+COUNTIFS(DATA!$CH:$CH,$A11,DATA!$CK:$CK,"Hot Humid")</f>
        <v/>
      </c>
      <c r="E11">
        <f>COUNTIFS(DATA!$AO:$AO,$A11,DATA!$AR:$AR,"Post-Monsoon")+COUNTIFS(DATA!$AX:$AX,$A11,DATA!$BA:$BA,"Post-Monsoon")+COUNTIFS(DATA!$BG:$BG,$A11,DATA!$BJ:$BJ,"Post-Monsoon")+COUNTIFS(DATA!$BP:$BP,$A11,DATA!$BS:$BS,"Post-Monsoon")+COUNTIFS(DATA!$BY:$BY,$A11,DATA!$CB:$CB,"Post-Monsoon")+COUNTIFS(DATA!$CH:$CH,$A11,DATA!$CK:$CK,"Post-Monsoon")</f>
        <v/>
      </c>
      <c r="F11">
        <f>SUM(B11:E11)</f>
        <v/>
      </c>
      <c r="G11">
        <f>IF(F11=0,"—",INDEX({"Cold Winter";"Hot Dry";"Hot Humid";"Post-Monsoon"},MATCH(MAX(B11:E11),B11:E11,0)))</f>
        <v/>
      </c>
      <c r="H11" s="19">
        <f>IFERROR(MAX(B11:E11)/F11,"")</f>
        <v/>
      </c>
      <c r="I11">
        <f>IFERROR(VLOOKUP($A11,DECODE!$K$3:$L$21,2,FALSE),"")</f>
        <v/>
      </c>
      <c r="J11">
        <f>IF(OR(I11="Non-Seasonal",I11="Gel"),"—",IF(G11=I11,"Matches","No Match"))</f>
        <v/>
      </c>
      <c r="K11">
        <f>IF(J11="—",IF(I11="Gel","—","Evergreen"),IF(H11&gt;=0.4,"Highly Seasonal",IF(H11&gt;=0.3,"Moderately Seasonal","Evergreen")))</f>
        <v/>
      </c>
      <c r="L11">
        <f>COUNTIFS(DATA!$AO:$AO,$A11)</f>
        <v/>
      </c>
      <c r="M11">
        <f>COUNTIFS(DATA!$AO:$AO,$A11,DATA!$AH:$AH,1)</f>
        <v/>
      </c>
      <c r="N11" s="19">
        <f>IFERROR(1-M11/L11,"")</f>
        <v/>
      </c>
      <c r="O11" s="20">
        <f>IFERROR(AVERAGEIFS(DATA!$CW:$CW,DATA!$CN:$CN,$A11),"")</f>
        <v/>
      </c>
    </row>
    <row r="12">
      <c r="A12" t="inlineStr">
        <is>
          <t>Turmeric Nutmeg</t>
        </is>
      </c>
      <c r="B12">
        <f>COUNTIFS(DATA!$AO:$AO,$A12,DATA!$AR:$AR,"Cold Winter")+COUNTIFS(DATA!$AX:$AX,$A12,DATA!$BA:$BA,"Cold Winter")+COUNTIFS(DATA!$BG:$BG,$A12,DATA!$BJ:$BJ,"Cold Winter")+COUNTIFS(DATA!$BP:$BP,$A12,DATA!$BS:$BS,"Cold Winter")+COUNTIFS(DATA!$BY:$BY,$A12,DATA!$CB:$CB,"Cold Winter")+COUNTIFS(DATA!$CH:$CH,$A12,DATA!$CK:$CK,"Cold Winter")</f>
        <v/>
      </c>
      <c r="C12">
        <f>COUNTIFS(DATA!$AO:$AO,$A12,DATA!$AR:$AR,"Hot Dry")+COUNTIFS(DATA!$AX:$AX,$A12,DATA!$BA:$BA,"Hot Dry")+COUNTIFS(DATA!$BG:$BG,$A12,DATA!$BJ:$BJ,"Hot Dry")+COUNTIFS(DATA!$BP:$BP,$A12,DATA!$BS:$BS,"Hot Dry")+COUNTIFS(DATA!$BY:$BY,$A12,DATA!$CB:$CB,"Hot Dry")+COUNTIFS(DATA!$CH:$CH,$A12,DATA!$CK:$CK,"Hot Dry")</f>
        <v/>
      </c>
      <c r="D12">
        <f>COUNTIFS(DATA!$AO:$AO,$A12,DATA!$AR:$AR,"Hot Humid")+COUNTIFS(DATA!$AX:$AX,$A12,DATA!$BA:$BA,"Hot Humid")+COUNTIFS(DATA!$BG:$BG,$A12,DATA!$BJ:$BJ,"Hot Humid")+COUNTIFS(DATA!$BP:$BP,$A12,DATA!$BS:$BS,"Hot Humid")+COUNTIFS(DATA!$BY:$BY,$A12,DATA!$CB:$CB,"Hot Humid")+COUNTIFS(DATA!$CH:$CH,$A12,DATA!$CK:$CK,"Hot Humid")</f>
        <v/>
      </c>
      <c r="E12">
        <f>COUNTIFS(DATA!$AO:$AO,$A12,DATA!$AR:$AR,"Post-Monsoon")+COUNTIFS(DATA!$AX:$AX,$A12,DATA!$BA:$BA,"Post-Monsoon")+COUNTIFS(DATA!$BG:$BG,$A12,DATA!$BJ:$BJ,"Post-Monsoon")+COUNTIFS(DATA!$BP:$BP,$A12,DATA!$BS:$BS,"Post-Monsoon")+COUNTIFS(DATA!$BY:$BY,$A12,DATA!$CB:$CB,"Post-Monsoon")+COUNTIFS(DATA!$CH:$CH,$A12,DATA!$CK:$CK,"Post-Monsoon")</f>
        <v/>
      </c>
      <c r="F12">
        <f>SUM(B12:E12)</f>
        <v/>
      </c>
      <c r="G12">
        <f>IF(F12=0,"—",INDEX({"Cold Winter";"Hot Dry";"Hot Humid";"Post-Monsoon"},MATCH(MAX(B12:E12),B12:E12,0)))</f>
        <v/>
      </c>
      <c r="H12" s="19">
        <f>IFERROR(MAX(B12:E12)/F12,"")</f>
        <v/>
      </c>
      <c r="I12">
        <f>IFERROR(VLOOKUP($A12,DECODE!$K$3:$L$21,2,FALSE),"")</f>
        <v/>
      </c>
      <c r="J12">
        <f>IF(OR(I12="Non-Seasonal",I12="Gel"),"—",IF(G12=I12,"Matches","No Match"))</f>
        <v/>
      </c>
      <c r="K12">
        <f>IF(J12="—",IF(I12="Gel","—","Evergreen"),IF(H12&gt;=0.4,"Highly Seasonal",IF(H12&gt;=0.3,"Moderately Seasonal","Evergreen")))</f>
        <v/>
      </c>
      <c r="L12">
        <f>COUNTIFS(DATA!$AO:$AO,$A12)</f>
        <v/>
      </c>
      <c r="M12">
        <f>COUNTIFS(DATA!$AO:$AO,$A12,DATA!$AH:$AH,1)</f>
        <v/>
      </c>
      <c r="N12" s="19">
        <f>IFERROR(1-M12/L12,"")</f>
        <v/>
      </c>
      <c r="O12" s="20">
        <f>IFERROR(AVERAGEIFS(DATA!$CW:$CW,DATA!$CN:$CN,$A12),"")</f>
        <v/>
      </c>
    </row>
    <row r="13">
      <c r="A13" t="inlineStr">
        <is>
          <t>Cocoa Mogra</t>
        </is>
      </c>
      <c r="B13">
        <f>COUNTIFS(DATA!$AO:$AO,$A13,DATA!$AR:$AR,"Cold Winter")+COUNTIFS(DATA!$AX:$AX,$A13,DATA!$BA:$BA,"Cold Winter")+COUNTIFS(DATA!$BG:$BG,$A13,DATA!$BJ:$BJ,"Cold Winter")+COUNTIFS(DATA!$BP:$BP,$A13,DATA!$BS:$BS,"Cold Winter")+COUNTIFS(DATA!$BY:$BY,$A13,DATA!$CB:$CB,"Cold Winter")+COUNTIFS(DATA!$CH:$CH,$A13,DATA!$CK:$CK,"Cold Winter")</f>
        <v/>
      </c>
      <c r="C13">
        <f>COUNTIFS(DATA!$AO:$AO,$A13,DATA!$AR:$AR,"Hot Dry")+COUNTIFS(DATA!$AX:$AX,$A13,DATA!$BA:$BA,"Hot Dry")+COUNTIFS(DATA!$BG:$BG,$A13,DATA!$BJ:$BJ,"Hot Dry")+COUNTIFS(DATA!$BP:$BP,$A13,DATA!$BS:$BS,"Hot Dry")+COUNTIFS(DATA!$BY:$BY,$A13,DATA!$CB:$CB,"Hot Dry")+COUNTIFS(DATA!$CH:$CH,$A13,DATA!$CK:$CK,"Hot Dry")</f>
        <v/>
      </c>
      <c r="D13">
        <f>COUNTIFS(DATA!$AO:$AO,$A13,DATA!$AR:$AR,"Hot Humid")+COUNTIFS(DATA!$AX:$AX,$A13,DATA!$BA:$BA,"Hot Humid")+COUNTIFS(DATA!$BG:$BG,$A13,DATA!$BJ:$BJ,"Hot Humid")+COUNTIFS(DATA!$BP:$BP,$A13,DATA!$BS:$BS,"Hot Humid")+COUNTIFS(DATA!$BY:$BY,$A13,DATA!$CB:$CB,"Hot Humid")+COUNTIFS(DATA!$CH:$CH,$A13,DATA!$CK:$CK,"Hot Humid")</f>
        <v/>
      </c>
      <c r="E13">
        <f>COUNTIFS(DATA!$AO:$AO,$A13,DATA!$AR:$AR,"Post-Monsoon")+COUNTIFS(DATA!$AX:$AX,$A13,DATA!$BA:$BA,"Post-Monsoon")+COUNTIFS(DATA!$BG:$BG,$A13,DATA!$BJ:$BJ,"Post-Monsoon")+COUNTIFS(DATA!$BP:$BP,$A13,DATA!$BS:$BS,"Post-Monsoon")+COUNTIFS(DATA!$BY:$BY,$A13,DATA!$CB:$CB,"Post-Monsoon")+COUNTIFS(DATA!$CH:$CH,$A13,DATA!$CK:$CK,"Post-Monsoon")</f>
        <v/>
      </c>
      <c r="F13">
        <f>SUM(B13:E13)</f>
        <v/>
      </c>
      <c r="G13">
        <f>IF(F13=0,"—",INDEX({"Cold Winter";"Hot Dry";"Hot Humid";"Post-Monsoon"},MATCH(MAX(B13:E13),B13:E13,0)))</f>
        <v/>
      </c>
      <c r="H13" s="19">
        <f>IFERROR(MAX(B13:E13)/F13,"")</f>
        <v/>
      </c>
      <c r="I13">
        <f>IFERROR(VLOOKUP($A13,DECODE!$K$3:$L$21,2,FALSE),"")</f>
        <v/>
      </c>
      <c r="J13">
        <f>IF(OR(I13="Non-Seasonal",I13="Gel"),"—",IF(G13=I13,"Matches","No Match"))</f>
        <v/>
      </c>
      <c r="K13">
        <f>IF(J13="—",IF(I13="Gel","—","Evergreen"),IF(H13&gt;=0.4,"Highly Seasonal",IF(H13&gt;=0.3,"Moderately Seasonal","Evergreen")))</f>
        <v/>
      </c>
      <c r="L13">
        <f>COUNTIFS(DATA!$AO:$AO,$A13)</f>
        <v/>
      </c>
      <c r="M13">
        <f>COUNTIFS(DATA!$AO:$AO,$A13,DATA!$AH:$AH,1)</f>
        <v/>
      </c>
      <c r="N13" s="19">
        <f>IFERROR(1-M13/L13,"")</f>
        <v/>
      </c>
      <c r="O13" s="20">
        <f>IFERROR(AVERAGEIFS(DATA!$CW:$CW,DATA!$CN:$CN,$A13),"")</f>
        <v/>
      </c>
    </row>
    <row r="14">
      <c r="A14" t="inlineStr">
        <is>
          <t>Honey Multi-Nut</t>
        </is>
      </c>
      <c r="B14">
        <f>COUNTIFS(DATA!$AO:$AO,$A14,DATA!$AR:$AR,"Cold Winter")+COUNTIFS(DATA!$AX:$AX,$A14,DATA!$BA:$BA,"Cold Winter")+COUNTIFS(DATA!$BG:$BG,$A14,DATA!$BJ:$BJ,"Cold Winter")+COUNTIFS(DATA!$BP:$BP,$A14,DATA!$BS:$BS,"Cold Winter")+COUNTIFS(DATA!$BY:$BY,$A14,DATA!$CB:$CB,"Cold Winter")+COUNTIFS(DATA!$CH:$CH,$A14,DATA!$CK:$CK,"Cold Winter")</f>
        <v/>
      </c>
      <c r="C14">
        <f>COUNTIFS(DATA!$AO:$AO,$A14,DATA!$AR:$AR,"Hot Dry")+COUNTIFS(DATA!$AX:$AX,$A14,DATA!$BA:$BA,"Hot Dry")+COUNTIFS(DATA!$BG:$BG,$A14,DATA!$BJ:$BJ,"Hot Dry")+COUNTIFS(DATA!$BP:$BP,$A14,DATA!$BS:$BS,"Hot Dry")+COUNTIFS(DATA!$BY:$BY,$A14,DATA!$CB:$CB,"Hot Dry")+COUNTIFS(DATA!$CH:$CH,$A14,DATA!$CK:$CK,"Hot Dry")</f>
        <v/>
      </c>
      <c r="D14">
        <f>COUNTIFS(DATA!$AO:$AO,$A14,DATA!$AR:$AR,"Hot Humid")+COUNTIFS(DATA!$AX:$AX,$A14,DATA!$BA:$BA,"Hot Humid")+COUNTIFS(DATA!$BG:$BG,$A14,DATA!$BJ:$BJ,"Hot Humid")+COUNTIFS(DATA!$BP:$BP,$A14,DATA!$BS:$BS,"Hot Humid")+COUNTIFS(DATA!$BY:$BY,$A14,DATA!$CB:$CB,"Hot Humid")+COUNTIFS(DATA!$CH:$CH,$A14,DATA!$CK:$CK,"Hot Humid")</f>
        <v/>
      </c>
      <c r="E14">
        <f>COUNTIFS(DATA!$AO:$AO,$A14,DATA!$AR:$AR,"Post-Monsoon")+COUNTIFS(DATA!$AX:$AX,$A14,DATA!$BA:$BA,"Post-Monsoon")+COUNTIFS(DATA!$BG:$BG,$A14,DATA!$BJ:$BJ,"Post-Monsoon")+COUNTIFS(DATA!$BP:$BP,$A14,DATA!$BS:$BS,"Post-Monsoon")+COUNTIFS(DATA!$BY:$BY,$A14,DATA!$CB:$CB,"Post-Monsoon")+COUNTIFS(DATA!$CH:$CH,$A14,DATA!$CK:$CK,"Post-Monsoon")</f>
        <v/>
      </c>
      <c r="F14">
        <f>SUM(B14:E14)</f>
        <v/>
      </c>
      <c r="G14">
        <f>IF(F14=0,"—",INDEX({"Cold Winter";"Hot Dry";"Hot Humid";"Post-Monsoon"},MATCH(MAX(B14:E14),B14:E14,0)))</f>
        <v/>
      </c>
      <c r="H14" s="19">
        <f>IFERROR(MAX(B14:E14)/F14,"")</f>
        <v/>
      </c>
      <c r="I14">
        <f>IFERROR(VLOOKUP($A14,DECODE!$K$3:$L$21,2,FALSE),"")</f>
        <v/>
      </c>
      <c r="J14">
        <f>IF(OR(I14="Non-Seasonal",I14="Gel"),"—",IF(G14=I14,"Matches","No Match"))</f>
        <v/>
      </c>
      <c r="K14">
        <f>IF(J14="—",IF(I14="Gel","—","Evergreen"),IF(H14&gt;=0.4,"Highly Seasonal",IF(H14&gt;=0.3,"Moderately Seasonal","Evergreen")))</f>
        <v/>
      </c>
      <c r="L14">
        <f>COUNTIFS(DATA!$AO:$AO,$A14)</f>
        <v/>
      </c>
      <c r="M14">
        <f>COUNTIFS(DATA!$AO:$AO,$A14,DATA!$AH:$AH,1)</f>
        <v/>
      </c>
      <c r="N14" s="19">
        <f>IFERROR(1-M14/L14,"")</f>
        <v/>
      </c>
      <c r="O14" s="20">
        <f>IFERROR(AVERAGEIFS(DATA!$CW:$CW,DATA!$CN:$CN,$A14),"")</f>
        <v/>
      </c>
    </row>
    <row r="15">
      <c r="A15" t="inlineStr">
        <is>
          <t>Clove Tea-Tree</t>
        </is>
      </c>
      <c r="B15">
        <f>COUNTIFS(DATA!$AO:$AO,$A15,DATA!$AR:$AR,"Cold Winter")+COUNTIFS(DATA!$AX:$AX,$A15,DATA!$BA:$BA,"Cold Winter")+COUNTIFS(DATA!$BG:$BG,$A15,DATA!$BJ:$BJ,"Cold Winter")+COUNTIFS(DATA!$BP:$BP,$A15,DATA!$BS:$BS,"Cold Winter")+COUNTIFS(DATA!$BY:$BY,$A15,DATA!$CB:$CB,"Cold Winter")+COUNTIFS(DATA!$CH:$CH,$A15,DATA!$CK:$CK,"Cold Winter")</f>
        <v/>
      </c>
      <c r="C15">
        <f>COUNTIFS(DATA!$AO:$AO,$A15,DATA!$AR:$AR,"Hot Dry")+COUNTIFS(DATA!$AX:$AX,$A15,DATA!$BA:$BA,"Hot Dry")+COUNTIFS(DATA!$BG:$BG,$A15,DATA!$BJ:$BJ,"Hot Dry")+COUNTIFS(DATA!$BP:$BP,$A15,DATA!$BS:$BS,"Hot Dry")+COUNTIFS(DATA!$BY:$BY,$A15,DATA!$CB:$CB,"Hot Dry")+COUNTIFS(DATA!$CH:$CH,$A15,DATA!$CK:$CK,"Hot Dry")</f>
        <v/>
      </c>
      <c r="D15">
        <f>COUNTIFS(DATA!$AO:$AO,$A15,DATA!$AR:$AR,"Hot Humid")+COUNTIFS(DATA!$AX:$AX,$A15,DATA!$BA:$BA,"Hot Humid")+COUNTIFS(DATA!$BG:$BG,$A15,DATA!$BJ:$BJ,"Hot Humid")+COUNTIFS(DATA!$BP:$BP,$A15,DATA!$BS:$BS,"Hot Humid")+COUNTIFS(DATA!$BY:$BY,$A15,DATA!$CB:$CB,"Hot Humid")+COUNTIFS(DATA!$CH:$CH,$A15,DATA!$CK:$CK,"Hot Humid")</f>
        <v/>
      </c>
      <c r="E15">
        <f>COUNTIFS(DATA!$AO:$AO,$A15,DATA!$AR:$AR,"Post-Monsoon")+COUNTIFS(DATA!$AX:$AX,$A15,DATA!$BA:$BA,"Post-Monsoon")+COUNTIFS(DATA!$BG:$BG,$A15,DATA!$BJ:$BJ,"Post-Monsoon")+COUNTIFS(DATA!$BP:$BP,$A15,DATA!$BS:$BS,"Post-Monsoon")+COUNTIFS(DATA!$BY:$BY,$A15,DATA!$CB:$CB,"Post-Monsoon")+COUNTIFS(DATA!$CH:$CH,$A15,DATA!$CK:$CK,"Post-Monsoon")</f>
        <v/>
      </c>
      <c r="F15">
        <f>SUM(B15:E15)</f>
        <v/>
      </c>
      <c r="G15">
        <f>IF(F15=0,"—",INDEX({"Cold Winter";"Hot Dry";"Hot Humid";"Post-Monsoon"},MATCH(MAX(B15:E15),B15:E15,0)))</f>
        <v/>
      </c>
      <c r="H15" s="19">
        <f>IFERROR(MAX(B15:E15)/F15,"")</f>
        <v/>
      </c>
      <c r="I15">
        <f>IFERROR(VLOOKUP($A15,DECODE!$K$3:$L$21,2,FALSE),"")</f>
        <v/>
      </c>
      <c r="J15">
        <f>IF(OR(I15="Non-Seasonal",I15="Gel"),"—",IF(G15=I15,"Matches","No Match"))</f>
        <v/>
      </c>
      <c r="K15">
        <f>IF(J15="—",IF(I15="Gel","—","Evergreen"),IF(H15&gt;=0.4,"Highly Seasonal",IF(H15&gt;=0.3,"Moderately Seasonal","Evergreen")))</f>
        <v/>
      </c>
      <c r="L15">
        <f>COUNTIFS(DATA!$AO:$AO,$A15)</f>
        <v/>
      </c>
      <c r="M15">
        <f>COUNTIFS(DATA!$AO:$AO,$A15,DATA!$AH:$AH,1)</f>
        <v/>
      </c>
      <c r="N15" s="19">
        <f>IFERROR(1-M15/L15,"")</f>
        <v/>
      </c>
      <c r="O15" s="20">
        <f>IFERROR(AVERAGEIFS(DATA!$CW:$CW,DATA!$CN:$CN,$A15),"")</f>
        <v/>
      </c>
    </row>
    <row r="16">
      <c r="A16" t="inlineStr">
        <is>
          <t>Neem TeaTree</t>
        </is>
      </c>
      <c r="B16">
        <f>COUNTIFS(DATA!$AO:$AO,$A16,DATA!$AR:$AR,"Cold Winter")+COUNTIFS(DATA!$AX:$AX,$A16,DATA!$BA:$BA,"Cold Winter")+COUNTIFS(DATA!$BG:$BG,$A16,DATA!$BJ:$BJ,"Cold Winter")+COUNTIFS(DATA!$BP:$BP,$A16,DATA!$BS:$BS,"Cold Winter")+COUNTIFS(DATA!$BY:$BY,$A16,DATA!$CB:$CB,"Cold Winter")+COUNTIFS(DATA!$CH:$CH,$A16,DATA!$CK:$CK,"Cold Winter")</f>
        <v/>
      </c>
      <c r="C16">
        <f>COUNTIFS(DATA!$AO:$AO,$A16,DATA!$AR:$AR,"Hot Dry")+COUNTIFS(DATA!$AX:$AX,$A16,DATA!$BA:$BA,"Hot Dry")+COUNTIFS(DATA!$BG:$BG,$A16,DATA!$BJ:$BJ,"Hot Dry")+COUNTIFS(DATA!$BP:$BP,$A16,DATA!$BS:$BS,"Hot Dry")+COUNTIFS(DATA!$BY:$BY,$A16,DATA!$CB:$CB,"Hot Dry")+COUNTIFS(DATA!$CH:$CH,$A16,DATA!$CK:$CK,"Hot Dry")</f>
        <v/>
      </c>
      <c r="D16">
        <f>COUNTIFS(DATA!$AO:$AO,$A16,DATA!$AR:$AR,"Hot Humid")+COUNTIFS(DATA!$AX:$AX,$A16,DATA!$BA:$BA,"Hot Humid")+COUNTIFS(DATA!$BG:$BG,$A16,DATA!$BJ:$BJ,"Hot Humid")+COUNTIFS(DATA!$BP:$BP,$A16,DATA!$BS:$BS,"Hot Humid")+COUNTIFS(DATA!$BY:$BY,$A16,DATA!$CB:$CB,"Hot Humid")+COUNTIFS(DATA!$CH:$CH,$A16,DATA!$CK:$CK,"Hot Humid")</f>
        <v/>
      </c>
      <c r="E16">
        <f>COUNTIFS(DATA!$AO:$AO,$A16,DATA!$AR:$AR,"Post-Monsoon")+COUNTIFS(DATA!$AX:$AX,$A16,DATA!$BA:$BA,"Post-Monsoon")+COUNTIFS(DATA!$BG:$BG,$A16,DATA!$BJ:$BJ,"Post-Monsoon")+COUNTIFS(DATA!$BP:$BP,$A16,DATA!$BS:$BS,"Post-Monsoon")+COUNTIFS(DATA!$BY:$BY,$A16,DATA!$CB:$CB,"Post-Monsoon")+COUNTIFS(DATA!$CH:$CH,$A16,DATA!$CK:$CK,"Post-Monsoon")</f>
        <v/>
      </c>
      <c r="F16">
        <f>SUM(B16:E16)</f>
        <v/>
      </c>
      <c r="G16">
        <f>IF(F16=0,"—",INDEX({"Cold Winter";"Hot Dry";"Hot Humid";"Post-Monsoon"},MATCH(MAX(B16:E16),B16:E16,0)))</f>
        <v/>
      </c>
      <c r="H16" s="19">
        <f>IFERROR(MAX(B16:E16)/F16,"")</f>
        <v/>
      </c>
      <c r="I16">
        <f>IFERROR(VLOOKUP($A16,DECODE!$K$3:$L$21,2,FALSE),"")</f>
        <v/>
      </c>
      <c r="J16">
        <f>IF(OR(I16="Non-Seasonal",I16="Gel"),"—",IF(G16=I16,"Matches","No Match"))</f>
        <v/>
      </c>
      <c r="K16">
        <f>IF(J16="—",IF(I16="Gel","—","Evergreen"),IF(H16&gt;=0.4,"Highly Seasonal",IF(H16&gt;=0.3,"Moderately Seasonal","Evergreen")))</f>
        <v/>
      </c>
      <c r="L16">
        <f>COUNTIFS(DATA!$AO:$AO,$A16)</f>
        <v/>
      </c>
      <c r="M16">
        <f>COUNTIFS(DATA!$AO:$AO,$A16,DATA!$AH:$AH,1)</f>
        <v/>
      </c>
      <c r="N16" s="19">
        <f>IFERROR(1-M16/L16,"")</f>
        <v/>
      </c>
      <c r="O16" s="20">
        <f>IFERROR(AVERAGEIFS(DATA!$CW:$CW,DATA!$CN:$CN,$A16),"")</f>
        <v/>
      </c>
    </row>
    <row r="17">
      <c r="A17" t="inlineStr">
        <is>
          <t>Aloe Cactus Hydra Lift</t>
        </is>
      </c>
      <c r="B17">
        <f>COUNTIFS(DATA!$AO:$AO,$A17,DATA!$AR:$AR,"Cold Winter")+COUNTIFS(DATA!$AX:$AX,$A17,DATA!$BA:$BA,"Cold Winter")+COUNTIFS(DATA!$BG:$BG,$A17,DATA!$BJ:$BJ,"Cold Winter")+COUNTIFS(DATA!$BP:$BP,$A17,DATA!$BS:$BS,"Cold Winter")+COUNTIFS(DATA!$BY:$BY,$A17,DATA!$CB:$CB,"Cold Winter")+COUNTIFS(DATA!$CH:$CH,$A17,DATA!$CK:$CK,"Cold Winter")</f>
        <v/>
      </c>
      <c r="C17">
        <f>COUNTIFS(DATA!$AO:$AO,$A17,DATA!$AR:$AR,"Hot Dry")+COUNTIFS(DATA!$AX:$AX,$A17,DATA!$BA:$BA,"Hot Dry")+COUNTIFS(DATA!$BG:$BG,$A17,DATA!$BJ:$BJ,"Hot Dry")+COUNTIFS(DATA!$BP:$BP,$A17,DATA!$BS:$BS,"Hot Dry")+COUNTIFS(DATA!$BY:$BY,$A17,DATA!$CB:$CB,"Hot Dry")+COUNTIFS(DATA!$CH:$CH,$A17,DATA!$CK:$CK,"Hot Dry")</f>
        <v/>
      </c>
      <c r="D17">
        <f>COUNTIFS(DATA!$AO:$AO,$A17,DATA!$AR:$AR,"Hot Humid")+COUNTIFS(DATA!$AX:$AX,$A17,DATA!$BA:$BA,"Hot Humid")+COUNTIFS(DATA!$BG:$BG,$A17,DATA!$BJ:$BJ,"Hot Humid")+COUNTIFS(DATA!$BP:$BP,$A17,DATA!$BS:$BS,"Hot Humid")+COUNTIFS(DATA!$BY:$BY,$A17,DATA!$CB:$CB,"Hot Humid")+COUNTIFS(DATA!$CH:$CH,$A17,DATA!$CK:$CK,"Hot Humid")</f>
        <v/>
      </c>
      <c r="E17">
        <f>COUNTIFS(DATA!$AO:$AO,$A17,DATA!$AR:$AR,"Post-Monsoon")+COUNTIFS(DATA!$AX:$AX,$A17,DATA!$BA:$BA,"Post-Monsoon")+COUNTIFS(DATA!$BG:$BG,$A17,DATA!$BJ:$BJ,"Post-Monsoon")+COUNTIFS(DATA!$BP:$BP,$A17,DATA!$BS:$BS,"Post-Monsoon")+COUNTIFS(DATA!$BY:$BY,$A17,DATA!$CB:$CB,"Post-Monsoon")+COUNTIFS(DATA!$CH:$CH,$A17,DATA!$CK:$CK,"Post-Monsoon")</f>
        <v/>
      </c>
      <c r="F17">
        <f>SUM(B17:E17)</f>
        <v/>
      </c>
      <c r="G17">
        <f>IF(F17=0,"—",INDEX({"Cold Winter";"Hot Dry";"Hot Humid";"Post-Monsoon"},MATCH(MAX(B17:E17),B17:E17,0)))</f>
        <v/>
      </c>
      <c r="H17" s="19">
        <f>IFERROR(MAX(B17:E17)/F17,"")</f>
        <v/>
      </c>
      <c r="I17">
        <f>IFERROR(VLOOKUP($A17,DECODE!$K$3:$L$21,2,FALSE),"")</f>
        <v/>
      </c>
      <c r="J17">
        <f>IF(OR(I17="Non-Seasonal",I17="Gel"),"—",IF(G17=I17,"Matches","No Match"))</f>
        <v/>
      </c>
      <c r="K17">
        <f>IF(J17="—",IF(I17="Gel","—","Evergreen"),IF(H17&gt;=0.4,"Highly Seasonal",IF(H17&gt;=0.3,"Moderately Seasonal","Evergreen")))</f>
        <v/>
      </c>
      <c r="L17">
        <f>COUNTIFS(DATA!$AO:$AO,$A17)</f>
        <v/>
      </c>
      <c r="M17">
        <f>COUNTIFS(DATA!$AO:$AO,$A17,DATA!$AH:$AH,1)</f>
        <v/>
      </c>
      <c r="N17" s="19">
        <f>IFERROR(1-M17/L17,"")</f>
        <v/>
      </c>
      <c r="O17" s="20">
        <f>IFERROR(AVERAGEIFS(DATA!$CW:$CW,DATA!$CN:$CN,$A17),"")</f>
        <v/>
      </c>
    </row>
    <row r="18">
      <c r="A18" t="inlineStr">
        <is>
          <t>Olive Vit-E Night</t>
        </is>
      </c>
      <c r="B18">
        <f>COUNTIFS(DATA!$AO:$AO,$A18,DATA!$AR:$AR,"Cold Winter")+COUNTIFS(DATA!$AX:$AX,$A18,DATA!$BA:$BA,"Cold Winter")+COUNTIFS(DATA!$BG:$BG,$A18,DATA!$BJ:$BJ,"Cold Winter")+COUNTIFS(DATA!$BP:$BP,$A18,DATA!$BS:$BS,"Cold Winter")+COUNTIFS(DATA!$BY:$BY,$A18,DATA!$CB:$CB,"Cold Winter")+COUNTIFS(DATA!$CH:$CH,$A18,DATA!$CK:$CK,"Cold Winter")</f>
        <v/>
      </c>
      <c r="C18">
        <f>COUNTIFS(DATA!$AO:$AO,$A18,DATA!$AR:$AR,"Hot Dry")+COUNTIFS(DATA!$AX:$AX,$A18,DATA!$BA:$BA,"Hot Dry")+COUNTIFS(DATA!$BG:$BG,$A18,DATA!$BJ:$BJ,"Hot Dry")+COUNTIFS(DATA!$BP:$BP,$A18,DATA!$BS:$BS,"Hot Dry")+COUNTIFS(DATA!$BY:$BY,$A18,DATA!$CB:$CB,"Hot Dry")+COUNTIFS(DATA!$CH:$CH,$A18,DATA!$CK:$CK,"Hot Dry")</f>
        <v/>
      </c>
      <c r="D18">
        <f>COUNTIFS(DATA!$AO:$AO,$A18,DATA!$AR:$AR,"Hot Humid")+COUNTIFS(DATA!$AX:$AX,$A18,DATA!$BA:$BA,"Hot Humid")+COUNTIFS(DATA!$BG:$BG,$A18,DATA!$BJ:$BJ,"Hot Humid")+COUNTIFS(DATA!$BP:$BP,$A18,DATA!$BS:$BS,"Hot Humid")+COUNTIFS(DATA!$BY:$BY,$A18,DATA!$CB:$CB,"Hot Humid")+COUNTIFS(DATA!$CH:$CH,$A18,DATA!$CK:$CK,"Hot Humid")</f>
        <v/>
      </c>
      <c r="E18">
        <f>COUNTIFS(DATA!$AO:$AO,$A18,DATA!$AR:$AR,"Post-Monsoon")+COUNTIFS(DATA!$AX:$AX,$A18,DATA!$BA:$BA,"Post-Monsoon")+COUNTIFS(DATA!$BG:$BG,$A18,DATA!$BJ:$BJ,"Post-Monsoon")+COUNTIFS(DATA!$BP:$BP,$A18,DATA!$BS:$BS,"Post-Monsoon")+COUNTIFS(DATA!$BY:$BY,$A18,DATA!$CB:$CB,"Post-Monsoon")+COUNTIFS(DATA!$CH:$CH,$A18,DATA!$CK:$CK,"Post-Monsoon")</f>
        <v/>
      </c>
      <c r="F18">
        <f>SUM(B18:E18)</f>
        <v/>
      </c>
      <c r="G18">
        <f>IF(F18=0,"—",INDEX({"Cold Winter";"Hot Dry";"Hot Humid";"Post-Monsoon"},MATCH(MAX(B18:E18),B18:E18,0)))</f>
        <v/>
      </c>
      <c r="H18" s="19">
        <f>IFERROR(MAX(B18:E18)/F18,"")</f>
        <v/>
      </c>
      <c r="I18">
        <f>IFERROR(VLOOKUP($A18,DECODE!$K$3:$L$21,2,FALSE),"")</f>
        <v/>
      </c>
      <c r="J18">
        <f>IF(OR(I18="Non-Seasonal",I18="Gel"),"—",IF(G18=I18,"Matches","No Match"))</f>
        <v/>
      </c>
      <c r="K18">
        <f>IF(J18="—",IF(I18="Gel","—","Evergreen"),IF(H18&gt;=0.4,"Highly Seasonal",IF(H18&gt;=0.3,"Moderately Seasonal","Evergreen")))</f>
        <v/>
      </c>
      <c r="L18">
        <f>COUNTIFS(DATA!$AO:$AO,$A18)</f>
        <v/>
      </c>
      <c r="M18">
        <f>COUNTIFS(DATA!$AO:$AO,$A18,DATA!$AH:$AH,1)</f>
        <v/>
      </c>
      <c r="N18" s="19">
        <f>IFERROR(1-M18/L18,"")</f>
        <v/>
      </c>
      <c r="O18" s="20">
        <f>IFERROR(AVERAGEIFS(DATA!$CW:$CW,DATA!$CN:$CN,$A18),"")</f>
        <v/>
      </c>
    </row>
    <row r="19">
      <c r="A19" t="inlineStr">
        <is>
          <t>Orange Kiwi Vit-C</t>
        </is>
      </c>
      <c r="B19">
        <f>COUNTIFS(DATA!$AO:$AO,$A19,DATA!$AR:$AR,"Cold Winter")+COUNTIFS(DATA!$AX:$AX,$A19,DATA!$BA:$BA,"Cold Winter")+COUNTIFS(DATA!$BG:$BG,$A19,DATA!$BJ:$BJ,"Cold Winter")+COUNTIFS(DATA!$BP:$BP,$A19,DATA!$BS:$BS,"Cold Winter")+COUNTIFS(DATA!$BY:$BY,$A19,DATA!$CB:$CB,"Cold Winter")+COUNTIFS(DATA!$CH:$CH,$A19,DATA!$CK:$CK,"Cold Winter")</f>
        <v/>
      </c>
      <c r="C19">
        <f>COUNTIFS(DATA!$AO:$AO,$A19,DATA!$AR:$AR,"Hot Dry")+COUNTIFS(DATA!$AX:$AX,$A19,DATA!$BA:$BA,"Hot Dry")+COUNTIFS(DATA!$BG:$BG,$A19,DATA!$BJ:$BJ,"Hot Dry")+COUNTIFS(DATA!$BP:$BP,$A19,DATA!$BS:$BS,"Hot Dry")+COUNTIFS(DATA!$BY:$BY,$A19,DATA!$CB:$CB,"Hot Dry")+COUNTIFS(DATA!$CH:$CH,$A19,DATA!$CK:$CK,"Hot Dry")</f>
        <v/>
      </c>
      <c r="D19">
        <f>COUNTIFS(DATA!$AO:$AO,$A19,DATA!$AR:$AR,"Hot Humid")+COUNTIFS(DATA!$AX:$AX,$A19,DATA!$BA:$BA,"Hot Humid")+COUNTIFS(DATA!$BG:$BG,$A19,DATA!$BJ:$BJ,"Hot Humid")+COUNTIFS(DATA!$BP:$BP,$A19,DATA!$BS:$BS,"Hot Humid")+COUNTIFS(DATA!$BY:$BY,$A19,DATA!$CB:$CB,"Hot Humid")+COUNTIFS(DATA!$CH:$CH,$A19,DATA!$CK:$CK,"Hot Humid")</f>
        <v/>
      </c>
      <c r="E19">
        <f>COUNTIFS(DATA!$AO:$AO,$A19,DATA!$AR:$AR,"Post-Monsoon")+COUNTIFS(DATA!$AX:$AX,$A19,DATA!$BA:$BA,"Post-Monsoon")+COUNTIFS(DATA!$BG:$BG,$A19,DATA!$BJ:$BJ,"Post-Monsoon")+COUNTIFS(DATA!$BP:$BP,$A19,DATA!$BS:$BS,"Post-Monsoon")+COUNTIFS(DATA!$BY:$BY,$A19,DATA!$CB:$CB,"Post-Monsoon")+COUNTIFS(DATA!$CH:$CH,$A19,DATA!$CK:$CK,"Post-Monsoon")</f>
        <v/>
      </c>
      <c r="F19">
        <f>SUM(B19:E19)</f>
        <v/>
      </c>
      <c r="G19">
        <f>IF(F19=0,"—",INDEX({"Cold Winter";"Hot Dry";"Hot Humid";"Post-Monsoon"},MATCH(MAX(B19:E19),B19:E19,0)))</f>
        <v/>
      </c>
      <c r="H19" s="19">
        <f>IFERROR(MAX(B19:E19)/F19,"")</f>
        <v/>
      </c>
      <c r="I19">
        <f>IFERROR(VLOOKUP($A19,DECODE!$K$3:$L$21,2,FALSE),"")</f>
        <v/>
      </c>
      <c r="J19">
        <f>IF(OR(I19="Non-Seasonal",I19="Gel"),"—",IF(G19=I19,"Matches","No Match"))</f>
        <v/>
      </c>
      <c r="K19">
        <f>IF(J19="—",IF(I19="Gel","—","Evergreen"),IF(H19&gt;=0.4,"Highly Seasonal",IF(H19&gt;=0.3,"Moderately Seasonal","Evergreen")))</f>
        <v/>
      </c>
      <c r="L19">
        <f>COUNTIFS(DATA!$AO:$AO,$A19)</f>
        <v/>
      </c>
      <c r="M19">
        <f>COUNTIFS(DATA!$AO:$AO,$A19,DATA!$AH:$AH,1)</f>
        <v/>
      </c>
      <c r="N19" s="19">
        <f>IFERROR(1-M19/L19,"")</f>
        <v/>
      </c>
      <c r="O19" s="20">
        <f>IFERROR(AVERAGEIFS(DATA!$CW:$CW,DATA!$CN:$CN,$A19),"")</f>
        <v/>
      </c>
    </row>
    <row r="20">
      <c r="A20" t="inlineStr">
        <is>
          <t>Beetroot Tomato Vit-A</t>
        </is>
      </c>
      <c r="B20">
        <f>COUNTIFS(DATA!$AO:$AO,$A20,DATA!$AR:$AR,"Cold Winter")+COUNTIFS(DATA!$AX:$AX,$A20,DATA!$BA:$BA,"Cold Winter")+COUNTIFS(DATA!$BG:$BG,$A20,DATA!$BJ:$BJ,"Cold Winter")+COUNTIFS(DATA!$BP:$BP,$A20,DATA!$BS:$BS,"Cold Winter")+COUNTIFS(DATA!$BY:$BY,$A20,DATA!$CB:$CB,"Cold Winter")+COUNTIFS(DATA!$CH:$CH,$A20,DATA!$CK:$CK,"Cold Winter")</f>
        <v/>
      </c>
      <c r="C20">
        <f>COUNTIFS(DATA!$AO:$AO,$A20,DATA!$AR:$AR,"Hot Dry")+COUNTIFS(DATA!$AX:$AX,$A20,DATA!$BA:$BA,"Hot Dry")+COUNTIFS(DATA!$BG:$BG,$A20,DATA!$BJ:$BJ,"Hot Dry")+COUNTIFS(DATA!$BP:$BP,$A20,DATA!$BS:$BS,"Hot Dry")+COUNTIFS(DATA!$BY:$BY,$A20,DATA!$CB:$CB,"Hot Dry")+COUNTIFS(DATA!$CH:$CH,$A20,DATA!$CK:$CK,"Hot Dry")</f>
        <v/>
      </c>
      <c r="D20">
        <f>COUNTIFS(DATA!$AO:$AO,$A20,DATA!$AR:$AR,"Hot Humid")+COUNTIFS(DATA!$AX:$AX,$A20,DATA!$BA:$BA,"Hot Humid")+COUNTIFS(DATA!$BG:$BG,$A20,DATA!$BJ:$BJ,"Hot Humid")+COUNTIFS(DATA!$BP:$BP,$A20,DATA!$BS:$BS,"Hot Humid")+COUNTIFS(DATA!$BY:$BY,$A20,DATA!$CB:$CB,"Hot Humid")+COUNTIFS(DATA!$CH:$CH,$A20,DATA!$CK:$CK,"Hot Humid")</f>
        <v/>
      </c>
      <c r="E20">
        <f>COUNTIFS(DATA!$AO:$AO,$A20,DATA!$AR:$AR,"Post-Monsoon")+COUNTIFS(DATA!$AX:$AX,$A20,DATA!$BA:$BA,"Post-Monsoon")+COUNTIFS(DATA!$BG:$BG,$A20,DATA!$BJ:$BJ,"Post-Monsoon")+COUNTIFS(DATA!$BP:$BP,$A20,DATA!$BS:$BS,"Post-Monsoon")+COUNTIFS(DATA!$BY:$BY,$A20,DATA!$CB:$CB,"Post-Monsoon")+COUNTIFS(DATA!$CH:$CH,$A20,DATA!$CK:$CK,"Post-Monsoon")</f>
        <v/>
      </c>
      <c r="F20">
        <f>SUM(B20:E20)</f>
        <v/>
      </c>
      <c r="G20">
        <f>IF(F20=0,"—",INDEX({"Cold Winter";"Hot Dry";"Hot Humid";"Post-Monsoon"},MATCH(MAX(B20:E20),B20:E20,0)))</f>
        <v/>
      </c>
      <c r="H20" s="19">
        <f>IFERROR(MAX(B20:E20)/F20,"")</f>
        <v/>
      </c>
      <c r="I20">
        <f>IFERROR(VLOOKUP($A20,DECODE!$K$3:$L$21,2,FALSE),"")</f>
        <v/>
      </c>
      <c r="J20">
        <f>IF(OR(I20="Non-Seasonal",I20="Gel"),"—",IF(G20=I20,"Matches","No Match"))</f>
        <v/>
      </c>
      <c r="K20">
        <f>IF(J20="—",IF(I20="Gel","—","Evergreen"),IF(H20&gt;=0.4,"Highly Seasonal",IF(H20&gt;=0.3,"Moderately Seasonal","Evergreen")))</f>
        <v/>
      </c>
      <c r="L20">
        <f>COUNTIFS(DATA!$AO:$AO,$A20)</f>
        <v/>
      </c>
      <c r="M20">
        <f>COUNTIFS(DATA!$AO:$AO,$A20,DATA!$AH:$AH,1)</f>
        <v/>
      </c>
      <c r="N20" s="19">
        <f>IFERROR(1-M20/L20,"")</f>
        <v/>
      </c>
      <c r="O20" s="20">
        <f>IFERROR(AVERAGEIFS(DATA!$CW:$CW,DATA!$CN:$CN,$A20),"")</f>
        <v/>
      </c>
    </row>
    <row r="21">
      <c r="A21" t="inlineStr">
        <is>
          <t>Aloe Vera</t>
        </is>
      </c>
      <c r="B21">
        <f>COUNTIFS(DATA!$AO:$AO,$A21,DATA!$AR:$AR,"Cold Winter")+COUNTIFS(DATA!$AX:$AX,$A21,DATA!$BA:$BA,"Cold Winter")+COUNTIFS(DATA!$BG:$BG,$A21,DATA!$BJ:$BJ,"Cold Winter")+COUNTIFS(DATA!$BP:$BP,$A21,DATA!$BS:$BS,"Cold Winter")+COUNTIFS(DATA!$BY:$BY,$A21,DATA!$CB:$CB,"Cold Winter")+COUNTIFS(DATA!$CH:$CH,$A21,DATA!$CK:$CK,"Cold Winter")</f>
        <v/>
      </c>
      <c r="C21">
        <f>COUNTIFS(DATA!$AO:$AO,$A21,DATA!$AR:$AR,"Hot Dry")+COUNTIFS(DATA!$AX:$AX,$A21,DATA!$BA:$BA,"Hot Dry")+COUNTIFS(DATA!$BG:$BG,$A21,DATA!$BJ:$BJ,"Hot Dry")+COUNTIFS(DATA!$BP:$BP,$A21,DATA!$BS:$BS,"Hot Dry")+COUNTIFS(DATA!$BY:$BY,$A21,DATA!$CB:$CB,"Hot Dry")+COUNTIFS(DATA!$CH:$CH,$A21,DATA!$CK:$CK,"Hot Dry")</f>
        <v/>
      </c>
      <c r="D21">
        <f>COUNTIFS(DATA!$AO:$AO,$A21,DATA!$AR:$AR,"Hot Humid")+COUNTIFS(DATA!$AX:$AX,$A21,DATA!$BA:$BA,"Hot Humid")+COUNTIFS(DATA!$BG:$BG,$A21,DATA!$BJ:$BJ,"Hot Humid")+COUNTIFS(DATA!$BP:$BP,$A21,DATA!$BS:$BS,"Hot Humid")+COUNTIFS(DATA!$BY:$BY,$A21,DATA!$CB:$CB,"Hot Humid")+COUNTIFS(DATA!$CH:$CH,$A21,DATA!$CK:$CK,"Hot Humid")</f>
        <v/>
      </c>
      <c r="E21">
        <f>COUNTIFS(DATA!$AO:$AO,$A21,DATA!$AR:$AR,"Post-Monsoon")+COUNTIFS(DATA!$AX:$AX,$A21,DATA!$BA:$BA,"Post-Monsoon")+COUNTIFS(DATA!$BG:$BG,$A21,DATA!$BJ:$BJ,"Post-Monsoon")+COUNTIFS(DATA!$BP:$BP,$A21,DATA!$BS:$BS,"Post-Monsoon")+COUNTIFS(DATA!$BY:$BY,$A21,DATA!$CB:$CB,"Post-Monsoon")+COUNTIFS(DATA!$CH:$CH,$A21,DATA!$CK:$CK,"Post-Monsoon")</f>
        <v/>
      </c>
      <c r="F21">
        <f>SUM(B21:E21)</f>
        <v/>
      </c>
      <c r="G21">
        <f>IF(F21=0,"—",INDEX({"Cold Winter";"Hot Dry";"Hot Humid";"Post-Monsoon"},MATCH(MAX(B21:E21),B21:E21,0)))</f>
        <v/>
      </c>
      <c r="H21" s="19">
        <f>IFERROR(MAX(B21:E21)/F21,"")</f>
        <v/>
      </c>
      <c r="I21">
        <f>IFERROR(VLOOKUP($A21,DECODE!$K$3:$L$21,2,FALSE),"")</f>
        <v/>
      </c>
      <c r="J21">
        <f>IF(OR(I21="Non-Seasonal",I21="Gel"),"—",IF(G21=I21,"Matches","No Match"))</f>
        <v/>
      </c>
      <c r="K21">
        <f>IF(J21="—",IF(I21="Gel","—","Evergreen"),IF(H21&gt;=0.4,"Highly Seasonal",IF(H21&gt;=0.3,"Moderately Seasonal","Evergreen")))</f>
        <v/>
      </c>
      <c r="L21">
        <f>COUNTIFS(DATA!$AO:$AO,$A21)</f>
        <v/>
      </c>
      <c r="M21">
        <f>COUNTIFS(DATA!$AO:$AO,$A21,DATA!$AH:$AH,1)</f>
        <v/>
      </c>
      <c r="N21" s="19">
        <f>IFERROR(1-M21/L21,"")</f>
        <v/>
      </c>
      <c r="O21" s="20">
        <f>IFERROR(AVERAGEIFS(DATA!$CW:$CW,DATA!$CN:$CN,$A21),"")</f>
        <v/>
      </c>
    </row>
    <row r="22">
      <c r="B22" s="5">
        <f>SUM(B3:B21)</f>
        <v/>
      </c>
      <c r="C22" s="5">
        <f>SUM(C3:C21)</f>
        <v/>
      </c>
      <c r="D22" s="5">
        <f>SUM(D3:D21)</f>
        <v/>
      </c>
      <c r="E22" s="5">
        <f>SUM(E3:E21)</f>
        <v/>
      </c>
      <c r="F22" s="5">
        <f>SUM(F3:F21)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GRAMMAGE TRANSITIONS — entry SKU → 2nd order (whole workbook)</t>
        </is>
      </c>
    </row>
    <row r="3">
      <c r="A3" s="18" t="inlineStr">
        <is>
          <t>Category</t>
        </is>
      </c>
      <c r="B3" s="18" t="inlineStr">
        <is>
          <t>Entry Size</t>
        </is>
      </c>
      <c r="C3" s="18" t="inlineStr">
        <is>
          <t>Total Next Purchases</t>
        </is>
      </c>
      <c r="D3" s="18" t="inlineStr">
        <is>
          <t>Repeat Exact Same</t>
        </is>
      </c>
      <c r="E3" s="18" t="inlineStr">
        <is>
          <t>Repeat %</t>
        </is>
      </c>
      <c r="F3" s="18" t="inlineStr">
        <is>
          <t>Upsized</t>
        </is>
      </c>
      <c r="G3" s="18" t="inlineStr">
        <is>
          <t>Upsize %</t>
        </is>
      </c>
      <c r="H3" s="18" t="inlineStr">
        <is>
          <t>Lateral</t>
        </is>
      </c>
      <c r="I3" s="18" t="inlineStr">
        <is>
          <t>Downsize</t>
        </is>
      </c>
      <c r="J3" s="18" t="inlineStr">
        <is>
          <t>Downsize %</t>
        </is>
      </c>
      <c r="K3" s="18" t="inlineStr">
        <is>
          <t>Same Size Diff Variant</t>
        </is>
      </c>
      <c r="L3" s="18" t="inlineStr">
        <is>
          <t>FM30→FM50</t>
        </is>
      </c>
      <c r="M3" s="18" t="inlineStr">
        <is>
          <t>FM30→AG50</t>
        </is>
      </c>
      <c r="N3" s="18" t="inlineStr">
        <is>
          <t>FM50→FM30</t>
        </is>
      </c>
      <c r="O3" s="18" t="inlineStr">
        <is>
          <t>AG50→FM30</t>
        </is>
      </c>
    </row>
    <row r="4">
      <c r="A4" t="inlineStr">
        <is>
          <t>Face Malai</t>
        </is>
      </c>
      <c r="B4" t="n">
        <v>30</v>
      </c>
      <c r="C4">
        <f>COUNTIFS(DATA!$CM:$CM,"Face Malai",DATA!$CO:$CO,30,DATA!$CQ:$CQ,1)</f>
        <v/>
      </c>
      <c r="D4">
        <f>COUNTIFS(DATA!$CM:$CM,"Face Malai",DATA!$CO:$CO,30,DATA!$CQ:$CQ,1,DATA!$CV:$CV,"Repeat Exact")</f>
        <v/>
      </c>
      <c r="E4" s="19">
        <f>IFERROR(D4/C4,"")</f>
        <v/>
      </c>
      <c r="F4">
        <f>COUNTIFS(DATA!$CM:$CM,"Face Malai",DATA!$CO:$CO,30,DATA!$CQ:$CQ,1,DATA!$CV:$CV,"Upsized")</f>
        <v/>
      </c>
      <c r="G4" s="19">
        <f>IFERROR(F4/C4,"")</f>
        <v/>
      </c>
      <c r="H4">
        <f>COUNTIFS(DATA!$CM:$CM,"Face Malai",DATA!$CO:$CO,30,DATA!$CQ:$CQ,1,DATA!$CV:$CV,"Lateral")</f>
        <v/>
      </c>
      <c r="I4">
        <f>COUNTIFS(DATA!$CM:$CM,"Face Malai",DATA!$CO:$CO,30,DATA!$CQ:$CQ,1,DATA!$CV:$CV,"Downsized")</f>
        <v/>
      </c>
      <c r="J4" s="19">
        <f>IFERROR(I4/C4,"")</f>
        <v/>
      </c>
      <c r="K4">
        <f>COUNTIFS(DATA!$CM:$CM,"Face Malai",DATA!$CO:$CO,30,DATA!$CQ:$CQ,1,DATA!$CV:$CV,"Same Size Diff Variant")</f>
        <v/>
      </c>
      <c r="L4">
        <f>COUNTIFS(DATA!$CM:$CM,"Face Malai",DATA!$CO:$CO,30,DATA!$CR:$CR,"Face Malai",DATA!$CT:$CT,50)</f>
        <v/>
      </c>
      <c r="M4">
        <f>COUNTIFS(DATA!$CM:$CM,"Face Malai",DATA!$CO:$CO,30,DATA!$CR:$CR,"Active Gel",DATA!$CT:$CT,50)</f>
        <v/>
      </c>
    </row>
    <row r="5">
      <c r="A5" t="inlineStr">
        <is>
          <t>Face Malai</t>
        </is>
      </c>
      <c r="B5" t="n">
        <v>50</v>
      </c>
      <c r="C5">
        <f>COUNTIFS(DATA!$CM:$CM,"Face Malai",DATA!$CO:$CO,50,DATA!$CQ:$CQ,1)</f>
        <v/>
      </c>
      <c r="D5">
        <f>COUNTIFS(DATA!$CM:$CM,"Face Malai",DATA!$CO:$CO,50,DATA!$CQ:$CQ,1,DATA!$CV:$CV,"Repeat Exact")</f>
        <v/>
      </c>
      <c r="E5" s="19">
        <f>IFERROR(D5/C5,"")</f>
        <v/>
      </c>
      <c r="F5">
        <f>COUNTIFS(DATA!$CM:$CM,"Face Malai",DATA!$CO:$CO,50,DATA!$CQ:$CQ,1,DATA!$CV:$CV,"Upsized")</f>
        <v/>
      </c>
      <c r="G5" s="19">
        <f>IFERROR(F5/C5,"")</f>
        <v/>
      </c>
      <c r="H5">
        <f>COUNTIFS(DATA!$CM:$CM,"Face Malai",DATA!$CO:$CO,50,DATA!$CQ:$CQ,1,DATA!$CV:$CV,"Lateral")</f>
        <v/>
      </c>
      <c r="I5">
        <f>COUNTIFS(DATA!$CM:$CM,"Face Malai",DATA!$CO:$CO,50,DATA!$CQ:$CQ,1,DATA!$CV:$CV,"Downsized")</f>
        <v/>
      </c>
      <c r="J5" s="19">
        <f>IFERROR(I5/C5,"")</f>
        <v/>
      </c>
      <c r="K5">
        <f>COUNTIFS(DATA!$CM:$CM,"Face Malai",DATA!$CO:$CO,50,DATA!$CQ:$CQ,1,DATA!$CV:$CV,"Same Size Diff Variant")</f>
        <v/>
      </c>
      <c r="N5">
        <f>COUNTIFS(DATA!$CM:$CM,"Face Malai",DATA!$CO:$CO,50,DATA!$CR:$CR,"Face Malai",DATA!$CT:$CT,30)</f>
        <v/>
      </c>
    </row>
    <row r="6">
      <c r="A6" t="inlineStr">
        <is>
          <t>Active Gel</t>
        </is>
      </c>
      <c r="B6" t="n">
        <v>50</v>
      </c>
      <c r="C6">
        <f>COUNTIFS(DATA!$CM:$CM,"Active Gel",DATA!$CO:$CO,50,DATA!$CQ:$CQ,1)</f>
        <v/>
      </c>
      <c r="D6">
        <f>COUNTIFS(DATA!$CM:$CM,"Active Gel",DATA!$CO:$CO,50,DATA!$CQ:$CQ,1,DATA!$CV:$CV,"Repeat Exact")</f>
        <v/>
      </c>
      <c r="E6" s="19">
        <f>IFERROR(D6/C6,"")</f>
        <v/>
      </c>
      <c r="F6">
        <f>COUNTIFS(DATA!$CM:$CM,"Active Gel",DATA!$CO:$CO,50,DATA!$CQ:$CQ,1,DATA!$CV:$CV,"Upsized")</f>
        <v/>
      </c>
      <c r="G6" s="19">
        <f>IFERROR(F6/C6,"")</f>
        <v/>
      </c>
      <c r="H6">
        <f>COUNTIFS(DATA!$CM:$CM,"Active Gel",DATA!$CO:$CO,50,DATA!$CQ:$CQ,1,DATA!$CV:$CV,"Lateral")</f>
        <v/>
      </c>
      <c r="I6">
        <f>COUNTIFS(DATA!$CM:$CM,"Active Gel",DATA!$CO:$CO,50,DATA!$CQ:$CQ,1,DATA!$CV:$CV,"Downsized")</f>
        <v/>
      </c>
      <c r="J6" s="19">
        <f>IFERROR(I6/C6,"")</f>
        <v/>
      </c>
      <c r="K6">
        <f>COUNTIFS(DATA!$CM:$CM,"Active Gel",DATA!$CO:$CO,50,DATA!$CQ:$CQ,1,DATA!$CV:$CV,"Same Size Diff Variant")</f>
        <v/>
      </c>
      <c r="O6">
        <f>COUNTIFS(DATA!$CM:$CM,"Active Gel",DATA!$CO:$CO,50,DATA!$CR:$CR,"Face Malai",DATA!$CT:$CT,30)</f>
        <v/>
      </c>
    </row>
    <row r="7">
      <c r="A7" t="inlineStr">
        <is>
          <t>Aloe Vera Gel</t>
        </is>
      </c>
      <c r="B7" t="n">
        <v>40</v>
      </c>
      <c r="C7">
        <f>COUNTIFS(DATA!$CM:$CM,"Aloe Vera Gel",DATA!$CO:$CO,40,DATA!$CQ:$CQ,1)</f>
        <v/>
      </c>
      <c r="D7">
        <f>COUNTIFS(DATA!$CM:$CM,"Aloe Vera Gel",DATA!$CO:$CO,40,DATA!$CQ:$CQ,1,DATA!$CV:$CV,"Repeat Exact")</f>
        <v/>
      </c>
      <c r="E7" s="19">
        <f>IFERROR(D7/C7,"")</f>
        <v/>
      </c>
      <c r="F7">
        <f>COUNTIFS(DATA!$CM:$CM,"Aloe Vera Gel",DATA!$CO:$CO,40,DATA!$CQ:$CQ,1,DATA!$CV:$CV,"Upsized")</f>
        <v/>
      </c>
      <c r="G7" s="19">
        <f>IFERROR(F7/C7,"")</f>
        <v/>
      </c>
      <c r="H7">
        <f>COUNTIFS(DATA!$CM:$CM,"Aloe Vera Gel",DATA!$CO:$CO,40,DATA!$CQ:$CQ,1,DATA!$CV:$CV,"Lateral")</f>
        <v/>
      </c>
      <c r="I7">
        <f>COUNTIFS(DATA!$CM:$CM,"Aloe Vera Gel",DATA!$CO:$CO,40,DATA!$CQ:$CQ,1,DATA!$CV:$CV,"Downsized")</f>
        <v/>
      </c>
      <c r="J7" s="19">
        <f>IFERROR(I7/C7,"")</f>
        <v/>
      </c>
      <c r="K7">
        <f>COUNTIFS(DATA!$CM:$CM,"Aloe Vera Gel",DATA!$CO:$CO,40,DATA!$CQ:$CQ,1,DATA!$CV:$CV,"Same Size Diff Variant")</f>
        <v/>
      </c>
    </row>
    <row r="8">
      <c r="A8" t="inlineStr">
        <is>
          <t>Aloe Vera Gel</t>
        </is>
      </c>
      <c r="B8" t="n">
        <v>80</v>
      </c>
      <c r="C8">
        <f>COUNTIFS(DATA!$CM:$CM,"Aloe Vera Gel",DATA!$CO:$CO,80,DATA!$CQ:$CQ,1)</f>
        <v/>
      </c>
      <c r="D8">
        <f>COUNTIFS(DATA!$CM:$CM,"Aloe Vera Gel",DATA!$CO:$CO,80,DATA!$CQ:$CQ,1,DATA!$CV:$CV,"Repeat Exact")</f>
        <v/>
      </c>
      <c r="E8" s="19">
        <f>IFERROR(D8/C8,"")</f>
        <v/>
      </c>
      <c r="F8">
        <f>COUNTIFS(DATA!$CM:$CM,"Aloe Vera Gel",DATA!$CO:$CO,80,DATA!$CQ:$CQ,1,DATA!$CV:$CV,"Upsized")</f>
        <v/>
      </c>
      <c r="G8" s="19">
        <f>IFERROR(F8/C8,"")</f>
        <v/>
      </c>
      <c r="H8">
        <f>COUNTIFS(DATA!$CM:$CM,"Aloe Vera Gel",DATA!$CO:$CO,80,DATA!$CQ:$CQ,1,DATA!$CV:$CV,"Lateral")</f>
        <v/>
      </c>
      <c r="I8">
        <f>COUNTIFS(DATA!$CM:$CM,"Aloe Vera Gel",DATA!$CO:$CO,80,DATA!$CQ:$CQ,1,DATA!$CV:$CV,"Downsized")</f>
        <v/>
      </c>
      <c r="J8" s="19">
        <f>IFERROR(I8/C8,"")</f>
        <v/>
      </c>
      <c r="K8">
        <f>COUNTIFS(DATA!$CM:$CM,"Aloe Vera Gel",DATA!$CO:$CO,80,DATA!$CQ:$CQ,1,DATA!$CV:$CV,"Same Size Diff Variant")</f>
        <v/>
      </c>
    </row>
    <row r="9">
      <c r="A9" s="5" t="inlineStr">
        <is>
          <t>TOTAL</t>
        </is>
      </c>
      <c r="C9" s="5">
        <f>SUM(C4:C8)</f>
        <v/>
      </c>
      <c r="D9" s="5">
        <f>SUM(D4:D8)</f>
        <v/>
      </c>
      <c r="E9" s="21">
        <f>IFERROR(D9/C9,"")</f>
        <v/>
      </c>
      <c r="F9" s="5">
        <f>SUM(F4:F8)</f>
        <v/>
      </c>
      <c r="G9" s="21">
        <f>IFERROR(F9/C9,"")</f>
        <v/>
      </c>
      <c r="H9" s="5">
        <f>SUM(H4:H8)</f>
        <v/>
      </c>
      <c r="I9" s="5">
        <f>SUM(I4:I8)</f>
        <v/>
      </c>
      <c r="J9" s="21">
        <f>IFERROR(I9/C9,"")</f>
        <v/>
      </c>
      <c r="K9" s="5">
        <f>SUM(K4:K8)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category_first</t>
        </is>
      </c>
      <c r="C1" s="22" t="inlineStr">
        <is>
          <t>category_2nd</t>
        </is>
      </c>
      <c r="D1" s="22" t="inlineStr">
        <is>
          <t>category_3rd</t>
        </is>
      </c>
      <c r="E1" s="22" t="inlineStr">
        <is>
          <t>category_4th</t>
        </is>
      </c>
      <c r="F1" s="22" t="inlineStr">
        <is>
          <t>category_5th</t>
        </is>
      </c>
      <c r="G1" s="22" t="inlineStr">
        <is>
          <t>category_6th</t>
        </is>
      </c>
      <c r="H1" s="22" t="inlineStr">
        <is>
          <t>first_purchased_short_code</t>
        </is>
      </c>
      <c r="I1" s="22" t="inlineStr">
        <is>
          <t>second_purchased_short_code</t>
        </is>
      </c>
      <c r="J1" s="22" t="inlineStr">
        <is>
          <t>third_purchased_short_code</t>
        </is>
      </c>
      <c r="K1" s="22" t="inlineStr">
        <is>
          <t>fourth_purchased_short_code</t>
        </is>
      </c>
      <c r="L1" s="22" t="inlineStr">
        <is>
          <t>fifth_purchased_short_code</t>
        </is>
      </c>
      <c r="M1" s="22" t="inlineStr">
        <is>
          <t>sixth_purchased_short_code</t>
        </is>
      </c>
      <c r="N1" s="22" t="inlineStr">
        <is>
          <t>first_purchased_sku</t>
        </is>
      </c>
      <c r="O1" s="22" t="inlineStr">
        <is>
          <t>second_purchased_sku</t>
        </is>
      </c>
      <c r="P1" s="22" t="inlineStr">
        <is>
          <t>third_purchased_sku</t>
        </is>
      </c>
      <c r="Q1" s="22" t="inlineStr">
        <is>
          <t>fourth_purchased_sku</t>
        </is>
      </c>
      <c r="R1" s="22" t="inlineStr">
        <is>
          <t>fifth_purchased_sku</t>
        </is>
      </c>
      <c r="S1" s="22" t="inlineStr">
        <is>
          <t>sixth_purchased_sku</t>
        </is>
      </c>
      <c r="T1" s="22" t="inlineStr">
        <is>
          <t>first_order_date</t>
        </is>
      </c>
      <c r="U1" s="22" t="inlineStr">
        <is>
          <t>second_order_date</t>
        </is>
      </c>
      <c r="V1" s="22" t="inlineStr">
        <is>
          <t>third_order_date</t>
        </is>
      </c>
      <c r="W1" s="22" t="inlineStr">
        <is>
          <t>fourth_order_date</t>
        </is>
      </c>
      <c r="X1" s="22" t="inlineStr">
        <is>
          <t>fifth_order_date</t>
        </is>
      </c>
      <c r="Y1" s="22" t="inlineStr">
        <is>
          <t>sixth_order_date</t>
        </is>
      </c>
      <c r="Z1" s="22" t="inlineStr">
        <is>
          <t>days_between_1st_and_2nd</t>
        </is>
      </c>
      <c r="AA1" s="22" t="inlineStr">
        <is>
          <t>days_between_2nd_and_3rd</t>
        </is>
      </c>
      <c r="AB1" s="22" t="inlineStr">
        <is>
          <t>days_between_3rd_and_4th</t>
        </is>
      </c>
      <c r="AC1" s="22" t="inlineStr">
        <is>
          <t>days_between_4th_and_5th</t>
        </is>
      </c>
      <c r="AD1" s="22" t="inlineStr">
        <is>
          <t>days_between_5th_and_6th</t>
        </is>
      </c>
      <c r="AE1" s="22" t="inlineStr">
        <is>
          <t>city</t>
        </is>
      </c>
      <c r="AF1" s="22" t="inlineStr">
        <is>
          <t>Month-Year</t>
        </is>
      </c>
      <c r="AG1" s="22" t="inlineStr">
        <is>
          <t xml:space="preserve">Month Number </t>
        </is>
      </c>
      <c r="AH1" s="22" t="inlineStr">
        <is>
          <t>Journey Depth</t>
        </is>
      </c>
      <c r="AI1" s="22" t="inlineStr">
        <is>
          <t xml:space="preserve">Is Repeat Buyer? </t>
        </is>
      </c>
      <c r="AJ1" s="23" t="inlineStr">
        <is>
          <t>Region</t>
        </is>
      </c>
      <c r="AK1" s="23" t="inlineStr">
        <is>
          <t>first code</t>
        </is>
      </c>
      <c r="AL1" s="23" t="inlineStr">
        <is>
          <t>first line</t>
        </is>
      </c>
      <c r="AM1" s="23" t="inlineStr">
        <is>
          <t>first vcode</t>
        </is>
      </c>
      <c r="AN1" s="23" t="inlineStr">
        <is>
          <t>first category</t>
        </is>
      </c>
      <c r="AO1" s="23" t="inlineStr">
        <is>
          <t>first variant</t>
        </is>
      </c>
      <c r="AP1" s="23" t="inlineStr">
        <is>
          <t>first size</t>
        </is>
      </c>
      <c r="AQ1" s="23" t="inlineStr">
        <is>
          <t>first date</t>
        </is>
      </c>
      <c r="AR1" s="23" t="inlineStr">
        <is>
          <t>first season</t>
        </is>
      </c>
      <c r="AS1" s="23" t="inlineStr">
        <is>
          <t>first intent</t>
        </is>
      </c>
      <c r="AT1" s="23" t="inlineStr">
        <is>
          <t>second code</t>
        </is>
      </c>
      <c r="AU1" s="23" t="inlineStr">
        <is>
          <t>second line</t>
        </is>
      </c>
      <c r="AV1" s="23" t="inlineStr">
        <is>
          <t>second vcode</t>
        </is>
      </c>
      <c r="AW1" s="23" t="inlineStr">
        <is>
          <t>second category</t>
        </is>
      </c>
      <c r="AX1" s="23" t="inlineStr">
        <is>
          <t>second variant</t>
        </is>
      </c>
      <c r="AY1" s="23" t="inlineStr">
        <is>
          <t>second size</t>
        </is>
      </c>
      <c r="AZ1" s="23" t="inlineStr">
        <is>
          <t>second date</t>
        </is>
      </c>
      <c r="BA1" s="23" t="inlineStr">
        <is>
          <t>second season</t>
        </is>
      </c>
      <c r="BB1" s="23" t="inlineStr">
        <is>
          <t>second intent</t>
        </is>
      </c>
      <c r="BC1" s="23" t="inlineStr">
        <is>
          <t>third code</t>
        </is>
      </c>
      <c r="BD1" s="23" t="inlineStr">
        <is>
          <t>third line</t>
        </is>
      </c>
      <c r="BE1" s="23" t="inlineStr">
        <is>
          <t>third vcode</t>
        </is>
      </c>
      <c r="BF1" s="23" t="inlineStr">
        <is>
          <t>third category</t>
        </is>
      </c>
      <c r="BG1" s="23" t="inlineStr">
        <is>
          <t>third variant</t>
        </is>
      </c>
      <c r="BH1" s="23" t="inlineStr">
        <is>
          <t>third size</t>
        </is>
      </c>
      <c r="BI1" s="23" t="inlineStr">
        <is>
          <t>third date</t>
        </is>
      </c>
      <c r="BJ1" s="23" t="inlineStr">
        <is>
          <t>third season</t>
        </is>
      </c>
      <c r="BK1" s="23" t="inlineStr">
        <is>
          <t>third intent</t>
        </is>
      </c>
      <c r="BL1" s="23" t="inlineStr">
        <is>
          <t>fourth code</t>
        </is>
      </c>
      <c r="BM1" s="23" t="inlineStr">
        <is>
          <t>fourth line</t>
        </is>
      </c>
      <c r="BN1" s="23" t="inlineStr">
        <is>
          <t>fourth vcode</t>
        </is>
      </c>
      <c r="BO1" s="23" t="inlineStr">
        <is>
          <t>fourth category</t>
        </is>
      </c>
      <c r="BP1" s="23" t="inlineStr">
        <is>
          <t>fourth variant</t>
        </is>
      </c>
      <c r="BQ1" s="23" t="inlineStr">
        <is>
          <t>fourth size</t>
        </is>
      </c>
      <c r="BR1" s="23" t="inlineStr">
        <is>
          <t>fourth date</t>
        </is>
      </c>
      <c r="BS1" s="23" t="inlineStr">
        <is>
          <t>fourth season</t>
        </is>
      </c>
      <c r="BT1" s="23" t="inlineStr">
        <is>
          <t>fourth intent</t>
        </is>
      </c>
      <c r="BU1" s="23" t="inlineStr">
        <is>
          <t>fifth code</t>
        </is>
      </c>
      <c r="BV1" s="23" t="inlineStr">
        <is>
          <t>fifth line</t>
        </is>
      </c>
      <c r="BW1" s="23" t="inlineStr">
        <is>
          <t>fifth vcode</t>
        </is>
      </c>
      <c r="BX1" s="23" t="inlineStr">
        <is>
          <t>fifth category</t>
        </is>
      </c>
      <c r="BY1" s="23" t="inlineStr">
        <is>
          <t>fifth variant</t>
        </is>
      </c>
      <c r="BZ1" s="23" t="inlineStr">
        <is>
          <t>fifth size</t>
        </is>
      </c>
      <c r="CA1" s="23" t="inlineStr">
        <is>
          <t>fifth date</t>
        </is>
      </c>
      <c r="CB1" s="23" t="inlineStr">
        <is>
          <t>fifth season</t>
        </is>
      </c>
      <c r="CC1" s="23" t="inlineStr">
        <is>
          <t>fifth intent</t>
        </is>
      </c>
      <c r="CD1" s="23" t="inlineStr">
        <is>
          <t>sixth code</t>
        </is>
      </c>
      <c r="CE1" s="23" t="inlineStr">
        <is>
          <t>sixth line</t>
        </is>
      </c>
      <c r="CF1" s="23" t="inlineStr">
        <is>
          <t>sixth vcode</t>
        </is>
      </c>
      <c r="CG1" s="23" t="inlineStr">
        <is>
          <t>sixth category</t>
        </is>
      </c>
      <c r="CH1" s="23" t="inlineStr">
        <is>
          <t>sixth variant</t>
        </is>
      </c>
      <c r="CI1" s="23" t="inlineStr">
        <is>
          <t>sixth size</t>
        </is>
      </c>
      <c r="CJ1" s="23" t="inlineStr">
        <is>
          <t>sixth date</t>
        </is>
      </c>
      <c r="CK1" s="23" t="inlineStr">
        <is>
          <t>sixth season</t>
        </is>
      </c>
      <c r="CL1" s="23" t="inlineStr">
        <is>
          <t>sixth intent</t>
        </is>
      </c>
      <c r="CM1" s="23" t="inlineStr">
        <is>
          <t>entry category</t>
        </is>
      </c>
      <c r="CN1" s="23" t="inlineStr">
        <is>
          <t>entry variant</t>
        </is>
      </c>
      <c r="CO1" s="23" t="inlineStr">
        <is>
          <t>entry size</t>
        </is>
      </c>
      <c r="CP1" s="23" t="inlineStr">
        <is>
          <t>entry sku</t>
        </is>
      </c>
      <c r="CQ1" s="23" t="inlineStr">
        <is>
          <t>has next?</t>
        </is>
      </c>
      <c r="CR1" s="23" t="inlineStr">
        <is>
          <t>next category</t>
        </is>
      </c>
      <c r="CS1" s="23" t="inlineStr">
        <is>
          <t>next variant</t>
        </is>
      </c>
      <c r="CT1" s="23" t="inlineStr">
        <is>
          <t>next size</t>
        </is>
      </c>
      <c r="CU1" s="23" t="inlineStr">
        <is>
          <t>next sku</t>
        </is>
      </c>
      <c r="CV1" s="23" t="inlineStr">
        <is>
          <t>move type</t>
        </is>
      </c>
      <c r="CW1" s="23" t="inlineStr">
        <is>
          <t>gap days</t>
        </is>
      </c>
      <c r="CX1" s="23" t="inlineStr">
        <is>
          <t>V2V hit</t>
        </is>
      </c>
      <c r="CY1" s="23" t="inlineStr">
        <is>
          <t>V2C hit</t>
        </is>
      </c>
      <c r="CZ1" s="23" t="inlineStr">
        <is>
          <t>in cohort?</t>
        </is>
      </c>
    </row>
    <row r="2">
      <c r="A2" t="n">
        <v>27692</v>
      </c>
      <c r="B2" t="inlineStr">
        <is>
          <t>Face Malai</t>
        </is>
      </c>
      <c r="H2" t="inlineStr">
        <is>
          <t>Turmeric Nutmeg (Pigmentation)  Face Malai - 50g</t>
        </is>
      </c>
      <c r="N2" t="inlineStr">
        <is>
          <t>FC-DM-PG-050</t>
        </is>
      </c>
      <c r="T2" t="inlineStr">
        <is>
          <t>Jan 15, 2026</t>
        </is>
      </c>
      <c r="AE2" t="inlineStr">
        <is>
          <t>Gurgaon</t>
        </is>
      </c>
      <c r="AF2" t="inlineStr">
        <is>
          <t>2026-01</t>
        </is>
      </c>
      <c r="AG2" t="n">
        <v>1</v>
      </c>
      <c r="AH2" t="n">
        <v>1</v>
      </c>
      <c r="AI2" t="n">
        <v>0</v>
      </c>
      <c r="AJ2">
        <f>IF($AE2="","",IFERROR(VLOOKUP(TRIM($AE2),DECODE!$H$3:$I$60,2,FALSE),"Rest of India"))</f>
        <v/>
      </c>
      <c r="AK2">
        <f>IF($N2="","",UPPER(TRIM(LEFT($N2&amp;",",FIND(",",$N2&amp;",")-1))))</f>
        <v/>
      </c>
      <c r="AL2">
        <f>IF($AK2="","",MID($AK2,4,FIND("~",SUBSTITUTE($AK2,"-","~",2))-4))</f>
        <v/>
      </c>
      <c r="AM2">
        <f>IF($AK2="","",MID($AK2,FIND("~",SUBSTITUTE($AK2,"-","~",2))+1,FIND("~",SUBSTITUTE($AK2,"-","~",3))-FIND("~",SUBSTITUTE($AK2,"-","~",2))-1))</f>
        <v/>
      </c>
      <c r="AN2">
        <f>IF($AL2="","",IFERROR(VLOOKUP($AL2,DECODE!$A$3:$C$8,3,FALSE),"?"))</f>
        <v/>
      </c>
      <c r="AO2">
        <f>IF($AM2="","",IFERROR(VLOOKUP($AL2&amp;"-"&amp;$AM2,DECODE!$E$3:$F$21,2,FALSE),"?"))</f>
        <v/>
      </c>
      <c r="AP2">
        <f>IF($AK2="","",IFERROR(VALUE(RIGHT($AK2,3)),""))</f>
        <v/>
      </c>
      <c r="AQ2">
        <f>IF($T2="","",IFERROR(IF(ISNUMBER($T2),$T2,DATEVALUE(TRIM($T2))),""))</f>
        <v/>
      </c>
      <c r="AR2">
        <f>IF($AQ2="","",IF(MONTH($AQ2)&gt;=12,"Cold Winter",IF(MONTH($AQ2)&gt;=10,"Post-Monsoon",IF(MONTH($AQ2)&gt;=6,"Hot Humid",IF(MONTH($AQ2)&gt;=3,"Hot Dry","Cold Winter")))))</f>
        <v/>
      </c>
      <c r="AS2">
        <f>IF($AL2="","",IFERROR(VLOOKUP($AL2,DECODE!$A$3:$C$8,2,FALSE),"?"))</f>
        <v/>
      </c>
      <c r="AT2">
        <f>IF($O2="","",UPPER(TRIM(LEFT($O2&amp;",",FIND(",",$O2&amp;",")-1))))</f>
        <v/>
      </c>
      <c r="AU2">
        <f>IF($AT2="","",MID($AT2,4,FIND("~",SUBSTITUTE($AT2,"-","~",2))-4))</f>
        <v/>
      </c>
      <c r="AV2">
        <f>IF($AT2="","",MID($AT2,FIND("~",SUBSTITUTE($AT2,"-","~",2))+1,FIND("~",SUBSTITUTE($AT2,"-","~",3))-FIND("~",SUBSTITUTE($AT2,"-","~",2))-1))</f>
        <v/>
      </c>
      <c r="AW2">
        <f>IF($AU2="","",IFERROR(VLOOKUP($AU2,DECODE!$A$3:$C$8,3,FALSE),"?"))</f>
        <v/>
      </c>
      <c r="AX2">
        <f>IF($AV2="","",IFERROR(VLOOKUP($AU2&amp;"-"&amp;$AV2,DECODE!$E$3:$F$21,2,FALSE),"?"))</f>
        <v/>
      </c>
      <c r="AY2">
        <f>IF($AT2="","",IFERROR(VALUE(RIGHT($AT2,3)),""))</f>
        <v/>
      </c>
      <c r="AZ2">
        <f>IF($U2="","",IFERROR(IF(ISNUMBER($U2),$U2,DATEVALUE(TRIM($U2))),""))</f>
        <v/>
      </c>
      <c r="BA2">
        <f>IF($AZ2="","",IF(MONTH($AZ2)&gt;=12,"Cold Winter",IF(MONTH($AZ2)&gt;=10,"Post-Monsoon",IF(MONTH($AZ2)&gt;=6,"Hot Humid",IF(MONTH($AZ2)&gt;=3,"Hot Dry","Cold Winter")))))</f>
        <v/>
      </c>
      <c r="BB2">
        <f>IF($AU2="","",IFERROR(VLOOKUP($AU2,DECODE!$A$3:$C$8,2,FALSE),"?"))</f>
        <v/>
      </c>
      <c r="BC2">
        <f>IF($P2="","",UPPER(TRIM(LEFT($P2&amp;",",FIND(",",$P2&amp;",")-1))))</f>
        <v/>
      </c>
      <c r="BD2">
        <f>IF($BC2="","",MID($BC2,4,FIND("~",SUBSTITUTE($BC2,"-","~",2))-4))</f>
        <v/>
      </c>
      <c r="BE2">
        <f>IF($BC2="","",MID($BC2,FIND("~",SUBSTITUTE($BC2,"-","~",2))+1,FIND("~",SUBSTITUTE($BC2,"-","~",3))-FIND("~",SUBSTITUTE($BC2,"-","~",2))-1))</f>
        <v/>
      </c>
      <c r="BF2">
        <f>IF($BD2="","",IFERROR(VLOOKUP($BD2,DECODE!$A$3:$C$8,3,FALSE),"?"))</f>
        <v/>
      </c>
      <c r="BG2">
        <f>IF($BE2="","",IFERROR(VLOOKUP($BD2&amp;"-"&amp;$BE2,DECODE!$E$3:$F$21,2,FALSE),"?"))</f>
        <v/>
      </c>
      <c r="BH2">
        <f>IF($BC2="","",IFERROR(VALUE(RIGHT($BC2,3)),""))</f>
        <v/>
      </c>
      <c r="BI2">
        <f>IF($V2="","",IFERROR(IF(ISNUMBER($V2),$V2,DATEVALUE(TRIM($V2))),""))</f>
        <v/>
      </c>
      <c r="BJ2">
        <f>IF($BI2="","",IF(MONTH($BI2)&gt;=12,"Cold Winter",IF(MONTH($BI2)&gt;=10,"Post-Monsoon",IF(MONTH($BI2)&gt;=6,"Hot Humid",IF(MONTH($BI2)&gt;=3,"Hot Dry","Cold Winter")))))</f>
        <v/>
      </c>
      <c r="BK2">
        <f>IF($BD2="","",IFERROR(VLOOKUP($BD2,DECODE!$A$3:$C$8,2,FALSE),"?"))</f>
        <v/>
      </c>
      <c r="BL2">
        <f>IF($Q2="","",UPPER(TRIM(LEFT($Q2&amp;",",FIND(",",$Q2&amp;",")-1))))</f>
        <v/>
      </c>
      <c r="BM2">
        <f>IF($BL2="","",MID($BL2,4,FIND("~",SUBSTITUTE($BL2,"-","~",2))-4))</f>
        <v/>
      </c>
      <c r="BN2">
        <f>IF($BL2="","",MID($BL2,FIND("~",SUBSTITUTE($BL2,"-","~",2))+1,FIND("~",SUBSTITUTE($BL2,"-","~",3))-FIND("~",SUBSTITUTE($BL2,"-","~",2))-1))</f>
        <v/>
      </c>
      <c r="BO2">
        <f>IF($BM2="","",IFERROR(VLOOKUP($BM2,DECODE!$A$3:$C$8,3,FALSE),"?"))</f>
        <v/>
      </c>
      <c r="BP2">
        <f>IF($BN2="","",IFERROR(VLOOKUP($BM2&amp;"-"&amp;$BN2,DECODE!$E$3:$F$21,2,FALSE),"?"))</f>
        <v/>
      </c>
      <c r="BQ2">
        <f>IF($BL2="","",IFERROR(VALUE(RIGHT($BL2,3)),""))</f>
        <v/>
      </c>
      <c r="BR2">
        <f>IF($W2="","",IFERROR(IF(ISNUMBER($W2),$W2,DATEVALUE(TRIM($W2))),""))</f>
        <v/>
      </c>
      <c r="BS2">
        <f>IF($BR2="","",IF(MONTH($BR2)&gt;=12,"Cold Winter",IF(MONTH($BR2)&gt;=10,"Post-Monsoon",IF(MONTH($BR2)&gt;=6,"Hot Humid",IF(MONTH($BR2)&gt;=3,"Hot Dry","Cold Winter")))))</f>
        <v/>
      </c>
      <c r="BT2">
        <f>IF($BM2="","",IFERROR(VLOOKUP($BM2,DECODE!$A$3:$C$8,2,FALSE),"?"))</f>
        <v/>
      </c>
      <c r="BU2">
        <f>IF($R2="","",UPPER(TRIM(LEFT($R2&amp;",",FIND(",",$R2&amp;",")-1))))</f>
        <v/>
      </c>
      <c r="BV2">
        <f>IF($BU2="","",MID($BU2,4,FIND("~",SUBSTITUTE($BU2,"-","~",2))-4))</f>
        <v/>
      </c>
      <c r="BW2">
        <f>IF($BU2="","",MID($BU2,FIND("~",SUBSTITUTE($BU2,"-","~",2))+1,FIND("~",SUBSTITUTE($BU2,"-","~",3))-FIND("~",SUBSTITUTE($BU2,"-","~",2))-1))</f>
        <v/>
      </c>
      <c r="BX2">
        <f>IF($BV2="","",IFERROR(VLOOKUP($BV2,DECODE!$A$3:$C$8,3,FALSE),"?"))</f>
        <v/>
      </c>
      <c r="BY2">
        <f>IF($BW2="","",IFERROR(VLOOKUP($BV2&amp;"-"&amp;$BW2,DECODE!$E$3:$F$21,2,FALSE),"?"))</f>
        <v/>
      </c>
      <c r="BZ2">
        <f>IF($BU2="","",IFERROR(VALUE(RIGHT($BU2,3)),""))</f>
        <v/>
      </c>
      <c r="CA2">
        <f>IF($X2="","",IFERROR(IF(ISNUMBER($X2),$X2,DATEVALUE(TRIM($X2))),""))</f>
        <v/>
      </c>
      <c r="CB2">
        <f>IF($CA2="","",IF(MONTH($CA2)&gt;=12,"Cold Winter",IF(MONTH($CA2)&gt;=10,"Post-Monsoon",IF(MONTH($CA2)&gt;=6,"Hot Humid",IF(MONTH($CA2)&gt;=3,"Hot Dry","Cold Winter")))))</f>
        <v/>
      </c>
      <c r="CC2">
        <f>IF($BV2="","",IFERROR(VLOOKUP($BV2,DECODE!$A$3:$C$8,2,FALSE),"?"))</f>
        <v/>
      </c>
      <c r="CD2">
        <f>IF($S2="","",UPPER(TRIM(LEFT($S2&amp;",",FIND(",",$S2&amp;",")-1))))</f>
        <v/>
      </c>
      <c r="CE2">
        <f>IF($CD2="","",MID($CD2,4,FIND("~",SUBSTITUTE($CD2,"-","~",2))-4))</f>
        <v/>
      </c>
      <c r="CF2">
        <f>IF($CD2="","",MID($CD2,FIND("~",SUBSTITUTE($CD2,"-","~",2))+1,FIND("~",SUBSTITUTE($CD2,"-","~",3))-FIND("~",SUBSTITUTE($CD2,"-","~",2))-1))</f>
        <v/>
      </c>
      <c r="CG2">
        <f>IF($CE2="","",IFERROR(VLOOKUP($CE2,DECODE!$A$3:$C$8,3,FALSE),"?"))</f>
        <v/>
      </c>
      <c r="CH2">
        <f>IF($CF2="","",IFERROR(VLOOKUP($CE2&amp;"-"&amp;$CF2,DECODE!$E$3:$F$21,2,FALSE),"?"))</f>
        <v/>
      </c>
      <c r="CI2">
        <f>IF($CD2="","",IFERROR(VALUE(RIGHT($CD2,3)),""))</f>
        <v/>
      </c>
      <c r="CJ2">
        <f>IF($Y2="","",IFERROR(IF(ISNUMBER($Y2),$Y2,DATEVALUE(TRIM($Y2))),""))</f>
        <v/>
      </c>
      <c r="CK2">
        <f>IF($CJ2="","",IF(MONTH($CJ2)&gt;=12,"Cold Winter",IF(MONTH($CJ2)&gt;=10,"Post-Monsoon",IF(MONTH($CJ2)&gt;=6,"Hot Humid",IF(MONTH($CJ2)&gt;=3,"Hot Dry","Cold Winter")))))</f>
        <v/>
      </c>
      <c r="CL2">
        <f>IF($CE2="","",IFERROR(VLOOKUP($CE2,DECODE!$A$3:$C$8,2,FALSE),"?"))</f>
        <v/>
      </c>
      <c r="CM2">
        <f>IF($AN2="","",AN2)</f>
        <v/>
      </c>
      <c r="CN2">
        <f>IF($AO2="","",AO2)</f>
        <v/>
      </c>
      <c r="CO2">
        <f>IF($AP2="","",AP2)</f>
        <v/>
      </c>
      <c r="CP2">
        <f>IF($CM2="","",IF($CM2="Aloe Vera Gel","Aloe Vera Gel "&amp;$CO2&amp;"g",CN2&amp;" "&amp;$CO2&amp;"g"))</f>
        <v/>
      </c>
      <c r="CQ2">
        <f>IF($AT2="",0,1)</f>
        <v/>
      </c>
      <c r="CR2">
        <f>IF($CQ2=0,"",AW2)</f>
        <v/>
      </c>
      <c r="CS2">
        <f>IF($CQ2=0,"",AX2)</f>
        <v/>
      </c>
      <c r="CT2">
        <f>IF($CQ2=0,"",AY2)</f>
        <v/>
      </c>
      <c r="CU2">
        <f>IF($CR2="","",IF($CR2="Aloe Vera Gel","Aloe Vera Gel "&amp;$CT2&amp;"g",CS2&amp;" "&amp;$CT2&amp;"g"))</f>
        <v/>
      </c>
      <c r="CV2">
        <f>IF($CQ2=0,"",IF($CP2=$CU2,"Repeat Exact",IF($CT2&gt;$CO2,"Upsized",IF($CT2&lt;$CO2,"Downsized",IF($CM2&lt;&gt;$CR2,"Lateral","Same Size Diff Variant")))))</f>
        <v/>
      </c>
      <c r="CW2">
        <f>IF($CQ2=0,"",AZ2-AQ2)</f>
        <v/>
      </c>
      <c r="CX2">
        <f>IF($CQ2=0,0,IF(CS2=CN2,1,0))</f>
        <v/>
      </c>
      <c r="CY2">
        <f>IF($CQ2=0,0,IF(CR2=CM2,1,0))</f>
        <v/>
      </c>
      <c r="CZ2">
        <f>IF($A2="","",IF(AND(IF(DASHBOARD!$C$4="All",TRUE,$CM2=DASHBOARD!$C$4),IF(DASHBOARD!$C$6="All",TRUE,$CP2=DASHBOARD!$C$6),IF(DASHBOARD!$C$8="All",TRUE,$AF2&gt;=DASHBOARD!$C$8),IF(DASHBOARD!$C$10="All",TRUE,$AF2&lt;=DASHBOARD!$C$10),IF(DASHBOARD!$C$12="All",TRUE,$AH2=VALUE(DASHBOARD!$C$12)),IF(DASHBOARD!$C$14="All",TRUE,$AJ2=DASHBOARD!$C$14)),1,0))</f>
        <v/>
      </c>
    </row>
    <row r="3">
      <c r="A3" t="n">
        <v>27835</v>
      </c>
      <c r="B3" t="inlineStr">
        <is>
          <t>Face Malai</t>
        </is>
      </c>
      <c r="H3" t="inlineStr">
        <is>
          <t>Flax Carrot (Hot Humid) 35+ Face Malai - 50g</t>
        </is>
      </c>
      <c r="N3" t="inlineStr">
        <is>
          <t>FC-HHDM-FC-050</t>
        </is>
      </c>
      <c r="T3" t="inlineStr">
        <is>
          <t>Jun 22, 2026</t>
        </is>
      </c>
      <c r="AE3" t="inlineStr">
        <is>
          <t>Gurgaon</t>
        </is>
      </c>
      <c r="AF3" t="inlineStr">
        <is>
          <t>2026-06</t>
        </is>
      </c>
      <c r="AG3" t="n">
        <v>6</v>
      </c>
      <c r="AH3" t="n">
        <v>1</v>
      </c>
      <c r="AI3" t="n">
        <v>0</v>
      </c>
      <c r="AJ3">
        <f>IF($AE3="","",IFERROR(VLOOKUP(TRIM($AE3),DECODE!$H$3:$I$60,2,FALSE),"Rest of India"))</f>
        <v/>
      </c>
      <c r="AK3">
        <f>IF($N3="","",UPPER(TRIM(LEFT($N3&amp;",",FIND(",",$N3&amp;",")-1))))</f>
        <v/>
      </c>
      <c r="AL3">
        <f>IF($AK3="","",MID($AK3,4,FIND("~",SUBSTITUTE($AK3,"-","~",2))-4))</f>
        <v/>
      </c>
      <c r="AM3">
        <f>IF($AK3="","",MID($AK3,FIND("~",SUBSTITUTE($AK3,"-","~",2))+1,FIND("~",SUBSTITUTE($AK3,"-","~",3))-FIND("~",SUBSTITUTE($AK3,"-","~",2))-1))</f>
        <v/>
      </c>
      <c r="AN3">
        <f>IF($AL3="","",IFERROR(VLOOKUP($AL3,DECODE!$A$3:$C$8,3,FALSE),"?"))</f>
        <v/>
      </c>
      <c r="AO3">
        <f>IF($AM3="","",IFERROR(VLOOKUP($AL3&amp;"-"&amp;$AM3,DECODE!$E$3:$F$21,2,FALSE),"?"))</f>
        <v/>
      </c>
      <c r="AP3">
        <f>IF($AK3="","",IFERROR(VALUE(RIGHT($AK3,3)),""))</f>
        <v/>
      </c>
      <c r="AQ3">
        <f>IF($T3="","",IFERROR(IF(ISNUMBER($T3),$T3,DATEVALUE(TRIM($T3))),""))</f>
        <v/>
      </c>
      <c r="AR3">
        <f>IF($AQ3="","",IF(MONTH($AQ3)&gt;=12,"Cold Winter",IF(MONTH($AQ3)&gt;=10,"Post-Monsoon",IF(MONTH($AQ3)&gt;=6,"Hot Humid",IF(MONTH($AQ3)&gt;=3,"Hot Dry","Cold Winter")))))</f>
        <v/>
      </c>
      <c r="AS3">
        <f>IF($AL3="","",IFERROR(VLOOKUP($AL3,DECODE!$A$3:$C$8,2,FALSE),"?"))</f>
        <v/>
      </c>
      <c r="AT3">
        <f>IF($O3="","",UPPER(TRIM(LEFT($O3&amp;",",FIND(",",$O3&amp;",")-1))))</f>
        <v/>
      </c>
      <c r="AU3">
        <f>IF($AT3="","",MID($AT3,4,FIND("~",SUBSTITUTE($AT3,"-","~",2))-4))</f>
        <v/>
      </c>
      <c r="AV3">
        <f>IF($AT3="","",MID($AT3,FIND("~",SUBSTITUTE($AT3,"-","~",2))+1,FIND("~",SUBSTITUTE($AT3,"-","~",3))-FIND("~",SUBSTITUTE($AT3,"-","~",2))-1))</f>
        <v/>
      </c>
      <c r="AW3">
        <f>IF($AU3="","",IFERROR(VLOOKUP($AU3,DECODE!$A$3:$C$8,3,FALSE),"?"))</f>
        <v/>
      </c>
      <c r="AX3">
        <f>IF($AV3="","",IFERROR(VLOOKUP($AU3&amp;"-"&amp;$AV3,DECODE!$E$3:$F$21,2,FALSE),"?"))</f>
        <v/>
      </c>
      <c r="AY3">
        <f>IF($AT3="","",IFERROR(VALUE(RIGHT($AT3,3)),""))</f>
        <v/>
      </c>
      <c r="AZ3">
        <f>IF($U3="","",IFERROR(IF(ISNUMBER($U3),$U3,DATEVALUE(TRIM($U3))),""))</f>
        <v/>
      </c>
      <c r="BA3">
        <f>IF($AZ3="","",IF(MONTH($AZ3)&gt;=12,"Cold Winter",IF(MONTH($AZ3)&gt;=10,"Post-Monsoon",IF(MONTH($AZ3)&gt;=6,"Hot Humid",IF(MONTH($AZ3)&gt;=3,"Hot Dry","Cold Winter")))))</f>
        <v/>
      </c>
      <c r="BB3">
        <f>IF($AU3="","",IFERROR(VLOOKUP($AU3,DECODE!$A$3:$C$8,2,FALSE),"?"))</f>
        <v/>
      </c>
      <c r="BC3">
        <f>IF($P3="","",UPPER(TRIM(LEFT($P3&amp;",",FIND(",",$P3&amp;",")-1))))</f>
        <v/>
      </c>
      <c r="BD3">
        <f>IF($BC3="","",MID($BC3,4,FIND("~",SUBSTITUTE($BC3,"-","~",2))-4))</f>
        <v/>
      </c>
      <c r="BE3">
        <f>IF($BC3="","",MID($BC3,FIND("~",SUBSTITUTE($BC3,"-","~",2))+1,FIND("~",SUBSTITUTE($BC3,"-","~",3))-FIND("~",SUBSTITUTE($BC3,"-","~",2))-1))</f>
        <v/>
      </c>
      <c r="BF3">
        <f>IF($BD3="","",IFERROR(VLOOKUP($BD3,DECODE!$A$3:$C$8,3,FALSE),"?"))</f>
        <v/>
      </c>
      <c r="BG3">
        <f>IF($BE3="","",IFERROR(VLOOKUP($BD3&amp;"-"&amp;$BE3,DECODE!$E$3:$F$21,2,FALSE),"?"))</f>
        <v/>
      </c>
      <c r="BH3">
        <f>IF($BC3="","",IFERROR(VALUE(RIGHT($BC3,3)),""))</f>
        <v/>
      </c>
      <c r="BI3">
        <f>IF($V3="","",IFERROR(IF(ISNUMBER($V3),$V3,DATEVALUE(TRIM($V3))),""))</f>
        <v/>
      </c>
      <c r="BJ3">
        <f>IF($BI3="","",IF(MONTH($BI3)&gt;=12,"Cold Winter",IF(MONTH($BI3)&gt;=10,"Post-Monsoon",IF(MONTH($BI3)&gt;=6,"Hot Humid",IF(MONTH($BI3)&gt;=3,"Hot Dry","Cold Winter")))))</f>
        <v/>
      </c>
      <c r="BK3">
        <f>IF($BD3="","",IFERROR(VLOOKUP($BD3,DECODE!$A$3:$C$8,2,FALSE),"?"))</f>
        <v/>
      </c>
      <c r="BL3">
        <f>IF($Q3="","",UPPER(TRIM(LEFT($Q3&amp;",",FIND(",",$Q3&amp;",")-1))))</f>
        <v/>
      </c>
      <c r="BM3">
        <f>IF($BL3="","",MID($BL3,4,FIND("~",SUBSTITUTE($BL3,"-","~",2))-4))</f>
        <v/>
      </c>
      <c r="BN3">
        <f>IF($BL3="","",MID($BL3,FIND("~",SUBSTITUTE($BL3,"-","~",2))+1,FIND("~",SUBSTITUTE($BL3,"-","~",3))-FIND("~",SUBSTITUTE($BL3,"-","~",2))-1))</f>
        <v/>
      </c>
      <c r="BO3">
        <f>IF($BM3="","",IFERROR(VLOOKUP($BM3,DECODE!$A$3:$C$8,3,FALSE),"?"))</f>
        <v/>
      </c>
      <c r="BP3">
        <f>IF($BN3="","",IFERROR(VLOOKUP($BM3&amp;"-"&amp;$BN3,DECODE!$E$3:$F$21,2,FALSE),"?"))</f>
        <v/>
      </c>
      <c r="BQ3">
        <f>IF($BL3="","",IFERROR(VALUE(RIGHT($BL3,3)),""))</f>
        <v/>
      </c>
      <c r="BR3">
        <f>IF($W3="","",IFERROR(IF(ISNUMBER($W3),$W3,DATEVALUE(TRIM($W3))),""))</f>
        <v/>
      </c>
      <c r="BS3">
        <f>IF($BR3="","",IF(MONTH($BR3)&gt;=12,"Cold Winter",IF(MONTH($BR3)&gt;=10,"Post-Monsoon",IF(MONTH($BR3)&gt;=6,"Hot Humid",IF(MONTH($BR3)&gt;=3,"Hot Dry","Cold Winter")))))</f>
        <v/>
      </c>
      <c r="BT3">
        <f>IF($BM3="","",IFERROR(VLOOKUP($BM3,DECODE!$A$3:$C$8,2,FALSE),"?"))</f>
        <v/>
      </c>
      <c r="BU3">
        <f>IF($R3="","",UPPER(TRIM(LEFT($R3&amp;",",FIND(",",$R3&amp;",")-1))))</f>
        <v/>
      </c>
      <c r="BV3">
        <f>IF($BU3="","",MID($BU3,4,FIND("~",SUBSTITUTE($BU3,"-","~",2))-4))</f>
        <v/>
      </c>
      <c r="BW3">
        <f>IF($BU3="","",MID($BU3,FIND("~",SUBSTITUTE($BU3,"-","~",2))+1,FIND("~",SUBSTITUTE($BU3,"-","~",3))-FIND("~",SUBSTITUTE($BU3,"-","~",2))-1))</f>
        <v/>
      </c>
      <c r="BX3">
        <f>IF($BV3="","",IFERROR(VLOOKUP($BV3,DECODE!$A$3:$C$8,3,FALSE),"?"))</f>
        <v/>
      </c>
      <c r="BY3">
        <f>IF($BW3="","",IFERROR(VLOOKUP($BV3&amp;"-"&amp;$BW3,DECODE!$E$3:$F$21,2,FALSE),"?"))</f>
        <v/>
      </c>
      <c r="BZ3">
        <f>IF($BU3="","",IFERROR(VALUE(RIGHT($BU3,3)),""))</f>
        <v/>
      </c>
      <c r="CA3">
        <f>IF($X3="","",IFERROR(IF(ISNUMBER($X3),$X3,DATEVALUE(TRIM($X3))),""))</f>
        <v/>
      </c>
      <c r="CB3">
        <f>IF($CA3="","",IF(MONTH($CA3)&gt;=12,"Cold Winter",IF(MONTH($CA3)&gt;=10,"Post-Monsoon",IF(MONTH($CA3)&gt;=6,"Hot Humid",IF(MONTH($CA3)&gt;=3,"Hot Dry","Cold Winter")))))</f>
        <v/>
      </c>
      <c r="CC3">
        <f>IF($BV3="","",IFERROR(VLOOKUP($BV3,DECODE!$A$3:$C$8,2,FALSE),"?"))</f>
        <v/>
      </c>
      <c r="CD3">
        <f>IF($S3="","",UPPER(TRIM(LEFT($S3&amp;",",FIND(",",$S3&amp;",")-1))))</f>
        <v/>
      </c>
      <c r="CE3">
        <f>IF($CD3="","",MID($CD3,4,FIND("~",SUBSTITUTE($CD3,"-","~",2))-4))</f>
        <v/>
      </c>
      <c r="CF3">
        <f>IF($CD3="","",MID($CD3,FIND("~",SUBSTITUTE($CD3,"-","~",2))+1,FIND("~",SUBSTITUTE($CD3,"-","~",3))-FIND("~",SUBSTITUTE($CD3,"-","~",2))-1))</f>
        <v/>
      </c>
      <c r="CG3">
        <f>IF($CE3="","",IFERROR(VLOOKUP($CE3,DECODE!$A$3:$C$8,3,FALSE),"?"))</f>
        <v/>
      </c>
      <c r="CH3">
        <f>IF($CF3="","",IFERROR(VLOOKUP($CE3&amp;"-"&amp;$CF3,DECODE!$E$3:$F$21,2,FALSE),"?"))</f>
        <v/>
      </c>
      <c r="CI3">
        <f>IF($CD3="","",IFERROR(VALUE(RIGHT($CD3,3)),""))</f>
        <v/>
      </c>
      <c r="CJ3">
        <f>IF($Y3="","",IFERROR(IF(ISNUMBER($Y3),$Y3,DATEVALUE(TRIM($Y3))),""))</f>
        <v/>
      </c>
      <c r="CK3">
        <f>IF($CJ3="","",IF(MONTH($CJ3)&gt;=12,"Cold Winter",IF(MONTH($CJ3)&gt;=10,"Post-Monsoon",IF(MONTH($CJ3)&gt;=6,"Hot Humid",IF(MONTH($CJ3)&gt;=3,"Hot Dry","Cold Winter")))))</f>
        <v/>
      </c>
      <c r="CL3">
        <f>IF($CE3="","",IFERROR(VLOOKUP($CE3,DECODE!$A$3:$C$8,2,FALSE),"?"))</f>
        <v/>
      </c>
      <c r="CM3">
        <f>IF($AN3="","",AN3)</f>
        <v/>
      </c>
      <c r="CN3">
        <f>IF($AO3="","",AO3)</f>
        <v/>
      </c>
      <c r="CO3">
        <f>IF($AP3="","",AP3)</f>
        <v/>
      </c>
      <c r="CP3">
        <f>IF($CM3="","",IF($CM3="Aloe Vera Gel","Aloe Vera Gel "&amp;$CO3&amp;"g",CN3&amp;" "&amp;$CO3&amp;"g"))</f>
        <v/>
      </c>
      <c r="CQ3">
        <f>IF($AT3="",0,1)</f>
        <v/>
      </c>
      <c r="CR3">
        <f>IF($CQ3=0,"",AW3)</f>
        <v/>
      </c>
      <c r="CS3">
        <f>IF($CQ3=0,"",AX3)</f>
        <v/>
      </c>
      <c r="CT3">
        <f>IF($CQ3=0,"",AY3)</f>
        <v/>
      </c>
      <c r="CU3">
        <f>IF($CR3="","",IF($CR3="Aloe Vera Gel","Aloe Vera Gel "&amp;$CT3&amp;"g",CS3&amp;" "&amp;$CT3&amp;"g"))</f>
        <v/>
      </c>
      <c r="CV3">
        <f>IF($CQ3=0,"",IF($CP3=$CU3,"Repeat Exact",IF($CT3&gt;$CO3,"Upsized",IF($CT3&lt;$CO3,"Downsized",IF($CM3&lt;&gt;$CR3,"Lateral","Same Size Diff Variant")))))</f>
        <v/>
      </c>
      <c r="CW3">
        <f>IF($CQ3=0,"",AZ3-AQ3)</f>
        <v/>
      </c>
      <c r="CX3">
        <f>IF($CQ3=0,0,IF(CS3=CN3,1,0))</f>
        <v/>
      </c>
      <c r="CY3">
        <f>IF($CQ3=0,0,IF(CR3=CM3,1,0))</f>
        <v/>
      </c>
      <c r="CZ3">
        <f>IF($A3="","",IF(AND(IF(DASHBOARD!$C$4="All",TRUE,$CM3=DASHBOARD!$C$4),IF(DASHBOARD!$C$6="All",TRUE,$CP3=DASHBOARD!$C$6),IF(DASHBOARD!$C$8="All",TRUE,$AF3&gt;=DASHBOARD!$C$8),IF(DASHBOARD!$C$10="All",TRUE,$AF3&lt;=DASHBOARD!$C$10),IF(DASHBOARD!$C$12="All",TRUE,$AH3=VALUE(DASHBOARD!$C$12)),IF(DASHBOARD!$C$14="All",TRUE,$AJ3=DASHBOARD!$C$14)),1,0))</f>
        <v/>
      </c>
    </row>
    <row r="4">
      <c r="A4" t="n">
        <v>27851</v>
      </c>
      <c r="B4" t="inlineStr">
        <is>
          <t>Active Gel, Face Malai</t>
        </is>
      </c>
      <c r="H4" t="inlineStr">
        <is>
          <t>Flax Bakuchi (Hot Dry) 35+ Face Malai - 50g, Active Neem TeaTree Gel</t>
        </is>
      </c>
      <c r="N4" t="inlineStr">
        <is>
          <t>FC-HDDM-FB-050, FC-AC-NT-050</t>
        </is>
      </c>
      <c r="T4" t="inlineStr">
        <is>
          <t>May 10, 2026</t>
        </is>
      </c>
      <c r="AE4" t="inlineStr">
        <is>
          <t>New Delhi</t>
        </is>
      </c>
      <c r="AF4" t="inlineStr">
        <is>
          <t>2026-05</t>
        </is>
      </c>
      <c r="AG4" t="n">
        <v>5</v>
      </c>
      <c r="AH4" t="n">
        <v>1</v>
      </c>
      <c r="AI4" t="n">
        <v>0</v>
      </c>
      <c r="AJ4">
        <f>IF($AE4="","",IFERROR(VLOOKUP(TRIM($AE4),DECODE!$H$3:$I$60,2,FALSE),"Rest of India"))</f>
        <v/>
      </c>
      <c r="AK4">
        <f>IF($N4="","",UPPER(TRIM(LEFT($N4&amp;",",FIND(",",$N4&amp;",")-1))))</f>
        <v/>
      </c>
      <c r="AL4">
        <f>IF($AK4="","",MID($AK4,4,FIND("~",SUBSTITUTE($AK4,"-","~",2))-4))</f>
        <v/>
      </c>
      <c r="AM4">
        <f>IF($AK4="","",MID($AK4,FIND("~",SUBSTITUTE($AK4,"-","~",2))+1,FIND("~",SUBSTITUTE($AK4,"-","~",3))-FIND("~",SUBSTITUTE($AK4,"-","~",2))-1))</f>
        <v/>
      </c>
      <c r="AN4">
        <f>IF($AL4="","",IFERROR(VLOOKUP($AL4,DECODE!$A$3:$C$8,3,FALSE),"?"))</f>
        <v/>
      </c>
      <c r="AO4">
        <f>IF($AM4="","",IFERROR(VLOOKUP($AL4&amp;"-"&amp;$AM4,DECODE!$E$3:$F$21,2,FALSE),"?"))</f>
        <v/>
      </c>
      <c r="AP4">
        <f>IF($AK4="","",IFERROR(VALUE(RIGHT($AK4,3)),""))</f>
        <v/>
      </c>
      <c r="AQ4">
        <f>IF($T4="","",IFERROR(IF(ISNUMBER($T4),$T4,DATEVALUE(TRIM($T4))),""))</f>
        <v/>
      </c>
      <c r="AR4">
        <f>IF($AQ4="","",IF(MONTH($AQ4)&gt;=12,"Cold Winter",IF(MONTH($AQ4)&gt;=10,"Post-Monsoon",IF(MONTH($AQ4)&gt;=6,"Hot Humid",IF(MONTH($AQ4)&gt;=3,"Hot Dry","Cold Winter")))))</f>
        <v/>
      </c>
      <c r="AS4">
        <f>IF($AL4="","",IFERROR(VLOOKUP($AL4,DECODE!$A$3:$C$8,2,FALSE),"?"))</f>
        <v/>
      </c>
      <c r="AT4">
        <f>IF($O4="","",UPPER(TRIM(LEFT($O4&amp;",",FIND(",",$O4&amp;",")-1))))</f>
        <v/>
      </c>
      <c r="AU4">
        <f>IF($AT4="","",MID($AT4,4,FIND("~",SUBSTITUTE($AT4,"-","~",2))-4))</f>
        <v/>
      </c>
      <c r="AV4">
        <f>IF($AT4="","",MID($AT4,FIND("~",SUBSTITUTE($AT4,"-","~",2))+1,FIND("~",SUBSTITUTE($AT4,"-","~",3))-FIND("~",SUBSTITUTE($AT4,"-","~",2))-1))</f>
        <v/>
      </c>
      <c r="AW4">
        <f>IF($AU4="","",IFERROR(VLOOKUP($AU4,DECODE!$A$3:$C$8,3,FALSE),"?"))</f>
        <v/>
      </c>
      <c r="AX4">
        <f>IF($AV4="","",IFERROR(VLOOKUP($AU4&amp;"-"&amp;$AV4,DECODE!$E$3:$F$21,2,FALSE),"?"))</f>
        <v/>
      </c>
      <c r="AY4">
        <f>IF($AT4="","",IFERROR(VALUE(RIGHT($AT4,3)),""))</f>
        <v/>
      </c>
      <c r="AZ4">
        <f>IF($U4="","",IFERROR(IF(ISNUMBER($U4),$U4,DATEVALUE(TRIM($U4))),""))</f>
        <v/>
      </c>
      <c r="BA4">
        <f>IF($AZ4="","",IF(MONTH($AZ4)&gt;=12,"Cold Winter",IF(MONTH($AZ4)&gt;=10,"Post-Monsoon",IF(MONTH($AZ4)&gt;=6,"Hot Humid",IF(MONTH($AZ4)&gt;=3,"Hot Dry","Cold Winter")))))</f>
        <v/>
      </c>
      <c r="BB4">
        <f>IF($AU4="","",IFERROR(VLOOKUP($AU4,DECODE!$A$3:$C$8,2,FALSE),"?"))</f>
        <v/>
      </c>
      <c r="BC4">
        <f>IF($P4="","",UPPER(TRIM(LEFT($P4&amp;",",FIND(",",$P4&amp;",")-1))))</f>
        <v/>
      </c>
      <c r="BD4">
        <f>IF($BC4="","",MID($BC4,4,FIND("~",SUBSTITUTE($BC4,"-","~",2))-4))</f>
        <v/>
      </c>
      <c r="BE4">
        <f>IF($BC4="","",MID($BC4,FIND("~",SUBSTITUTE($BC4,"-","~",2))+1,FIND("~",SUBSTITUTE($BC4,"-","~",3))-FIND("~",SUBSTITUTE($BC4,"-","~",2))-1))</f>
        <v/>
      </c>
      <c r="BF4">
        <f>IF($BD4="","",IFERROR(VLOOKUP($BD4,DECODE!$A$3:$C$8,3,FALSE),"?"))</f>
        <v/>
      </c>
      <c r="BG4">
        <f>IF($BE4="","",IFERROR(VLOOKUP($BD4&amp;"-"&amp;$BE4,DECODE!$E$3:$F$21,2,FALSE),"?"))</f>
        <v/>
      </c>
      <c r="BH4">
        <f>IF($BC4="","",IFERROR(VALUE(RIGHT($BC4,3)),""))</f>
        <v/>
      </c>
      <c r="BI4">
        <f>IF($V4="","",IFERROR(IF(ISNUMBER($V4),$V4,DATEVALUE(TRIM($V4))),""))</f>
        <v/>
      </c>
      <c r="BJ4">
        <f>IF($BI4="","",IF(MONTH($BI4)&gt;=12,"Cold Winter",IF(MONTH($BI4)&gt;=10,"Post-Monsoon",IF(MONTH($BI4)&gt;=6,"Hot Humid",IF(MONTH($BI4)&gt;=3,"Hot Dry","Cold Winter")))))</f>
        <v/>
      </c>
      <c r="BK4">
        <f>IF($BD4="","",IFERROR(VLOOKUP($BD4,DECODE!$A$3:$C$8,2,FALSE),"?"))</f>
        <v/>
      </c>
      <c r="BL4">
        <f>IF($Q4="","",UPPER(TRIM(LEFT($Q4&amp;",",FIND(",",$Q4&amp;",")-1))))</f>
        <v/>
      </c>
      <c r="BM4">
        <f>IF($BL4="","",MID($BL4,4,FIND("~",SUBSTITUTE($BL4,"-","~",2))-4))</f>
        <v/>
      </c>
      <c r="BN4">
        <f>IF($BL4="","",MID($BL4,FIND("~",SUBSTITUTE($BL4,"-","~",2))+1,FIND("~",SUBSTITUTE($BL4,"-","~",3))-FIND("~",SUBSTITUTE($BL4,"-","~",2))-1))</f>
        <v/>
      </c>
      <c r="BO4">
        <f>IF($BM4="","",IFERROR(VLOOKUP($BM4,DECODE!$A$3:$C$8,3,FALSE),"?"))</f>
        <v/>
      </c>
      <c r="BP4">
        <f>IF($BN4="","",IFERROR(VLOOKUP($BM4&amp;"-"&amp;$BN4,DECODE!$E$3:$F$21,2,FALSE),"?"))</f>
        <v/>
      </c>
      <c r="BQ4">
        <f>IF($BL4="","",IFERROR(VALUE(RIGHT($BL4,3)),""))</f>
        <v/>
      </c>
      <c r="BR4">
        <f>IF($W4="","",IFERROR(IF(ISNUMBER($W4),$W4,DATEVALUE(TRIM($W4))),""))</f>
        <v/>
      </c>
      <c r="BS4">
        <f>IF($BR4="","",IF(MONTH($BR4)&gt;=12,"Cold Winter",IF(MONTH($BR4)&gt;=10,"Post-Monsoon",IF(MONTH($BR4)&gt;=6,"Hot Humid",IF(MONTH($BR4)&gt;=3,"Hot Dry","Cold Winter")))))</f>
        <v/>
      </c>
      <c r="BT4">
        <f>IF($BM4="","",IFERROR(VLOOKUP($BM4,DECODE!$A$3:$C$8,2,FALSE),"?"))</f>
        <v/>
      </c>
      <c r="BU4">
        <f>IF($R4="","",UPPER(TRIM(LEFT($R4&amp;",",FIND(",",$R4&amp;",")-1))))</f>
        <v/>
      </c>
      <c r="BV4">
        <f>IF($BU4="","",MID($BU4,4,FIND("~",SUBSTITUTE($BU4,"-","~",2))-4))</f>
        <v/>
      </c>
      <c r="BW4">
        <f>IF($BU4="","",MID($BU4,FIND("~",SUBSTITUTE($BU4,"-","~",2))+1,FIND("~",SUBSTITUTE($BU4,"-","~",3))-FIND("~",SUBSTITUTE($BU4,"-","~",2))-1))</f>
        <v/>
      </c>
      <c r="BX4">
        <f>IF($BV4="","",IFERROR(VLOOKUP($BV4,DECODE!$A$3:$C$8,3,FALSE),"?"))</f>
        <v/>
      </c>
      <c r="BY4">
        <f>IF($BW4="","",IFERROR(VLOOKUP($BV4&amp;"-"&amp;$BW4,DECODE!$E$3:$F$21,2,FALSE),"?"))</f>
        <v/>
      </c>
      <c r="BZ4">
        <f>IF($BU4="","",IFERROR(VALUE(RIGHT($BU4,3)),""))</f>
        <v/>
      </c>
      <c r="CA4">
        <f>IF($X4="","",IFERROR(IF(ISNUMBER($X4),$X4,DATEVALUE(TRIM($X4))),""))</f>
        <v/>
      </c>
      <c r="CB4">
        <f>IF($CA4="","",IF(MONTH($CA4)&gt;=12,"Cold Winter",IF(MONTH($CA4)&gt;=10,"Post-Monsoon",IF(MONTH($CA4)&gt;=6,"Hot Humid",IF(MONTH($CA4)&gt;=3,"Hot Dry","Cold Winter")))))</f>
        <v/>
      </c>
      <c r="CC4">
        <f>IF($BV4="","",IFERROR(VLOOKUP($BV4,DECODE!$A$3:$C$8,2,FALSE),"?"))</f>
        <v/>
      </c>
      <c r="CD4">
        <f>IF($S4="","",UPPER(TRIM(LEFT($S4&amp;",",FIND(",",$S4&amp;",")-1))))</f>
        <v/>
      </c>
      <c r="CE4">
        <f>IF($CD4="","",MID($CD4,4,FIND("~",SUBSTITUTE($CD4,"-","~",2))-4))</f>
        <v/>
      </c>
      <c r="CF4">
        <f>IF($CD4="","",MID($CD4,FIND("~",SUBSTITUTE($CD4,"-","~",2))+1,FIND("~",SUBSTITUTE($CD4,"-","~",3))-FIND("~",SUBSTITUTE($CD4,"-","~",2))-1))</f>
        <v/>
      </c>
      <c r="CG4">
        <f>IF($CE4="","",IFERROR(VLOOKUP($CE4,DECODE!$A$3:$C$8,3,FALSE),"?"))</f>
        <v/>
      </c>
      <c r="CH4">
        <f>IF($CF4="","",IFERROR(VLOOKUP($CE4&amp;"-"&amp;$CF4,DECODE!$E$3:$F$21,2,FALSE),"?"))</f>
        <v/>
      </c>
      <c r="CI4">
        <f>IF($CD4="","",IFERROR(VALUE(RIGHT($CD4,3)),""))</f>
        <v/>
      </c>
      <c r="CJ4">
        <f>IF($Y4="","",IFERROR(IF(ISNUMBER($Y4),$Y4,DATEVALUE(TRIM($Y4))),""))</f>
        <v/>
      </c>
      <c r="CK4">
        <f>IF($CJ4="","",IF(MONTH($CJ4)&gt;=12,"Cold Winter",IF(MONTH($CJ4)&gt;=10,"Post-Monsoon",IF(MONTH($CJ4)&gt;=6,"Hot Humid",IF(MONTH($CJ4)&gt;=3,"Hot Dry","Cold Winter")))))</f>
        <v/>
      </c>
      <c r="CL4">
        <f>IF($CE4="","",IFERROR(VLOOKUP($CE4,DECODE!$A$3:$C$8,2,FALSE),"?"))</f>
        <v/>
      </c>
      <c r="CM4">
        <f>IF($AN4="","",AN4)</f>
        <v/>
      </c>
      <c r="CN4">
        <f>IF($AO4="","",AO4)</f>
        <v/>
      </c>
      <c r="CO4">
        <f>IF($AP4="","",AP4)</f>
        <v/>
      </c>
      <c r="CP4">
        <f>IF($CM4="","",IF($CM4="Aloe Vera Gel","Aloe Vera Gel "&amp;$CO4&amp;"g",CN4&amp;" "&amp;$CO4&amp;"g"))</f>
        <v/>
      </c>
      <c r="CQ4">
        <f>IF($AT4="",0,1)</f>
        <v/>
      </c>
      <c r="CR4">
        <f>IF($CQ4=0,"",AW4)</f>
        <v/>
      </c>
      <c r="CS4">
        <f>IF($CQ4=0,"",AX4)</f>
        <v/>
      </c>
      <c r="CT4">
        <f>IF($CQ4=0,"",AY4)</f>
        <v/>
      </c>
      <c r="CU4">
        <f>IF($CR4="","",IF($CR4="Aloe Vera Gel","Aloe Vera Gel "&amp;$CT4&amp;"g",CS4&amp;" "&amp;$CT4&amp;"g"))</f>
        <v/>
      </c>
      <c r="CV4">
        <f>IF($CQ4=0,"",IF($CP4=$CU4,"Repeat Exact",IF($CT4&gt;$CO4,"Upsized",IF($CT4&lt;$CO4,"Downsized",IF($CM4&lt;&gt;$CR4,"Lateral","Same Size Diff Variant")))))</f>
        <v/>
      </c>
      <c r="CW4">
        <f>IF($CQ4=0,"",AZ4-AQ4)</f>
        <v/>
      </c>
      <c r="CX4">
        <f>IF($CQ4=0,0,IF(CS4=CN4,1,0))</f>
        <v/>
      </c>
      <c r="CY4">
        <f>IF($CQ4=0,0,IF(CR4=CM4,1,0))</f>
        <v/>
      </c>
      <c r="CZ4">
        <f>IF($A4="","",IF(AND(IF(DASHBOARD!$C$4="All",TRUE,$CM4=DASHBOARD!$C$4),IF(DASHBOARD!$C$6="All",TRUE,$CP4=DASHBOARD!$C$6),IF(DASHBOARD!$C$8="All",TRUE,$AF4&gt;=DASHBOARD!$C$8),IF(DASHBOARD!$C$10="All",TRUE,$AF4&lt;=DASHBOARD!$C$10),IF(DASHBOARD!$C$12="All",TRUE,$AH4=VALUE(DASHBOARD!$C$12)),IF(DASHBOARD!$C$14="All",TRUE,$AJ4=DASHBOARD!$C$14)),1,0))</f>
        <v/>
      </c>
    </row>
    <row r="5">
      <c r="A5" t="n">
        <v>27893</v>
      </c>
      <c r="B5" t="inlineStr">
        <is>
          <t>Face Malai</t>
        </is>
      </c>
      <c r="H5" t="inlineStr">
        <is>
          <t>Pomegranate Tulsi (Hot Dry) 13 - 19 Yrs Face Malai</t>
        </is>
      </c>
      <c r="N5" t="inlineStr">
        <is>
          <t>FC-HDDM-PT-030</t>
        </is>
      </c>
      <c r="T5" t="inlineStr">
        <is>
          <t>Apr 7, 2024</t>
        </is>
      </c>
      <c r="AE5" t="inlineStr">
        <is>
          <t>Gautam Buddha Nagar</t>
        </is>
      </c>
      <c r="AF5" t="inlineStr">
        <is>
          <t>2024-04</t>
        </is>
      </c>
      <c r="AG5" t="n">
        <v>4</v>
      </c>
      <c r="AH5" t="n">
        <v>1</v>
      </c>
      <c r="AI5" t="n">
        <v>0</v>
      </c>
      <c r="AJ5">
        <f>IF($AE5="","",IFERROR(VLOOKUP(TRIM($AE5),DECODE!$H$3:$I$60,2,FALSE),"Rest of India"))</f>
        <v/>
      </c>
      <c r="AK5">
        <f>IF($N5="","",UPPER(TRIM(LEFT($N5&amp;",",FIND(",",$N5&amp;",")-1))))</f>
        <v/>
      </c>
      <c r="AL5">
        <f>IF($AK5="","",MID($AK5,4,FIND("~",SUBSTITUTE($AK5,"-","~",2))-4))</f>
        <v/>
      </c>
      <c r="AM5">
        <f>IF($AK5="","",MID($AK5,FIND("~",SUBSTITUTE($AK5,"-","~",2))+1,FIND("~",SUBSTITUTE($AK5,"-","~",3))-FIND("~",SUBSTITUTE($AK5,"-","~",2))-1))</f>
        <v/>
      </c>
      <c r="AN5">
        <f>IF($AL5="","",IFERROR(VLOOKUP($AL5,DECODE!$A$3:$C$8,3,FALSE),"?"))</f>
        <v/>
      </c>
      <c r="AO5">
        <f>IF($AM5="","",IFERROR(VLOOKUP($AL5&amp;"-"&amp;$AM5,DECODE!$E$3:$F$21,2,FALSE),"?"))</f>
        <v/>
      </c>
      <c r="AP5">
        <f>IF($AK5="","",IFERROR(VALUE(RIGHT($AK5,3)),""))</f>
        <v/>
      </c>
      <c r="AQ5">
        <f>IF($T5="","",IFERROR(IF(ISNUMBER($T5),$T5,DATEVALUE(TRIM($T5))),""))</f>
        <v/>
      </c>
      <c r="AR5">
        <f>IF($AQ5="","",IF(MONTH($AQ5)&gt;=12,"Cold Winter",IF(MONTH($AQ5)&gt;=10,"Post-Monsoon",IF(MONTH($AQ5)&gt;=6,"Hot Humid",IF(MONTH($AQ5)&gt;=3,"Hot Dry","Cold Winter")))))</f>
        <v/>
      </c>
      <c r="AS5">
        <f>IF($AL5="","",IFERROR(VLOOKUP($AL5,DECODE!$A$3:$C$8,2,FALSE),"?"))</f>
        <v/>
      </c>
      <c r="AT5">
        <f>IF($O5="","",UPPER(TRIM(LEFT($O5&amp;",",FIND(",",$O5&amp;",")-1))))</f>
        <v/>
      </c>
      <c r="AU5">
        <f>IF($AT5="","",MID($AT5,4,FIND("~",SUBSTITUTE($AT5,"-","~",2))-4))</f>
        <v/>
      </c>
      <c r="AV5">
        <f>IF($AT5="","",MID($AT5,FIND("~",SUBSTITUTE($AT5,"-","~",2))+1,FIND("~",SUBSTITUTE($AT5,"-","~",3))-FIND("~",SUBSTITUTE($AT5,"-","~",2))-1))</f>
        <v/>
      </c>
      <c r="AW5">
        <f>IF($AU5="","",IFERROR(VLOOKUP($AU5,DECODE!$A$3:$C$8,3,FALSE),"?"))</f>
        <v/>
      </c>
      <c r="AX5">
        <f>IF($AV5="","",IFERROR(VLOOKUP($AU5&amp;"-"&amp;$AV5,DECODE!$E$3:$F$21,2,FALSE),"?"))</f>
        <v/>
      </c>
      <c r="AY5">
        <f>IF($AT5="","",IFERROR(VALUE(RIGHT($AT5,3)),""))</f>
        <v/>
      </c>
      <c r="AZ5">
        <f>IF($U5="","",IFERROR(IF(ISNUMBER($U5),$U5,DATEVALUE(TRIM($U5))),""))</f>
        <v/>
      </c>
      <c r="BA5">
        <f>IF($AZ5="","",IF(MONTH($AZ5)&gt;=12,"Cold Winter",IF(MONTH($AZ5)&gt;=10,"Post-Monsoon",IF(MONTH($AZ5)&gt;=6,"Hot Humid",IF(MONTH($AZ5)&gt;=3,"Hot Dry","Cold Winter")))))</f>
        <v/>
      </c>
      <c r="BB5">
        <f>IF($AU5="","",IFERROR(VLOOKUP($AU5,DECODE!$A$3:$C$8,2,FALSE),"?"))</f>
        <v/>
      </c>
      <c r="BC5">
        <f>IF($P5="","",UPPER(TRIM(LEFT($P5&amp;",",FIND(",",$P5&amp;",")-1))))</f>
        <v/>
      </c>
      <c r="BD5">
        <f>IF($BC5="","",MID($BC5,4,FIND("~",SUBSTITUTE($BC5,"-","~",2))-4))</f>
        <v/>
      </c>
      <c r="BE5">
        <f>IF($BC5="","",MID($BC5,FIND("~",SUBSTITUTE($BC5,"-","~",2))+1,FIND("~",SUBSTITUTE($BC5,"-","~",3))-FIND("~",SUBSTITUTE($BC5,"-","~",2))-1))</f>
        <v/>
      </c>
      <c r="BF5">
        <f>IF($BD5="","",IFERROR(VLOOKUP($BD5,DECODE!$A$3:$C$8,3,FALSE),"?"))</f>
        <v/>
      </c>
      <c r="BG5">
        <f>IF($BE5="","",IFERROR(VLOOKUP($BD5&amp;"-"&amp;$BE5,DECODE!$E$3:$F$21,2,FALSE),"?"))</f>
        <v/>
      </c>
      <c r="BH5">
        <f>IF($BC5="","",IFERROR(VALUE(RIGHT($BC5,3)),""))</f>
        <v/>
      </c>
      <c r="BI5">
        <f>IF($V5="","",IFERROR(IF(ISNUMBER($V5),$V5,DATEVALUE(TRIM($V5))),""))</f>
        <v/>
      </c>
      <c r="BJ5">
        <f>IF($BI5="","",IF(MONTH($BI5)&gt;=12,"Cold Winter",IF(MONTH($BI5)&gt;=10,"Post-Monsoon",IF(MONTH($BI5)&gt;=6,"Hot Humid",IF(MONTH($BI5)&gt;=3,"Hot Dry","Cold Winter")))))</f>
        <v/>
      </c>
      <c r="BK5">
        <f>IF($BD5="","",IFERROR(VLOOKUP($BD5,DECODE!$A$3:$C$8,2,FALSE),"?"))</f>
        <v/>
      </c>
      <c r="BL5">
        <f>IF($Q5="","",UPPER(TRIM(LEFT($Q5&amp;",",FIND(",",$Q5&amp;",")-1))))</f>
        <v/>
      </c>
      <c r="BM5">
        <f>IF($BL5="","",MID($BL5,4,FIND("~",SUBSTITUTE($BL5,"-","~",2))-4))</f>
        <v/>
      </c>
      <c r="BN5">
        <f>IF($BL5="","",MID($BL5,FIND("~",SUBSTITUTE($BL5,"-","~",2))+1,FIND("~",SUBSTITUTE($BL5,"-","~",3))-FIND("~",SUBSTITUTE($BL5,"-","~",2))-1))</f>
        <v/>
      </c>
      <c r="BO5">
        <f>IF($BM5="","",IFERROR(VLOOKUP($BM5,DECODE!$A$3:$C$8,3,FALSE),"?"))</f>
        <v/>
      </c>
      <c r="BP5">
        <f>IF($BN5="","",IFERROR(VLOOKUP($BM5&amp;"-"&amp;$BN5,DECODE!$E$3:$F$21,2,FALSE),"?"))</f>
        <v/>
      </c>
      <c r="BQ5">
        <f>IF($BL5="","",IFERROR(VALUE(RIGHT($BL5,3)),""))</f>
        <v/>
      </c>
      <c r="BR5">
        <f>IF($W5="","",IFERROR(IF(ISNUMBER($W5),$W5,DATEVALUE(TRIM($W5))),""))</f>
        <v/>
      </c>
      <c r="BS5">
        <f>IF($BR5="","",IF(MONTH($BR5)&gt;=12,"Cold Winter",IF(MONTH($BR5)&gt;=10,"Post-Monsoon",IF(MONTH($BR5)&gt;=6,"Hot Humid",IF(MONTH($BR5)&gt;=3,"Hot Dry","Cold Winter")))))</f>
        <v/>
      </c>
      <c r="BT5">
        <f>IF($BM5="","",IFERROR(VLOOKUP($BM5,DECODE!$A$3:$C$8,2,FALSE),"?"))</f>
        <v/>
      </c>
      <c r="BU5">
        <f>IF($R5="","",UPPER(TRIM(LEFT($R5&amp;",",FIND(",",$R5&amp;",")-1))))</f>
        <v/>
      </c>
      <c r="BV5">
        <f>IF($BU5="","",MID($BU5,4,FIND("~",SUBSTITUTE($BU5,"-","~",2))-4))</f>
        <v/>
      </c>
      <c r="BW5">
        <f>IF($BU5="","",MID($BU5,FIND("~",SUBSTITUTE($BU5,"-","~",2))+1,FIND("~",SUBSTITUTE($BU5,"-","~",3))-FIND("~",SUBSTITUTE($BU5,"-","~",2))-1))</f>
        <v/>
      </c>
      <c r="BX5">
        <f>IF($BV5="","",IFERROR(VLOOKUP($BV5,DECODE!$A$3:$C$8,3,FALSE),"?"))</f>
        <v/>
      </c>
      <c r="BY5">
        <f>IF($BW5="","",IFERROR(VLOOKUP($BV5&amp;"-"&amp;$BW5,DECODE!$E$3:$F$21,2,FALSE),"?"))</f>
        <v/>
      </c>
      <c r="BZ5">
        <f>IF($BU5="","",IFERROR(VALUE(RIGHT($BU5,3)),""))</f>
        <v/>
      </c>
      <c r="CA5">
        <f>IF($X5="","",IFERROR(IF(ISNUMBER($X5),$X5,DATEVALUE(TRIM($X5))),""))</f>
        <v/>
      </c>
      <c r="CB5">
        <f>IF($CA5="","",IF(MONTH($CA5)&gt;=12,"Cold Winter",IF(MONTH($CA5)&gt;=10,"Post-Monsoon",IF(MONTH($CA5)&gt;=6,"Hot Humid",IF(MONTH($CA5)&gt;=3,"Hot Dry","Cold Winter")))))</f>
        <v/>
      </c>
      <c r="CC5">
        <f>IF($BV5="","",IFERROR(VLOOKUP($BV5,DECODE!$A$3:$C$8,2,FALSE),"?"))</f>
        <v/>
      </c>
      <c r="CD5">
        <f>IF($S5="","",UPPER(TRIM(LEFT($S5&amp;",",FIND(",",$S5&amp;",")-1))))</f>
        <v/>
      </c>
      <c r="CE5">
        <f>IF($CD5="","",MID($CD5,4,FIND("~",SUBSTITUTE($CD5,"-","~",2))-4))</f>
        <v/>
      </c>
      <c r="CF5">
        <f>IF($CD5="","",MID($CD5,FIND("~",SUBSTITUTE($CD5,"-","~",2))+1,FIND("~",SUBSTITUTE($CD5,"-","~",3))-FIND("~",SUBSTITUTE($CD5,"-","~",2))-1))</f>
        <v/>
      </c>
      <c r="CG5">
        <f>IF($CE5="","",IFERROR(VLOOKUP($CE5,DECODE!$A$3:$C$8,3,FALSE),"?"))</f>
        <v/>
      </c>
      <c r="CH5">
        <f>IF($CF5="","",IFERROR(VLOOKUP($CE5&amp;"-"&amp;$CF5,DECODE!$E$3:$F$21,2,FALSE),"?"))</f>
        <v/>
      </c>
      <c r="CI5">
        <f>IF($CD5="","",IFERROR(VALUE(RIGHT($CD5,3)),""))</f>
        <v/>
      </c>
      <c r="CJ5">
        <f>IF($Y5="","",IFERROR(IF(ISNUMBER($Y5),$Y5,DATEVALUE(TRIM($Y5))),""))</f>
        <v/>
      </c>
      <c r="CK5">
        <f>IF($CJ5="","",IF(MONTH($CJ5)&gt;=12,"Cold Winter",IF(MONTH($CJ5)&gt;=10,"Post-Monsoon",IF(MONTH($CJ5)&gt;=6,"Hot Humid",IF(MONTH($CJ5)&gt;=3,"Hot Dry","Cold Winter")))))</f>
        <v/>
      </c>
      <c r="CL5">
        <f>IF($CE5="","",IFERROR(VLOOKUP($CE5,DECODE!$A$3:$C$8,2,FALSE),"?"))</f>
        <v/>
      </c>
      <c r="CM5">
        <f>IF($AN5="","",AN5)</f>
        <v/>
      </c>
      <c r="CN5">
        <f>IF($AO5="","",AO5)</f>
        <v/>
      </c>
      <c r="CO5">
        <f>IF($AP5="","",AP5)</f>
        <v/>
      </c>
      <c r="CP5">
        <f>IF($CM5="","",IF($CM5="Aloe Vera Gel","Aloe Vera Gel "&amp;$CO5&amp;"g",CN5&amp;" "&amp;$CO5&amp;"g"))</f>
        <v/>
      </c>
      <c r="CQ5">
        <f>IF($AT5="",0,1)</f>
        <v/>
      </c>
      <c r="CR5">
        <f>IF($CQ5=0,"",AW5)</f>
        <v/>
      </c>
      <c r="CS5">
        <f>IF($CQ5=0,"",AX5)</f>
        <v/>
      </c>
      <c r="CT5">
        <f>IF($CQ5=0,"",AY5)</f>
        <v/>
      </c>
      <c r="CU5">
        <f>IF($CR5="","",IF($CR5="Aloe Vera Gel","Aloe Vera Gel "&amp;$CT5&amp;"g",CS5&amp;" "&amp;$CT5&amp;"g"))</f>
        <v/>
      </c>
      <c r="CV5">
        <f>IF($CQ5=0,"",IF($CP5=$CU5,"Repeat Exact",IF($CT5&gt;$CO5,"Upsized",IF($CT5&lt;$CO5,"Downsized",IF($CM5&lt;&gt;$CR5,"Lateral","Same Size Diff Variant")))))</f>
        <v/>
      </c>
      <c r="CW5">
        <f>IF($CQ5=0,"",AZ5-AQ5)</f>
        <v/>
      </c>
      <c r="CX5">
        <f>IF($CQ5=0,0,IF(CS5=CN5,1,0))</f>
        <v/>
      </c>
      <c r="CY5">
        <f>IF($CQ5=0,0,IF(CR5=CM5,1,0))</f>
        <v/>
      </c>
      <c r="CZ5">
        <f>IF($A5="","",IF(AND(IF(DASHBOARD!$C$4="All",TRUE,$CM5=DASHBOARD!$C$4),IF(DASHBOARD!$C$6="All",TRUE,$CP5=DASHBOARD!$C$6),IF(DASHBOARD!$C$8="All",TRUE,$AF5&gt;=DASHBOARD!$C$8),IF(DASHBOARD!$C$10="All",TRUE,$AF5&lt;=DASHBOARD!$C$10),IF(DASHBOARD!$C$12="All",TRUE,$AH5=VALUE(DASHBOARD!$C$12)),IF(DASHBOARD!$C$14="All",TRUE,$AJ5=DASHBOARD!$C$14)),1,0))</f>
        <v/>
      </c>
    </row>
    <row r="6">
      <c r="A6" t="n">
        <v>28176</v>
      </c>
      <c r="B6" t="inlineStr">
        <is>
          <t>Face Malai</t>
        </is>
      </c>
      <c r="H6" t="inlineStr">
        <is>
          <t>Flax Walnut (Cold) 35+ Face Malai</t>
        </is>
      </c>
      <c r="N6" t="inlineStr">
        <is>
          <t>FC-CWDM-FW-030</t>
        </is>
      </c>
      <c r="T6" t="inlineStr">
        <is>
          <t>Nov 20, 2024</t>
        </is>
      </c>
      <c r="AE6" t="inlineStr">
        <is>
          <t>New Delhi</t>
        </is>
      </c>
      <c r="AF6" t="inlineStr">
        <is>
          <t>2024-11</t>
        </is>
      </c>
      <c r="AG6" t="n">
        <v>11</v>
      </c>
      <c r="AH6" t="n">
        <v>1</v>
      </c>
      <c r="AI6" t="n">
        <v>0</v>
      </c>
      <c r="AJ6">
        <f>IF($AE6="","",IFERROR(VLOOKUP(TRIM($AE6),DECODE!$H$3:$I$60,2,FALSE),"Rest of India"))</f>
        <v/>
      </c>
      <c r="AK6">
        <f>IF($N6="","",UPPER(TRIM(LEFT($N6&amp;",",FIND(",",$N6&amp;",")-1))))</f>
        <v/>
      </c>
      <c r="AL6">
        <f>IF($AK6="","",MID($AK6,4,FIND("~",SUBSTITUTE($AK6,"-","~",2))-4))</f>
        <v/>
      </c>
      <c r="AM6">
        <f>IF($AK6="","",MID($AK6,FIND("~",SUBSTITUTE($AK6,"-","~",2))+1,FIND("~",SUBSTITUTE($AK6,"-","~",3))-FIND("~",SUBSTITUTE($AK6,"-","~",2))-1))</f>
        <v/>
      </c>
      <c r="AN6">
        <f>IF($AL6="","",IFERROR(VLOOKUP($AL6,DECODE!$A$3:$C$8,3,FALSE),"?"))</f>
        <v/>
      </c>
      <c r="AO6">
        <f>IF($AM6="","",IFERROR(VLOOKUP($AL6&amp;"-"&amp;$AM6,DECODE!$E$3:$F$21,2,FALSE),"?"))</f>
        <v/>
      </c>
      <c r="AP6">
        <f>IF($AK6="","",IFERROR(VALUE(RIGHT($AK6,3)),""))</f>
        <v/>
      </c>
      <c r="AQ6">
        <f>IF($T6="","",IFERROR(IF(ISNUMBER($T6),$T6,DATEVALUE(TRIM($T6))),""))</f>
        <v/>
      </c>
      <c r="AR6">
        <f>IF($AQ6="","",IF(MONTH($AQ6)&gt;=12,"Cold Winter",IF(MONTH($AQ6)&gt;=10,"Post-Monsoon",IF(MONTH($AQ6)&gt;=6,"Hot Humid",IF(MONTH($AQ6)&gt;=3,"Hot Dry","Cold Winter")))))</f>
        <v/>
      </c>
      <c r="AS6">
        <f>IF($AL6="","",IFERROR(VLOOKUP($AL6,DECODE!$A$3:$C$8,2,FALSE),"?"))</f>
        <v/>
      </c>
      <c r="AT6">
        <f>IF($O6="","",UPPER(TRIM(LEFT($O6&amp;",",FIND(",",$O6&amp;",")-1))))</f>
        <v/>
      </c>
      <c r="AU6">
        <f>IF($AT6="","",MID($AT6,4,FIND("~",SUBSTITUTE($AT6,"-","~",2))-4))</f>
        <v/>
      </c>
      <c r="AV6">
        <f>IF($AT6="","",MID($AT6,FIND("~",SUBSTITUTE($AT6,"-","~",2))+1,FIND("~",SUBSTITUTE($AT6,"-","~",3))-FIND("~",SUBSTITUTE($AT6,"-","~",2))-1))</f>
        <v/>
      </c>
      <c r="AW6">
        <f>IF($AU6="","",IFERROR(VLOOKUP($AU6,DECODE!$A$3:$C$8,3,FALSE),"?"))</f>
        <v/>
      </c>
      <c r="AX6">
        <f>IF($AV6="","",IFERROR(VLOOKUP($AU6&amp;"-"&amp;$AV6,DECODE!$E$3:$F$21,2,FALSE),"?"))</f>
        <v/>
      </c>
      <c r="AY6">
        <f>IF($AT6="","",IFERROR(VALUE(RIGHT($AT6,3)),""))</f>
        <v/>
      </c>
      <c r="AZ6">
        <f>IF($U6="","",IFERROR(IF(ISNUMBER($U6),$U6,DATEVALUE(TRIM($U6))),""))</f>
        <v/>
      </c>
      <c r="BA6">
        <f>IF($AZ6="","",IF(MONTH($AZ6)&gt;=12,"Cold Winter",IF(MONTH($AZ6)&gt;=10,"Post-Monsoon",IF(MONTH($AZ6)&gt;=6,"Hot Humid",IF(MONTH($AZ6)&gt;=3,"Hot Dry","Cold Winter")))))</f>
        <v/>
      </c>
      <c r="BB6">
        <f>IF($AU6="","",IFERROR(VLOOKUP($AU6,DECODE!$A$3:$C$8,2,FALSE),"?"))</f>
        <v/>
      </c>
      <c r="BC6">
        <f>IF($P6="","",UPPER(TRIM(LEFT($P6&amp;",",FIND(",",$P6&amp;",")-1))))</f>
        <v/>
      </c>
      <c r="BD6">
        <f>IF($BC6="","",MID($BC6,4,FIND("~",SUBSTITUTE($BC6,"-","~",2))-4))</f>
        <v/>
      </c>
      <c r="BE6">
        <f>IF($BC6="","",MID($BC6,FIND("~",SUBSTITUTE($BC6,"-","~",2))+1,FIND("~",SUBSTITUTE($BC6,"-","~",3))-FIND("~",SUBSTITUTE($BC6,"-","~",2))-1))</f>
        <v/>
      </c>
      <c r="BF6">
        <f>IF($BD6="","",IFERROR(VLOOKUP($BD6,DECODE!$A$3:$C$8,3,FALSE),"?"))</f>
        <v/>
      </c>
      <c r="BG6">
        <f>IF($BE6="","",IFERROR(VLOOKUP($BD6&amp;"-"&amp;$BE6,DECODE!$E$3:$F$21,2,FALSE),"?"))</f>
        <v/>
      </c>
      <c r="BH6">
        <f>IF($BC6="","",IFERROR(VALUE(RIGHT($BC6,3)),""))</f>
        <v/>
      </c>
      <c r="BI6">
        <f>IF($V6="","",IFERROR(IF(ISNUMBER($V6),$V6,DATEVALUE(TRIM($V6))),""))</f>
        <v/>
      </c>
      <c r="BJ6">
        <f>IF($BI6="","",IF(MONTH($BI6)&gt;=12,"Cold Winter",IF(MONTH($BI6)&gt;=10,"Post-Monsoon",IF(MONTH($BI6)&gt;=6,"Hot Humid",IF(MONTH($BI6)&gt;=3,"Hot Dry","Cold Winter")))))</f>
        <v/>
      </c>
      <c r="BK6">
        <f>IF($BD6="","",IFERROR(VLOOKUP($BD6,DECODE!$A$3:$C$8,2,FALSE),"?"))</f>
        <v/>
      </c>
      <c r="BL6">
        <f>IF($Q6="","",UPPER(TRIM(LEFT($Q6&amp;",",FIND(",",$Q6&amp;",")-1))))</f>
        <v/>
      </c>
      <c r="BM6">
        <f>IF($BL6="","",MID($BL6,4,FIND("~",SUBSTITUTE($BL6,"-","~",2))-4))</f>
        <v/>
      </c>
      <c r="BN6">
        <f>IF($BL6="","",MID($BL6,FIND("~",SUBSTITUTE($BL6,"-","~",2))+1,FIND("~",SUBSTITUTE($BL6,"-","~",3))-FIND("~",SUBSTITUTE($BL6,"-","~",2))-1))</f>
        <v/>
      </c>
      <c r="BO6">
        <f>IF($BM6="","",IFERROR(VLOOKUP($BM6,DECODE!$A$3:$C$8,3,FALSE),"?"))</f>
        <v/>
      </c>
      <c r="BP6">
        <f>IF($BN6="","",IFERROR(VLOOKUP($BM6&amp;"-"&amp;$BN6,DECODE!$E$3:$F$21,2,FALSE),"?"))</f>
        <v/>
      </c>
      <c r="BQ6">
        <f>IF($BL6="","",IFERROR(VALUE(RIGHT($BL6,3)),""))</f>
        <v/>
      </c>
      <c r="BR6">
        <f>IF($W6="","",IFERROR(IF(ISNUMBER($W6),$W6,DATEVALUE(TRIM($W6))),""))</f>
        <v/>
      </c>
      <c r="BS6">
        <f>IF($BR6="","",IF(MONTH($BR6)&gt;=12,"Cold Winter",IF(MONTH($BR6)&gt;=10,"Post-Monsoon",IF(MONTH($BR6)&gt;=6,"Hot Humid",IF(MONTH($BR6)&gt;=3,"Hot Dry","Cold Winter")))))</f>
        <v/>
      </c>
      <c r="BT6">
        <f>IF($BM6="","",IFERROR(VLOOKUP($BM6,DECODE!$A$3:$C$8,2,FALSE),"?"))</f>
        <v/>
      </c>
      <c r="BU6">
        <f>IF($R6="","",UPPER(TRIM(LEFT($R6&amp;",",FIND(",",$R6&amp;",")-1))))</f>
        <v/>
      </c>
      <c r="BV6">
        <f>IF($BU6="","",MID($BU6,4,FIND("~",SUBSTITUTE($BU6,"-","~",2))-4))</f>
        <v/>
      </c>
      <c r="BW6">
        <f>IF($BU6="","",MID($BU6,FIND("~",SUBSTITUTE($BU6,"-","~",2))+1,FIND("~",SUBSTITUTE($BU6,"-","~",3))-FIND("~",SUBSTITUTE($BU6,"-","~",2))-1))</f>
        <v/>
      </c>
      <c r="BX6">
        <f>IF($BV6="","",IFERROR(VLOOKUP($BV6,DECODE!$A$3:$C$8,3,FALSE),"?"))</f>
        <v/>
      </c>
      <c r="BY6">
        <f>IF($BW6="","",IFERROR(VLOOKUP($BV6&amp;"-"&amp;$BW6,DECODE!$E$3:$F$21,2,FALSE),"?"))</f>
        <v/>
      </c>
      <c r="BZ6">
        <f>IF($BU6="","",IFERROR(VALUE(RIGHT($BU6,3)),""))</f>
        <v/>
      </c>
      <c r="CA6">
        <f>IF($X6="","",IFERROR(IF(ISNUMBER($X6),$X6,DATEVALUE(TRIM($X6))),""))</f>
        <v/>
      </c>
      <c r="CB6">
        <f>IF($CA6="","",IF(MONTH($CA6)&gt;=12,"Cold Winter",IF(MONTH($CA6)&gt;=10,"Post-Monsoon",IF(MONTH($CA6)&gt;=6,"Hot Humid",IF(MONTH($CA6)&gt;=3,"Hot Dry","Cold Winter")))))</f>
        <v/>
      </c>
      <c r="CC6">
        <f>IF($BV6="","",IFERROR(VLOOKUP($BV6,DECODE!$A$3:$C$8,2,FALSE),"?"))</f>
        <v/>
      </c>
      <c r="CD6">
        <f>IF($S6="","",UPPER(TRIM(LEFT($S6&amp;",",FIND(",",$S6&amp;",")-1))))</f>
        <v/>
      </c>
      <c r="CE6">
        <f>IF($CD6="","",MID($CD6,4,FIND("~",SUBSTITUTE($CD6,"-","~",2))-4))</f>
        <v/>
      </c>
      <c r="CF6">
        <f>IF($CD6="","",MID($CD6,FIND("~",SUBSTITUTE($CD6,"-","~",2))+1,FIND("~",SUBSTITUTE($CD6,"-","~",3))-FIND("~",SUBSTITUTE($CD6,"-","~",2))-1))</f>
        <v/>
      </c>
      <c r="CG6">
        <f>IF($CE6="","",IFERROR(VLOOKUP($CE6,DECODE!$A$3:$C$8,3,FALSE),"?"))</f>
        <v/>
      </c>
      <c r="CH6">
        <f>IF($CF6="","",IFERROR(VLOOKUP($CE6&amp;"-"&amp;$CF6,DECODE!$E$3:$F$21,2,FALSE),"?"))</f>
        <v/>
      </c>
      <c r="CI6">
        <f>IF($CD6="","",IFERROR(VALUE(RIGHT($CD6,3)),""))</f>
        <v/>
      </c>
      <c r="CJ6">
        <f>IF($Y6="","",IFERROR(IF(ISNUMBER($Y6),$Y6,DATEVALUE(TRIM($Y6))),""))</f>
        <v/>
      </c>
      <c r="CK6">
        <f>IF($CJ6="","",IF(MONTH($CJ6)&gt;=12,"Cold Winter",IF(MONTH($CJ6)&gt;=10,"Post-Monsoon",IF(MONTH($CJ6)&gt;=6,"Hot Humid",IF(MONTH($CJ6)&gt;=3,"Hot Dry","Cold Winter")))))</f>
        <v/>
      </c>
      <c r="CL6">
        <f>IF($CE6="","",IFERROR(VLOOKUP($CE6,DECODE!$A$3:$C$8,2,FALSE),"?"))</f>
        <v/>
      </c>
      <c r="CM6">
        <f>IF($AN6="","",AN6)</f>
        <v/>
      </c>
      <c r="CN6">
        <f>IF($AO6="","",AO6)</f>
        <v/>
      </c>
      <c r="CO6">
        <f>IF($AP6="","",AP6)</f>
        <v/>
      </c>
      <c r="CP6">
        <f>IF($CM6="","",IF($CM6="Aloe Vera Gel","Aloe Vera Gel "&amp;$CO6&amp;"g",CN6&amp;" "&amp;$CO6&amp;"g"))</f>
        <v/>
      </c>
      <c r="CQ6">
        <f>IF($AT6="",0,1)</f>
        <v/>
      </c>
      <c r="CR6">
        <f>IF($CQ6=0,"",AW6)</f>
        <v/>
      </c>
      <c r="CS6">
        <f>IF($CQ6=0,"",AX6)</f>
        <v/>
      </c>
      <c r="CT6">
        <f>IF($CQ6=0,"",AY6)</f>
        <v/>
      </c>
      <c r="CU6">
        <f>IF($CR6="","",IF($CR6="Aloe Vera Gel","Aloe Vera Gel "&amp;$CT6&amp;"g",CS6&amp;" "&amp;$CT6&amp;"g"))</f>
        <v/>
      </c>
      <c r="CV6">
        <f>IF($CQ6=0,"",IF($CP6=$CU6,"Repeat Exact",IF($CT6&gt;$CO6,"Upsized",IF($CT6&lt;$CO6,"Downsized",IF($CM6&lt;&gt;$CR6,"Lateral","Same Size Diff Variant")))))</f>
        <v/>
      </c>
      <c r="CW6">
        <f>IF($CQ6=0,"",AZ6-AQ6)</f>
        <v/>
      </c>
      <c r="CX6">
        <f>IF($CQ6=0,0,IF(CS6=CN6,1,0))</f>
        <v/>
      </c>
      <c r="CY6">
        <f>IF($CQ6=0,0,IF(CR6=CM6,1,0))</f>
        <v/>
      </c>
      <c r="CZ6">
        <f>IF($A6="","",IF(AND(IF(DASHBOARD!$C$4="All",TRUE,$CM6=DASHBOARD!$C$4),IF(DASHBOARD!$C$6="All",TRUE,$CP6=DASHBOARD!$C$6),IF(DASHBOARD!$C$8="All",TRUE,$AF6&gt;=DASHBOARD!$C$8),IF(DASHBOARD!$C$10="All",TRUE,$AF6&lt;=DASHBOARD!$C$10),IF(DASHBOARD!$C$12="All",TRUE,$AH6=VALUE(DASHBOARD!$C$12)),IF(DASHBOARD!$C$14="All",TRUE,$AJ6=DASHBOARD!$C$14)),1,0))</f>
        <v/>
      </c>
    </row>
    <row r="7">
      <c r="A7" t="n">
        <v>28252</v>
      </c>
      <c r="B7" t="inlineStr">
        <is>
          <t>Face Malai</t>
        </is>
      </c>
      <c r="H7" t="inlineStr">
        <is>
          <t>Turmeric Nutmeg (Pigmentation)  Face Malai - 30g</t>
        </is>
      </c>
      <c r="N7" t="inlineStr">
        <is>
          <t>FC-DM-PG-030</t>
        </is>
      </c>
      <c r="T7" t="inlineStr">
        <is>
          <t>Jul 4, 2025</t>
        </is>
      </c>
      <c r="AE7" t="inlineStr">
        <is>
          <t>New Delhi</t>
        </is>
      </c>
      <c r="AF7" t="inlineStr">
        <is>
          <t>2025-07</t>
        </is>
      </c>
      <c r="AG7" t="n">
        <v>7</v>
      </c>
      <c r="AH7" t="n">
        <v>1</v>
      </c>
      <c r="AI7" t="n">
        <v>0</v>
      </c>
      <c r="AJ7">
        <f>IF($AE7="","",IFERROR(VLOOKUP(TRIM($AE7),DECODE!$H$3:$I$60,2,FALSE),"Rest of India"))</f>
        <v/>
      </c>
      <c r="AK7">
        <f>IF($N7="","",UPPER(TRIM(LEFT($N7&amp;",",FIND(",",$N7&amp;",")-1))))</f>
        <v/>
      </c>
      <c r="AL7">
        <f>IF($AK7="","",MID($AK7,4,FIND("~",SUBSTITUTE($AK7,"-","~",2))-4))</f>
        <v/>
      </c>
      <c r="AM7">
        <f>IF($AK7="","",MID($AK7,FIND("~",SUBSTITUTE($AK7,"-","~",2))+1,FIND("~",SUBSTITUTE($AK7,"-","~",3))-FIND("~",SUBSTITUTE($AK7,"-","~",2))-1))</f>
        <v/>
      </c>
      <c r="AN7">
        <f>IF($AL7="","",IFERROR(VLOOKUP($AL7,DECODE!$A$3:$C$8,3,FALSE),"?"))</f>
        <v/>
      </c>
      <c r="AO7">
        <f>IF($AM7="","",IFERROR(VLOOKUP($AL7&amp;"-"&amp;$AM7,DECODE!$E$3:$F$21,2,FALSE),"?"))</f>
        <v/>
      </c>
      <c r="AP7">
        <f>IF($AK7="","",IFERROR(VALUE(RIGHT($AK7,3)),""))</f>
        <v/>
      </c>
      <c r="AQ7">
        <f>IF($T7="","",IFERROR(IF(ISNUMBER($T7),$T7,DATEVALUE(TRIM($T7))),""))</f>
        <v/>
      </c>
      <c r="AR7">
        <f>IF($AQ7="","",IF(MONTH($AQ7)&gt;=12,"Cold Winter",IF(MONTH($AQ7)&gt;=10,"Post-Monsoon",IF(MONTH($AQ7)&gt;=6,"Hot Humid",IF(MONTH($AQ7)&gt;=3,"Hot Dry","Cold Winter")))))</f>
        <v/>
      </c>
      <c r="AS7">
        <f>IF($AL7="","",IFERROR(VLOOKUP($AL7,DECODE!$A$3:$C$8,2,FALSE),"?"))</f>
        <v/>
      </c>
      <c r="AT7">
        <f>IF($O7="","",UPPER(TRIM(LEFT($O7&amp;",",FIND(",",$O7&amp;",")-1))))</f>
        <v/>
      </c>
      <c r="AU7">
        <f>IF($AT7="","",MID($AT7,4,FIND("~",SUBSTITUTE($AT7,"-","~",2))-4))</f>
        <v/>
      </c>
      <c r="AV7">
        <f>IF($AT7="","",MID($AT7,FIND("~",SUBSTITUTE($AT7,"-","~",2))+1,FIND("~",SUBSTITUTE($AT7,"-","~",3))-FIND("~",SUBSTITUTE($AT7,"-","~",2))-1))</f>
        <v/>
      </c>
      <c r="AW7">
        <f>IF($AU7="","",IFERROR(VLOOKUP($AU7,DECODE!$A$3:$C$8,3,FALSE),"?"))</f>
        <v/>
      </c>
      <c r="AX7">
        <f>IF($AV7="","",IFERROR(VLOOKUP($AU7&amp;"-"&amp;$AV7,DECODE!$E$3:$F$21,2,FALSE),"?"))</f>
        <v/>
      </c>
      <c r="AY7">
        <f>IF($AT7="","",IFERROR(VALUE(RIGHT($AT7,3)),""))</f>
        <v/>
      </c>
      <c r="AZ7">
        <f>IF($U7="","",IFERROR(IF(ISNUMBER($U7),$U7,DATEVALUE(TRIM($U7))),""))</f>
        <v/>
      </c>
      <c r="BA7">
        <f>IF($AZ7="","",IF(MONTH($AZ7)&gt;=12,"Cold Winter",IF(MONTH($AZ7)&gt;=10,"Post-Monsoon",IF(MONTH($AZ7)&gt;=6,"Hot Humid",IF(MONTH($AZ7)&gt;=3,"Hot Dry","Cold Winter")))))</f>
        <v/>
      </c>
      <c r="BB7">
        <f>IF($AU7="","",IFERROR(VLOOKUP($AU7,DECODE!$A$3:$C$8,2,FALSE),"?"))</f>
        <v/>
      </c>
      <c r="BC7">
        <f>IF($P7="","",UPPER(TRIM(LEFT($P7&amp;",",FIND(",",$P7&amp;",")-1))))</f>
        <v/>
      </c>
      <c r="BD7">
        <f>IF($BC7="","",MID($BC7,4,FIND("~",SUBSTITUTE($BC7,"-","~",2))-4))</f>
        <v/>
      </c>
      <c r="BE7">
        <f>IF($BC7="","",MID($BC7,FIND("~",SUBSTITUTE($BC7,"-","~",2))+1,FIND("~",SUBSTITUTE($BC7,"-","~",3))-FIND("~",SUBSTITUTE($BC7,"-","~",2))-1))</f>
        <v/>
      </c>
      <c r="BF7">
        <f>IF($BD7="","",IFERROR(VLOOKUP($BD7,DECODE!$A$3:$C$8,3,FALSE),"?"))</f>
        <v/>
      </c>
      <c r="BG7">
        <f>IF($BE7="","",IFERROR(VLOOKUP($BD7&amp;"-"&amp;$BE7,DECODE!$E$3:$F$21,2,FALSE),"?"))</f>
        <v/>
      </c>
      <c r="BH7">
        <f>IF($BC7="","",IFERROR(VALUE(RIGHT($BC7,3)),""))</f>
        <v/>
      </c>
      <c r="BI7">
        <f>IF($V7="","",IFERROR(IF(ISNUMBER($V7),$V7,DATEVALUE(TRIM($V7))),""))</f>
        <v/>
      </c>
      <c r="BJ7">
        <f>IF($BI7="","",IF(MONTH($BI7)&gt;=12,"Cold Winter",IF(MONTH($BI7)&gt;=10,"Post-Monsoon",IF(MONTH($BI7)&gt;=6,"Hot Humid",IF(MONTH($BI7)&gt;=3,"Hot Dry","Cold Winter")))))</f>
        <v/>
      </c>
      <c r="BK7">
        <f>IF($BD7="","",IFERROR(VLOOKUP($BD7,DECODE!$A$3:$C$8,2,FALSE),"?"))</f>
        <v/>
      </c>
      <c r="BL7">
        <f>IF($Q7="","",UPPER(TRIM(LEFT($Q7&amp;",",FIND(",",$Q7&amp;",")-1))))</f>
        <v/>
      </c>
      <c r="BM7">
        <f>IF($BL7="","",MID($BL7,4,FIND("~",SUBSTITUTE($BL7,"-","~",2))-4))</f>
        <v/>
      </c>
      <c r="BN7">
        <f>IF($BL7="","",MID($BL7,FIND("~",SUBSTITUTE($BL7,"-","~",2))+1,FIND("~",SUBSTITUTE($BL7,"-","~",3))-FIND("~",SUBSTITUTE($BL7,"-","~",2))-1))</f>
        <v/>
      </c>
      <c r="BO7">
        <f>IF($BM7="","",IFERROR(VLOOKUP($BM7,DECODE!$A$3:$C$8,3,FALSE),"?"))</f>
        <v/>
      </c>
      <c r="BP7">
        <f>IF($BN7="","",IFERROR(VLOOKUP($BM7&amp;"-"&amp;$BN7,DECODE!$E$3:$F$21,2,FALSE),"?"))</f>
        <v/>
      </c>
      <c r="BQ7">
        <f>IF($BL7="","",IFERROR(VALUE(RIGHT($BL7,3)),""))</f>
        <v/>
      </c>
      <c r="BR7">
        <f>IF($W7="","",IFERROR(IF(ISNUMBER($W7),$W7,DATEVALUE(TRIM($W7))),""))</f>
        <v/>
      </c>
      <c r="BS7">
        <f>IF($BR7="","",IF(MONTH($BR7)&gt;=12,"Cold Winter",IF(MONTH($BR7)&gt;=10,"Post-Monsoon",IF(MONTH($BR7)&gt;=6,"Hot Humid",IF(MONTH($BR7)&gt;=3,"Hot Dry","Cold Winter")))))</f>
        <v/>
      </c>
      <c r="BT7">
        <f>IF($BM7="","",IFERROR(VLOOKUP($BM7,DECODE!$A$3:$C$8,2,FALSE),"?"))</f>
        <v/>
      </c>
      <c r="BU7">
        <f>IF($R7="","",UPPER(TRIM(LEFT($R7&amp;",",FIND(",",$R7&amp;",")-1))))</f>
        <v/>
      </c>
      <c r="BV7">
        <f>IF($BU7="","",MID($BU7,4,FIND("~",SUBSTITUTE($BU7,"-","~",2))-4))</f>
        <v/>
      </c>
      <c r="BW7">
        <f>IF($BU7="","",MID($BU7,FIND("~",SUBSTITUTE($BU7,"-","~",2))+1,FIND("~",SUBSTITUTE($BU7,"-","~",3))-FIND("~",SUBSTITUTE($BU7,"-","~",2))-1))</f>
        <v/>
      </c>
      <c r="BX7">
        <f>IF($BV7="","",IFERROR(VLOOKUP($BV7,DECODE!$A$3:$C$8,3,FALSE),"?"))</f>
        <v/>
      </c>
      <c r="BY7">
        <f>IF($BW7="","",IFERROR(VLOOKUP($BV7&amp;"-"&amp;$BW7,DECODE!$E$3:$F$21,2,FALSE),"?"))</f>
        <v/>
      </c>
      <c r="BZ7">
        <f>IF($BU7="","",IFERROR(VALUE(RIGHT($BU7,3)),""))</f>
        <v/>
      </c>
      <c r="CA7">
        <f>IF($X7="","",IFERROR(IF(ISNUMBER($X7),$X7,DATEVALUE(TRIM($X7))),""))</f>
        <v/>
      </c>
      <c r="CB7">
        <f>IF($CA7="","",IF(MONTH($CA7)&gt;=12,"Cold Winter",IF(MONTH($CA7)&gt;=10,"Post-Monsoon",IF(MONTH($CA7)&gt;=6,"Hot Humid",IF(MONTH($CA7)&gt;=3,"Hot Dry","Cold Winter")))))</f>
        <v/>
      </c>
      <c r="CC7">
        <f>IF($BV7="","",IFERROR(VLOOKUP($BV7,DECODE!$A$3:$C$8,2,FALSE),"?"))</f>
        <v/>
      </c>
      <c r="CD7">
        <f>IF($S7="","",UPPER(TRIM(LEFT($S7&amp;",",FIND(",",$S7&amp;",")-1))))</f>
        <v/>
      </c>
      <c r="CE7">
        <f>IF($CD7="","",MID($CD7,4,FIND("~",SUBSTITUTE($CD7,"-","~",2))-4))</f>
        <v/>
      </c>
      <c r="CF7">
        <f>IF($CD7="","",MID($CD7,FIND("~",SUBSTITUTE($CD7,"-","~",2))+1,FIND("~",SUBSTITUTE($CD7,"-","~",3))-FIND("~",SUBSTITUTE($CD7,"-","~",2))-1))</f>
        <v/>
      </c>
      <c r="CG7">
        <f>IF($CE7="","",IFERROR(VLOOKUP($CE7,DECODE!$A$3:$C$8,3,FALSE),"?"))</f>
        <v/>
      </c>
      <c r="CH7">
        <f>IF($CF7="","",IFERROR(VLOOKUP($CE7&amp;"-"&amp;$CF7,DECODE!$E$3:$F$21,2,FALSE),"?"))</f>
        <v/>
      </c>
      <c r="CI7">
        <f>IF($CD7="","",IFERROR(VALUE(RIGHT($CD7,3)),""))</f>
        <v/>
      </c>
      <c r="CJ7">
        <f>IF($Y7="","",IFERROR(IF(ISNUMBER($Y7),$Y7,DATEVALUE(TRIM($Y7))),""))</f>
        <v/>
      </c>
      <c r="CK7">
        <f>IF($CJ7="","",IF(MONTH($CJ7)&gt;=12,"Cold Winter",IF(MONTH($CJ7)&gt;=10,"Post-Monsoon",IF(MONTH($CJ7)&gt;=6,"Hot Humid",IF(MONTH($CJ7)&gt;=3,"Hot Dry","Cold Winter")))))</f>
        <v/>
      </c>
      <c r="CL7">
        <f>IF($CE7="","",IFERROR(VLOOKUP($CE7,DECODE!$A$3:$C$8,2,FALSE),"?"))</f>
        <v/>
      </c>
      <c r="CM7">
        <f>IF($AN7="","",AN7)</f>
        <v/>
      </c>
      <c r="CN7">
        <f>IF($AO7="","",AO7)</f>
        <v/>
      </c>
      <c r="CO7">
        <f>IF($AP7="","",AP7)</f>
        <v/>
      </c>
      <c r="CP7">
        <f>IF($CM7="","",IF($CM7="Aloe Vera Gel","Aloe Vera Gel "&amp;$CO7&amp;"g",CN7&amp;" "&amp;$CO7&amp;"g"))</f>
        <v/>
      </c>
      <c r="CQ7">
        <f>IF($AT7="",0,1)</f>
        <v/>
      </c>
      <c r="CR7">
        <f>IF($CQ7=0,"",AW7)</f>
        <v/>
      </c>
      <c r="CS7">
        <f>IF($CQ7=0,"",AX7)</f>
        <v/>
      </c>
      <c r="CT7">
        <f>IF($CQ7=0,"",AY7)</f>
        <v/>
      </c>
      <c r="CU7">
        <f>IF($CR7="","",IF($CR7="Aloe Vera Gel","Aloe Vera Gel "&amp;$CT7&amp;"g",CS7&amp;" "&amp;$CT7&amp;"g"))</f>
        <v/>
      </c>
      <c r="CV7">
        <f>IF($CQ7=0,"",IF($CP7=$CU7,"Repeat Exact",IF($CT7&gt;$CO7,"Upsized",IF($CT7&lt;$CO7,"Downsized",IF($CM7&lt;&gt;$CR7,"Lateral","Same Size Diff Variant")))))</f>
        <v/>
      </c>
      <c r="CW7">
        <f>IF($CQ7=0,"",AZ7-AQ7)</f>
        <v/>
      </c>
      <c r="CX7">
        <f>IF($CQ7=0,0,IF(CS7=CN7,1,0))</f>
        <v/>
      </c>
      <c r="CY7">
        <f>IF($CQ7=0,0,IF(CR7=CM7,1,0))</f>
        <v/>
      </c>
      <c r="CZ7">
        <f>IF($A7="","",IF(AND(IF(DASHBOARD!$C$4="All",TRUE,$CM7=DASHBOARD!$C$4),IF(DASHBOARD!$C$6="All",TRUE,$CP7=DASHBOARD!$C$6),IF(DASHBOARD!$C$8="All",TRUE,$AF7&gt;=DASHBOARD!$C$8),IF(DASHBOARD!$C$10="All",TRUE,$AF7&lt;=DASHBOARD!$C$10),IF(DASHBOARD!$C$12="All",TRUE,$AH7=VALUE(DASHBOARD!$C$12)),IF(DASHBOARD!$C$14="All",TRUE,$AJ7=DASHBOARD!$C$14)),1,0))</f>
        <v/>
      </c>
    </row>
    <row r="8">
      <c r="A8" t="n">
        <v>28597</v>
      </c>
      <c r="B8" t="inlineStr">
        <is>
          <t>Active Gel, Face Malai</t>
        </is>
      </c>
      <c r="C8" t="inlineStr">
        <is>
          <t>Active Gel, Aloe Vera Gel</t>
        </is>
      </c>
      <c r="D8" t="inlineStr">
        <is>
          <t>Active Gel</t>
        </is>
      </c>
      <c r="E8" t="inlineStr">
        <is>
          <t>Active Gel</t>
        </is>
      </c>
      <c r="H8" t="inlineStr">
        <is>
          <t>Tomato Rosehip (Hot Dry) 20 - 35 Yrs Face Malai - 30g, Active Orange Kiwi Vit-C Gel</t>
        </is>
      </c>
      <c r="I8" t="inlineStr">
        <is>
          <t>Aloe Vera Gel - 40 gms, Active Beetroot Tomato Vit-A Gel</t>
        </is>
      </c>
      <c r="J8" t="inlineStr">
        <is>
          <t>Active Orange Kiwi Vit-C Gel</t>
        </is>
      </c>
      <c r="K8" t="inlineStr">
        <is>
          <t>Active Orange Kiwi Vit-C Gel</t>
        </is>
      </c>
      <c r="N8" t="inlineStr">
        <is>
          <t>FC-HDDM-TR-030, FC-AC-OK-050</t>
        </is>
      </c>
      <c r="O8" t="inlineStr">
        <is>
          <t>FC-HG-PA-040, FC-AC-BT-050</t>
        </is>
      </c>
      <c r="P8" t="inlineStr">
        <is>
          <t>FC-AC-OK-050</t>
        </is>
      </c>
      <c r="Q8" t="inlineStr">
        <is>
          <t>FC-AC-OK-050</t>
        </is>
      </c>
      <c r="T8" t="inlineStr">
        <is>
          <t>Feb 28, 2024</t>
        </is>
      </c>
      <c r="U8" t="inlineStr">
        <is>
          <t>Jul 1, 2024</t>
        </is>
      </c>
      <c r="V8" t="inlineStr">
        <is>
          <t>Nov 21, 2024</t>
        </is>
      </c>
      <c r="W8" t="inlineStr">
        <is>
          <t>Mar 24, 2025</t>
        </is>
      </c>
      <c r="Z8" t="n">
        <v>124</v>
      </c>
      <c r="AA8" t="n">
        <v>143</v>
      </c>
      <c r="AB8" t="n">
        <v>123</v>
      </c>
      <c r="AE8" t="inlineStr">
        <is>
          <t>New Delhi</t>
        </is>
      </c>
      <c r="AF8" t="inlineStr">
        <is>
          <t>2024-02</t>
        </is>
      </c>
      <c r="AG8" t="n">
        <v>2</v>
      </c>
      <c r="AH8" t="n">
        <v>4</v>
      </c>
      <c r="AI8" t="n">
        <v>1</v>
      </c>
      <c r="AJ8">
        <f>IF($AE8="","",IFERROR(VLOOKUP(TRIM($AE8),DECODE!$H$3:$I$60,2,FALSE),"Rest of India"))</f>
        <v/>
      </c>
      <c r="AK8">
        <f>IF($N8="","",UPPER(TRIM(LEFT($N8&amp;",",FIND(",",$N8&amp;",")-1))))</f>
        <v/>
      </c>
      <c r="AL8">
        <f>IF($AK8="","",MID($AK8,4,FIND("~",SUBSTITUTE($AK8,"-","~",2))-4))</f>
        <v/>
      </c>
      <c r="AM8">
        <f>IF($AK8="","",MID($AK8,FIND("~",SUBSTITUTE($AK8,"-","~",2))+1,FIND("~",SUBSTITUTE($AK8,"-","~",3))-FIND("~",SUBSTITUTE($AK8,"-","~",2))-1))</f>
        <v/>
      </c>
      <c r="AN8">
        <f>IF($AL8="","",IFERROR(VLOOKUP($AL8,DECODE!$A$3:$C$8,3,FALSE),"?"))</f>
        <v/>
      </c>
      <c r="AO8">
        <f>IF($AM8="","",IFERROR(VLOOKUP($AL8&amp;"-"&amp;$AM8,DECODE!$E$3:$F$21,2,FALSE),"?"))</f>
        <v/>
      </c>
      <c r="AP8">
        <f>IF($AK8="","",IFERROR(VALUE(RIGHT($AK8,3)),""))</f>
        <v/>
      </c>
      <c r="AQ8">
        <f>IF($T8="","",IFERROR(IF(ISNUMBER($T8),$T8,DATEVALUE(TRIM($T8))),""))</f>
        <v/>
      </c>
      <c r="AR8">
        <f>IF($AQ8="","",IF(MONTH($AQ8)&gt;=12,"Cold Winter",IF(MONTH($AQ8)&gt;=10,"Post-Monsoon",IF(MONTH($AQ8)&gt;=6,"Hot Humid",IF(MONTH($AQ8)&gt;=3,"Hot Dry","Cold Winter")))))</f>
        <v/>
      </c>
      <c r="AS8">
        <f>IF($AL8="","",IFERROR(VLOOKUP($AL8,DECODE!$A$3:$C$8,2,FALSE),"?"))</f>
        <v/>
      </c>
      <c r="AT8">
        <f>IF($O8="","",UPPER(TRIM(LEFT($O8&amp;",",FIND(",",$O8&amp;",")-1))))</f>
        <v/>
      </c>
      <c r="AU8">
        <f>IF($AT8="","",MID($AT8,4,FIND("~",SUBSTITUTE($AT8,"-","~",2))-4))</f>
        <v/>
      </c>
      <c r="AV8">
        <f>IF($AT8="","",MID($AT8,FIND("~",SUBSTITUTE($AT8,"-","~",2))+1,FIND("~",SUBSTITUTE($AT8,"-","~",3))-FIND("~",SUBSTITUTE($AT8,"-","~",2))-1))</f>
        <v/>
      </c>
      <c r="AW8">
        <f>IF($AU8="","",IFERROR(VLOOKUP($AU8,DECODE!$A$3:$C$8,3,FALSE),"?"))</f>
        <v/>
      </c>
      <c r="AX8">
        <f>IF($AV8="","",IFERROR(VLOOKUP($AU8&amp;"-"&amp;$AV8,DECODE!$E$3:$F$21,2,FALSE),"?"))</f>
        <v/>
      </c>
      <c r="AY8">
        <f>IF($AT8="","",IFERROR(VALUE(RIGHT($AT8,3)),""))</f>
        <v/>
      </c>
      <c r="AZ8">
        <f>IF($U8="","",IFERROR(IF(ISNUMBER($U8),$U8,DATEVALUE(TRIM($U8))),""))</f>
        <v/>
      </c>
      <c r="BA8">
        <f>IF($AZ8="","",IF(MONTH($AZ8)&gt;=12,"Cold Winter",IF(MONTH($AZ8)&gt;=10,"Post-Monsoon",IF(MONTH($AZ8)&gt;=6,"Hot Humid",IF(MONTH($AZ8)&gt;=3,"Hot Dry","Cold Winter")))))</f>
        <v/>
      </c>
      <c r="BB8">
        <f>IF($AU8="","",IFERROR(VLOOKUP($AU8,DECODE!$A$3:$C$8,2,FALSE),"?"))</f>
        <v/>
      </c>
      <c r="BC8">
        <f>IF($P8="","",UPPER(TRIM(LEFT($P8&amp;",",FIND(",",$P8&amp;",")-1))))</f>
        <v/>
      </c>
      <c r="BD8">
        <f>IF($BC8="","",MID($BC8,4,FIND("~",SUBSTITUTE($BC8,"-","~",2))-4))</f>
        <v/>
      </c>
      <c r="BE8">
        <f>IF($BC8="","",MID($BC8,FIND("~",SUBSTITUTE($BC8,"-","~",2))+1,FIND("~",SUBSTITUTE($BC8,"-","~",3))-FIND("~",SUBSTITUTE($BC8,"-","~",2))-1))</f>
        <v/>
      </c>
      <c r="BF8">
        <f>IF($BD8="","",IFERROR(VLOOKUP($BD8,DECODE!$A$3:$C$8,3,FALSE),"?"))</f>
        <v/>
      </c>
      <c r="BG8">
        <f>IF($BE8="","",IFERROR(VLOOKUP($BD8&amp;"-"&amp;$BE8,DECODE!$E$3:$F$21,2,FALSE),"?"))</f>
        <v/>
      </c>
      <c r="BH8">
        <f>IF($BC8="","",IFERROR(VALUE(RIGHT($BC8,3)),""))</f>
        <v/>
      </c>
      <c r="BI8">
        <f>IF($V8="","",IFERROR(IF(ISNUMBER($V8),$V8,DATEVALUE(TRIM($V8))),""))</f>
        <v/>
      </c>
      <c r="BJ8">
        <f>IF($BI8="","",IF(MONTH($BI8)&gt;=12,"Cold Winter",IF(MONTH($BI8)&gt;=10,"Post-Monsoon",IF(MONTH($BI8)&gt;=6,"Hot Humid",IF(MONTH($BI8)&gt;=3,"Hot Dry","Cold Winter")))))</f>
        <v/>
      </c>
      <c r="BK8">
        <f>IF($BD8="","",IFERROR(VLOOKUP($BD8,DECODE!$A$3:$C$8,2,FALSE),"?"))</f>
        <v/>
      </c>
      <c r="BL8">
        <f>IF($Q8="","",UPPER(TRIM(LEFT($Q8&amp;",",FIND(",",$Q8&amp;",")-1))))</f>
        <v/>
      </c>
      <c r="BM8">
        <f>IF($BL8="","",MID($BL8,4,FIND("~",SUBSTITUTE($BL8,"-","~",2))-4))</f>
        <v/>
      </c>
      <c r="BN8">
        <f>IF($BL8="","",MID($BL8,FIND("~",SUBSTITUTE($BL8,"-","~",2))+1,FIND("~",SUBSTITUTE($BL8,"-","~",3))-FIND("~",SUBSTITUTE($BL8,"-","~",2))-1))</f>
        <v/>
      </c>
      <c r="BO8">
        <f>IF($BM8="","",IFERROR(VLOOKUP($BM8,DECODE!$A$3:$C$8,3,FALSE),"?"))</f>
        <v/>
      </c>
      <c r="BP8">
        <f>IF($BN8="","",IFERROR(VLOOKUP($BM8&amp;"-"&amp;$BN8,DECODE!$E$3:$F$21,2,FALSE),"?"))</f>
        <v/>
      </c>
      <c r="BQ8">
        <f>IF($BL8="","",IFERROR(VALUE(RIGHT($BL8,3)),""))</f>
        <v/>
      </c>
      <c r="BR8">
        <f>IF($W8="","",IFERROR(IF(ISNUMBER($W8),$W8,DATEVALUE(TRIM($W8))),""))</f>
        <v/>
      </c>
      <c r="BS8">
        <f>IF($BR8="","",IF(MONTH($BR8)&gt;=12,"Cold Winter",IF(MONTH($BR8)&gt;=10,"Post-Monsoon",IF(MONTH($BR8)&gt;=6,"Hot Humid",IF(MONTH($BR8)&gt;=3,"Hot Dry","Cold Winter")))))</f>
        <v/>
      </c>
      <c r="BT8">
        <f>IF($BM8="","",IFERROR(VLOOKUP($BM8,DECODE!$A$3:$C$8,2,FALSE),"?"))</f>
        <v/>
      </c>
      <c r="BU8">
        <f>IF($R8="","",UPPER(TRIM(LEFT($R8&amp;",",FIND(",",$R8&amp;",")-1))))</f>
        <v/>
      </c>
      <c r="BV8">
        <f>IF($BU8="","",MID($BU8,4,FIND("~",SUBSTITUTE($BU8,"-","~",2))-4))</f>
        <v/>
      </c>
      <c r="BW8">
        <f>IF($BU8="","",MID($BU8,FIND("~",SUBSTITUTE($BU8,"-","~",2))+1,FIND("~",SUBSTITUTE($BU8,"-","~",3))-FIND("~",SUBSTITUTE($BU8,"-","~",2))-1))</f>
        <v/>
      </c>
      <c r="BX8">
        <f>IF($BV8="","",IFERROR(VLOOKUP($BV8,DECODE!$A$3:$C$8,3,FALSE),"?"))</f>
        <v/>
      </c>
      <c r="BY8">
        <f>IF($BW8="","",IFERROR(VLOOKUP($BV8&amp;"-"&amp;$BW8,DECODE!$E$3:$F$21,2,FALSE),"?"))</f>
        <v/>
      </c>
      <c r="BZ8">
        <f>IF($BU8="","",IFERROR(VALUE(RIGHT($BU8,3)),""))</f>
        <v/>
      </c>
      <c r="CA8">
        <f>IF($X8="","",IFERROR(IF(ISNUMBER($X8),$X8,DATEVALUE(TRIM($X8))),""))</f>
        <v/>
      </c>
      <c r="CB8">
        <f>IF($CA8="","",IF(MONTH($CA8)&gt;=12,"Cold Winter",IF(MONTH($CA8)&gt;=10,"Post-Monsoon",IF(MONTH($CA8)&gt;=6,"Hot Humid",IF(MONTH($CA8)&gt;=3,"Hot Dry","Cold Winter")))))</f>
        <v/>
      </c>
      <c r="CC8">
        <f>IF($BV8="","",IFERROR(VLOOKUP($BV8,DECODE!$A$3:$C$8,2,FALSE),"?"))</f>
        <v/>
      </c>
      <c r="CD8">
        <f>IF($S8="","",UPPER(TRIM(LEFT($S8&amp;",",FIND(",",$S8&amp;",")-1))))</f>
        <v/>
      </c>
      <c r="CE8">
        <f>IF($CD8="","",MID($CD8,4,FIND("~",SUBSTITUTE($CD8,"-","~",2))-4))</f>
        <v/>
      </c>
      <c r="CF8">
        <f>IF($CD8="","",MID($CD8,FIND("~",SUBSTITUTE($CD8,"-","~",2))+1,FIND("~",SUBSTITUTE($CD8,"-","~",3))-FIND("~",SUBSTITUTE($CD8,"-","~",2))-1))</f>
        <v/>
      </c>
      <c r="CG8">
        <f>IF($CE8="","",IFERROR(VLOOKUP($CE8,DECODE!$A$3:$C$8,3,FALSE),"?"))</f>
        <v/>
      </c>
      <c r="CH8">
        <f>IF($CF8="","",IFERROR(VLOOKUP($CE8&amp;"-"&amp;$CF8,DECODE!$E$3:$F$21,2,FALSE),"?"))</f>
        <v/>
      </c>
      <c r="CI8">
        <f>IF($CD8="","",IFERROR(VALUE(RIGHT($CD8,3)),""))</f>
        <v/>
      </c>
      <c r="CJ8">
        <f>IF($Y8="","",IFERROR(IF(ISNUMBER($Y8),$Y8,DATEVALUE(TRIM($Y8))),""))</f>
        <v/>
      </c>
      <c r="CK8">
        <f>IF($CJ8="","",IF(MONTH($CJ8)&gt;=12,"Cold Winter",IF(MONTH($CJ8)&gt;=10,"Post-Monsoon",IF(MONTH($CJ8)&gt;=6,"Hot Humid",IF(MONTH($CJ8)&gt;=3,"Hot Dry","Cold Winter")))))</f>
        <v/>
      </c>
      <c r="CL8">
        <f>IF($CE8="","",IFERROR(VLOOKUP($CE8,DECODE!$A$3:$C$8,2,FALSE),"?"))</f>
        <v/>
      </c>
      <c r="CM8">
        <f>IF($AN8="","",AN8)</f>
        <v/>
      </c>
      <c r="CN8">
        <f>IF($AO8="","",AO8)</f>
        <v/>
      </c>
      <c r="CO8">
        <f>IF($AP8="","",AP8)</f>
        <v/>
      </c>
      <c r="CP8">
        <f>IF($CM8="","",IF($CM8="Aloe Vera Gel","Aloe Vera Gel "&amp;$CO8&amp;"g",CN8&amp;" "&amp;$CO8&amp;"g"))</f>
        <v/>
      </c>
      <c r="CQ8">
        <f>IF($AT8="",0,1)</f>
        <v/>
      </c>
      <c r="CR8">
        <f>IF($CQ8=0,"",AW8)</f>
        <v/>
      </c>
      <c r="CS8">
        <f>IF($CQ8=0,"",AX8)</f>
        <v/>
      </c>
      <c r="CT8">
        <f>IF($CQ8=0,"",AY8)</f>
        <v/>
      </c>
      <c r="CU8">
        <f>IF($CR8="","",IF($CR8="Aloe Vera Gel","Aloe Vera Gel "&amp;$CT8&amp;"g",CS8&amp;" "&amp;$CT8&amp;"g"))</f>
        <v/>
      </c>
      <c r="CV8">
        <f>IF($CQ8=0,"",IF($CP8=$CU8,"Repeat Exact",IF($CT8&gt;$CO8,"Upsized",IF($CT8&lt;$CO8,"Downsized",IF($CM8&lt;&gt;$CR8,"Lateral","Same Size Diff Variant")))))</f>
        <v/>
      </c>
      <c r="CW8">
        <f>IF($CQ8=0,"",AZ8-AQ8)</f>
        <v/>
      </c>
      <c r="CX8">
        <f>IF($CQ8=0,0,IF(CS8=CN8,1,0))</f>
        <v/>
      </c>
      <c r="CY8">
        <f>IF($CQ8=0,0,IF(CR8=CM8,1,0))</f>
        <v/>
      </c>
      <c r="CZ8">
        <f>IF($A8="","",IF(AND(IF(DASHBOARD!$C$4="All",TRUE,$CM8=DASHBOARD!$C$4),IF(DASHBOARD!$C$6="All",TRUE,$CP8=DASHBOARD!$C$6),IF(DASHBOARD!$C$8="All",TRUE,$AF8&gt;=DASHBOARD!$C$8),IF(DASHBOARD!$C$10="All",TRUE,$AF8&lt;=DASHBOARD!$C$10),IF(DASHBOARD!$C$12="All",TRUE,$AH8=VALUE(DASHBOARD!$C$12)),IF(DASHBOARD!$C$14="All",TRUE,$AJ8=DASHBOARD!$C$14)),1,0))</f>
        <v/>
      </c>
    </row>
    <row r="9">
      <c r="A9" t="n">
        <v>28670</v>
      </c>
      <c r="B9" t="inlineStr">
        <is>
          <t>Active Gel</t>
        </is>
      </c>
      <c r="H9" t="inlineStr">
        <is>
          <t>Active Orange Kiwi Vit-C Gel</t>
        </is>
      </c>
      <c r="N9" t="inlineStr">
        <is>
          <t>FC-AC-OK-050</t>
        </is>
      </c>
      <c r="T9" t="inlineStr">
        <is>
          <t>Apr 25, 2026</t>
        </is>
      </c>
      <c r="AE9" t="inlineStr">
        <is>
          <t>Gurgaon</t>
        </is>
      </c>
      <c r="AF9" t="inlineStr">
        <is>
          <t>2026-04</t>
        </is>
      </c>
      <c r="AG9" t="n">
        <v>4</v>
      </c>
      <c r="AH9" t="n">
        <v>1</v>
      </c>
      <c r="AI9" t="n">
        <v>0</v>
      </c>
      <c r="AJ9">
        <f>IF($AE9="","",IFERROR(VLOOKUP(TRIM($AE9),DECODE!$H$3:$I$60,2,FALSE),"Rest of India"))</f>
        <v/>
      </c>
      <c r="AK9">
        <f>IF($N9="","",UPPER(TRIM(LEFT($N9&amp;",",FIND(",",$N9&amp;",")-1))))</f>
        <v/>
      </c>
      <c r="AL9">
        <f>IF($AK9="","",MID($AK9,4,FIND("~",SUBSTITUTE($AK9,"-","~",2))-4))</f>
        <v/>
      </c>
      <c r="AM9">
        <f>IF($AK9="","",MID($AK9,FIND("~",SUBSTITUTE($AK9,"-","~",2))+1,FIND("~",SUBSTITUTE($AK9,"-","~",3))-FIND("~",SUBSTITUTE($AK9,"-","~",2))-1))</f>
        <v/>
      </c>
      <c r="AN9">
        <f>IF($AL9="","",IFERROR(VLOOKUP($AL9,DECODE!$A$3:$C$8,3,FALSE),"?"))</f>
        <v/>
      </c>
      <c r="AO9">
        <f>IF($AM9="","",IFERROR(VLOOKUP($AL9&amp;"-"&amp;$AM9,DECODE!$E$3:$F$21,2,FALSE),"?"))</f>
        <v/>
      </c>
      <c r="AP9">
        <f>IF($AK9="","",IFERROR(VALUE(RIGHT($AK9,3)),""))</f>
        <v/>
      </c>
      <c r="AQ9">
        <f>IF($T9="","",IFERROR(IF(ISNUMBER($T9),$T9,DATEVALUE(TRIM($T9))),""))</f>
        <v/>
      </c>
      <c r="AR9">
        <f>IF($AQ9="","",IF(MONTH($AQ9)&gt;=12,"Cold Winter",IF(MONTH($AQ9)&gt;=10,"Post-Monsoon",IF(MONTH($AQ9)&gt;=6,"Hot Humid",IF(MONTH($AQ9)&gt;=3,"Hot Dry","Cold Winter")))))</f>
        <v/>
      </c>
      <c r="AS9">
        <f>IF($AL9="","",IFERROR(VLOOKUP($AL9,DECODE!$A$3:$C$8,2,FALSE),"?"))</f>
        <v/>
      </c>
      <c r="AT9">
        <f>IF($O9="","",UPPER(TRIM(LEFT($O9&amp;",",FIND(",",$O9&amp;",")-1))))</f>
        <v/>
      </c>
      <c r="AU9">
        <f>IF($AT9="","",MID($AT9,4,FIND("~",SUBSTITUTE($AT9,"-","~",2))-4))</f>
        <v/>
      </c>
      <c r="AV9">
        <f>IF($AT9="","",MID($AT9,FIND("~",SUBSTITUTE($AT9,"-","~",2))+1,FIND("~",SUBSTITUTE($AT9,"-","~",3))-FIND("~",SUBSTITUTE($AT9,"-","~",2))-1))</f>
        <v/>
      </c>
      <c r="AW9">
        <f>IF($AU9="","",IFERROR(VLOOKUP($AU9,DECODE!$A$3:$C$8,3,FALSE),"?"))</f>
        <v/>
      </c>
      <c r="AX9">
        <f>IF($AV9="","",IFERROR(VLOOKUP($AU9&amp;"-"&amp;$AV9,DECODE!$E$3:$F$21,2,FALSE),"?"))</f>
        <v/>
      </c>
      <c r="AY9">
        <f>IF($AT9="","",IFERROR(VALUE(RIGHT($AT9,3)),""))</f>
        <v/>
      </c>
      <c r="AZ9">
        <f>IF($U9="","",IFERROR(IF(ISNUMBER($U9),$U9,DATEVALUE(TRIM($U9))),""))</f>
        <v/>
      </c>
      <c r="BA9">
        <f>IF($AZ9="","",IF(MONTH($AZ9)&gt;=12,"Cold Winter",IF(MONTH($AZ9)&gt;=10,"Post-Monsoon",IF(MONTH($AZ9)&gt;=6,"Hot Humid",IF(MONTH($AZ9)&gt;=3,"Hot Dry","Cold Winter")))))</f>
        <v/>
      </c>
      <c r="BB9">
        <f>IF($AU9="","",IFERROR(VLOOKUP($AU9,DECODE!$A$3:$C$8,2,FALSE),"?"))</f>
        <v/>
      </c>
      <c r="BC9">
        <f>IF($P9="","",UPPER(TRIM(LEFT($P9&amp;",",FIND(",",$P9&amp;",")-1))))</f>
        <v/>
      </c>
      <c r="BD9">
        <f>IF($BC9="","",MID($BC9,4,FIND("~",SUBSTITUTE($BC9,"-","~",2))-4))</f>
        <v/>
      </c>
      <c r="BE9">
        <f>IF($BC9="","",MID($BC9,FIND("~",SUBSTITUTE($BC9,"-","~",2))+1,FIND("~",SUBSTITUTE($BC9,"-","~",3))-FIND("~",SUBSTITUTE($BC9,"-","~",2))-1))</f>
        <v/>
      </c>
      <c r="BF9">
        <f>IF($BD9="","",IFERROR(VLOOKUP($BD9,DECODE!$A$3:$C$8,3,FALSE),"?"))</f>
        <v/>
      </c>
      <c r="BG9">
        <f>IF($BE9="","",IFERROR(VLOOKUP($BD9&amp;"-"&amp;$BE9,DECODE!$E$3:$F$21,2,FALSE),"?"))</f>
        <v/>
      </c>
      <c r="BH9">
        <f>IF($BC9="","",IFERROR(VALUE(RIGHT($BC9,3)),""))</f>
        <v/>
      </c>
      <c r="BI9">
        <f>IF($V9="","",IFERROR(IF(ISNUMBER($V9),$V9,DATEVALUE(TRIM($V9))),""))</f>
        <v/>
      </c>
      <c r="BJ9">
        <f>IF($BI9="","",IF(MONTH($BI9)&gt;=12,"Cold Winter",IF(MONTH($BI9)&gt;=10,"Post-Monsoon",IF(MONTH($BI9)&gt;=6,"Hot Humid",IF(MONTH($BI9)&gt;=3,"Hot Dry","Cold Winter")))))</f>
        <v/>
      </c>
      <c r="BK9">
        <f>IF($BD9="","",IFERROR(VLOOKUP($BD9,DECODE!$A$3:$C$8,2,FALSE),"?"))</f>
        <v/>
      </c>
      <c r="BL9">
        <f>IF($Q9="","",UPPER(TRIM(LEFT($Q9&amp;",",FIND(",",$Q9&amp;",")-1))))</f>
        <v/>
      </c>
      <c r="BM9">
        <f>IF($BL9="","",MID($BL9,4,FIND("~",SUBSTITUTE($BL9,"-","~",2))-4))</f>
        <v/>
      </c>
      <c r="BN9">
        <f>IF($BL9="","",MID($BL9,FIND("~",SUBSTITUTE($BL9,"-","~",2))+1,FIND("~",SUBSTITUTE($BL9,"-","~",3))-FIND("~",SUBSTITUTE($BL9,"-","~",2))-1))</f>
        <v/>
      </c>
      <c r="BO9">
        <f>IF($BM9="","",IFERROR(VLOOKUP($BM9,DECODE!$A$3:$C$8,3,FALSE),"?"))</f>
        <v/>
      </c>
      <c r="BP9">
        <f>IF($BN9="","",IFERROR(VLOOKUP($BM9&amp;"-"&amp;$BN9,DECODE!$E$3:$F$21,2,FALSE),"?"))</f>
        <v/>
      </c>
      <c r="BQ9">
        <f>IF($BL9="","",IFERROR(VALUE(RIGHT($BL9,3)),""))</f>
        <v/>
      </c>
      <c r="BR9">
        <f>IF($W9="","",IFERROR(IF(ISNUMBER($W9),$W9,DATEVALUE(TRIM($W9))),""))</f>
        <v/>
      </c>
      <c r="BS9">
        <f>IF($BR9="","",IF(MONTH($BR9)&gt;=12,"Cold Winter",IF(MONTH($BR9)&gt;=10,"Post-Monsoon",IF(MONTH($BR9)&gt;=6,"Hot Humid",IF(MONTH($BR9)&gt;=3,"Hot Dry","Cold Winter")))))</f>
        <v/>
      </c>
      <c r="BT9">
        <f>IF($BM9="","",IFERROR(VLOOKUP($BM9,DECODE!$A$3:$C$8,2,FALSE),"?"))</f>
        <v/>
      </c>
      <c r="BU9">
        <f>IF($R9="","",UPPER(TRIM(LEFT($R9&amp;",",FIND(",",$R9&amp;",")-1))))</f>
        <v/>
      </c>
      <c r="BV9">
        <f>IF($BU9="","",MID($BU9,4,FIND("~",SUBSTITUTE($BU9,"-","~",2))-4))</f>
        <v/>
      </c>
      <c r="BW9">
        <f>IF($BU9="","",MID($BU9,FIND("~",SUBSTITUTE($BU9,"-","~",2))+1,FIND("~",SUBSTITUTE($BU9,"-","~",3))-FIND("~",SUBSTITUTE($BU9,"-","~",2))-1))</f>
        <v/>
      </c>
      <c r="BX9">
        <f>IF($BV9="","",IFERROR(VLOOKUP($BV9,DECODE!$A$3:$C$8,3,FALSE),"?"))</f>
        <v/>
      </c>
      <c r="BY9">
        <f>IF($BW9="","",IFERROR(VLOOKUP($BV9&amp;"-"&amp;$BW9,DECODE!$E$3:$F$21,2,FALSE),"?"))</f>
        <v/>
      </c>
      <c r="BZ9">
        <f>IF($BU9="","",IFERROR(VALUE(RIGHT($BU9,3)),""))</f>
        <v/>
      </c>
      <c r="CA9">
        <f>IF($X9="","",IFERROR(IF(ISNUMBER($X9),$X9,DATEVALUE(TRIM($X9))),""))</f>
        <v/>
      </c>
      <c r="CB9">
        <f>IF($CA9="","",IF(MONTH($CA9)&gt;=12,"Cold Winter",IF(MONTH($CA9)&gt;=10,"Post-Monsoon",IF(MONTH($CA9)&gt;=6,"Hot Humid",IF(MONTH($CA9)&gt;=3,"Hot Dry","Cold Winter")))))</f>
        <v/>
      </c>
      <c r="CC9">
        <f>IF($BV9="","",IFERROR(VLOOKUP($BV9,DECODE!$A$3:$C$8,2,FALSE),"?"))</f>
        <v/>
      </c>
      <c r="CD9">
        <f>IF($S9="","",UPPER(TRIM(LEFT($S9&amp;",",FIND(",",$S9&amp;",")-1))))</f>
        <v/>
      </c>
      <c r="CE9">
        <f>IF($CD9="","",MID($CD9,4,FIND("~",SUBSTITUTE($CD9,"-","~",2))-4))</f>
        <v/>
      </c>
      <c r="CF9">
        <f>IF($CD9="","",MID($CD9,FIND("~",SUBSTITUTE($CD9,"-","~",2))+1,FIND("~",SUBSTITUTE($CD9,"-","~",3))-FIND("~",SUBSTITUTE($CD9,"-","~",2))-1))</f>
        <v/>
      </c>
      <c r="CG9">
        <f>IF($CE9="","",IFERROR(VLOOKUP($CE9,DECODE!$A$3:$C$8,3,FALSE),"?"))</f>
        <v/>
      </c>
      <c r="CH9">
        <f>IF($CF9="","",IFERROR(VLOOKUP($CE9&amp;"-"&amp;$CF9,DECODE!$E$3:$F$21,2,FALSE),"?"))</f>
        <v/>
      </c>
      <c r="CI9">
        <f>IF($CD9="","",IFERROR(VALUE(RIGHT($CD9,3)),""))</f>
        <v/>
      </c>
      <c r="CJ9">
        <f>IF($Y9="","",IFERROR(IF(ISNUMBER($Y9),$Y9,DATEVALUE(TRIM($Y9))),""))</f>
        <v/>
      </c>
      <c r="CK9">
        <f>IF($CJ9="","",IF(MONTH($CJ9)&gt;=12,"Cold Winter",IF(MONTH($CJ9)&gt;=10,"Post-Monsoon",IF(MONTH($CJ9)&gt;=6,"Hot Humid",IF(MONTH($CJ9)&gt;=3,"Hot Dry","Cold Winter")))))</f>
        <v/>
      </c>
      <c r="CL9">
        <f>IF($CE9="","",IFERROR(VLOOKUP($CE9,DECODE!$A$3:$C$8,2,FALSE),"?"))</f>
        <v/>
      </c>
      <c r="CM9">
        <f>IF($AN9="","",AN9)</f>
        <v/>
      </c>
      <c r="CN9">
        <f>IF($AO9="","",AO9)</f>
        <v/>
      </c>
      <c r="CO9">
        <f>IF($AP9="","",AP9)</f>
        <v/>
      </c>
      <c r="CP9">
        <f>IF($CM9="","",IF($CM9="Aloe Vera Gel","Aloe Vera Gel "&amp;$CO9&amp;"g",CN9&amp;" "&amp;$CO9&amp;"g"))</f>
        <v/>
      </c>
      <c r="CQ9">
        <f>IF($AT9="",0,1)</f>
        <v/>
      </c>
      <c r="CR9">
        <f>IF($CQ9=0,"",AW9)</f>
        <v/>
      </c>
      <c r="CS9">
        <f>IF($CQ9=0,"",AX9)</f>
        <v/>
      </c>
      <c r="CT9">
        <f>IF($CQ9=0,"",AY9)</f>
        <v/>
      </c>
      <c r="CU9">
        <f>IF($CR9="","",IF($CR9="Aloe Vera Gel","Aloe Vera Gel "&amp;$CT9&amp;"g",CS9&amp;" "&amp;$CT9&amp;"g"))</f>
        <v/>
      </c>
      <c r="CV9">
        <f>IF($CQ9=0,"",IF($CP9=$CU9,"Repeat Exact",IF($CT9&gt;$CO9,"Upsized",IF($CT9&lt;$CO9,"Downsized",IF($CM9&lt;&gt;$CR9,"Lateral","Same Size Diff Variant")))))</f>
        <v/>
      </c>
      <c r="CW9">
        <f>IF($CQ9=0,"",AZ9-AQ9)</f>
        <v/>
      </c>
      <c r="CX9">
        <f>IF($CQ9=0,0,IF(CS9=CN9,1,0))</f>
        <v/>
      </c>
      <c r="CY9">
        <f>IF($CQ9=0,0,IF(CR9=CM9,1,0))</f>
        <v/>
      </c>
      <c r="CZ9">
        <f>IF($A9="","",IF(AND(IF(DASHBOARD!$C$4="All",TRUE,$CM9=DASHBOARD!$C$4),IF(DASHBOARD!$C$6="All",TRUE,$CP9=DASHBOARD!$C$6),IF(DASHBOARD!$C$8="All",TRUE,$AF9&gt;=DASHBOARD!$C$8),IF(DASHBOARD!$C$10="All",TRUE,$AF9&lt;=DASHBOARD!$C$10),IF(DASHBOARD!$C$12="All",TRUE,$AH9=VALUE(DASHBOARD!$C$12)),IF(DASHBOARD!$C$14="All",TRUE,$AJ9=DASHBOARD!$C$14)),1,0))</f>
        <v/>
      </c>
    </row>
    <row r="10">
      <c r="A10" t="n">
        <v>29105</v>
      </c>
      <c r="B10" t="inlineStr">
        <is>
          <t>Face Malai</t>
        </is>
      </c>
      <c r="H10" t="inlineStr">
        <is>
          <t>Flax Bakuchi (Hot Dry) 35+ Face Malai - 30g</t>
        </is>
      </c>
      <c r="N10" t="inlineStr">
        <is>
          <t>FC-HDDM-FB-030</t>
        </is>
      </c>
      <c r="T10" t="inlineStr">
        <is>
          <t>Sep 1, 2024</t>
        </is>
      </c>
      <c r="AE10" t="inlineStr">
        <is>
          <t>Gurgaon</t>
        </is>
      </c>
      <c r="AF10" t="inlineStr">
        <is>
          <t>2024-09</t>
        </is>
      </c>
      <c r="AG10" t="n">
        <v>9</v>
      </c>
      <c r="AH10" t="n">
        <v>1</v>
      </c>
      <c r="AI10" t="n">
        <v>0</v>
      </c>
      <c r="AJ10">
        <f>IF($AE10="","",IFERROR(VLOOKUP(TRIM($AE10),DECODE!$H$3:$I$60,2,FALSE),"Rest of India"))</f>
        <v/>
      </c>
      <c r="AK10">
        <f>IF($N10="","",UPPER(TRIM(LEFT($N10&amp;",",FIND(",",$N10&amp;",")-1))))</f>
        <v/>
      </c>
      <c r="AL10">
        <f>IF($AK10="","",MID($AK10,4,FIND("~",SUBSTITUTE($AK10,"-","~",2))-4))</f>
        <v/>
      </c>
      <c r="AM10">
        <f>IF($AK10="","",MID($AK10,FIND("~",SUBSTITUTE($AK10,"-","~",2))+1,FIND("~",SUBSTITUTE($AK10,"-","~",3))-FIND("~",SUBSTITUTE($AK10,"-","~",2))-1))</f>
        <v/>
      </c>
      <c r="AN10">
        <f>IF($AL10="","",IFERROR(VLOOKUP($AL10,DECODE!$A$3:$C$8,3,FALSE),"?"))</f>
        <v/>
      </c>
      <c r="AO10">
        <f>IF($AM10="","",IFERROR(VLOOKUP($AL10&amp;"-"&amp;$AM10,DECODE!$E$3:$F$21,2,FALSE),"?"))</f>
        <v/>
      </c>
      <c r="AP10">
        <f>IF($AK10="","",IFERROR(VALUE(RIGHT($AK10,3)),""))</f>
        <v/>
      </c>
      <c r="AQ10">
        <f>IF($T10="","",IFERROR(IF(ISNUMBER($T10),$T10,DATEVALUE(TRIM($T10))),""))</f>
        <v/>
      </c>
      <c r="AR10">
        <f>IF($AQ10="","",IF(MONTH($AQ10)&gt;=12,"Cold Winter",IF(MONTH($AQ10)&gt;=10,"Post-Monsoon",IF(MONTH($AQ10)&gt;=6,"Hot Humid",IF(MONTH($AQ10)&gt;=3,"Hot Dry","Cold Winter")))))</f>
        <v/>
      </c>
      <c r="AS10">
        <f>IF($AL10="","",IFERROR(VLOOKUP($AL10,DECODE!$A$3:$C$8,2,FALSE),"?"))</f>
        <v/>
      </c>
      <c r="AT10">
        <f>IF($O10="","",UPPER(TRIM(LEFT($O10&amp;",",FIND(",",$O10&amp;",")-1))))</f>
        <v/>
      </c>
      <c r="AU10">
        <f>IF($AT10="","",MID($AT10,4,FIND("~",SUBSTITUTE($AT10,"-","~",2))-4))</f>
        <v/>
      </c>
      <c r="AV10">
        <f>IF($AT10="","",MID($AT10,FIND("~",SUBSTITUTE($AT10,"-","~",2))+1,FIND("~",SUBSTITUTE($AT10,"-","~",3))-FIND("~",SUBSTITUTE($AT10,"-","~",2))-1))</f>
        <v/>
      </c>
      <c r="AW10">
        <f>IF($AU10="","",IFERROR(VLOOKUP($AU10,DECODE!$A$3:$C$8,3,FALSE),"?"))</f>
        <v/>
      </c>
      <c r="AX10">
        <f>IF($AV10="","",IFERROR(VLOOKUP($AU10&amp;"-"&amp;$AV10,DECODE!$E$3:$F$21,2,FALSE),"?"))</f>
        <v/>
      </c>
      <c r="AY10">
        <f>IF($AT10="","",IFERROR(VALUE(RIGHT($AT10,3)),""))</f>
        <v/>
      </c>
      <c r="AZ10">
        <f>IF($U10="","",IFERROR(IF(ISNUMBER($U10),$U10,DATEVALUE(TRIM($U10))),""))</f>
        <v/>
      </c>
      <c r="BA10">
        <f>IF($AZ10="","",IF(MONTH($AZ10)&gt;=12,"Cold Winter",IF(MONTH($AZ10)&gt;=10,"Post-Monsoon",IF(MONTH($AZ10)&gt;=6,"Hot Humid",IF(MONTH($AZ10)&gt;=3,"Hot Dry","Cold Winter")))))</f>
        <v/>
      </c>
      <c r="BB10">
        <f>IF($AU10="","",IFERROR(VLOOKUP($AU10,DECODE!$A$3:$C$8,2,FALSE),"?"))</f>
        <v/>
      </c>
      <c r="BC10">
        <f>IF($P10="","",UPPER(TRIM(LEFT($P10&amp;",",FIND(",",$P10&amp;",")-1))))</f>
        <v/>
      </c>
      <c r="BD10">
        <f>IF($BC10="","",MID($BC10,4,FIND("~",SUBSTITUTE($BC10,"-","~",2))-4))</f>
        <v/>
      </c>
      <c r="BE10">
        <f>IF($BC10="","",MID($BC10,FIND("~",SUBSTITUTE($BC10,"-","~",2))+1,FIND("~",SUBSTITUTE($BC10,"-","~",3))-FIND("~",SUBSTITUTE($BC10,"-","~",2))-1))</f>
        <v/>
      </c>
      <c r="BF10">
        <f>IF($BD10="","",IFERROR(VLOOKUP($BD10,DECODE!$A$3:$C$8,3,FALSE),"?"))</f>
        <v/>
      </c>
      <c r="BG10">
        <f>IF($BE10="","",IFERROR(VLOOKUP($BD10&amp;"-"&amp;$BE10,DECODE!$E$3:$F$21,2,FALSE),"?"))</f>
        <v/>
      </c>
      <c r="BH10">
        <f>IF($BC10="","",IFERROR(VALUE(RIGHT($BC10,3)),""))</f>
        <v/>
      </c>
      <c r="BI10">
        <f>IF($V10="","",IFERROR(IF(ISNUMBER($V10),$V10,DATEVALUE(TRIM($V10))),""))</f>
        <v/>
      </c>
      <c r="BJ10">
        <f>IF($BI10="","",IF(MONTH($BI10)&gt;=12,"Cold Winter",IF(MONTH($BI10)&gt;=10,"Post-Monsoon",IF(MONTH($BI10)&gt;=6,"Hot Humid",IF(MONTH($BI10)&gt;=3,"Hot Dry","Cold Winter")))))</f>
        <v/>
      </c>
      <c r="BK10">
        <f>IF($BD10="","",IFERROR(VLOOKUP($BD10,DECODE!$A$3:$C$8,2,FALSE),"?"))</f>
        <v/>
      </c>
      <c r="BL10">
        <f>IF($Q10="","",UPPER(TRIM(LEFT($Q10&amp;",",FIND(",",$Q10&amp;",")-1))))</f>
        <v/>
      </c>
      <c r="BM10">
        <f>IF($BL10="","",MID($BL10,4,FIND("~",SUBSTITUTE($BL10,"-","~",2))-4))</f>
        <v/>
      </c>
      <c r="BN10">
        <f>IF($BL10="","",MID($BL10,FIND("~",SUBSTITUTE($BL10,"-","~",2))+1,FIND("~",SUBSTITUTE($BL10,"-","~",3))-FIND("~",SUBSTITUTE($BL10,"-","~",2))-1))</f>
        <v/>
      </c>
      <c r="BO10">
        <f>IF($BM10="","",IFERROR(VLOOKUP($BM10,DECODE!$A$3:$C$8,3,FALSE),"?"))</f>
        <v/>
      </c>
      <c r="BP10">
        <f>IF($BN10="","",IFERROR(VLOOKUP($BM10&amp;"-"&amp;$BN10,DECODE!$E$3:$F$21,2,FALSE),"?"))</f>
        <v/>
      </c>
      <c r="BQ10">
        <f>IF($BL10="","",IFERROR(VALUE(RIGHT($BL10,3)),""))</f>
        <v/>
      </c>
      <c r="BR10">
        <f>IF($W10="","",IFERROR(IF(ISNUMBER($W10),$W10,DATEVALUE(TRIM($W10))),""))</f>
        <v/>
      </c>
      <c r="BS10">
        <f>IF($BR10="","",IF(MONTH($BR10)&gt;=12,"Cold Winter",IF(MONTH($BR10)&gt;=10,"Post-Monsoon",IF(MONTH($BR10)&gt;=6,"Hot Humid",IF(MONTH($BR10)&gt;=3,"Hot Dry","Cold Winter")))))</f>
        <v/>
      </c>
      <c r="BT10">
        <f>IF($BM10="","",IFERROR(VLOOKUP($BM10,DECODE!$A$3:$C$8,2,FALSE),"?"))</f>
        <v/>
      </c>
      <c r="BU10">
        <f>IF($R10="","",UPPER(TRIM(LEFT($R10&amp;",",FIND(",",$R10&amp;",")-1))))</f>
        <v/>
      </c>
      <c r="BV10">
        <f>IF($BU10="","",MID($BU10,4,FIND("~",SUBSTITUTE($BU10,"-","~",2))-4))</f>
        <v/>
      </c>
      <c r="BW10">
        <f>IF($BU10="","",MID($BU10,FIND("~",SUBSTITUTE($BU10,"-","~",2))+1,FIND("~",SUBSTITUTE($BU10,"-","~",3))-FIND("~",SUBSTITUTE($BU10,"-","~",2))-1))</f>
        <v/>
      </c>
      <c r="BX10">
        <f>IF($BV10="","",IFERROR(VLOOKUP($BV10,DECODE!$A$3:$C$8,3,FALSE),"?"))</f>
        <v/>
      </c>
      <c r="BY10">
        <f>IF($BW10="","",IFERROR(VLOOKUP($BV10&amp;"-"&amp;$BW10,DECODE!$E$3:$F$21,2,FALSE),"?"))</f>
        <v/>
      </c>
      <c r="BZ10">
        <f>IF($BU10="","",IFERROR(VALUE(RIGHT($BU10,3)),""))</f>
        <v/>
      </c>
      <c r="CA10">
        <f>IF($X10="","",IFERROR(IF(ISNUMBER($X10),$X10,DATEVALUE(TRIM($X10))),""))</f>
        <v/>
      </c>
      <c r="CB10">
        <f>IF($CA10="","",IF(MONTH($CA10)&gt;=12,"Cold Winter",IF(MONTH($CA10)&gt;=10,"Post-Monsoon",IF(MONTH($CA10)&gt;=6,"Hot Humid",IF(MONTH($CA10)&gt;=3,"Hot Dry","Cold Winter")))))</f>
        <v/>
      </c>
      <c r="CC10">
        <f>IF($BV10="","",IFERROR(VLOOKUP($BV10,DECODE!$A$3:$C$8,2,FALSE),"?"))</f>
        <v/>
      </c>
      <c r="CD10">
        <f>IF($S10="","",UPPER(TRIM(LEFT($S10&amp;",",FIND(",",$S10&amp;",")-1))))</f>
        <v/>
      </c>
      <c r="CE10">
        <f>IF($CD10="","",MID($CD10,4,FIND("~",SUBSTITUTE($CD10,"-","~",2))-4))</f>
        <v/>
      </c>
      <c r="CF10">
        <f>IF($CD10="","",MID($CD10,FIND("~",SUBSTITUTE($CD10,"-","~",2))+1,FIND("~",SUBSTITUTE($CD10,"-","~",3))-FIND("~",SUBSTITUTE($CD10,"-","~",2))-1))</f>
        <v/>
      </c>
      <c r="CG10">
        <f>IF($CE10="","",IFERROR(VLOOKUP($CE10,DECODE!$A$3:$C$8,3,FALSE),"?"))</f>
        <v/>
      </c>
      <c r="CH10">
        <f>IF($CF10="","",IFERROR(VLOOKUP($CE10&amp;"-"&amp;$CF10,DECODE!$E$3:$F$21,2,FALSE),"?"))</f>
        <v/>
      </c>
      <c r="CI10">
        <f>IF($CD10="","",IFERROR(VALUE(RIGHT($CD10,3)),""))</f>
        <v/>
      </c>
      <c r="CJ10">
        <f>IF($Y10="","",IFERROR(IF(ISNUMBER($Y10),$Y10,DATEVALUE(TRIM($Y10))),""))</f>
        <v/>
      </c>
      <c r="CK10">
        <f>IF($CJ10="","",IF(MONTH($CJ10)&gt;=12,"Cold Winter",IF(MONTH($CJ10)&gt;=10,"Post-Monsoon",IF(MONTH($CJ10)&gt;=6,"Hot Humid",IF(MONTH($CJ10)&gt;=3,"Hot Dry","Cold Winter")))))</f>
        <v/>
      </c>
      <c r="CL10">
        <f>IF($CE10="","",IFERROR(VLOOKUP($CE10,DECODE!$A$3:$C$8,2,FALSE),"?"))</f>
        <v/>
      </c>
      <c r="CM10">
        <f>IF($AN10="","",AN10)</f>
        <v/>
      </c>
      <c r="CN10">
        <f>IF($AO10="","",AO10)</f>
        <v/>
      </c>
      <c r="CO10">
        <f>IF($AP10="","",AP10)</f>
        <v/>
      </c>
      <c r="CP10">
        <f>IF($CM10="","",IF($CM10="Aloe Vera Gel","Aloe Vera Gel "&amp;$CO10&amp;"g",CN10&amp;" "&amp;$CO10&amp;"g"))</f>
        <v/>
      </c>
      <c r="CQ10">
        <f>IF($AT10="",0,1)</f>
        <v/>
      </c>
      <c r="CR10">
        <f>IF($CQ10=0,"",AW10)</f>
        <v/>
      </c>
      <c r="CS10">
        <f>IF($CQ10=0,"",AX10)</f>
        <v/>
      </c>
      <c r="CT10">
        <f>IF($CQ10=0,"",AY10)</f>
        <v/>
      </c>
      <c r="CU10">
        <f>IF($CR10="","",IF($CR10="Aloe Vera Gel","Aloe Vera Gel "&amp;$CT10&amp;"g",CS10&amp;" "&amp;$CT10&amp;"g"))</f>
        <v/>
      </c>
      <c r="CV10">
        <f>IF($CQ10=0,"",IF($CP10=$CU10,"Repeat Exact",IF($CT10&gt;$CO10,"Upsized",IF($CT10&lt;$CO10,"Downsized",IF($CM10&lt;&gt;$CR10,"Lateral","Same Size Diff Variant")))))</f>
        <v/>
      </c>
      <c r="CW10">
        <f>IF($CQ10=0,"",AZ10-AQ10)</f>
        <v/>
      </c>
      <c r="CX10">
        <f>IF($CQ10=0,0,IF(CS10=CN10,1,0))</f>
        <v/>
      </c>
      <c r="CY10">
        <f>IF($CQ10=0,0,IF(CR10=CM10,1,0))</f>
        <v/>
      </c>
      <c r="CZ10">
        <f>IF($A10="","",IF(AND(IF(DASHBOARD!$C$4="All",TRUE,$CM10=DASHBOARD!$C$4),IF(DASHBOARD!$C$6="All",TRUE,$CP10=DASHBOARD!$C$6),IF(DASHBOARD!$C$8="All",TRUE,$AF10&gt;=DASHBOARD!$C$8),IF(DASHBOARD!$C$10="All",TRUE,$AF10&lt;=DASHBOARD!$C$10),IF(DASHBOARD!$C$12="All",TRUE,$AH10=VALUE(DASHBOARD!$C$12)),IF(DASHBOARD!$C$14="All",TRUE,$AJ10=DASHBOARD!$C$14)),1,0))</f>
        <v/>
      </c>
    </row>
    <row r="11">
      <c r="A11" t="n">
        <v>29346</v>
      </c>
      <c r="B11" t="inlineStr">
        <is>
          <t>Face Malai</t>
        </is>
      </c>
      <c r="H11" t="inlineStr">
        <is>
          <t>Cocoa Mogra (Overnight) Face Malai - 30g, Flax Bakuchi (Hot Dry) 35+ Face Malai - 30g</t>
        </is>
      </c>
      <c r="N11" t="inlineStr">
        <is>
          <t>FC-HDDM-FB-030, FC-DM-NR-030</t>
        </is>
      </c>
      <c r="T11" t="inlineStr">
        <is>
          <t>Apr 22, 2024</t>
        </is>
      </c>
      <c r="AE11" t="inlineStr">
        <is>
          <t>New Delhi</t>
        </is>
      </c>
      <c r="AF11" t="inlineStr">
        <is>
          <t>2024-04</t>
        </is>
      </c>
      <c r="AG11" t="n">
        <v>4</v>
      </c>
      <c r="AH11" t="n">
        <v>1</v>
      </c>
      <c r="AI11" t="n">
        <v>0</v>
      </c>
      <c r="AJ11">
        <f>IF($AE11="","",IFERROR(VLOOKUP(TRIM($AE11),DECODE!$H$3:$I$60,2,FALSE),"Rest of India"))</f>
        <v/>
      </c>
      <c r="AK11">
        <f>IF($N11="","",UPPER(TRIM(LEFT($N11&amp;",",FIND(",",$N11&amp;",")-1))))</f>
        <v/>
      </c>
      <c r="AL11">
        <f>IF($AK11="","",MID($AK11,4,FIND("~",SUBSTITUTE($AK11,"-","~",2))-4))</f>
        <v/>
      </c>
      <c r="AM11">
        <f>IF($AK11="","",MID($AK11,FIND("~",SUBSTITUTE($AK11,"-","~",2))+1,FIND("~",SUBSTITUTE($AK11,"-","~",3))-FIND("~",SUBSTITUTE($AK11,"-","~",2))-1))</f>
        <v/>
      </c>
      <c r="AN11">
        <f>IF($AL11="","",IFERROR(VLOOKUP($AL11,DECODE!$A$3:$C$8,3,FALSE),"?"))</f>
        <v/>
      </c>
      <c r="AO11">
        <f>IF($AM11="","",IFERROR(VLOOKUP($AL11&amp;"-"&amp;$AM11,DECODE!$E$3:$F$21,2,FALSE),"?"))</f>
        <v/>
      </c>
      <c r="AP11">
        <f>IF($AK11="","",IFERROR(VALUE(RIGHT($AK11,3)),""))</f>
        <v/>
      </c>
      <c r="AQ11">
        <f>IF($T11="","",IFERROR(IF(ISNUMBER($T11),$T11,DATEVALUE(TRIM($T11))),""))</f>
        <v/>
      </c>
      <c r="AR11">
        <f>IF($AQ11="","",IF(MONTH($AQ11)&gt;=12,"Cold Winter",IF(MONTH($AQ11)&gt;=10,"Post-Monsoon",IF(MONTH($AQ11)&gt;=6,"Hot Humid",IF(MONTH($AQ11)&gt;=3,"Hot Dry","Cold Winter")))))</f>
        <v/>
      </c>
      <c r="AS11">
        <f>IF($AL11="","",IFERROR(VLOOKUP($AL11,DECODE!$A$3:$C$8,2,FALSE),"?"))</f>
        <v/>
      </c>
      <c r="AT11">
        <f>IF($O11="","",UPPER(TRIM(LEFT($O11&amp;",",FIND(",",$O11&amp;",")-1))))</f>
        <v/>
      </c>
      <c r="AU11">
        <f>IF($AT11="","",MID($AT11,4,FIND("~",SUBSTITUTE($AT11,"-","~",2))-4))</f>
        <v/>
      </c>
      <c r="AV11">
        <f>IF($AT11="","",MID($AT11,FIND("~",SUBSTITUTE($AT11,"-","~",2))+1,FIND("~",SUBSTITUTE($AT11,"-","~",3))-FIND("~",SUBSTITUTE($AT11,"-","~",2))-1))</f>
        <v/>
      </c>
      <c r="AW11">
        <f>IF($AU11="","",IFERROR(VLOOKUP($AU11,DECODE!$A$3:$C$8,3,FALSE),"?"))</f>
        <v/>
      </c>
      <c r="AX11">
        <f>IF($AV11="","",IFERROR(VLOOKUP($AU11&amp;"-"&amp;$AV11,DECODE!$E$3:$F$21,2,FALSE),"?"))</f>
        <v/>
      </c>
      <c r="AY11">
        <f>IF($AT11="","",IFERROR(VALUE(RIGHT($AT11,3)),""))</f>
        <v/>
      </c>
      <c r="AZ11">
        <f>IF($U11="","",IFERROR(IF(ISNUMBER($U11),$U11,DATEVALUE(TRIM($U11))),""))</f>
        <v/>
      </c>
      <c r="BA11">
        <f>IF($AZ11="","",IF(MONTH($AZ11)&gt;=12,"Cold Winter",IF(MONTH($AZ11)&gt;=10,"Post-Monsoon",IF(MONTH($AZ11)&gt;=6,"Hot Humid",IF(MONTH($AZ11)&gt;=3,"Hot Dry","Cold Winter")))))</f>
        <v/>
      </c>
      <c r="BB11">
        <f>IF($AU11="","",IFERROR(VLOOKUP($AU11,DECODE!$A$3:$C$8,2,FALSE),"?"))</f>
        <v/>
      </c>
      <c r="BC11">
        <f>IF($P11="","",UPPER(TRIM(LEFT($P11&amp;",",FIND(",",$P11&amp;",")-1))))</f>
        <v/>
      </c>
      <c r="BD11">
        <f>IF($BC11="","",MID($BC11,4,FIND("~",SUBSTITUTE($BC11,"-","~",2))-4))</f>
        <v/>
      </c>
      <c r="BE11">
        <f>IF($BC11="","",MID($BC11,FIND("~",SUBSTITUTE($BC11,"-","~",2))+1,FIND("~",SUBSTITUTE($BC11,"-","~",3))-FIND("~",SUBSTITUTE($BC11,"-","~",2))-1))</f>
        <v/>
      </c>
      <c r="BF11">
        <f>IF($BD11="","",IFERROR(VLOOKUP($BD11,DECODE!$A$3:$C$8,3,FALSE),"?"))</f>
        <v/>
      </c>
      <c r="BG11">
        <f>IF($BE11="","",IFERROR(VLOOKUP($BD11&amp;"-"&amp;$BE11,DECODE!$E$3:$F$21,2,FALSE),"?"))</f>
        <v/>
      </c>
      <c r="BH11">
        <f>IF($BC11="","",IFERROR(VALUE(RIGHT($BC11,3)),""))</f>
        <v/>
      </c>
      <c r="BI11">
        <f>IF($V11="","",IFERROR(IF(ISNUMBER($V11),$V11,DATEVALUE(TRIM($V11))),""))</f>
        <v/>
      </c>
      <c r="BJ11">
        <f>IF($BI11="","",IF(MONTH($BI11)&gt;=12,"Cold Winter",IF(MONTH($BI11)&gt;=10,"Post-Monsoon",IF(MONTH($BI11)&gt;=6,"Hot Humid",IF(MONTH($BI11)&gt;=3,"Hot Dry","Cold Winter")))))</f>
        <v/>
      </c>
      <c r="BK11">
        <f>IF($BD11="","",IFERROR(VLOOKUP($BD11,DECODE!$A$3:$C$8,2,FALSE),"?"))</f>
        <v/>
      </c>
      <c r="BL11">
        <f>IF($Q11="","",UPPER(TRIM(LEFT($Q11&amp;",",FIND(",",$Q11&amp;",")-1))))</f>
        <v/>
      </c>
      <c r="BM11">
        <f>IF($BL11="","",MID($BL11,4,FIND("~",SUBSTITUTE($BL11,"-","~",2))-4))</f>
        <v/>
      </c>
      <c r="BN11">
        <f>IF($BL11="","",MID($BL11,FIND("~",SUBSTITUTE($BL11,"-","~",2))+1,FIND("~",SUBSTITUTE($BL11,"-","~",3))-FIND("~",SUBSTITUTE($BL11,"-","~",2))-1))</f>
        <v/>
      </c>
      <c r="BO11">
        <f>IF($BM11="","",IFERROR(VLOOKUP($BM11,DECODE!$A$3:$C$8,3,FALSE),"?"))</f>
        <v/>
      </c>
      <c r="BP11">
        <f>IF($BN11="","",IFERROR(VLOOKUP($BM11&amp;"-"&amp;$BN11,DECODE!$E$3:$F$21,2,FALSE),"?"))</f>
        <v/>
      </c>
      <c r="BQ11">
        <f>IF($BL11="","",IFERROR(VALUE(RIGHT($BL11,3)),""))</f>
        <v/>
      </c>
      <c r="BR11">
        <f>IF($W11="","",IFERROR(IF(ISNUMBER($W11),$W11,DATEVALUE(TRIM($W11))),""))</f>
        <v/>
      </c>
      <c r="BS11">
        <f>IF($BR11="","",IF(MONTH($BR11)&gt;=12,"Cold Winter",IF(MONTH($BR11)&gt;=10,"Post-Monsoon",IF(MONTH($BR11)&gt;=6,"Hot Humid",IF(MONTH($BR11)&gt;=3,"Hot Dry","Cold Winter")))))</f>
        <v/>
      </c>
      <c r="BT11">
        <f>IF($BM11="","",IFERROR(VLOOKUP($BM11,DECODE!$A$3:$C$8,2,FALSE),"?"))</f>
        <v/>
      </c>
      <c r="BU11">
        <f>IF($R11="","",UPPER(TRIM(LEFT($R11&amp;",",FIND(",",$R11&amp;",")-1))))</f>
        <v/>
      </c>
      <c r="BV11">
        <f>IF($BU11="","",MID($BU11,4,FIND("~",SUBSTITUTE($BU11,"-","~",2))-4))</f>
        <v/>
      </c>
      <c r="BW11">
        <f>IF($BU11="","",MID($BU11,FIND("~",SUBSTITUTE($BU11,"-","~",2))+1,FIND("~",SUBSTITUTE($BU11,"-","~",3))-FIND("~",SUBSTITUTE($BU11,"-","~",2))-1))</f>
        <v/>
      </c>
      <c r="BX11">
        <f>IF($BV11="","",IFERROR(VLOOKUP($BV11,DECODE!$A$3:$C$8,3,FALSE),"?"))</f>
        <v/>
      </c>
      <c r="BY11">
        <f>IF($BW11="","",IFERROR(VLOOKUP($BV11&amp;"-"&amp;$BW11,DECODE!$E$3:$F$21,2,FALSE),"?"))</f>
        <v/>
      </c>
      <c r="BZ11">
        <f>IF($BU11="","",IFERROR(VALUE(RIGHT($BU11,3)),""))</f>
        <v/>
      </c>
      <c r="CA11">
        <f>IF($X11="","",IFERROR(IF(ISNUMBER($X11),$X11,DATEVALUE(TRIM($X11))),""))</f>
        <v/>
      </c>
      <c r="CB11">
        <f>IF($CA11="","",IF(MONTH($CA11)&gt;=12,"Cold Winter",IF(MONTH($CA11)&gt;=10,"Post-Monsoon",IF(MONTH($CA11)&gt;=6,"Hot Humid",IF(MONTH($CA11)&gt;=3,"Hot Dry","Cold Winter")))))</f>
        <v/>
      </c>
      <c r="CC11">
        <f>IF($BV11="","",IFERROR(VLOOKUP($BV11,DECODE!$A$3:$C$8,2,FALSE),"?"))</f>
        <v/>
      </c>
      <c r="CD11">
        <f>IF($S11="","",UPPER(TRIM(LEFT($S11&amp;",",FIND(",",$S11&amp;",")-1))))</f>
        <v/>
      </c>
      <c r="CE11">
        <f>IF($CD11="","",MID($CD11,4,FIND("~",SUBSTITUTE($CD11,"-","~",2))-4))</f>
        <v/>
      </c>
      <c r="CF11">
        <f>IF($CD11="","",MID($CD11,FIND("~",SUBSTITUTE($CD11,"-","~",2))+1,FIND("~",SUBSTITUTE($CD11,"-","~",3))-FIND("~",SUBSTITUTE($CD11,"-","~",2))-1))</f>
        <v/>
      </c>
      <c r="CG11">
        <f>IF($CE11="","",IFERROR(VLOOKUP($CE11,DECODE!$A$3:$C$8,3,FALSE),"?"))</f>
        <v/>
      </c>
      <c r="CH11">
        <f>IF($CF11="","",IFERROR(VLOOKUP($CE11&amp;"-"&amp;$CF11,DECODE!$E$3:$F$21,2,FALSE),"?"))</f>
        <v/>
      </c>
      <c r="CI11">
        <f>IF($CD11="","",IFERROR(VALUE(RIGHT($CD11,3)),""))</f>
        <v/>
      </c>
      <c r="CJ11">
        <f>IF($Y11="","",IFERROR(IF(ISNUMBER($Y11),$Y11,DATEVALUE(TRIM($Y11))),""))</f>
        <v/>
      </c>
      <c r="CK11">
        <f>IF($CJ11="","",IF(MONTH($CJ11)&gt;=12,"Cold Winter",IF(MONTH($CJ11)&gt;=10,"Post-Monsoon",IF(MONTH($CJ11)&gt;=6,"Hot Humid",IF(MONTH($CJ11)&gt;=3,"Hot Dry","Cold Winter")))))</f>
        <v/>
      </c>
      <c r="CL11">
        <f>IF($CE11="","",IFERROR(VLOOKUP($CE11,DECODE!$A$3:$C$8,2,FALSE),"?"))</f>
        <v/>
      </c>
      <c r="CM11">
        <f>IF($AN11="","",AN11)</f>
        <v/>
      </c>
      <c r="CN11">
        <f>IF($AO11="","",AO11)</f>
        <v/>
      </c>
      <c r="CO11">
        <f>IF($AP11="","",AP11)</f>
        <v/>
      </c>
      <c r="CP11">
        <f>IF($CM11="","",IF($CM11="Aloe Vera Gel","Aloe Vera Gel "&amp;$CO11&amp;"g",CN11&amp;" "&amp;$CO11&amp;"g"))</f>
        <v/>
      </c>
      <c r="CQ11">
        <f>IF($AT11="",0,1)</f>
        <v/>
      </c>
      <c r="CR11">
        <f>IF($CQ11=0,"",AW11)</f>
        <v/>
      </c>
      <c r="CS11">
        <f>IF($CQ11=0,"",AX11)</f>
        <v/>
      </c>
      <c r="CT11">
        <f>IF($CQ11=0,"",AY11)</f>
        <v/>
      </c>
      <c r="CU11">
        <f>IF($CR11="","",IF($CR11="Aloe Vera Gel","Aloe Vera Gel "&amp;$CT11&amp;"g",CS11&amp;" "&amp;$CT11&amp;"g"))</f>
        <v/>
      </c>
      <c r="CV11">
        <f>IF($CQ11=0,"",IF($CP11=$CU11,"Repeat Exact",IF($CT11&gt;$CO11,"Upsized",IF($CT11&lt;$CO11,"Downsized",IF($CM11&lt;&gt;$CR11,"Lateral","Same Size Diff Variant")))))</f>
        <v/>
      </c>
      <c r="CW11">
        <f>IF($CQ11=0,"",AZ11-AQ11)</f>
        <v/>
      </c>
      <c r="CX11">
        <f>IF($CQ11=0,0,IF(CS11=CN11,1,0))</f>
        <v/>
      </c>
      <c r="CY11">
        <f>IF($CQ11=0,0,IF(CR11=CM11,1,0))</f>
        <v/>
      </c>
      <c r="CZ11">
        <f>IF($A11="","",IF(AND(IF(DASHBOARD!$C$4="All",TRUE,$CM11=DASHBOARD!$C$4),IF(DASHBOARD!$C$6="All",TRUE,$CP11=DASHBOARD!$C$6),IF(DASHBOARD!$C$8="All",TRUE,$AF11&gt;=DASHBOARD!$C$8),IF(DASHBOARD!$C$10="All",TRUE,$AF11&lt;=DASHBOARD!$C$10),IF(DASHBOARD!$C$12="All",TRUE,$AH11=VALUE(DASHBOARD!$C$12)),IF(DASHBOARD!$C$14="All",TRUE,$AJ11=DASHBOARD!$C$14)),1,0))</f>
        <v/>
      </c>
    </row>
    <row r="12">
      <c r="A12" t="n">
        <v>29379</v>
      </c>
      <c r="B12" t="inlineStr">
        <is>
          <t>Face Malai</t>
        </is>
      </c>
      <c r="H12" t="inlineStr">
        <is>
          <t>Flax Walnut (Cold) 35+ Face Malai</t>
        </is>
      </c>
      <c r="N12" t="inlineStr">
        <is>
          <t>FC-CWDM-FW-030</t>
        </is>
      </c>
      <c r="T12" t="inlineStr">
        <is>
          <t>Jan 4, 2024</t>
        </is>
      </c>
      <c r="AE12" t="inlineStr">
        <is>
          <t>New Delhi</t>
        </is>
      </c>
      <c r="AF12" t="inlineStr">
        <is>
          <t>2024-01</t>
        </is>
      </c>
      <c r="AG12" t="n">
        <v>1</v>
      </c>
      <c r="AH12" t="n">
        <v>1</v>
      </c>
      <c r="AI12" t="n">
        <v>0</v>
      </c>
      <c r="AJ12">
        <f>IF($AE12="","",IFERROR(VLOOKUP(TRIM($AE12),DECODE!$H$3:$I$60,2,FALSE),"Rest of India"))</f>
        <v/>
      </c>
      <c r="AK12">
        <f>IF($N12="","",UPPER(TRIM(LEFT($N12&amp;",",FIND(",",$N12&amp;",")-1))))</f>
        <v/>
      </c>
      <c r="AL12">
        <f>IF($AK12="","",MID($AK12,4,FIND("~",SUBSTITUTE($AK12,"-","~",2))-4))</f>
        <v/>
      </c>
      <c r="AM12">
        <f>IF($AK12="","",MID($AK12,FIND("~",SUBSTITUTE($AK12,"-","~",2))+1,FIND("~",SUBSTITUTE($AK12,"-","~",3))-FIND("~",SUBSTITUTE($AK12,"-","~",2))-1))</f>
        <v/>
      </c>
      <c r="AN12">
        <f>IF($AL12="","",IFERROR(VLOOKUP($AL12,DECODE!$A$3:$C$8,3,FALSE),"?"))</f>
        <v/>
      </c>
      <c r="AO12">
        <f>IF($AM12="","",IFERROR(VLOOKUP($AL12&amp;"-"&amp;$AM12,DECODE!$E$3:$F$21,2,FALSE),"?"))</f>
        <v/>
      </c>
      <c r="AP12">
        <f>IF($AK12="","",IFERROR(VALUE(RIGHT($AK12,3)),""))</f>
        <v/>
      </c>
      <c r="AQ12">
        <f>IF($T12="","",IFERROR(IF(ISNUMBER($T12),$T12,DATEVALUE(TRIM($T12))),""))</f>
        <v/>
      </c>
      <c r="AR12">
        <f>IF($AQ12="","",IF(MONTH($AQ12)&gt;=12,"Cold Winter",IF(MONTH($AQ12)&gt;=10,"Post-Monsoon",IF(MONTH($AQ12)&gt;=6,"Hot Humid",IF(MONTH($AQ12)&gt;=3,"Hot Dry","Cold Winter")))))</f>
        <v/>
      </c>
      <c r="AS12">
        <f>IF($AL12="","",IFERROR(VLOOKUP($AL12,DECODE!$A$3:$C$8,2,FALSE),"?"))</f>
        <v/>
      </c>
      <c r="AT12">
        <f>IF($O12="","",UPPER(TRIM(LEFT($O12&amp;",",FIND(",",$O12&amp;",")-1))))</f>
        <v/>
      </c>
      <c r="AU12">
        <f>IF($AT12="","",MID($AT12,4,FIND("~",SUBSTITUTE($AT12,"-","~",2))-4))</f>
        <v/>
      </c>
      <c r="AV12">
        <f>IF($AT12="","",MID($AT12,FIND("~",SUBSTITUTE($AT12,"-","~",2))+1,FIND("~",SUBSTITUTE($AT12,"-","~",3))-FIND("~",SUBSTITUTE($AT12,"-","~",2))-1))</f>
        <v/>
      </c>
      <c r="AW12">
        <f>IF($AU12="","",IFERROR(VLOOKUP($AU12,DECODE!$A$3:$C$8,3,FALSE),"?"))</f>
        <v/>
      </c>
      <c r="AX12">
        <f>IF($AV12="","",IFERROR(VLOOKUP($AU12&amp;"-"&amp;$AV12,DECODE!$E$3:$F$21,2,FALSE),"?"))</f>
        <v/>
      </c>
      <c r="AY12">
        <f>IF($AT12="","",IFERROR(VALUE(RIGHT($AT12,3)),""))</f>
        <v/>
      </c>
      <c r="AZ12">
        <f>IF($U12="","",IFERROR(IF(ISNUMBER($U12),$U12,DATEVALUE(TRIM($U12))),""))</f>
        <v/>
      </c>
      <c r="BA12">
        <f>IF($AZ12="","",IF(MONTH($AZ12)&gt;=12,"Cold Winter",IF(MONTH($AZ12)&gt;=10,"Post-Monsoon",IF(MONTH($AZ12)&gt;=6,"Hot Humid",IF(MONTH($AZ12)&gt;=3,"Hot Dry","Cold Winter")))))</f>
        <v/>
      </c>
      <c r="BB12">
        <f>IF($AU12="","",IFERROR(VLOOKUP($AU12,DECODE!$A$3:$C$8,2,FALSE),"?"))</f>
        <v/>
      </c>
      <c r="BC12">
        <f>IF($P12="","",UPPER(TRIM(LEFT($P12&amp;",",FIND(",",$P12&amp;",")-1))))</f>
        <v/>
      </c>
      <c r="BD12">
        <f>IF($BC12="","",MID($BC12,4,FIND("~",SUBSTITUTE($BC12,"-","~",2))-4))</f>
        <v/>
      </c>
      <c r="BE12">
        <f>IF($BC12="","",MID($BC12,FIND("~",SUBSTITUTE($BC12,"-","~",2))+1,FIND("~",SUBSTITUTE($BC12,"-","~",3))-FIND("~",SUBSTITUTE($BC12,"-","~",2))-1))</f>
        <v/>
      </c>
      <c r="BF12">
        <f>IF($BD12="","",IFERROR(VLOOKUP($BD12,DECODE!$A$3:$C$8,3,FALSE),"?"))</f>
        <v/>
      </c>
      <c r="BG12">
        <f>IF($BE12="","",IFERROR(VLOOKUP($BD12&amp;"-"&amp;$BE12,DECODE!$E$3:$F$21,2,FALSE),"?"))</f>
        <v/>
      </c>
      <c r="BH12">
        <f>IF($BC12="","",IFERROR(VALUE(RIGHT($BC12,3)),""))</f>
        <v/>
      </c>
      <c r="BI12">
        <f>IF($V12="","",IFERROR(IF(ISNUMBER($V12),$V12,DATEVALUE(TRIM($V12))),""))</f>
        <v/>
      </c>
      <c r="BJ12">
        <f>IF($BI12="","",IF(MONTH($BI12)&gt;=12,"Cold Winter",IF(MONTH($BI12)&gt;=10,"Post-Monsoon",IF(MONTH($BI12)&gt;=6,"Hot Humid",IF(MONTH($BI12)&gt;=3,"Hot Dry","Cold Winter")))))</f>
        <v/>
      </c>
      <c r="BK12">
        <f>IF($BD12="","",IFERROR(VLOOKUP($BD12,DECODE!$A$3:$C$8,2,FALSE),"?"))</f>
        <v/>
      </c>
      <c r="BL12">
        <f>IF($Q12="","",UPPER(TRIM(LEFT($Q12&amp;",",FIND(",",$Q12&amp;",")-1))))</f>
        <v/>
      </c>
      <c r="BM12">
        <f>IF($BL12="","",MID($BL12,4,FIND("~",SUBSTITUTE($BL12,"-","~",2))-4))</f>
        <v/>
      </c>
      <c r="BN12">
        <f>IF($BL12="","",MID($BL12,FIND("~",SUBSTITUTE($BL12,"-","~",2))+1,FIND("~",SUBSTITUTE($BL12,"-","~",3))-FIND("~",SUBSTITUTE($BL12,"-","~",2))-1))</f>
        <v/>
      </c>
      <c r="BO12">
        <f>IF($BM12="","",IFERROR(VLOOKUP($BM12,DECODE!$A$3:$C$8,3,FALSE),"?"))</f>
        <v/>
      </c>
      <c r="BP12">
        <f>IF($BN12="","",IFERROR(VLOOKUP($BM12&amp;"-"&amp;$BN12,DECODE!$E$3:$F$21,2,FALSE),"?"))</f>
        <v/>
      </c>
      <c r="BQ12">
        <f>IF($BL12="","",IFERROR(VALUE(RIGHT($BL12,3)),""))</f>
        <v/>
      </c>
      <c r="BR12">
        <f>IF($W12="","",IFERROR(IF(ISNUMBER($W12),$W12,DATEVALUE(TRIM($W12))),""))</f>
        <v/>
      </c>
      <c r="BS12">
        <f>IF($BR12="","",IF(MONTH($BR12)&gt;=12,"Cold Winter",IF(MONTH($BR12)&gt;=10,"Post-Monsoon",IF(MONTH($BR12)&gt;=6,"Hot Humid",IF(MONTH($BR12)&gt;=3,"Hot Dry","Cold Winter")))))</f>
        <v/>
      </c>
      <c r="BT12">
        <f>IF($BM12="","",IFERROR(VLOOKUP($BM12,DECODE!$A$3:$C$8,2,FALSE),"?"))</f>
        <v/>
      </c>
      <c r="BU12">
        <f>IF($R12="","",UPPER(TRIM(LEFT($R12&amp;",",FIND(",",$R12&amp;",")-1))))</f>
        <v/>
      </c>
      <c r="BV12">
        <f>IF($BU12="","",MID($BU12,4,FIND("~",SUBSTITUTE($BU12,"-","~",2))-4))</f>
        <v/>
      </c>
      <c r="BW12">
        <f>IF($BU12="","",MID($BU12,FIND("~",SUBSTITUTE($BU12,"-","~",2))+1,FIND("~",SUBSTITUTE($BU12,"-","~",3))-FIND("~",SUBSTITUTE($BU12,"-","~",2))-1))</f>
        <v/>
      </c>
      <c r="BX12">
        <f>IF($BV12="","",IFERROR(VLOOKUP($BV12,DECODE!$A$3:$C$8,3,FALSE),"?"))</f>
        <v/>
      </c>
      <c r="BY12">
        <f>IF($BW12="","",IFERROR(VLOOKUP($BV12&amp;"-"&amp;$BW12,DECODE!$E$3:$F$21,2,FALSE),"?"))</f>
        <v/>
      </c>
      <c r="BZ12">
        <f>IF($BU12="","",IFERROR(VALUE(RIGHT($BU12,3)),""))</f>
        <v/>
      </c>
      <c r="CA12">
        <f>IF($X12="","",IFERROR(IF(ISNUMBER($X12),$X12,DATEVALUE(TRIM($X12))),""))</f>
        <v/>
      </c>
      <c r="CB12">
        <f>IF($CA12="","",IF(MONTH($CA12)&gt;=12,"Cold Winter",IF(MONTH($CA12)&gt;=10,"Post-Monsoon",IF(MONTH($CA12)&gt;=6,"Hot Humid",IF(MONTH($CA12)&gt;=3,"Hot Dry","Cold Winter")))))</f>
        <v/>
      </c>
      <c r="CC12">
        <f>IF($BV12="","",IFERROR(VLOOKUP($BV12,DECODE!$A$3:$C$8,2,FALSE),"?"))</f>
        <v/>
      </c>
      <c r="CD12">
        <f>IF($S12="","",UPPER(TRIM(LEFT($S12&amp;",",FIND(",",$S12&amp;",")-1))))</f>
        <v/>
      </c>
      <c r="CE12">
        <f>IF($CD12="","",MID($CD12,4,FIND("~",SUBSTITUTE($CD12,"-","~",2))-4))</f>
        <v/>
      </c>
      <c r="CF12">
        <f>IF($CD12="","",MID($CD12,FIND("~",SUBSTITUTE($CD12,"-","~",2))+1,FIND("~",SUBSTITUTE($CD12,"-","~",3))-FIND("~",SUBSTITUTE($CD12,"-","~",2))-1))</f>
        <v/>
      </c>
      <c r="CG12">
        <f>IF($CE12="","",IFERROR(VLOOKUP($CE12,DECODE!$A$3:$C$8,3,FALSE),"?"))</f>
        <v/>
      </c>
      <c r="CH12">
        <f>IF($CF12="","",IFERROR(VLOOKUP($CE12&amp;"-"&amp;$CF12,DECODE!$E$3:$F$21,2,FALSE),"?"))</f>
        <v/>
      </c>
      <c r="CI12">
        <f>IF($CD12="","",IFERROR(VALUE(RIGHT($CD12,3)),""))</f>
        <v/>
      </c>
      <c r="CJ12">
        <f>IF($Y12="","",IFERROR(IF(ISNUMBER($Y12),$Y12,DATEVALUE(TRIM($Y12))),""))</f>
        <v/>
      </c>
      <c r="CK12">
        <f>IF($CJ12="","",IF(MONTH($CJ12)&gt;=12,"Cold Winter",IF(MONTH($CJ12)&gt;=10,"Post-Monsoon",IF(MONTH($CJ12)&gt;=6,"Hot Humid",IF(MONTH($CJ12)&gt;=3,"Hot Dry","Cold Winter")))))</f>
        <v/>
      </c>
      <c r="CL12">
        <f>IF($CE12="","",IFERROR(VLOOKUP($CE12,DECODE!$A$3:$C$8,2,FALSE),"?"))</f>
        <v/>
      </c>
      <c r="CM12">
        <f>IF($AN12="","",AN12)</f>
        <v/>
      </c>
      <c r="CN12">
        <f>IF($AO12="","",AO12)</f>
        <v/>
      </c>
      <c r="CO12">
        <f>IF($AP12="","",AP12)</f>
        <v/>
      </c>
      <c r="CP12">
        <f>IF($CM12="","",IF($CM12="Aloe Vera Gel","Aloe Vera Gel "&amp;$CO12&amp;"g",CN12&amp;" "&amp;$CO12&amp;"g"))</f>
        <v/>
      </c>
      <c r="CQ12">
        <f>IF($AT12="",0,1)</f>
        <v/>
      </c>
      <c r="CR12">
        <f>IF($CQ12=0,"",AW12)</f>
        <v/>
      </c>
      <c r="CS12">
        <f>IF($CQ12=0,"",AX12)</f>
        <v/>
      </c>
      <c r="CT12">
        <f>IF($CQ12=0,"",AY12)</f>
        <v/>
      </c>
      <c r="CU12">
        <f>IF($CR12="","",IF($CR12="Aloe Vera Gel","Aloe Vera Gel "&amp;$CT12&amp;"g",CS12&amp;" "&amp;$CT12&amp;"g"))</f>
        <v/>
      </c>
      <c r="CV12">
        <f>IF($CQ12=0,"",IF($CP12=$CU12,"Repeat Exact",IF($CT12&gt;$CO12,"Upsized",IF($CT12&lt;$CO12,"Downsized",IF($CM12&lt;&gt;$CR12,"Lateral","Same Size Diff Variant")))))</f>
        <v/>
      </c>
      <c r="CW12">
        <f>IF($CQ12=0,"",AZ12-AQ12)</f>
        <v/>
      </c>
      <c r="CX12">
        <f>IF($CQ12=0,0,IF(CS12=CN12,1,0))</f>
        <v/>
      </c>
      <c r="CY12">
        <f>IF($CQ12=0,0,IF(CR12=CM12,1,0))</f>
        <v/>
      </c>
      <c r="CZ12">
        <f>IF($A12="","",IF(AND(IF(DASHBOARD!$C$4="All",TRUE,$CM12=DASHBOARD!$C$4),IF(DASHBOARD!$C$6="All",TRUE,$CP12=DASHBOARD!$C$6),IF(DASHBOARD!$C$8="All",TRUE,$AF12&gt;=DASHBOARD!$C$8),IF(DASHBOARD!$C$10="All",TRUE,$AF12&lt;=DASHBOARD!$C$10),IF(DASHBOARD!$C$12="All",TRUE,$AH12=VALUE(DASHBOARD!$C$12)),IF(DASHBOARD!$C$14="All",TRUE,$AJ12=DASHBOARD!$C$14)),1,0))</f>
        <v/>
      </c>
    </row>
    <row r="13">
      <c r="A13" t="n">
        <v>29483</v>
      </c>
      <c r="B13" t="inlineStr">
        <is>
          <t>Face Malai</t>
        </is>
      </c>
      <c r="C13" t="inlineStr">
        <is>
          <t>Face Malai</t>
        </is>
      </c>
      <c r="H13" t="inlineStr">
        <is>
          <t>Turmeric Nutmeg (Pigmentation)  Face Malai - 30g</t>
        </is>
      </c>
      <c r="I13" t="inlineStr">
        <is>
          <t>Turmeric Nutmeg (Pigmentation)  Face Malai - 30g</t>
        </is>
      </c>
      <c r="N13" t="inlineStr">
        <is>
          <t>FC-DM-PG-030</t>
        </is>
      </c>
      <c r="O13" t="inlineStr">
        <is>
          <t>FC-DM-PG-030</t>
        </is>
      </c>
      <c r="T13" t="inlineStr">
        <is>
          <t>Jan 15, 2024</t>
        </is>
      </c>
      <c r="U13" t="inlineStr">
        <is>
          <t>Mar 7, 2024</t>
        </is>
      </c>
      <c r="Z13" t="n">
        <v>52</v>
      </c>
      <c r="AE13" t="inlineStr">
        <is>
          <t>New Delhi</t>
        </is>
      </c>
      <c r="AF13" t="inlineStr">
        <is>
          <t>2024-01</t>
        </is>
      </c>
      <c r="AG13" t="n">
        <v>1</v>
      </c>
      <c r="AH13" t="n">
        <v>2</v>
      </c>
      <c r="AI13" t="n">
        <v>1</v>
      </c>
      <c r="AJ13">
        <f>IF($AE13="","",IFERROR(VLOOKUP(TRIM($AE13),DECODE!$H$3:$I$60,2,FALSE),"Rest of India"))</f>
        <v/>
      </c>
      <c r="AK13">
        <f>IF($N13="","",UPPER(TRIM(LEFT($N13&amp;",",FIND(",",$N13&amp;",")-1))))</f>
        <v/>
      </c>
      <c r="AL13">
        <f>IF($AK13="","",MID($AK13,4,FIND("~",SUBSTITUTE($AK13,"-","~",2))-4))</f>
        <v/>
      </c>
      <c r="AM13">
        <f>IF($AK13="","",MID($AK13,FIND("~",SUBSTITUTE($AK13,"-","~",2))+1,FIND("~",SUBSTITUTE($AK13,"-","~",3))-FIND("~",SUBSTITUTE($AK13,"-","~",2))-1))</f>
        <v/>
      </c>
      <c r="AN13">
        <f>IF($AL13="","",IFERROR(VLOOKUP($AL13,DECODE!$A$3:$C$8,3,FALSE),"?"))</f>
        <v/>
      </c>
      <c r="AO13">
        <f>IF($AM13="","",IFERROR(VLOOKUP($AL13&amp;"-"&amp;$AM13,DECODE!$E$3:$F$21,2,FALSE),"?"))</f>
        <v/>
      </c>
      <c r="AP13">
        <f>IF($AK13="","",IFERROR(VALUE(RIGHT($AK13,3)),""))</f>
        <v/>
      </c>
      <c r="AQ13">
        <f>IF($T13="","",IFERROR(IF(ISNUMBER($T13),$T13,DATEVALUE(TRIM($T13))),""))</f>
        <v/>
      </c>
      <c r="AR13">
        <f>IF($AQ13="","",IF(MONTH($AQ13)&gt;=12,"Cold Winter",IF(MONTH($AQ13)&gt;=10,"Post-Monsoon",IF(MONTH($AQ13)&gt;=6,"Hot Humid",IF(MONTH($AQ13)&gt;=3,"Hot Dry","Cold Winter")))))</f>
        <v/>
      </c>
      <c r="AS13">
        <f>IF($AL13="","",IFERROR(VLOOKUP($AL13,DECODE!$A$3:$C$8,2,FALSE),"?"))</f>
        <v/>
      </c>
      <c r="AT13">
        <f>IF($O13="","",UPPER(TRIM(LEFT($O13&amp;",",FIND(",",$O13&amp;",")-1))))</f>
        <v/>
      </c>
      <c r="AU13">
        <f>IF($AT13="","",MID($AT13,4,FIND("~",SUBSTITUTE($AT13,"-","~",2))-4))</f>
        <v/>
      </c>
      <c r="AV13">
        <f>IF($AT13="","",MID($AT13,FIND("~",SUBSTITUTE($AT13,"-","~",2))+1,FIND("~",SUBSTITUTE($AT13,"-","~",3))-FIND("~",SUBSTITUTE($AT13,"-","~",2))-1))</f>
        <v/>
      </c>
      <c r="AW13">
        <f>IF($AU13="","",IFERROR(VLOOKUP($AU13,DECODE!$A$3:$C$8,3,FALSE),"?"))</f>
        <v/>
      </c>
      <c r="AX13">
        <f>IF($AV13="","",IFERROR(VLOOKUP($AU13&amp;"-"&amp;$AV13,DECODE!$E$3:$F$21,2,FALSE),"?"))</f>
        <v/>
      </c>
      <c r="AY13">
        <f>IF($AT13="","",IFERROR(VALUE(RIGHT($AT13,3)),""))</f>
        <v/>
      </c>
      <c r="AZ13">
        <f>IF($U13="","",IFERROR(IF(ISNUMBER($U13),$U13,DATEVALUE(TRIM($U13))),""))</f>
        <v/>
      </c>
      <c r="BA13">
        <f>IF($AZ13="","",IF(MONTH($AZ13)&gt;=12,"Cold Winter",IF(MONTH($AZ13)&gt;=10,"Post-Monsoon",IF(MONTH($AZ13)&gt;=6,"Hot Humid",IF(MONTH($AZ13)&gt;=3,"Hot Dry","Cold Winter")))))</f>
        <v/>
      </c>
      <c r="BB13">
        <f>IF($AU13="","",IFERROR(VLOOKUP($AU13,DECODE!$A$3:$C$8,2,FALSE),"?"))</f>
        <v/>
      </c>
      <c r="BC13">
        <f>IF($P13="","",UPPER(TRIM(LEFT($P13&amp;",",FIND(",",$P13&amp;",")-1))))</f>
        <v/>
      </c>
      <c r="BD13">
        <f>IF($BC13="","",MID($BC13,4,FIND("~",SUBSTITUTE($BC13,"-","~",2))-4))</f>
        <v/>
      </c>
      <c r="BE13">
        <f>IF($BC13="","",MID($BC13,FIND("~",SUBSTITUTE($BC13,"-","~",2))+1,FIND("~",SUBSTITUTE($BC13,"-","~",3))-FIND("~",SUBSTITUTE($BC13,"-","~",2))-1))</f>
        <v/>
      </c>
      <c r="BF13">
        <f>IF($BD13="","",IFERROR(VLOOKUP($BD13,DECODE!$A$3:$C$8,3,FALSE),"?"))</f>
        <v/>
      </c>
      <c r="BG13">
        <f>IF($BE13="","",IFERROR(VLOOKUP($BD13&amp;"-"&amp;$BE13,DECODE!$E$3:$F$21,2,FALSE),"?"))</f>
        <v/>
      </c>
      <c r="BH13">
        <f>IF($BC13="","",IFERROR(VALUE(RIGHT($BC13,3)),""))</f>
        <v/>
      </c>
      <c r="BI13">
        <f>IF($V13="","",IFERROR(IF(ISNUMBER($V13),$V13,DATEVALUE(TRIM($V13))),""))</f>
        <v/>
      </c>
      <c r="BJ13">
        <f>IF($BI13="","",IF(MONTH($BI13)&gt;=12,"Cold Winter",IF(MONTH($BI13)&gt;=10,"Post-Monsoon",IF(MONTH($BI13)&gt;=6,"Hot Humid",IF(MONTH($BI13)&gt;=3,"Hot Dry","Cold Winter")))))</f>
        <v/>
      </c>
      <c r="BK13">
        <f>IF($BD13="","",IFERROR(VLOOKUP($BD13,DECODE!$A$3:$C$8,2,FALSE),"?"))</f>
        <v/>
      </c>
      <c r="BL13">
        <f>IF($Q13="","",UPPER(TRIM(LEFT($Q13&amp;",",FIND(",",$Q13&amp;",")-1))))</f>
        <v/>
      </c>
      <c r="BM13">
        <f>IF($BL13="","",MID($BL13,4,FIND("~",SUBSTITUTE($BL13,"-","~",2))-4))</f>
        <v/>
      </c>
      <c r="BN13">
        <f>IF($BL13="","",MID($BL13,FIND("~",SUBSTITUTE($BL13,"-","~",2))+1,FIND("~",SUBSTITUTE($BL13,"-","~",3))-FIND("~",SUBSTITUTE($BL13,"-","~",2))-1))</f>
        <v/>
      </c>
      <c r="BO13">
        <f>IF($BM13="","",IFERROR(VLOOKUP($BM13,DECODE!$A$3:$C$8,3,FALSE),"?"))</f>
        <v/>
      </c>
      <c r="BP13">
        <f>IF($BN13="","",IFERROR(VLOOKUP($BM13&amp;"-"&amp;$BN13,DECODE!$E$3:$F$21,2,FALSE),"?"))</f>
        <v/>
      </c>
      <c r="BQ13">
        <f>IF($BL13="","",IFERROR(VALUE(RIGHT($BL13,3)),""))</f>
        <v/>
      </c>
      <c r="BR13">
        <f>IF($W13="","",IFERROR(IF(ISNUMBER($W13),$W13,DATEVALUE(TRIM($W13))),""))</f>
        <v/>
      </c>
      <c r="BS13">
        <f>IF($BR13="","",IF(MONTH($BR13)&gt;=12,"Cold Winter",IF(MONTH($BR13)&gt;=10,"Post-Monsoon",IF(MONTH($BR13)&gt;=6,"Hot Humid",IF(MONTH($BR13)&gt;=3,"Hot Dry","Cold Winter")))))</f>
        <v/>
      </c>
      <c r="BT13">
        <f>IF($BM13="","",IFERROR(VLOOKUP($BM13,DECODE!$A$3:$C$8,2,FALSE),"?"))</f>
        <v/>
      </c>
      <c r="BU13">
        <f>IF($R13="","",UPPER(TRIM(LEFT($R13&amp;",",FIND(",",$R13&amp;",")-1))))</f>
        <v/>
      </c>
      <c r="BV13">
        <f>IF($BU13="","",MID($BU13,4,FIND("~",SUBSTITUTE($BU13,"-","~",2))-4))</f>
        <v/>
      </c>
      <c r="BW13">
        <f>IF($BU13="","",MID($BU13,FIND("~",SUBSTITUTE($BU13,"-","~",2))+1,FIND("~",SUBSTITUTE($BU13,"-","~",3))-FIND("~",SUBSTITUTE($BU13,"-","~",2))-1))</f>
        <v/>
      </c>
      <c r="BX13">
        <f>IF($BV13="","",IFERROR(VLOOKUP($BV13,DECODE!$A$3:$C$8,3,FALSE),"?"))</f>
        <v/>
      </c>
      <c r="BY13">
        <f>IF($BW13="","",IFERROR(VLOOKUP($BV13&amp;"-"&amp;$BW13,DECODE!$E$3:$F$21,2,FALSE),"?"))</f>
        <v/>
      </c>
      <c r="BZ13">
        <f>IF($BU13="","",IFERROR(VALUE(RIGHT($BU13,3)),""))</f>
        <v/>
      </c>
      <c r="CA13">
        <f>IF($X13="","",IFERROR(IF(ISNUMBER($X13),$X13,DATEVALUE(TRIM($X13))),""))</f>
        <v/>
      </c>
      <c r="CB13">
        <f>IF($CA13="","",IF(MONTH($CA13)&gt;=12,"Cold Winter",IF(MONTH($CA13)&gt;=10,"Post-Monsoon",IF(MONTH($CA13)&gt;=6,"Hot Humid",IF(MONTH($CA13)&gt;=3,"Hot Dry","Cold Winter")))))</f>
        <v/>
      </c>
      <c r="CC13">
        <f>IF($BV13="","",IFERROR(VLOOKUP($BV13,DECODE!$A$3:$C$8,2,FALSE),"?"))</f>
        <v/>
      </c>
      <c r="CD13">
        <f>IF($S13="","",UPPER(TRIM(LEFT($S13&amp;",",FIND(",",$S13&amp;",")-1))))</f>
        <v/>
      </c>
      <c r="CE13">
        <f>IF($CD13="","",MID($CD13,4,FIND("~",SUBSTITUTE($CD13,"-","~",2))-4))</f>
        <v/>
      </c>
      <c r="CF13">
        <f>IF($CD13="","",MID($CD13,FIND("~",SUBSTITUTE($CD13,"-","~",2))+1,FIND("~",SUBSTITUTE($CD13,"-","~",3))-FIND("~",SUBSTITUTE($CD13,"-","~",2))-1))</f>
        <v/>
      </c>
      <c r="CG13">
        <f>IF($CE13="","",IFERROR(VLOOKUP($CE13,DECODE!$A$3:$C$8,3,FALSE),"?"))</f>
        <v/>
      </c>
      <c r="CH13">
        <f>IF($CF13="","",IFERROR(VLOOKUP($CE13&amp;"-"&amp;$CF13,DECODE!$E$3:$F$21,2,FALSE),"?"))</f>
        <v/>
      </c>
      <c r="CI13">
        <f>IF($CD13="","",IFERROR(VALUE(RIGHT($CD13,3)),""))</f>
        <v/>
      </c>
      <c r="CJ13">
        <f>IF($Y13="","",IFERROR(IF(ISNUMBER($Y13),$Y13,DATEVALUE(TRIM($Y13))),""))</f>
        <v/>
      </c>
      <c r="CK13">
        <f>IF($CJ13="","",IF(MONTH($CJ13)&gt;=12,"Cold Winter",IF(MONTH($CJ13)&gt;=10,"Post-Monsoon",IF(MONTH($CJ13)&gt;=6,"Hot Humid",IF(MONTH($CJ13)&gt;=3,"Hot Dry","Cold Winter")))))</f>
        <v/>
      </c>
      <c r="CL13">
        <f>IF($CE13="","",IFERROR(VLOOKUP($CE13,DECODE!$A$3:$C$8,2,FALSE),"?"))</f>
        <v/>
      </c>
      <c r="CM13">
        <f>IF($AN13="","",AN13)</f>
        <v/>
      </c>
      <c r="CN13">
        <f>IF($AO13="","",AO13)</f>
        <v/>
      </c>
      <c r="CO13">
        <f>IF($AP13="","",AP13)</f>
        <v/>
      </c>
      <c r="CP13">
        <f>IF($CM13="","",IF($CM13="Aloe Vera Gel","Aloe Vera Gel "&amp;$CO13&amp;"g",CN13&amp;" "&amp;$CO13&amp;"g"))</f>
        <v/>
      </c>
      <c r="CQ13">
        <f>IF($AT13="",0,1)</f>
        <v/>
      </c>
      <c r="CR13">
        <f>IF($CQ13=0,"",AW13)</f>
        <v/>
      </c>
      <c r="CS13">
        <f>IF($CQ13=0,"",AX13)</f>
        <v/>
      </c>
      <c r="CT13">
        <f>IF($CQ13=0,"",AY13)</f>
        <v/>
      </c>
      <c r="CU13">
        <f>IF($CR13="","",IF($CR13="Aloe Vera Gel","Aloe Vera Gel "&amp;$CT13&amp;"g",CS13&amp;" "&amp;$CT13&amp;"g"))</f>
        <v/>
      </c>
      <c r="CV13">
        <f>IF($CQ13=0,"",IF($CP13=$CU13,"Repeat Exact",IF($CT13&gt;$CO13,"Upsized",IF($CT13&lt;$CO13,"Downsized",IF($CM13&lt;&gt;$CR13,"Lateral","Same Size Diff Variant")))))</f>
        <v/>
      </c>
      <c r="CW13">
        <f>IF($CQ13=0,"",AZ13-AQ13)</f>
        <v/>
      </c>
      <c r="CX13">
        <f>IF($CQ13=0,0,IF(CS13=CN13,1,0))</f>
        <v/>
      </c>
      <c r="CY13">
        <f>IF($CQ13=0,0,IF(CR13=CM13,1,0))</f>
        <v/>
      </c>
      <c r="CZ13">
        <f>IF($A13="","",IF(AND(IF(DASHBOARD!$C$4="All",TRUE,$CM13=DASHBOARD!$C$4),IF(DASHBOARD!$C$6="All",TRUE,$CP13=DASHBOARD!$C$6),IF(DASHBOARD!$C$8="All",TRUE,$AF13&gt;=DASHBOARD!$C$8),IF(DASHBOARD!$C$10="All",TRUE,$AF13&lt;=DASHBOARD!$C$10),IF(DASHBOARD!$C$12="All",TRUE,$AH13=VALUE(DASHBOARD!$C$12)),IF(DASHBOARD!$C$14="All",TRUE,$AJ13=DASHBOARD!$C$14)),1,0))</f>
        <v/>
      </c>
    </row>
    <row r="14">
      <c r="A14" t="n">
        <v>29860</v>
      </c>
      <c r="B14" t="inlineStr">
        <is>
          <t>Aloe Vera Gel</t>
        </is>
      </c>
      <c r="H14" t="inlineStr">
        <is>
          <t>Aloe Vera Gel - 40 gms</t>
        </is>
      </c>
      <c r="N14" t="inlineStr">
        <is>
          <t>FC-HG-PA-040</t>
        </is>
      </c>
      <c r="T14" t="inlineStr">
        <is>
          <t>Sep 13, 2024</t>
        </is>
      </c>
      <c r="AE14" t="inlineStr">
        <is>
          <t>New Delhi</t>
        </is>
      </c>
      <c r="AF14" t="inlineStr">
        <is>
          <t>2024-09</t>
        </is>
      </c>
      <c r="AG14" t="n">
        <v>9</v>
      </c>
      <c r="AH14" t="n">
        <v>1</v>
      </c>
      <c r="AI14" t="n">
        <v>0</v>
      </c>
      <c r="AJ14">
        <f>IF($AE14="","",IFERROR(VLOOKUP(TRIM($AE14),DECODE!$H$3:$I$60,2,FALSE),"Rest of India"))</f>
        <v/>
      </c>
      <c r="AK14">
        <f>IF($N14="","",UPPER(TRIM(LEFT($N14&amp;",",FIND(",",$N14&amp;",")-1))))</f>
        <v/>
      </c>
      <c r="AL14">
        <f>IF($AK14="","",MID($AK14,4,FIND("~",SUBSTITUTE($AK14,"-","~",2))-4))</f>
        <v/>
      </c>
      <c r="AM14">
        <f>IF($AK14="","",MID($AK14,FIND("~",SUBSTITUTE($AK14,"-","~",2))+1,FIND("~",SUBSTITUTE($AK14,"-","~",3))-FIND("~",SUBSTITUTE($AK14,"-","~",2))-1))</f>
        <v/>
      </c>
      <c r="AN14">
        <f>IF($AL14="","",IFERROR(VLOOKUP($AL14,DECODE!$A$3:$C$8,3,FALSE),"?"))</f>
        <v/>
      </c>
      <c r="AO14">
        <f>IF($AM14="","",IFERROR(VLOOKUP($AL14&amp;"-"&amp;$AM14,DECODE!$E$3:$F$21,2,FALSE),"?"))</f>
        <v/>
      </c>
      <c r="AP14">
        <f>IF($AK14="","",IFERROR(VALUE(RIGHT($AK14,3)),""))</f>
        <v/>
      </c>
      <c r="AQ14">
        <f>IF($T14="","",IFERROR(IF(ISNUMBER($T14),$T14,DATEVALUE(TRIM($T14))),""))</f>
        <v/>
      </c>
      <c r="AR14">
        <f>IF($AQ14="","",IF(MONTH($AQ14)&gt;=12,"Cold Winter",IF(MONTH($AQ14)&gt;=10,"Post-Monsoon",IF(MONTH($AQ14)&gt;=6,"Hot Humid",IF(MONTH($AQ14)&gt;=3,"Hot Dry","Cold Winter")))))</f>
        <v/>
      </c>
      <c r="AS14">
        <f>IF($AL14="","",IFERROR(VLOOKUP($AL14,DECODE!$A$3:$C$8,2,FALSE),"?"))</f>
        <v/>
      </c>
      <c r="AT14">
        <f>IF($O14="","",UPPER(TRIM(LEFT($O14&amp;",",FIND(",",$O14&amp;",")-1))))</f>
        <v/>
      </c>
      <c r="AU14">
        <f>IF($AT14="","",MID($AT14,4,FIND("~",SUBSTITUTE($AT14,"-","~",2))-4))</f>
        <v/>
      </c>
      <c r="AV14">
        <f>IF($AT14="","",MID($AT14,FIND("~",SUBSTITUTE($AT14,"-","~",2))+1,FIND("~",SUBSTITUTE($AT14,"-","~",3))-FIND("~",SUBSTITUTE($AT14,"-","~",2))-1))</f>
        <v/>
      </c>
      <c r="AW14">
        <f>IF($AU14="","",IFERROR(VLOOKUP($AU14,DECODE!$A$3:$C$8,3,FALSE),"?"))</f>
        <v/>
      </c>
      <c r="AX14">
        <f>IF($AV14="","",IFERROR(VLOOKUP($AU14&amp;"-"&amp;$AV14,DECODE!$E$3:$F$21,2,FALSE),"?"))</f>
        <v/>
      </c>
      <c r="AY14">
        <f>IF($AT14="","",IFERROR(VALUE(RIGHT($AT14,3)),""))</f>
        <v/>
      </c>
      <c r="AZ14">
        <f>IF($U14="","",IFERROR(IF(ISNUMBER($U14),$U14,DATEVALUE(TRIM($U14))),""))</f>
        <v/>
      </c>
      <c r="BA14">
        <f>IF($AZ14="","",IF(MONTH($AZ14)&gt;=12,"Cold Winter",IF(MONTH($AZ14)&gt;=10,"Post-Monsoon",IF(MONTH($AZ14)&gt;=6,"Hot Humid",IF(MONTH($AZ14)&gt;=3,"Hot Dry","Cold Winter")))))</f>
        <v/>
      </c>
      <c r="BB14">
        <f>IF($AU14="","",IFERROR(VLOOKUP($AU14,DECODE!$A$3:$C$8,2,FALSE),"?"))</f>
        <v/>
      </c>
      <c r="BC14">
        <f>IF($P14="","",UPPER(TRIM(LEFT($P14&amp;",",FIND(",",$P14&amp;",")-1))))</f>
        <v/>
      </c>
      <c r="BD14">
        <f>IF($BC14="","",MID($BC14,4,FIND("~",SUBSTITUTE($BC14,"-","~",2))-4))</f>
        <v/>
      </c>
      <c r="BE14">
        <f>IF($BC14="","",MID($BC14,FIND("~",SUBSTITUTE($BC14,"-","~",2))+1,FIND("~",SUBSTITUTE($BC14,"-","~",3))-FIND("~",SUBSTITUTE($BC14,"-","~",2))-1))</f>
        <v/>
      </c>
      <c r="BF14">
        <f>IF($BD14="","",IFERROR(VLOOKUP($BD14,DECODE!$A$3:$C$8,3,FALSE),"?"))</f>
        <v/>
      </c>
      <c r="BG14">
        <f>IF($BE14="","",IFERROR(VLOOKUP($BD14&amp;"-"&amp;$BE14,DECODE!$E$3:$F$21,2,FALSE),"?"))</f>
        <v/>
      </c>
      <c r="BH14">
        <f>IF($BC14="","",IFERROR(VALUE(RIGHT($BC14,3)),""))</f>
        <v/>
      </c>
      <c r="BI14">
        <f>IF($V14="","",IFERROR(IF(ISNUMBER($V14),$V14,DATEVALUE(TRIM($V14))),""))</f>
        <v/>
      </c>
      <c r="BJ14">
        <f>IF($BI14="","",IF(MONTH($BI14)&gt;=12,"Cold Winter",IF(MONTH($BI14)&gt;=10,"Post-Monsoon",IF(MONTH($BI14)&gt;=6,"Hot Humid",IF(MONTH($BI14)&gt;=3,"Hot Dry","Cold Winter")))))</f>
        <v/>
      </c>
      <c r="BK14">
        <f>IF($BD14="","",IFERROR(VLOOKUP($BD14,DECODE!$A$3:$C$8,2,FALSE),"?"))</f>
        <v/>
      </c>
      <c r="BL14">
        <f>IF($Q14="","",UPPER(TRIM(LEFT($Q14&amp;",",FIND(",",$Q14&amp;",")-1))))</f>
        <v/>
      </c>
      <c r="BM14">
        <f>IF($BL14="","",MID($BL14,4,FIND("~",SUBSTITUTE($BL14,"-","~",2))-4))</f>
        <v/>
      </c>
      <c r="BN14">
        <f>IF($BL14="","",MID($BL14,FIND("~",SUBSTITUTE($BL14,"-","~",2))+1,FIND("~",SUBSTITUTE($BL14,"-","~",3))-FIND("~",SUBSTITUTE($BL14,"-","~",2))-1))</f>
        <v/>
      </c>
      <c r="BO14">
        <f>IF($BM14="","",IFERROR(VLOOKUP($BM14,DECODE!$A$3:$C$8,3,FALSE),"?"))</f>
        <v/>
      </c>
      <c r="BP14">
        <f>IF($BN14="","",IFERROR(VLOOKUP($BM14&amp;"-"&amp;$BN14,DECODE!$E$3:$F$21,2,FALSE),"?"))</f>
        <v/>
      </c>
      <c r="BQ14">
        <f>IF($BL14="","",IFERROR(VALUE(RIGHT($BL14,3)),""))</f>
        <v/>
      </c>
      <c r="BR14">
        <f>IF($W14="","",IFERROR(IF(ISNUMBER($W14),$W14,DATEVALUE(TRIM($W14))),""))</f>
        <v/>
      </c>
      <c r="BS14">
        <f>IF($BR14="","",IF(MONTH($BR14)&gt;=12,"Cold Winter",IF(MONTH($BR14)&gt;=10,"Post-Monsoon",IF(MONTH($BR14)&gt;=6,"Hot Humid",IF(MONTH($BR14)&gt;=3,"Hot Dry","Cold Winter")))))</f>
        <v/>
      </c>
      <c r="BT14">
        <f>IF($BM14="","",IFERROR(VLOOKUP($BM14,DECODE!$A$3:$C$8,2,FALSE),"?"))</f>
        <v/>
      </c>
      <c r="BU14">
        <f>IF($R14="","",UPPER(TRIM(LEFT($R14&amp;",",FIND(",",$R14&amp;",")-1))))</f>
        <v/>
      </c>
      <c r="BV14">
        <f>IF($BU14="","",MID($BU14,4,FIND("~",SUBSTITUTE($BU14,"-","~",2))-4))</f>
        <v/>
      </c>
      <c r="BW14">
        <f>IF($BU14="","",MID($BU14,FIND("~",SUBSTITUTE($BU14,"-","~",2))+1,FIND("~",SUBSTITUTE($BU14,"-","~",3))-FIND("~",SUBSTITUTE($BU14,"-","~",2))-1))</f>
        <v/>
      </c>
      <c r="BX14">
        <f>IF($BV14="","",IFERROR(VLOOKUP($BV14,DECODE!$A$3:$C$8,3,FALSE),"?"))</f>
        <v/>
      </c>
      <c r="BY14">
        <f>IF($BW14="","",IFERROR(VLOOKUP($BV14&amp;"-"&amp;$BW14,DECODE!$E$3:$F$21,2,FALSE),"?"))</f>
        <v/>
      </c>
      <c r="BZ14">
        <f>IF($BU14="","",IFERROR(VALUE(RIGHT($BU14,3)),""))</f>
        <v/>
      </c>
      <c r="CA14">
        <f>IF($X14="","",IFERROR(IF(ISNUMBER($X14),$X14,DATEVALUE(TRIM($X14))),""))</f>
        <v/>
      </c>
      <c r="CB14">
        <f>IF($CA14="","",IF(MONTH($CA14)&gt;=12,"Cold Winter",IF(MONTH($CA14)&gt;=10,"Post-Monsoon",IF(MONTH($CA14)&gt;=6,"Hot Humid",IF(MONTH($CA14)&gt;=3,"Hot Dry","Cold Winter")))))</f>
        <v/>
      </c>
      <c r="CC14">
        <f>IF($BV14="","",IFERROR(VLOOKUP($BV14,DECODE!$A$3:$C$8,2,FALSE),"?"))</f>
        <v/>
      </c>
      <c r="CD14">
        <f>IF($S14="","",UPPER(TRIM(LEFT($S14&amp;",",FIND(",",$S14&amp;",")-1))))</f>
        <v/>
      </c>
      <c r="CE14">
        <f>IF($CD14="","",MID($CD14,4,FIND("~",SUBSTITUTE($CD14,"-","~",2))-4))</f>
        <v/>
      </c>
      <c r="CF14">
        <f>IF($CD14="","",MID($CD14,FIND("~",SUBSTITUTE($CD14,"-","~",2))+1,FIND("~",SUBSTITUTE($CD14,"-","~",3))-FIND("~",SUBSTITUTE($CD14,"-","~",2))-1))</f>
        <v/>
      </c>
      <c r="CG14">
        <f>IF($CE14="","",IFERROR(VLOOKUP($CE14,DECODE!$A$3:$C$8,3,FALSE),"?"))</f>
        <v/>
      </c>
      <c r="CH14">
        <f>IF($CF14="","",IFERROR(VLOOKUP($CE14&amp;"-"&amp;$CF14,DECODE!$E$3:$F$21,2,FALSE),"?"))</f>
        <v/>
      </c>
      <c r="CI14">
        <f>IF($CD14="","",IFERROR(VALUE(RIGHT($CD14,3)),""))</f>
        <v/>
      </c>
      <c r="CJ14">
        <f>IF($Y14="","",IFERROR(IF(ISNUMBER($Y14),$Y14,DATEVALUE(TRIM($Y14))),""))</f>
        <v/>
      </c>
      <c r="CK14">
        <f>IF($CJ14="","",IF(MONTH($CJ14)&gt;=12,"Cold Winter",IF(MONTH($CJ14)&gt;=10,"Post-Monsoon",IF(MONTH($CJ14)&gt;=6,"Hot Humid",IF(MONTH($CJ14)&gt;=3,"Hot Dry","Cold Winter")))))</f>
        <v/>
      </c>
      <c r="CL14">
        <f>IF($CE14="","",IFERROR(VLOOKUP($CE14,DECODE!$A$3:$C$8,2,FALSE),"?"))</f>
        <v/>
      </c>
      <c r="CM14">
        <f>IF($AN14="","",AN14)</f>
        <v/>
      </c>
      <c r="CN14">
        <f>IF($AO14="","",AO14)</f>
        <v/>
      </c>
      <c r="CO14">
        <f>IF($AP14="","",AP14)</f>
        <v/>
      </c>
      <c r="CP14">
        <f>IF($CM14="","",IF($CM14="Aloe Vera Gel","Aloe Vera Gel "&amp;$CO14&amp;"g",CN14&amp;" "&amp;$CO14&amp;"g"))</f>
        <v/>
      </c>
      <c r="CQ14">
        <f>IF($AT14="",0,1)</f>
        <v/>
      </c>
      <c r="CR14">
        <f>IF($CQ14=0,"",AW14)</f>
        <v/>
      </c>
      <c r="CS14">
        <f>IF($CQ14=0,"",AX14)</f>
        <v/>
      </c>
      <c r="CT14">
        <f>IF($CQ14=0,"",AY14)</f>
        <v/>
      </c>
      <c r="CU14">
        <f>IF($CR14="","",IF($CR14="Aloe Vera Gel","Aloe Vera Gel "&amp;$CT14&amp;"g",CS14&amp;" "&amp;$CT14&amp;"g"))</f>
        <v/>
      </c>
      <c r="CV14">
        <f>IF($CQ14=0,"",IF($CP14=$CU14,"Repeat Exact",IF($CT14&gt;$CO14,"Upsized",IF($CT14&lt;$CO14,"Downsized",IF($CM14&lt;&gt;$CR14,"Lateral","Same Size Diff Variant")))))</f>
        <v/>
      </c>
      <c r="CW14">
        <f>IF($CQ14=0,"",AZ14-AQ14)</f>
        <v/>
      </c>
      <c r="CX14">
        <f>IF($CQ14=0,0,IF(CS14=CN14,1,0))</f>
        <v/>
      </c>
      <c r="CY14">
        <f>IF($CQ14=0,0,IF(CR14=CM14,1,0))</f>
        <v/>
      </c>
      <c r="CZ14">
        <f>IF($A14="","",IF(AND(IF(DASHBOARD!$C$4="All",TRUE,$CM14=DASHBOARD!$C$4),IF(DASHBOARD!$C$6="All",TRUE,$CP14=DASHBOARD!$C$6),IF(DASHBOARD!$C$8="All",TRUE,$AF14&gt;=DASHBOARD!$C$8),IF(DASHBOARD!$C$10="All",TRUE,$AF14&lt;=DASHBOARD!$C$10),IF(DASHBOARD!$C$12="All",TRUE,$AH14=VALUE(DASHBOARD!$C$12)),IF(DASHBOARD!$C$14="All",TRUE,$AJ14=DASHBOARD!$C$14)),1,0))</f>
        <v/>
      </c>
    </row>
    <row r="15">
      <c r="A15" t="n">
        <v>29922</v>
      </c>
      <c r="B15" t="inlineStr">
        <is>
          <t>Face Malai</t>
        </is>
      </c>
      <c r="H15" t="inlineStr">
        <is>
          <t>Cocoa Mogra (Overnight) Face Malai - 30g, Tomato Patchouli (Cold) 20 - 35 Yrs Face Malai</t>
        </is>
      </c>
      <c r="N15" t="inlineStr">
        <is>
          <t>FC-CWDM-TP-030, FC-DM-NR-030</t>
        </is>
      </c>
      <c r="T15" t="inlineStr">
        <is>
          <t>Nov 6, 2024</t>
        </is>
      </c>
      <c r="AE15" t="inlineStr">
        <is>
          <t>Agra</t>
        </is>
      </c>
      <c r="AF15" t="inlineStr">
        <is>
          <t>2024-11</t>
        </is>
      </c>
      <c r="AG15" t="n">
        <v>11</v>
      </c>
      <c r="AH15" t="n">
        <v>1</v>
      </c>
      <c r="AI15" t="n">
        <v>0</v>
      </c>
      <c r="AJ15">
        <f>IF($AE15="","",IFERROR(VLOOKUP(TRIM($AE15),DECODE!$H$3:$I$60,2,FALSE),"Rest of India"))</f>
        <v/>
      </c>
      <c r="AK15">
        <f>IF($N15="","",UPPER(TRIM(LEFT($N15&amp;",",FIND(",",$N15&amp;",")-1))))</f>
        <v/>
      </c>
      <c r="AL15">
        <f>IF($AK15="","",MID($AK15,4,FIND("~",SUBSTITUTE($AK15,"-","~",2))-4))</f>
        <v/>
      </c>
      <c r="AM15">
        <f>IF($AK15="","",MID($AK15,FIND("~",SUBSTITUTE($AK15,"-","~",2))+1,FIND("~",SUBSTITUTE($AK15,"-","~",3))-FIND("~",SUBSTITUTE($AK15,"-","~",2))-1))</f>
        <v/>
      </c>
      <c r="AN15">
        <f>IF($AL15="","",IFERROR(VLOOKUP($AL15,DECODE!$A$3:$C$8,3,FALSE),"?"))</f>
        <v/>
      </c>
      <c r="AO15">
        <f>IF($AM15="","",IFERROR(VLOOKUP($AL15&amp;"-"&amp;$AM15,DECODE!$E$3:$F$21,2,FALSE),"?"))</f>
        <v/>
      </c>
      <c r="AP15">
        <f>IF($AK15="","",IFERROR(VALUE(RIGHT($AK15,3)),""))</f>
        <v/>
      </c>
      <c r="AQ15">
        <f>IF($T15="","",IFERROR(IF(ISNUMBER($T15),$T15,DATEVALUE(TRIM($T15))),""))</f>
        <v/>
      </c>
      <c r="AR15">
        <f>IF($AQ15="","",IF(MONTH($AQ15)&gt;=12,"Cold Winter",IF(MONTH($AQ15)&gt;=10,"Post-Monsoon",IF(MONTH($AQ15)&gt;=6,"Hot Humid",IF(MONTH($AQ15)&gt;=3,"Hot Dry","Cold Winter")))))</f>
        <v/>
      </c>
      <c r="AS15">
        <f>IF($AL15="","",IFERROR(VLOOKUP($AL15,DECODE!$A$3:$C$8,2,FALSE),"?"))</f>
        <v/>
      </c>
      <c r="AT15">
        <f>IF($O15="","",UPPER(TRIM(LEFT($O15&amp;",",FIND(",",$O15&amp;",")-1))))</f>
        <v/>
      </c>
      <c r="AU15">
        <f>IF($AT15="","",MID($AT15,4,FIND("~",SUBSTITUTE($AT15,"-","~",2))-4))</f>
        <v/>
      </c>
      <c r="AV15">
        <f>IF($AT15="","",MID($AT15,FIND("~",SUBSTITUTE($AT15,"-","~",2))+1,FIND("~",SUBSTITUTE($AT15,"-","~",3))-FIND("~",SUBSTITUTE($AT15,"-","~",2))-1))</f>
        <v/>
      </c>
      <c r="AW15">
        <f>IF($AU15="","",IFERROR(VLOOKUP($AU15,DECODE!$A$3:$C$8,3,FALSE),"?"))</f>
        <v/>
      </c>
      <c r="AX15">
        <f>IF($AV15="","",IFERROR(VLOOKUP($AU15&amp;"-"&amp;$AV15,DECODE!$E$3:$F$21,2,FALSE),"?"))</f>
        <v/>
      </c>
      <c r="AY15">
        <f>IF($AT15="","",IFERROR(VALUE(RIGHT($AT15,3)),""))</f>
        <v/>
      </c>
      <c r="AZ15">
        <f>IF($U15="","",IFERROR(IF(ISNUMBER($U15),$U15,DATEVALUE(TRIM($U15))),""))</f>
        <v/>
      </c>
      <c r="BA15">
        <f>IF($AZ15="","",IF(MONTH($AZ15)&gt;=12,"Cold Winter",IF(MONTH($AZ15)&gt;=10,"Post-Monsoon",IF(MONTH($AZ15)&gt;=6,"Hot Humid",IF(MONTH($AZ15)&gt;=3,"Hot Dry","Cold Winter")))))</f>
        <v/>
      </c>
      <c r="BB15">
        <f>IF($AU15="","",IFERROR(VLOOKUP($AU15,DECODE!$A$3:$C$8,2,FALSE),"?"))</f>
        <v/>
      </c>
      <c r="BC15">
        <f>IF($P15="","",UPPER(TRIM(LEFT($P15&amp;",",FIND(",",$P15&amp;",")-1))))</f>
        <v/>
      </c>
      <c r="BD15">
        <f>IF($BC15="","",MID($BC15,4,FIND("~",SUBSTITUTE($BC15,"-","~",2))-4))</f>
        <v/>
      </c>
      <c r="BE15">
        <f>IF($BC15="","",MID($BC15,FIND("~",SUBSTITUTE($BC15,"-","~",2))+1,FIND("~",SUBSTITUTE($BC15,"-","~",3))-FIND("~",SUBSTITUTE($BC15,"-","~",2))-1))</f>
        <v/>
      </c>
      <c r="BF15">
        <f>IF($BD15="","",IFERROR(VLOOKUP($BD15,DECODE!$A$3:$C$8,3,FALSE),"?"))</f>
        <v/>
      </c>
      <c r="BG15">
        <f>IF($BE15="","",IFERROR(VLOOKUP($BD15&amp;"-"&amp;$BE15,DECODE!$E$3:$F$21,2,FALSE),"?"))</f>
        <v/>
      </c>
      <c r="BH15">
        <f>IF($BC15="","",IFERROR(VALUE(RIGHT($BC15,3)),""))</f>
        <v/>
      </c>
      <c r="BI15">
        <f>IF($V15="","",IFERROR(IF(ISNUMBER($V15),$V15,DATEVALUE(TRIM($V15))),""))</f>
        <v/>
      </c>
      <c r="BJ15">
        <f>IF($BI15="","",IF(MONTH($BI15)&gt;=12,"Cold Winter",IF(MONTH($BI15)&gt;=10,"Post-Monsoon",IF(MONTH($BI15)&gt;=6,"Hot Humid",IF(MONTH($BI15)&gt;=3,"Hot Dry","Cold Winter")))))</f>
        <v/>
      </c>
      <c r="BK15">
        <f>IF($BD15="","",IFERROR(VLOOKUP($BD15,DECODE!$A$3:$C$8,2,FALSE),"?"))</f>
        <v/>
      </c>
      <c r="BL15">
        <f>IF($Q15="","",UPPER(TRIM(LEFT($Q15&amp;",",FIND(",",$Q15&amp;",")-1))))</f>
        <v/>
      </c>
      <c r="BM15">
        <f>IF($BL15="","",MID($BL15,4,FIND("~",SUBSTITUTE($BL15,"-","~",2))-4))</f>
        <v/>
      </c>
      <c r="BN15">
        <f>IF($BL15="","",MID($BL15,FIND("~",SUBSTITUTE($BL15,"-","~",2))+1,FIND("~",SUBSTITUTE($BL15,"-","~",3))-FIND("~",SUBSTITUTE($BL15,"-","~",2))-1))</f>
        <v/>
      </c>
      <c r="BO15">
        <f>IF($BM15="","",IFERROR(VLOOKUP($BM15,DECODE!$A$3:$C$8,3,FALSE),"?"))</f>
        <v/>
      </c>
      <c r="BP15">
        <f>IF($BN15="","",IFERROR(VLOOKUP($BM15&amp;"-"&amp;$BN15,DECODE!$E$3:$F$21,2,FALSE),"?"))</f>
        <v/>
      </c>
      <c r="BQ15">
        <f>IF($BL15="","",IFERROR(VALUE(RIGHT($BL15,3)),""))</f>
        <v/>
      </c>
      <c r="BR15">
        <f>IF($W15="","",IFERROR(IF(ISNUMBER($W15),$W15,DATEVALUE(TRIM($W15))),""))</f>
        <v/>
      </c>
      <c r="BS15">
        <f>IF($BR15="","",IF(MONTH($BR15)&gt;=12,"Cold Winter",IF(MONTH($BR15)&gt;=10,"Post-Monsoon",IF(MONTH($BR15)&gt;=6,"Hot Humid",IF(MONTH($BR15)&gt;=3,"Hot Dry","Cold Winter")))))</f>
        <v/>
      </c>
      <c r="BT15">
        <f>IF($BM15="","",IFERROR(VLOOKUP($BM15,DECODE!$A$3:$C$8,2,FALSE),"?"))</f>
        <v/>
      </c>
      <c r="BU15">
        <f>IF($R15="","",UPPER(TRIM(LEFT($R15&amp;",",FIND(",",$R15&amp;",")-1))))</f>
        <v/>
      </c>
      <c r="BV15">
        <f>IF($BU15="","",MID($BU15,4,FIND("~",SUBSTITUTE($BU15,"-","~",2))-4))</f>
        <v/>
      </c>
      <c r="BW15">
        <f>IF($BU15="","",MID($BU15,FIND("~",SUBSTITUTE($BU15,"-","~",2))+1,FIND("~",SUBSTITUTE($BU15,"-","~",3))-FIND("~",SUBSTITUTE($BU15,"-","~",2))-1))</f>
        <v/>
      </c>
      <c r="BX15">
        <f>IF($BV15="","",IFERROR(VLOOKUP($BV15,DECODE!$A$3:$C$8,3,FALSE),"?"))</f>
        <v/>
      </c>
      <c r="BY15">
        <f>IF($BW15="","",IFERROR(VLOOKUP($BV15&amp;"-"&amp;$BW15,DECODE!$E$3:$F$21,2,FALSE),"?"))</f>
        <v/>
      </c>
      <c r="BZ15">
        <f>IF($BU15="","",IFERROR(VALUE(RIGHT($BU15,3)),""))</f>
        <v/>
      </c>
      <c r="CA15">
        <f>IF($X15="","",IFERROR(IF(ISNUMBER($X15),$X15,DATEVALUE(TRIM($X15))),""))</f>
        <v/>
      </c>
      <c r="CB15">
        <f>IF($CA15="","",IF(MONTH($CA15)&gt;=12,"Cold Winter",IF(MONTH($CA15)&gt;=10,"Post-Monsoon",IF(MONTH($CA15)&gt;=6,"Hot Humid",IF(MONTH($CA15)&gt;=3,"Hot Dry","Cold Winter")))))</f>
        <v/>
      </c>
      <c r="CC15">
        <f>IF($BV15="","",IFERROR(VLOOKUP($BV15,DECODE!$A$3:$C$8,2,FALSE),"?"))</f>
        <v/>
      </c>
      <c r="CD15">
        <f>IF($S15="","",UPPER(TRIM(LEFT($S15&amp;",",FIND(",",$S15&amp;",")-1))))</f>
        <v/>
      </c>
      <c r="CE15">
        <f>IF($CD15="","",MID($CD15,4,FIND("~",SUBSTITUTE($CD15,"-","~",2))-4))</f>
        <v/>
      </c>
      <c r="CF15">
        <f>IF($CD15="","",MID($CD15,FIND("~",SUBSTITUTE($CD15,"-","~",2))+1,FIND("~",SUBSTITUTE($CD15,"-","~",3))-FIND("~",SUBSTITUTE($CD15,"-","~",2))-1))</f>
        <v/>
      </c>
      <c r="CG15">
        <f>IF($CE15="","",IFERROR(VLOOKUP($CE15,DECODE!$A$3:$C$8,3,FALSE),"?"))</f>
        <v/>
      </c>
      <c r="CH15">
        <f>IF($CF15="","",IFERROR(VLOOKUP($CE15&amp;"-"&amp;$CF15,DECODE!$E$3:$F$21,2,FALSE),"?"))</f>
        <v/>
      </c>
      <c r="CI15">
        <f>IF($CD15="","",IFERROR(VALUE(RIGHT($CD15,3)),""))</f>
        <v/>
      </c>
      <c r="CJ15">
        <f>IF($Y15="","",IFERROR(IF(ISNUMBER($Y15),$Y15,DATEVALUE(TRIM($Y15))),""))</f>
        <v/>
      </c>
      <c r="CK15">
        <f>IF($CJ15="","",IF(MONTH($CJ15)&gt;=12,"Cold Winter",IF(MONTH($CJ15)&gt;=10,"Post-Monsoon",IF(MONTH($CJ15)&gt;=6,"Hot Humid",IF(MONTH($CJ15)&gt;=3,"Hot Dry","Cold Winter")))))</f>
        <v/>
      </c>
      <c r="CL15">
        <f>IF($CE15="","",IFERROR(VLOOKUP($CE15,DECODE!$A$3:$C$8,2,FALSE),"?"))</f>
        <v/>
      </c>
      <c r="CM15">
        <f>IF($AN15="","",AN15)</f>
        <v/>
      </c>
      <c r="CN15">
        <f>IF($AO15="","",AO15)</f>
        <v/>
      </c>
      <c r="CO15">
        <f>IF($AP15="","",AP15)</f>
        <v/>
      </c>
      <c r="CP15">
        <f>IF($CM15="","",IF($CM15="Aloe Vera Gel","Aloe Vera Gel "&amp;$CO15&amp;"g",CN15&amp;" "&amp;$CO15&amp;"g"))</f>
        <v/>
      </c>
      <c r="CQ15">
        <f>IF($AT15="",0,1)</f>
        <v/>
      </c>
      <c r="CR15">
        <f>IF($CQ15=0,"",AW15)</f>
        <v/>
      </c>
      <c r="CS15">
        <f>IF($CQ15=0,"",AX15)</f>
        <v/>
      </c>
      <c r="CT15">
        <f>IF($CQ15=0,"",AY15)</f>
        <v/>
      </c>
      <c r="CU15">
        <f>IF($CR15="","",IF($CR15="Aloe Vera Gel","Aloe Vera Gel "&amp;$CT15&amp;"g",CS15&amp;" "&amp;$CT15&amp;"g"))</f>
        <v/>
      </c>
      <c r="CV15">
        <f>IF($CQ15=0,"",IF($CP15=$CU15,"Repeat Exact",IF($CT15&gt;$CO15,"Upsized",IF($CT15&lt;$CO15,"Downsized",IF($CM15&lt;&gt;$CR15,"Lateral","Same Size Diff Variant")))))</f>
        <v/>
      </c>
      <c r="CW15">
        <f>IF($CQ15=0,"",AZ15-AQ15)</f>
        <v/>
      </c>
      <c r="CX15">
        <f>IF($CQ15=0,0,IF(CS15=CN15,1,0))</f>
        <v/>
      </c>
      <c r="CY15">
        <f>IF($CQ15=0,0,IF(CR15=CM15,1,0))</f>
        <v/>
      </c>
      <c r="CZ15">
        <f>IF($A15="","",IF(AND(IF(DASHBOARD!$C$4="All",TRUE,$CM15=DASHBOARD!$C$4),IF(DASHBOARD!$C$6="All",TRUE,$CP15=DASHBOARD!$C$6),IF(DASHBOARD!$C$8="All",TRUE,$AF15&gt;=DASHBOARD!$C$8),IF(DASHBOARD!$C$10="All",TRUE,$AF15&lt;=DASHBOARD!$C$10),IF(DASHBOARD!$C$12="All",TRUE,$AH15=VALUE(DASHBOARD!$C$12)),IF(DASHBOARD!$C$14="All",TRUE,$AJ15=DASHBOARD!$C$14)),1,0))</f>
        <v/>
      </c>
    </row>
    <row r="16">
      <c r="A16" t="n">
        <v>30027</v>
      </c>
      <c r="B16" t="inlineStr">
        <is>
          <t>Face Malai</t>
        </is>
      </c>
      <c r="H16" t="inlineStr">
        <is>
          <t>Tomato Vetiver (Hot Humid) 20 - 35 Yrs Face Malai</t>
        </is>
      </c>
      <c r="N16" t="inlineStr">
        <is>
          <t>FC-HHDM-TV-030</t>
        </is>
      </c>
      <c r="T16" t="inlineStr">
        <is>
          <t>Mar 19, 2024</t>
        </is>
      </c>
      <c r="AE16" t="inlineStr">
        <is>
          <t>New Delhi</t>
        </is>
      </c>
      <c r="AF16" t="inlineStr">
        <is>
          <t>2024-03</t>
        </is>
      </c>
      <c r="AG16" t="n">
        <v>3</v>
      </c>
      <c r="AH16" t="n">
        <v>1</v>
      </c>
      <c r="AI16" t="n">
        <v>0</v>
      </c>
      <c r="AJ16">
        <f>IF($AE16="","",IFERROR(VLOOKUP(TRIM($AE16),DECODE!$H$3:$I$60,2,FALSE),"Rest of India"))</f>
        <v/>
      </c>
      <c r="AK16">
        <f>IF($N16="","",UPPER(TRIM(LEFT($N16&amp;",",FIND(",",$N16&amp;",")-1))))</f>
        <v/>
      </c>
      <c r="AL16">
        <f>IF($AK16="","",MID($AK16,4,FIND("~",SUBSTITUTE($AK16,"-","~",2))-4))</f>
        <v/>
      </c>
      <c r="AM16">
        <f>IF($AK16="","",MID($AK16,FIND("~",SUBSTITUTE($AK16,"-","~",2))+1,FIND("~",SUBSTITUTE($AK16,"-","~",3))-FIND("~",SUBSTITUTE($AK16,"-","~",2))-1))</f>
        <v/>
      </c>
      <c r="AN16">
        <f>IF($AL16="","",IFERROR(VLOOKUP($AL16,DECODE!$A$3:$C$8,3,FALSE),"?"))</f>
        <v/>
      </c>
      <c r="AO16">
        <f>IF($AM16="","",IFERROR(VLOOKUP($AL16&amp;"-"&amp;$AM16,DECODE!$E$3:$F$21,2,FALSE),"?"))</f>
        <v/>
      </c>
      <c r="AP16">
        <f>IF($AK16="","",IFERROR(VALUE(RIGHT($AK16,3)),""))</f>
        <v/>
      </c>
      <c r="AQ16">
        <f>IF($T16="","",IFERROR(IF(ISNUMBER($T16),$T16,DATEVALUE(TRIM($T16))),""))</f>
        <v/>
      </c>
      <c r="AR16">
        <f>IF($AQ16="","",IF(MONTH($AQ16)&gt;=12,"Cold Winter",IF(MONTH($AQ16)&gt;=10,"Post-Monsoon",IF(MONTH($AQ16)&gt;=6,"Hot Humid",IF(MONTH($AQ16)&gt;=3,"Hot Dry","Cold Winter")))))</f>
        <v/>
      </c>
      <c r="AS16">
        <f>IF($AL16="","",IFERROR(VLOOKUP($AL16,DECODE!$A$3:$C$8,2,FALSE),"?"))</f>
        <v/>
      </c>
      <c r="AT16">
        <f>IF($O16="","",UPPER(TRIM(LEFT($O16&amp;",",FIND(",",$O16&amp;",")-1))))</f>
        <v/>
      </c>
      <c r="AU16">
        <f>IF($AT16="","",MID($AT16,4,FIND("~",SUBSTITUTE($AT16,"-","~",2))-4))</f>
        <v/>
      </c>
      <c r="AV16">
        <f>IF($AT16="","",MID($AT16,FIND("~",SUBSTITUTE($AT16,"-","~",2))+1,FIND("~",SUBSTITUTE($AT16,"-","~",3))-FIND("~",SUBSTITUTE($AT16,"-","~",2))-1))</f>
        <v/>
      </c>
      <c r="AW16">
        <f>IF($AU16="","",IFERROR(VLOOKUP($AU16,DECODE!$A$3:$C$8,3,FALSE),"?"))</f>
        <v/>
      </c>
      <c r="AX16">
        <f>IF($AV16="","",IFERROR(VLOOKUP($AU16&amp;"-"&amp;$AV16,DECODE!$E$3:$F$21,2,FALSE),"?"))</f>
        <v/>
      </c>
      <c r="AY16">
        <f>IF($AT16="","",IFERROR(VALUE(RIGHT($AT16,3)),""))</f>
        <v/>
      </c>
      <c r="AZ16">
        <f>IF($U16="","",IFERROR(IF(ISNUMBER($U16),$U16,DATEVALUE(TRIM($U16))),""))</f>
        <v/>
      </c>
      <c r="BA16">
        <f>IF($AZ16="","",IF(MONTH($AZ16)&gt;=12,"Cold Winter",IF(MONTH($AZ16)&gt;=10,"Post-Monsoon",IF(MONTH($AZ16)&gt;=6,"Hot Humid",IF(MONTH($AZ16)&gt;=3,"Hot Dry","Cold Winter")))))</f>
        <v/>
      </c>
      <c r="BB16">
        <f>IF($AU16="","",IFERROR(VLOOKUP($AU16,DECODE!$A$3:$C$8,2,FALSE),"?"))</f>
        <v/>
      </c>
      <c r="BC16">
        <f>IF($P16="","",UPPER(TRIM(LEFT($P16&amp;",",FIND(",",$P16&amp;",")-1))))</f>
        <v/>
      </c>
      <c r="BD16">
        <f>IF($BC16="","",MID($BC16,4,FIND("~",SUBSTITUTE($BC16,"-","~",2))-4))</f>
        <v/>
      </c>
      <c r="BE16">
        <f>IF($BC16="","",MID($BC16,FIND("~",SUBSTITUTE($BC16,"-","~",2))+1,FIND("~",SUBSTITUTE($BC16,"-","~",3))-FIND("~",SUBSTITUTE($BC16,"-","~",2))-1))</f>
        <v/>
      </c>
      <c r="BF16">
        <f>IF($BD16="","",IFERROR(VLOOKUP($BD16,DECODE!$A$3:$C$8,3,FALSE),"?"))</f>
        <v/>
      </c>
      <c r="BG16">
        <f>IF($BE16="","",IFERROR(VLOOKUP($BD16&amp;"-"&amp;$BE16,DECODE!$E$3:$F$21,2,FALSE),"?"))</f>
        <v/>
      </c>
      <c r="BH16">
        <f>IF($BC16="","",IFERROR(VALUE(RIGHT($BC16,3)),""))</f>
        <v/>
      </c>
      <c r="BI16">
        <f>IF($V16="","",IFERROR(IF(ISNUMBER($V16),$V16,DATEVALUE(TRIM($V16))),""))</f>
        <v/>
      </c>
      <c r="BJ16">
        <f>IF($BI16="","",IF(MONTH($BI16)&gt;=12,"Cold Winter",IF(MONTH($BI16)&gt;=10,"Post-Monsoon",IF(MONTH($BI16)&gt;=6,"Hot Humid",IF(MONTH($BI16)&gt;=3,"Hot Dry","Cold Winter")))))</f>
        <v/>
      </c>
      <c r="BK16">
        <f>IF($BD16="","",IFERROR(VLOOKUP($BD16,DECODE!$A$3:$C$8,2,FALSE),"?"))</f>
        <v/>
      </c>
      <c r="BL16">
        <f>IF($Q16="","",UPPER(TRIM(LEFT($Q16&amp;",",FIND(",",$Q16&amp;",")-1))))</f>
        <v/>
      </c>
      <c r="BM16">
        <f>IF($BL16="","",MID($BL16,4,FIND("~",SUBSTITUTE($BL16,"-","~",2))-4))</f>
        <v/>
      </c>
      <c r="BN16">
        <f>IF($BL16="","",MID($BL16,FIND("~",SUBSTITUTE($BL16,"-","~",2))+1,FIND("~",SUBSTITUTE($BL16,"-","~",3))-FIND("~",SUBSTITUTE($BL16,"-","~",2))-1))</f>
        <v/>
      </c>
      <c r="BO16">
        <f>IF($BM16="","",IFERROR(VLOOKUP($BM16,DECODE!$A$3:$C$8,3,FALSE),"?"))</f>
        <v/>
      </c>
      <c r="BP16">
        <f>IF($BN16="","",IFERROR(VLOOKUP($BM16&amp;"-"&amp;$BN16,DECODE!$E$3:$F$21,2,FALSE),"?"))</f>
        <v/>
      </c>
      <c r="BQ16">
        <f>IF($BL16="","",IFERROR(VALUE(RIGHT($BL16,3)),""))</f>
        <v/>
      </c>
      <c r="BR16">
        <f>IF($W16="","",IFERROR(IF(ISNUMBER($W16),$W16,DATEVALUE(TRIM($W16))),""))</f>
        <v/>
      </c>
      <c r="BS16">
        <f>IF($BR16="","",IF(MONTH($BR16)&gt;=12,"Cold Winter",IF(MONTH($BR16)&gt;=10,"Post-Monsoon",IF(MONTH($BR16)&gt;=6,"Hot Humid",IF(MONTH($BR16)&gt;=3,"Hot Dry","Cold Winter")))))</f>
        <v/>
      </c>
      <c r="BT16">
        <f>IF($BM16="","",IFERROR(VLOOKUP($BM16,DECODE!$A$3:$C$8,2,FALSE),"?"))</f>
        <v/>
      </c>
      <c r="BU16">
        <f>IF($R16="","",UPPER(TRIM(LEFT($R16&amp;",",FIND(",",$R16&amp;",")-1))))</f>
        <v/>
      </c>
      <c r="BV16">
        <f>IF($BU16="","",MID($BU16,4,FIND("~",SUBSTITUTE($BU16,"-","~",2))-4))</f>
        <v/>
      </c>
      <c r="BW16">
        <f>IF($BU16="","",MID($BU16,FIND("~",SUBSTITUTE($BU16,"-","~",2))+1,FIND("~",SUBSTITUTE($BU16,"-","~",3))-FIND("~",SUBSTITUTE($BU16,"-","~",2))-1))</f>
        <v/>
      </c>
      <c r="BX16">
        <f>IF($BV16="","",IFERROR(VLOOKUP($BV16,DECODE!$A$3:$C$8,3,FALSE),"?"))</f>
        <v/>
      </c>
      <c r="BY16">
        <f>IF($BW16="","",IFERROR(VLOOKUP($BV16&amp;"-"&amp;$BW16,DECODE!$E$3:$F$21,2,FALSE),"?"))</f>
        <v/>
      </c>
      <c r="BZ16">
        <f>IF($BU16="","",IFERROR(VALUE(RIGHT($BU16,3)),""))</f>
        <v/>
      </c>
      <c r="CA16">
        <f>IF($X16="","",IFERROR(IF(ISNUMBER($X16),$X16,DATEVALUE(TRIM($X16))),""))</f>
        <v/>
      </c>
      <c r="CB16">
        <f>IF($CA16="","",IF(MONTH($CA16)&gt;=12,"Cold Winter",IF(MONTH($CA16)&gt;=10,"Post-Monsoon",IF(MONTH($CA16)&gt;=6,"Hot Humid",IF(MONTH($CA16)&gt;=3,"Hot Dry","Cold Winter")))))</f>
        <v/>
      </c>
      <c r="CC16">
        <f>IF($BV16="","",IFERROR(VLOOKUP($BV16,DECODE!$A$3:$C$8,2,FALSE),"?"))</f>
        <v/>
      </c>
      <c r="CD16">
        <f>IF($S16="","",UPPER(TRIM(LEFT($S16&amp;",",FIND(",",$S16&amp;",")-1))))</f>
        <v/>
      </c>
      <c r="CE16">
        <f>IF($CD16="","",MID($CD16,4,FIND("~",SUBSTITUTE($CD16,"-","~",2))-4))</f>
        <v/>
      </c>
      <c r="CF16">
        <f>IF($CD16="","",MID($CD16,FIND("~",SUBSTITUTE($CD16,"-","~",2))+1,FIND("~",SUBSTITUTE($CD16,"-","~",3))-FIND("~",SUBSTITUTE($CD16,"-","~",2))-1))</f>
        <v/>
      </c>
      <c r="CG16">
        <f>IF($CE16="","",IFERROR(VLOOKUP($CE16,DECODE!$A$3:$C$8,3,FALSE),"?"))</f>
        <v/>
      </c>
      <c r="CH16">
        <f>IF($CF16="","",IFERROR(VLOOKUP($CE16&amp;"-"&amp;$CF16,DECODE!$E$3:$F$21,2,FALSE),"?"))</f>
        <v/>
      </c>
      <c r="CI16">
        <f>IF($CD16="","",IFERROR(VALUE(RIGHT($CD16,3)),""))</f>
        <v/>
      </c>
      <c r="CJ16">
        <f>IF($Y16="","",IFERROR(IF(ISNUMBER($Y16),$Y16,DATEVALUE(TRIM($Y16))),""))</f>
        <v/>
      </c>
      <c r="CK16">
        <f>IF($CJ16="","",IF(MONTH($CJ16)&gt;=12,"Cold Winter",IF(MONTH($CJ16)&gt;=10,"Post-Monsoon",IF(MONTH($CJ16)&gt;=6,"Hot Humid",IF(MONTH($CJ16)&gt;=3,"Hot Dry","Cold Winter")))))</f>
        <v/>
      </c>
      <c r="CL16">
        <f>IF($CE16="","",IFERROR(VLOOKUP($CE16,DECODE!$A$3:$C$8,2,FALSE),"?"))</f>
        <v/>
      </c>
      <c r="CM16">
        <f>IF($AN16="","",AN16)</f>
        <v/>
      </c>
      <c r="CN16">
        <f>IF($AO16="","",AO16)</f>
        <v/>
      </c>
      <c r="CO16">
        <f>IF($AP16="","",AP16)</f>
        <v/>
      </c>
      <c r="CP16">
        <f>IF($CM16="","",IF($CM16="Aloe Vera Gel","Aloe Vera Gel "&amp;$CO16&amp;"g",CN16&amp;" "&amp;$CO16&amp;"g"))</f>
        <v/>
      </c>
      <c r="CQ16">
        <f>IF($AT16="",0,1)</f>
        <v/>
      </c>
      <c r="CR16">
        <f>IF($CQ16=0,"",AW16)</f>
        <v/>
      </c>
      <c r="CS16">
        <f>IF($CQ16=0,"",AX16)</f>
        <v/>
      </c>
      <c r="CT16">
        <f>IF($CQ16=0,"",AY16)</f>
        <v/>
      </c>
      <c r="CU16">
        <f>IF($CR16="","",IF($CR16="Aloe Vera Gel","Aloe Vera Gel "&amp;$CT16&amp;"g",CS16&amp;" "&amp;$CT16&amp;"g"))</f>
        <v/>
      </c>
      <c r="CV16">
        <f>IF($CQ16=0,"",IF($CP16=$CU16,"Repeat Exact",IF($CT16&gt;$CO16,"Upsized",IF($CT16&lt;$CO16,"Downsized",IF($CM16&lt;&gt;$CR16,"Lateral","Same Size Diff Variant")))))</f>
        <v/>
      </c>
      <c r="CW16">
        <f>IF($CQ16=0,"",AZ16-AQ16)</f>
        <v/>
      </c>
      <c r="CX16">
        <f>IF($CQ16=0,0,IF(CS16=CN16,1,0))</f>
        <v/>
      </c>
      <c r="CY16">
        <f>IF($CQ16=0,0,IF(CR16=CM16,1,0))</f>
        <v/>
      </c>
      <c r="CZ16">
        <f>IF($A16="","",IF(AND(IF(DASHBOARD!$C$4="All",TRUE,$CM16=DASHBOARD!$C$4),IF(DASHBOARD!$C$6="All",TRUE,$CP16=DASHBOARD!$C$6),IF(DASHBOARD!$C$8="All",TRUE,$AF16&gt;=DASHBOARD!$C$8),IF(DASHBOARD!$C$10="All",TRUE,$AF16&lt;=DASHBOARD!$C$10),IF(DASHBOARD!$C$12="All",TRUE,$AH16=VALUE(DASHBOARD!$C$12)),IF(DASHBOARD!$C$14="All",TRUE,$AJ16=DASHBOARD!$C$14)),1,0))</f>
        <v/>
      </c>
    </row>
    <row r="17">
      <c r="A17" t="n">
        <v>30256</v>
      </c>
      <c r="B17" t="inlineStr">
        <is>
          <t>Face Malai</t>
        </is>
      </c>
      <c r="H17" t="inlineStr">
        <is>
          <t>Tomato Vetiver (Hot Humid) 20 - 35 Yrs Face Malai</t>
        </is>
      </c>
      <c r="N17" t="inlineStr">
        <is>
          <t>FC-HHDM-TV-030</t>
        </is>
      </c>
      <c r="T17" t="inlineStr">
        <is>
          <t>Aug 23, 2024</t>
        </is>
      </c>
      <c r="AE17" t="inlineStr">
        <is>
          <t>New Delhi</t>
        </is>
      </c>
      <c r="AF17" t="inlineStr">
        <is>
          <t>2024-08</t>
        </is>
      </c>
      <c r="AG17" t="n">
        <v>8</v>
      </c>
      <c r="AH17" t="n">
        <v>1</v>
      </c>
      <c r="AI17" t="n">
        <v>0</v>
      </c>
      <c r="AJ17">
        <f>IF($AE17="","",IFERROR(VLOOKUP(TRIM($AE17),DECODE!$H$3:$I$60,2,FALSE),"Rest of India"))</f>
        <v/>
      </c>
      <c r="AK17">
        <f>IF($N17="","",UPPER(TRIM(LEFT($N17&amp;",",FIND(",",$N17&amp;",")-1))))</f>
        <v/>
      </c>
      <c r="AL17">
        <f>IF($AK17="","",MID($AK17,4,FIND("~",SUBSTITUTE($AK17,"-","~",2))-4))</f>
        <v/>
      </c>
      <c r="AM17">
        <f>IF($AK17="","",MID($AK17,FIND("~",SUBSTITUTE($AK17,"-","~",2))+1,FIND("~",SUBSTITUTE($AK17,"-","~",3))-FIND("~",SUBSTITUTE($AK17,"-","~",2))-1))</f>
        <v/>
      </c>
      <c r="AN17">
        <f>IF($AL17="","",IFERROR(VLOOKUP($AL17,DECODE!$A$3:$C$8,3,FALSE),"?"))</f>
        <v/>
      </c>
      <c r="AO17">
        <f>IF($AM17="","",IFERROR(VLOOKUP($AL17&amp;"-"&amp;$AM17,DECODE!$E$3:$F$21,2,FALSE),"?"))</f>
        <v/>
      </c>
      <c r="AP17">
        <f>IF($AK17="","",IFERROR(VALUE(RIGHT($AK17,3)),""))</f>
        <v/>
      </c>
      <c r="AQ17">
        <f>IF($T17="","",IFERROR(IF(ISNUMBER($T17),$T17,DATEVALUE(TRIM($T17))),""))</f>
        <v/>
      </c>
      <c r="AR17">
        <f>IF($AQ17="","",IF(MONTH($AQ17)&gt;=12,"Cold Winter",IF(MONTH($AQ17)&gt;=10,"Post-Monsoon",IF(MONTH($AQ17)&gt;=6,"Hot Humid",IF(MONTH($AQ17)&gt;=3,"Hot Dry","Cold Winter")))))</f>
        <v/>
      </c>
      <c r="AS17">
        <f>IF($AL17="","",IFERROR(VLOOKUP($AL17,DECODE!$A$3:$C$8,2,FALSE),"?"))</f>
        <v/>
      </c>
      <c r="AT17">
        <f>IF($O17="","",UPPER(TRIM(LEFT($O17&amp;",",FIND(",",$O17&amp;",")-1))))</f>
        <v/>
      </c>
      <c r="AU17">
        <f>IF($AT17="","",MID($AT17,4,FIND("~",SUBSTITUTE($AT17,"-","~",2))-4))</f>
        <v/>
      </c>
      <c r="AV17">
        <f>IF($AT17="","",MID($AT17,FIND("~",SUBSTITUTE($AT17,"-","~",2))+1,FIND("~",SUBSTITUTE($AT17,"-","~",3))-FIND("~",SUBSTITUTE($AT17,"-","~",2))-1))</f>
        <v/>
      </c>
      <c r="AW17">
        <f>IF($AU17="","",IFERROR(VLOOKUP($AU17,DECODE!$A$3:$C$8,3,FALSE),"?"))</f>
        <v/>
      </c>
      <c r="AX17">
        <f>IF($AV17="","",IFERROR(VLOOKUP($AU17&amp;"-"&amp;$AV17,DECODE!$E$3:$F$21,2,FALSE),"?"))</f>
        <v/>
      </c>
      <c r="AY17">
        <f>IF($AT17="","",IFERROR(VALUE(RIGHT($AT17,3)),""))</f>
        <v/>
      </c>
      <c r="AZ17">
        <f>IF($U17="","",IFERROR(IF(ISNUMBER($U17),$U17,DATEVALUE(TRIM($U17))),""))</f>
        <v/>
      </c>
      <c r="BA17">
        <f>IF($AZ17="","",IF(MONTH($AZ17)&gt;=12,"Cold Winter",IF(MONTH($AZ17)&gt;=10,"Post-Monsoon",IF(MONTH($AZ17)&gt;=6,"Hot Humid",IF(MONTH($AZ17)&gt;=3,"Hot Dry","Cold Winter")))))</f>
        <v/>
      </c>
      <c r="BB17">
        <f>IF($AU17="","",IFERROR(VLOOKUP($AU17,DECODE!$A$3:$C$8,2,FALSE),"?"))</f>
        <v/>
      </c>
      <c r="BC17">
        <f>IF($P17="","",UPPER(TRIM(LEFT($P17&amp;",",FIND(",",$P17&amp;",")-1))))</f>
        <v/>
      </c>
      <c r="BD17">
        <f>IF($BC17="","",MID($BC17,4,FIND("~",SUBSTITUTE($BC17,"-","~",2))-4))</f>
        <v/>
      </c>
      <c r="BE17">
        <f>IF($BC17="","",MID($BC17,FIND("~",SUBSTITUTE($BC17,"-","~",2))+1,FIND("~",SUBSTITUTE($BC17,"-","~",3))-FIND("~",SUBSTITUTE($BC17,"-","~",2))-1))</f>
        <v/>
      </c>
      <c r="BF17">
        <f>IF($BD17="","",IFERROR(VLOOKUP($BD17,DECODE!$A$3:$C$8,3,FALSE),"?"))</f>
        <v/>
      </c>
      <c r="BG17">
        <f>IF($BE17="","",IFERROR(VLOOKUP($BD17&amp;"-"&amp;$BE17,DECODE!$E$3:$F$21,2,FALSE),"?"))</f>
        <v/>
      </c>
      <c r="BH17">
        <f>IF($BC17="","",IFERROR(VALUE(RIGHT($BC17,3)),""))</f>
        <v/>
      </c>
      <c r="BI17">
        <f>IF($V17="","",IFERROR(IF(ISNUMBER($V17),$V17,DATEVALUE(TRIM($V17))),""))</f>
        <v/>
      </c>
      <c r="BJ17">
        <f>IF($BI17="","",IF(MONTH($BI17)&gt;=12,"Cold Winter",IF(MONTH($BI17)&gt;=10,"Post-Monsoon",IF(MONTH($BI17)&gt;=6,"Hot Humid",IF(MONTH($BI17)&gt;=3,"Hot Dry","Cold Winter")))))</f>
        <v/>
      </c>
      <c r="BK17">
        <f>IF($BD17="","",IFERROR(VLOOKUP($BD17,DECODE!$A$3:$C$8,2,FALSE),"?"))</f>
        <v/>
      </c>
      <c r="BL17">
        <f>IF($Q17="","",UPPER(TRIM(LEFT($Q17&amp;",",FIND(",",$Q17&amp;",")-1))))</f>
        <v/>
      </c>
      <c r="BM17">
        <f>IF($BL17="","",MID($BL17,4,FIND("~",SUBSTITUTE($BL17,"-","~",2))-4))</f>
        <v/>
      </c>
      <c r="BN17">
        <f>IF($BL17="","",MID($BL17,FIND("~",SUBSTITUTE($BL17,"-","~",2))+1,FIND("~",SUBSTITUTE($BL17,"-","~",3))-FIND("~",SUBSTITUTE($BL17,"-","~",2))-1))</f>
        <v/>
      </c>
      <c r="BO17">
        <f>IF($BM17="","",IFERROR(VLOOKUP($BM17,DECODE!$A$3:$C$8,3,FALSE),"?"))</f>
        <v/>
      </c>
      <c r="BP17">
        <f>IF($BN17="","",IFERROR(VLOOKUP($BM17&amp;"-"&amp;$BN17,DECODE!$E$3:$F$21,2,FALSE),"?"))</f>
        <v/>
      </c>
      <c r="BQ17">
        <f>IF($BL17="","",IFERROR(VALUE(RIGHT($BL17,3)),""))</f>
        <v/>
      </c>
      <c r="BR17">
        <f>IF($W17="","",IFERROR(IF(ISNUMBER($W17),$W17,DATEVALUE(TRIM($W17))),""))</f>
        <v/>
      </c>
      <c r="BS17">
        <f>IF($BR17="","",IF(MONTH($BR17)&gt;=12,"Cold Winter",IF(MONTH($BR17)&gt;=10,"Post-Monsoon",IF(MONTH($BR17)&gt;=6,"Hot Humid",IF(MONTH($BR17)&gt;=3,"Hot Dry","Cold Winter")))))</f>
        <v/>
      </c>
      <c r="BT17">
        <f>IF($BM17="","",IFERROR(VLOOKUP($BM17,DECODE!$A$3:$C$8,2,FALSE),"?"))</f>
        <v/>
      </c>
      <c r="BU17">
        <f>IF($R17="","",UPPER(TRIM(LEFT($R17&amp;",",FIND(",",$R17&amp;",")-1))))</f>
        <v/>
      </c>
      <c r="BV17">
        <f>IF($BU17="","",MID($BU17,4,FIND("~",SUBSTITUTE($BU17,"-","~",2))-4))</f>
        <v/>
      </c>
      <c r="BW17">
        <f>IF($BU17="","",MID($BU17,FIND("~",SUBSTITUTE($BU17,"-","~",2))+1,FIND("~",SUBSTITUTE($BU17,"-","~",3))-FIND("~",SUBSTITUTE($BU17,"-","~",2))-1))</f>
        <v/>
      </c>
      <c r="BX17">
        <f>IF($BV17="","",IFERROR(VLOOKUP($BV17,DECODE!$A$3:$C$8,3,FALSE),"?"))</f>
        <v/>
      </c>
      <c r="BY17">
        <f>IF($BW17="","",IFERROR(VLOOKUP($BV17&amp;"-"&amp;$BW17,DECODE!$E$3:$F$21,2,FALSE),"?"))</f>
        <v/>
      </c>
      <c r="BZ17">
        <f>IF($BU17="","",IFERROR(VALUE(RIGHT($BU17,3)),""))</f>
        <v/>
      </c>
      <c r="CA17">
        <f>IF($X17="","",IFERROR(IF(ISNUMBER($X17),$X17,DATEVALUE(TRIM($X17))),""))</f>
        <v/>
      </c>
      <c r="CB17">
        <f>IF($CA17="","",IF(MONTH($CA17)&gt;=12,"Cold Winter",IF(MONTH($CA17)&gt;=10,"Post-Monsoon",IF(MONTH($CA17)&gt;=6,"Hot Humid",IF(MONTH($CA17)&gt;=3,"Hot Dry","Cold Winter")))))</f>
        <v/>
      </c>
      <c r="CC17">
        <f>IF($BV17="","",IFERROR(VLOOKUP($BV17,DECODE!$A$3:$C$8,2,FALSE),"?"))</f>
        <v/>
      </c>
      <c r="CD17">
        <f>IF($S17="","",UPPER(TRIM(LEFT($S17&amp;",",FIND(",",$S17&amp;",")-1))))</f>
        <v/>
      </c>
      <c r="CE17">
        <f>IF($CD17="","",MID($CD17,4,FIND("~",SUBSTITUTE($CD17,"-","~",2))-4))</f>
        <v/>
      </c>
      <c r="CF17">
        <f>IF($CD17="","",MID($CD17,FIND("~",SUBSTITUTE($CD17,"-","~",2))+1,FIND("~",SUBSTITUTE($CD17,"-","~",3))-FIND("~",SUBSTITUTE($CD17,"-","~",2))-1))</f>
        <v/>
      </c>
      <c r="CG17">
        <f>IF($CE17="","",IFERROR(VLOOKUP($CE17,DECODE!$A$3:$C$8,3,FALSE),"?"))</f>
        <v/>
      </c>
      <c r="CH17">
        <f>IF($CF17="","",IFERROR(VLOOKUP($CE17&amp;"-"&amp;$CF17,DECODE!$E$3:$F$21,2,FALSE),"?"))</f>
        <v/>
      </c>
      <c r="CI17">
        <f>IF($CD17="","",IFERROR(VALUE(RIGHT($CD17,3)),""))</f>
        <v/>
      </c>
      <c r="CJ17">
        <f>IF($Y17="","",IFERROR(IF(ISNUMBER($Y17),$Y17,DATEVALUE(TRIM($Y17))),""))</f>
        <v/>
      </c>
      <c r="CK17">
        <f>IF($CJ17="","",IF(MONTH($CJ17)&gt;=12,"Cold Winter",IF(MONTH($CJ17)&gt;=10,"Post-Monsoon",IF(MONTH($CJ17)&gt;=6,"Hot Humid",IF(MONTH($CJ17)&gt;=3,"Hot Dry","Cold Winter")))))</f>
        <v/>
      </c>
      <c r="CL17">
        <f>IF($CE17="","",IFERROR(VLOOKUP($CE17,DECODE!$A$3:$C$8,2,FALSE),"?"))</f>
        <v/>
      </c>
      <c r="CM17">
        <f>IF($AN17="","",AN17)</f>
        <v/>
      </c>
      <c r="CN17">
        <f>IF($AO17="","",AO17)</f>
        <v/>
      </c>
      <c r="CO17">
        <f>IF($AP17="","",AP17)</f>
        <v/>
      </c>
      <c r="CP17">
        <f>IF($CM17="","",IF($CM17="Aloe Vera Gel","Aloe Vera Gel "&amp;$CO17&amp;"g",CN17&amp;" "&amp;$CO17&amp;"g"))</f>
        <v/>
      </c>
      <c r="CQ17">
        <f>IF($AT17="",0,1)</f>
        <v/>
      </c>
      <c r="CR17">
        <f>IF($CQ17=0,"",AW17)</f>
        <v/>
      </c>
      <c r="CS17">
        <f>IF($CQ17=0,"",AX17)</f>
        <v/>
      </c>
      <c r="CT17">
        <f>IF($CQ17=0,"",AY17)</f>
        <v/>
      </c>
      <c r="CU17">
        <f>IF($CR17="","",IF($CR17="Aloe Vera Gel","Aloe Vera Gel "&amp;$CT17&amp;"g",CS17&amp;" "&amp;$CT17&amp;"g"))</f>
        <v/>
      </c>
      <c r="CV17">
        <f>IF($CQ17=0,"",IF($CP17=$CU17,"Repeat Exact",IF($CT17&gt;$CO17,"Upsized",IF($CT17&lt;$CO17,"Downsized",IF($CM17&lt;&gt;$CR17,"Lateral","Same Size Diff Variant")))))</f>
        <v/>
      </c>
      <c r="CW17">
        <f>IF($CQ17=0,"",AZ17-AQ17)</f>
        <v/>
      </c>
      <c r="CX17">
        <f>IF($CQ17=0,0,IF(CS17=CN17,1,0))</f>
        <v/>
      </c>
      <c r="CY17">
        <f>IF($CQ17=0,0,IF(CR17=CM17,1,0))</f>
        <v/>
      </c>
      <c r="CZ17">
        <f>IF($A17="","",IF(AND(IF(DASHBOARD!$C$4="All",TRUE,$CM17=DASHBOARD!$C$4),IF(DASHBOARD!$C$6="All",TRUE,$CP17=DASHBOARD!$C$6),IF(DASHBOARD!$C$8="All",TRUE,$AF17&gt;=DASHBOARD!$C$8),IF(DASHBOARD!$C$10="All",TRUE,$AF17&lt;=DASHBOARD!$C$10),IF(DASHBOARD!$C$12="All",TRUE,$AH17=VALUE(DASHBOARD!$C$12)),IF(DASHBOARD!$C$14="All",TRUE,$AJ17=DASHBOARD!$C$14)),1,0))</f>
        <v/>
      </c>
    </row>
    <row r="18">
      <c r="A18" t="n">
        <v>30491</v>
      </c>
      <c r="B18" t="inlineStr">
        <is>
          <t>Face Malai</t>
        </is>
      </c>
      <c r="H18" t="inlineStr">
        <is>
          <t>Turmeric Nutmeg (Pigmentation)  Face Malai - 50g , Tomato Patchouli (Cold) 20 - 35 Yrs Face Malai</t>
        </is>
      </c>
      <c r="N18" t="inlineStr">
        <is>
          <t>FC-CWDM-TP-030, FC-DM-PG-050</t>
        </is>
      </c>
      <c r="T18" t="inlineStr">
        <is>
          <t>Nov 10, 2025</t>
        </is>
      </c>
      <c r="AE18" t="inlineStr">
        <is>
          <t>New Delhi</t>
        </is>
      </c>
      <c r="AF18" t="inlineStr">
        <is>
          <t>2025-11</t>
        </is>
      </c>
      <c r="AG18" t="n">
        <v>11</v>
      </c>
      <c r="AH18" t="n">
        <v>1</v>
      </c>
      <c r="AI18" t="n">
        <v>0</v>
      </c>
      <c r="AJ18">
        <f>IF($AE18="","",IFERROR(VLOOKUP(TRIM($AE18),DECODE!$H$3:$I$60,2,FALSE),"Rest of India"))</f>
        <v/>
      </c>
      <c r="AK18">
        <f>IF($N18="","",UPPER(TRIM(LEFT($N18&amp;",",FIND(",",$N18&amp;",")-1))))</f>
        <v/>
      </c>
      <c r="AL18">
        <f>IF($AK18="","",MID($AK18,4,FIND("~",SUBSTITUTE($AK18,"-","~",2))-4))</f>
        <v/>
      </c>
      <c r="AM18">
        <f>IF($AK18="","",MID($AK18,FIND("~",SUBSTITUTE($AK18,"-","~",2))+1,FIND("~",SUBSTITUTE($AK18,"-","~",3))-FIND("~",SUBSTITUTE($AK18,"-","~",2))-1))</f>
        <v/>
      </c>
      <c r="AN18">
        <f>IF($AL18="","",IFERROR(VLOOKUP($AL18,DECODE!$A$3:$C$8,3,FALSE),"?"))</f>
        <v/>
      </c>
      <c r="AO18">
        <f>IF($AM18="","",IFERROR(VLOOKUP($AL18&amp;"-"&amp;$AM18,DECODE!$E$3:$F$21,2,FALSE),"?"))</f>
        <v/>
      </c>
      <c r="AP18">
        <f>IF($AK18="","",IFERROR(VALUE(RIGHT($AK18,3)),""))</f>
        <v/>
      </c>
      <c r="AQ18">
        <f>IF($T18="","",IFERROR(IF(ISNUMBER($T18),$T18,DATEVALUE(TRIM($T18))),""))</f>
        <v/>
      </c>
      <c r="AR18">
        <f>IF($AQ18="","",IF(MONTH($AQ18)&gt;=12,"Cold Winter",IF(MONTH($AQ18)&gt;=10,"Post-Monsoon",IF(MONTH($AQ18)&gt;=6,"Hot Humid",IF(MONTH($AQ18)&gt;=3,"Hot Dry","Cold Winter")))))</f>
        <v/>
      </c>
      <c r="AS18">
        <f>IF($AL18="","",IFERROR(VLOOKUP($AL18,DECODE!$A$3:$C$8,2,FALSE),"?"))</f>
        <v/>
      </c>
      <c r="AT18">
        <f>IF($O18="","",UPPER(TRIM(LEFT($O18&amp;",",FIND(",",$O18&amp;",")-1))))</f>
        <v/>
      </c>
      <c r="AU18">
        <f>IF($AT18="","",MID($AT18,4,FIND("~",SUBSTITUTE($AT18,"-","~",2))-4))</f>
        <v/>
      </c>
      <c r="AV18">
        <f>IF($AT18="","",MID($AT18,FIND("~",SUBSTITUTE($AT18,"-","~",2))+1,FIND("~",SUBSTITUTE($AT18,"-","~",3))-FIND("~",SUBSTITUTE($AT18,"-","~",2))-1))</f>
        <v/>
      </c>
      <c r="AW18">
        <f>IF($AU18="","",IFERROR(VLOOKUP($AU18,DECODE!$A$3:$C$8,3,FALSE),"?"))</f>
        <v/>
      </c>
      <c r="AX18">
        <f>IF($AV18="","",IFERROR(VLOOKUP($AU18&amp;"-"&amp;$AV18,DECODE!$E$3:$F$21,2,FALSE),"?"))</f>
        <v/>
      </c>
      <c r="AY18">
        <f>IF($AT18="","",IFERROR(VALUE(RIGHT($AT18,3)),""))</f>
        <v/>
      </c>
      <c r="AZ18">
        <f>IF($U18="","",IFERROR(IF(ISNUMBER($U18),$U18,DATEVALUE(TRIM($U18))),""))</f>
        <v/>
      </c>
      <c r="BA18">
        <f>IF($AZ18="","",IF(MONTH($AZ18)&gt;=12,"Cold Winter",IF(MONTH($AZ18)&gt;=10,"Post-Monsoon",IF(MONTH($AZ18)&gt;=6,"Hot Humid",IF(MONTH($AZ18)&gt;=3,"Hot Dry","Cold Winter")))))</f>
        <v/>
      </c>
      <c r="BB18">
        <f>IF($AU18="","",IFERROR(VLOOKUP($AU18,DECODE!$A$3:$C$8,2,FALSE),"?"))</f>
        <v/>
      </c>
      <c r="BC18">
        <f>IF($P18="","",UPPER(TRIM(LEFT($P18&amp;",",FIND(",",$P18&amp;",")-1))))</f>
        <v/>
      </c>
      <c r="BD18">
        <f>IF($BC18="","",MID($BC18,4,FIND("~",SUBSTITUTE($BC18,"-","~",2))-4))</f>
        <v/>
      </c>
      <c r="BE18">
        <f>IF($BC18="","",MID($BC18,FIND("~",SUBSTITUTE($BC18,"-","~",2))+1,FIND("~",SUBSTITUTE($BC18,"-","~",3))-FIND("~",SUBSTITUTE($BC18,"-","~",2))-1))</f>
        <v/>
      </c>
      <c r="BF18">
        <f>IF($BD18="","",IFERROR(VLOOKUP($BD18,DECODE!$A$3:$C$8,3,FALSE),"?"))</f>
        <v/>
      </c>
      <c r="BG18">
        <f>IF($BE18="","",IFERROR(VLOOKUP($BD18&amp;"-"&amp;$BE18,DECODE!$E$3:$F$21,2,FALSE),"?"))</f>
        <v/>
      </c>
      <c r="BH18">
        <f>IF($BC18="","",IFERROR(VALUE(RIGHT($BC18,3)),""))</f>
        <v/>
      </c>
      <c r="BI18">
        <f>IF($V18="","",IFERROR(IF(ISNUMBER($V18),$V18,DATEVALUE(TRIM($V18))),""))</f>
        <v/>
      </c>
      <c r="BJ18">
        <f>IF($BI18="","",IF(MONTH($BI18)&gt;=12,"Cold Winter",IF(MONTH($BI18)&gt;=10,"Post-Monsoon",IF(MONTH($BI18)&gt;=6,"Hot Humid",IF(MONTH($BI18)&gt;=3,"Hot Dry","Cold Winter")))))</f>
        <v/>
      </c>
      <c r="BK18">
        <f>IF($BD18="","",IFERROR(VLOOKUP($BD18,DECODE!$A$3:$C$8,2,FALSE),"?"))</f>
        <v/>
      </c>
      <c r="BL18">
        <f>IF($Q18="","",UPPER(TRIM(LEFT($Q18&amp;",",FIND(",",$Q18&amp;",")-1))))</f>
        <v/>
      </c>
      <c r="BM18">
        <f>IF($BL18="","",MID($BL18,4,FIND("~",SUBSTITUTE($BL18,"-","~",2))-4))</f>
        <v/>
      </c>
      <c r="BN18">
        <f>IF($BL18="","",MID($BL18,FIND("~",SUBSTITUTE($BL18,"-","~",2))+1,FIND("~",SUBSTITUTE($BL18,"-","~",3))-FIND("~",SUBSTITUTE($BL18,"-","~",2))-1))</f>
        <v/>
      </c>
      <c r="BO18">
        <f>IF($BM18="","",IFERROR(VLOOKUP($BM18,DECODE!$A$3:$C$8,3,FALSE),"?"))</f>
        <v/>
      </c>
      <c r="BP18">
        <f>IF($BN18="","",IFERROR(VLOOKUP($BM18&amp;"-"&amp;$BN18,DECODE!$E$3:$F$21,2,FALSE),"?"))</f>
        <v/>
      </c>
      <c r="BQ18">
        <f>IF($BL18="","",IFERROR(VALUE(RIGHT($BL18,3)),""))</f>
        <v/>
      </c>
      <c r="BR18">
        <f>IF($W18="","",IFERROR(IF(ISNUMBER($W18),$W18,DATEVALUE(TRIM($W18))),""))</f>
        <v/>
      </c>
      <c r="BS18">
        <f>IF($BR18="","",IF(MONTH($BR18)&gt;=12,"Cold Winter",IF(MONTH($BR18)&gt;=10,"Post-Monsoon",IF(MONTH($BR18)&gt;=6,"Hot Humid",IF(MONTH($BR18)&gt;=3,"Hot Dry","Cold Winter")))))</f>
        <v/>
      </c>
      <c r="BT18">
        <f>IF($BM18="","",IFERROR(VLOOKUP($BM18,DECODE!$A$3:$C$8,2,FALSE),"?"))</f>
        <v/>
      </c>
      <c r="BU18">
        <f>IF($R18="","",UPPER(TRIM(LEFT($R18&amp;",",FIND(",",$R18&amp;",")-1))))</f>
        <v/>
      </c>
      <c r="BV18">
        <f>IF($BU18="","",MID($BU18,4,FIND("~",SUBSTITUTE($BU18,"-","~",2))-4))</f>
        <v/>
      </c>
      <c r="BW18">
        <f>IF($BU18="","",MID($BU18,FIND("~",SUBSTITUTE($BU18,"-","~",2))+1,FIND("~",SUBSTITUTE($BU18,"-","~",3))-FIND("~",SUBSTITUTE($BU18,"-","~",2))-1))</f>
        <v/>
      </c>
      <c r="BX18">
        <f>IF($BV18="","",IFERROR(VLOOKUP($BV18,DECODE!$A$3:$C$8,3,FALSE),"?"))</f>
        <v/>
      </c>
      <c r="BY18">
        <f>IF($BW18="","",IFERROR(VLOOKUP($BV18&amp;"-"&amp;$BW18,DECODE!$E$3:$F$21,2,FALSE),"?"))</f>
        <v/>
      </c>
      <c r="BZ18">
        <f>IF($BU18="","",IFERROR(VALUE(RIGHT($BU18,3)),""))</f>
        <v/>
      </c>
      <c r="CA18">
        <f>IF($X18="","",IFERROR(IF(ISNUMBER($X18),$X18,DATEVALUE(TRIM($X18))),""))</f>
        <v/>
      </c>
      <c r="CB18">
        <f>IF($CA18="","",IF(MONTH($CA18)&gt;=12,"Cold Winter",IF(MONTH($CA18)&gt;=10,"Post-Monsoon",IF(MONTH($CA18)&gt;=6,"Hot Humid",IF(MONTH($CA18)&gt;=3,"Hot Dry","Cold Winter")))))</f>
        <v/>
      </c>
      <c r="CC18">
        <f>IF($BV18="","",IFERROR(VLOOKUP($BV18,DECODE!$A$3:$C$8,2,FALSE),"?"))</f>
        <v/>
      </c>
      <c r="CD18">
        <f>IF($S18="","",UPPER(TRIM(LEFT($S18&amp;",",FIND(",",$S18&amp;",")-1))))</f>
        <v/>
      </c>
      <c r="CE18">
        <f>IF($CD18="","",MID($CD18,4,FIND("~",SUBSTITUTE($CD18,"-","~",2))-4))</f>
        <v/>
      </c>
      <c r="CF18">
        <f>IF($CD18="","",MID($CD18,FIND("~",SUBSTITUTE($CD18,"-","~",2))+1,FIND("~",SUBSTITUTE($CD18,"-","~",3))-FIND("~",SUBSTITUTE($CD18,"-","~",2))-1))</f>
        <v/>
      </c>
      <c r="CG18">
        <f>IF($CE18="","",IFERROR(VLOOKUP($CE18,DECODE!$A$3:$C$8,3,FALSE),"?"))</f>
        <v/>
      </c>
      <c r="CH18">
        <f>IF($CF18="","",IFERROR(VLOOKUP($CE18&amp;"-"&amp;$CF18,DECODE!$E$3:$F$21,2,FALSE),"?"))</f>
        <v/>
      </c>
      <c r="CI18">
        <f>IF($CD18="","",IFERROR(VALUE(RIGHT($CD18,3)),""))</f>
        <v/>
      </c>
      <c r="CJ18">
        <f>IF($Y18="","",IFERROR(IF(ISNUMBER($Y18),$Y18,DATEVALUE(TRIM($Y18))),""))</f>
        <v/>
      </c>
      <c r="CK18">
        <f>IF($CJ18="","",IF(MONTH($CJ18)&gt;=12,"Cold Winter",IF(MONTH($CJ18)&gt;=10,"Post-Monsoon",IF(MONTH($CJ18)&gt;=6,"Hot Humid",IF(MONTH($CJ18)&gt;=3,"Hot Dry","Cold Winter")))))</f>
        <v/>
      </c>
      <c r="CL18">
        <f>IF($CE18="","",IFERROR(VLOOKUP($CE18,DECODE!$A$3:$C$8,2,FALSE),"?"))</f>
        <v/>
      </c>
      <c r="CM18">
        <f>IF($AN18="","",AN18)</f>
        <v/>
      </c>
      <c r="CN18">
        <f>IF($AO18="","",AO18)</f>
        <v/>
      </c>
      <c r="CO18">
        <f>IF($AP18="","",AP18)</f>
        <v/>
      </c>
      <c r="CP18">
        <f>IF($CM18="","",IF($CM18="Aloe Vera Gel","Aloe Vera Gel "&amp;$CO18&amp;"g",CN18&amp;" "&amp;$CO18&amp;"g"))</f>
        <v/>
      </c>
      <c r="CQ18">
        <f>IF($AT18="",0,1)</f>
        <v/>
      </c>
      <c r="CR18">
        <f>IF($CQ18=0,"",AW18)</f>
        <v/>
      </c>
      <c r="CS18">
        <f>IF($CQ18=0,"",AX18)</f>
        <v/>
      </c>
      <c r="CT18">
        <f>IF($CQ18=0,"",AY18)</f>
        <v/>
      </c>
      <c r="CU18">
        <f>IF($CR18="","",IF($CR18="Aloe Vera Gel","Aloe Vera Gel "&amp;$CT18&amp;"g",CS18&amp;" "&amp;$CT18&amp;"g"))</f>
        <v/>
      </c>
      <c r="CV18">
        <f>IF($CQ18=0,"",IF($CP18=$CU18,"Repeat Exact",IF($CT18&gt;$CO18,"Upsized",IF($CT18&lt;$CO18,"Downsized",IF($CM18&lt;&gt;$CR18,"Lateral","Same Size Diff Variant")))))</f>
        <v/>
      </c>
      <c r="CW18">
        <f>IF($CQ18=0,"",AZ18-AQ18)</f>
        <v/>
      </c>
      <c r="CX18">
        <f>IF($CQ18=0,0,IF(CS18=CN18,1,0))</f>
        <v/>
      </c>
      <c r="CY18">
        <f>IF($CQ18=0,0,IF(CR18=CM18,1,0))</f>
        <v/>
      </c>
      <c r="CZ18">
        <f>IF($A18="","",IF(AND(IF(DASHBOARD!$C$4="All",TRUE,$CM18=DASHBOARD!$C$4),IF(DASHBOARD!$C$6="All",TRUE,$CP18=DASHBOARD!$C$6),IF(DASHBOARD!$C$8="All",TRUE,$AF18&gt;=DASHBOARD!$C$8),IF(DASHBOARD!$C$10="All",TRUE,$AF18&lt;=DASHBOARD!$C$10),IF(DASHBOARD!$C$12="All",TRUE,$AH18=VALUE(DASHBOARD!$C$12)),IF(DASHBOARD!$C$14="All",TRUE,$AJ18=DASHBOARD!$C$14)),1,0))</f>
        <v/>
      </c>
    </row>
    <row r="19">
      <c r="A19" t="n">
        <v>30705</v>
      </c>
      <c r="B19" t="inlineStr">
        <is>
          <t>Face Malai</t>
        </is>
      </c>
      <c r="H19" t="inlineStr">
        <is>
          <t>Flax Carrot (Hot Humid) 35+ Face Malai - 30g</t>
        </is>
      </c>
      <c r="N19" t="inlineStr">
        <is>
          <t>FC-HHDM-FC-030</t>
        </is>
      </c>
      <c r="T19" t="inlineStr">
        <is>
          <t>Feb 25, 2024</t>
        </is>
      </c>
      <c r="AE19" t="inlineStr">
        <is>
          <t>New Delhi</t>
        </is>
      </c>
      <c r="AF19" t="inlineStr">
        <is>
          <t>2024-02</t>
        </is>
      </c>
      <c r="AG19" t="n">
        <v>2</v>
      </c>
      <c r="AH19" t="n">
        <v>1</v>
      </c>
      <c r="AI19" t="n">
        <v>0</v>
      </c>
      <c r="AJ19">
        <f>IF($AE19="","",IFERROR(VLOOKUP(TRIM($AE19),DECODE!$H$3:$I$60,2,FALSE),"Rest of India"))</f>
        <v/>
      </c>
      <c r="AK19">
        <f>IF($N19="","",UPPER(TRIM(LEFT($N19&amp;",",FIND(",",$N19&amp;",")-1))))</f>
        <v/>
      </c>
      <c r="AL19">
        <f>IF($AK19="","",MID($AK19,4,FIND("~",SUBSTITUTE($AK19,"-","~",2))-4))</f>
        <v/>
      </c>
      <c r="AM19">
        <f>IF($AK19="","",MID($AK19,FIND("~",SUBSTITUTE($AK19,"-","~",2))+1,FIND("~",SUBSTITUTE($AK19,"-","~",3))-FIND("~",SUBSTITUTE($AK19,"-","~",2))-1))</f>
        <v/>
      </c>
      <c r="AN19">
        <f>IF($AL19="","",IFERROR(VLOOKUP($AL19,DECODE!$A$3:$C$8,3,FALSE),"?"))</f>
        <v/>
      </c>
      <c r="AO19">
        <f>IF($AM19="","",IFERROR(VLOOKUP($AL19&amp;"-"&amp;$AM19,DECODE!$E$3:$F$21,2,FALSE),"?"))</f>
        <v/>
      </c>
      <c r="AP19">
        <f>IF($AK19="","",IFERROR(VALUE(RIGHT($AK19,3)),""))</f>
        <v/>
      </c>
      <c r="AQ19">
        <f>IF($T19="","",IFERROR(IF(ISNUMBER($T19),$T19,DATEVALUE(TRIM($T19))),""))</f>
        <v/>
      </c>
      <c r="AR19">
        <f>IF($AQ19="","",IF(MONTH($AQ19)&gt;=12,"Cold Winter",IF(MONTH($AQ19)&gt;=10,"Post-Monsoon",IF(MONTH($AQ19)&gt;=6,"Hot Humid",IF(MONTH($AQ19)&gt;=3,"Hot Dry","Cold Winter")))))</f>
        <v/>
      </c>
      <c r="AS19">
        <f>IF($AL19="","",IFERROR(VLOOKUP($AL19,DECODE!$A$3:$C$8,2,FALSE),"?"))</f>
        <v/>
      </c>
      <c r="AT19">
        <f>IF($O19="","",UPPER(TRIM(LEFT($O19&amp;",",FIND(",",$O19&amp;",")-1))))</f>
        <v/>
      </c>
      <c r="AU19">
        <f>IF($AT19="","",MID($AT19,4,FIND("~",SUBSTITUTE($AT19,"-","~",2))-4))</f>
        <v/>
      </c>
      <c r="AV19">
        <f>IF($AT19="","",MID($AT19,FIND("~",SUBSTITUTE($AT19,"-","~",2))+1,FIND("~",SUBSTITUTE($AT19,"-","~",3))-FIND("~",SUBSTITUTE($AT19,"-","~",2))-1))</f>
        <v/>
      </c>
      <c r="AW19">
        <f>IF($AU19="","",IFERROR(VLOOKUP($AU19,DECODE!$A$3:$C$8,3,FALSE),"?"))</f>
        <v/>
      </c>
      <c r="AX19">
        <f>IF($AV19="","",IFERROR(VLOOKUP($AU19&amp;"-"&amp;$AV19,DECODE!$E$3:$F$21,2,FALSE),"?"))</f>
        <v/>
      </c>
      <c r="AY19">
        <f>IF($AT19="","",IFERROR(VALUE(RIGHT($AT19,3)),""))</f>
        <v/>
      </c>
      <c r="AZ19">
        <f>IF($U19="","",IFERROR(IF(ISNUMBER($U19),$U19,DATEVALUE(TRIM($U19))),""))</f>
        <v/>
      </c>
      <c r="BA19">
        <f>IF($AZ19="","",IF(MONTH($AZ19)&gt;=12,"Cold Winter",IF(MONTH($AZ19)&gt;=10,"Post-Monsoon",IF(MONTH($AZ19)&gt;=6,"Hot Humid",IF(MONTH($AZ19)&gt;=3,"Hot Dry","Cold Winter")))))</f>
        <v/>
      </c>
      <c r="BB19">
        <f>IF($AU19="","",IFERROR(VLOOKUP($AU19,DECODE!$A$3:$C$8,2,FALSE),"?"))</f>
        <v/>
      </c>
      <c r="BC19">
        <f>IF($P19="","",UPPER(TRIM(LEFT($P19&amp;",",FIND(",",$P19&amp;",")-1))))</f>
        <v/>
      </c>
      <c r="BD19">
        <f>IF($BC19="","",MID($BC19,4,FIND("~",SUBSTITUTE($BC19,"-","~",2))-4))</f>
        <v/>
      </c>
      <c r="BE19">
        <f>IF($BC19="","",MID($BC19,FIND("~",SUBSTITUTE($BC19,"-","~",2))+1,FIND("~",SUBSTITUTE($BC19,"-","~",3))-FIND("~",SUBSTITUTE($BC19,"-","~",2))-1))</f>
        <v/>
      </c>
      <c r="BF19">
        <f>IF($BD19="","",IFERROR(VLOOKUP($BD19,DECODE!$A$3:$C$8,3,FALSE),"?"))</f>
        <v/>
      </c>
      <c r="BG19">
        <f>IF($BE19="","",IFERROR(VLOOKUP($BD19&amp;"-"&amp;$BE19,DECODE!$E$3:$F$21,2,FALSE),"?"))</f>
        <v/>
      </c>
      <c r="BH19">
        <f>IF($BC19="","",IFERROR(VALUE(RIGHT($BC19,3)),""))</f>
        <v/>
      </c>
      <c r="BI19">
        <f>IF($V19="","",IFERROR(IF(ISNUMBER($V19),$V19,DATEVALUE(TRIM($V19))),""))</f>
        <v/>
      </c>
      <c r="BJ19">
        <f>IF($BI19="","",IF(MONTH($BI19)&gt;=12,"Cold Winter",IF(MONTH($BI19)&gt;=10,"Post-Monsoon",IF(MONTH($BI19)&gt;=6,"Hot Humid",IF(MONTH($BI19)&gt;=3,"Hot Dry","Cold Winter")))))</f>
        <v/>
      </c>
      <c r="BK19">
        <f>IF($BD19="","",IFERROR(VLOOKUP($BD19,DECODE!$A$3:$C$8,2,FALSE),"?"))</f>
        <v/>
      </c>
      <c r="BL19">
        <f>IF($Q19="","",UPPER(TRIM(LEFT($Q19&amp;",",FIND(",",$Q19&amp;",")-1))))</f>
        <v/>
      </c>
      <c r="BM19">
        <f>IF($BL19="","",MID($BL19,4,FIND("~",SUBSTITUTE($BL19,"-","~",2))-4))</f>
        <v/>
      </c>
      <c r="BN19">
        <f>IF($BL19="","",MID($BL19,FIND("~",SUBSTITUTE($BL19,"-","~",2))+1,FIND("~",SUBSTITUTE($BL19,"-","~",3))-FIND("~",SUBSTITUTE($BL19,"-","~",2))-1))</f>
        <v/>
      </c>
      <c r="BO19">
        <f>IF($BM19="","",IFERROR(VLOOKUP($BM19,DECODE!$A$3:$C$8,3,FALSE),"?"))</f>
        <v/>
      </c>
      <c r="BP19">
        <f>IF($BN19="","",IFERROR(VLOOKUP($BM19&amp;"-"&amp;$BN19,DECODE!$E$3:$F$21,2,FALSE),"?"))</f>
        <v/>
      </c>
      <c r="BQ19">
        <f>IF($BL19="","",IFERROR(VALUE(RIGHT($BL19,3)),""))</f>
        <v/>
      </c>
      <c r="BR19">
        <f>IF($W19="","",IFERROR(IF(ISNUMBER($W19),$W19,DATEVALUE(TRIM($W19))),""))</f>
        <v/>
      </c>
      <c r="BS19">
        <f>IF($BR19="","",IF(MONTH($BR19)&gt;=12,"Cold Winter",IF(MONTH($BR19)&gt;=10,"Post-Monsoon",IF(MONTH($BR19)&gt;=6,"Hot Humid",IF(MONTH($BR19)&gt;=3,"Hot Dry","Cold Winter")))))</f>
        <v/>
      </c>
      <c r="BT19">
        <f>IF($BM19="","",IFERROR(VLOOKUP($BM19,DECODE!$A$3:$C$8,2,FALSE),"?"))</f>
        <v/>
      </c>
      <c r="BU19">
        <f>IF($R19="","",UPPER(TRIM(LEFT($R19&amp;",",FIND(",",$R19&amp;",")-1))))</f>
        <v/>
      </c>
      <c r="BV19">
        <f>IF($BU19="","",MID($BU19,4,FIND("~",SUBSTITUTE($BU19,"-","~",2))-4))</f>
        <v/>
      </c>
      <c r="BW19">
        <f>IF($BU19="","",MID($BU19,FIND("~",SUBSTITUTE($BU19,"-","~",2))+1,FIND("~",SUBSTITUTE($BU19,"-","~",3))-FIND("~",SUBSTITUTE($BU19,"-","~",2))-1))</f>
        <v/>
      </c>
      <c r="BX19">
        <f>IF($BV19="","",IFERROR(VLOOKUP($BV19,DECODE!$A$3:$C$8,3,FALSE),"?"))</f>
        <v/>
      </c>
      <c r="BY19">
        <f>IF($BW19="","",IFERROR(VLOOKUP($BV19&amp;"-"&amp;$BW19,DECODE!$E$3:$F$21,2,FALSE),"?"))</f>
        <v/>
      </c>
      <c r="BZ19">
        <f>IF($BU19="","",IFERROR(VALUE(RIGHT($BU19,3)),""))</f>
        <v/>
      </c>
      <c r="CA19">
        <f>IF($X19="","",IFERROR(IF(ISNUMBER($X19),$X19,DATEVALUE(TRIM($X19))),""))</f>
        <v/>
      </c>
      <c r="CB19">
        <f>IF($CA19="","",IF(MONTH($CA19)&gt;=12,"Cold Winter",IF(MONTH($CA19)&gt;=10,"Post-Monsoon",IF(MONTH($CA19)&gt;=6,"Hot Humid",IF(MONTH($CA19)&gt;=3,"Hot Dry","Cold Winter")))))</f>
        <v/>
      </c>
      <c r="CC19">
        <f>IF($BV19="","",IFERROR(VLOOKUP($BV19,DECODE!$A$3:$C$8,2,FALSE),"?"))</f>
        <v/>
      </c>
      <c r="CD19">
        <f>IF($S19="","",UPPER(TRIM(LEFT($S19&amp;",",FIND(",",$S19&amp;",")-1))))</f>
        <v/>
      </c>
      <c r="CE19">
        <f>IF($CD19="","",MID($CD19,4,FIND("~",SUBSTITUTE($CD19,"-","~",2))-4))</f>
        <v/>
      </c>
      <c r="CF19">
        <f>IF($CD19="","",MID($CD19,FIND("~",SUBSTITUTE($CD19,"-","~",2))+1,FIND("~",SUBSTITUTE($CD19,"-","~",3))-FIND("~",SUBSTITUTE($CD19,"-","~",2))-1))</f>
        <v/>
      </c>
      <c r="CG19">
        <f>IF($CE19="","",IFERROR(VLOOKUP($CE19,DECODE!$A$3:$C$8,3,FALSE),"?"))</f>
        <v/>
      </c>
      <c r="CH19">
        <f>IF($CF19="","",IFERROR(VLOOKUP($CE19&amp;"-"&amp;$CF19,DECODE!$E$3:$F$21,2,FALSE),"?"))</f>
        <v/>
      </c>
      <c r="CI19">
        <f>IF($CD19="","",IFERROR(VALUE(RIGHT($CD19,3)),""))</f>
        <v/>
      </c>
      <c r="CJ19">
        <f>IF($Y19="","",IFERROR(IF(ISNUMBER($Y19),$Y19,DATEVALUE(TRIM($Y19))),""))</f>
        <v/>
      </c>
      <c r="CK19">
        <f>IF($CJ19="","",IF(MONTH($CJ19)&gt;=12,"Cold Winter",IF(MONTH($CJ19)&gt;=10,"Post-Monsoon",IF(MONTH($CJ19)&gt;=6,"Hot Humid",IF(MONTH($CJ19)&gt;=3,"Hot Dry","Cold Winter")))))</f>
        <v/>
      </c>
      <c r="CL19">
        <f>IF($CE19="","",IFERROR(VLOOKUP($CE19,DECODE!$A$3:$C$8,2,FALSE),"?"))</f>
        <v/>
      </c>
      <c r="CM19">
        <f>IF($AN19="","",AN19)</f>
        <v/>
      </c>
      <c r="CN19">
        <f>IF($AO19="","",AO19)</f>
        <v/>
      </c>
      <c r="CO19">
        <f>IF($AP19="","",AP19)</f>
        <v/>
      </c>
      <c r="CP19">
        <f>IF($CM19="","",IF($CM19="Aloe Vera Gel","Aloe Vera Gel "&amp;$CO19&amp;"g",CN19&amp;" "&amp;$CO19&amp;"g"))</f>
        <v/>
      </c>
      <c r="CQ19">
        <f>IF($AT19="",0,1)</f>
        <v/>
      </c>
      <c r="CR19">
        <f>IF($CQ19=0,"",AW19)</f>
        <v/>
      </c>
      <c r="CS19">
        <f>IF($CQ19=0,"",AX19)</f>
        <v/>
      </c>
      <c r="CT19">
        <f>IF($CQ19=0,"",AY19)</f>
        <v/>
      </c>
      <c r="CU19">
        <f>IF($CR19="","",IF($CR19="Aloe Vera Gel","Aloe Vera Gel "&amp;$CT19&amp;"g",CS19&amp;" "&amp;$CT19&amp;"g"))</f>
        <v/>
      </c>
      <c r="CV19">
        <f>IF($CQ19=0,"",IF($CP19=$CU19,"Repeat Exact",IF($CT19&gt;$CO19,"Upsized",IF($CT19&lt;$CO19,"Downsized",IF($CM19&lt;&gt;$CR19,"Lateral","Same Size Diff Variant")))))</f>
        <v/>
      </c>
      <c r="CW19">
        <f>IF($CQ19=0,"",AZ19-AQ19)</f>
        <v/>
      </c>
      <c r="CX19">
        <f>IF($CQ19=0,0,IF(CS19=CN19,1,0))</f>
        <v/>
      </c>
      <c r="CY19">
        <f>IF($CQ19=0,0,IF(CR19=CM19,1,0))</f>
        <v/>
      </c>
      <c r="CZ19">
        <f>IF($A19="","",IF(AND(IF(DASHBOARD!$C$4="All",TRUE,$CM19=DASHBOARD!$C$4),IF(DASHBOARD!$C$6="All",TRUE,$CP19=DASHBOARD!$C$6),IF(DASHBOARD!$C$8="All",TRUE,$AF19&gt;=DASHBOARD!$C$8),IF(DASHBOARD!$C$10="All",TRUE,$AF19&lt;=DASHBOARD!$C$10),IF(DASHBOARD!$C$12="All",TRUE,$AH19=VALUE(DASHBOARD!$C$12)),IF(DASHBOARD!$C$14="All",TRUE,$AJ19=DASHBOARD!$C$14)),1,0))</f>
        <v/>
      </c>
    </row>
    <row r="20">
      <c r="A20" t="n">
        <v>31079</v>
      </c>
      <c r="B20" t="inlineStr">
        <is>
          <t>Face Malai</t>
        </is>
      </c>
      <c r="C20" t="inlineStr">
        <is>
          <t>Aloe Vera Gel</t>
        </is>
      </c>
      <c r="H20" t="inlineStr">
        <is>
          <t>Turmeric Nutmeg (Pigmentation)  Face Malai - 30g</t>
        </is>
      </c>
      <c r="I20" t="inlineStr">
        <is>
          <t>Aloe Vera Gel - 80 gms</t>
        </is>
      </c>
      <c r="N20" t="inlineStr">
        <is>
          <t>FC-DM-PG-030</t>
        </is>
      </c>
      <c r="O20" t="inlineStr">
        <is>
          <t>FC-HG-PA-080</t>
        </is>
      </c>
      <c r="T20" t="inlineStr">
        <is>
          <t>Jan 13, 2024</t>
        </is>
      </c>
      <c r="U20" t="inlineStr">
        <is>
          <t>Mar 1, 2026</t>
        </is>
      </c>
      <c r="Z20" t="n">
        <v>778</v>
      </c>
      <c r="AE20" t="inlineStr">
        <is>
          <t>New Delhi</t>
        </is>
      </c>
      <c r="AF20" t="inlineStr">
        <is>
          <t>2024-01</t>
        </is>
      </c>
      <c r="AG20" t="n">
        <v>1</v>
      </c>
      <c r="AH20" t="n">
        <v>2</v>
      </c>
      <c r="AI20" t="n">
        <v>1</v>
      </c>
      <c r="AJ20">
        <f>IF($AE20="","",IFERROR(VLOOKUP(TRIM($AE20),DECODE!$H$3:$I$60,2,FALSE),"Rest of India"))</f>
        <v/>
      </c>
      <c r="AK20">
        <f>IF($N20="","",UPPER(TRIM(LEFT($N20&amp;",",FIND(",",$N20&amp;",")-1))))</f>
        <v/>
      </c>
      <c r="AL20">
        <f>IF($AK20="","",MID($AK20,4,FIND("~",SUBSTITUTE($AK20,"-","~",2))-4))</f>
        <v/>
      </c>
      <c r="AM20">
        <f>IF($AK20="","",MID($AK20,FIND("~",SUBSTITUTE($AK20,"-","~",2))+1,FIND("~",SUBSTITUTE($AK20,"-","~",3))-FIND("~",SUBSTITUTE($AK20,"-","~",2))-1))</f>
        <v/>
      </c>
      <c r="AN20">
        <f>IF($AL20="","",IFERROR(VLOOKUP($AL20,DECODE!$A$3:$C$8,3,FALSE),"?"))</f>
        <v/>
      </c>
      <c r="AO20">
        <f>IF($AM20="","",IFERROR(VLOOKUP($AL20&amp;"-"&amp;$AM20,DECODE!$E$3:$F$21,2,FALSE),"?"))</f>
        <v/>
      </c>
      <c r="AP20">
        <f>IF($AK20="","",IFERROR(VALUE(RIGHT($AK20,3)),""))</f>
        <v/>
      </c>
      <c r="AQ20">
        <f>IF($T20="","",IFERROR(IF(ISNUMBER($T20),$T20,DATEVALUE(TRIM($T20))),""))</f>
        <v/>
      </c>
      <c r="AR20">
        <f>IF($AQ20="","",IF(MONTH($AQ20)&gt;=12,"Cold Winter",IF(MONTH($AQ20)&gt;=10,"Post-Monsoon",IF(MONTH($AQ20)&gt;=6,"Hot Humid",IF(MONTH($AQ20)&gt;=3,"Hot Dry","Cold Winter")))))</f>
        <v/>
      </c>
      <c r="AS20">
        <f>IF($AL20="","",IFERROR(VLOOKUP($AL20,DECODE!$A$3:$C$8,2,FALSE),"?"))</f>
        <v/>
      </c>
      <c r="AT20">
        <f>IF($O20="","",UPPER(TRIM(LEFT($O20&amp;",",FIND(",",$O20&amp;",")-1))))</f>
        <v/>
      </c>
      <c r="AU20">
        <f>IF($AT20="","",MID($AT20,4,FIND("~",SUBSTITUTE($AT20,"-","~",2))-4))</f>
        <v/>
      </c>
      <c r="AV20">
        <f>IF($AT20="","",MID($AT20,FIND("~",SUBSTITUTE($AT20,"-","~",2))+1,FIND("~",SUBSTITUTE($AT20,"-","~",3))-FIND("~",SUBSTITUTE($AT20,"-","~",2))-1))</f>
        <v/>
      </c>
      <c r="AW20">
        <f>IF($AU20="","",IFERROR(VLOOKUP($AU20,DECODE!$A$3:$C$8,3,FALSE),"?"))</f>
        <v/>
      </c>
      <c r="AX20">
        <f>IF($AV20="","",IFERROR(VLOOKUP($AU20&amp;"-"&amp;$AV20,DECODE!$E$3:$F$21,2,FALSE),"?"))</f>
        <v/>
      </c>
      <c r="AY20">
        <f>IF($AT20="","",IFERROR(VALUE(RIGHT($AT20,3)),""))</f>
        <v/>
      </c>
      <c r="AZ20">
        <f>IF($U20="","",IFERROR(IF(ISNUMBER($U20),$U20,DATEVALUE(TRIM($U20))),""))</f>
        <v/>
      </c>
      <c r="BA20">
        <f>IF($AZ20="","",IF(MONTH($AZ20)&gt;=12,"Cold Winter",IF(MONTH($AZ20)&gt;=10,"Post-Monsoon",IF(MONTH($AZ20)&gt;=6,"Hot Humid",IF(MONTH($AZ20)&gt;=3,"Hot Dry","Cold Winter")))))</f>
        <v/>
      </c>
      <c r="BB20">
        <f>IF($AU20="","",IFERROR(VLOOKUP($AU20,DECODE!$A$3:$C$8,2,FALSE),"?"))</f>
        <v/>
      </c>
      <c r="BC20">
        <f>IF($P20="","",UPPER(TRIM(LEFT($P20&amp;",",FIND(",",$P20&amp;",")-1))))</f>
        <v/>
      </c>
      <c r="BD20">
        <f>IF($BC20="","",MID($BC20,4,FIND("~",SUBSTITUTE($BC20,"-","~",2))-4))</f>
        <v/>
      </c>
      <c r="BE20">
        <f>IF($BC20="","",MID($BC20,FIND("~",SUBSTITUTE($BC20,"-","~",2))+1,FIND("~",SUBSTITUTE($BC20,"-","~",3))-FIND("~",SUBSTITUTE($BC20,"-","~",2))-1))</f>
        <v/>
      </c>
      <c r="BF20">
        <f>IF($BD20="","",IFERROR(VLOOKUP($BD20,DECODE!$A$3:$C$8,3,FALSE),"?"))</f>
        <v/>
      </c>
      <c r="BG20">
        <f>IF($BE20="","",IFERROR(VLOOKUP($BD20&amp;"-"&amp;$BE20,DECODE!$E$3:$F$21,2,FALSE),"?"))</f>
        <v/>
      </c>
      <c r="BH20">
        <f>IF($BC20="","",IFERROR(VALUE(RIGHT($BC20,3)),""))</f>
        <v/>
      </c>
      <c r="BI20">
        <f>IF($V20="","",IFERROR(IF(ISNUMBER($V20),$V20,DATEVALUE(TRIM($V20))),""))</f>
        <v/>
      </c>
      <c r="BJ20">
        <f>IF($BI20="","",IF(MONTH($BI20)&gt;=12,"Cold Winter",IF(MONTH($BI20)&gt;=10,"Post-Monsoon",IF(MONTH($BI20)&gt;=6,"Hot Humid",IF(MONTH($BI20)&gt;=3,"Hot Dry","Cold Winter")))))</f>
        <v/>
      </c>
      <c r="BK20">
        <f>IF($BD20="","",IFERROR(VLOOKUP($BD20,DECODE!$A$3:$C$8,2,FALSE),"?"))</f>
        <v/>
      </c>
      <c r="BL20">
        <f>IF($Q20="","",UPPER(TRIM(LEFT($Q20&amp;",",FIND(",",$Q20&amp;",")-1))))</f>
        <v/>
      </c>
      <c r="BM20">
        <f>IF($BL20="","",MID($BL20,4,FIND("~",SUBSTITUTE($BL20,"-","~",2))-4))</f>
        <v/>
      </c>
      <c r="BN20">
        <f>IF($BL20="","",MID($BL20,FIND("~",SUBSTITUTE($BL20,"-","~",2))+1,FIND("~",SUBSTITUTE($BL20,"-","~",3))-FIND("~",SUBSTITUTE($BL20,"-","~",2))-1))</f>
        <v/>
      </c>
      <c r="BO20">
        <f>IF($BM20="","",IFERROR(VLOOKUP($BM20,DECODE!$A$3:$C$8,3,FALSE),"?"))</f>
        <v/>
      </c>
      <c r="BP20">
        <f>IF($BN20="","",IFERROR(VLOOKUP($BM20&amp;"-"&amp;$BN20,DECODE!$E$3:$F$21,2,FALSE),"?"))</f>
        <v/>
      </c>
      <c r="BQ20">
        <f>IF($BL20="","",IFERROR(VALUE(RIGHT($BL20,3)),""))</f>
        <v/>
      </c>
      <c r="BR20">
        <f>IF($W20="","",IFERROR(IF(ISNUMBER($W20),$W20,DATEVALUE(TRIM($W20))),""))</f>
        <v/>
      </c>
      <c r="BS20">
        <f>IF($BR20="","",IF(MONTH($BR20)&gt;=12,"Cold Winter",IF(MONTH($BR20)&gt;=10,"Post-Monsoon",IF(MONTH($BR20)&gt;=6,"Hot Humid",IF(MONTH($BR20)&gt;=3,"Hot Dry","Cold Winter")))))</f>
        <v/>
      </c>
      <c r="BT20">
        <f>IF($BM20="","",IFERROR(VLOOKUP($BM20,DECODE!$A$3:$C$8,2,FALSE),"?"))</f>
        <v/>
      </c>
      <c r="BU20">
        <f>IF($R20="","",UPPER(TRIM(LEFT($R20&amp;",",FIND(",",$R20&amp;",")-1))))</f>
        <v/>
      </c>
      <c r="BV20">
        <f>IF($BU20="","",MID($BU20,4,FIND("~",SUBSTITUTE($BU20,"-","~",2))-4))</f>
        <v/>
      </c>
      <c r="BW20">
        <f>IF($BU20="","",MID($BU20,FIND("~",SUBSTITUTE($BU20,"-","~",2))+1,FIND("~",SUBSTITUTE($BU20,"-","~",3))-FIND("~",SUBSTITUTE($BU20,"-","~",2))-1))</f>
        <v/>
      </c>
      <c r="BX20">
        <f>IF($BV20="","",IFERROR(VLOOKUP($BV20,DECODE!$A$3:$C$8,3,FALSE),"?"))</f>
        <v/>
      </c>
      <c r="BY20">
        <f>IF($BW20="","",IFERROR(VLOOKUP($BV20&amp;"-"&amp;$BW20,DECODE!$E$3:$F$21,2,FALSE),"?"))</f>
        <v/>
      </c>
      <c r="BZ20">
        <f>IF($BU20="","",IFERROR(VALUE(RIGHT($BU20,3)),""))</f>
        <v/>
      </c>
      <c r="CA20">
        <f>IF($X20="","",IFERROR(IF(ISNUMBER($X20),$X20,DATEVALUE(TRIM($X20))),""))</f>
        <v/>
      </c>
      <c r="CB20">
        <f>IF($CA20="","",IF(MONTH($CA20)&gt;=12,"Cold Winter",IF(MONTH($CA20)&gt;=10,"Post-Monsoon",IF(MONTH($CA20)&gt;=6,"Hot Humid",IF(MONTH($CA20)&gt;=3,"Hot Dry","Cold Winter")))))</f>
        <v/>
      </c>
      <c r="CC20">
        <f>IF($BV20="","",IFERROR(VLOOKUP($BV20,DECODE!$A$3:$C$8,2,FALSE),"?"))</f>
        <v/>
      </c>
      <c r="CD20">
        <f>IF($S20="","",UPPER(TRIM(LEFT($S20&amp;",",FIND(",",$S20&amp;",")-1))))</f>
        <v/>
      </c>
      <c r="CE20">
        <f>IF($CD20="","",MID($CD20,4,FIND("~",SUBSTITUTE($CD20,"-","~",2))-4))</f>
        <v/>
      </c>
      <c r="CF20">
        <f>IF($CD20="","",MID($CD20,FIND("~",SUBSTITUTE($CD20,"-","~",2))+1,FIND("~",SUBSTITUTE($CD20,"-","~",3))-FIND("~",SUBSTITUTE($CD20,"-","~",2))-1))</f>
        <v/>
      </c>
      <c r="CG20">
        <f>IF($CE20="","",IFERROR(VLOOKUP($CE20,DECODE!$A$3:$C$8,3,FALSE),"?"))</f>
        <v/>
      </c>
      <c r="CH20">
        <f>IF($CF20="","",IFERROR(VLOOKUP($CE20&amp;"-"&amp;$CF20,DECODE!$E$3:$F$21,2,FALSE),"?"))</f>
        <v/>
      </c>
      <c r="CI20">
        <f>IF($CD20="","",IFERROR(VALUE(RIGHT($CD20,3)),""))</f>
        <v/>
      </c>
      <c r="CJ20">
        <f>IF($Y20="","",IFERROR(IF(ISNUMBER($Y20),$Y20,DATEVALUE(TRIM($Y20))),""))</f>
        <v/>
      </c>
      <c r="CK20">
        <f>IF($CJ20="","",IF(MONTH($CJ20)&gt;=12,"Cold Winter",IF(MONTH($CJ20)&gt;=10,"Post-Monsoon",IF(MONTH($CJ20)&gt;=6,"Hot Humid",IF(MONTH($CJ20)&gt;=3,"Hot Dry","Cold Winter")))))</f>
        <v/>
      </c>
      <c r="CL20">
        <f>IF($CE20="","",IFERROR(VLOOKUP($CE20,DECODE!$A$3:$C$8,2,FALSE),"?"))</f>
        <v/>
      </c>
      <c r="CM20">
        <f>IF($AN20="","",AN20)</f>
        <v/>
      </c>
      <c r="CN20">
        <f>IF($AO20="","",AO20)</f>
        <v/>
      </c>
      <c r="CO20">
        <f>IF($AP20="","",AP20)</f>
        <v/>
      </c>
      <c r="CP20">
        <f>IF($CM20="","",IF($CM20="Aloe Vera Gel","Aloe Vera Gel "&amp;$CO20&amp;"g",CN20&amp;" "&amp;$CO20&amp;"g"))</f>
        <v/>
      </c>
      <c r="CQ20">
        <f>IF($AT20="",0,1)</f>
        <v/>
      </c>
      <c r="CR20">
        <f>IF($CQ20=0,"",AW20)</f>
        <v/>
      </c>
      <c r="CS20">
        <f>IF($CQ20=0,"",AX20)</f>
        <v/>
      </c>
      <c r="CT20">
        <f>IF($CQ20=0,"",AY20)</f>
        <v/>
      </c>
      <c r="CU20">
        <f>IF($CR20="","",IF($CR20="Aloe Vera Gel","Aloe Vera Gel "&amp;$CT20&amp;"g",CS20&amp;" "&amp;$CT20&amp;"g"))</f>
        <v/>
      </c>
      <c r="CV20">
        <f>IF($CQ20=0,"",IF($CP20=$CU20,"Repeat Exact",IF($CT20&gt;$CO20,"Upsized",IF($CT20&lt;$CO20,"Downsized",IF($CM20&lt;&gt;$CR20,"Lateral","Same Size Diff Variant")))))</f>
        <v/>
      </c>
      <c r="CW20">
        <f>IF($CQ20=0,"",AZ20-AQ20)</f>
        <v/>
      </c>
      <c r="CX20">
        <f>IF($CQ20=0,0,IF(CS20=CN20,1,0))</f>
        <v/>
      </c>
      <c r="CY20">
        <f>IF($CQ20=0,0,IF(CR20=CM20,1,0))</f>
        <v/>
      </c>
      <c r="CZ20">
        <f>IF($A20="","",IF(AND(IF(DASHBOARD!$C$4="All",TRUE,$CM20=DASHBOARD!$C$4),IF(DASHBOARD!$C$6="All",TRUE,$CP20=DASHBOARD!$C$6),IF(DASHBOARD!$C$8="All",TRUE,$AF20&gt;=DASHBOARD!$C$8),IF(DASHBOARD!$C$10="All",TRUE,$AF20&lt;=DASHBOARD!$C$10),IF(DASHBOARD!$C$12="All",TRUE,$AH20=VALUE(DASHBOARD!$C$12)),IF(DASHBOARD!$C$14="All",TRUE,$AJ20=DASHBOARD!$C$14)),1,0))</f>
        <v/>
      </c>
    </row>
    <row r="21">
      <c r="A21" t="n">
        <v>31176</v>
      </c>
      <c r="B21" t="inlineStr">
        <is>
          <t>Aloe Vera Gel</t>
        </is>
      </c>
      <c r="H21" t="inlineStr">
        <is>
          <t>Aloe Vera Gel - 40 gms</t>
        </is>
      </c>
      <c r="N21" t="inlineStr">
        <is>
          <t>FC-HG-PA-040</t>
        </is>
      </c>
      <c r="T21" t="inlineStr">
        <is>
          <t>Mar 22, 2024</t>
        </is>
      </c>
      <c r="AE21" t="inlineStr">
        <is>
          <t>Ghaziabad</t>
        </is>
      </c>
      <c r="AF21" t="inlineStr">
        <is>
          <t>2024-03</t>
        </is>
      </c>
      <c r="AG21" t="n">
        <v>3</v>
      </c>
      <c r="AH21" t="n">
        <v>1</v>
      </c>
      <c r="AI21" t="n">
        <v>0</v>
      </c>
      <c r="AJ21">
        <f>IF($AE21="","",IFERROR(VLOOKUP(TRIM($AE21),DECODE!$H$3:$I$60,2,FALSE),"Rest of India"))</f>
        <v/>
      </c>
      <c r="AK21">
        <f>IF($N21="","",UPPER(TRIM(LEFT($N21&amp;",",FIND(",",$N21&amp;",")-1))))</f>
        <v/>
      </c>
      <c r="AL21">
        <f>IF($AK21="","",MID($AK21,4,FIND("~",SUBSTITUTE($AK21,"-","~",2))-4))</f>
        <v/>
      </c>
      <c r="AM21">
        <f>IF($AK21="","",MID($AK21,FIND("~",SUBSTITUTE($AK21,"-","~",2))+1,FIND("~",SUBSTITUTE($AK21,"-","~",3))-FIND("~",SUBSTITUTE($AK21,"-","~",2))-1))</f>
        <v/>
      </c>
      <c r="AN21">
        <f>IF($AL21="","",IFERROR(VLOOKUP($AL21,DECODE!$A$3:$C$8,3,FALSE),"?"))</f>
        <v/>
      </c>
      <c r="AO21">
        <f>IF($AM21="","",IFERROR(VLOOKUP($AL21&amp;"-"&amp;$AM21,DECODE!$E$3:$F$21,2,FALSE),"?"))</f>
        <v/>
      </c>
      <c r="AP21">
        <f>IF($AK21="","",IFERROR(VALUE(RIGHT($AK21,3)),""))</f>
        <v/>
      </c>
      <c r="AQ21">
        <f>IF($T21="","",IFERROR(IF(ISNUMBER($T21),$T21,DATEVALUE(TRIM($T21))),""))</f>
        <v/>
      </c>
      <c r="AR21">
        <f>IF($AQ21="","",IF(MONTH($AQ21)&gt;=12,"Cold Winter",IF(MONTH($AQ21)&gt;=10,"Post-Monsoon",IF(MONTH($AQ21)&gt;=6,"Hot Humid",IF(MONTH($AQ21)&gt;=3,"Hot Dry","Cold Winter")))))</f>
        <v/>
      </c>
      <c r="AS21">
        <f>IF($AL21="","",IFERROR(VLOOKUP($AL21,DECODE!$A$3:$C$8,2,FALSE),"?"))</f>
        <v/>
      </c>
      <c r="AT21">
        <f>IF($O21="","",UPPER(TRIM(LEFT($O21&amp;",",FIND(",",$O21&amp;",")-1))))</f>
        <v/>
      </c>
      <c r="AU21">
        <f>IF($AT21="","",MID($AT21,4,FIND("~",SUBSTITUTE($AT21,"-","~",2))-4))</f>
        <v/>
      </c>
      <c r="AV21">
        <f>IF($AT21="","",MID($AT21,FIND("~",SUBSTITUTE($AT21,"-","~",2))+1,FIND("~",SUBSTITUTE($AT21,"-","~",3))-FIND("~",SUBSTITUTE($AT21,"-","~",2))-1))</f>
        <v/>
      </c>
      <c r="AW21">
        <f>IF($AU21="","",IFERROR(VLOOKUP($AU21,DECODE!$A$3:$C$8,3,FALSE),"?"))</f>
        <v/>
      </c>
      <c r="AX21">
        <f>IF($AV21="","",IFERROR(VLOOKUP($AU21&amp;"-"&amp;$AV21,DECODE!$E$3:$F$21,2,FALSE),"?"))</f>
        <v/>
      </c>
      <c r="AY21">
        <f>IF($AT21="","",IFERROR(VALUE(RIGHT($AT21,3)),""))</f>
        <v/>
      </c>
      <c r="AZ21">
        <f>IF($U21="","",IFERROR(IF(ISNUMBER($U21),$U21,DATEVALUE(TRIM($U21))),""))</f>
        <v/>
      </c>
      <c r="BA21">
        <f>IF($AZ21="","",IF(MONTH($AZ21)&gt;=12,"Cold Winter",IF(MONTH($AZ21)&gt;=10,"Post-Monsoon",IF(MONTH($AZ21)&gt;=6,"Hot Humid",IF(MONTH($AZ21)&gt;=3,"Hot Dry","Cold Winter")))))</f>
        <v/>
      </c>
      <c r="BB21">
        <f>IF($AU21="","",IFERROR(VLOOKUP($AU21,DECODE!$A$3:$C$8,2,FALSE),"?"))</f>
        <v/>
      </c>
      <c r="BC21">
        <f>IF($P21="","",UPPER(TRIM(LEFT($P21&amp;",",FIND(",",$P21&amp;",")-1))))</f>
        <v/>
      </c>
      <c r="BD21">
        <f>IF($BC21="","",MID($BC21,4,FIND("~",SUBSTITUTE($BC21,"-","~",2))-4))</f>
        <v/>
      </c>
      <c r="BE21">
        <f>IF($BC21="","",MID($BC21,FIND("~",SUBSTITUTE($BC21,"-","~",2))+1,FIND("~",SUBSTITUTE($BC21,"-","~",3))-FIND("~",SUBSTITUTE($BC21,"-","~",2))-1))</f>
        <v/>
      </c>
      <c r="BF21">
        <f>IF($BD21="","",IFERROR(VLOOKUP($BD21,DECODE!$A$3:$C$8,3,FALSE),"?"))</f>
        <v/>
      </c>
      <c r="BG21">
        <f>IF($BE21="","",IFERROR(VLOOKUP($BD21&amp;"-"&amp;$BE21,DECODE!$E$3:$F$21,2,FALSE),"?"))</f>
        <v/>
      </c>
      <c r="BH21">
        <f>IF($BC21="","",IFERROR(VALUE(RIGHT($BC21,3)),""))</f>
        <v/>
      </c>
      <c r="BI21">
        <f>IF($V21="","",IFERROR(IF(ISNUMBER($V21),$V21,DATEVALUE(TRIM($V21))),""))</f>
        <v/>
      </c>
      <c r="BJ21">
        <f>IF($BI21="","",IF(MONTH($BI21)&gt;=12,"Cold Winter",IF(MONTH($BI21)&gt;=10,"Post-Monsoon",IF(MONTH($BI21)&gt;=6,"Hot Humid",IF(MONTH($BI21)&gt;=3,"Hot Dry","Cold Winter")))))</f>
        <v/>
      </c>
      <c r="BK21">
        <f>IF($BD21="","",IFERROR(VLOOKUP($BD21,DECODE!$A$3:$C$8,2,FALSE),"?"))</f>
        <v/>
      </c>
      <c r="BL21">
        <f>IF($Q21="","",UPPER(TRIM(LEFT($Q21&amp;",",FIND(",",$Q21&amp;",")-1))))</f>
        <v/>
      </c>
      <c r="BM21">
        <f>IF($BL21="","",MID($BL21,4,FIND("~",SUBSTITUTE($BL21,"-","~",2))-4))</f>
        <v/>
      </c>
      <c r="BN21">
        <f>IF($BL21="","",MID($BL21,FIND("~",SUBSTITUTE($BL21,"-","~",2))+1,FIND("~",SUBSTITUTE($BL21,"-","~",3))-FIND("~",SUBSTITUTE($BL21,"-","~",2))-1))</f>
        <v/>
      </c>
      <c r="BO21">
        <f>IF($BM21="","",IFERROR(VLOOKUP($BM21,DECODE!$A$3:$C$8,3,FALSE),"?"))</f>
        <v/>
      </c>
      <c r="BP21">
        <f>IF($BN21="","",IFERROR(VLOOKUP($BM21&amp;"-"&amp;$BN21,DECODE!$E$3:$F$21,2,FALSE),"?"))</f>
        <v/>
      </c>
      <c r="BQ21">
        <f>IF($BL21="","",IFERROR(VALUE(RIGHT($BL21,3)),""))</f>
        <v/>
      </c>
      <c r="BR21">
        <f>IF($W21="","",IFERROR(IF(ISNUMBER($W21),$W21,DATEVALUE(TRIM($W21))),""))</f>
        <v/>
      </c>
      <c r="BS21">
        <f>IF($BR21="","",IF(MONTH($BR21)&gt;=12,"Cold Winter",IF(MONTH($BR21)&gt;=10,"Post-Monsoon",IF(MONTH($BR21)&gt;=6,"Hot Humid",IF(MONTH($BR21)&gt;=3,"Hot Dry","Cold Winter")))))</f>
        <v/>
      </c>
      <c r="BT21">
        <f>IF($BM21="","",IFERROR(VLOOKUP($BM21,DECODE!$A$3:$C$8,2,FALSE),"?"))</f>
        <v/>
      </c>
      <c r="BU21">
        <f>IF($R21="","",UPPER(TRIM(LEFT($R21&amp;",",FIND(",",$R21&amp;",")-1))))</f>
        <v/>
      </c>
      <c r="BV21">
        <f>IF($BU21="","",MID($BU21,4,FIND("~",SUBSTITUTE($BU21,"-","~",2))-4))</f>
        <v/>
      </c>
      <c r="BW21">
        <f>IF($BU21="","",MID($BU21,FIND("~",SUBSTITUTE($BU21,"-","~",2))+1,FIND("~",SUBSTITUTE($BU21,"-","~",3))-FIND("~",SUBSTITUTE($BU21,"-","~",2))-1))</f>
        <v/>
      </c>
      <c r="BX21">
        <f>IF($BV21="","",IFERROR(VLOOKUP($BV21,DECODE!$A$3:$C$8,3,FALSE),"?"))</f>
        <v/>
      </c>
      <c r="BY21">
        <f>IF($BW21="","",IFERROR(VLOOKUP($BV21&amp;"-"&amp;$BW21,DECODE!$E$3:$F$21,2,FALSE),"?"))</f>
        <v/>
      </c>
      <c r="BZ21">
        <f>IF($BU21="","",IFERROR(VALUE(RIGHT($BU21,3)),""))</f>
        <v/>
      </c>
      <c r="CA21">
        <f>IF($X21="","",IFERROR(IF(ISNUMBER($X21),$X21,DATEVALUE(TRIM($X21))),""))</f>
        <v/>
      </c>
      <c r="CB21">
        <f>IF($CA21="","",IF(MONTH($CA21)&gt;=12,"Cold Winter",IF(MONTH($CA21)&gt;=10,"Post-Monsoon",IF(MONTH($CA21)&gt;=6,"Hot Humid",IF(MONTH($CA21)&gt;=3,"Hot Dry","Cold Winter")))))</f>
        <v/>
      </c>
      <c r="CC21">
        <f>IF($BV21="","",IFERROR(VLOOKUP($BV21,DECODE!$A$3:$C$8,2,FALSE),"?"))</f>
        <v/>
      </c>
      <c r="CD21">
        <f>IF($S21="","",UPPER(TRIM(LEFT($S21&amp;",",FIND(",",$S21&amp;",")-1))))</f>
        <v/>
      </c>
      <c r="CE21">
        <f>IF($CD21="","",MID($CD21,4,FIND("~",SUBSTITUTE($CD21,"-","~",2))-4))</f>
        <v/>
      </c>
      <c r="CF21">
        <f>IF($CD21="","",MID($CD21,FIND("~",SUBSTITUTE($CD21,"-","~",2))+1,FIND("~",SUBSTITUTE($CD21,"-","~",3))-FIND("~",SUBSTITUTE($CD21,"-","~",2))-1))</f>
        <v/>
      </c>
      <c r="CG21">
        <f>IF($CE21="","",IFERROR(VLOOKUP($CE21,DECODE!$A$3:$C$8,3,FALSE),"?"))</f>
        <v/>
      </c>
      <c r="CH21">
        <f>IF($CF21="","",IFERROR(VLOOKUP($CE21&amp;"-"&amp;$CF21,DECODE!$E$3:$F$21,2,FALSE),"?"))</f>
        <v/>
      </c>
      <c r="CI21">
        <f>IF($CD21="","",IFERROR(VALUE(RIGHT($CD21,3)),""))</f>
        <v/>
      </c>
      <c r="CJ21">
        <f>IF($Y21="","",IFERROR(IF(ISNUMBER($Y21),$Y21,DATEVALUE(TRIM($Y21))),""))</f>
        <v/>
      </c>
      <c r="CK21">
        <f>IF($CJ21="","",IF(MONTH($CJ21)&gt;=12,"Cold Winter",IF(MONTH($CJ21)&gt;=10,"Post-Monsoon",IF(MONTH($CJ21)&gt;=6,"Hot Humid",IF(MONTH($CJ21)&gt;=3,"Hot Dry","Cold Winter")))))</f>
        <v/>
      </c>
      <c r="CL21">
        <f>IF($CE21="","",IFERROR(VLOOKUP($CE21,DECODE!$A$3:$C$8,2,FALSE),"?"))</f>
        <v/>
      </c>
      <c r="CM21">
        <f>IF($AN21="","",AN21)</f>
        <v/>
      </c>
      <c r="CN21">
        <f>IF($AO21="","",AO21)</f>
        <v/>
      </c>
      <c r="CO21">
        <f>IF($AP21="","",AP21)</f>
        <v/>
      </c>
      <c r="CP21">
        <f>IF($CM21="","",IF($CM21="Aloe Vera Gel","Aloe Vera Gel "&amp;$CO21&amp;"g",CN21&amp;" "&amp;$CO21&amp;"g"))</f>
        <v/>
      </c>
      <c r="CQ21">
        <f>IF($AT21="",0,1)</f>
        <v/>
      </c>
      <c r="CR21">
        <f>IF($CQ21=0,"",AW21)</f>
        <v/>
      </c>
      <c r="CS21">
        <f>IF($CQ21=0,"",AX21)</f>
        <v/>
      </c>
      <c r="CT21">
        <f>IF($CQ21=0,"",AY21)</f>
        <v/>
      </c>
      <c r="CU21">
        <f>IF($CR21="","",IF($CR21="Aloe Vera Gel","Aloe Vera Gel "&amp;$CT21&amp;"g",CS21&amp;" "&amp;$CT21&amp;"g"))</f>
        <v/>
      </c>
      <c r="CV21">
        <f>IF($CQ21=0,"",IF($CP21=$CU21,"Repeat Exact",IF($CT21&gt;$CO21,"Upsized",IF($CT21&lt;$CO21,"Downsized",IF($CM21&lt;&gt;$CR21,"Lateral","Same Size Diff Variant")))))</f>
        <v/>
      </c>
      <c r="CW21">
        <f>IF($CQ21=0,"",AZ21-AQ21)</f>
        <v/>
      </c>
      <c r="CX21">
        <f>IF($CQ21=0,0,IF(CS21=CN21,1,0))</f>
        <v/>
      </c>
      <c r="CY21">
        <f>IF($CQ21=0,0,IF(CR21=CM21,1,0))</f>
        <v/>
      </c>
      <c r="CZ21">
        <f>IF($A21="","",IF(AND(IF(DASHBOARD!$C$4="All",TRUE,$CM21=DASHBOARD!$C$4),IF(DASHBOARD!$C$6="All",TRUE,$CP21=DASHBOARD!$C$6),IF(DASHBOARD!$C$8="All",TRUE,$AF21&gt;=DASHBOARD!$C$8),IF(DASHBOARD!$C$10="All",TRUE,$AF21&lt;=DASHBOARD!$C$10),IF(DASHBOARD!$C$12="All",TRUE,$AH21=VALUE(DASHBOARD!$C$12)),IF(DASHBOARD!$C$14="All",TRUE,$AJ21=DASHBOARD!$C$14)),1,0))</f>
        <v/>
      </c>
    </row>
    <row r="22">
      <c r="A22" t="n">
        <v>31291</v>
      </c>
      <c r="B22" t="inlineStr">
        <is>
          <t>Face Malai</t>
        </is>
      </c>
      <c r="C22" t="inlineStr">
        <is>
          <t>Active Gel</t>
        </is>
      </c>
      <c r="D22" t="inlineStr">
        <is>
          <t>Face Malai</t>
        </is>
      </c>
      <c r="E22" t="inlineStr">
        <is>
          <t>Active Gel</t>
        </is>
      </c>
      <c r="F22" t="inlineStr">
        <is>
          <t>Active Gel</t>
        </is>
      </c>
      <c r="H22" t="inlineStr">
        <is>
          <t>Cocoa Mogra (Overnight) Face Malai - 30g</t>
        </is>
      </c>
      <c r="I22" t="inlineStr">
        <is>
          <t>Active Orange Kiwi Vit-C Gel</t>
        </is>
      </c>
      <c r="J22" t="inlineStr">
        <is>
          <t>Flax Walnut (Cold) 35+ Face Malai</t>
        </is>
      </c>
      <c r="K22" t="inlineStr">
        <is>
          <t>Active Orange Kiwi Vit-C Gel</t>
        </is>
      </c>
      <c r="L22" t="inlineStr">
        <is>
          <t>Active Orange Kiwi Vit-C Gel</t>
        </is>
      </c>
      <c r="N22" t="inlineStr">
        <is>
          <t>FC-DM-NR-030</t>
        </is>
      </c>
      <c r="O22" t="inlineStr">
        <is>
          <t>FC-AC-OK-050</t>
        </is>
      </c>
      <c r="P22" t="inlineStr">
        <is>
          <t>FC-CWDM-FW-030</t>
        </is>
      </c>
      <c r="Q22" t="inlineStr">
        <is>
          <t>FC-AC-OK-050</t>
        </is>
      </c>
      <c r="R22" t="inlineStr">
        <is>
          <t>FC-AC-OK-050</t>
        </is>
      </c>
      <c r="T22" t="inlineStr">
        <is>
          <t>Oct 6, 2024</t>
        </is>
      </c>
      <c r="U22" t="inlineStr">
        <is>
          <t>Oct 12, 2024</t>
        </is>
      </c>
      <c r="V22" t="inlineStr">
        <is>
          <t>Dec 8, 2024</t>
        </is>
      </c>
      <c r="W22" t="inlineStr">
        <is>
          <t>Feb 11, 2025</t>
        </is>
      </c>
      <c r="X22" t="inlineStr">
        <is>
          <t>Feb 6, 2026</t>
        </is>
      </c>
      <c r="Z22" t="n">
        <v>6</v>
      </c>
      <c r="AA22" t="n">
        <v>57</v>
      </c>
      <c r="AB22" t="n">
        <v>65</v>
      </c>
      <c r="AC22" t="n">
        <v>360</v>
      </c>
      <c r="AE22" t="inlineStr">
        <is>
          <t>Gautam Buddha Nagar</t>
        </is>
      </c>
      <c r="AF22" t="inlineStr">
        <is>
          <t>2024-10</t>
        </is>
      </c>
      <c r="AG22" t="n">
        <v>10</v>
      </c>
      <c r="AH22" t="n">
        <v>5</v>
      </c>
      <c r="AI22" t="n">
        <v>1</v>
      </c>
      <c r="AJ22">
        <f>IF($AE22="","",IFERROR(VLOOKUP(TRIM($AE22),DECODE!$H$3:$I$60,2,FALSE),"Rest of India"))</f>
        <v/>
      </c>
      <c r="AK22">
        <f>IF($N22="","",UPPER(TRIM(LEFT($N22&amp;",",FIND(",",$N22&amp;",")-1))))</f>
        <v/>
      </c>
      <c r="AL22">
        <f>IF($AK22="","",MID($AK22,4,FIND("~",SUBSTITUTE($AK22,"-","~",2))-4))</f>
        <v/>
      </c>
      <c r="AM22">
        <f>IF($AK22="","",MID($AK22,FIND("~",SUBSTITUTE($AK22,"-","~",2))+1,FIND("~",SUBSTITUTE($AK22,"-","~",3))-FIND("~",SUBSTITUTE($AK22,"-","~",2))-1))</f>
        <v/>
      </c>
      <c r="AN22">
        <f>IF($AL22="","",IFERROR(VLOOKUP($AL22,DECODE!$A$3:$C$8,3,FALSE),"?"))</f>
        <v/>
      </c>
      <c r="AO22">
        <f>IF($AM22="","",IFERROR(VLOOKUP($AL22&amp;"-"&amp;$AM22,DECODE!$E$3:$F$21,2,FALSE),"?"))</f>
        <v/>
      </c>
      <c r="AP22">
        <f>IF($AK22="","",IFERROR(VALUE(RIGHT($AK22,3)),""))</f>
        <v/>
      </c>
      <c r="AQ22">
        <f>IF($T22="","",IFERROR(IF(ISNUMBER($T22),$T22,DATEVALUE(TRIM($T22))),""))</f>
        <v/>
      </c>
      <c r="AR22">
        <f>IF($AQ22="","",IF(MONTH($AQ22)&gt;=12,"Cold Winter",IF(MONTH($AQ22)&gt;=10,"Post-Monsoon",IF(MONTH($AQ22)&gt;=6,"Hot Humid",IF(MONTH($AQ22)&gt;=3,"Hot Dry","Cold Winter")))))</f>
        <v/>
      </c>
      <c r="AS22">
        <f>IF($AL22="","",IFERROR(VLOOKUP($AL22,DECODE!$A$3:$C$8,2,FALSE),"?"))</f>
        <v/>
      </c>
      <c r="AT22">
        <f>IF($O22="","",UPPER(TRIM(LEFT($O22&amp;",",FIND(",",$O22&amp;",")-1))))</f>
        <v/>
      </c>
      <c r="AU22">
        <f>IF($AT22="","",MID($AT22,4,FIND("~",SUBSTITUTE($AT22,"-","~",2))-4))</f>
        <v/>
      </c>
      <c r="AV22">
        <f>IF($AT22="","",MID($AT22,FIND("~",SUBSTITUTE($AT22,"-","~",2))+1,FIND("~",SUBSTITUTE($AT22,"-","~",3))-FIND("~",SUBSTITUTE($AT22,"-","~",2))-1))</f>
        <v/>
      </c>
      <c r="AW22">
        <f>IF($AU22="","",IFERROR(VLOOKUP($AU22,DECODE!$A$3:$C$8,3,FALSE),"?"))</f>
        <v/>
      </c>
      <c r="AX22">
        <f>IF($AV22="","",IFERROR(VLOOKUP($AU22&amp;"-"&amp;$AV22,DECODE!$E$3:$F$21,2,FALSE),"?"))</f>
        <v/>
      </c>
      <c r="AY22">
        <f>IF($AT22="","",IFERROR(VALUE(RIGHT($AT22,3)),""))</f>
        <v/>
      </c>
      <c r="AZ22">
        <f>IF($U22="","",IFERROR(IF(ISNUMBER($U22),$U22,DATEVALUE(TRIM($U22))),""))</f>
        <v/>
      </c>
      <c r="BA22">
        <f>IF($AZ22="","",IF(MONTH($AZ22)&gt;=12,"Cold Winter",IF(MONTH($AZ22)&gt;=10,"Post-Monsoon",IF(MONTH($AZ22)&gt;=6,"Hot Humid",IF(MONTH($AZ22)&gt;=3,"Hot Dry","Cold Winter")))))</f>
        <v/>
      </c>
      <c r="BB22">
        <f>IF($AU22="","",IFERROR(VLOOKUP($AU22,DECODE!$A$3:$C$8,2,FALSE),"?"))</f>
        <v/>
      </c>
      <c r="BC22">
        <f>IF($P22="","",UPPER(TRIM(LEFT($P22&amp;",",FIND(",",$P22&amp;",")-1))))</f>
        <v/>
      </c>
      <c r="BD22">
        <f>IF($BC22="","",MID($BC22,4,FIND("~",SUBSTITUTE($BC22,"-","~",2))-4))</f>
        <v/>
      </c>
      <c r="BE22">
        <f>IF($BC22="","",MID($BC22,FIND("~",SUBSTITUTE($BC22,"-","~",2))+1,FIND("~",SUBSTITUTE($BC22,"-","~",3))-FIND("~",SUBSTITUTE($BC22,"-","~",2))-1))</f>
        <v/>
      </c>
      <c r="BF22">
        <f>IF($BD22="","",IFERROR(VLOOKUP($BD22,DECODE!$A$3:$C$8,3,FALSE),"?"))</f>
        <v/>
      </c>
      <c r="BG22">
        <f>IF($BE22="","",IFERROR(VLOOKUP($BD22&amp;"-"&amp;$BE22,DECODE!$E$3:$F$21,2,FALSE),"?"))</f>
        <v/>
      </c>
      <c r="BH22">
        <f>IF($BC22="","",IFERROR(VALUE(RIGHT($BC22,3)),""))</f>
        <v/>
      </c>
      <c r="BI22">
        <f>IF($V22="","",IFERROR(IF(ISNUMBER($V22),$V22,DATEVALUE(TRIM($V22))),""))</f>
        <v/>
      </c>
      <c r="BJ22">
        <f>IF($BI22="","",IF(MONTH($BI22)&gt;=12,"Cold Winter",IF(MONTH($BI22)&gt;=10,"Post-Monsoon",IF(MONTH($BI22)&gt;=6,"Hot Humid",IF(MONTH($BI22)&gt;=3,"Hot Dry","Cold Winter")))))</f>
        <v/>
      </c>
      <c r="BK22">
        <f>IF($BD22="","",IFERROR(VLOOKUP($BD22,DECODE!$A$3:$C$8,2,FALSE),"?"))</f>
        <v/>
      </c>
      <c r="BL22">
        <f>IF($Q22="","",UPPER(TRIM(LEFT($Q22&amp;",",FIND(",",$Q22&amp;",")-1))))</f>
        <v/>
      </c>
      <c r="BM22">
        <f>IF($BL22="","",MID($BL22,4,FIND("~",SUBSTITUTE($BL22,"-","~",2))-4))</f>
        <v/>
      </c>
      <c r="BN22">
        <f>IF($BL22="","",MID($BL22,FIND("~",SUBSTITUTE($BL22,"-","~",2))+1,FIND("~",SUBSTITUTE($BL22,"-","~",3))-FIND("~",SUBSTITUTE($BL22,"-","~",2))-1))</f>
        <v/>
      </c>
      <c r="BO22">
        <f>IF($BM22="","",IFERROR(VLOOKUP($BM22,DECODE!$A$3:$C$8,3,FALSE),"?"))</f>
        <v/>
      </c>
      <c r="BP22">
        <f>IF($BN22="","",IFERROR(VLOOKUP($BM22&amp;"-"&amp;$BN22,DECODE!$E$3:$F$21,2,FALSE),"?"))</f>
        <v/>
      </c>
      <c r="BQ22">
        <f>IF($BL22="","",IFERROR(VALUE(RIGHT($BL22,3)),""))</f>
        <v/>
      </c>
      <c r="BR22">
        <f>IF($W22="","",IFERROR(IF(ISNUMBER($W22),$W22,DATEVALUE(TRIM($W22))),""))</f>
        <v/>
      </c>
      <c r="BS22">
        <f>IF($BR22="","",IF(MONTH($BR22)&gt;=12,"Cold Winter",IF(MONTH($BR22)&gt;=10,"Post-Monsoon",IF(MONTH($BR22)&gt;=6,"Hot Humid",IF(MONTH($BR22)&gt;=3,"Hot Dry","Cold Winter")))))</f>
        <v/>
      </c>
      <c r="BT22">
        <f>IF($BM22="","",IFERROR(VLOOKUP($BM22,DECODE!$A$3:$C$8,2,FALSE),"?"))</f>
        <v/>
      </c>
      <c r="BU22">
        <f>IF($R22="","",UPPER(TRIM(LEFT($R22&amp;",",FIND(",",$R22&amp;",")-1))))</f>
        <v/>
      </c>
      <c r="BV22">
        <f>IF($BU22="","",MID($BU22,4,FIND("~",SUBSTITUTE($BU22,"-","~",2))-4))</f>
        <v/>
      </c>
      <c r="BW22">
        <f>IF($BU22="","",MID($BU22,FIND("~",SUBSTITUTE($BU22,"-","~",2))+1,FIND("~",SUBSTITUTE($BU22,"-","~",3))-FIND("~",SUBSTITUTE($BU22,"-","~",2))-1))</f>
        <v/>
      </c>
      <c r="BX22">
        <f>IF($BV22="","",IFERROR(VLOOKUP($BV22,DECODE!$A$3:$C$8,3,FALSE),"?"))</f>
        <v/>
      </c>
      <c r="BY22">
        <f>IF($BW22="","",IFERROR(VLOOKUP($BV22&amp;"-"&amp;$BW22,DECODE!$E$3:$F$21,2,FALSE),"?"))</f>
        <v/>
      </c>
      <c r="BZ22">
        <f>IF($BU22="","",IFERROR(VALUE(RIGHT($BU22,3)),""))</f>
        <v/>
      </c>
      <c r="CA22">
        <f>IF($X22="","",IFERROR(IF(ISNUMBER($X22),$X22,DATEVALUE(TRIM($X22))),""))</f>
        <v/>
      </c>
      <c r="CB22">
        <f>IF($CA22="","",IF(MONTH($CA22)&gt;=12,"Cold Winter",IF(MONTH($CA22)&gt;=10,"Post-Monsoon",IF(MONTH($CA22)&gt;=6,"Hot Humid",IF(MONTH($CA22)&gt;=3,"Hot Dry","Cold Winter")))))</f>
        <v/>
      </c>
      <c r="CC22">
        <f>IF($BV22="","",IFERROR(VLOOKUP($BV22,DECODE!$A$3:$C$8,2,FALSE),"?"))</f>
        <v/>
      </c>
      <c r="CD22">
        <f>IF($S22="","",UPPER(TRIM(LEFT($S22&amp;",",FIND(",",$S22&amp;",")-1))))</f>
        <v/>
      </c>
      <c r="CE22">
        <f>IF($CD22="","",MID($CD22,4,FIND("~",SUBSTITUTE($CD22,"-","~",2))-4))</f>
        <v/>
      </c>
      <c r="CF22">
        <f>IF($CD22="","",MID($CD22,FIND("~",SUBSTITUTE($CD22,"-","~",2))+1,FIND("~",SUBSTITUTE($CD22,"-","~",3))-FIND("~",SUBSTITUTE($CD22,"-","~",2))-1))</f>
        <v/>
      </c>
      <c r="CG22">
        <f>IF($CE22="","",IFERROR(VLOOKUP($CE22,DECODE!$A$3:$C$8,3,FALSE),"?"))</f>
        <v/>
      </c>
      <c r="CH22">
        <f>IF($CF22="","",IFERROR(VLOOKUP($CE22&amp;"-"&amp;$CF22,DECODE!$E$3:$F$21,2,FALSE),"?"))</f>
        <v/>
      </c>
      <c r="CI22">
        <f>IF($CD22="","",IFERROR(VALUE(RIGHT($CD22,3)),""))</f>
        <v/>
      </c>
      <c r="CJ22">
        <f>IF($Y22="","",IFERROR(IF(ISNUMBER($Y22),$Y22,DATEVALUE(TRIM($Y22))),""))</f>
        <v/>
      </c>
      <c r="CK22">
        <f>IF($CJ22="","",IF(MONTH($CJ22)&gt;=12,"Cold Winter",IF(MONTH($CJ22)&gt;=10,"Post-Monsoon",IF(MONTH($CJ22)&gt;=6,"Hot Humid",IF(MONTH($CJ22)&gt;=3,"Hot Dry","Cold Winter")))))</f>
        <v/>
      </c>
      <c r="CL22">
        <f>IF($CE22="","",IFERROR(VLOOKUP($CE22,DECODE!$A$3:$C$8,2,FALSE),"?"))</f>
        <v/>
      </c>
      <c r="CM22">
        <f>IF($AN22="","",AN22)</f>
        <v/>
      </c>
      <c r="CN22">
        <f>IF($AO22="","",AO22)</f>
        <v/>
      </c>
      <c r="CO22">
        <f>IF($AP22="","",AP22)</f>
        <v/>
      </c>
      <c r="CP22">
        <f>IF($CM22="","",IF($CM22="Aloe Vera Gel","Aloe Vera Gel "&amp;$CO22&amp;"g",CN22&amp;" "&amp;$CO22&amp;"g"))</f>
        <v/>
      </c>
      <c r="CQ22">
        <f>IF($AT22="",0,1)</f>
        <v/>
      </c>
      <c r="CR22">
        <f>IF($CQ22=0,"",AW22)</f>
        <v/>
      </c>
      <c r="CS22">
        <f>IF($CQ22=0,"",AX22)</f>
        <v/>
      </c>
      <c r="CT22">
        <f>IF($CQ22=0,"",AY22)</f>
        <v/>
      </c>
      <c r="CU22">
        <f>IF($CR22="","",IF($CR22="Aloe Vera Gel","Aloe Vera Gel "&amp;$CT22&amp;"g",CS22&amp;" "&amp;$CT22&amp;"g"))</f>
        <v/>
      </c>
      <c r="CV22">
        <f>IF($CQ22=0,"",IF($CP22=$CU22,"Repeat Exact",IF($CT22&gt;$CO22,"Upsized",IF($CT22&lt;$CO22,"Downsized",IF($CM22&lt;&gt;$CR22,"Lateral","Same Size Diff Variant")))))</f>
        <v/>
      </c>
      <c r="CW22">
        <f>IF($CQ22=0,"",AZ22-AQ22)</f>
        <v/>
      </c>
      <c r="CX22">
        <f>IF($CQ22=0,0,IF(CS22=CN22,1,0))</f>
        <v/>
      </c>
      <c r="CY22">
        <f>IF($CQ22=0,0,IF(CR22=CM22,1,0))</f>
        <v/>
      </c>
      <c r="CZ22">
        <f>IF($A22="","",IF(AND(IF(DASHBOARD!$C$4="All",TRUE,$CM22=DASHBOARD!$C$4),IF(DASHBOARD!$C$6="All",TRUE,$CP22=DASHBOARD!$C$6),IF(DASHBOARD!$C$8="All",TRUE,$AF22&gt;=DASHBOARD!$C$8),IF(DASHBOARD!$C$10="All",TRUE,$AF22&lt;=DASHBOARD!$C$10),IF(DASHBOARD!$C$12="All",TRUE,$AH22=VALUE(DASHBOARD!$C$12)),IF(DASHBOARD!$C$14="All",TRUE,$AJ22=DASHBOARD!$C$14)),1,0))</f>
        <v/>
      </c>
    </row>
    <row r="23">
      <c r="A23" t="n">
        <v>31470</v>
      </c>
      <c r="B23" t="inlineStr">
        <is>
          <t>Face Malai</t>
        </is>
      </c>
      <c r="H23" t="inlineStr">
        <is>
          <t>Turmeric Nutmeg (Pigmentation)  Face Malai - 30g</t>
        </is>
      </c>
      <c r="N23" t="inlineStr">
        <is>
          <t>FC-DM-PG-030</t>
        </is>
      </c>
      <c r="T23" t="inlineStr">
        <is>
          <t>Feb 5, 2025</t>
        </is>
      </c>
      <c r="AE23" t="inlineStr">
        <is>
          <t>Bengaluru</t>
        </is>
      </c>
      <c r="AF23" t="inlineStr">
        <is>
          <t>2025-02</t>
        </is>
      </c>
      <c r="AG23" t="n">
        <v>2</v>
      </c>
      <c r="AH23" t="n">
        <v>1</v>
      </c>
      <c r="AI23" t="n">
        <v>0</v>
      </c>
      <c r="AJ23">
        <f>IF($AE23="","",IFERROR(VLOOKUP(TRIM($AE23),DECODE!$H$3:$I$60,2,FALSE),"Rest of India"))</f>
        <v/>
      </c>
      <c r="AK23">
        <f>IF($N23="","",UPPER(TRIM(LEFT($N23&amp;",",FIND(",",$N23&amp;",")-1))))</f>
        <v/>
      </c>
      <c r="AL23">
        <f>IF($AK23="","",MID($AK23,4,FIND("~",SUBSTITUTE($AK23,"-","~",2))-4))</f>
        <v/>
      </c>
      <c r="AM23">
        <f>IF($AK23="","",MID($AK23,FIND("~",SUBSTITUTE($AK23,"-","~",2))+1,FIND("~",SUBSTITUTE($AK23,"-","~",3))-FIND("~",SUBSTITUTE($AK23,"-","~",2))-1))</f>
        <v/>
      </c>
      <c r="AN23">
        <f>IF($AL23="","",IFERROR(VLOOKUP($AL23,DECODE!$A$3:$C$8,3,FALSE),"?"))</f>
        <v/>
      </c>
      <c r="AO23">
        <f>IF($AM23="","",IFERROR(VLOOKUP($AL23&amp;"-"&amp;$AM23,DECODE!$E$3:$F$21,2,FALSE),"?"))</f>
        <v/>
      </c>
      <c r="AP23">
        <f>IF($AK23="","",IFERROR(VALUE(RIGHT($AK23,3)),""))</f>
        <v/>
      </c>
      <c r="AQ23">
        <f>IF($T23="","",IFERROR(IF(ISNUMBER($T23),$T23,DATEVALUE(TRIM($T23))),""))</f>
        <v/>
      </c>
      <c r="AR23">
        <f>IF($AQ23="","",IF(MONTH($AQ23)&gt;=12,"Cold Winter",IF(MONTH($AQ23)&gt;=10,"Post-Monsoon",IF(MONTH($AQ23)&gt;=6,"Hot Humid",IF(MONTH($AQ23)&gt;=3,"Hot Dry","Cold Winter")))))</f>
        <v/>
      </c>
      <c r="AS23">
        <f>IF($AL23="","",IFERROR(VLOOKUP($AL23,DECODE!$A$3:$C$8,2,FALSE),"?"))</f>
        <v/>
      </c>
      <c r="AT23">
        <f>IF($O23="","",UPPER(TRIM(LEFT($O23&amp;",",FIND(",",$O23&amp;",")-1))))</f>
        <v/>
      </c>
      <c r="AU23">
        <f>IF($AT23="","",MID($AT23,4,FIND("~",SUBSTITUTE($AT23,"-","~",2))-4))</f>
        <v/>
      </c>
      <c r="AV23">
        <f>IF($AT23="","",MID($AT23,FIND("~",SUBSTITUTE($AT23,"-","~",2))+1,FIND("~",SUBSTITUTE($AT23,"-","~",3))-FIND("~",SUBSTITUTE($AT23,"-","~",2))-1))</f>
        <v/>
      </c>
      <c r="AW23">
        <f>IF($AU23="","",IFERROR(VLOOKUP($AU23,DECODE!$A$3:$C$8,3,FALSE),"?"))</f>
        <v/>
      </c>
      <c r="AX23">
        <f>IF($AV23="","",IFERROR(VLOOKUP($AU23&amp;"-"&amp;$AV23,DECODE!$E$3:$F$21,2,FALSE),"?"))</f>
        <v/>
      </c>
      <c r="AY23">
        <f>IF($AT23="","",IFERROR(VALUE(RIGHT($AT23,3)),""))</f>
        <v/>
      </c>
      <c r="AZ23">
        <f>IF($U23="","",IFERROR(IF(ISNUMBER($U23),$U23,DATEVALUE(TRIM($U23))),""))</f>
        <v/>
      </c>
      <c r="BA23">
        <f>IF($AZ23="","",IF(MONTH($AZ23)&gt;=12,"Cold Winter",IF(MONTH($AZ23)&gt;=10,"Post-Monsoon",IF(MONTH($AZ23)&gt;=6,"Hot Humid",IF(MONTH($AZ23)&gt;=3,"Hot Dry","Cold Winter")))))</f>
        <v/>
      </c>
      <c r="BB23">
        <f>IF($AU23="","",IFERROR(VLOOKUP($AU23,DECODE!$A$3:$C$8,2,FALSE),"?"))</f>
        <v/>
      </c>
      <c r="BC23">
        <f>IF($P23="","",UPPER(TRIM(LEFT($P23&amp;",",FIND(",",$P23&amp;",")-1))))</f>
        <v/>
      </c>
      <c r="BD23">
        <f>IF($BC23="","",MID($BC23,4,FIND("~",SUBSTITUTE($BC23,"-","~",2))-4))</f>
        <v/>
      </c>
      <c r="BE23">
        <f>IF($BC23="","",MID($BC23,FIND("~",SUBSTITUTE($BC23,"-","~",2))+1,FIND("~",SUBSTITUTE($BC23,"-","~",3))-FIND("~",SUBSTITUTE($BC23,"-","~",2))-1))</f>
        <v/>
      </c>
      <c r="BF23">
        <f>IF($BD23="","",IFERROR(VLOOKUP($BD23,DECODE!$A$3:$C$8,3,FALSE),"?"))</f>
        <v/>
      </c>
      <c r="BG23">
        <f>IF($BE23="","",IFERROR(VLOOKUP($BD23&amp;"-"&amp;$BE23,DECODE!$E$3:$F$21,2,FALSE),"?"))</f>
        <v/>
      </c>
      <c r="BH23">
        <f>IF($BC23="","",IFERROR(VALUE(RIGHT($BC23,3)),""))</f>
        <v/>
      </c>
      <c r="BI23">
        <f>IF($V23="","",IFERROR(IF(ISNUMBER($V23),$V23,DATEVALUE(TRIM($V23))),""))</f>
        <v/>
      </c>
      <c r="BJ23">
        <f>IF($BI23="","",IF(MONTH($BI23)&gt;=12,"Cold Winter",IF(MONTH($BI23)&gt;=10,"Post-Monsoon",IF(MONTH($BI23)&gt;=6,"Hot Humid",IF(MONTH($BI23)&gt;=3,"Hot Dry","Cold Winter")))))</f>
        <v/>
      </c>
      <c r="BK23">
        <f>IF($BD23="","",IFERROR(VLOOKUP($BD23,DECODE!$A$3:$C$8,2,FALSE),"?"))</f>
        <v/>
      </c>
      <c r="BL23">
        <f>IF($Q23="","",UPPER(TRIM(LEFT($Q23&amp;",",FIND(",",$Q23&amp;",")-1))))</f>
        <v/>
      </c>
      <c r="BM23">
        <f>IF($BL23="","",MID($BL23,4,FIND("~",SUBSTITUTE($BL23,"-","~",2))-4))</f>
        <v/>
      </c>
      <c r="BN23">
        <f>IF($BL23="","",MID($BL23,FIND("~",SUBSTITUTE($BL23,"-","~",2))+1,FIND("~",SUBSTITUTE($BL23,"-","~",3))-FIND("~",SUBSTITUTE($BL23,"-","~",2))-1))</f>
        <v/>
      </c>
      <c r="BO23">
        <f>IF($BM23="","",IFERROR(VLOOKUP($BM23,DECODE!$A$3:$C$8,3,FALSE),"?"))</f>
        <v/>
      </c>
      <c r="BP23">
        <f>IF($BN23="","",IFERROR(VLOOKUP($BM23&amp;"-"&amp;$BN23,DECODE!$E$3:$F$21,2,FALSE),"?"))</f>
        <v/>
      </c>
      <c r="BQ23">
        <f>IF($BL23="","",IFERROR(VALUE(RIGHT($BL23,3)),""))</f>
        <v/>
      </c>
      <c r="BR23">
        <f>IF($W23="","",IFERROR(IF(ISNUMBER($W23),$W23,DATEVALUE(TRIM($W23))),""))</f>
        <v/>
      </c>
      <c r="BS23">
        <f>IF($BR23="","",IF(MONTH($BR23)&gt;=12,"Cold Winter",IF(MONTH($BR23)&gt;=10,"Post-Monsoon",IF(MONTH($BR23)&gt;=6,"Hot Humid",IF(MONTH($BR23)&gt;=3,"Hot Dry","Cold Winter")))))</f>
        <v/>
      </c>
      <c r="BT23">
        <f>IF($BM23="","",IFERROR(VLOOKUP($BM23,DECODE!$A$3:$C$8,2,FALSE),"?"))</f>
        <v/>
      </c>
      <c r="BU23">
        <f>IF($R23="","",UPPER(TRIM(LEFT($R23&amp;",",FIND(",",$R23&amp;",")-1))))</f>
        <v/>
      </c>
      <c r="BV23">
        <f>IF($BU23="","",MID($BU23,4,FIND("~",SUBSTITUTE($BU23,"-","~",2))-4))</f>
        <v/>
      </c>
      <c r="BW23">
        <f>IF($BU23="","",MID($BU23,FIND("~",SUBSTITUTE($BU23,"-","~",2))+1,FIND("~",SUBSTITUTE($BU23,"-","~",3))-FIND("~",SUBSTITUTE($BU23,"-","~",2))-1))</f>
        <v/>
      </c>
      <c r="BX23">
        <f>IF($BV23="","",IFERROR(VLOOKUP($BV23,DECODE!$A$3:$C$8,3,FALSE),"?"))</f>
        <v/>
      </c>
      <c r="BY23">
        <f>IF($BW23="","",IFERROR(VLOOKUP($BV23&amp;"-"&amp;$BW23,DECODE!$E$3:$F$21,2,FALSE),"?"))</f>
        <v/>
      </c>
      <c r="BZ23">
        <f>IF($BU23="","",IFERROR(VALUE(RIGHT($BU23,3)),""))</f>
        <v/>
      </c>
      <c r="CA23">
        <f>IF($X23="","",IFERROR(IF(ISNUMBER($X23),$X23,DATEVALUE(TRIM($X23))),""))</f>
        <v/>
      </c>
      <c r="CB23">
        <f>IF($CA23="","",IF(MONTH($CA23)&gt;=12,"Cold Winter",IF(MONTH($CA23)&gt;=10,"Post-Monsoon",IF(MONTH($CA23)&gt;=6,"Hot Humid",IF(MONTH($CA23)&gt;=3,"Hot Dry","Cold Winter")))))</f>
        <v/>
      </c>
      <c r="CC23">
        <f>IF($BV23="","",IFERROR(VLOOKUP($BV23,DECODE!$A$3:$C$8,2,FALSE),"?"))</f>
        <v/>
      </c>
      <c r="CD23">
        <f>IF($S23="","",UPPER(TRIM(LEFT($S23&amp;",",FIND(",",$S23&amp;",")-1))))</f>
        <v/>
      </c>
      <c r="CE23">
        <f>IF($CD23="","",MID($CD23,4,FIND("~",SUBSTITUTE($CD23,"-","~",2))-4))</f>
        <v/>
      </c>
      <c r="CF23">
        <f>IF($CD23="","",MID($CD23,FIND("~",SUBSTITUTE($CD23,"-","~",2))+1,FIND("~",SUBSTITUTE($CD23,"-","~",3))-FIND("~",SUBSTITUTE($CD23,"-","~",2))-1))</f>
        <v/>
      </c>
      <c r="CG23">
        <f>IF($CE23="","",IFERROR(VLOOKUP($CE23,DECODE!$A$3:$C$8,3,FALSE),"?"))</f>
        <v/>
      </c>
      <c r="CH23">
        <f>IF($CF23="","",IFERROR(VLOOKUP($CE23&amp;"-"&amp;$CF23,DECODE!$E$3:$F$21,2,FALSE),"?"))</f>
        <v/>
      </c>
      <c r="CI23">
        <f>IF($CD23="","",IFERROR(VALUE(RIGHT($CD23,3)),""))</f>
        <v/>
      </c>
      <c r="CJ23">
        <f>IF($Y23="","",IFERROR(IF(ISNUMBER($Y23),$Y23,DATEVALUE(TRIM($Y23))),""))</f>
        <v/>
      </c>
      <c r="CK23">
        <f>IF($CJ23="","",IF(MONTH($CJ23)&gt;=12,"Cold Winter",IF(MONTH($CJ23)&gt;=10,"Post-Monsoon",IF(MONTH($CJ23)&gt;=6,"Hot Humid",IF(MONTH($CJ23)&gt;=3,"Hot Dry","Cold Winter")))))</f>
        <v/>
      </c>
      <c r="CL23">
        <f>IF($CE23="","",IFERROR(VLOOKUP($CE23,DECODE!$A$3:$C$8,2,FALSE),"?"))</f>
        <v/>
      </c>
      <c r="CM23">
        <f>IF($AN23="","",AN23)</f>
        <v/>
      </c>
      <c r="CN23">
        <f>IF($AO23="","",AO23)</f>
        <v/>
      </c>
      <c r="CO23">
        <f>IF($AP23="","",AP23)</f>
        <v/>
      </c>
      <c r="CP23">
        <f>IF($CM23="","",IF($CM23="Aloe Vera Gel","Aloe Vera Gel "&amp;$CO23&amp;"g",CN23&amp;" "&amp;$CO23&amp;"g"))</f>
        <v/>
      </c>
      <c r="CQ23">
        <f>IF($AT23="",0,1)</f>
        <v/>
      </c>
      <c r="CR23">
        <f>IF($CQ23=0,"",AW23)</f>
        <v/>
      </c>
      <c r="CS23">
        <f>IF($CQ23=0,"",AX23)</f>
        <v/>
      </c>
      <c r="CT23">
        <f>IF($CQ23=0,"",AY23)</f>
        <v/>
      </c>
      <c r="CU23">
        <f>IF($CR23="","",IF($CR23="Aloe Vera Gel","Aloe Vera Gel "&amp;$CT23&amp;"g",CS23&amp;" "&amp;$CT23&amp;"g"))</f>
        <v/>
      </c>
      <c r="CV23">
        <f>IF($CQ23=0,"",IF($CP23=$CU23,"Repeat Exact",IF($CT23&gt;$CO23,"Upsized",IF($CT23&lt;$CO23,"Downsized",IF($CM23&lt;&gt;$CR23,"Lateral","Same Size Diff Variant")))))</f>
        <v/>
      </c>
      <c r="CW23">
        <f>IF($CQ23=0,"",AZ23-AQ23)</f>
        <v/>
      </c>
      <c r="CX23">
        <f>IF($CQ23=0,0,IF(CS23=CN23,1,0))</f>
        <v/>
      </c>
      <c r="CY23">
        <f>IF($CQ23=0,0,IF(CR23=CM23,1,0))</f>
        <v/>
      </c>
      <c r="CZ23">
        <f>IF($A23="","",IF(AND(IF(DASHBOARD!$C$4="All",TRUE,$CM23=DASHBOARD!$C$4),IF(DASHBOARD!$C$6="All",TRUE,$CP23=DASHBOARD!$C$6),IF(DASHBOARD!$C$8="All",TRUE,$AF23&gt;=DASHBOARD!$C$8),IF(DASHBOARD!$C$10="All",TRUE,$AF23&lt;=DASHBOARD!$C$10),IF(DASHBOARD!$C$12="All",TRUE,$AH23=VALUE(DASHBOARD!$C$12)),IF(DASHBOARD!$C$14="All",TRUE,$AJ23=DASHBOARD!$C$14)),1,0))</f>
        <v/>
      </c>
    </row>
    <row r="24">
      <c r="A24" t="n">
        <v>32145</v>
      </c>
      <c r="B24" t="inlineStr">
        <is>
          <t>Aloe Vera Gel</t>
        </is>
      </c>
      <c r="H24" t="inlineStr">
        <is>
          <t>Aloe Vera Gel - 80 gms</t>
        </is>
      </c>
      <c r="N24" t="inlineStr">
        <is>
          <t>FC-HG-PA-080</t>
        </is>
      </c>
      <c r="T24" t="inlineStr">
        <is>
          <t>Oct 16, 2025</t>
        </is>
      </c>
      <c r="AE24" t="inlineStr">
        <is>
          <t>New Delhi</t>
        </is>
      </c>
      <c r="AF24" t="inlineStr">
        <is>
          <t>2025-10</t>
        </is>
      </c>
      <c r="AG24" t="n">
        <v>10</v>
      </c>
      <c r="AH24" t="n">
        <v>1</v>
      </c>
      <c r="AI24" t="n">
        <v>0</v>
      </c>
      <c r="AJ24">
        <f>IF($AE24="","",IFERROR(VLOOKUP(TRIM($AE24),DECODE!$H$3:$I$60,2,FALSE),"Rest of India"))</f>
        <v/>
      </c>
      <c r="AK24">
        <f>IF($N24="","",UPPER(TRIM(LEFT($N24&amp;",",FIND(",",$N24&amp;",")-1))))</f>
        <v/>
      </c>
      <c r="AL24">
        <f>IF($AK24="","",MID($AK24,4,FIND("~",SUBSTITUTE($AK24,"-","~",2))-4))</f>
        <v/>
      </c>
      <c r="AM24">
        <f>IF($AK24="","",MID($AK24,FIND("~",SUBSTITUTE($AK24,"-","~",2))+1,FIND("~",SUBSTITUTE($AK24,"-","~",3))-FIND("~",SUBSTITUTE($AK24,"-","~",2))-1))</f>
        <v/>
      </c>
      <c r="AN24">
        <f>IF($AL24="","",IFERROR(VLOOKUP($AL24,DECODE!$A$3:$C$8,3,FALSE),"?"))</f>
        <v/>
      </c>
      <c r="AO24">
        <f>IF($AM24="","",IFERROR(VLOOKUP($AL24&amp;"-"&amp;$AM24,DECODE!$E$3:$F$21,2,FALSE),"?"))</f>
        <v/>
      </c>
      <c r="AP24">
        <f>IF($AK24="","",IFERROR(VALUE(RIGHT($AK24,3)),""))</f>
        <v/>
      </c>
      <c r="AQ24">
        <f>IF($T24="","",IFERROR(IF(ISNUMBER($T24),$T24,DATEVALUE(TRIM($T24))),""))</f>
        <v/>
      </c>
      <c r="AR24">
        <f>IF($AQ24="","",IF(MONTH($AQ24)&gt;=12,"Cold Winter",IF(MONTH($AQ24)&gt;=10,"Post-Monsoon",IF(MONTH($AQ24)&gt;=6,"Hot Humid",IF(MONTH($AQ24)&gt;=3,"Hot Dry","Cold Winter")))))</f>
        <v/>
      </c>
      <c r="AS24">
        <f>IF($AL24="","",IFERROR(VLOOKUP($AL24,DECODE!$A$3:$C$8,2,FALSE),"?"))</f>
        <v/>
      </c>
      <c r="AT24">
        <f>IF($O24="","",UPPER(TRIM(LEFT($O24&amp;",",FIND(",",$O24&amp;",")-1))))</f>
        <v/>
      </c>
      <c r="AU24">
        <f>IF($AT24="","",MID($AT24,4,FIND("~",SUBSTITUTE($AT24,"-","~",2))-4))</f>
        <v/>
      </c>
      <c r="AV24">
        <f>IF($AT24="","",MID($AT24,FIND("~",SUBSTITUTE($AT24,"-","~",2))+1,FIND("~",SUBSTITUTE($AT24,"-","~",3))-FIND("~",SUBSTITUTE($AT24,"-","~",2))-1))</f>
        <v/>
      </c>
      <c r="AW24">
        <f>IF($AU24="","",IFERROR(VLOOKUP($AU24,DECODE!$A$3:$C$8,3,FALSE),"?"))</f>
        <v/>
      </c>
      <c r="AX24">
        <f>IF($AV24="","",IFERROR(VLOOKUP($AU24&amp;"-"&amp;$AV24,DECODE!$E$3:$F$21,2,FALSE),"?"))</f>
        <v/>
      </c>
      <c r="AY24">
        <f>IF($AT24="","",IFERROR(VALUE(RIGHT($AT24,3)),""))</f>
        <v/>
      </c>
      <c r="AZ24">
        <f>IF($U24="","",IFERROR(IF(ISNUMBER($U24),$U24,DATEVALUE(TRIM($U24))),""))</f>
        <v/>
      </c>
      <c r="BA24">
        <f>IF($AZ24="","",IF(MONTH($AZ24)&gt;=12,"Cold Winter",IF(MONTH($AZ24)&gt;=10,"Post-Monsoon",IF(MONTH($AZ24)&gt;=6,"Hot Humid",IF(MONTH($AZ24)&gt;=3,"Hot Dry","Cold Winter")))))</f>
        <v/>
      </c>
      <c r="BB24">
        <f>IF($AU24="","",IFERROR(VLOOKUP($AU24,DECODE!$A$3:$C$8,2,FALSE),"?"))</f>
        <v/>
      </c>
      <c r="BC24">
        <f>IF($P24="","",UPPER(TRIM(LEFT($P24&amp;",",FIND(",",$P24&amp;",")-1))))</f>
        <v/>
      </c>
      <c r="BD24">
        <f>IF($BC24="","",MID($BC24,4,FIND("~",SUBSTITUTE($BC24,"-","~",2))-4))</f>
        <v/>
      </c>
      <c r="BE24">
        <f>IF($BC24="","",MID($BC24,FIND("~",SUBSTITUTE($BC24,"-","~",2))+1,FIND("~",SUBSTITUTE($BC24,"-","~",3))-FIND("~",SUBSTITUTE($BC24,"-","~",2))-1))</f>
        <v/>
      </c>
      <c r="BF24">
        <f>IF($BD24="","",IFERROR(VLOOKUP($BD24,DECODE!$A$3:$C$8,3,FALSE),"?"))</f>
        <v/>
      </c>
      <c r="BG24">
        <f>IF($BE24="","",IFERROR(VLOOKUP($BD24&amp;"-"&amp;$BE24,DECODE!$E$3:$F$21,2,FALSE),"?"))</f>
        <v/>
      </c>
      <c r="BH24">
        <f>IF($BC24="","",IFERROR(VALUE(RIGHT($BC24,3)),""))</f>
        <v/>
      </c>
      <c r="BI24">
        <f>IF($V24="","",IFERROR(IF(ISNUMBER($V24),$V24,DATEVALUE(TRIM($V24))),""))</f>
        <v/>
      </c>
      <c r="BJ24">
        <f>IF($BI24="","",IF(MONTH($BI24)&gt;=12,"Cold Winter",IF(MONTH($BI24)&gt;=10,"Post-Monsoon",IF(MONTH($BI24)&gt;=6,"Hot Humid",IF(MONTH($BI24)&gt;=3,"Hot Dry","Cold Winter")))))</f>
        <v/>
      </c>
      <c r="BK24">
        <f>IF($BD24="","",IFERROR(VLOOKUP($BD24,DECODE!$A$3:$C$8,2,FALSE),"?"))</f>
        <v/>
      </c>
      <c r="BL24">
        <f>IF($Q24="","",UPPER(TRIM(LEFT($Q24&amp;",",FIND(",",$Q24&amp;",")-1))))</f>
        <v/>
      </c>
      <c r="BM24">
        <f>IF($BL24="","",MID($BL24,4,FIND("~",SUBSTITUTE($BL24,"-","~",2))-4))</f>
        <v/>
      </c>
      <c r="BN24">
        <f>IF($BL24="","",MID($BL24,FIND("~",SUBSTITUTE($BL24,"-","~",2))+1,FIND("~",SUBSTITUTE($BL24,"-","~",3))-FIND("~",SUBSTITUTE($BL24,"-","~",2))-1))</f>
        <v/>
      </c>
      <c r="BO24">
        <f>IF($BM24="","",IFERROR(VLOOKUP($BM24,DECODE!$A$3:$C$8,3,FALSE),"?"))</f>
        <v/>
      </c>
      <c r="BP24">
        <f>IF($BN24="","",IFERROR(VLOOKUP($BM24&amp;"-"&amp;$BN24,DECODE!$E$3:$F$21,2,FALSE),"?"))</f>
        <v/>
      </c>
      <c r="BQ24">
        <f>IF($BL24="","",IFERROR(VALUE(RIGHT($BL24,3)),""))</f>
        <v/>
      </c>
      <c r="BR24">
        <f>IF($W24="","",IFERROR(IF(ISNUMBER($W24),$W24,DATEVALUE(TRIM($W24))),""))</f>
        <v/>
      </c>
      <c r="BS24">
        <f>IF($BR24="","",IF(MONTH($BR24)&gt;=12,"Cold Winter",IF(MONTH($BR24)&gt;=10,"Post-Monsoon",IF(MONTH($BR24)&gt;=6,"Hot Humid",IF(MONTH($BR24)&gt;=3,"Hot Dry","Cold Winter")))))</f>
        <v/>
      </c>
      <c r="BT24">
        <f>IF($BM24="","",IFERROR(VLOOKUP($BM24,DECODE!$A$3:$C$8,2,FALSE),"?"))</f>
        <v/>
      </c>
      <c r="BU24">
        <f>IF($R24="","",UPPER(TRIM(LEFT($R24&amp;",",FIND(",",$R24&amp;",")-1))))</f>
        <v/>
      </c>
      <c r="BV24">
        <f>IF($BU24="","",MID($BU24,4,FIND("~",SUBSTITUTE($BU24,"-","~",2))-4))</f>
        <v/>
      </c>
      <c r="BW24">
        <f>IF($BU24="","",MID($BU24,FIND("~",SUBSTITUTE($BU24,"-","~",2))+1,FIND("~",SUBSTITUTE($BU24,"-","~",3))-FIND("~",SUBSTITUTE($BU24,"-","~",2))-1))</f>
        <v/>
      </c>
      <c r="BX24">
        <f>IF($BV24="","",IFERROR(VLOOKUP($BV24,DECODE!$A$3:$C$8,3,FALSE),"?"))</f>
        <v/>
      </c>
      <c r="BY24">
        <f>IF($BW24="","",IFERROR(VLOOKUP($BV24&amp;"-"&amp;$BW24,DECODE!$E$3:$F$21,2,FALSE),"?"))</f>
        <v/>
      </c>
      <c r="BZ24">
        <f>IF($BU24="","",IFERROR(VALUE(RIGHT($BU24,3)),""))</f>
        <v/>
      </c>
      <c r="CA24">
        <f>IF($X24="","",IFERROR(IF(ISNUMBER($X24),$X24,DATEVALUE(TRIM($X24))),""))</f>
        <v/>
      </c>
      <c r="CB24">
        <f>IF($CA24="","",IF(MONTH($CA24)&gt;=12,"Cold Winter",IF(MONTH($CA24)&gt;=10,"Post-Monsoon",IF(MONTH($CA24)&gt;=6,"Hot Humid",IF(MONTH($CA24)&gt;=3,"Hot Dry","Cold Winter")))))</f>
        <v/>
      </c>
      <c r="CC24">
        <f>IF($BV24="","",IFERROR(VLOOKUP($BV24,DECODE!$A$3:$C$8,2,FALSE),"?"))</f>
        <v/>
      </c>
      <c r="CD24">
        <f>IF($S24="","",UPPER(TRIM(LEFT($S24&amp;",",FIND(",",$S24&amp;",")-1))))</f>
        <v/>
      </c>
      <c r="CE24">
        <f>IF($CD24="","",MID($CD24,4,FIND("~",SUBSTITUTE($CD24,"-","~",2))-4))</f>
        <v/>
      </c>
      <c r="CF24">
        <f>IF($CD24="","",MID($CD24,FIND("~",SUBSTITUTE($CD24,"-","~",2))+1,FIND("~",SUBSTITUTE($CD24,"-","~",3))-FIND("~",SUBSTITUTE($CD24,"-","~",2))-1))</f>
        <v/>
      </c>
      <c r="CG24">
        <f>IF($CE24="","",IFERROR(VLOOKUP($CE24,DECODE!$A$3:$C$8,3,FALSE),"?"))</f>
        <v/>
      </c>
      <c r="CH24">
        <f>IF($CF24="","",IFERROR(VLOOKUP($CE24&amp;"-"&amp;$CF24,DECODE!$E$3:$F$21,2,FALSE),"?"))</f>
        <v/>
      </c>
      <c r="CI24">
        <f>IF($CD24="","",IFERROR(VALUE(RIGHT($CD24,3)),""))</f>
        <v/>
      </c>
      <c r="CJ24">
        <f>IF($Y24="","",IFERROR(IF(ISNUMBER($Y24),$Y24,DATEVALUE(TRIM($Y24))),""))</f>
        <v/>
      </c>
      <c r="CK24">
        <f>IF($CJ24="","",IF(MONTH($CJ24)&gt;=12,"Cold Winter",IF(MONTH($CJ24)&gt;=10,"Post-Monsoon",IF(MONTH($CJ24)&gt;=6,"Hot Humid",IF(MONTH($CJ24)&gt;=3,"Hot Dry","Cold Winter")))))</f>
        <v/>
      </c>
      <c r="CL24">
        <f>IF($CE24="","",IFERROR(VLOOKUP($CE24,DECODE!$A$3:$C$8,2,FALSE),"?"))</f>
        <v/>
      </c>
      <c r="CM24">
        <f>IF($AN24="","",AN24)</f>
        <v/>
      </c>
      <c r="CN24">
        <f>IF($AO24="","",AO24)</f>
        <v/>
      </c>
      <c r="CO24">
        <f>IF($AP24="","",AP24)</f>
        <v/>
      </c>
      <c r="CP24">
        <f>IF($CM24="","",IF($CM24="Aloe Vera Gel","Aloe Vera Gel "&amp;$CO24&amp;"g",CN24&amp;" "&amp;$CO24&amp;"g"))</f>
        <v/>
      </c>
      <c r="CQ24">
        <f>IF($AT24="",0,1)</f>
        <v/>
      </c>
      <c r="CR24">
        <f>IF($CQ24=0,"",AW24)</f>
        <v/>
      </c>
      <c r="CS24">
        <f>IF($CQ24=0,"",AX24)</f>
        <v/>
      </c>
      <c r="CT24">
        <f>IF($CQ24=0,"",AY24)</f>
        <v/>
      </c>
      <c r="CU24">
        <f>IF($CR24="","",IF($CR24="Aloe Vera Gel","Aloe Vera Gel "&amp;$CT24&amp;"g",CS24&amp;" "&amp;$CT24&amp;"g"))</f>
        <v/>
      </c>
      <c r="CV24">
        <f>IF($CQ24=0,"",IF($CP24=$CU24,"Repeat Exact",IF($CT24&gt;$CO24,"Upsized",IF($CT24&lt;$CO24,"Downsized",IF($CM24&lt;&gt;$CR24,"Lateral","Same Size Diff Variant")))))</f>
        <v/>
      </c>
      <c r="CW24">
        <f>IF($CQ24=0,"",AZ24-AQ24)</f>
        <v/>
      </c>
      <c r="CX24">
        <f>IF($CQ24=0,0,IF(CS24=CN24,1,0))</f>
        <v/>
      </c>
      <c r="CY24">
        <f>IF($CQ24=0,0,IF(CR24=CM24,1,0))</f>
        <v/>
      </c>
      <c r="CZ24">
        <f>IF($A24="","",IF(AND(IF(DASHBOARD!$C$4="All",TRUE,$CM24=DASHBOARD!$C$4),IF(DASHBOARD!$C$6="All",TRUE,$CP24=DASHBOARD!$C$6),IF(DASHBOARD!$C$8="All",TRUE,$AF24&gt;=DASHBOARD!$C$8),IF(DASHBOARD!$C$10="All",TRUE,$AF24&lt;=DASHBOARD!$C$10),IF(DASHBOARD!$C$12="All",TRUE,$AH24=VALUE(DASHBOARD!$C$12)),IF(DASHBOARD!$C$14="All",TRUE,$AJ24=DASHBOARD!$C$14)),1,0))</f>
        <v/>
      </c>
    </row>
    <row r="25">
      <c r="A25" t="n">
        <v>32627</v>
      </c>
      <c r="B25" t="inlineStr">
        <is>
          <t>Face Malai</t>
        </is>
      </c>
      <c r="H25" t="inlineStr">
        <is>
          <t>Tomato Patchouli (Cold) 20 - 35 Yrs Face Malai, Turmeric Nutmeg (Pigmentation)  Face Malai - 30g</t>
        </is>
      </c>
      <c r="N25" t="inlineStr">
        <is>
          <t>FC-CWDM-TP-030, FC-DM-PG-030</t>
        </is>
      </c>
      <c r="T25" t="inlineStr">
        <is>
          <t>Dec 24, 2025</t>
        </is>
      </c>
      <c r="AE25" t="inlineStr">
        <is>
          <t>New Delhi</t>
        </is>
      </c>
      <c r="AF25" t="inlineStr">
        <is>
          <t>2025-12</t>
        </is>
      </c>
      <c r="AG25" t="n">
        <v>12</v>
      </c>
      <c r="AH25" t="n">
        <v>1</v>
      </c>
      <c r="AI25" t="n">
        <v>0</v>
      </c>
      <c r="AJ25">
        <f>IF($AE25="","",IFERROR(VLOOKUP(TRIM($AE25),DECODE!$H$3:$I$60,2,FALSE),"Rest of India"))</f>
        <v/>
      </c>
      <c r="AK25">
        <f>IF($N25="","",UPPER(TRIM(LEFT($N25&amp;",",FIND(",",$N25&amp;",")-1))))</f>
        <v/>
      </c>
      <c r="AL25">
        <f>IF($AK25="","",MID($AK25,4,FIND("~",SUBSTITUTE($AK25,"-","~",2))-4))</f>
        <v/>
      </c>
      <c r="AM25">
        <f>IF($AK25="","",MID($AK25,FIND("~",SUBSTITUTE($AK25,"-","~",2))+1,FIND("~",SUBSTITUTE($AK25,"-","~",3))-FIND("~",SUBSTITUTE($AK25,"-","~",2))-1))</f>
        <v/>
      </c>
      <c r="AN25">
        <f>IF($AL25="","",IFERROR(VLOOKUP($AL25,DECODE!$A$3:$C$8,3,FALSE),"?"))</f>
        <v/>
      </c>
      <c r="AO25">
        <f>IF($AM25="","",IFERROR(VLOOKUP($AL25&amp;"-"&amp;$AM25,DECODE!$E$3:$F$21,2,FALSE),"?"))</f>
        <v/>
      </c>
      <c r="AP25">
        <f>IF($AK25="","",IFERROR(VALUE(RIGHT($AK25,3)),""))</f>
        <v/>
      </c>
      <c r="AQ25">
        <f>IF($T25="","",IFERROR(IF(ISNUMBER($T25),$T25,DATEVALUE(TRIM($T25))),""))</f>
        <v/>
      </c>
      <c r="AR25">
        <f>IF($AQ25="","",IF(MONTH($AQ25)&gt;=12,"Cold Winter",IF(MONTH($AQ25)&gt;=10,"Post-Monsoon",IF(MONTH($AQ25)&gt;=6,"Hot Humid",IF(MONTH($AQ25)&gt;=3,"Hot Dry","Cold Winter")))))</f>
        <v/>
      </c>
      <c r="AS25">
        <f>IF($AL25="","",IFERROR(VLOOKUP($AL25,DECODE!$A$3:$C$8,2,FALSE),"?"))</f>
        <v/>
      </c>
      <c r="AT25">
        <f>IF($O25="","",UPPER(TRIM(LEFT($O25&amp;",",FIND(",",$O25&amp;",")-1))))</f>
        <v/>
      </c>
      <c r="AU25">
        <f>IF($AT25="","",MID($AT25,4,FIND("~",SUBSTITUTE($AT25,"-","~",2))-4))</f>
        <v/>
      </c>
      <c r="AV25">
        <f>IF($AT25="","",MID($AT25,FIND("~",SUBSTITUTE($AT25,"-","~",2))+1,FIND("~",SUBSTITUTE($AT25,"-","~",3))-FIND("~",SUBSTITUTE($AT25,"-","~",2))-1))</f>
        <v/>
      </c>
      <c r="AW25">
        <f>IF($AU25="","",IFERROR(VLOOKUP($AU25,DECODE!$A$3:$C$8,3,FALSE),"?"))</f>
        <v/>
      </c>
      <c r="AX25">
        <f>IF($AV25="","",IFERROR(VLOOKUP($AU25&amp;"-"&amp;$AV25,DECODE!$E$3:$F$21,2,FALSE),"?"))</f>
        <v/>
      </c>
      <c r="AY25">
        <f>IF($AT25="","",IFERROR(VALUE(RIGHT($AT25,3)),""))</f>
        <v/>
      </c>
      <c r="AZ25">
        <f>IF($U25="","",IFERROR(IF(ISNUMBER($U25),$U25,DATEVALUE(TRIM($U25))),""))</f>
        <v/>
      </c>
      <c r="BA25">
        <f>IF($AZ25="","",IF(MONTH($AZ25)&gt;=12,"Cold Winter",IF(MONTH($AZ25)&gt;=10,"Post-Monsoon",IF(MONTH($AZ25)&gt;=6,"Hot Humid",IF(MONTH($AZ25)&gt;=3,"Hot Dry","Cold Winter")))))</f>
        <v/>
      </c>
      <c r="BB25">
        <f>IF($AU25="","",IFERROR(VLOOKUP($AU25,DECODE!$A$3:$C$8,2,FALSE),"?"))</f>
        <v/>
      </c>
      <c r="BC25">
        <f>IF($P25="","",UPPER(TRIM(LEFT($P25&amp;",",FIND(",",$P25&amp;",")-1))))</f>
        <v/>
      </c>
      <c r="BD25">
        <f>IF($BC25="","",MID($BC25,4,FIND("~",SUBSTITUTE($BC25,"-","~",2))-4))</f>
        <v/>
      </c>
      <c r="BE25">
        <f>IF($BC25="","",MID($BC25,FIND("~",SUBSTITUTE($BC25,"-","~",2))+1,FIND("~",SUBSTITUTE($BC25,"-","~",3))-FIND("~",SUBSTITUTE($BC25,"-","~",2))-1))</f>
        <v/>
      </c>
      <c r="BF25">
        <f>IF($BD25="","",IFERROR(VLOOKUP($BD25,DECODE!$A$3:$C$8,3,FALSE),"?"))</f>
        <v/>
      </c>
      <c r="BG25">
        <f>IF($BE25="","",IFERROR(VLOOKUP($BD25&amp;"-"&amp;$BE25,DECODE!$E$3:$F$21,2,FALSE),"?"))</f>
        <v/>
      </c>
      <c r="BH25">
        <f>IF($BC25="","",IFERROR(VALUE(RIGHT($BC25,3)),""))</f>
        <v/>
      </c>
      <c r="BI25">
        <f>IF($V25="","",IFERROR(IF(ISNUMBER($V25),$V25,DATEVALUE(TRIM($V25))),""))</f>
        <v/>
      </c>
      <c r="BJ25">
        <f>IF($BI25="","",IF(MONTH($BI25)&gt;=12,"Cold Winter",IF(MONTH($BI25)&gt;=10,"Post-Monsoon",IF(MONTH($BI25)&gt;=6,"Hot Humid",IF(MONTH($BI25)&gt;=3,"Hot Dry","Cold Winter")))))</f>
        <v/>
      </c>
      <c r="BK25">
        <f>IF($BD25="","",IFERROR(VLOOKUP($BD25,DECODE!$A$3:$C$8,2,FALSE),"?"))</f>
        <v/>
      </c>
      <c r="BL25">
        <f>IF($Q25="","",UPPER(TRIM(LEFT($Q25&amp;",",FIND(",",$Q25&amp;",")-1))))</f>
        <v/>
      </c>
      <c r="BM25">
        <f>IF($BL25="","",MID($BL25,4,FIND("~",SUBSTITUTE($BL25,"-","~",2))-4))</f>
        <v/>
      </c>
      <c r="BN25">
        <f>IF($BL25="","",MID($BL25,FIND("~",SUBSTITUTE($BL25,"-","~",2))+1,FIND("~",SUBSTITUTE($BL25,"-","~",3))-FIND("~",SUBSTITUTE($BL25,"-","~",2))-1))</f>
        <v/>
      </c>
      <c r="BO25">
        <f>IF($BM25="","",IFERROR(VLOOKUP($BM25,DECODE!$A$3:$C$8,3,FALSE),"?"))</f>
        <v/>
      </c>
      <c r="BP25">
        <f>IF($BN25="","",IFERROR(VLOOKUP($BM25&amp;"-"&amp;$BN25,DECODE!$E$3:$F$21,2,FALSE),"?"))</f>
        <v/>
      </c>
      <c r="BQ25">
        <f>IF($BL25="","",IFERROR(VALUE(RIGHT($BL25,3)),""))</f>
        <v/>
      </c>
      <c r="BR25">
        <f>IF($W25="","",IFERROR(IF(ISNUMBER($W25),$W25,DATEVALUE(TRIM($W25))),""))</f>
        <v/>
      </c>
      <c r="BS25">
        <f>IF($BR25="","",IF(MONTH($BR25)&gt;=12,"Cold Winter",IF(MONTH($BR25)&gt;=10,"Post-Monsoon",IF(MONTH($BR25)&gt;=6,"Hot Humid",IF(MONTH($BR25)&gt;=3,"Hot Dry","Cold Winter")))))</f>
        <v/>
      </c>
      <c r="BT25">
        <f>IF($BM25="","",IFERROR(VLOOKUP($BM25,DECODE!$A$3:$C$8,2,FALSE),"?"))</f>
        <v/>
      </c>
      <c r="BU25">
        <f>IF($R25="","",UPPER(TRIM(LEFT($R25&amp;",",FIND(",",$R25&amp;",")-1))))</f>
        <v/>
      </c>
      <c r="BV25">
        <f>IF($BU25="","",MID($BU25,4,FIND("~",SUBSTITUTE($BU25,"-","~",2))-4))</f>
        <v/>
      </c>
      <c r="BW25">
        <f>IF($BU25="","",MID($BU25,FIND("~",SUBSTITUTE($BU25,"-","~",2))+1,FIND("~",SUBSTITUTE($BU25,"-","~",3))-FIND("~",SUBSTITUTE($BU25,"-","~",2))-1))</f>
        <v/>
      </c>
      <c r="BX25">
        <f>IF($BV25="","",IFERROR(VLOOKUP($BV25,DECODE!$A$3:$C$8,3,FALSE),"?"))</f>
        <v/>
      </c>
      <c r="BY25">
        <f>IF($BW25="","",IFERROR(VLOOKUP($BV25&amp;"-"&amp;$BW25,DECODE!$E$3:$F$21,2,FALSE),"?"))</f>
        <v/>
      </c>
      <c r="BZ25">
        <f>IF($BU25="","",IFERROR(VALUE(RIGHT($BU25,3)),""))</f>
        <v/>
      </c>
      <c r="CA25">
        <f>IF($X25="","",IFERROR(IF(ISNUMBER($X25),$X25,DATEVALUE(TRIM($X25))),""))</f>
        <v/>
      </c>
      <c r="CB25">
        <f>IF($CA25="","",IF(MONTH($CA25)&gt;=12,"Cold Winter",IF(MONTH($CA25)&gt;=10,"Post-Monsoon",IF(MONTH($CA25)&gt;=6,"Hot Humid",IF(MONTH($CA25)&gt;=3,"Hot Dry","Cold Winter")))))</f>
        <v/>
      </c>
      <c r="CC25">
        <f>IF($BV25="","",IFERROR(VLOOKUP($BV25,DECODE!$A$3:$C$8,2,FALSE),"?"))</f>
        <v/>
      </c>
      <c r="CD25">
        <f>IF($S25="","",UPPER(TRIM(LEFT($S25&amp;",",FIND(",",$S25&amp;",")-1))))</f>
        <v/>
      </c>
      <c r="CE25">
        <f>IF($CD25="","",MID($CD25,4,FIND("~",SUBSTITUTE($CD25,"-","~",2))-4))</f>
        <v/>
      </c>
      <c r="CF25">
        <f>IF($CD25="","",MID($CD25,FIND("~",SUBSTITUTE($CD25,"-","~",2))+1,FIND("~",SUBSTITUTE($CD25,"-","~",3))-FIND("~",SUBSTITUTE($CD25,"-","~",2))-1))</f>
        <v/>
      </c>
      <c r="CG25">
        <f>IF($CE25="","",IFERROR(VLOOKUP($CE25,DECODE!$A$3:$C$8,3,FALSE),"?"))</f>
        <v/>
      </c>
      <c r="CH25">
        <f>IF($CF25="","",IFERROR(VLOOKUP($CE25&amp;"-"&amp;$CF25,DECODE!$E$3:$F$21,2,FALSE),"?"))</f>
        <v/>
      </c>
      <c r="CI25">
        <f>IF($CD25="","",IFERROR(VALUE(RIGHT($CD25,3)),""))</f>
        <v/>
      </c>
      <c r="CJ25">
        <f>IF($Y25="","",IFERROR(IF(ISNUMBER($Y25),$Y25,DATEVALUE(TRIM($Y25))),""))</f>
        <v/>
      </c>
      <c r="CK25">
        <f>IF($CJ25="","",IF(MONTH($CJ25)&gt;=12,"Cold Winter",IF(MONTH($CJ25)&gt;=10,"Post-Monsoon",IF(MONTH($CJ25)&gt;=6,"Hot Humid",IF(MONTH($CJ25)&gt;=3,"Hot Dry","Cold Winter")))))</f>
        <v/>
      </c>
      <c r="CL25">
        <f>IF($CE25="","",IFERROR(VLOOKUP($CE25,DECODE!$A$3:$C$8,2,FALSE),"?"))</f>
        <v/>
      </c>
      <c r="CM25">
        <f>IF($AN25="","",AN25)</f>
        <v/>
      </c>
      <c r="CN25">
        <f>IF($AO25="","",AO25)</f>
        <v/>
      </c>
      <c r="CO25">
        <f>IF($AP25="","",AP25)</f>
        <v/>
      </c>
      <c r="CP25">
        <f>IF($CM25="","",IF($CM25="Aloe Vera Gel","Aloe Vera Gel "&amp;$CO25&amp;"g",CN25&amp;" "&amp;$CO25&amp;"g"))</f>
        <v/>
      </c>
      <c r="CQ25">
        <f>IF($AT25="",0,1)</f>
        <v/>
      </c>
      <c r="CR25">
        <f>IF($CQ25=0,"",AW25)</f>
        <v/>
      </c>
      <c r="CS25">
        <f>IF($CQ25=0,"",AX25)</f>
        <v/>
      </c>
      <c r="CT25">
        <f>IF($CQ25=0,"",AY25)</f>
        <v/>
      </c>
      <c r="CU25">
        <f>IF($CR25="","",IF($CR25="Aloe Vera Gel","Aloe Vera Gel "&amp;$CT25&amp;"g",CS25&amp;" "&amp;$CT25&amp;"g"))</f>
        <v/>
      </c>
      <c r="CV25">
        <f>IF($CQ25=0,"",IF($CP25=$CU25,"Repeat Exact",IF($CT25&gt;$CO25,"Upsized",IF($CT25&lt;$CO25,"Downsized",IF($CM25&lt;&gt;$CR25,"Lateral","Same Size Diff Variant")))))</f>
        <v/>
      </c>
      <c r="CW25">
        <f>IF($CQ25=0,"",AZ25-AQ25)</f>
        <v/>
      </c>
      <c r="CX25">
        <f>IF($CQ25=0,0,IF(CS25=CN25,1,0))</f>
        <v/>
      </c>
      <c r="CY25">
        <f>IF($CQ25=0,0,IF(CR25=CM25,1,0))</f>
        <v/>
      </c>
      <c r="CZ25">
        <f>IF($A25="","",IF(AND(IF(DASHBOARD!$C$4="All",TRUE,$CM25=DASHBOARD!$C$4),IF(DASHBOARD!$C$6="All",TRUE,$CP25=DASHBOARD!$C$6),IF(DASHBOARD!$C$8="All",TRUE,$AF25&gt;=DASHBOARD!$C$8),IF(DASHBOARD!$C$10="All",TRUE,$AF25&lt;=DASHBOARD!$C$10),IF(DASHBOARD!$C$12="All",TRUE,$AH25=VALUE(DASHBOARD!$C$12)),IF(DASHBOARD!$C$14="All",TRUE,$AJ25=DASHBOARD!$C$14)),1,0))</f>
        <v/>
      </c>
    </row>
    <row r="26">
      <c r="A26" t="n">
        <v>32727</v>
      </c>
      <c r="B26" t="inlineStr">
        <is>
          <t>Face Malai</t>
        </is>
      </c>
      <c r="H26" t="inlineStr">
        <is>
          <t>Tomato Rosehip (Hot Dry) 20 - 35 Yrs Face Malai - 30g, Cocoa Mogra (Overnight) Face Malai - 30g</t>
        </is>
      </c>
      <c r="N26" t="inlineStr">
        <is>
          <t>FC-HDDM-TR-030, FC-DM-NR-030</t>
        </is>
      </c>
      <c r="T26" t="inlineStr">
        <is>
          <t>Oct 25, 2025</t>
        </is>
      </c>
      <c r="AE26" t="inlineStr">
        <is>
          <t>New Delhi</t>
        </is>
      </c>
      <c r="AF26" t="inlineStr">
        <is>
          <t>2025-10</t>
        </is>
      </c>
      <c r="AG26" t="n">
        <v>10</v>
      </c>
      <c r="AH26" t="n">
        <v>1</v>
      </c>
      <c r="AI26" t="n">
        <v>0</v>
      </c>
      <c r="AJ26">
        <f>IF($AE26="","",IFERROR(VLOOKUP(TRIM($AE26),DECODE!$H$3:$I$60,2,FALSE),"Rest of India"))</f>
        <v/>
      </c>
      <c r="AK26">
        <f>IF($N26="","",UPPER(TRIM(LEFT($N26&amp;",",FIND(",",$N26&amp;",")-1))))</f>
        <v/>
      </c>
      <c r="AL26">
        <f>IF($AK26="","",MID($AK26,4,FIND("~",SUBSTITUTE($AK26,"-","~",2))-4))</f>
        <v/>
      </c>
      <c r="AM26">
        <f>IF($AK26="","",MID($AK26,FIND("~",SUBSTITUTE($AK26,"-","~",2))+1,FIND("~",SUBSTITUTE($AK26,"-","~",3))-FIND("~",SUBSTITUTE($AK26,"-","~",2))-1))</f>
        <v/>
      </c>
      <c r="AN26">
        <f>IF($AL26="","",IFERROR(VLOOKUP($AL26,DECODE!$A$3:$C$8,3,FALSE),"?"))</f>
        <v/>
      </c>
      <c r="AO26">
        <f>IF($AM26="","",IFERROR(VLOOKUP($AL26&amp;"-"&amp;$AM26,DECODE!$E$3:$F$21,2,FALSE),"?"))</f>
        <v/>
      </c>
      <c r="AP26">
        <f>IF($AK26="","",IFERROR(VALUE(RIGHT($AK26,3)),""))</f>
        <v/>
      </c>
      <c r="AQ26">
        <f>IF($T26="","",IFERROR(IF(ISNUMBER($T26),$T26,DATEVALUE(TRIM($T26))),""))</f>
        <v/>
      </c>
      <c r="AR26">
        <f>IF($AQ26="","",IF(MONTH($AQ26)&gt;=12,"Cold Winter",IF(MONTH($AQ26)&gt;=10,"Post-Monsoon",IF(MONTH($AQ26)&gt;=6,"Hot Humid",IF(MONTH($AQ26)&gt;=3,"Hot Dry","Cold Winter")))))</f>
        <v/>
      </c>
      <c r="AS26">
        <f>IF($AL26="","",IFERROR(VLOOKUP($AL26,DECODE!$A$3:$C$8,2,FALSE),"?"))</f>
        <v/>
      </c>
      <c r="AT26">
        <f>IF($O26="","",UPPER(TRIM(LEFT($O26&amp;",",FIND(",",$O26&amp;",")-1))))</f>
        <v/>
      </c>
      <c r="AU26">
        <f>IF($AT26="","",MID($AT26,4,FIND("~",SUBSTITUTE($AT26,"-","~",2))-4))</f>
        <v/>
      </c>
      <c r="AV26">
        <f>IF($AT26="","",MID($AT26,FIND("~",SUBSTITUTE($AT26,"-","~",2))+1,FIND("~",SUBSTITUTE($AT26,"-","~",3))-FIND("~",SUBSTITUTE($AT26,"-","~",2))-1))</f>
        <v/>
      </c>
      <c r="AW26">
        <f>IF($AU26="","",IFERROR(VLOOKUP($AU26,DECODE!$A$3:$C$8,3,FALSE),"?"))</f>
        <v/>
      </c>
      <c r="AX26">
        <f>IF($AV26="","",IFERROR(VLOOKUP($AU26&amp;"-"&amp;$AV26,DECODE!$E$3:$F$21,2,FALSE),"?"))</f>
        <v/>
      </c>
      <c r="AY26">
        <f>IF($AT26="","",IFERROR(VALUE(RIGHT($AT26,3)),""))</f>
        <v/>
      </c>
      <c r="AZ26">
        <f>IF($U26="","",IFERROR(IF(ISNUMBER($U26),$U26,DATEVALUE(TRIM($U26))),""))</f>
        <v/>
      </c>
      <c r="BA26">
        <f>IF($AZ26="","",IF(MONTH($AZ26)&gt;=12,"Cold Winter",IF(MONTH($AZ26)&gt;=10,"Post-Monsoon",IF(MONTH($AZ26)&gt;=6,"Hot Humid",IF(MONTH($AZ26)&gt;=3,"Hot Dry","Cold Winter")))))</f>
        <v/>
      </c>
      <c r="BB26">
        <f>IF($AU26="","",IFERROR(VLOOKUP($AU26,DECODE!$A$3:$C$8,2,FALSE),"?"))</f>
        <v/>
      </c>
      <c r="BC26">
        <f>IF($P26="","",UPPER(TRIM(LEFT($P26&amp;",",FIND(",",$P26&amp;",")-1))))</f>
        <v/>
      </c>
      <c r="BD26">
        <f>IF($BC26="","",MID($BC26,4,FIND("~",SUBSTITUTE($BC26,"-","~",2))-4))</f>
        <v/>
      </c>
      <c r="BE26">
        <f>IF($BC26="","",MID($BC26,FIND("~",SUBSTITUTE($BC26,"-","~",2))+1,FIND("~",SUBSTITUTE($BC26,"-","~",3))-FIND("~",SUBSTITUTE($BC26,"-","~",2))-1))</f>
        <v/>
      </c>
      <c r="BF26">
        <f>IF($BD26="","",IFERROR(VLOOKUP($BD26,DECODE!$A$3:$C$8,3,FALSE),"?"))</f>
        <v/>
      </c>
      <c r="BG26">
        <f>IF($BE26="","",IFERROR(VLOOKUP($BD26&amp;"-"&amp;$BE26,DECODE!$E$3:$F$21,2,FALSE),"?"))</f>
        <v/>
      </c>
      <c r="BH26">
        <f>IF($BC26="","",IFERROR(VALUE(RIGHT($BC26,3)),""))</f>
        <v/>
      </c>
      <c r="BI26">
        <f>IF($V26="","",IFERROR(IF(ISNUMBER($V26),$V26,DATEVALUE(TRIM($V26))),""))</f>
        <v/>
      </c>
      <c r="BJ26">
        <f>IF($BI26="","",IF(MONTH($BI26)&gt;=12,"Cold Winter",IF(MONTH($BI26)&gt;=10,"Post-Monsoon",IF(MONTH($BI26)&gt;=6,"Hot Humid",IF(MONTH($BI26)&gt;=3,"Hot Dry","Cold Winter")))))</f>
        <v/>
      </c>
      <c r="BK26">
        <f>IF($BD26="","",IFERROR(VLOOKUP($BD26,DECODE!$A$3:$C$8,2,FALSE),"?"))</f>
        <v/>
      </c>
      <c r="BL26">
        <f>IF($Q26="","",UPPER(TRIM(LEFT($Q26&amp;",",FIND(",",$Q26&amp;",")-1))))</f>
        <v/>
      </c>
      <c r="BM26">
        <f>IF($BL26="","",MID($BL26,4,FIND("~",SUBSTITUTE($BL26,"-","~",2))-4))</f>
        <v/>
      </c>
      <c r="BN26">
        <f>IF($BL26="","",MID($BL26,FIND("~",SUBSTITUTE($BL26,"-","~",2))+1,FIND("~",SUBSTITUTE($BL26,"-","~",3))-FIND("~",SUBSTITUTE($BL26,"-","~",2))-1))</f>
        <v/>
      </c>
      <c r="BO26">
        <f>IF($BM26="","",IFERROR(VLOOKUP($BM26,DECODE!$A$3:$C$8,3,FALSE),"?"))</f>
        <v/>
      </c>
      <c r="BP26">
        <f>IF($BN26="","",IFERROR(VLOOKUP($BM26&amp;"-"&amp;$BN26,DECODE!$E$3:$F$21,2,FALSE),"?"))</f>
        <v/>
      </c>
      <c r="BQ26">
        <f>IF($BL26="","",IFERROR(VALUE(RIGHT($BL26,3)),""))</f>
        <v/>
      </c>
      <c r="BR26">
        <f>IF($W26="","",IFERROR(IF(ISNUMBER($W26),$W26,DATEVALUE(TRIM($W26))),""))</f>
        <v/>
      </c>
      <c r="BS26">
        <f>IF($BR26="","",IF(MONTH($BR26)&gt;=12,"Cold Winter",IF(MONTH($BR26)&gt;=10,"Post-Monsoon",IF(MONTH($BR26)&gt;=6,"Hot Humid",IF(MONTH($BR26)&gt;=3,"Hot Dry","Cold Winter")))))</f>
        <v/>
      </c>
      <c r="BT26">
        <f>IF($BM26="","",IFERROR(VLOOKUP($BM26,DECODE!$A$3:$C$8,2,FALSE),"?"))</f>
        <v/>
      </c>
      <c r="BU26">
        <f>IF($R26="","",UPPER(TRIM(LEFT($R26&amp;",",FIND(",",$R26&amp;",")-1))))</f>
        <v/>
      </c>
      <c r="BV26">
        <f>IF($BU26="","",MID($BU26,4,FIND("~",SUBSTITUTE($BU26,"-","~",2))-4))</f>
        <v/>
      </c>
      <c r="BW26">
        <f>IF($BU26="","",MID($BU26,FIND("~",SUBSTITUTE($BU26,"-","~",2))+1,FIND("~",SUBSTITUTE($BU26,"-","~",3))-FIND("~",SUBSTITUTE($BU26,"-","~",2))-1))</f>
        <v/>
      </c>
      <c r="BX26">
        <f>IF($BV26="","",IFERROR(VLOOKUP($BV26,DECODE!$A$3:$C$8,3,FALSE),"?"))</f>
        <v/>
      </c>
      <c r="BY26">
        <f>IF($BW26="","",IFERROR(VLOOKUP($BV26&amp;"-"&amp;$BW26,DECODE!$E$3:$F$21,2,FALSE),"?"))</f>
        <v/>
      </c>
      <c r="BZ26">
        <f>IF($BU26="","",IFERROR(VALUE(RIGHT($BU26,3)),""))</f>
        <v/>
      </c>
      <c r="CA26">
        <f>IF($X26="","",IFERROR(IF(ISNUMBER($X26),$X26,DATEVALUE(TRIM($X26))),""))</f>
        <v/>
      </c>
      <c r="CB26">
        <f>IF($CA26="","",IF(MONTH($CA26)&gt;=12,"Cold Winter",IF(MONTH($CA26)&gt;=10,"Post-Monsoon",IF(MONTH($CA26)&gt;=6,"Hot Humid",IF(MONTH($CA26)&gt;=3,"Hot Dry","Cold Winter")))))</f>
        <v/>
      </c>
      <c r="CC26">
        <f>IF($BV26="","",IFERROR(VLOOKUP($BV26,DECODE!$A$3:$C$8,2,FALSE),"?"))</f>
        <v/>
      </c>
      <c r="CD26">
        <f>IF($S26="","",UPPER(TRIM(LEFT($S26&amp;",",FIND(",",$S26&amp;",")-1))))</f>
        <v/>
      </c>
      <c r="CE26">
        <f>IF($CD26="","",MID($CD26,4,FIND("~",SUBSTITUTE($CD26,"-","~",2))-4))</f>
        <v/>
      </c>
      <c r="CF26">
        <f>IF($CD26="","",MID($CD26,FIND("~",SUBSTITUTE($CD26,"-","~",2))+1,FIND("~",SUBSTITUTE($CD26,"-","~",3))-FIND("~",SUBSTITUTE($CD26,"-","~",2))-1))</f>
        <v/>
      </c>
      <c r="CG26">
        <f>IF($CE26="","",IFERROR(VLOOKUP($CE26,DECODE!$A$3:$C$8,3,FALSE),"?"))</f>
        <v/>
      </c>
      <c r="CH26">
        <f>IF($CF26="","",IFERROR(VLOOKUP($CE26&amp;"-"&amp;$CF26,DECODE!$E$3:$F$21,2,FALSE),"?"))</f>
        <v/>
      </c>
      <c r="CI26">
        <f>IF($CD26="","",IFERROR(VALUE(RIGHT($CD26,3)),""))</f>
        <v/>
      </c>
      <c r="CJ26">
        <f>IF($Y26="","",IFERROR(IF(ISNUMBER($Y26),$Y26,DATEVALUE(TRIM($Y26))),""))</f>
        <v/>
      </c>
      <c r="CK26">
        <f>IF($CJ26="","",IF(MONTH($CJ26)&gt;=12,"Cold Winter",IF(MONTH($CJ26)&gt;=10,"Post-Monsoon",IF(MONTH($CJ26)&gt;=6,"Hot Humid",IF(MONTH($CJ26)&gt;=3,"Hot Dry","Cold Winter")))))</f>
        <v/>
      </c>
      <c r="CL26">
        <f>IF($CE26="","",IFERROR(VLOOKUP($CE26,DECODE!$A$3:$C$8,2,FALSE),"?"))</f>
        <v/>
      </c>
      <c r="CM26">
        <f>IF($AN26="","",AN26)</f>
        <v/>
      </c>
      <c r="CN26">
        <f>IF($AO26="","",AO26)</f>
        <v/>
      </c>
      <c r="CO26">
        <f>IF($AP26="","",AP26)</f>
        <v/>
      </c>
      <c r="CP26">
        <f>IF($CM26="","",IF($CM26="Aloe Vera Gel","Aloe Vera Gel "&amp;$CO26&amp;"g",CN26&amp;" "&amp;$CO26&amp;"g"))</f>
        <v/>
      </c>
      <c r="CQ26">
        <f>IF($AT26="",0,1)</f>
        <v/>
      </c>
      <c r="CR26">
        <f>IF($CQ26=0,"",AW26)</f>
        <v/>
      </c>
      <c r="CS26">
        <f>IF($CQ26=0,"",AX26)</f>
        <v/>
      </c>
      <c r="CT26">
        <f>IF($CQ26=0,"",AY26)</f>
        <v/>
      </c>
      <c r="CU26">
        <f>IF($CR26="","",IF($CR26="Aloe Vera Gel","Aloe Vera Gel "&amp;$CT26&amp;"g",CS26&amp;" "&amp;$CT26&amp;"g"))</f>
        <v/>
      </c>
      <c r="CV26">
        <f>IF($CQ26=0,"",IF($CP26=$CU26,"Repeat Exact",IF($CT26&gt;$CO26,"Upsized",IF($CT26&lt;$CO26,"Downsized",IF($CM26&lt;&gt;$CR26,"Lateral","Same Size Diff Variant")))))</f>
        <v/>
      </c>
      <c r="CW26">
        <f>IF($CQ26=0,"",AZ26-AQ26)</f>
        <v/>
      </c>
      <c r="CX26">
        <f>IF($CQ26=0,0,IF(CS26=CN26,1,0))</f>
        <v/>
      </c>
      <c r="CY26">
        <f>IF($CQ26=0,0,IF(CR26=CM26,1,0))</f>
        <v/>
      </c>
      <c r="CZ26">
        <f>IF($A26="","",IF(AND(IF(DASHBOARD!$C$4="All",TRUE,$CM26=DASHBOARD!$C$4),IF(DASHBOARD!$C$6="All",TRUE,$CP26=DASHBOARD!$C$6),IF(DASHBOARD!$C$8="All",TRUE,$AF26&gt;=DASHBOARD!$C$8),IF(DASHBOARD!$C$10="All",TRUE,$AF26&lt;=DASHBOARD!$C$10),IF(DASHBOARD!$C$12="All",TRUE,$AH26=VALUE(DASHBOARD!$C$12)),IF(DASHBOARD!$C$14="All",TRUE,$AJ26=DASHBOARD!$C$14)),1,0))</f>
        <v/>
      </c>
    </row>
    <row r="27">
      <c r="A27" t="n">
        <v>32934</v>
      </c>
      <c r="B27" t="inlineStr">
        <is>
          <t>Aloe Vera Gel</t>
        </is>
      </c>
      <c r="C27" t="inlineStr">
        <is>
          <t>Aloe Vera Gel</t>
        </is>
      </c>
      <c r="D27" t="inlineStr">
        <is>
          <t>Aloe Vera Gel</t>
        </is>
      </c>
      <c r="H27" t="inlineStr">
        <is>
          <t>Aloe Vera Gel - 80 gms</t>
        </is>
      </c>
      <c r="I27" t="inlineStr">
        <is>
          <t>Aloe Vera Gel - 80 gms</t>
        </is>
      </c>
      <c r="J27" t="inlineStr">
        <is>
          <t>Aloe Vera Gel - 80 gms</t>
        </is>
      </c>
      <c r="N27" t="inlineStr">
        <is>
          <t>FC-HG-PA-080</t>
        </is>
      </c>
      <c r="O27" t="inlineStr">
        <is>
          <t>FC-HG-PA-080</t>
        </is>
      </c>
      <c r="P27" t="inlineStr">
        <is>
          <t>FC-HG-PA-080</t>
        </is>
      </c>
      <c r="T27" t="inlineStr">
        <is>
          <t>Jun 21, 2025</t>
        </is>
      </c>
      <c r="U27" t="inlineStr">
        <is>
          <t>Mar 29, 2026</t>
        </is>
      </c>
      <c r="V27" t="inlineStr">
        <is>
          <t>Jun 23, 2026</t>
        </is>
      </c>
      <c r="Z27" t="n">
        <v>281</v>
      </c>
      <c r="AA27" t="n">
        <v>86</v>
      </c>
      <c r="AE27" t="inlineStr">
        <is>
          <t>New Delhi</t>
        </is>
      </c>
      <c r="AF27" t="inlineStr">
        <is>
          <t>2025-06</t>
        </is>
      </c>
      <c r="AG27" t="n">
        <v>6</v>
      </c>
      <c r="AH27" t="n">
        <v>3</v>
      </c>
      <c r="AI27" t="n">
        <v>1</v>
      </c>
      <c r="AJ27">
        <f>IF($AE27="","",IFERROR(VLOOKUP(TRIM($AE27),DECODE!$H$3:$I$60,2,FALSE),"Rest of India"))</f>
        <v/>
      </c>
      <c r="AK27">
        <f>IF($N27="","",UPPER(TRIM(LEFT($N27&amp;",",FIND(",",$N27&amp;",")-1))))</f>
        <v/>
      </c>
      <c r="AL27">
        <f>IF($AK27="","",MID($AK27,4,FIND("~",SUBSTITUTE($AK27,"-","~",2))-4))</f>
        <v/>
      </c>
      <c r="AM27">
        <f>IF($AK27="","",MID($AK27,FIND("~",SUBSTITUTE($AK27,"-","~",2))+1,FIND("~",SUBSTITUTE($AK27,"-","~",3))-FIND("~",SUBSTITUTE($AK27,"-","~",2))-1))</f>
        <v/>
      </c>
      <c r="AN27">
        <f>IF($AL27="","",IFERROR(VLOOKUP($AL27,DECODE!$A$3:$C$8,3,FALSE),"?"))</f>
        <v/>
      </c>
      <c r="AO27">
        <f>IF($AM27="","",IFERROR(VLOOKUP($AL27&amp;"-"&amp;$AM27,DECODE!$E$3:$F$21,2,FALSE),"?"))</f>
        <v/>
      </c>
      <c r="AP27">
        <f>IF($AK27="","",IFERROR(VALUE(RIGHT($AK27,3)),""))</f>
        <v/>
      </c>
      <c r="AQ27">
        <f>IF($T27="","",IFERROR(IF(ISNUMBER($T27),$T27,DATEVALUE(TRIM($T27))),""))</f>
        <v/>
      </c>
      <c r="AR27">
        <f>IF($AQ27="","",IF(MONTH($AQ27)&gt;=12,"Cold Winter",IF(MONTH($AQ27)&gt;=10,"Post-Monsoon",IF(MONTH($AQ27)&gt;=6,"Hot Humid",IF(MONTH($AQ27)&gt;=3,"Hot Dry","Cold Winter")))))</f>
        <v/>
      </c>
      <c r="AS27">
        <f>IF($AL27="","",IFERROR(VLOOKUP($AL27,DECODE!$A$3:$C$8,2,FALSE),"?"))</f>
        <v/>
      </c>
      <c r="AT27">
        <f>IF($O27="","",UPPER(TRIM(LEFT($O27&amp;",",FIND(",",$O27&amp;",")-1))))</f>
        <v/>
      </c>
      <c r="AU27">
        <f>IF($AT27="","",MID($AT27,4,FIND("~",SUBSTITUTE($AT27,"-","~",2))-4))</f>
        <v/>
      </c>
      <c r="AV27">
        <f>IF($AT27="","",MID($AT27,FIND("~",SUBSTITUTE($AT27,"-","~",2))+1,FIND("~",SUBSTITUTE($AT27,"-","~",3))-FIND("~",SUBSTITUTE($AT27,"-","~",2))-1))</f>
        <v/>
      </c>
      <c r="AW27">
        <f>IF($AU27="","",IFERROR(VLOOKUP($AU27,DECODE!$A$3:$C$8,3,FALSE),"?"))</f>
        <v/>
      </c>
      <c r="AX27">
        <f>IF($AV27="","",IFERROR(VLOOKUP($AU27&amp;"-"&amp;$AV27,DECODE!$E$3:$F$21,2,FALSE),"?"))</f>
        <v/>
      </c>
      <c r="AY27">
        <f>IF($AT27="","",IFERROR(VALUE(RIGHT($AT27,3)),""))</f>
        <v/>
      </c>
      <c r="AZ27">
        <f>IF($U27="","",IFERROR(IF(ISNUMBER($U27),$U27,DATEVALUE(TRIM($U27))),""))</f>
        <v/>
      </c>
      <c r="BA27">
        <f>IF($AZ27="","",IF(MONTH($AZ27)&gt;=12,"Cold Winter",IF(MONTH($AZ27)&gt;=10,"Post-Monsoon",IF(MONTH($AZ27)&gt;=6,"Hot Humid",IF(MONTH($AZ27)&gt;=3,"Hot Dry","Cold Winter")))))</f>
        <v/>
      </c>
      <c r="BB27">
        <f>IF($AU27="","",IFERROR(VLOOKUP($AU27,DECODE!$A$3:$C$8,2,FALSE),"?"))</f>
        <v/>
      </c>
      <c r="BC27">
        <f>IF($P27="","",UPPER(TRIM(LEFT($P27&amp;",",FIND(",",$P27&amp;",")-1))))</f>
        <v/>
      </c>
      <c r="BD27">
        <f>IF($BC27="","",MID($BC27,4,FIND("~",SUBSTITUTE($BC27,"-","~",2))-4))</f>
        <v/>
      </c>
      <c r="BE27">
        <f>IF($BC27="","",MID($BC27,FIND("~",SUBSTITUTE($BC27,"-","~",2))+1,FIND("~",SUBSTITUTE($BC27,"-","~",3))-FIND("~",SUBSTITUTE($BC27,"-","~",2))-1))</f>
        <v/>
      </c>
      <c r="BF27">
        <f>IF($BD27="","",IFERROR(VLOOKUP($BD27,DECODE!$A$3:$C$8,3,FALSE),"?"))</f>
        <v/>
      </c>
      <c r="BG27">
        <f>IF($BE27="","",IFERROR(VLOOKUP($BD27&amp;"-"&amp;$BE27,DECODE!$E$3:$F$21,2,FALSE),"?"))</f>
        <v/>
      </c>
      <c r="BH27">
        <f>IF($BC27="","",IFERROR(VALUE(RIGHT($BC27,3)),""))</f>
        <v/>
      </c>
      <c r="BI27">
        <f>IF($V27="","",IFERROR(IF(ISNUMBER($V27),$V27,DATEVALUE(TRIM($V27))),""))</f>
        <v/>
      </c>
      <c r="BJ27">
        <f>IF($BI27="","",IF(MONTH($BI27)&gt;=12,"Cold Winter",IF(MONTH($BI27)&gt;=10,"Post-Monsoon",IF(MONTH($BI27)&gt;=6,"Hot Humid",IF(MONTH($BI27)&gt;=3,"Hot Dry","Cold Winter")))))</f>
        <v/>
      </c>
      <c r="BK27">
        <f>IF($BD27="","",IFERROR(VLOOKUP($BD27,DECODE!$A$3:$C$8,2,FALSE),"?"))</f>
        <v/>
      </c>
      <c r="BL27">
        <f>IF($Q27="","",UPPER(TRIM(LEFT($Q27&amp;",",FIND(",",$Q27&amp;",")-1))))</f>
        <v/>
      </c>
      <c r="BM27">
        <f>IF($BL27="","",MID($BL27,4,FIND("~",SUBSTITUTE($BL27,"-","~",2))-4))</f>
        <v/>
      </c>
      <c r="BN27">
        <f>IF($BL27="","",MID($BL27,FIND("~",SUBSTITUTE($BL27,"-","~",2))+1,FIND("~",SUBSTITUTE($BL27,"-","~",3))-FIND("~",SUBSTITUTE($BL27,"-","~",2))-1))</f>
        <v/>
      </c>
      <c r="BO27">
        <f>IF($BM27="","",IFERROR(VLOOKUP($BM27,DECODE!$A$3:$C$8,3,FALSE),"?"))</f>
        <v/>
      </c>
      <c r="BP27">
        <f>IF($BN27="","",IFERROR(VLOOKUP($BM27&amp;"-"&amp;$BN27,DECODE!$E$3:$F$21,2,FALSE),"?"))</f>
        <v/>
      </c>
      <c r="BQ27">
        <f>IF($BL27="","",IFERROR(VALUE(RIGHT($BL27,3)),""))</f>
        <v/>
      </c>
      <c r="BR27">
        <f>IF($W27="","",IFERROR(IF(ISNUMBER($W27),$W27,DATEVALUE(TRIM($W27))),""))</f>
        <v/>
      </c>
      <c r="BS27">
        <f>IF($BR27="","",IF(MONTH($BR27)&gt;=12,"Cold Winter",IF(MONTH($BR27)&gt;=10,"Post-Monsoon",IF(MONTH($BR27)&gt;=6,"Hot Humid",IF(MONTH($BR27)&gt;=3,"Hot Dry","Cold Winter")))))</f>
        <v/>
      </c>
      <c r="BT27">
        <f>IF($BM27="","",IFERROR(VLOOKUP($BM27,DECODE!$A$3:$C$8,2,FALSE),"?"))</f>
        <v/>
      </c>
      <c r="BU27">
        <f>IF($R27="","",UPPER(TRIM(LEFT($R27&amp;",",FIND(",",$R27&amp;",")-1))))</f>
        <v/>
      </c>
      <c r="BV27">
        <f>IF($BU27="","",MID($BU27,4,FIND("~",SUBSTITUTE($BU27,"-","~",2))-4))</f>
        <v/>
      </c>
      <c r="BW27">
        <f>IF($BU27="","",MID($BU27,FIND("~",SUBSTITUTE($BU27,"-","~",2))+1,FIND("~",SUBSTITUTE($BU27,"-","~",3))-FIND("~",SUBSTITUTE($BU27,"-","~",2))-1))</f>
        <v/>
      </c>
      <c r="BX27">
        <f>IF($BV27="","",IFERROR(VLOOKUP($BV27,DECODE!$A$3:$C$8,3,FALSE),"?"))</f>
        <v/>
      </c>
      <c r="BY27">
        <f>IF($BW27="","",IFERROR(VLOOKUP($BV27&amp;"-"&amp;$BW27,DECODE!$E$3:$F$21,2,FALSE),"?"))</f>
        <v/>
      </c>
      <c r="BZ27">
        <f>IF($BU27="","",IFERROR(VALUE(RIGHT($BU27,3)),""))</f>
        <v/>
      </c>
      <c r="CA27">
        <f>IF($X27="","",IFERROR(IF(ISNUMBER($X27),$X27,DATEVALUE(TRIM($X27))),""))</f>
        <v/>
      </c>
      <c r="CB27">
        <f>IF($CA27="","",IF(MONTH($CA27)&gt;=12,"Cold Winter",IF(MONTH($CA27)&gt;=10,"Post-Monsoon",IF(MONTH($CA27)&gt;=6,"Hot Humid",IF(MONTH($CA27)&gt;=3,"Hot Dry","Cold Winter")))))</f>
        <v/>
      </c>
      <c r="CC27">
        <f>IF($BV27="","",IFERROR(VLOOKUP($BV27,DECODE!$A$3:$C$8,2,FALSE),"?"))</f>
        <v/>
      </c>
      <c r="CD27">
        <f>IF($S27="","",UPPER(TRIM(LEFT($S27&amp;",",FIND(",",$S27&amp;",")-1))))</f>
        <v/>
      </c>
      <c r="CE27">
        <f>IF($CD27="","",MID($CD27,4,FIND("~",SUBSTITUTE($CD27,"-","~",2))-4))</f>
        <v/>
      </c>
      <c r="CF27">
        <f>IF($CD27="","",MID($CD27,FIND("~",SUBSTITUTE($CD27,"-","~",2))+1,FIND("~",SUBSTITUTE($CD27,"-","~",3))-FIND("~",SUBSTITUTE($CD27,"-","~",2))-1))</f>
        <v/>
      </c>
      <c r="CG27">
        <f>IF($CE27="","",IFERROR(VLOOKUP($CE27,DECODE!$A$3:$C$8,3,FALSE),"?"))</f>
        <v/>
      </c>
      <c r="CH27">
        <f>IF($CF27="","",IFERROR(VLOOKUP($CE27&amp;"-"&amp;$CF27,DECODE!$E$3:$F$21,2,FALSE),"?"))</f>
        <v/>
      </c>
      <c r="CI27">
        <f>IF($CD27="","",IFERROR(VALUE(RIGHT($CD27,3)),""))</f>
        <v/>
      </c>
      <c r="CJ27">
        <f>IF($Y27="","",IFERROR(IF(ISNUMBER($Y27),$Y27,DATEVALUE(TRIM($Y27))),""))</f>
        <v/>
      </c>
      <c r="CK27">
        <f>IF($CJ27="","",IF(MONTH($CJ27)&gt;=12,"Cold Winter",IF(MONTH($CJ27)&gt;=10,"Post-Monsoon",IF(MONTH($CJ27)&gt;=6,"Hot Humid",IF(MONTH($CJ27)&gt;=3,"Hot Dry","Cold Winter")))))</f>
        <v/>
      </c>
      <c r="CL27">
        <f>IF($CE27="","",IFERROR(VLOOKUP($CE27,DECODE!$A$3:$C$8,2,FALSE),"?"))</f>
        <v/>
      </c>
      <c r="CM27">
        <f>IF($AN27="","",AN27)</f>
        <v/>
      </c>
      <c r="CN27">
        <f>IF($AO27="","",AO27)</f>
        <v/>
      </c>
      <c r="CO27">
        <f>IF($AP27="","",AP27)</f>
        <v/>
      </c>
      <c r="CP27">
        <f>IF($CM27="","",IF($CM27="Aloe Vera Gel","Aloe Vera Gel "&amp;$CO27&amp;"g",CN27&amp;" "&amp;$CO27&amp;"g"))</f>
        <v/>
      </c>
      <c r="CQ27">
        <f>IF($AT27="",0,1)</f>
        <v/>
      </c>
      <c r="CR27">
        <f>IF($CQ27=0,"",AW27)</f>
        <v/>
      </c>
      <c r="CS27">
        <f>IF($CQ27=0,"",AX27)</f>
        <v/>
      </c>
      <c r="CT27">
        <f>IF($CQ27=0,"",AY27)</f>
        <v/>
      </c>
      <c r="CU27">
        <f>IF($CR27="","",IF($CR27="Aloe Vera Gel","Aloe Vera Gel "&amp;$CT27&amp;"g",CS27&amp;" "&amp;$CT27&amp;"g"))</f>
        <v/>
      </c>
      <c r="CV27">
        <f>IF($CQ27=0,"",IF($CP27=$CU27,"Repeat Exact",IF($CT27&gt;$CO27,"Upsized",IF($CT27&lt;$CO27,"Downsized",IF($CM27&lt;&gt;$CR27,"Lateral","Same Size Diff Variant")))))</f>
        <v/>
      </c>
      <c r="CW27">
        <f>IF($CQ27=0,"",AZ27-AQ27)</f>
        <v/>
      </c>
      <c r="CX27">
        <f>IF($CQ27=0,0,IF(CS27=CN27,1,0))</f>
        <v/>
      </c>
      <c r="CY27">
        <f>IF($CQ27=0,0,IF(CR27=CM27,1,0))</f>
        <v/>
      </c>
      <c r="CZ27">
        <f>IF($A27="","",IF(AND(IF(DASHBOARD!$C$4="All",TRUE,$CM27=DASHBOARD!$C$4),IF(DASHBOARD!$C$6="All",TRUE,$CP27=DASHBOARD!$C$6),IF(DASHBOARD!$C$8="All",TRUE,$AF27&gt;=DASHBOARD!$C$8),IF(DASHBOARD!$C$10="All",TRUE,$AF27&lt;=DASHBOARD!$C$10),IF(DASHBOARD!$C$12="All",TRUE,$AH27=VALUE(DASHBOARD!$C$12)),IF(DASHBOARD!$C$14="All",TRUE,$AJ27=DASHBOARD!$C$14)),1,0))</f>
        <v/>
      </c>
    </row>
    <row r="28">
      <c r="A28" t="n">
        <v>33027</v>
      </c>
      <c r="B28" t="inlineStr">
        <is>
          <t>Aloe Vera Gel</t>
        </is>
      </c>
      <c r="H28" t="inlineStr">
        <is>
          <t>Aloe Vera Gel - 80 gms</t>
        </is>
      </c>
      <c r="N28" t="inlineStr">
        <is>
          <t>FC-HG-PA-080</t>
        </is>
      </c>
      <c r="T28" t="inlineStr">
        <is>
          <t>Jul 10, 2025</t>
        </is>
      </c>
      <c r="AE28" t="inlineStr">
        <is>
          <t>New Delhi</t>
        </is>
      </c>
      <c r="AF28" t="inlineStr">
        <is>
          <t>2025-07</t>
        </is>
      </c>
      <c r="AG28" t="n">
        <v>7</v>
      </c>
      <c r="AH28" t="n">
        <v>1</v>
      </c>
      <c r="AI28" t="n">
        <v>0</v>
      </c>
      <c r="AJ28">
        <f>IF($AE28="","",IFERROR(VLOOKUP(TRIM($AE28),DECODE!$H$3:$I$60,2,FALSE),"Rest of India"))</f>
        <v/>
      </c>
      <c r="AK28">
        <f>IF($N28="","",UPPER(TRIM(LEFT($N28&amp;",",FIND(",",$N28&amp;",")-1))))</f>
        <v/>
      </c>
      <c r="AL28">
        <f>IF($AK28="","",MID($AK28,4,FIND("~",SUBSTITUTE($AK28,"-","~",2))-4))</f>
        <v/>
      </c>
      <c r="AM28">
        <f>IF($AK28="","",MID($AK28,FIND("~",SUBSTITUTE($AK28,"-","~",2))+1,FIND("~",SUBSTITUTE($AK28,"-","~",3))-FIND("~",SUBSTITUTE($AK28,"-","~",2))-1))</f>
        <v/>
      </c>
      <c r="AN28">
        <f>IF($AL28="","",IFERROR(VLOOKUP($AL28,DECODE!$A$3:$C$8,3,FALSE),"?"))</f>
        <v/>
      </c>
      <c r="AO28">
        <f>IF($AM28="","",IFERROR(VLOOKUP($AL28&amp;"-"&amp;$AM28,DECODE!$E$3:$F$21,2,FALSE),"?"))</f>
        <v/>
      </c>
      <c r="AP28">
        <f>IF($AK28="","",IFERROR(VALUE(RIGHT($AK28,3)),""))</f>
        <v/>
      </c>
      <c r="AQ28">
        <f>IF($T28="","",IFERROR(IF(ISNUMBER($T28),$T28,DATEVALUE(TRIM($T28))),""))</f>
        <v/>
      </c>
      <c r="AR28">
        <f>IF($AQ28="","",IF(MONTH($AQ28)&gt;=12,"Cold Winter",IF(MONTH($AQ28)&gt;=10,"Post-Monsoon",IF(MONTH($AQ28)&gt;=6,"Hot Humid",IF(MONTH($AQ28)&gt;=3,"Hot Dry","Cold Winter")))))</f>
        <v/>
      </c>
      <c r="AS28">
        <f>IF($AL28="","",IFERROR(VLOOKUP($AL28,DECODE!$A$3:$C$8,2,FALSE),"?"))</f>
        <v/>
      </c>
      <c r="AT28">
        <f>IF($O28="","",UPPER(TRIM(LEFT($O28&amp;",",FIND(",",$O28&amp;",")-1))))</f>
        <v/>
      </c>
      <c r="AU28">
        <f>IF($AT28="","",MID($AT28,4,FIND("~",SUBSTITUTE($AT28,"-","~",2))-4))</f>
        <v/>
      </c>
      <c r="AV28">
        <f>IF($AT28="","",MID($AT28,FIND("~",SUBSTITUTE($AT28,"-","~",2))+1,FIND("~",SUBSTITUTE($AT28,"-","~",3))-FIND("~",SUBSTITUTE($AT28,"-","~",2))-1))</f>
        <v/>
      </c>
      <c r="AW28">
        <f>IF($AU28="","",IFERROR(VLOOKUP($AU28,DECODE!$A$3:$C$8,3,FALSE),"?"))</f>
        <v/>
      </c>
      <c r="AX28">
        <f>IF($AV28="","",IFERROR(VLOOKUP($AU28&amp;"-"&amp;$AV28,DECODE!$E$3:$F$21,2,FALSE),"?"))</f>
        <v/>
      </c>
      <c r="AY28">
        <f>IF($AT28="","",IFERROR(VALUE(RIGHT($AT28,3)),""))</f>
        <v/>
      </c>
      <c r="AZ28">
        <f>IF($U28="","",IFERROR(IF(ISNUMBER($U28),$U28,DATEVALUE(TRIM($U28))),""))</f>
        <v/>
      </c>
      <c r="BA28">
        <f>IF($AZ28="","",IF(MONTH($AZ28)&gt;=12,"Cold Winter",IF(MONTH($AZ28)&gt;=10,"Post-Monsoon",IF(MONTH($AZ28)&gt;=6,"Hot Humid",IF(MONTH($AZ28)&gt;=3,"Hot Dry","Cold Winter")))))</f>
        <v/>
      </c>
      <c r="BB28">
        <f>IF($AU28="","",IFERROR(VLOOKUP($AU28,DECODE!$A$3:$C$8,2,FALSE),"?"))</f>
        <v/>
      </c>
      <c r="BC28">
        <f>IF($P28="","",UPPER(TRIM(LEFT($P28&amp;",",FIND(",",$P28&amp;",")-1))))</f>
        <v/>
      </c>
      <c r="BD28">
        <f>IF($BC28="","",MID($BC28,4,FIND("~",SUBSTITUTE($BC28,"-","~",2))-4))</f>
        <v/>
      </c>
      <c r="BE28">
        <f>IF($BC28="","",MID($BC28,FIND("~",SUBSTITUTE($BC28,"-","~",2))+1,FIND("~",SUBSTITUTE($BC28,"-","~",3))-FIND("~",SUBSTITUTE($BC28,"-","~",2))-1))</f>
        <v/>
      </c>
      <c r="BF28">
        <f>IF($BD28="","",IFERROR(VLOOKUP($BD28,DECODE!$A$3:$C$8,3,FALSE),"?"))</f>
        <v/>
      </c>
      <c r="BG28">
        <f>IF($BE28="","",IFERROR(VLOOKUP($BD28&amp;"-"&amp;$BE28,DECODE!$E$3:$F$21,2,FALSE),"?"))</f>
        <v/>
      </c>
      <c r="BH28">
        <f>IF($BC28="","",IFERROR(VALUE(RIGHT($BC28,3)),""))</f>
        <v/>
      </c>
      <c r="BI28">
        <f>IF($V28="","",IFERROR(IF(ISNUMBER($V28),$V28,DATEVALUE(TRIM($V28))),""))</f>
        <v/>
      </c>
      <c r="BJ28">
        <f>IF($BI28="","",IF(MONTH($BI28)&gt;=12,"Cold Winter",IF(MONTH($BI28)&gt;=10,"Post-Monsoon",IF(MONTH($BI28)&gt;=6,"Hot Humid",IF(MONTH($BI28)&gt;=3,"Hot Dry","Cold Winter")))))</f>
        <v/>
      </c>
      <c r="BK28">
        <f>IF($BD28="","",IFERROR(VLOOKUP($BD28,DECODE!$A$3:$C$8,2,FALSE),"?"))</f>
        <v/>
      </c>
      <c r="BL28">
        <f>IF($Q28="","",UPPER(TRIM(LEFT($Q28&amp;",",FIND(",",$Q28&amp;",")-1))))</f>
        <v/>
      </c>
      <c r="BM28">
        <f>IF($BL28="","",MID($BL28,4,FIND("~",SUBSTITUTE($BL28,"-","~",2))-4))</f>
        <v/>
      </c>
      <c r="BN28">
        <f>IF($BL28="","",MID($BL28,FIND("~",SUBSTITUTE($BL28,"-","~",2))+1,FIND("~",SUBSTITUTE($BL28,"-","~",3))-FIND("~",SUBSTITUTE($BL28,"-","~",2))-1))</f>
        <v/>
      </c>
      <c r="BO28">
        <f>IF($BM28="","",IFERROR(VLOOKUP($BM28,DECODE!$A$3:$C$8,3,FALSE),"?"))</f>
        <v/>
      </c>
      <c r="BP28">
        <f>IF($BN28="","",IFERROR(VLOOKUP($BM28&amp;"-"&amp;$BN28,DECODE!$E$3:$F$21,2,FALSE),"?"))</f>
        <v/>
      </c>
      <c r="BQ28">
        <f>IF($BL28="","",IFERROR(VALUE(RIGHT($BL28,3)),""))</f>
        <v/>
      </c>
      <c r="BR28">
        <f>IF($W28="","",IFERROR(IF(ISNUMBER($W28),$W28,DATEVALUE(TRIM($W28))),""))</f>
        <v/>
      </c>
      <c r="BS28">
        <f>IF($BR28="","",IF(MONTH($BR28)&gt;=12,"Cold Winter",IF(MONTH($BR28)&gt;=10,"Post-Monsoon",IF(MONTH($BR28)&gt;=6,"Hot Humid",IF(MONTH($BR28)&gt;=3,"Hot Dry","Cold Winter")))))</f>
        <v/>
      </c>
      <c r="BT28">
        <f>IF($BM28="","",IFERROR(VLOOKUP($BM28,DECODE!$A$3:$C$8,2,FALSE),"?"))</f>
        <v/>
      </c>
      <c r="BU28">
        <f>IF($R28="","",UPPER(TRIM(LEFT($R28&amp;",",FIND(",",$R28&amp;",")-1))))</f>
        <v/>
      </c>
      <c r="BV28">
        <f>IF($BU28="","",MID($BU28,4,FIND("~",SUBSTITUTE($BU28,"-","~",2))-4))</f>
        <v/>
      </c>
      <c r="BW28">
        <f>IF($BU28="","",MID($BU28,FIND("~",SUBSTITUTE($BU28,"-","~",2))+1,FIND("~",SUBSTITUTE($BU28,"-","~",3))-FIND("~",SUBSTITUTE($BU28,"-","~",2))-1))</f>
        <v/>
      </c>
      <c r="BX28">
        <f>IF($BV28="","",IFERROR(VLOOKUP($BV28,DECODE!$A$3:$C$8,3,FALSE),"?"))</f>
        <v/>
      </c>
      <c r="BY28">
        <f>IF($BW28="","",IFERROR(VLOOKUP($BV28&amp;"-"&amp;$BW28,DECODE!$E$3:$F$21,2,FALSE),"?"))</f>
        <v/>
      </c>
      <c r="BZ28">
        <f>IF($BU28="","",IFERROR(VALUE(RIGHT($BU28,3)),""))</f>
        <v/>
      </c>
      <c r="CA28">
        <f>IF($X28="","",IFERROR(IF(ISNUMBER($X28),$X28,DATEVALUE(TRIM($X28))),""))</f>
        <v/>
      </c>
      <c r="CB28">
        <f>IF($CA28="","",IF(MONTH($CA28)&gt;=12,"Cold Winter",IF(MONTH($CA28)&gt;=10,"Post-Monsoon",IF(MONTH($CA28)&gt;=6,"Hot Humid",IF(MONTH($CA28)&gt;=3,"Hot Dry","Cold Winter")))))</f>
        <v/>
      </c>
      <c r="CC28">
        <f>IF($BV28="","",IFERROR(VLOOKUP($BV28,DECODE!$A$3:$C$8,2,FALSE),"?"))</f>
        <v/>
      </c>
      <c r="CD28">
        <f>IF($S28="","",UPPER(TRIM(LEFT($S28&amp;",",FIND(",",$S28&amp;",")-1))))</f>
        <v/>
      </c>
      <c r="CE28">
        <f>IF($CD28="","",MID($CD28,4,FIND("~",SUBSTITUTE($CD28,"-","~",2))-4))</f>
        <v/>
      </c>
      <c r="CF28">
        <f>IF($CD28="","",MID($CD28,FIND("~",SUBSTITUTE($CD28,"-","~",2))+1,FIND("~",SUBSTITUTE($CD28,"-","~",3))-FIND("~",SUBSTITUTE($CD28,"-","~",2))-1))</f>
        <v/>
      </c>
      <c r="CG28">
        <f>IF($CE28="","",IFERROR(VLOOKUP($CE28,DECODE!$A$3:$C$8,3,FALSE),"?"))</f>
        <v/>
      </c>
      <c r="CH28">
        <f>IF($CF28="","",IFERROR(VLOOKUP($CE28&amp;"-"&amp;$CF28,DECODE!$E$3:$F$21,2,FALSE),"?"))</f>
        <v/>
      </c>
      <c r="CI28">
        <f>IF($CD28="","",IFERROR(VALUE(RIGHT($CD28,3)),""))</f>
        <v/>
      </c>
      <c r="CJ28">
        <f>IF($Y28="","",IFERROR(IF(ISNUMBER($Y28),$Y28,DATEVALUE(TRIM($Y28))),""))</f>
        <v/>
      </c>
      <c r="CK28">
        <f>IF($CJ28="","",IF(MONTH($CJ28)&gt;=12,"Cold Winter",IF(MONTH($CJ28)&gt;=10,"Post-Monsoon",IF(MONTH($CJ28)&gt;=6,"Hot Humid",IF(MONTH($CJ28)&gt;=3,"Hot Dry","Cold Winter")))))</f>
        <v/>
      </c>
      <c r="CL28">
        <f>IF($CE28="","",IFERROR(VLOOKUP($CE28,DECODE!$A$3:$C$8,2,FALSE),"?"))</f>
        <v/>
      </c>
      <c r="CM28">
        <f>IF($AN28="","",AN28)</f>
        <v/>
      </c>
      <c r="CN28">
        <f>IF($AO28="","",AO28)</f>
        <v/>
      </c>
      <c r="CO28">
        <f>IF($AP28="","",AP28)</f>
        <v/>
      </c>
      <c r="CP28">
        <f>IF($CM28="","",IF($CM28="Aloe Vera Gel","Aloe Vera Gel "&amp;$CO28&amp;"g",CN28&amp;" "&amp;$CO28&amp;"g"))</f>
        <v/>
      </c>
      <c r="CQ28">
        <f>IF($AT28="",0,1)</f>
        <v/>
      </c>
      <c r="CR28">
        <f>IF($CQ28=0,"",AW28)</f>
        <v/>
      </c>
      <c r="CS28">
        <f>IF($CQ28=0,"",AX28)</f>
        <v/>
      </c>
      <c r="CT28">
        <f>IF($CQ28=0,"",AY28)</f>
        <v/>
      </c>
      <c r="CU28">
        <f>IF($CR28="","",IF($CR28="Aloe Vera Gel","Aloe Vera Gel "&amp;$CT28&amp;"g",CS28&amp;" "&amp;$CT28&amp;"g"))</f>
        <v/>
      </c>
      <c r="CV28">
        <f>IF($CQ28=0,"",IF($CP28=$CU28,"Repeat Exact",IF($CT28&gt;$CO28,"Upsized",IF($CT28&lt;$CO28,"Downsized",IF($CM28&lt;&gt;$CR28,"Lateral","Same Size Diff Variant")))))</f>
        <v/>
      </c>
      <c r="CW28">
        <f>IF($CQ28=0,"",AZ28-AQ28)</f>
        <v/>
      </c>
      <c r="CX28">
        <f>IF($CQ28=0,0,IF(CS28=CN28,1,0))</f>
        <v/>
      </c>
      <c r="CY28">
        <f>IF($CQ28=0,0,IF(CR28=CM28,1,0))</f>
        <v/>
      </c>
      <c r="CZ28">
        <f>IF($A28="","",IF(AND(IF(DASHBOARD!$C$4="All",TRUE,$CM28=DASHBOARD!$C$4),IF(DASHBOARD!$C$6="All",TRUE,$CP28=DASHBOARD!$C$6),IF(DASHBOARD!$C$8="All",TRUE,$AF28&gt;=DASHBOARD!$C$8),IF(DASHBOARD!$C$10="All",TRUE,$AF28&lt;=DASHBOARD!$C$10),IF(DASHBOARD!$C$12="All",TRUE,$AH28=VALUE(DASHBOARD!$C$12)),IF(DASHBOARD!$C$14="All",TRUE,$AJ28=DASHBOARD!$C$14)),1,0))</f>
        <v/>
      </c>
    </row>
    <row r="29">
      <c r="A29" t="n">
        <v>34274</v>
      </c>
      <c r="B29" t="inlineStr">
        <is>
          <t>Face Malai</t>
        </is>
      </c>
      <c r="H29" t="inlineStr">
        <is>
          <t>Tomato Rosehip (Hot Dry) 20 - 35 Yrs Face Malai - 30g</t>
        </is>
      </c>
      <c r="N29" t="inlineStr">
        <is>
          <t>FC-HDDM-TR-030</t>
        </is>
      </c>
      <c r="T29" t="inlineStr">
        <is>
          <t>Jul 13, 2024</t>
        </is>
      </c>
      <c r="AE29" t="inlineStr">
        <is>
          <t>New Delhi</t>
        </is>
      </c>
      <c r="AF29" t="inlineStr">
        <is>
          <t>2024-07</t>
        </is>
      </c>
      <c r="AG29" t="n">
        <v>7</v>
      </c>
      <c r="AH29" t="n">
        <v>1</v>
      </c>
      <c r="AI29" t="n">
        <v>0</v>
      </c>
      <c r="AJ29">
        <f>IF($AE29="","",IFERROR(VLOOKUP(TRIM($AE29),DECODE!$H$3:$I$60,2,FALSE),"Rest of India"))</f>
        <v/>
      </c>
      <c r="AK29">
        <f>IF($N29="","",UPPER(TRIM(LEFT($N29&amp;",",FIND(",",$N29&amp;",")-1))))</f>
        <v/>
      </c>
      <c r="AL29">
        <f>IF($AK29="","",MID($AK29,4,FIND("~",SUBSTITUTE($AK29,"-","~",2))-4))</f>
        <v/>
      </c>
      <c r="AM29">
        <f>IF($AK29="","",MID($AK29,FIND("~",SUBSTITUTE($AK29,"-","~",2))+1,FIND("~",SUBSTITUTE($AK29,"-","~",3))-FIND("~",SUBSTITUTE($AK29,"-","~",2))-1))</f>
        <v/>
      </c>
      <c r="AN29">
        <f>IF($AL29="","",IFERROR(VLOOKUP($AL29,DECODE!$A$3:$C$8,3,FALSE),"?"))</f>
        <v/>
      </c>
      <c r="AO29">
        <f>IF($AM29="","",IFERROR(VLOOKUP($AL29&amp;"-"&amp;$AM29,DECODE!$E$3:$F$21,2,FALSE),"?"))</f>
        <v/>
      </c>
      <c r="AP29">
        <f>IF($AK29="","",IFERROR(VALUE(RIGHT($AK29,3)),""))</f>
        <v/>
      </c>
      <c r="AQ29">
        <f>IF($T29="","",IFERROR(IF(ISNUMBER($T29),$T29,DATEVALUE(TRIM($T29))),""))</f>
        <v/>
      </c>
      <c r="AR29">
        <f>IF($AQ29="","",IF(MONTH($AQ29)&gt;=12,"Cold Winter",IF(MONTH($AQ29)&gt;=10,"Post-Monsoon",IF(MONTH($AQ29)&gt;=6,"Hot Humid",IF(MONTH($AQ29)&gt;=3,"Hot Dry","Cold Winter")))))</f>
        <v/>
      </c>
      <c r="AS29">
        <f>IF($AL29="","",IFERROR(VLOOKUP($AL29,DECODE!$A$3:$C$8,2,FALSE),"?"))</f>
        <v/>
      </c>
      <c r="AT29">
        <f>IF($O29="","",UPPER(TRIM(LEFT($O29&amp;",",FIND(",",$O29&amp;",")-1))))</f>
        <v/>
      </c>
      <c r="AU29">
        <f>IF($AT29="","",MID($AT29,4,FIND("~",SUBSTITUTE($AT29,"-","~",2))-4))</f>
        <v/>
      </c>
      <c r="AV29">
        <f>IF($AT29="","",MID($AT29,FIND("~",SUBSTITUTE($AT29,"-","~",2))+1,FIND("~",SUBSTITUTE($AT29,"-","~",3))-FIND("~",SUBSTITUTE($AT29,"-","~",2))-1))</f>
        <v/>
      </c>
      <c r="AW29">
        <f>IF($AU29="","",IFERROR(VLOOKUP($AU29,DECODE!$A$3:$C$8,3,FALSE),"?"))</f>
        <v/>
      </c>
      <c r="AX29">
        <f>IF($AV29="","",IFERROR(VLOOKUP($AU29&amp;"-"&amp;$AV29,DECODE!$E$3:$F$21,2,FALSE),"?"))</f>
        <v/>
      </c>
      <c r="AY29">
        <f>IF($AT29="","",IFERROR(VALUE(RIGHT($AT29,3)),""))</f>
        <v/>
      </c>
      <c r="AZ29">
        <f>IF($U29="","",IFERROR(IF(ISNUMBER($U29),$U29,DATEVALUE(TRIM($U29))),""))</f>
        <v/>
      </c>
      <c r="BA29">
        <f>IF($AZ29="","",IF(MONTH($AZ29)&gt;=12,"Cold Winter",IF(MONTH($AZ29)&gt;=10,"Post-Monsoon",IF(MONTH($AZ29)&gt;=6,"Hot Humid",IF(MONTH($AZ29)&gt;=3,"Hot Dry","Cold Winter")))))</f>
        <v/>
      </c>
      <c r="BB29">
        <f>IF($AU29="","",IFERROR(VLOOKUP($AU29,DECODE!$A$3:$C$8,2,FALSE),"?"))</f>
        <v/>
      </c>
      <c r="BC29">
        <f>IF($P29="","",UPPER(TRIM(LEFT($P29&amp;",",FIND(",",$P29&amp;",")-1))))</f>
        <v/>
      </c>
      <c r="BD29">
        <f>IF($BC29="","",MID($BC29,4,FIND("~",SUBSTITUTE($BC29,"-","~",2))-4))</f>
        <v/>
      </c>
      <c r="BE29">
        <f>IF($BC29="","",MID($BC29,FIND("~",SUBSTITUTE($BC29,"-","~",2))+1,FIND("~",SUBSTITUTE($BC29,"-","~",3))-FIND("~",SUBSTITUTE($BC29,"-","~",2))-1))</f>
        <v/>
      </c>
      <c r="BF29">
        <f>IF($BD29="","",IFERROR(VLOOKUP($BD29,DECODE!$A$3:$C$8,3,FALSE),"?"))</f>
        <v/>
      </c>
      <c r="BG29">
        <f>IF($BE29="","",IFERROR(VLOOKUP($BD29&amp;"-"&amp;$BE29,DECODE!$E$3:$F$21,2,FALSE),"?"))</f>
        <v/>
      </c>
      <c r="BH29">
        <f>IF($BC29="","",IFERROR(VALUE(RIGHT($BC29,3)),""))</f>
        <v/>
      </c>
      <c r="BI29">
        <f>IF($V29="","",IFERROR(IF(ISNUMBER($V29),$V29,DATEVALUE(TRIM($V29))),""))</f>
        <v/>
      </c>
      <c r="BJ29">
        <f>IF($BI29="","",IF(MONTH($BI29)&gt;=12,"Cold Winter",IF(MONTH($BI29)&gt;=10,"Post-Monsoon",IF(MONTH($BI29)&gt;=6,"Hot Humid",IF(MONTH($BI29)&gt;=3,"Hot Dry","Cold Winter")))))</f>
        <v/>
      </c>
      <c r="BK29">
        <f>IF($BD29="","",IFERROR(VLOOKUP($BD29,DECODE!$A$3:$C$8,2,FALSE),"?"))</f>
        <v/>
      </c>
      <c r="BL29">
        <f>IF($Q29="","",UPPER(TRIM(LEFT($Q29&amp;",",FIND(",",$Q29&amp;",")-1))))</f>
        <v/>
      </c>
      <c r="BM29">
        <f>IF($BL29="","",MID($BL29,4,FIND("~",SUBSTITUTE($BL29,"-","~",2))-4))</f>
        <v/>
      </c>
      <c r="BN29">
        <f>IF($BL29="","",MID($BL29,FIND("~",SUBSTITUTE($BL29,"-","~",2))+1,FIND("~",SUBSTITUTE($BL29,"-","~",3))-FIND("~",SUBSTITUTE($BL29,"-","~",2))-1))</f>
        <v/>
      </c>
      <c r="BO29">
        <f>IF($BM29="","",IFERROR(VLOOKUP($BM29,DECODE!$A$3:$C$8,3,FALSE),"?"))</f>
        <v/>
      </c>
      <c r="BP29">
        <f>IF($BN29="","",IFERROR(VLOOKUP($BM29&amp;"-"&amp;$BN29,DECODE!$E$3:$F$21,2,FALSE),"?"))</f>
        <v/>
      </c>
      <c r="BQ29">
        <f>IF($BL29="","",IFERROR(VALUE(RIGHT($BL29,3)),""))</f>
        <v/>
      </c>
      <c r="BR29">
        <f>IF($W29="","",IFERROR(IF(ISNUMBER($W29),$W29,DATEVALUE(TRIM($W29))),""))</f>
        <v/>
      </c>
      <c r="BS29">
        <f>IF($BR29="","",IF(MONTH($BR29)&gt;=12,"Cold Winter",IF(MONTH($BR29)&gt;=10,"Post-Monsoon",IF(MONTH($BR29)&gt;=6,"Hot Humid",IF(MONTH($BR29)&gt;=3,"Hot Dry","Cold Winter")))))</f>
        <v/>
      </c>
      <c r="BT29">
        <f>IF($BM29="","",IFERROR(VLOOKUP($BM29,DECODE!$A$3:$C$8,2,FALSE),"?"))</f>
        <v/>
      </c>
      <c r="BU29">
        <f>IF($R29="","",UPPER(TRIM(LEFT($R29&amp;",",FIND(",",$R29&amp;",")-1))))</f>
        <v/>
      </c>
      <c r="BV29">
        <f>IF($BU29="","",MID($BU29,4,FIND("~",SUBSTITUTE($BU29,"-","~",2))-4))</f>
        <v/>
      </c>
      <c r="BW29">
        <f>IF($BU29="","",MID($BU29,FIND("~",SUBSTITUTE($BU29,"-","~",2))+1,FIND("~",SUBSTITUTE($BU29,"-","~",3))-FIND("~",SUBSTITUTE($BU29,"-","~",2))-1))</f>
        <v/>
      </c>
      <c r="BX29">
        <f>IF($BV29="","",IFERROR(VLOOKUP($BV29,DECODE!$A$3:$C$8,3,FALSE),"?"))</f>
        <v/>
      </c>
      <c r="BY29">
        <f>IF($BW29="","",IFERROR(VLOOKUP($BV29&amp;"-"&amp;$BW29,DECODE!$E$3:$F$21,2,FALSE),"?"))</f>
        <v/>
      </c>
      <c r="BZ29">
        <f>IF($BU29="","",IFERROR(VALUE(RIGHT($BU29,3)),""))</f>
        <v/>
      </c>
      <c r="CA29">
        <f>IF($X29="","",IFERROR(IF(ISNUMBER($X29),$X29,DATEVALUE(TRIM($X29))),""))</f>
        <v/>
      </c>
      <c r="CB29">
        <f>IF($CA29="","",IF(MONTH($CA29)&gt;=12,"Cold Winter",IF(MONTH($CA29)&gt;=10,"Post-Monsoon",IF(MONTH($CA29)&gt;=6,"Hot Humid",IF(MONTH($CA29)&gt;=3,"Hot Dry","Cold Winter")))))</f>
        <v/>
      </c>
      <c r="CC29">
        <f>IF($BV29="","",IFERROR(VLOOKUP($BV29,DECODE!$A$3:$C$8,2,FALSE),"?"))</f>
        <v/>
      </c>
      <c r="CD29">
        <f>IF($S29="","",UPPER(TRIM(LEFT($S29&amp;",",FIND(",",$S29&amp;",")-1))))</f>
        <v/>
      </c>
      <c r="CE29">
        <f>IF($CD29="","",MID($CD29,4,FIND("~",SUBSTITUTE($CD29,"-","~",2))-4))</f>
        <v/>
      </c>
      <c r="CF29">
        <f>IF($CD29="","",MID($CD29,FIND("~",SUBSTITUTE($CD29,"-","~",2))+1,FIND("~",SUBSTITUTE($CD29,"-","~",3))-FIND("~",SUBSTITUTE($CD29,"-","~",2))-1))</f>
        <v/>
      </c>
      <c r="CG29">
        <f>IF($CE29="","",IFERROR(VLOOKUP($CE29,DECODE!$A$3:$C$8,3,FALSE),"?"))</f>
        <v/>
      </c>
      <c r="CH29">
        <f>IF($CF29="","",IFERROR(VLOOKUP($CE29&amp;"-"&amp;$CF29,DECODE!$E$3:$F$21,2,FALSE),"?"))</f>
        <v/>
      </c>
      <c r="CI29">
        <f>IF($CD29="","",IFERROR(VALUE(RIGHT($CD29,3)),""))</f>
        <v/>
      </c>
      <c r="CJ29">
        <f>IF($Y29="","",IFERROR(IF(ISNUMBER($Y29),$Y29,DATEVALUE(TRIM($Y29))),""))</f>
        <v/>
      </c>
      <c r="CK29">
        <f>IF($CJ29="","",IF(MONTH($CJ29)&gt;=12,"Cold Winter",IF(MONTH($CJ29)&gt;=10,"Post-Monsoon",IF(MONTH($CJ29)&gt;=6,"Hot Humid",IF(MONTH($CJ29)&gt;=3,"Hot Dry","Cold Winter")))))</f>
        <v/>
      </c>
      <c r="CL29">
        <f>IF($CE29="","",IFERROR(VLOOKUP($CE29,DECODE!$A$3:$C$8,2,FALSE),"?"))</f>
        <v/>
      </c>
      <c r="CM29">
        <f>IF($AN29="","",AN29)</f>
        <v/>
      </c>
      <c r="CN29">
        <f>IF($AO29="","",AO29)</f>
        <v/>
      </c>
      <c r="CO29">
        <f>IF($AP29="","",AP29)</f>
        <v/>
      </c>
      <c r="CP29">
        <f>IF($CM29="","",IF($CM29="Aloe Vera Gel","Aloe Vera Gel "&amp;$CO29&amp;"g",CN29&amp;" "&amp;$CO29&amp;"g"))</f>
        <v/>
      </c>
      <c r="CQ29">
        <f>IF($AT29="",0,1)</f>
        <v/>
      </c>
      <c r="CR29">
        <f>IF($CQ29=0,"",AW29)</f>
        <v/>
      </c>
      <c r="CS29">
        <f>IF($CQ29=0,"",AX29)</f>
        <v/>
      </c>
      <c r="CT29">
        <f>IF($CQ29=0,"",AY29)</f>
        <v/>
      </c>
      <c r="CU29">
        <f>IF($CR29="","",IF($CR29="Aloe Vera Gel","Aloe Vera Gel "&amp;$CT29&amp;"g",CS29&amp;" "&amp;$CT29&amp;"g"))</f>
        <v/>
      </c>
      <c r="CV29">
        <f>IF($CQ29=0,"",IF($CP29=$CU29,"Repeat Exact",IF($CT29&gt;$CO29,"Upsized",IF($CT29&lt;$CO29,"Downsized",IF($CM29&lt;&gt;$CR29,"Lateral","Same Size Diff Variant")))))</f>
        <v/>
      </c>
      <c r="CW29">
        <f>IF($CQ29=0,"",AZ29-AQ29)</f>
        <v/>
      </c>
      <c r="CX29">
        <f>IF($CQ29=0,0,IF(CS29=CN29,1,0))</f>
        <v/>
      </c>
      <c r="CY29">
        <f>IF($CQ29=0,0,IF(CR29=CM29,1,0))</f>
        <v/>
      </c>
      <c r="CZ29">
        <f>IF($A29="","",IF(AND(IF(DASHBOARD!$C$4="All",TRUE,$CM29=DASHBOARD!$C$4),IF(DASHBOARD!$C$6="All",TRUE,$CP29=DASHBOARD!$C$6),IF(DASHBOARD!$C$8="All",TRUE,$AF29&gt;=DASHBOARD!$C$8),IF(DASHBOARD!$C$10="All",TRUE,$AF29&lt;=DASHBOARD!$C$10),IF(DASHBOARD!$C$12="All",TRUE,$AH29=VALUE(DASHBOARD!$C$12)),IF(DASHBOARD!$C$14="All",TRUE,$AJ29=DASHBOARD!$C$14)),1,0))</f>
        <v/>
      </c>
    </row>
    <row r="30">
      <c r="A30" t="n">
        <v>34508</v>
      </c>
      <c r="B30" t="inlineStr">
        <is>
          <t>Face Malai</t>
        </is>
      </c>
      <c r="H30" t="inlineStr">
        <is>
          <t>Cocoa Mogra (Overnight) Face Malai - 30g</t>
        </is>
      </c>
      <c r="N30" t="inlineStr">
        <is>
          <t>FC-DM-NR-030</t>
        </is>
      </c>
      <c r="T30" t="inlineStr">
        <is>
          <t>Nov 2, 2025</t>
        </is>
      </c>
      <c r="AE30" t="inlineStr">
        <is>
          <t>New Delhi</t>
        </is>
      </c>
      <c r="AF30" t="inlineStr">
        <is>
          <t>2025-11</t>
        </is>
      </c>
      <c r="AG30" t="n">
        <v>11</v>
      </c>
      <c r="AH30" t="n">
        <v>1</v>
      </c>
      <c r="AI30" t="n">
        <v>0</v>
      </c>
      <c r="AJ30">
        <f>IF($AE30="","",IFERROR(VLOOKUP(TRIM($AE30),DECODE!$H$3:$I$60,2,FALSE),"Rest of India"))</f>
        <v/>
      </c>
      <c r="AK30">
        <f>IF($N30="","",UPPER(TRIM(LEFT($N30&amp;",",FIND(",",$N30&amp;",")-1))))</f>
        <v/>
      </c>
      <c r="AL30">
        <f>IF($AK30="","",MID($AK30,4,FIND("~",SUBSTITUTE($AK30,"-","~",2))-4))</f>
        <v/>
      </c>
      <c r="AM30">
        <f>IF($AK30="","",MID($AK30,FIND("~",SUBSTITUTE($AK30,"-","~",2))+1,FIND("~",SUBSTITUTE($AK30,"-","~",3))-FIND("~",SUBSTITUTE($AK30,"-","~",2))-1))</f>
        <v/>
      </c>
      <c r="AN30">
        <f>IF($AL30="","",IFERROR(VLOOKUP($AL30,DECODE!$A$3:$C$8,3,FALSE),"?"))</f>
        <v/>
      </c>
      <c r="AO30">
        <f>IF($AM30="","",IFERROR(VLOOKUP($AL30&amp;"-"&amp;$AM30,DECODE!$E$3:$F$21,2,FALSE),"?"))</f>
        <v/>
      </c>
      <c r="AP30">
        <f>IF($AK30="","",IFERROR(VALUE(RIGHT($AK30,3)),""))</f>
        <v/>
      </c>
      <c r="AQ30">
        <f>IF($T30="","",IFERROR(IF(ISNUMBER($T30),$T30,DATEVALUE(TRIM($T30))),""))</f>
        <v/>
      </c>
      <c r="AR30">
        <f>IF($AQ30="","",IF(MONTH($AQ30)&gt;=12,"Cold Winter",IF(MONTH($AQ30)&gt;=10,"Post-Monsoon",IF(MONTH($AQ30)&gt;=6,"Hot Humid",IF(MONTH($AQ30)&gt;=3,"Hot Dry","Cold Winter")))))</f>
        <v/>
      </c>
      <c r="AS30">
        <f>IF($AL30="","",IFERROR(VLOOKUP($AL30,DECODE!$A$3:$C$8,2,FALSE),"?"))</f>
        <v/>
      </c>
      <c r="AT30">
        <f>IF($O30="","",UPPER(TRIM(LEFT($O30&amp;",",FIND(",",$O30&amp;",")-1))))</f>
        <v/>
      </c>
      <c r="AU30">
        <f>IF($AT30="","",MID($AT30,4,FIND("~",SUBSTITUTE($AT30,"-","~",2))-4))</f>
        <v/>
      </c>
      <c r="AV30">
        <f>IF($AT30="","",MID($AT30,FIND("~",SUBSTITUTE($AT30,"-","~",2))+1,FIND("~",SUBSTITUTE($AT30,"-","~",3))-FIND("~",SUBSTITUTE($AT30,"-","~",2))-1))</f>
        <v/>
      </c>
      <c r="AW30">
        <f>IF($AU30="","",IFERROR(VLOOKUP($AU30,DECODE!$A$3:$C$8,3,FALSE),"?"))</f>
        <v/>
      </c>
      <c r="AX30">
        <f>IF($AV30="","",IFERROR(VLOOKUP($AU30&amp;"-"&amp;$AV30,DECODE!$E$3:$F$21,2,FALSE),"?"))</f>
        <v/>
      </c>
      <c r="AY30">
        <f>IF($AT30="","",IFERROR(VALUE(RIGHT($AT30,3)),""))</f>
        <v/>
      </c>
      <c r="AZ30">
        <f>IF($U30="","",IFERROR(IF(ISNUMBER($U30),$U30,DATEVALUE(TRIM($U30))),""))</f>
        <v/>
      </c>
      <c r="BA30">
        <f>IF($AZ30="","",IF(MONTH($AZ30)&gt;=12,"Cold Winter",IF(MONTH($AZ30)&gt;=10,"Post-Monsoon",IF(MONTH($AZ30)&gt;=6,"Hot Humid",IF(MONTH($AZ30)&gt;=3,"Hot Dry","Cold Winter")))))</f>
        <v/>
      </c>
      <c r="BB30">
        <f>IF($AU30="","",IFERROR(VLOOKUP($AU30,DECODE!$A$3:$C$8,2,FALSE),"?"))</f>
        <v/>
      </c>
      <c r="BC30">
        <f>IF($P30="","",UPPER(TRIM(LEFT($P30&amp;",",FIND(",",$P30&amp;",")-1))))</f>
        <v/>
      </c>
      <c r="BD30">
        <f>IF($BC30="","",MID($BC30,4,FIND("~",SUBSTITUTE($BC30,"-","~",2))-4))</f>
        <v/>
      </c>
      <c r="BE30">
        <f>IF($BC30="","",MID($BC30,FIND("~",SUBSTITUTE($BC30,"-","~",2))+1,FIND("~",SUBSTITUTE($BC30,"-","~",3))-FIND("~",SUBSTITUTE($BC30,"-","~",2))-1))</f>
        <v/>
      </c>
      <c r="BF30">
        <f>IF($BD30="","",IFERROR(VLOOKUP($BD30,DECODE!$A$3:$C$8,3,FALSE),"?"))</f>
        <v/>
      </c>
      <c r="BG30">
        <f>IF($BE30="","",IFERROR(VLOOKUP($BD30&amp;"-"&amp;$BE30,DECODE!$E$3:$F$21,2,FALSE),"?"))</f>
        <v/>
      </c>
      <c r="BH30">
        <f>IF($BC30="","",IFERROR(VALUE(RIGHT($BC30,3)),""))</f>
        <v/>
      </c>
      <c r="BI30">
        <f>IF($V30="","",IFERROR(IF(ISNUMBER($V30),$V30,DATEVALUE(TRIM($V30))),""))</f>
        <v/>
      </c>
      <c r="BJ30">
        <f>IF($BI30="","",IF(MONTH($BI30)&gt;=12,"Cold Winter",IF(MONTH($BI30)&gt;=10,"Post-Monsoon",IF(MONTH($BI30)&gt;=6,"Hot Humid",IF(MONTH($BI30)&gt;=3,"Hot Dry","Cold Winter")))))</f>
        <v/>
      </c>
      <c r="BK30">
        <f>IF($BD30="","",IFERROR(VLOOKUP($BD30,DECODE!$A$3:$C$8,2,FALSE),"?"))</f>
        <v/>
      </c>
      <c r="BL30">
        <f>IF($Q30="","",UPPER(TRIM(LEFT($Q30&amp;",",FIND(",",$Q30&amp;",")-1))))</f>
        <v/>
      </c>
      <c r="BM30">
        <f>IF($BL30="","",MID($BL30,4,FIND("~",SUBSTITUTE($BL30,"-","~",2))-4))</f>
        <v/>
      </c>
      <c r="BN30">
        <f>IF($BL30="","",MID($BL30,FIND("~",SUBSTITUTE($BL30,"-","~",2))+1,FIND("~",SUBSTITUTE($BL30,"-","~",3))-FIND("~",SUBSTITUTE($BL30,"-","~",2))-1))</f>
        <v/>
      </c>
      <c r="BO30">
        <f>IF($BM30="","",IFERROR(VLOOKUP($BM30,DECODE!$A$3:$C$8,3,FALSE),"?"))</f>
        <v/>
      </c>
      <c r="BP30">
        <f>IF($BN30="","",IFERROR(VLOOKUP($BM30&amp;"-"&amp;$BN30,DECODE!$E$3:$F$21,2,FALSE),"?"))</f>
        <v/>
      </c>
      <c r="BQ30">
        <f>IF($BL30="","",IFERROR(VALUE(RIGHT($BL30,3)),""))</f>
        <v/>
      </c>
      <c r="BR30">
        <f>IF($W30="","",IFERROR(IF(ISNUMBER($W30),$W30,DATEVALUE(TRIM($W30))),""))</f>
        <v/>
      </c>
      <c r="BS30">
        <f>IF($BR30="","",IF(MONTH($BR30)&gt;=12,"Cold Winter",IF(MONTH($BR30)&gt;=10,"Post-Monsoon",IF(MONTH($BR30)&gt;=6,"Hot Humid",IF(MONTH($BR30)&gt;=3,"Hot Dry","Cold Winter")))))</f>
        <v/>
      </c>
      <c r="BT30">
        <f>IF($BM30="","",IFERROR(VLOOKUP($BM30,DECODE!$A$3:$C$8,2,FALSE),"?"))</f>
        <v/>
      </c>
      <c r="BU30">
        <f>IF($R30="","",UPPER(TRIM(LEFT($R30&amp;",",FIND(",",$R30&amp;",")-1))))</f>
        <v/>
      </c>
      <c r="BV30">
        <f>IF($BU30="","",MID($BU30,4,FIND("~",SUBSTITUTE($BU30,"-","~",2))-4))</f>
        <v/>
      </c>
      <c r="BW30">
        <f>IF($BU30="","",MID($BU30,FIND("~",SUBSTITUTE($BU30,"-","~",2))+1,FIND("~",SUBSTITUTE($BU30,"-","~",3))-FIND("~",SUBSTITUTE($BU30,"-","~",2))-1))</f>
        <v/>
      </c>
      <c r="BX30">
        <f>IF($BV30="","",IFERROR(VLOOKUP($BV30,DECODE!$A$3:$C$8,3,FALSE),"?"))</f>
        <v/>
      </c>
      <c r="BY30">
        <f>IF($BW30="","",IFERROR(VLOOKUP($BV30&amp;"-"&amp;$BW30,DECODE!$E$3:$F$21,2,FALSE),"?"))</f>
        <v/>
      </c>
      <c r="BZ30">
        <f>IF($BU30="","",IFERROR(VALUE(RIGHT($BU30,3)),""))</f>
        <v/>
      </c>
      <c r="CA30">
        <f>IF($X30="","",IFERROR(IF(ISNUMBER($X30),$X30,DATEVALUE(TRIM($X30))),""))</f>
        <v/>
      </c>
      <c r="CB30">
        <f>IF($CA30="","",IF(MONTH($CA30)&gt;=12,"Cold Winter",IF(MONTH($CA30)&gt;=10,"Post-Monsoon",IF(MONTH($CA30)&gt;=6,"Hot Humid",IF(MONTH($CA30)&gt;=3,"Hot Dry","Cold Winter")))))</f>
        <v/>
      </c>
      <c r="CC30">
        <f>IF($BV30="","",IFERROR(VLOOKUP($BV30,DECODE!$A$3:$C$8,2,FALSE),"?"))</f>
        <v/>
      </c>
      <c r="CD30">
        <f>IF($S30="","",UPPER(TRIM(LEFT($S30&amp;",",FIND(",",$S30&amp;",")-1))))</f>
        <v/>
      </c>
      <c r="CE30">
        <f>IF($CD30="","",MID($CD30,4,FIND("~",SUBSTITUTE($CD30,"-","~",2))-4))</f>
        <v/>
      </c>
      <c r="CF30">
        <f>IF($CD30="","",MID($CD30,FIND("~",SUBSTITUTE($CD30,"-","~",2))+1,FIND("~",SUBSTITUTE($CD30,"-","~",3))-FIND("~",SUBSTITUTE($CD30,"-","~",2))-1))</f>
        <v/>
      </c>
      <c r="CG30">
        <f>IF($CE30="","",IFERROR(VLOOKUP($CE30,DECODE!$A$3:$C$8,3,FALSE),"?"))</f>
        <v/>
      </c>
      <c r="CH30">
        <f>IF($CF30="","",IFERROR(VLOOKUP($CE30&amp;"-"&amp;$CF30,DECODE!$E$3:$F$21,2,FALSE),"?"))</f>
        <v/>
      </c>
      <c r="CI30">
        <f>IF($CD30="","",IFERROR(VALUE(RIGHT($CD30,3)),""))</f>
        <v/>
      </c>
      <c r="CJ30">
        <f>IF($Y30="","",IFERROR(IF(ISNUMBER($Y30),$Y30,DATEVALUE(TRIM($Y30))),""))</f>
        <v/>
      </c>
      <c r="CK30">
        <f>IF($CJ30="","",IF(MONTH($CJ30)&gt;=12,"Cold Winter",IF(MONTH($CJ30)&gt;=10,"Post-Monsoon",IF(MONTH($CJ30)&gt;=6,"Hot Humid",IF(MONTH($CJ30)&gt;=3,"Hot Dry","Cold Winter")))))</f>
        <v/>
      </c>
      <c r="CL30">
        <f>IF($CE30="","",IFERROR(VLOOKUP($CE30,DECODE!$A$3:$C$8,2,FALSE),"?"))</f>
        <v/>
      </c>
      <c r="CM30">
        <f>IF($AN30="","",AN30)</f>
        <v/>
      </c>
      <c r="CN30">
        <f>IF($AO30="","",AO30)</f>
        <v/>
      </c>
      <c r="CO30">
        <f>IF($AP30="","",AP30)</f>
        <v/>
      </c>
      <c r="CP30">
        <f>IF($CM30="","",IF($CM30="Aloe Vera Gel","Aloe Vera Gel "&amp;$CO30&amp;"g",CN30&amp;" "&amp;$CO30&amp;"g"))</f>
        <v/>
      </c>
      <c r="CQ30">
        <f>IF($AT30="",0,1)</f>
        <v/>
      </c>
      <c r="CR30">
        <f>IF($CQ30=0,"",AW30)</f>
        <v/>
      </c>
      <c r="CS30">
        <f>IF($CQ30=0,"",AX30)</f>
        <v/>
      </c>
      <c r="CT30">
        <f>IF($CQ30=0,"",AY30)</f>
        <v/>
      </c>
      <c r="CU30">
        <f>IF($CR30="","",IF($CR30="Aloe Vera Gel","Aloe Vera Gel "&amp;$CT30&amp;"g",CS30&amp;" "&amp;$CT30&amp;"g"))</f>
        <v/>
      </c>
      <c r="CV30">
        <f>IF($CQ30=0,"",IF($CP30=$CU30,"Repeat Exact",IF($CT30&gt;$CO30,"Upsized",IF($CT30&lt;$CO30,"Downsized",IF($CM30&lt;&gt;$CR30,"Lateral","Same Size Diff Variant")))))</f>
        <v/>
      </c>
      <c r="CW30">
        <f>IF($CQ30=0,"",AZ30-AQ30)</f>
        <v/>
      </c>
      <c r="CX30">
        <f>IF($CQ30=0,0,IF(CS30=CN30,1,0))</f>
        <v/>
      </c>
      <c r="CY30">
        <f>IF($CQ30=0,0,IF(CR30=CM30,1,0))</f>
        <v/>
      </c>
      <c r="CZ30">
        <f>IF($A30="","",IF(AND(IF(DASHBOARD!$C$4="All",TRUE,$CM30=DASHBOARD!$C$4),IF(DASHBOARD!$C$6="All",TRUE,$CP30=DASHBOARD!$C$6),IF(DASHBOARD!$C$8="All",TRUE,$AF30&gt;=DASHBOARD!$C$8),IF(DASHBOARD!$C$10="All",TRUE,$AF30&lt;=DASHBOARD!$C$10),IF(DASHBOARD!$C$12="All",TRUE,$AH30=VALUE(DASHBOARD!$C$12)),IF(DASHBOARD!$C$14="All",TRUE,$AJ30=DASHBOARD!$C$14)),1,0))</f>
        <v/>
      </c>
    </row>
    <row r="31">
      <c r="A31" t="n">
        <v>34893</v>
      </c>
      <c r="B31" t="inlineStr">
        <is>
          <t>Active Gel, Face Malai</t>
        </is>
      </c>
      <c r="H31" t="inlineStr">
        <is>
          <t>Clove Tea-Tree (Anti-Acne) Face Malai, Active Neem TeaTree Gel</t>
        </is>
      </c>
      <c r="N31" t="inlineStr">
        <is>
          <t>FC-DM-AA-030, FC-AC-NT-050</t>
        </is>
      </c>
      <c r="T31" t="inlineStr">
        <is>
          <t>Mar 9, 2025</t>
        </is>
      </c>
      <c r="AE31" t="inlineStr">
        <is>
          <t>New Delhi</t>
        </is>
      </c>
      <c r="AF31" t="inlineStr">
        <is>
          <t>2025-03</t>
        </is>
      </c>
      <c r="AG31" t="n">
        <v>3</v>
      </c>
      <c r="AH31" t="n">
        <v>1</v>
      </c>
      <c r="AI31" t="n">
        <v>0</v>
      </c>
      <c r="AJ31">
        <f>IF($AE31="","",IFERROR(VLOOKUP(TRIM($AE31),DECODE!$H$3:$I$60,2,FALSE),"Rest of India"))</f>
        <v/>
      </c>
      <c r="AK31">
        <f>IF($N31="","",UPPER(TRIM(LEFT($N31&amp;",",FIND(",",$N31&amp;",")-1))))</f>
        <v/>
      </c>
      <c r="AL31">
        <f>IF($AK31="","",MID($AK31,4,FIND("~",SUBSTITUTE($AK31,"-","~",2))-4))</f>
        <v/>
      </c>
      <c r="AM31">
        <f>IF($AK31="","",MID($AK31,FIND("~",SUBSTITUTE($AK31,"-","~",2))+1,FIND("~",SUBSTITUTE($AK31,"-","~",3))-FIND("~",SUBSTITUTE($AK31,"-","~",2))-1))</f>
        <v/>
      </c>
      <c r="AN31">
        <f>IF($AL31="","",IFERROR(VLOOKUP($AL31,DECODE!$A$3:$C$8,3,FALSE),"?"))</f>
        <v/>
      </c>
      <c r="AO31">
        <f>IF($AM31="","",IFERROR(VLOOKUP($AL31&amp;"-"&amp;$AM31,DECODE!$E$3:$F$21,2,FALSE),"?"))</f>
        <v/>
      </c>
      <c r="AP31">
        <f>IF($AK31="","",IFERROR(VALUE(RIGHT($AK31,3)),""))</f>
        <v/>
      </c>
      <c r="AQ31">
        <f>IF($T31="","",IFERROR(IF(ISNUMBER($T31),$T31,DATEVALUE(TRIM($T31))),""))</f>
        <v/>
      </c>
      <c r="AR31">
        <f>IF($AQ31="","",IF(MONTH($AQ31)&gt;=12,"Cold Winter",IF(MONTH($AQ31)&gt;=10,"Post-Monsoon",IF(MONTH($AQ31)&gt;=6,"Hot Humid",IF(MONTH($AQ31)&gt;=3,"Hot Dry","Cold Winter")))))</f>
        <v/>
      </c>
      <c r="AS31">
        <f>IF($AL31="","",IFERROR(VLOOKUP($AL31,DECODE!$A$3:$C$8,2,FALSE),"?"))</f>
        <v/>
      </c>
      <c r="AT31">
        <f>IF($O31="","",UPPER(TRIM(LEFT($O31&amp;",",FIND(",",$O31&amp;",")-1))))</f>
        <v/>
      </c>
      <c r="AU31">
        <f>IF($AT31="","",MID($AT31,4,FIND("~",SUBSTITUTE($AT31,"-","~",2))-4))</f>
        <v/>
      </c>
      <c r="AV31">
        <f>IF($AT31="","",MID($AT31,FIND("~",SUBSTITUTE($AT31,"-","~",2))+1,FIND("~",SUBSTITUTE($AT31,"-","~",3))-FIND("~",SUBSTITUTE($AT31,"-","~",2))-1))</f>
        <v/>
      </c>
      <c r="AW31">
        <f>IF($AU31="","",IFERROR(VLOOKUP($AU31,DECODE!$A$3:$C$8,3,FALSE),"?"))</f>
        <v/>
      </c>
      <c r="AX31">
        <f>IF($AV31="","",IFERROR(VLOOKUP($AU31&amp;"-"&amp;$AV31,DECODE!$E$3:$F$21,2,FALSE),"?"))</f>
        <v/>
      </c>
      <c r="AY31">
        <f>IF($AT31="","",IFERROR(VALUE(RIGHT($AT31,3)),""))</f>
        <v/>
      </c>
      <c r="AZ31">
        <f>IF($U31="","",IFERROR(IF(ISNUMBER($U31),$U31,DATEVALUE(TRIM($U31))),""))</f>
        <v/>
      </c>
      <c r="BA31">
        <f>IF($AZ31="","",IF(MONTH($AZ31)&gt;=12,"Cold Winter",IF(MONTH($AZ31)&gt;=10,"Post-Monsoon",IF(MONTH($AZ31)&gt;=6,"Hot Humid",IF(MONTH($AZ31)&gt;=3,"Hot Dry","Cold Winter")))))</f>
        <v/>
      </c>
      <c r="BB31">
        <f>IF($AU31="","",IFERROR(VLOOKUP($AU31,DECODE!$A$3:$C$8,2,FALSE),"?"))</f>
        <v/>
      </c>
      <c r="BC31">
        <f>IF($P31="","",UPPER(TRIM(LEFT($P31&amp;",",FIND(",",$P31&amp;",")-1))))</f>
        <v/>
      </c>
      <c r="BD31">
        <f>IF($BC31="","",MID($BC31,4,FIND("~",SUBSTITUTE($BC31,"-","~",2))-4))</f>
        <v/>
      </c>
      <c r="BE31">
        <f>IF($BC31="","",MID($BC31,FIND("~",SUBSTITUTE($BC31,"-","~",2))+1,FIND("~",SUBSTITUTE($BC31,"-","~",3))-FIND("~",SUBSTITUTE($BC31,"-","~",2))-1))</f>
        <v/>
      </c>
      <c r="BF31">
        <f>IF($BD31="","",IFERROR(VLOOKUP($BD31,DECODE!$A$3:$C$8,3,FALSE),"?"))</f>
        <v/>
      </c>
      <c r="BG31">
        <f>IF($BE31="","",IFERROR(VLOOKUP($BD31&amp;"-"&amp;$BE31,DECODE!$E$3:$F$21,2,FALSE),"?"))</f>
        <v/>
      </c>
      <c r="BH31">
        <f>IF($BC31="","",IFERROR(VALUE(RIGHT($BC31,3)),""))</f>
        <v/>
      </c>
      <c r="BI31">
        <f>IF($V31="","",IFERROR(IF(ISNUMBER($V31),$V31,DATEVALUE(TRIM($V31))),""))</f>
        <v/>
      </c>
      <c r="BJ31">
        <f>IF($BI31="","",IF(MONTH($BI31)&gt;=12,"Cold Winter",IF(MONTH($BI31)&gt;=10,"Post-Monsoon",IF(MONTH($BI31)&gt;=6,"Hot Humid",IF(MONTH($BI31)&gt;=3,"Hot Dry","Cold Winter")))))</f>
        <v/>
      </c>
      <c r="BK31">
        <f>IF($BD31="","",IFERROR(VLOOKUP($BD31,DECODE!$A$3:$C$8,2,FALSE),"?"))</f>
        <v/>
      </c>
      <c r="BL31">
        <f>IF($Q31="","",UPPER(TRIM(LEFT($Q31&amp;",",FIND(",",$Q31&amp;",")-1))))</f>
        <v/>
      </c>
      <c r="BM31">
        <f>IF($BL31="","",MID($BL31,4,FIND("~",SUBSTITUTE($BL31,"-","~",2))-4))</f>
        <v/>
      </c>
      <c r="BN31">
        <f>IF($BL31="","",MID($BL31,FIND("~",SUBSTITUTE($BL31,"-","~",2))+1,FIND("~",SUBSTITUTE($BL31,"-","~",3))-FIND("~",SUBSTITUTE($BL31,"-","~",2))-1))</f>
        <v/>
      </c>
      <c r="BO31">
        <f>IF($BM31="","",IFERROR(VLOOKUP($BM31,DECODE!$A$3:$C$8,3,FALSE),"?"))</f>
        <v/>
      </c>
      <c r="BP31">
        <f>IF($BN31="","",IFERROR(VLOOKUP($BM31&amp;"-"&amp;$BN31,DECODE!$E$3:$F$21,2,FALSE),"?"))</f>
        <v/>
      </c>
      <c r="BQ31">
        <f>IF($BL31="","",IFERROR(VALUE(RIGHT($BL31,3)),""))</f>
        <v/>
      </c>
      <c r="BR31">
        <f>IF($W31="","",IFERROR(IF(ISNUMBER($W31),$W31,DATEVALUE(TRIM($W31))),""))</f>
        <v/>
      </c>
      <c r="BS31">
        <f>IF($BR31="","",IF(MONTH($BR31)&gt;=12,"Cold Winter",IF(MONTH($BR31)&gt;=10,"Post-Monsoon",IF(MONTH($BR31)&gt;=6,"Hot Humid",IF(MONTH($BR31)&gt;=3,"Hot Dry","Cold Winter")))))</f>
        <v/>
      </c>
      <c r="BT31">
        <f>IF($BM31="","",IFERROR(VLOOKUP($BM31,DECODE!$A$3:$C$8,2,FALSE),"?"))</f>
        <v/>
      </c>
      <c r="BU31">
        <f>IF($R31="","",UPPER(TRIM(LEFT($R31&amp;",",FIND(",",$R31&amp;",")-1))))</f>
        <v/>
      </c>
      <c r="BV31">
        <f>IF($BU31="","",MID($BU31,4,FIND("~",SUBSTITUTE($BU31,"-","~",2))-4))</f>
        <v/>
      </c>
      <c r="BW31">
        <f>IF($BU31="","",MID($BU31,FIND("~",SUBSTITUTE($BU31,"-","~",2))+1,FIND("~",SUBSTITUTE($BU31,"-","~",3))-FIND("~",SUBSTITUTE($BU31,"-","~",2))-1))</f>
        <v/>
      </c>
      <c r="BX31">
        <f>IF($BV31="","",IFERROR(VLOOKUP($BV31,DECODE!$A$3:$C$8,3,FALSE),"?"))</f>
        <v/>
      </c>
      <c r="BY31">
        <f>IF($BW31="","",IFERROR(VLOOKUP($BV31&amp;"-"&amp;$BW31,DECODE!$E$3:$F$21,2,FALSE),"?"))</f>
        <v/>
      </c>
      <c r="BZ31">
        <f>IF($BU31="","",IFERROR(VALUE(RIGHT($BU31,3)),""))</f>
        <v/>
      </c>
      <c r="CA31">
        <f>IF($X31="","",IFERROR(IF(ISNUMBER($X31),$X31,DATEVALUE(TRIM($X31))),""))</f>
        <v/>
      </c>
      <c r="CB31">
        <f>IF($CA31="","",IF(MONTH($CA31)&gt;=12,"Cold Winter",IF(MONTH($CA31)&gt;=10,"Post-Monsoon",IF(MONTH($CA31)&gt;=6,"Hot Humid",IF(MONTH($CA31)&gt;=3,"Hot Dry","Cold Winter")))))</f>
        <v/>
      </c>
      <c r="CC31">
        <f>IF($BV31="","",IFERROR(VLOOKUP($BV31,DECODE!$A$3:$C$8,2,FALSE),"?"))</f>
        <v/>
      </c>
      <c r="CD31">
        <f>IF($S31="","",UPPER(TRIM(LEFT($S31&amp;",",FIND(",",$S31&amp;",")-1))))</f>
        <v/>
      </c>
      <c r="CE31">
        <f>IF($CD31="","",MID($CD31,4,FIND("~",SUBSTITUTE($CD31,"-","~",2))-4))</f>
        <v/>
      </c>
      <c r="CF31">
        <f>IF($CD31="","",MID($CD31,FIND("~",SUBSTITUTE($CD31,"-","~",2))+1,FIND("~",SUBSTITUTE($CD31,"-","~",3))-FIND("~",SUBSTITUTE($CD31,"-","~",2))-1))</f>
        <v/>
      </c>
      <c r="CG31">
        <f>IF($CE31="","",IFERROR(VLOOKUP($CE31,DECODE!$A$3:$C$8,3,FALSE),"?"))</f>
        <v/>
      </c>
      <c r="CH31">
        <f>IF($CF31="","",IFERROR(VLOOKUP($CE31&amp;"-"&amp;$CF31,DECODE!$E$3:$F$21,2,FALSE),"?"))</f>
        <v/>
      </c>
      <c r="CI31">
        <f>IF($CD31="","",IFERROR(VALUE(RIGHT($CD31,3)),""))</f>
        <v/>
      </c>
      <c r="CJ31">
        <f>IF($Y31="","",IFERROR(IF(ISNUMBER($Y31),$Y31,DATEVALUE(TRIM($Y31))),""))</f>
        <v/>
      </c>
      <c r="CK31">
        <f>IF($CJ31="","",IF(MONTH($CJ31)&gt;=12,"Cold Winter",IF(MONTH($CJ31)&gt;=10,"Post-Monsoon",IF(MONTH($CJ31)&gt;=6,"Hot Humid",IF(MONTH($CJ31)&gt;=3,"Hot Dry","Cold Winter")))))</f>
        <v/>
      </c>
      <c r="CL31">
        <f>IF($CE31="","",IFERROR(VLOOKUP($CE31,DECODE!$A$3:$C$8,2,FALSE),"?"))</f>
        <v/>
      </c>
      <c r="CM31">
        <f>IF($AN31="","",AN31)</f>
        <v/>
      </c>
      <c r="CN31">
        <f>IF($AO31="","",AO31)</f>
        <v/>
      </c>
      <c r="CO31">
        <f>IF($AP31="","",AP31)</f>
        <v/>
      </c>
      <c r="CP31">
        <f>IF($CM31="","",IF($CM31="Aloe Vera Gel","Aloe Vera Gel "&amp;$CO31&amp;"g",CN31&amp;" "&amp;$CO31&amp;"g"))</f>
        <v/>
      </c>
      <c r="CQ31">
        <f>IF($AT31="",0,1)</f>
        <v/>
      </c>
      <c r="CR31">
        <f>IF($CQ31=0,"",AW31)</f>
        <v/>
      </c>
      <c r="CS31">
        <f>IF($CQ31=0,"",AX31)</f>
        <v/>
      </c>
      <c r="CT31">
        <f>IF($CQ31=0,"",AY31)</f>
        <v/>
      </c>
      <c r="CU31">
        <f>IF($CR31="","",IF($CR31="Aloe Vera Gel","Aloe Vera Gel "&amp;$CT31&amp;"g",CS31&amp;" "&amp;$CT31&amp;"g"))</f>
        <v/>
      </c>
      <c r="CV31">
        <f>IF($CQ31=0,"",IF($CP31=$CU31,"Repeat Exact",IF($CT31&gt;$CO31,"Upsized",IF($CT31&lt;$CO31,"Downsized",IF($CM31&lt;&gt;$CR31,"Lateral","Same Size Diff Variant")))))</f>
        <v/>
      </c>
      <c r="CW31">
        <f>IF($CQ31=0,"",AZ31-AQ31)</f>
        <v/>
      </c>
      <c r="CX31">
        <f>IF($CQ31=0,0,IF(CS31=CN31,1,0))</f>
        <v/>
      </c>
      <c r="CY31">
        <f>IF($CQ31=0,0,IF(CR31=CM31,1,0))</f>
        <v/>
      </c>
      <c r="CZ31">
        <f>IF($A31="","",IF(AND(IF(DASHBOARD!$C$4="All",TRUE,$CM31=DASHBOARD!$C$4),IF(DASHBOARD!$C$6="All",TRUE,$CP31=DASHBOARD!$C$6),IF(DASHBOARD!$C$8="All",TRUE,$AF31&gt;=DASHBOARD!$C$8),IF(DASHBOARD!$C$10="All",TRUE,$AF31&lt;=DASHBOARD!$C$10),IF(DASHBOARD!$C$12="All",TRUE,$AH31=VALUE(DASHBOARD!$C$12)),IF(DASHBOARD!$C$14="All",TRUE,$AJ31=DASHBOARD!$C$14)),1,0))</f>
        <v/>
      </c>
    </row>
    <row r="32">
      <c r="A32" t="n">
        <v>35018</v>
      </c>
      <c r="B32" t="inlineStr">
        <is>
          <t>Face Malai</t>
        </is>
      </c>
      <c r="H32" t="inlineStr">
        <is>
          <t>Flax Carrot (Hot Humid) 35+ Face Malai - 50g</t>
        </is>
      </c>
      <c r="N32" t="inlineStr">
        <is>
          <t>FC-HHDM-FC-050</t>
        </is>
      </c>
      <c r="T32" t="inlineStr">
        <is>
          <t>May 1, 2026</t>
        </is>
      </c>
      <c r="AE32" t="inlineStr">
        <is>
          <t>New Delhi</t>
        </is>
      </c>
      <c r="AF32" t="inlineStr">
        <is>
          <t>2026-05</t>
        </is>
      </c>
      <c r="AG32" t="n">
        <v>5</v>
      </c>
      <c r="AH32" t="n">
        <v>1</v>
      </c>
      <c r="AI32" t="n">
        <v>0</v>
      </c>
      <c r="AJ32">
        <f>IF($AE32="","",IFERROR(VLOOKUP(TRIM($AE32),DECODE!$H$3:$I$60,2,FALSE),"Rest of India"))</f>
        <v/>
      </c>
      <c r="AK32">
        <f>IF($N32="","",UPPER(TRIM(LEFT($N32&amp;",",FIND(",",$N32&amp;",")-1))))</f>
        <v/>
      </c>
      <c r="AL32">
        <f>IF($AK32="","",MID($AK32,4,FIND("~",SUBSTITUTE($AK32,"-","~",2))-4))</f>
        <v/>
      </c>
      <c r="AM32">
        <f>IF($AK32="","",MID($AK32,FIND("~",SUBSTITUTE($AK32,"-","~",2))+1,FIND("~",SUBSTITUTE($AK32,"-","~",3))-FIND("~",SUBSTITUTE($AK32,"-","~",2))-1))</f>
        <v/>
      </c>
      <c r="AN32">
        <f>IF($AL32="","",IFERROR(VLOOKUP($AL32,DECODE!$A$3:$C$8,3,FALSE),"?"))</f>
        <v/>
      </c>
      <c r="AO32">
        <f>IF($AM32="","",IFERROR(VLOOKUP($AL32&amp;"-"&amp;$AM32,DECODE!$E$3:$F$21,2,FALSE),"?"))</f>
        <v/>
      </c>
      <c r="AP32">
        <f>IF($AK32="","",IFERROR(VALUE(RIGHT($AK32,3)),""))</f>
        <v/>
      </c>
      <c r="AQ32">
        <f>IF($T32="","",IFERROR(IF(ISNUMBER($T32),$T32,DATEVALUE(TRIM($T32))),""))</f>
        <v/>
      </c>
      <c r="AR32">
        <f>IF($AQ32="","",IF(MONTH($AQ32)&gt;=12,"Cold Winter",IF(MONTH($AQ32)&gt;=10,"Post-Monsoon",IF(MONTH($AQ32)&gt;=6,"Hot Humid",IF(MONTH($AQ32)&gt;=3,"Hot Dry","Cold Winter")))))</f>
        <v/>
      </c>
      <c r="AS32">
        <f>IF($AL32="","",IFERROR(VLOOKUP($AL32,DECODE!$A$3:$C$8,2,FALSE),"?"))</f>
        <v/>
      </c>
      <c r="AT32">
        <f>IF($O32="","",UPPER(TRIM(LEFT($O32&amp;",",FIND(",",$O32&amp;",")-1))))</f>
        <v/>
      </c>
      <c r="AU32">
        <f>IF($AT32="","",MID($AT32,4,FIND("~",SUBSTITUTE($AT32,"-","~",2))-4))</f>
        <v/>
      </c>
      <c r="AV32">
        <f>IF($AT32="","",MID($AT32,FIND("~",SUBSTITUTE($AT32,"-","~",2))+1,FIND("~",SUBSTITUTE($AT32,"-","~",3))-FIND("~",SUBSTITUTE($AT32,"-","~",2))-1))</f>
        <v/>
      </c>
      <c r="AW32">
        <f>IF($AU32="","",IFERROR(VLOOKUP($AU32,DECODE!$A$3:$C$8,3,FALSE),"?"))</f>
        <v/>
      </c>
      <c r="AX32">
        <f>IF($AV32="","",IFERROR(VLOOKUP($AU32&amp;"-"&amp;$AV32,DECODE!$E$3:$F$21,2,FALSE),"?"))</f>
        <v/>
      </c>
      <c r="AY32">
        <f>IF($AT32="","",IFERROR(VALUE(RIGHT($AT32,3)),""))</f>
        <v/>
      </c>
      <c r="AZ32">
        <f>IF($U32="","",IFERROR(IF(ISNUMBER($U32),$U32,DATEVALUE(TRIM($U32))),""))</f>
        <v/>
      </c>
      <c r="BA32">
        <f>IF($AZ32="","",IF(MONTH($AZ32)&gt;=12,"Cold Winter",IF(MONTH($AZ32)&gt;=10,"Post-Monsoon",IF(MONTH($AZ32)&gt;=6,"Hot Humid",IF(MONTH($AZ32)&gt;=3,"Hot Dry","Cold Winter")))))</f>
        <v/>
      </c>
      <c r="BB32">
        <f>IF($AU32="","",IFERROR(VLOOKUP($AU32,DECODE!$A$3:$C$8,2,FALSE),"?"))</f>
        <v/>
      </c>
      <c r="BC32">
        <f>IF($P32="","",UPPER(TRIM(LEFT($P32&amp;",",FIND(",",$P32&amp;",")-1))))</f>
        <v/>
      </c>
      <c r="BD32">
        <f>IF($BC32="","",MID($BC32,4,FIND("~",SUBSTITUTE($BC32,"-","~",2))-4))</f>
        <v/>
      </c>
      <c r="BE32">
        <f>IF($BC32="","",MID($BC32,FIND("~",SUBSTITUTE($BC32,"-","~",2))+1,FIND("~",SUBSTITUTE($BC32,"-","~",3))-FIND("~",SUBSTITUTE($BC32,"-","~",2))-1))</f>
        <v/>
      </c>
      <c r="BF32">
        <f>IF($BD32="","",IFERROR(VLOOKUP($BD32,DECODE!$A$3:$C$8,3,FALSE),"?"))</f>
        <v/>
      </c>
      <c r="BG32">
        <f>IF($BE32="","",IFERROR(VLOOKUP($BD32&amp;"-"&amp;$BE32,DECODE!$E$3:$F$21,2,FALSE),"?"))</f>
        <v/>
      </c>
      <c r="BH32">
        <f>IF($BC32="","",IFERROR(VALUE(RIGHT($BC32,3)),""))</f>
        <v/>
      </c>
      <c r="BI32">
        <f>IF($V32="","",IFERROR(IF(ISNUMBER($V32),$V32,DATEVALUE(TRIM($V32))),""))</f>
        <v/>
      </c>
      <c r="BJ32">
        <f>IF($BI32="","",IF(MONTH($BI32)&gt;=12,"Cold Winter",IF(MONTH($BI32)&gt;=10,"Post-Monsoon",IF(MONTH($BI32)&gt;=6,"Hot Humid",IF(MONTH($BI32)&gt;=3,"Hot Dry","Cold Winter")))))</f>
        <v/>
      </c>
      <c r="BK32">
        <f>IF($BD32="","",IFERROR(VLOOKUP($BD32,DECODE!$A$3:$C$8,2,FALSE),"?"))</f>
        <v/>
      </c>
      <c r="BL32">
        <f>IF($Q32="","",UPPER(TRIM(LEFT($Q32&amp;",",FIND(",",$Q32&amp;",")-1))))</f>
        <v/>
      </c>
      <c r="BM32">
        <f>IF($BL32="","",MID($BL32,4,FIND("~",SUBSTITUTE($BL32,"-","~",2))-4))</f>
        <v/>
      </c>
      <c r="BN32">
        <f>IF($BL32="","",MID($BL32,FIND("~",SUBSTITUTE($BL32,"-","~",2))+1,FIND("~",SUBSTITUTE($BL32,"-","~",3))-FIND("~",SUBSTITUTE($BL32,"-","~",2))-1))</f>
        <v/>
      </c>
      <c r="BO32">
        <f>IF($BM32="","",IFERROR(VLOOKUP($BM32,DECODE!$A$3:$C$8,3,FALSE),"?"))</f>
        <v/>
      </c>
      <c r="BP32">
        <f>IF($BN32="","",IFERROR(VLOOKUP($BM32&amp;"-"&amp;$BN32,DECODE!$E$3:$F$21,2,FALSE),"?"))</f>
        <v/>
      </c>
      <c r="BQ32">
        <f>IF($BL32="","",IFERROR(VALUE(RIGHT($BL32,3)),""))</f>
        <v/>
      </c>
      <c r="BR32">
        <f>IF($W32="","",IFERROR(IF(ISNUMBER($W32),$W32,DATEVALUE(TRIM($W32))),""))</f>
        <v/>
      </c>
      <c r="BS32">
        <f>IF($BR32="","",IF(MONTH($BR32)&gt;=12,"Cold Winter",IF(MONTH($BR32)&gt;=10,"Post-Monsoon",IF(MONTH($BR32)&gt;=6,"Hot Humid",IF(MONTH($BR32)&gt;=3,"Hot Dry","Cold Winter")))))</f>
        <v/>
      </c>
      <c r="BT32">
        <f>IF($BM32="","",IFERROR(VLOOKUP($BM32,DECODE!$A$3:$C$8,2,FALSE),"?"))</f>
        <v/>
      </c>
      <c r="BU32">
        <f>IF($R32="","",UPPER(TRIM(LEFT($R32&amp;",",FIND(",",$R32&amp;",")-1))))</f>
        <v/>
      </c>
      <c r="BV32">
        <f>IF($BU32="","",MID($BU32,4,FIND("~",SUBSTITUTE($BU32,"-","~",2))-4))</f>
        <v/>
      </c>
      <c r="BW32">
        <f>IF($BU32="","",MID($BU32,FIND("~",SUBSTITUTE($BU32,"-","~",2))+1,FIND("~",SUBSTITUTE($BU32,"-","~",3))-FIND("~",SUBSTITUTE($BU32,"-","~",2))-1))</f>
        <v/>
      </c>
      <c r="BX32">
        <f>IF($BV32="","",IFERROR(VLOOKUP($BV32,DECODE!$A$3:$C$8,3,FALSE),"?"))</f>
        <v/>
      </c>
      <c r="BY32">
        <f>IF($BW32="","",IFERROR(VLOOKUP($BV32&amp;"-"&amp;$BW32,DECODE!$E$3:$F$21,2,FALSE),"?"))</f>
        <v/>
      </c>
      <c r="BZ32">
        <f>IF($BU32="","",IFERROR(VALUE(RIGHT($BU32,3)),""))</f>
        <v/>
      </c>
      <c r="CA32">
        <f>IF($X32="","",IFERROR(IF(ISNUMBER($X32),$X32,DATEVALUE(TRIM($X32))),""))</f>
        <v/>
      </c>
      <c r="CB32">
        <f>IF($CA32="","",IF(MONTH($CA32)&gt;=12,"Cold Winter",IF(MONTH($CA32)&gt;=10,"Post-Monsoon",IF(MONTH($CA32)&gt;=6,"Hot Humid",IF(MONTH($CA32)&gt;=3,"Hot Dry","Cold Winter")))))</f>
        <v/>
      </c>
      <c r="CC32">
        <f>IF($BV32="","",IFERROR(VLOOKUP($BV32,DECODE!$A$3:$C$8,2,FALSE),"?"))</f>
        <v/>
      </c>
      <c r="CD32">
        <f>IF($S32="","",UPPER(TRIM(LEFT($S32&amp;",",FIND(",",$S32&amp;",")-1))))</f>
        <v/>
      </c>
      <c r="CE32">
        <f>IF($CD32="","",MID($CD32,4,FIND("~",SUBSTITUTE($CD32,"-","~",2))-4))</f>
        <v/>
      </c>
      <c r="CF32">
        <f>IF($CD32="","",MID($CD32,FIND("~",SUBSTITUTE($CD32,"-","~",2))+1,FIND("~",SUBSTITUTE($CD32,"-","~",3))-FIND("~",SUBSTITUTE($CD32,"-","~",2))-1))</f>
        <v/>
      </c>
      <c r="CG32">
        <f>IF($CE32="","",IFERROR(VLOOKUP($CE32,DECODE!$A$3:$C$8,3,FALSE),"?"))</f>
        <v/>
      </c>
      <c r="CH32">
        <f>IF($CF32="","",IFERROR(VLOOKUP($CE32&amp;"-"&amp;$CF32,DECODE!$E$3:$F$21,2,FALSE),"?"))</f>
        <v/>
      </c>
      <c r="CI32">
        <f>IF($CD32="","",IFERROR(VALUE(RIGHT($CD32,3)),""))</f>
        <v/>
      </c>
      <c r="CJ32">
        <f>IF($Y32="","",IFERROR(IF(ISNUMBER($Y32),$Y32,DATEVALUE(TRIM($Y32))),""))</f>
        <v/>
      </c>
      <c r="CK32">
        <f>IF($CJ32="","",IF(MONTH($CJ32)&gt;=12,"Cold Winter",IF(MONTH($CJ32)&gt;=10,"Post-Monsoon",IF(MONTH($CJ32)&gt;=6,"Hot Humid",IF(MONTH($CJ32)&gt;=3,"Hot Dry","Cold Winter")))))</f>
        <v/>
      </c>
      <c r="CL32">
        <f>IF($CE32="","",IFERROR(VLOOKUP($CE32,DECODE!$A$3:$C$8,2,FALSE),"?"))</f>
        <v/>
      </c>
      <c r="CM32">
        <f>IF($AN32="","",AN32)</f>
        <v/>
      </c>
      <c r="CN32">
        <f>IF($AO32="","",AO32)</f>
        <v/>
      </c>
      <c r="CO32">
        <f>IF($AP32="","",AP32)</f>
        <v/>
      </c>
      <c r="CP32">
        <f>IF($CM32="","",IF($CM32="Aloe Vera Gel","Aloe Vera Gel "&amp;$CO32&amp;"g",CN32&amp;" "&amp;$CO32&amp;"g"))</f>
        <v/>
      </c>
      <c r="CQ32">
        <f>IF($AT32="",0,1)</f>
        <v/>
      </c>
      <c r="CR32">
        <f>IF($CQ32=0,"",AW32)</f>
        <v/>
      </c>
      <c r="CS32">
        <f>IF($CQ32=0,"",AX32)</f>
        <v/>
      </c>
      <c r="CT32">
        <f>IF($CQ32=0,"",AY32)</f>
        <v/>
      </c>
      <c r="CU32">
        <f>IF($CR32="","",IF($CR32="Aloe Vera Gel","Aloe Vera Gel "&amp;$CT32&amp;"g",CS32&amp;" "&amp;$CT32&amp;"g"))</f>
        <v/>
      </c>
      <c r="CV32">
        <f>IF($CQ32=0,"",IF($CP32=$CU32,"Repeat Exact",IF($CT32&gt;$CO32,"Upsized",IF($CT32&lt;$CO32,"Downsized",IF($CM32&lt;&gt;$CR32,"Lateral","Same Size Diff Variant")))))</f>
        <v/>
      </c>
      <c r="CW32">
        <f>IF($CQ32=0,"",AZ32-AQ32)</f>
        <v/>
      </c>
      <c r="CX32">
        <f>IF($CQ32=0,0,IF(CS32=CN32,1,0))</f>
        <v/>
      </c>
      <c r="CY32">
        <f>IF($CQ32=0,0,IF(CR32=CM32,1,0))</f>
        <v/>
      </c>
      <c r="CZ32">
        <f>IF($A32="","",IF(AND(IF(DASHBOARD!$C$4="All",TRUE,$CM32=DASHBOARD!$C$4),IF(DASHBOARD!$C$6="All",TRUE,$CP32=DASHBOARD!$C$6),IF(DASHBOARD!$C$8="All",TRUE,$AF32&gt;=DASHBOARD!$C$8),IF(DASHBOARD!$C$10="All",TRUE,$AF32&lt;=DASHBOARD!$C$10),IF(DASHBOARD!$C$12="All",TRUE,$AH32=VALUE(DASHBOARD!$C$12)),IF(DASHBOARD!$C$14="All",TRUE,$AJ32=DASHBOARD!$C$14)),1,0))</f>
        <v/>
      </c>
    </row>
    <row r="33">
      <c r="A33" t="n">
        <v>35118</v>
      </c>
      <c r="B33" t="inlineStr">
        <is>
          <t>Active Gel</t>
        </is>
      </c>
      <c r="H33" t="inlineStr">
        <is>
          <t>Active Aloe Cactus Hydra Lift Gel</t>
        </is>
      </c>
      <c r="N33" t="inlineStr">
        <is>
          <t>FC-AC-AC-050</t>
        </is>
      </c>
      <c r="T33" t="inlineStr">
        <is>
          <t>Mar 8, 2024</t>
        </is>
      </c>
      <c r="AE33" t="inlineStr">
        <is>
          <t>New Delhi</t>
        </is>
      </c>
      <c r="AF33" t="inlineStr">
        <is>
          <t>2024-03</t>
        </is>
      </c>
      <c r="AG33" t="n">
        <v>3</v>
      </c>
      <c r="AH33" t="n">
        <v>1</v>
      </c>
      <c r="AI33" t="n">
        <v>0</v>
      </c>
      <c r="AJ33">
        <f>IF($AE33="","",IFERROR(VLOOKUP(TRIM($AE33),DECODE!$H$3:$I$60,2,FALSE),"Rest of India"))</f>
        <v/>
      </c>
      <c r="AK33">
        <f>IF($N33="","",UPPER(TRIM(LEFT($N33&amp;",",FIND(",",$N33&amp;",")-1))))</f>
        <v/>
      </c>
      <c r="AL33">
        <f>IF($AK33="","",MID($AK33,4,FIND("~",SUBSTITUTE($AK33,"-","~",2))-4))</f>
        <v/>
      </c>
      <c r="AM33">
        <f>IF($AK33="","",MID($AK33,FIND("~",SUBSTITUTE($AK33,"-","~",2))+1,FIND("~",SUBSTITUTE($AK33,"-","~",3))-FIND("~",SUBSTITUTE($AK33,"-","~",2))-1))</f>
        <v/>
      </c>
      <c r="AN33">
        <f>IF($AL33="","",IFERROR(VLOOKUP($AL33,DECODE!$A$3:$C$8,3,FALSE),"?"))</f>
        <v/>
      </c>
      <c r="AO33">
        <f>IF($AM33="","",IFERROR(VLOOKUP($AL33&amp;"-"&amp;$AM33,DECODE!$E$3:$F$21,2,FALSE),"?"))</f>
        <v/>
      </c>
      <c r="AP33">
        <f>IF($AK33="","",IFERROR(VALUE(RIGHT($AK33,3)),""))</f>
        <v/>
      </c>
      <c r="AQ33">
        <f>IF($T33="","",IFERROR(IF(ISNUMBER($T33),$T33,DATEVALUE(TRIM($T33))),""))</f>
        <v/>
      </c>
      <c r="AR33">
        <f>IF($AQ33="","",IF(MONTH($AQ33)&gt;=12,"Cold Winter",IF(MONTH($AQ33)&gt;=10,"Post-Monsoon",IF(MONTH($AQ33)&gt;=6,"Hot Humid",IF(MONTH($AQ33)&gt;=3,"Hot Dry","Cold Winter")))))</f>
        <v/>
      </c>
      <c r="AS33">
        <f>IF($AL33="","",IFERROR(VLOOKUP($AL33,DECODE!$A$3:$C$8,2,FALSE),"?"))</f>
        <v/>
      </c>
      <c r="AT33">
        <f>IF($O33="","",UPPER(TRIM(LEFT($O33&amp;",",FIND(",",$O33&amp;",")-1))))</f>
        <v/>
      </c>
      <c r="AU33">
        <f>IF($AT33="","",MID($AT33,4,FIND("~",SUBSTITUTE($AT33,"-","~",2))-4))</f>
        <v/>
      </c>
      <c r="AV33">
        <f>IF($AT33="","",MID($AT33,FIND("~",SUBSTITUTE($AT33,"-","~",2))+1,FIND("~",SUBSTITUTE($AT33,"-","~",3))-FIND("~",SUBSTITUTE($AT33,"-","~",2))-1))</f>
        <v/>
      </c>
      <c r="AW33">
        <f>IF($AU33="","",IFERROR(VLOOKUP($AU33,DECODE!$A$3:$C$8,3,FALSE),"?"))</f>
        <v/>
      </c>
      <c r="AX33">
        <f>IF($AV33="","",IFERROR(VLOOKUP($AU33&amp;"-"&amp;$AV33,DECODE!$E$3:$F$21,2,FALSE),"?"))</f>
        <v/>
      </c>
      <c r="AY33">
        <f>IF($AT33="","",IFERROR(VALUE(RIGHT($AT33,3)),""))</f>
        <v/>
      </c>
      <c r="AZ33">
        <f>IF($U33="","",IFERROR(IF(ISNUMBER($U33),$U33,DATEVALUE(TRIM($U33))),""))</f>
        <v/>
      </c>
      <c r="BA33">
        <f>IF($AZ33="","",IF(MONTH($AZ33)&gt;=12,"Cold Winter",IF(MONTH($AZ33)&gt;=10,"Post-Monsoon",IF(MONTH($AZ33)&gt;=6,"Hot Humid",IF(MONTH($AZ33)&gt;=3,"Hot Dry","Cold Winter")))))</f>
        <v/>
      </c>
      <c r="BB33">
        <f>IF($AU33="","",IFERROR(VLOOKUP($AU33,DECODE!$A$3:$C$8,2,FALSE),"?"))</f>
        <v/>
      </c>
      <c r="BC33">
        <f>IF($P33="","",UPPER(TRIM(LEFT($P33&amp;",",FIND(",",$P33&amp;",")-1))))</f>
        <v/>
      </c>
      <c r="BD33">
        <f>IF($BC33="","",MID($BC33,4,FIND("~",SUBSTITUTE($BC33,"-","~",2))-4))</f>
        <v/>
      </c>
      <c r="BE33">
        <f>IF($BC33="","",MID($BC33,FIND("~",SUBSTITUTE($BC33,"-","~",2))+1,FIND("~",SUBSTITUTE($BC33,"-","~",3))-FIND("~",SUBSTITUTE($BC33,"-","~",2))-1))</f>
        <v/>
      </c>
      <c r="BF33">
        <f>IF($BD33="","",IFERROR(VLOOKUP($BD33,DECODE!$A$3:$C$8,3,FALSE),"?"))</f>
        <v/>
      </c>
      <c r="BG33">
        <f>IF($BE33="","",IFERROR(VLOOKUP($BD33&amp;"-"&amp;$BE33,DECODE!$E$3:$F$21,2,FALSE),"?"))</f>
        <v/>
      </c>
      <c r="BH33">
        <f>IF($BC33="","",IFERROR(VALUE(RIGHT($BC33,3)),""))</f>
        <v/>
      </c>
      <c r="BI33">
        <f>IF($V33="","",IFERROR(IF(ISNUMBER($V33),$V33,DATEVALUE(TRIM($V33))),""))</f>
        <v/>
      </c>
      <c r="BJ33">
        <f>IF($BI33="","",IF(MONTH($BI33)&gt;=12,"Cold Winter",IF(MONTH($BI33)&gt;=10,"Post-Monsoon",IF(MONTH($BI33)&gt;=6,"Hot Humid",IF(MONTH($BI33)&gt;=3,"Hot Dry","Cold Winter")))))</f>
        <v/>
      </c>
      <c r="BK33">
        <f>IF($BD33="","",IFERROR(VLOOKUP($BD33,DECODE!$A$3:$C$8,2,FALSE),"?"))</f>
        <v/>
      </c>
      <c r="BL33">
        <f>IF($Q33="","",UPPER(TRIM(LEFT($Q33&amp;",",FIND(",",$Q33&amp;",")-1))))</f>
        <v/>
      </c>
      <c r="BM33">
        <f>IF($BL33="","",MID($BL33,4,FIND("~",SUBSTITUTE($BL33,"-","~",2))-4))</f>
        <v/>
      </c>
      <c r="BN33">
        <f>IF($BL33="","",MID($BL33,FIND("~",SUBSTITUTE($BL33,"-","~",2))+1,FIND("~",SUBSTITUTE($BL33,"-","~",3))-FIND("~",SUBSTITUTE($BL33,"-","~",2))-1))</f>
        <v/>
      </c>
      <c r="BO33">
        <f>IF($BM33="","",IFERROR(VLOOKUP($BM33,DECODE!$A$3:$C$8,3,FALSE),"?"))</f>
        <v/>
      </c>
      <c r="BP33">
        <f>IF($BN33="","",IFERROR(VLOOKUP($BM33&amp;"-"&amp;$BN33,DECODE!$E$3:$F$21,2,FALSE),"?"))</f>
        <v/>
      </c>
      <c r="BQ33">
        <f>IF($BL33="","",IFERROR(VALUE(RIGHT($BL33,3)),""))</f>
        <v/>
      </c>
      <c r="BR33">
        <f>IF($W33="","",IFERROR(IF(ISNUMBER($W33),$W33,DATEVALUE(TRIM($W33))),""))</f>
        <v/>
      </c>
      <c r="BS33">
        <f>IF($BR33="","",IF(MONTH($BR33)&gt;=12,"Cold Winter",IF(MONTH($BR33)&gt;=10,"Post-Monsoon",IF(MONTH($BR33)&gt;=6,"Hot Humid",IF(MONTH($BR33)&gt;=3,"Hot Dry","Cold Winter")))))</f>
        <v/>
      </c>
      <c r="BT33">
        <f>IF($BM33="","",IFERROR(VLOOKUP($BM33,DECODE!$A$3:$C$8,2,FALSE),"?"))</f>
        <v/>
      </c>
      <c r="BU33">
        <f>IF($R33="","",UPPER(TRIM(LEFT($R33&amp;",",FIND(",",$R33&amp;",")-1))))</f>
        <v/>
      </c>
      <c r="BV33">
        <f>IF($BU33="","",MID($BU33,4,FIND("~",SUBSTITUTE($BU33,"-","~",2))-4))</f>
        <v/>
      </c>
      <c r="BW33">
        <f>IF($BU33="","",MID($BU33,FIND("~",SUBSTITUTE($BU33,"-","~",2))+1,FIND("~",SUBSTITUTE($BU33,"-","~",3))-FIND("~",SUBSTITUTE($BU33,"-","~",2))-1))</f>
        <v/>
      </c>
      <c r="BX33">
        <f>IF($BV33="","",IFERROR(VLOOKUP($BV33,DECODE!$A$3:$C$8,3,FALSE),"?"))</f>
        <v/>
      </c>
      <c r="BY33">
        <f>IF($BW33="","",IFERROR(VLOOKUP($BV33&amp;"-"&amp;$BW33,DECODE!$E$3:$F$21,2,FALSE),"?"))</f>
        <v/>
      </c>
      <c r="BZ33">
        <f>IF($BU33="","",IFERROR(VALUE(RIGHT($BU33,3)),""))</f>
        <v/>
      </c>
      <c r="CA33">
        <f>IF($X33="","",IFERROR(IF(ISNUMBER($X33),$X33,DATEVALUE(TRIM($X33))),""))</f>
        <v/>
      </c>
      <c r="CB33">
        <f>IF($CA33="","",IF(MONTH($CA33)&gt;=12,"Cold Winter",IF(MONTH($CA33)&gt;=10,"Post-Monsoon",IF(MONTH($CA33)&gt;=6,"Hot Humid",IF(MONTH($CA33)&gt;=3,"Hot Dry","Cold Winter")))))</f>
        <v/>
      </c>
      <c r="CC33">
        <f>IF($BV33="","",IFERROR(VLOOKUP($BV33,DECODE!$A$3:$C$8,2,FALSE),"?"))</f>
        <v/>
      </c>
      <c r="CD33">
        <f>IF($S33="","",UPPER(TRIM(LEFT($S33&amp;",",FIND(",",$S33&amp;",")-1))))</f>
        <v/>
      </c>
      <c r="CE33">
        <f>IF($CD33="","",MID($CD33,4,FIND("~",SUBSTITUTE($CD33,"-","~",2))-4))</f>
        <v/>
      </c>
      <c r="CF33">
        <f>IF($CD33="","",MID($CD33,FIND("~",SUBSTITUTE($CD33,"-","~",2))+1,FIND("~",SUBSTITUTE($CD33,"-","~",3))-FIND("~",SUBSTITUTE($CD33,"-","~",2))-1))</f>
        <v/>
      </c>
      <c r="CG33">
        <f>IF($CE33="","",IFERROR(VLOOKUP($CE33,DECODE!$A$3:$C$8,3,FALSE),"?"))</f>
        <v/>
      </c>
      <c r="CH33">
        <f>IF($CF33="","",IFERROR(VLOOKUP($CE33&amp;"-"&amp;$CF33,DECODE!$E$3:$F$21,2,FALSE),"?"))</f>
        <v/>
      </c>
      <c r="CI33">
        <f>IF($CD33="","",IFERROR(VALUE(RIGHT($CD33,3)),""))</f>
        <v/>
      </c>
      <c r="CJ33">
        <f>IF($Y33="","",IFERROR(IF(ISNUMBER($Y33),$Y33,DATEVALUE(TRIM($Y33))),""))</f>
        <v/>
      </c>
      <c r="CK33">
        <f>IF($CJ33="","",IF(MONTH($CJ33)&gt;=12,"Cold Winter",IF(MONTH($CJ33)&gt;=10,"Post-Monsoon",IF(MONTH($CJ33)&gt;=6,"Hot Humid",IF(MONTH($CJ33)&gt;=3,"Hot Dry","Cold Winter")))))</f>
        <v/>
      </c>
      <c r="CL33">
        <f>IF($CE33="","",IFERROR(VLOOKUP($CE33,DECODE!$A$3:$C$8,2,FALSE),"?"))</f>
        <v/>
      </c>
      <c r="CM33">
        <f>IF($AN33="","",AN33)</f>
        <v/>
      </c>
      <c r="CN33">
        <f>IF($AO33="","",AO33)</f>
        <v/>
      </c>
      <c r="CO33">
        <f>IF($AP33="","",AP33)</f>
        <v/>
      </c>
      <c r="CP33">
        <f>IF($CM33="","",IF($CM33="Aloe Vera Gel","Aloe Vera Gel "&amp;$CO33&amp;"g",CN33&amp;" "&amp;$CO33&amp;"g"))</f>
        <v/>
      </c>
      <c r="CQ33">
        <f>IF($AT33="",0,1)</f>
        <v/>
      </c>
      <c r="CR33">
        <f>IF($CQ33=0,"",AW33)</f>
        <v/>
      </c>
      <c r="CS33">
        <f>IF($CQ33=0,"",AX33)</f>
        <v/>
      </c>
      <c r="CT33">
        <f>IF($CQ33=0,"",AY33)</f>
        <v/>
      </c>
      <c r="CU33">
        <f>IF($CR33="","",IF($CR33="Aloe Vera Gel","Aloe Vera Gel "&amp;$CT33&amp;"g",CS33&amp;" "&amp;$CT33&amp;"g"))</f>
        <v/>
      </c>
      <c r="CV33">
        <f>IF($CQ33=0,"",IF($CP33=$CU33,"Repeat Exact",IF($CT33&gt;$CO33,"Upsized",IF($CT33&lt;$CO33,"Downsized",IF($CM33&lt;&gt;$CR33,"Lateral","Same Size Diff Variant")))))</f>
        <v/>
      </c>
      <c r="CW33">
        <f>IF($CQ33=0,"",AZ33-AQ33)</f>
        <v/>
      </c>
      <c r="CX33">
        <f>IF($CQ33=0,0,IF(CS33=CN33,1,0))</f>
        <v/>
      </c>
      <c r="CY33">
        <f>IF($CQ33=0,0,IF(CR33=CM33,1,0))</f>
        <v/>
      </c>
      <c r="CZ33">
        <f>IF($A33="","",IF(AND(IF(DASHBOARD!$C$4="All",TRUE,$CM33=DASHBOARD!$C$4),IF(DASHBOARD!$C$6="All",TRUE,$CP33=DASHBOARD!$C$6),IF(DASHBOARD!$C$8="All",TRUE,$AF33&gt;=DASHBOARD!$C$8),IF(DASHBOARD!$C$10="All",TRUE,$AF33&lt;=DASHBOARD!$C$10),IF(DASHBOARD!$C$12="All",TRUE,$AH33=VALUE(DASHBOARD!$C$12)),IF(DASHBOARD!$C$14="All",TRUE,$AJ33=DASHBOARD!$C$14)),1,0))</f>
        <v/>
      </c>
    </row>
    <row r="34">
      <c r="A34" t="n">
        <v>35132</v>
      </c>
      <c r="B34" t="inlineStr">
        <is>
          <t>Aloe Vera Gel</t>
        </is>
      </c>
      <c r="H34" t="inlineStr">
        <is>
          <t>Aloe Vera Gel - 40 gms</t>
        </is>
      </c>
      <c r="N34" t="inlineStr">
        <is>
          <t>FC-HG-PA-040</t>
        </is>
      </c>
      <c r="T34" t="inlineStr">
        <is>
          <t>Jun 10, 2024</t>
        </is>
      </c>
      <c r="AE34" t="inlineStr">
        <is>
          <t>New Delhi</t>
        </is>
      </c>
      <c r="AF34" t="inlineStr">
        <is>
          <t>2024-06</t>
        </is>
      </c>
      <c r="AG34" t="n">
        <v>6</v>
      </c>
      <c r="AH34" t="n">
        <v>1</v>
      </c>
      <c r="AI34" t="n">
        <v>0</v>
      </c>
      <c r="AJ34">
        <f>IF($AE34="","",IFERROR(VLOOKUP(TRIM($AE34),DECODE!$H$3:$I$60,2,FALSE),"Rest of India"))</f>
        <v/>
      </c>
      <c r="AK34">
        <f>IF($N34="","",UPPER(TRIM(LEFT($N34&amp;",",FIND(",",$N34&amp;",")-1))))</f>
        <v/>
      </c>
      <c r="AL34">
        <f>IF($AK34="","",MID($AK34,4,FIND("~",SUBSTITUTE($AK34,"-","~",2))-4))</f>
        <v/>
      </c>
      <c r="AM34">
        <f>IF($AK34="","",MID($AK34,FIND("~",SUBSTITUTE($AK34,"-","~",2))+1,FIND("~",SUBSTITUTE($AK34,"-","~",3))-FIND("~",SUBSTITUTE($AK34,"-","~",2))-1))</f>
        <v/>
      </c>
      <c r="AN34">
        <f>IF($AL34="","",IFERROR(VLOOKUP($AL34,DECODE!$A$3:$C$8,3,FALSE),"?"))</f>
        <v/>
      </c>
      <c r="AO34">
        <f>IF($AM34="","",IFERROR(VLOOKUP($AL34&amp;"-"&amp;$AM34,DECODE!$E$3:$F$21,2,FALSE),"?"))</f>
        <v/>
      </c>
      <c r="AP34">
        <f>IF($AK34="","",IFERROR(VALUE(RIGHT($AK34,3)),""))</f>
        <v/>
      </c>
      <c r="AQ34">
        <f>IF($T34="","",IFERROR(IF(ISNUMBER($T34),$T34,DATEVALUE(TRIM($T34))),""))</f>
        <v/>
      </c>
      <c r="AR34">
        <f>IF($AQ34="","",IF(MONTH($AQ34)&gt;=12,"Cold Winter",IF(MONTH($AQ34)&gt;=10,"Post-Monsoon",IF(MONTH($AQ34)&gt;=6,"Hot Humid",IF(MONTH($AQ34)&gt;=3,"Hot Dry","Cold Winter")))))</f>
        <v/>
      </c>
      <c r="AS34">
        <f>IF($AL34="","",IFERROR(VLOOKUP($AL34,DECODE!$A$3:$C$8,2,FALSE),"?"))</f>
        <v/>
      </c>
      <c r="AT34">
        <f>IF($O34="","",UPPER(TRIM(LEFT($O34&amp;",",FIND(",",$O34&amp;",")-1))))</f>
        <v/>
      </c>
      <c r="AU34">
        <f>IF($AT34="","",MID($AT34,4,FIND("~",SUBSTITUTE($AT34,"-","~",2))-4))</f>
        <v/>
      </c>
      <c r="AV34">
        <f>IF($AT34="","",MID($AT34,FIND("~",SUBSTITUTE($AT34,"-","~",2))+1,FIND("~",SUBSTITUTE($AT34,"-","~",3))-FIND("~",SUBSTITUTE($AT34,"-","~",2))-1))</f>
        <v/>
      </c>
      <c r="AW34">
        <f>IF($AU34="","",IFERROR(VLOOKUP($AU34,DECODE!$A$3:$C$8,3,FALSE),"?"))</f>
        <v/>
      </c>
      <c r="AX34">
        <f>IF($AV34="","",IFERROR(VLOOKUP($AU34&amp;"-"&amp;$AV34,DECODE!$E$3:$F$21,2,FALSE),"?"))</f>
        <v/>
      </c>
      <c r="AY34">
        <f>IF($AT34="","",IFERROR(VALUE(RIGHT($AT34,3)),""))</f>
        <v/>
      </c>
      <c r="AZ34">
        <f>IF($U34="","",IFERROR(IF(ISNUMBER($U34),$U34,DATEVALUE(TRIM($U34))),""))</f>
        <v/>
      </c>
      <c r="BA34">
        <f>IF($AZ34="","",IF(MONTH($AZ34)&gt;=12,"Cold Winter",IF(MONTH($AZ34)&gt;=10,"Post-Monsoon",IF(MONTH($AZ34)&gt;=6,"Hot Humid",IF(MONTH($AZ34)&gt;=3,"Hot Dry","Cold Winter")))))</f>
        <v/>
      </c>
      <c r="BB34">
        <f>IF($AU34="","",IFERROR(VLOOKUP($AU34,DECODE!$A$3:$C$8,2,FALSE),"?"))</f>
        <v/>
      </c>
      <c r="BC34">
        <f>IF($P34="","",UPPER(TRIM(LEFT($P34&amp;",",FIND(",",$P34&amp;",")-1))))</f>
        <v/>
      </c>
      <c r="BD34">
        <f>IF($BC34="","",MID($BC34,4,FIND("~",SUBSTITUTE($BC34,"-","~",2))-4))</f>
        <v/>
      </c>
      <c r="BE34">
        <f>IF($BC34="","",MID($BC34,FIND("~",SUBSTITUTE($BC34,"-","~",2))+1,FIND("~",SUBSTITUTE($BC34,"-","~",3))-FIND("~",SUBSTITUTE($BC34,"-","~",2))-1))</f>
        <v/>
      </c>
      <c r="BF34">
        <f>IF($BD34="","",IFERROR(VLOOKUP($BD34,DECODE!$A$3:$C$8,3,FALSE),"?"))</f>
        <v/>
      </c>
      <c r="BG34">
        <f>IF($BE34="","",IFERROR(VLOOKUP($BD34&amp;"-"&amp;$BE34,DECODE!$E$3:$F$21,2,FALSE),"?"))</f>
        <v/>
      </c>
      <c r="BH34">
        <f>IF($BC34="","",IFERROR(VALUE(RIGHT($BC34,3)),""))</f>
        <v/>
      </c>
      <c r="BI34">
        <f>IF($V34="","",IFERROR(IF(ISNUMBER($V34),$V34,DATEVALUE(TRIM($V34))),""))</f>
        <v/>
      </c>
      <c r="BJ34">
        <f>IF($BI34="","",IF(MONTH($BI34)&gt;=12,"Cold Winter",IF(MONTH($BI34)&gt;=10,"Post-Monsoon",IF(MONTH($BI34)&gt;=6,"Hot Humid",IF(MONTH($BI34)&gt;=3,"Hot Dry","Cold Winter")))))</f>
        <v/>
      </c>
      <c r="BK34">
        <f>IF($BD34="","",IFERROR(VLOOKUP($BD34,DECODE!$A$3:$C$8,2,FALSE),"?"))</f>
        <v/>
      </c>
      <c r="BL34">
        <f>IF($Q34="","",UPPER(TRIM(LEFT($Q34&amp;",",FIND(",",$Q34&amp;",")-1))))</f>
        <v/>
      </c>
      <c r="BM34">
        <f>IF($BL34="","",MID($BL34,4,FIND("~",SUBSTITUTE($BL34,"-","~",2))-4))</f>
        <v/>
      </c>
      <c r="BN34">
        <f>IF($BL34="","",MID($BL34,FIND("~",SUBSTITUTE($BL34,"-","~",2))+1,FIND("~",SUBSTITUTE($BL34,"-","~",3))-FIND("~",SUBSTITUTE($BL34,"-","~",2))-1))</f>
        <v/>
      </c>
      <c r="BO34">
        <f>IF($BM34="","",IFERROR(VLOOKUP($BM34,DECODE!$A$3:$C$8,3,FALSE),"?"))</f>
        <v/>
      </c>
      <c r="BP34">
        <f>IF($BN34="","",IFERROR(VLOOKUP($BM34&amp;"-"&amp;$BN34,DECODE!$E$3:$F$21,2,FALSE),"?"))</f>
        <v/>
      </c>
      <c r="BQ34">
        <f>IF($BL34="","",IFERROR(VALUE(RIGHT($BL34,3)),""))</f>
        <v/>
      </c>
      <c r="BR34">
        <f>IF($W34="","",IFERROR(IF(ISNUMBER($W34),$W34,DATEVALUE(TRIM($W34))),""))</f>
        <v/>
      </c>
      <c r="BS34">
        <f>IF($BR34="","",IF(MONTH($BR34)&gt;=12,"Cold Winter",IF(MONTH($BR34)&gt;=10,"Post-Monsoon",IF(MONTH($BR34)&gt;=6,"Hot Humid",IF(MONTH($BR34)&gt;=3,"Hot Dry","Cold Winter")))))</f>
        <v/>
      </c>
      <c r="BT34">
        <f>IF($BM34="","",IFERROR(VLOOKUP($BM34,DECODE!$A$3:$C$8,2,FALSE),"?"))</f>
        <v/>
      </c>
      <c r="BU34">
        <f>IF($R34="","",UPPER(TRIM(LEFT($R34&amp;",",FIND(",",$R34&amp;",")-1))))</f>
        <v/>
      </c>
      <c r="BV34">
        <f>IF($BU34="","",MID($BU34,4,FIND("~",SUBSTITUTE($BU34,"-","~",2))-4))</f>
        <v/>
      </c>
      <c r="BW34">
        <f>IF($BU34="","",MID($BU34,FIND("~",SUBSTITUTE($BU34,"-","~",2))+1,FIND("~",SUBSTITUTE($BU34,"-","~",3))-FIND("~",SUBSTITUTE($BU34,"-","~",2))-1))</f>
        <v/>
      </c>
      <c r="BX34">
        <f>IF($BV34="","",IFERROR(VLOOKUP($BV34,DECODE!$A$3:$C$8,3,FALSE),"?"))</f>
        <v/>
      </c>
      <c r="BY34">
        <f>IF($BW34="","",IFERROR(VLOOKUP($BV34&amp;"-"&amp;$BW34,DECODE!$E$3:$F$21,2,FALSE),"?"))</f>
        <v/>
      </c>
      <c r="BZ34">
        <f>IF($BU34="","",IFERROR(VALUE(RIGHT($BU34,3)),""))</f>
        <v/>
      </c>
      <c r="CA34">
        <f>IF($X34="","",IFERROR(IF(ISNUMBER($X34),$X34,DATEVALUE(TRIM($X34))),""))</f>
        <v/>
      </c>
      <c r="CB34">
        <f>IF($CA34="","",IF(MONTH($CA34)&gt;=12,"Cold Winter",IF(MONTH($CA34)&gt;=10,"Post-Monsoon",IF(MONTH($CA34)&gt;=6,"Hot Humid",IF(MONTH($CA34)&gt;=3,"Hot Dry","Cold Winter")))))</f>
        <v/>
      </c>
      <c r="CC34">
        <f>IF($BV34="","",IFERROR(VLOOKUP($BV34,DECODE!$A$3:$C$8,2,FALSE),"?"))</f>
        <v/>
      </c>
      <c r="CD34">
        <f>IF($S34="","",UPPER(TRIM(LEFT($S34&amp;",",FIND(",",$S34&amp;",")-1))))</f>
        <v/>
      </c>
      <c r="CE34">
        <f>IF($CD34="","",MID($CD34,4,FIND("~",SUBSTITUTE($CD34,"-","~",2))-4))</f>
        <v/>
      </c>
      <c r="CF34">
        <f>IF($CD34="","",MID($CD34,FIND("~",SUBSTITUTE($CD34,"-","~",2))+1,FIND("~",SUBSTITUTE($CD34,"-","~",3))-FIND("~",SUBSTITUTE($CD34,"-","~",2))-1))</f>
        <v/>
      </c>
      <c r="CG34">
        <f>IF($CE34="","",IFERROR(VLOOKUP($CE34,DECODE!$A$3:$C$8,3,FALSE),"?"))</f>
        <v/>
      </c>
      <c r="CH34">
        <f>IF($CF34="","",IFERROR(VLOOKUP($CE34&amp;"-"&amp;$CF34,DECODE!$E$3:$F$21,2,FALSE),"?"))</f>
        <v/>
      </c>
      <c r="CI34">
        <f>IF($CD34="","",IFERROR(VALUE(RIGHT($CD34,3)),""))</f>
        <v/>
      </c>
      <c r="CJ34">
        <f>IF($Y34="","",IFERROR(IF(ISNUMBER($Y34),$Y34,DATEVALUE(TRIM($Y34))),""))</f>
        <v/>
      </c>
      <c r="CK34">
        <f>IF($CJ34="","",IF(MONTH($CJ34)&gt;=12,"Cold Winter",IF(MONTH($CJ34)&gt;=10,"Post-Monsoon",IF(MONTH($CJ34)&gt;=6,"Hot Humid",IF(MONTH($CJ34)&gt;=3,"Hot Dry","Cold Winter")))))</f>
        <v/>
      </c>
      <c r="CL34">
        <f>IF($CE34="","",IFERROR(VLOOKUP($CE34,DECODE!$A$3:$C$8,2,FALSE),"?"))</f>
        <v/>
      </c>
      <c r="CM34">
        <f>IF($AN34="","",AN34)</f>
        <v/>
      </c>
      <c r="CN34">
        <f>IF($AO34="","",AO34)</f>
        <v/>
      </c>
      <c r="CO34">
        <f>IF($AP34="","",AP34)</f>
        <v/>
      </c>
      <c r="CP34">
        <f>IF($CM34="","",IF($CM34="Aloe Vera Gel","Aloe Vera Gel "&amp;$CO34&amp;"g",CN34&amp;" "&amp;$CO34&amp;"g"))</f>
        <v/>
      </c>
      <c r="CQ34">
        <f>IF($AT34="",0,1)</f>
        <v/>
      </c>
      <c r="CR34">
        <f>IF($CQ34=0,"",AW34)</f>
        <v/>
      </c>
      <c r="CS34">
        <f>IF($CQ34=0,"",AX34)</f>
        <v/>
      </c>
      <c r="CT34">
        <f>IF($CQ34=0,"",AY34)</f>
        <v/>
      </c>
      <c r="CU34">
        <f>IF($CR34="","",IF($CR34="Aloe Vera Gel","Aloe Vera Gel "&amp;$CT34&amp;"g",CS34&amp;" "&amp;$CT34&amp;"g"))</f>
        <v/>
      </c>
      <c r="CV34">
        <f>IF($CQ34=0,"",IF($CP34=$CU34,"Repeat Exact",IF($CT34&gt;$CO34,"Upsized",IF($CT34&lt;$CO34,"Downsized",IF($CM34&lt;&gt;$CR34,"Lateral","Same Size Diff Variant")))))</f>
        <v/>
      </c>
      <c r="CW34">
        <f>IF($CQ34=0,"",AZ34-AQ34)</f>
        <v/>
      </c>
      <c r="CX34">
        <f>IF($CQ34=0,0,IF(CS34=CN34,1,0))</f>
        <v/>
      </c>
      <c r="CY34">
        <f>IF($CQ34=0,0,IF(CR34=CM34,1,0))</f>
        <v/>
      </c>
      <c r="CZ34">
        <f>IF($A34="","",IF(AND(IF(DASHBOARD!$C$4="All",TRUE,$CM34=DASHBOARD!$C$4),IF(DASHBOARD!$C$6="All",TRUE,$CP34=DASHBOARD!$C$6),IF(DASHBOARD!$C$8="All",TRUE,$AF34&gt;=DASHBOARD!$C$8),IF(DASHBOARD!$C$10="All",TRUE,$AF34&lt;=DASHBOARD!$C$10),IF(DASHBOARD!$C$12="All",TRUE,$AH34=VALUE(DASHBOARD!$C$12)),IF(DASHBOARD!$C$14="All",TRUE,$AJ34=DASHBOARD!$C$14)),1,0))</f>
        <v/>
      </c>
    </row>
    <row r="35">
      <c r="A35" t="n">
        <v>35258</v>
      </c>
      <c r="B35" t="inlineStr">
        <is>
          <t>Face Malai</t>
        </is>
      </c>
      <c r="H35" t="inlineStr">
        <is>
          <t>Turmeric Nutmeg (Pigmentation)  Face Malai - 50g</t>
        </is>
      </c>
      <c r="N35" t="inlineStr">
        <is>
          <t>FC-DM-PG-050</t>
        </is>
      </c>
      <c r="T35" t="inlineStr">
        <is>
          <t>Dec 10, 2024</t>
        </is>
      </c>
      <c r="AE35" t="inlineStr">
        <is>
          <t>New Delhi</t>
        </is>
      </c>
      <c r="AF35" t="inlineStr">
        <is>
          <t>2024-12</t>
        </is>
      </c>
      <c r="AG35" t="n">
        <v>12</v>
      </c>
      <c r="AH35" t="n">
        <v>1</v>
      </c>
      <c r="AI35" t="n">
        <v>0</v>
      </c>
      <c r="AJ35">
        <f>IF($AE35="","",IFERROR(VLOOKUP(TRIM($AE35),DECODE!$H$3:$I$60,2,FALSE),"Rest of India"))</f>
        <v/>
      </c>
      <c r="AK35">
        <f>IF($N35="","",UPPER(TRIM(LEFT($N35&amp;",",FIND(",",$N35&amp;",")-1))))</f>
        <v/>
      </c>
      <c r="AL35">
        <f>IF($AK35="","",MID($AK35,4,FIND("~",SUBSTITUTE($AK35,"-","~",2))-4))</f>
        <v/>
      </c>
      <c r="AM35">
        <f>IF($AK35="","",MID($AK35,FIND("~",SUBSTITUTE($AK35,"-","~",2))+1,FIND("~",SUBSTITUTE($AK35,"-","~",3))-FIND("~",SUBSTITUTE($AK35,"-","~",2))-1))</f>
        <v/>
      </c>
      <c r="AN35">
        <f>IF($AL35="","",IFERROR(VLOOKUP($AL35,DECODE!$A$3:$C$8,3,FALSE),"?"))</f>
        <v/>
      </c>
      <c r="AO35">
        <f>IF($AM35="","",IFERROR(VLOOKUP($AL35&amp;"-"&amp;$AM35,DECODE!$E$3:$F$21,2,FALSE),"?"))</f>
        <v/>
      </c>
      <c r="AP35">
        <f>IF($AK35="","",IFERROR(VALUE(RIGHT($AK35,3)),""))</f>
        <v/>
      </c>
      <c r="AQ35">
        <f>IF($T35="","",IFERROR(IF(ISNUMBER($T35),$T35,DATEVALUE(TRIM($T35))),""))</f>
        <v/>
      </c>
      <c r="AR35">
        <f>IF($AQ35="","",IF(MONTH($AQ35)&gt;=12,"Cold Winter",IF(MONTH($AQ35)&gt;=10,"Post-Monsoon",IF(MONTH($AQ35)&gt;=6,"Hot Humid",IF(MONTH($AQ35)&gt;=3,"Hot Dry","Cold Winter")))))</f>
        <v/>
      </c>
      <c r="AS35">
        <f>IF($AL35="","",IFERROR(VLOOKUP($AL35,DECODE!$A$3:$C$8,2,FALSE),"?"))</f>
        <v/>
      </c>
      <c r="AT35">
        <f>IF($O35="","",UPPER(TRIM(LEFT($O35&amp;",",FIND(",",$O35&amp;",")-1))))</f>
        <v/>
      </c>
      <c r="AU35">
        <f>IF($AT35="","",MID($AT35,4,FIND("~",SUBSTITUTE($AT35,"-","~",2))-4))</f>
        <v/>
      </c>
      <c r="AV35">
        <f>IF($AT35="","",MID($AT35,FIND("~",SUBSTITUTE($AT35,"-","~",2))+1,FIND("~",SUBSTITUTE($AT35,"-","~",3))-FIND("~",SUBSTITUTE($AT35,"-","~",2))-1))</f>
        <v/>
      </c>
      <c r="AW35">
        <f>IF($AU35="","",IFERROR(VLOOKUP($AU35,DECODE!$A$3:$C$8,3,FALSE),"?"))</f>
        <v/>
      </c>
      <c r="AX35">
        <f>IF($AV35="","",IFERROR(VLOOKUP($AU35&amp;"-"&amp;$AV35,DECODE!$E$3:$F$21,2,FALSE),"?"))</f>
        <v/>
      </c>
      <c r="AY35">
        <f>IF($AT35="","",IFERROR(VALUE(RIGHT($AT35,3)),""))</f>
        <v/>
      </c>
      <c r="AZ35">
        <f>IF($U35="","",IFERROR(IF(ISNUMBER($U35),$U35,DATEVALUE(TRIM($U35))),""))</f>
        <v/>
      </c>
      <c r="BA35">
        <f>IF($AZ35="","",IF(MONTH($AZ35)&gt;=12,"Cold Winter",IF(MONTH($AZ35)&gt;=10,"Post-Monsoon",IF(MONTH($AZ35)&gt;=6,"Hot Humid",IF(MONTH($AZ35)&gt;=3,"Hot Dry","Cold Winter")))))</f>
        <v/>
      </c>
      <c r="BB35">
        <f>IF($AU35="","",IFERROR(VLOOKUP($AU35,DECODE!$A$3:$C$8,2,FALSE),"?"))</f>
        <v/>
      </c>
      <c r="BC35">
        <f>IF($P35="","",UPPER(TRIM(LEFT($P35&amp;",",FIND(",",$P35&amp;",")-1))))</f>
        <v/>
      </c>
      <c r="BD35">
        <f>IF($BC35="","",MID($BC35,4,FIND("~",SUBSTITUTE($BC35,"-","~",2))-4))</f>
        <v/>
      </c>
      <c r="BE35">
        <f>IF($BC35="","",MID($BC35,FIND("~",SUBSTITUTE($BC35,"-","~",2))+1,FIND("~",SUBSTITUTE($BC35,"-","~",3))-FIND("~",SUBSTITUTE($BC35,"-","~",2))-1))</f>
        <v/>
      </c>
      <c r="BF35">
        <f>IF($BD35="","",IFERROR(VLOOKUP($BD35,DECODE!$A$3:$C$8,3,FALSE),"?"))</f>
        <v/>
      </c>
      <c r="BG35">
        <f>IF($BE35="","",IFERROR(VLOOKUP($BD35&amp;"-"&amp;$BE35,DECODE!$E$3:$F$21,2,FALSE),"?"))</f>
        <v/>
      </c>
      <c r="BH35">
        <f>IF($BC35="","",IFERROR(VALUE(RIGHT($BC35,3)),""))</f>
        <v/>
      </c>
      <c r="BI35">
        <f>IF($V35="","",IFERROR(IF(ISNUMBER($V35),$V35,DATEVALUE(TRIM($V35))),""))</f>
        <v/>
      </c>
      <c r="BJ35">
        <f>IF($BI35="","",IF(MONTH($BI35)&gt;=12,"Cold Winter",IF(MONTH($BI35)&gt;=10,"Post-Monsoon",IF(MONTH($BI35)&gt;=6,"Hot Humid",IF(MONTH($BI35)&gt;=3,"Hot Dry","Cold Winter")))))</f>
        <v/>
      </c>
      <c r="BK35">
        <f>IF($BD35="","",IFERROR(VLOOKUP($BD35,DECODE!$A$3:$C$8,2,FALSE),"?"))</f>
        <v/>
      </c>
      <c r="BL35">
        <f>IF($Q35="","",UPPER(TRIM(LEFT($Q35&amp;",",FIND(",",$Q35&amp;",")-1))))</f>
        <v/>
      </c>
      <c r="BM35">
        <f>IF($BL35="","",MID($BL35,4,FIND("~",SUBSTITUTE($BL35,"-","~",2))-4))</f>
        <v/>
      </c>
      <c r="BN35">
        <f>IF($BL35="","",MID($BL35,FIND("~",SUBSTITUTE($BL35,"-","~",2))+1,FIND("~",SUBSTITUTE($BL35,"-","~",3))-FIND("~",SUBSTITUTE($BL35,"-","~",2))-1))</f>
        <v/>
      </c>
      <c r="BO35">
        <f>IF($BM35="","",IFERROR(VLOOKUP($BM35,DECODE!$A$3:$C$8,3,FALSE),"?"))</f>
        <v/>
      </c>
      <c r="BP35">
        <f>IF($BN35="","",IFERROR(VLOOKUP($BM35&amp;"-"&amp;$BN35,DECODE!$E$3:$F$21,2,FALSE),"?"))</f>
        <v/>
      </c>
      <c r="BQ35">
        <f>IF($BL35="","",IFERROR(VALUE(RIGHT($BL35,3)),""))</f>
        <v/>
      </c>
      <c r="BR35">
        <f>IF($W35="","",IFERROR(IF(ISNUMBER($W35),$W35,DATEVALUE(TRIM($W35))),""))</f>
        <v/>
      </c>
      <c r="BS35">
        <f>IF($BR35="","",IF(MONTH($BR35)&gt;=12,"Cold Winter",IF(MONTH($BR35)&gt;=10,"Post-Monsoon",IF(MONTH($BR35)&gt;=6,"Hot Humid",IF(MONTH($BR35)&gt;=3,"Hot Dry","Cold Winter")))))</f>
        <v/>
      </c>
      <c r="BT35">
        <f>IF($BM35="","",IFERROR(VLOOKUP($BM35,DECODE!$A$3:$C$8,2,FALSE),"?"))</f>
        <v/>
      </c>
      <c r="BU35">
        <f>IF($R35="","",UPPER(TRIM(LEFT($R35&amp;",",FIND(",",$R35&amp;",")-1))))</f>
        <v/>
      </c>
      <c r="BV35">
        <f>IF($BU35="","",MID($BU35,4,FIND("~",SUBSTITUTE($BU35,"-","~",2))-4))</f>
        <v/>
      </c>
      <c r="BW35">
        <f>IF($BU35="","",MID($BU35,FIND("~",SUBSTITUTE($BU35,"-","~",2))+1,FIND("~",SUBSTITUTE($BU35,"-","~",3))-FIND("~",SUBSTITUTE($BU35,"-","~",2))-1))</f>
        <v/>
      </c>
      <c r="BX35">
        <f>IF($BV35="","",IFERROR(VLOOKUP($BV35,DECODE!$A$3:$C$8,3,FALSE),"?"))</f>
        <v/>
      </c>
      <c r="BY35">
        <f>IF($BW35="","",IFERROR(VLOOKUP($BV35&amp;"-"&amp;$BW35,DECODE!$E$3:$F$21,2,FALSE),"?"))</f>
        <v/>
      </c>
      <c r="BZ35">
        <f>IF($BU35="","",IFERROR(VALUE(RIGHT($BU35,3)),""))</f>
        <v/>
      </c>
      <c r="CA35">
        <f>IF($X35="","",IFERROR(IF(ISNUMBER($X35),$X35,DATEVALUE(TRIM($X35))),""))</f>
        <v/>
      </c>
      <c r="CB35">
        <f>IF($CA35="","",IF(MONTH($CA35)&gt;=12,"Cold Winter",IF(MONTH($CA35)&gt;=10,"Post-Monsoon",IF(MONTH($CA35)&gt;=6,"Hot Humid",IF(MONTH($CA35)&gt;=3,"Hot Dry","Cold Winter")))))</f>
        <v/>
      </c>
      <c r="CC35">
        <f>IF($BV35="","",IFERROR(VLOOKUP($BV35,DECODE!$A$3:$C$8,2,FALSE),"?"))</f>
        <v/>
      </c>
      <c r="CD35">
        <f>IF($S35="","",UPPER(TRIM(LEFT($S35&amp;",",FIND(",",$S35&amp;",")-1))))</f>
        <v/>
      </c>
      <c r="CE35">
        <f>IF($CD35="","",MID($CD35,4,FIND("~",SUBSTITUTE($CD35,"-","~",2))-4))</f>
        <v/>
      </c>
      <c r="CF35">
        <f>IF($CD35="","",MID($CD35,FIND("~",SUBSTITUTE($CD35,"-","~",2))+1,FIND("~",SUBSTITUTE($CD35,"-","~",3))-FIND("~",SUBSTITUTE($CD35,"-","~",2))-1))</f>
        <v/>
      </c>
      <c r="CG35">
        <f>IF($CE35="","",IFERROR(VLOOKUP($CE35,DECODE!$A$3:$C$8,3,FALSE),"?"))</f>
        <v/>
      </c>
      <c r="CH35">
        <f>IF($CF35="","",IFERROR(VLOOKUP($CE35&amp;"-"&amp;$CF35,DECODE!$E$3:$F$21,2,FALSE),"?"))</f>
        <v/>
      </c>
      <c r="CI35">
        <f>IF($CD35="","",IFERROR(VALUE(RIGHT($CD35,3)),""))</f>
        <v/>
      </c>
      <c r="CJ35">
        <f>IF($Y35="","",IFERROR(IF(ISNUMBER($Y35),$Y35,DATEVALUE(TRIM($Y35))),""))</f>
        <v/>
      </c>
      <c r="CK35">
        <f>IF($CJ35="","",IF(MONTH($CJ35)&gt;=12,"Cold Winter",IF(MONTH($CJ35)&gt;=10,"Post-Monsoon",IF(MONTH($CJ35)&gt;=6,"Hot Humid",IF(MONTH($CJ35)&gt;=3,"Hot Dry","Cold Winter")))))</f>
        <v/>
      </c>
      <c r="CL35">
        <f>IF($CE35="","",IFERROR(VLOOKUP($CE35,DECODE!$A$3:$C$8,2,FALSE),"?"))</f>
        <v/>
      </c>
      <c r="CM35">
        <f>IF($AN35="","",AN35)</f>
        <v/>
      </c>
      <c r="CN35">
        <f>IF($AO35="","",AO35)</f>
        <v/>
      </c>
      <c r="CO35">
        <f>IF($AP35="","",AP35)</f>
        <v/>
      </c>
      <c r="CP35">
        <f>IF($CM35="","",IF($CM35="Aloe Vera Gel","Aloe Vera Gel "&amp;$CO35&amp;"g",CN35&amp;" "&amp;$CO35&amp;"g"))</f>
        <v/>
      </c>
      <c r="CQ35">
        <f>IF($AT35="",0,1)</f>
        <v/>
      </c>
      <c r="CR35">
        <f>IF($CQ35=0,"",AW35)</f>
        <v/>
      </c>
      <c r="CS35">
        <f>IF($CQ35=0,"",AX35)</f>
        <v/>
      </c>
      <c r="CT35">
        <f>IF($CQ35=0,"",AY35)</f>
        <v/>
      </c>
      <c r="CU35">
        <f>IF($CR35="","",IF($CR35="Aloe Vera Gel","Aloe Vera Gel "&amp;$CT35&amp;"g",CS35&amp;" "&amp;$CT35&amp;"g"))</f>
        <v/>
      </c>
      <c r="CV35">
        <f>IF($CQ35=0,"",IF($CP35=$CU35,"Repeat Exact",IF($CT35&gt;$CO35,"Upsized",IF($CT35&lt;$CO35,"Downsized",IF($CM35&lt;&gt;$CR35,"Lateral","Same Size Diff Variant")))))</f>
        <v/>
      </c>
      <c r="CW35">
        <f>IF($CQ35=0,"",AZ35-AQ35)</f>
        <v/>
      </c>
      <c r="CX35">
        <f>IF($CQ35=0,0,IF(CS35=CN35,1,0))</f>
        <v/>
      </c>
      <c r="CY35">
        <f>IF($CQ35=0,0,IF(CR35=CM35,1,0))</f>
        <v/>
      </c>
      <c r="CZ35">
        <f>IF($A35="","",IF(AND(IF(DASHBOARD!$C$4="All",TRUE,$CM35=DASHBOARD!$C$4),IF(DASHBOARD!$C$6="All",TRUE,$CP35=DASHBOARD!$C$6),IF(DASHBOARD!$C$8="All",TRUE,$AF35&gt;=DASHBOARD!$C$8),IF(DASHBOARD!$C$10="All",TRUE,$AF35&lt;=DASHBOARD!$C$10),IF(DASHBOARD!$C$12="All",TRUE,$AH35=VALUE(DASHBOARD!$C$12)),IF(DASHBOARD!$C$14="All",TRUE,$AJ35=DASHBOARD!$C$14)),1,0))</f>
        <v/>
      </c>
    </row>
    <row r="36">
      <c r="A36" t="n">
        <v>35277</v>
      </c>
      <c r="B36" t="inlineStr">
        <is>
          <t>Aloe Vera Gel</t>
        </is>
      </c>
      <c r="H36" t="inlineStr">
        <is>
          <t>Aloe Vera Gel - 80 gms</t>
        </is>
      </c>
      <c r="N36" t="inlineStr">
        <is>
          <t>FC-HG-PA-080</t>
        </is>
      </c>
      <c r="T36" t="inlineStr">
        <is>
          <t>Apr 10, 2025</t>
        </is>
      </c>
      <c r="AE36" t="inlineStr">
        <is>
          <t>Bengaluru</t>
        </is>
      </c>
      <c r="AF36" t="inlineStr">
        <is>
          <t>2025-04</t>
        </is>
      </c>
      <c r="AG36" t="n">
        <v>4</v>
      </c>
      <c r="AH36" t="n">
        <v>1</v>
      </c>
      <c r="AI36" t="n">
        <v>0</v>
      </c>
      <c r="AJ36">
        <f>IF($AE36="","",IFERROR(VLOOKUP(TRIM($AE36),DECODE!$H$3:$I$60,2,FALSE),"Rest of India"))</f>
        <v/>
      </c>
      <c r="AK36">
        <f>IF($N36="","",UPPER(TRIM(LEFT($N36&amp;",",FIND(",",$N36&amp;",")-1))))</f>
        <v/>
      </c>
      <c r="AL36">
        <f>IF($AK36="","",MID($AK36,4,FIND("~",SUBSTITUTE($AK36,"-","~",2))-4))</f>
        <v/>
      </c>
      <c r="AM36">
        <f>IF($AK36="","",MID($AK36,FIND("~",SUBSTITUTE($AK36,"-","~",2))+1,FIND("~",SUBSTITUTE($AK36,"-","~",3))-FIND("~",SUBSTITUTE($AK36,"-","~",2))-1))</f>
        <v/>
      </c>
      <c r="AN36">
        <f>IF($AL36="","",IFERROR(VLOOKUP($AL36,DECODE!$A$3:$C$8,3,FALSE),"?"))</f>
        <v/>
      </c>
      <c r="AO36">
        <f>IF($AM36="","",IFERROR(VLOOKUP($AL36&amp;"-"&amp;$AM36,DECODE!$E$3:$F$21,2,FALSE),"?"))</f>
        <v/>
      </c>
      <c r="AP36">
        <f>IF($AK36="","",IFERROR(VALUE(RIGHT($AK36,3)),""))</f>
        <v/>
      </c>
      <c r="AQ36">
        <f>IF($T36="","",IFERROR(IF(ISNUMBER($T36),$T36,DATEVALUE(TRIM($T36))),""))</f>
        <v/>
      </c>
      <c r="AR36">
        <f>IF($AQ36="","",IF(MONTH($AQ36)&gt;=12,"Cold Winter",IF(MONTH($AQ36)&gt;=10,"Post-Monsoon",IF(MONTH($AQ36)&gt;=6,"Hot Humid",IF(MONTH($AQ36)&gt;=3,"Hot Dry","Cold Winter")))))</f>
        <v/>
      </c>
      <c r="AS36">
        <f>IF($AL36="","",IFERROR(VLOOKUP($AL36,DECODE!$A$3:$C$8,2,FALSE),"?"))</f>
        <v/>
      </c>
      <c r="AT36">
        <f>IF($O36="","",UPPER(TRIM(LEFT($O36&amp;",",FIND(",",$O36&amp;",")-1))))</f>
        <v/>
      </c>
      <c r="AU36">
        <f>IF($AT36="","",MID($AT36,4,FIND("~",SUBSTITUTE($AT36,"-","~",2))-4))</f>
        <v/>
      </c>
      <c r="AV36">
        <f>IF($AT36="","",MID($AT36,FIND("~",SUBSTITUTE($AT36,"-","~",2))+1,FIND("~",SUBSTITUTE($AT36,"-","~",3))-FIND("~",SUBSTITUTE($AT36,"-","~",2))-1))</f>
        <v/>
      </c>
      <c r="AW36">
        <f>IF($AU36="","",IFERROR(VLOOKUP($AU36,DECODE!$A$3:$C$8,3,FALSE),"?"))</f>
        <v/>
      </c>
      <c r="AX36">
        <f>IF($AV36="","",IFERROR(VLOOKUP($AU36&amp;"-"&amp;$AV36,DECODE!$E$3:$F$21,2,FALSE),"?"))</f>
        <v/>
      </c>
      <c r="AY36">
        <f>IF($AT36="","",IFERROR(VALUE(RIGHT($AT36,3)),""))</f>
        <v/>
      </c>
      <c r="AZ36">
        <f>IF($U36="","",IFERROR(IF(ISNUMBER($U36),$U36,DATEVALUE(TRIM($U36))),""))</f>
        <v/>
      </c>
      <c r="BA36">
        <f>IF($AZ36="","",IF(MONTH($AZ36)&gt;=12,"Cold Winter",IF(MONTH($AZ36)&gt;=10,"Post-Monsoon",IF(MONTH($AZ36)&gt;=6,"Hot Humid",IF(MONTH($AZ36)&gt;=3,"Hot Dry","Cold Winter")))))</f>
        <v/>
      </c>
      <c r="BB36">
        <f>IF($AU36="","",IFERROR(VLOOKUP($AU36,DECODE!$A$3:$C$8,2,FALSE),"?"))</f>
        <v/>
      </c>
      <c r="BC36">
        <f>IF($P36="","",UPPER(TRIM(LEFT($P36&amp;",",FIND(",",$P36&amp;",")-1))))</f>
        <v/>
      </c>
      <c r="BD36">
        <f>IF($BC36="","",MID($BC36,4,FIND("~",SUBSTITUTE($BC36,"-","~",2))-4))</f>
        <v/>
      </c>
      <c r="BE36">
        <f>IF($BC36="","",MID($BC36,FIND("~",SUBSTITUTE($BC36,"-","~",2))+1,FIND("~",SUBSTITUTE($BC36,"-","~",3))-FIND("~",SUBSTITUTE($BC36,"-","~",2))-1))</f>
        <v/>
      </c>
      <c r="BF36">
        <f>IF($BD36="","",IFERROR(VLOOKUP($BD36,DECODE!$A$3:$C$8,3,FALSE),"?"))</f>
        <v/>
      </c>
      <c r="BG36">
        <f>IF($BE36="","",IFERROR(VLOOKUP($BD36&amp;"-"&amp;$BE36,DECODE!$E$3:$F$21,2,FALSE),"?"))</f>
        <v/>
      </c>
      <c r="BH36">
        <f>IF($BC36="","",IFERROR(VALUE(RIGHT($BC36,3)),""))</f>
        <v/>
      </c>
      <c r="BI36">
        <f>IF($V36="","",IFERROR(IF(ISNUMBER($V36),$V36,DATEVALUE(TRIM($V36))),""))</f>
        <v/>
      </c>
      <c r="BJ36">
        <f>IF($BI36="","",IF(MONTH($BI36)&gt;=12,"Cold Winter",IF(MONTH($BI36)&gt;=10,"Post-Monsoon",IF(MONTH($BI36)&gt;=6,"Hot Humid",IF(MONTH($BI36)&gt;=3,"Hot Dry","Cold Winter")))))</f>
        <v/>
      </c>
      <c r="BK36">
        <f>IF($BD36="","",IFERROR(VLOOKUP($BD36,DECODE!$A$3:$C$8,2,FALSE),"?"))</f>
        <v/>
      </c>
      <c r="BL36">
        <f>IF($Q36="","",UPPER(TRIM(LEFT($Q36&amp;",",FIND(",",$Q36&amp;",")-1))))</f>
        <v/>
      </c>
      <c r="BM36">
        <f>IF($BL36="","",MID($BL36,4,FIND("~",SUBSTITUTE($BL36,"-","~",2))-4))</f>
        <v/>
      </c>
      <c r="BN36">
        <f>IF($BL36="","",MID($BL36,FIND("~",SUBSTITUTE($BL36,"-","~",2))+1,FIND("~",SUBSTITUTE($BL36,"-","~",3))-FIND("~",SUBSTITUTE($BL36,"-","~",2))-1))</f>
        <v/>
      </c>
      <c r="BO36">
        <f>IF($BM36="","",IFERROR(VLOOKUP($BM36,DECODE!$A$3:$C$8,3,FALSE),"?"))</f>
        <v/>
      </c>
      <c r="BP36">
        <f>IF($BN36="","",IFERROR(VLOOKUP($BM36&amp;"-"&amp;$BN36,DECODE!$E$3:$F$21,2,FALSE),"?"))</f>
        <v/>
      </c>
      <c r="BQ36">
        <f>IF($BL36="","",IFERROR(VALUE(RIGHT($BL36,3)),""))</f>
        <v/>
      </c>
      <c r="BR36">
        <f>IF($W36="","",IFERROR(IF(ISNUMBER($W36),$W36,DATEVALUE(TRIM($W36))),""))</f>
        <v/>
      </c>
      <c r="BS36">
        <f>IF($BR36="","",IF(MONTH($BR36)&gt;=12,"Cold Winter",IF(MONTH($BR36)&gt;=10,"Post-Monsoon",IF(MONTH($BR36)&gt;=6,"Hot Humid",IF(MONTH($BR36)&gt;=3,"Hot Dry","Cold Winter")))))</f>
        <v/>
      </c>
      <c r="BT36">
        <f>IF($BM36="","",IFERROR(VLOOKUP($BM36,DECODE!$A$3:$C$8,2,FALSE),"?"))</f>
        <v/>
      </c>
      <c r="BU36">
        <f>IF($R36="","",UPPER(TRIM(LEFT($R36&amp;",",FIND(",",$R36&amp;",")-1))))</f>
        <v/>
      </c>
      <c r="BV36">
        <f>IF($BU36="","",MID($BU36,4,FIND("~",SUBSTITUTE($BU36,"-","~",2))-4))</f>
        <v/>
      </c>
      <c r="BW36">
        <f>IF($BU36="","",MID($BU36,FIND("~",SUBSTITUTE($BU36,"-","~",2))+1,FIND("~",SUBSTITUTE($BU36,"-","~",3))-FIND("~",SUBSTITUTE($BU36,"-","~",2))-1))</f>
        <v/>
      </c>
      <c r="BX36">
        <f>IF($BV36="","",IFERROR(VLOOKUP($BV36,DECODE!$A$3:$C$8,3,FALSE),"?"))</f>
        <v/>
      </c>
      <c r="BY36">
        <f>IF($BW36="","",IFERROR(VLOOKUP($BV36&amp;"-"&amp;$BW36,DECODE!$E$3:$F$21,2,FALSE),"?"))</f>
        <v/>
      </c>
      <c r="BZ36">
        <f>IF($BU36="","",IFERROR(VALUE(RIGHT($BU36,3)),""))</f>
        <v/>
      </c>
      <c r="CA36">
        <f>IF($X36="","",IFERROR(IF(ISNUMBER($X36),$X36,DATEVALUE(TRIM($X36))),""))</f>
        <v/>
      </c>
      <c r="CB36">
        <f>IF($CA36="","",IF(MONTH($CA36)&gt;=12,"Cold Winter",IF(MONTH($CA36)&gt;=10,"Post-Monsoon",IF(MONTH($CA36)&gt;=6,"Hot Humid",IF(MONTH($CA36)&gt;=3,"Hot Dry","Cold Winter")))))</f>
        <v/>
      </c>
      <c r="CC36">
        <f>IF($BV36="","",IFERROR(VLOOKUP($BV36,DECODE!$A$3:$C$8,2,FALSE),"?"))</f>
        <v/>
      </c>
      <c r="CD36">
        <f>IF($S36="","",UPPER(TRIM(LEFT($S36&amp;",",FIND(",",$S36&amp;",")-1))))</f>
        <v/>
      </c>
      <c r="CE36">
        <f>IF($CD36="","",MID($CD36,4,FIND("~",SUBSTITUTE($CD36,"-","~",2))-4))</f>
        <v/>
      </c>
      <c r="CF36">
        <f>IF($CD36="","",MID($CD36,FIND("~",SUBSTITUTE($CD36,"-","~",2))+1,FIND("~",SUBSTITUTE($CD36,"-","~",3))-FIND("~",SUBSTITUTE($CD36,"-","~",2))-1))</f>
        <v/>
      </c>
      <c r="CG36">
        <f>IF($CE36="","",IFERROR(VLOOKUP($CE36,DECODE!$A$3:$C$8,3,FALSE),"?"))</f>
        <v/>
      </c>
      <c r="CH36">
        <f>IF($CF36="","",IFERROR(VLOOKUP($CE36&amp;"-"&amp;$CF36,DECODE!$E$3:$F$21,2,FALSE),"?"))</f>
        <v/>
      </c>
      <c r="CI36">
        <f>IF($CD36="","",IFERROR(VALUE(RIGHT($CD36,3)),""))</f>
        <v/>
      </c>
      <c r="CJ36">
        <f>IF($Y36="","",IFERROR(IF(ISNUMBER($Y36),$Y36,DATEVALUE(TRIM($Y36))),""))</f>
        <v/>
      </c>
      <c r="CK36">
        <f>IF($CJ36="","",IF(MONTH($CJ36)&gt;=12,"Cold Winter",IF(MONTH($CJ36)&gt;=10,"Post-Monsoon",IF(MONTH($CJ36)&gt;=6,"Hot Humid",IF(MONTH($CJ36)&gt;=3,"Hot Dry","Cold Winter")))))</f>
        <v/>
      </c>
      <c r="CL36">
        <f>IF($CE36="","",IFERROR(VLOOKUP($CE36,DECODE!$A$3:$C$8,2,FALSE),"?"))</f>
        <v/>
      </c>
      <c r="CM36">
        <f>IF($AN36="","",AN36)</f>
        <v/>
      </c>
      <c r="CN36">
        <f>IF($AO36="","",AO36)</f>
        <v/>
      </c>
      <c r="CO36">
        <f>IF($AP36="","",AP36)</f>
        <v/>
      </c>
      <c r="CP36">
        <f>IF($CM36="","",IF($CM36="Aloe Vera Gel","Aloe Vera Gel "&amp;$CO36&amp;"g",CN36&amp;" "&amp;$CO36&amp;"g"))</f>
        <v/>
      </c>
      <c r="CQ36">
        <f>IF($AT36="",0,1)</f>
        <v/>
      </c>
      <c r="CR36">
        <f>IF($CQ36=0,"",AW36)</f>
        <v/>
      </c>
      <c r="CS36">
        <f>IF($CQ36=0,"",AX36)</f>
        <v/>
      </c>
      <c r="CT36">
        <f>IF($CQ36=0,"",AY36)</f>
        <v/>
      </c>
      <c r="CU36">
        <f>IF($CR36="","",IF($CR36="Aloe Vera Gel","Aloe Vera Gel "&amp;$CT36&amp;"g",CS36&amp;" "&amp;$CT36&amp;"g"))</f>
        <v/>
      </c>
      <c r="CV36">
        <f>IF($CQ36=0,"",IF($CP36=$CU36,"Repeat Exact",IF($CT36&gt;$CO36,"Upsized",IF($CT36&lt;$CO36,"Downsized",IF($CM36&lt;&gt;$CR36,"Lateral","Same Size Diff Variant")))))</f>
        <v/>
      </c>
      <c r="CW36">
        <f>IF($CQ36=0,"",AZ36-AQ36)</f>
        <v/>
      </c>
      <c r="CX36">
        <f>IF($CQ36=0,0,IF(CS36=CN36,1,0))</f>
        <v/>
      </c>
      <c r="CY36">
        <f>IF($CQ36=0,0,IF(CR36=CM36,1,0))</f>
        <v/>
      </c>
      <c r="CZ36">
        <f>IF($A36="","",IF(AND(IF(DASHBOARD!$C$4="All",TRUE,$CM36=DASHBOARD!$C$4),IF(DASHBOARD!$C$6="All",TRUE,$CP36=DASHBOARD!$C$6),IF(DASHBOARD!$C$8="All",TRUE,$AF36&gt;=DASHBOARD!$C$8),IF(DASHBOARD!$C$10="All",TRUE,$AF36&lt;=DASHBOARD!$C$10),IF(DASHBOARD!$C$12="All",TRUE,$AH36=VALUE(DASHBOARD!$C$12)),IF(DASHBOARD!$C$14="All",TRUE,$AJ36=DASHBOARD!$C$14)),1,0))</f>
        <v/>
      </c>
    </row>
    <row r="37">
      <c r="A37" t="n">
        <v>35510</v>
      </c>
      <c r="B37" t="inlineStr">
        <is>
          <t>Aloe Vera Gel</t>
        </is>
      </c>
      <c r="H37" t="inlineStr">
        <is>
          <t>Aloe Vera Gel - 80 gms</t>
        </is>
      </c>
      <c r="N37" t="inlineStr">
        <is>
          <t>FC-HG-PA-080</t>
        </is>
      </c>
      <c r="T37" t="inlineStr">
        <is>
          <t>Jun 13, 2026</t>
        </is>
      </c>
      <c r="AE37" t="inlineStr">
        <is>
          <t>New Delhi</t>
        </is>
      </c>
      <c r="AF37" t="inlineStr">
        <is>
          <t>2026-06</t>
        </is>
      </c>
      <c r="AG37" t="n">
        <v>6</v>
      </c>
      <c r="AH37" t="n">
        <v>1</v>
      </c>
      <c r="AI37" t="n">
        <v>0</v>
      </c>
      <c r="AJ37">
        <f>IF($AE37="","",IFERROR(VLOOKUP(TRIM($AE37),DECODE!$H$3:$I$60,2,FALSE),"Rest of India"))</f>
        <v/>
      </c>
      <c r="AK37">
        <f>IF($N37="","",UPPER(TRIM(LEFT($N37&amp;",",FIND(",",$N37&amp;",")-1))))</f>
        <v/>
      </c>
      <c r="AL37">
        <f>IF($AK37="","",MID($AK37,4,FIND("~",SUBSTITUTE($AK37,"-","~",2))-4))</f>
        <v/>
      </c>
      <c r="AM37">
        <f>IF($AK37="","",MID($AK37,FIND("~",SUBSTITUTE($AK37,"-","~",2))+1,FIND("~",SUBSTITUTE($AK37,"-","~",3))-FIND("~",SUBSTITUTE($AK37,"-","~",2))-1))</f>
        <v/>
      </c>
      <c r="AN37">
        <f>IF($AL37="","",IFERROR(VLOOKUP($AL37,DECODE!$A$3:$C$8,3,FALSE),"?"))</f>
        <v/>
      </c>
      <c r="AO37">
        <f>IF($AM37="","",IFERROR(VLOOKUP($AL37&amp;"-"&amp;$AM37,DECODE!$E$3:$F$21,2,FALSE),"?"))</f>
        <v/>
      </c>
      <c r="AP37">
        <f>IF($AK37="","",IFERROR(VALUE(RIGHT($AK37,3)),""))</f>
        <v/>
      </c>
      <c r="AQ37">
        <f>IF($T37="","",IFERROR(IF(ISNUMBER($T37),$T37,DATEVALUE(TRIM($T37))),""))</f>
        <v/>
      </c>
      <c r="AR37">
        <f>IF($AQ37="","",IF(MONTH($AQ37)&gt;=12,"Cold Winter",IF(MONTH($AQ37)&gt;=10,"Post-Monsoon",IF(MONTH($AQ37)&gt;=6,"Hot Humid",IF(MONTH($AQ37)&gt;=3,"Hot Dry","Cold Winter")))))</f>
        <v/>
      </c>
      <c r="AS37">
        <f>IF($AL37="","",IFERROR(VLOOKUP($AL37,DECODE!$A$3:$C$8,2,FALSE),"?"))</f>
        <v/>
      </c>
      <c r="AT37">
        <f>IF($O37="","",UPPER(TRIM(LEFT($O37&amp;",",FIND(",",$O37&amp;",")-1))))</f>
        <v/>
      </c>
      <c r="AU37">
        <f>IF($AT37="","",MID($AT37,4,FIND("~",SUBSTITUTE($AT37,"-","~",2))-4))</f>
        <v/>
      </c>
      <c r="AV37">
        <f>IF($AT37="","",MID($AT37,FIND("~",SUBSTITUTE($AT37,"-","~",2))+1,FIND("~",SUBSTITUTE($AT37,"-","~",3))-FIND("~",SUBSTITUTE($AT37,"-","~",2))-1))</f>
        <v/>
      </c>
      <c r="AW37">
        <f>IF($AU37="","",IFERROR(VLOOKUP($AU37,DECODE!$A$3:$C$8,3,FALSE),"?"))</f>
        <v/>
      </c>
      <c r="AX37">
        <f>IF($AV37="","",IFERROR(VLOOKUP($AU37&amp;"-"&amp;$AV37,DECODE!$E$3:$F$21,2,FALSE),"?"))</f>
        <v/>
      </c>
      <c r="AY37">
        <f>IF($AT37="","",IFERROR(VALUE(RIGHT($AT37,3)),""))</f>
        <v/>
      </c>
      <c r="AZ37">
        <f>IF($U37="","",IFERROR(IF(ISNUMBER($U37),$U37,DATEVALUE(TRIM($U37))),""))</f>
        <v/>
      </c>
      <c r="BA37">
        <f>IF($AZ37="","",IF(MONTH($AZ37)&gt;=12,"Cold Winter",IF(MONTH($AZ37)&gt;=10,"Post-Monsoon",IF(MONTH($AZ37)&gt;=6,"Hot Humid",IF(MONTH($AZ37)&gt;=3,"Hot Dry","Cold Winter")))))</f>
        <v/>
      </c>
      <c r="BB37">
        <f>IF($AU37="","",IFERROR(VLOOKUP($AU37,DECODE!$A$3:$C$8,2,FALSE),"?"))</f>
        <v/>
      </c>
      <c r="BC37">
        <f>IF($P37="","",UPPER(TRIM(LEFT($P37&amp;",",FIND(",",$P37&amp;",")-1))))</f>
        <v/>
      </c>
      <c r="BD37">
        <f>IF($BC37="","",MID($BC37,4,FIND("~",SUBSTITUTE($BC37,"-","~",2))-4))</f>
        <v/>
      </c>
      <c r="BE37">
        <f>IF($BC37="","",MID($BC37,FIND("~",SUBSTITUTE($BC37,"-","~",2))+1,FIND("~",SUBSTITUTE($BC37,"-","~",3))-FIND("~",SUBSTITUTE($BC37,"-","~",2))-1))</f>
        <v/>
      </c>
      <c r="BF37">
        <f>IF($BD37="","",IFERROR(VLOOKUP($BD37,DECODE!$A$3:$C$8,3,FALSE),"?"))</f>
        <v/>
      </c>
      <c r="BG37">
        <f>IF($BE37="","",IFERROR(VLOOKUP($BD37&amp;"-"&amp;$BE37,DECODE!$E$3:$F$21,2,FALSE),"?"))</f>
        <v/>
      </c>
      <c r="BH37">
        <f>IF($BC37="","",IFERROR(VALUE(RIGHT($BC37,3)),""))</f>
        <v/>
      </c>
      <c r="BI37">
        <f>IF($V37="","",IFERROR(IF(ISNUMBER($V37),$V37,DATEVALUE(TRIM($V37))),""))</f>
        <v/>
      </c>
      <c r="BJ37">
        <f>IF($BI37="","",IF(MONTH($BI37)&gt;=12,"Cold Winter",IF(MONTH($BI37)&gt;=10,"Post-Monsoon",IF(MONTH($BI37)&gt;=6,"Hot Humid",IF(MONTH($BI37)&gt;=3,"Hot Dry","Cold Winter")))))</f>
        <v/>
      </c>
      <c r="BK37">
        <f>IF($BD37="","",IFERROR(VLOOKUP($BD37,DECODE!$A$3:$C$8,2,FALSE),"?"))</f>
        <v/>
      </c>
      <c r="BL37">
        <f>IF($Q37="","",UPPER(TRIM(LEFT($Q37&amp;",",FIND(",",$Q37&amp;",")-1))))</f>
        <v/>
      </c>
      <c r="BM37">
        <f>IF($BL37="","",MID($BL37,4,FIND("~",SUBSTITUTE($BL37,"-","~",2))-4))</f>
        <v/>
      </c>
      <c r="BN37">
        <f>IF($BL37="","",MID($BL37,FIND("~",SUBSTITUTE($BL37,"-","~",2))+1,FIND("~",SUBSTITUTE($BL37,"-","~",3))-FIND("~",SUBSTITUTE($BL37,"-","~",2))-1))</f>
        <v/>
      </c>
      <c r="BO37">
        <f>IF($BM37="","",IFERROR(VLOOKUP($BM37,DECODE!$A$3:$C$8,3,FALSE),"?"))</f>
        <v/>
      </c>
      <c r="BP37">
        <f>IF($BN37="","",IFERROR(VLOOKUP($BM37&amp;"-"&amp;$BN37,DECODE!$E$3:$F$21,2,FALSE),"?"))</f>
        <v/>
      </c>
      <c r="BQ37">
        <f>IF($BL37="","",IFERROR(VALUE(RIGHT($BL37,3)),""))</f>
        <v/>
      </c>
      <c r="BR37">
        <f>IF($W37="","",IFERROR(IF(ISNUMBER($W37),$W37,DATEVALUE(TRIM($W37))),""))</f>
        <v/>
      </c>
      <c r="BS37">
        <f>IF($BR37="","",IF(MONTH($BR37)&gt;=12,"Cold Winter",IF(MONTH($BR37)&gt;=10,"Post-Monsoon",IF(MONTH($BR37)&gt;=6,"Hot Humid",IF(MONTH($BR37)&gt;=3,"Hot Dry","Cold Winter")))))</f>
        <v/>
      </c>
      <c r="BT37">
        <f>IF($BM37="","",IFERROR(VLOOKUP($BM37,DECODE!$A$3:$C$8,2,FALSE),"?"))</f>
        <v/>
      </c>
      <c r="BU37">
        <f>IF($R37="","",UPPER(TRIM(LEFT($R37&amp;",",FIND(",",$R37&amp;",")-1))))</f>
        <v/>
      </c>
      <c r="BV37">
        <f>IF($BU37="","",MID($BU37,4,FIND("~",SUBSTITUTE($BU37,"-","~",2))-4))</f>
        <v/>
      </c>
      <c r="BW37">
        <f>IF($BU37="","",MID($BU37,FIND("~",SUBSTITUTE($BU37,"-","~",2))+1,FIND("~",SUBSTITUTE($BU37,"-","~",3))-FIND("~",SUBSTITUTE($BU37,"-","~",2))-1))</f>
        <v/>
      </c>
      <c r="BX37">
        <f>IF($BV37="","",IFERROR(VLOOKUP($BV37,DECODE!$A$3:$C$8,3,FALSE),"?"))</f>
        <v/>
      </c>
      <c r="BY37">
        <f>IF($BW37="","",IFERROR(VLOOKUP($BV37&amp;"-"&amp;$BW37,DECODE!$E$3:$F$21,2,FALSE),"?"))</f>
        <v/>
      </c>
      <c r="BZ37">
        <f>IF($BU37="","",IFERROR(VALUE(RIGHT($BU37,3)),""))</f>
        <v/>
      </c>
      <c r="CA37">
        <f>IF($X37="","",IFERROR(IF(ISNUMBER($X37),$X37,DATEVALUE(TRIM($X37))),""))</f>
        <v/>
      </c>
      <c r="CB37">
        <f>IF($CA37="","",IF(MONTH($CA37)&gt;=12,"Cold Winter",IF(MONTH($CA37)&gt;=10,"Post-Monsoon",IF(MONTH($CA37)&gt;=6,"Hot Humid",IF(MONTH($CA37)&gt;=3,"Hot Dry","Cold Winter")))))</f>
        <v/>
      </c>
      <c r="CC37">
        <f>IF($BV37="","",IFERROR(VLOOKUP($BV37,DECODE!$A$3:$C$8,2,FALSE),"?"))</f>
        <v/>
      </c>
      <c r="CD37">
        <f>IF($S37="","",UPPER(TRIM(LEFT($S37&amp;",",FIND(",",$S37&amp;",")-1))))</f>
        <v/>
      </c>
      <c r="CE37">
        <f>IF($CD37="","",MID($CD37,4,FIND("~",SUBSTITUTE($CD37,"-","~",2))-4))</f>
        <v/>
      </c>
      <c r="CF37">
        <f>IF($CD37="","",MID($CD37,FIND("~",SUBSTITUTE($CD37,"-","~",2))+1,FIND("~",SUBSTITUTE($CD37,"-","~",3))-FIND("~",SUBSTITUTE($CD37,"-","~",2))-1))</f>
        <v/>
      </c>
      <c r="CG37">
        <f>IF($CE37="","",IFERROR(VLOOKUP($CE37,DECODE!$A$3:$C$8,3,FALSE),"?"))</f>
        <v/>
      </c>
      <c r="CH37">
        <f>IF($CF37="","",IFERROR(VLOOKUP($CE37&amp;"-"&amp;$CF37,DECODE!$E$3:$F$21,2,FALSE),"?"))</f>
        <v/>
      </c>
      <c r="CI37">
        <f>IF($CD37="","",IFERROR(VALUE(RIGHT($CD37,3)),""))</f>
        <v/>
      </c>
      <c r="CJ37">
        <f>IF($Y37="","",IFERROR(IF(ISNUMBER($Y37),$Y37,DATEVALUE(TRIM($Y37))),""))</f>
        <v/>
      </c>
      <c r="CK37">
        <f>IF($CJ37="","",IF(MONTH($CJ37)&gt;=12,"Cold Winter",IF(MONTH($CJ37)&gt;=10,"Post-Monsoon",IF(MONTH($CJ37)&gt;=6,"Hot Humid",IF(MONTH($CJ37)&gt;=3,"Hot Dry","Cold Winter")))))</f>
        <v/>
      </c>
      <c r="CL37">
        <f>IF($CE37="","",IFERROR(VLOOKUP($CE37,DECODE!$A$3:$C$8,2,FALSE),"?"))</f>
        <v/>
      </c>
      <c r="CM37">
        <f>IF($AN37="","",AN37)</f>
        <v/>
      </c>
      <c r="CN37">
        <f>IF($AO37="","",AO37)</f>
        <v/>
      </c>
      <c r="CO37">
        <f>IF($AP37="","",AP37)</f>
        <v/>
      </c>
      <c r="CP37">
        <f>IF($CM37="","",IF($CM37="Aloe Vera Gel","Aloe Vera Gel "&amp;$CO37&amp;"g",CN37&amp;" "&amp;$CO37&amp;"g"))</f>
        <v/>
      </c>
      <c r="CQ37">
        <f>IF($AT37="",0,1)</f>
        <v/>
      </c>
      <c r="CR37">
        <f>IF($CQ37=0,"",AW37)</f>
        <v/>
      </c>
      <c r="CS37">
        <f>IF($CQ37=0,"",AX37)</f>
        <v/>
      </c>
      <c r="CT37">
        <f>IF($CQ37=0,"",AY37)</f>
        <v/>
      </c>
      <c r="CU37">
        <f>IF($CR37="","",IF($CR37="Aloe Vera Gel","Aloe Vera Gel "&amp;$CT37&amp;"g",CS37&amp;" "&amp;$CT37&amp;"g"))</f>
        <v/>
      </c>
      <c r="CV37">
        <f>IF($CQ37=0,"",IF($CP37=$CU37,"Repeat Exact",IF($CT37&gt;$CO37,"Upsized",IF($CT37&lt;$CO37,"Downsized",IF($CM37&lt;&gt;$CR37,"Lateral","Same Size Diff Variant")))))</f>
        <v/>
      </c>
      <c r="CW37">
        <f>IF($CQ37=0,"",AZ37-AQ37)</f>
        <v/>
      </c>
      <c r="CX37">
        <f>IF($CQ37=0,0,IF(CS37=CN37,1,0))</f>
        <v/>
      </c>
      <c r="CY37">
        <f>IF($CQ37=0,0,IF(CR37=CM37,1,0))</f>
        <v/>
      </c>
      <c r="CZ37">
        <f>IF($A37="","",IF(AND(IF(DASHBOARD!$C$4="All",TRUE,$CM37=DASHBOARD!$C$4),IF(DASHBOARD!$C$6="All",TRUE,$CP37=DASHBOARD!$C$6),IF(DASHBOARD!$C$8="All",TRUE,$AF37&gt;=DASHBOARD!$C$8),IF(DASHBOARD!$C$10="All",TRUE,$AF37&lt;=DASHBOARD!$C$10),IF(DASHBOARD!$C$12="All",TRUE,$AH37=VALUE(DASHBOARD!$C$12)),IF(DASHBOARD!$C$14="All",TRUE,$AJ37=DASHBOARD!$C$14)),1,0))</f>
        <v/>
      </c>
    </row>
    <row r="38">
      <c r="A38" t="n">
        <v>37170</v>
      </c>
      <c r="B38" t="inlineStr">
        <is>
          <t>Face Malai</t>
        </is>
      </c>
      <c r="H38" t="inlineStr">
        <is>
          <t>Honey Multi-Nut (Dry &amp; Peeling Skin) Face Malai</t>
        </is>
      </c>
      <c r="N38" t="inlineStr">
        <is>
          <t>FC-DM-DP-030</t>
        </is>
      </c>
      <c r="T38" t="inlineStr">
        <is>
          <t>Dec 29, 2024</t>
        </is>
      </c>
      <c r="AE38" t="inlineStr">
        <is>
          <t>New Delhi</t>
        </is>
      </c>
      <c r="AF38" t="inlineStr">
        <is>
          <t>2024-12</t>
        </is>
      </c>
      <c r="AG38" t="n">
        <v>12</v>
      </c>
      <c r="AH38" t="n">
        <v>1</v>
      </c>
      <c r="AI38" t="n">
        <v>0</v>
      </c>
      <c r="AJ38">
        <f>IF($AE38="","",IFERROR(VLOOKUP(TRIM($AE38),DECODE!$H$3:$I$60,2,FALSE),"Rest of India"))</f>
        <v/>
      </c>
      <c r="AK38">
        <f>IF($N38="","",UPPER(TRIM(LEFT($N38&amp;",",FIND(",",$N38&amp;",")-1))))</f>
        <v/>
      </c>
      <c r="AL38">
        <f>IF($AK38="","",MID($AK38,4,FIND("~",SUBSTITUTE($AK38,"-","~",2))-4))</f>
        <v/>
      </c>
      <c r="AM38">
        <f>IF($AK38="","",MID($AK38,FIND("~",SUBSTITUTE($AK38,"-","~",2))+1,FIND("~",SUBSTITUTE($AK38,"-","~",3))-FIND("~",SUBSTITUTE($AK38,"-","~",2))-1))</f>
        <v/>
      </c>
      <c r="AN38">
        <f>IF($AL38="","",IFERROR(VLOOKUP($AL38,DECODE!$A$3:$C$8,3,FALSE),"?"))</f>
        <v/>
      </c>
      <c r="AO38">
        <f>IF($AM38="","",IFERROR(VLOOKUP($AL38&amp;"-"&amp;$AM38,DECODE!$E$3:$F$21,2,FALSE),"?"))</f>
        <v/>
      </c>
      <c r="AP38">
        <f>IF($AK38="","",IFERROR(VALUE(RIGHT($AK38,3)),""))</f>
        <v/>
      </c>
      <c r="AQ38">
        <f>IF($T38="","",IFERROR(IF(ISNUMBER($T38),$T38,DATEVALUE(TRIM($T38))),""))</f>
        <v/>
      </c>
      <c r="AR38">
        <f>IF($AQ38="","",IF(MONTH($AQ38)&gt;=12,"Cold Winter",IF(MONTH($AQ38)&gt;=10,"Post-Monsoon",IF(MONTH($AQ38)&gt;=6,"Hot Humid",IF(MONTH($AQ38)&gt;=3,"Hot Dry","Cold Winter")))))</f>
        <v/>
      </c>
      <c r="AS38">
        <f>IF($AL38="","",IFERROR(VLOOKUP($AL38,DECODE!$A$3:$C$8,2,FALSE),"?"))</f>
        <v/>
      </c>
      <c r="AT38">
        <f>IF($O38="","",UPPER(TRIM(LEFT($O38&amp;",",FIND(",",$O38&amp;",")-1))))</f>
        <v/>
      </c>
      <c r="AU38">
        <f>IF($AT38="","",MID($AT38,4,FIND("~",SUBSTITUTE($AT38,"-","~",2))-4))</f>
        <v/>
      </c>
      <c r="AV38">
        <f>IF($AT38="","",MID($AT38,FIND("~",SUBSTITUTE($AT38,"-","~",2))+1,FIND("~",SUBSTITUTE($AT38,"-","~",3))-FIND("~",SUBSTITUTE($AT38,"-","~",2))-1))</f>
        <v/>
      </c>
      <c r="AW38">
        <f>IF($AU38="","",IFERROR(VLOOKUP($AU38,DECODE!$A$3:$C$8,3,FALSE),"?"))</f>
        <v/>
      </c>
      <c r="AX38">
        <f>IF($AV38="","",IFERROR(VLOOKUP($AU38&amp;"-"&amp;$AV38,DECODE!$E$3:$F$21,2,FALSE),"?"))</f>
        <v/>
      </c>
      <c r="AY38">
        <f>IF($AT38="","",IFERROR(VALUE(RIGHT($AT38,3)),""))</f>
        <v/>
      </c>
      <c r="AZ38">
        <f>IF($U38="","",IFERROR(IF(ISNUMBER($U38),$U38,DATEVALUE(TRIM($U38))),""))</f>
        <v/>
      </c>
      <c r="BA38">
        <f>IF($AZ38="","",IF(MONTH($AZ38)&gt;=12,"Cold Winter",IF(MONTH($AZ38)&gt;=10,"Post-Monsoon",IF(MONTH($AZ38)&gt;=6,"Hot Humid",IF(MONTH($AZ38)&gt;=3,"Hot Dry","Cold Winter")))))</f>
        <v/>
      </c>
      <c r="BB38">
        <f>IF($AU38="","",IFERROR(VLOOKUP($AU38,DECODE!$A$3:$C$8,2,FALSE),"?"))</f>
        <v/>
      </c>
      <c r="BC38">
        <f>IF($P38="","",UPPER(TRIM(LEFT($P38&amp;",",FIND(",",$P38&amp;",")-1))))</f>
        <v/>
      </c>
      <c r="BD38">
        <f>IF($BC38="","",MID($BC38,4,FIND("~",SUBSTITUTE($BC38,"-","~",2))-4))</f>
        <v/>
      </c>
      <c r="BE38">
        <f>IF($BC38="","",MID($BC38,FIND("~",SUBSTITUTE($BC38,"-","~",2))+1,FIND("~",SUBSTITUTE($BC38,"-","~",3))-FIND("~",SUBSTITUTE($BC38,"-","~",2))-1))</f>
        <v/>
      </c>
      <c r="BF38">
        <f>IF($BD38="","",IFERROR(VLOOKUP($BD38,DECODE!$A$3:$C$8,3,FALSE),"?"))</f>
        <v/>
      </c>
      <c r="BG38">
        <f>IF($BE38="","",IFERROR(VLOOKUP($BD38&amp;"-"&amp;$BE38,DECODE!$E$3:$F$21,2,FALSE),"?"))</f>
        <v/>
      </c>
      <c r="BH38">
        <f>IF($BC38="","",IFERROR(VALUE(RIGHT($BC38,3)),""))</f>
        <v/>
      </c>
      <c r="BI38">
        <f>IF($V38="","",IFERROR(IF(ISNUMBER($V38),$V38,DATEVALUE(TRIM($V38))),""))</f>
        <v/>
      </c>
      <c r="BJ38">
        <f>IF($BI38="","",IF(MONTH($BI38)&gt;=12,"Cold Winter",IF(MONTH($BI38)&gt;=10,"Post-Monsoon",IF(MONTH($BI38)&gt;=6,"Hot Humid",IF(MONTH($BI38)&gt;=3,"Hot Dry","Cold Winter")))))</f>
        <v/>
      </c>
      <c r="BK38">
        <f>IF($BD38="","",IFERROR(VLOOKUP($BD38,DECODE!$A$3:$C$8,2,FALSE),"?"))</f>
        <v/>
      </c>
      <c r="BL38">
        <f>IF($Q38="","",UPPER(TRIM(LEFT($Q38&amp;",",FIND(",",$Q38&amp;",")-1))))</f>
        <v/>
      </c>
      <c r="BM38">
        <f>IF($BL38="","",MID($BL38,4,FIND("~",SUBSTITUTE($BL38,"-","~",2))-4))</f>
        <v/>
      </c>
      <c r="BN38">
        <f>IF($BL38="","",MID($BL38,FIND("~",SUBSTITUTE($BL38,"-","~",2))+1,FIND("~",SUBSTITUTE($BL38,"-","~",3))-FIND("~",SUBSTITUTE($BL38,"-","~",2))-1))</f>
        <v/>
      </c>
      <c r="BO38">
        <f>IF($BM38="","",IFERROR(VLOOKUP($BM38,DECODE!$A$3:$C$8,3,FALSE),"?"))</f>
        <v/>
      </c>
      <c r="BP38">
        <f>IF($BN38="","",IFERROR(VLOOKUP($BM38&amp;"-"&amp;$BN38,DECODE!$E$3:$F$21,2,FALSE),"?"))</f>
        <v/>
      </c>
      <c r="BQ38">
        <f>IF($BL38="","",IFERROR(VALUE(RIGHT($BL38,3)),""))</f>
        <v/>
      </c>
      <c r="BR38">
        <f>IF($W38="","",IFERROR(IF(ISNUMBER($W38),$W38,DATEVALUE(TRIM($W38))),""))</f>
        <v/>
      </c>
      <c r="BS38">
        <f>IF($BR38="","",IF(MONTH($BR38)&gt;=12,"Cold Winter",IF(MONTH($BR38)&gt;=10,"Post-Monsoon",IF(MONTH($BR38)&gt;=6,"Hot Humid",IF(MONTH($BR38)&gt;=3,"Hot Dry","Cold Winter")))))</f>
        <v/>
      </c>
      <c r="BT38">
        <f>IF($BM38="","",IFERROR(VLOOKUP($BM38,DECODE!$A$3:$C$8,2,FALSE),"?"))</f>
        <v/>
      </c>
      <c r="BU38">
        <f>IF($R38="","",UPPER(TRIM(LEFT($R38&amp;",",FIND(",",$R38&amp;",")-1))))</f>
        <v/>
      </c>
      <c r="BV38">
        <f>IF($BU38="","",MID($BU38,4,FIND("~",SUBSTITUTE($BU38,"-","~",2))-4))</f>
        <v/>
      </c>
      <c r="BW38">
        <f>IF($BU38="","",MID($BU38,FIND("~",SUBSTITUTE($BU38,"-","~",2))+1,FIND("~",SUBSTITUTE($BU38,"-","~",3))-FIND("~",SUBSTITUTE($BU38,"-","~",2))-1))</f>
        <v/>
      </c>
      <c r="BX38">
        <f>IF($BV38="","",IFERROR(VLOOKUP($BV38,DECODE!$A$3:$C$8,3,FALSE),"?"))</f>
        <v/>
      </c>
      <c r="BY38">
        <f>IF($BW38="","",IFERROR(VLOOKUP($BV38&amp;"-"&amp;$BW38,DECODE!$E$3:$F$21,2,FALSE),"?"))</f>
        <v/>
      </c>
      <c r="BZ38">
        <f>IF($BU38="","",IFERROR(VALUE(RIGHT($BU38,3)),""))</f>
        <v/>
      </c>
      <c r="CA38">
        <f>IF($X38="","",IFERROR(IF(ISNUMBER($X38),$X38,DATEVALUE(TRIM($X38))),""))</f>
        <v/>
      </c>
      <c r="CB38">
        <f>IF($CA38="","",IF(MONTH($CA38)&gt;=12,"Cold Winter",IF(MONTH($CA38)&gt;=10,"Post-Monsoon",IF(MONTH($CA38)&gt;=6,"Hot Humid",IF(MONTH($CA38)&gt;=3,"Hot Dry","Cold Winter")))))</f>
        <v/>
      </c>
      <c r="CC38">
        <f>IF($BV38="","",IFERROR(VLOOKUP($BV38,DECODE!$A$3:$C$8,2,FALSE),"?"))</f>
        <v/>
      </c>
      <c r="CD38">
        <f>IF($S38="","",UPPER(TRIM(LEFT($S38&amp;",",FIND(",",$S38&amp;",")-1))))</f>
        <v/>
      </c>
      <c r="CE38">
        <f>IF($CD38="","",MID($CD38,4,FIND("~",SUBSTITUTE($CD38,"-","~",2))-4))</f>
        <v/>
      </c>
      <c r="CF38">
        <f>IF($CD38="","",MID($CD38,FIND("~",SUBSTITUTE($CD38,"-","~",2))+1,FIND("~",SUBSTITUTE($CD38,"-","~",3))-FIND("~",SUBSTITUTE($CD38,"-","~",2))-1))</f>
        <v/>
      </c>
      <c r="CG38">
        <f>IF($CE38="","",IFERROR(VLOOKUP($CE38,DECODE!$A$3:$C$8,3,FALSE),"?"))</f>
        <v/>
      </c>
      <c r="CH38">
        <f>IF($CF38="","",IFERROR(VLOOKUP($CE38&amp;"-"&amp;$CF38,DECODE!$E$3:$F$21,2,FALSE),"?"))</f>
        <v/>
      </c>
      <c r="CI38">
        <f>IF($CD38="","",IFERROR(VALUE(RIGHT($CD38,3)),""))</f>
        <v/>
      </c>
      <c r="CJ38">
        <f>IF($Y38="","",IFERROR(IF(ISNUMBER($Y38),$Y38,DATEVALUE(TRIM($Y38))),""))</f>
        <v/>
      </c>
      <c r="CK38">
        <f>IF($CJ38="","",IF(MONTH($CJ38)&gt;=12,"Cold Winter",IF(MONTH($CJ38)&gt;=10,"Post-Monsoon",IF(MONTH($CJ38)&gt;=6,"Hot Humid",IF(MONTH($CJ38)&gt;=3,"Hot Dry","Cold Winter")))))</f>
        <v/>
      </c>
      <c r="CL38">
        <f>IF($CE38="","",IFERROR(VLOOKUP($CE38,DECODE!$A$3:$C$8,2,FALSE),"?"))</f>
        <v/>
      </c>
      <c r="CM38">
        <f>IF($AN38="","",AN38)</f>
        <v/>
      </c>
      <c r="CN38">
        <f>IF($AO38="","",AO38)</f>
        <v/>
      </c>
      <c r="CO38">
        <f>IF($AP38="","",AP38)</f>
        <v/>
      </c>
      <c r="CP38">
        <f>IF($CM38="","",IF($CM38="Aloe Vera Gel","Aloe Vera Gel "&amp;$CO38&amp;"g",CN38&amp;" "&amp;$CO38&amp;"g"))</f>
        <v/>
      </c>
      <c r="CQ38">
        <f>IF($AT38="",0,1)</f>
        <v/>
      </c>
      <c r="CR38">
        <f>IF($CQ38=0,"",AW38)</f>
        <v/>
      </c>
      <c r="CS38">
        <f>IF($CQ38=0,"",AX38)</f>
        <v/>
      </c>
      <c r="CT38">
        <f>IF($CQ38=0,"",AY38)</f>
        <v/>
      </c>
      <c r="CU38">
        <f>IF($CR38="","",IF($CR38="Aloe Vera Gel","Aloe Vera Gel "&amp;$CT38&amp;"g",CS38&amp;" "&amp;$CT38&amp;"g"))</f>
        <v/>
      </c>
      <c r="CV38">
        <f>IF($CQ38=0,"",IF($CP38=$CU38,"Repeat Exact",IF($CT38&gt;$CO38,"Upsized",IF($CT38&lt;$CO38,"Downsized",IF($CM38&lt;&gt;$CR38,"Lateral","Same Size Diff Variant")))))</f>
        <v/>
      </c>
      <c r="CW38">
        <f>IF($CQ38=0,"",AZ38-AQ38)</f>
        <v/>
      </c>
      <c r="CX38">
        <f>IF($CQ38=0,0,IF(CS38=CN38,1,0))</f>
        <v/>
      </c>
      <c r="CY38">
        <f>IF($CQ38=0,0,IF(CR38=CM38,1,0))</f>
        <v/>
      </c>
      <c r="CZ38">
        <f>IF($A38="","",IF(AND(IF(DASHBOARD!$C$4="All",TRUE,$CM38=DASHBOARD!$C$4),IF(DASHBOARD!$C$6="All",TRUE,$CP38=DASHBOARD!$C$6),IF(DASHBOARD!$C$8="All",TRUE,$AF38&gt;=DASHBOARD!$C$8),IF(DASHBOARD!$C$10="All",TRUE,$AF38&lt;=DASHBOARD!$C$10),IF(DASHBOARD!$C$12="All",TRUE,$AH38=VALUE(DASHBOARD!$C$12)),IF(DASHBOARD!$C$14="All",TRUE,$AJ38=DASHBOARD!$C$14)),1,0))</f>
        <v/>
      </c>
    </row>
    <row r="39">
      <c r="A39" t="n">
        <v>38176</v>
      </c>
      <c r="B39" t="inlineStr">
        <is>
          <t>Aloe Vera Gel</t>
        </is>
      </c>
      <c r="H39" t="inlineStr">
        <is>
          <t>Aloe Vera Gel - 40 gms</t>
        </is>
      </c>
      <c r="N39" t="inlineStr">
        <is>
          <t>FC-HG-PA-040</t>
        </is>
      </c>
      <c r="T39" t="inlineStr">
        <is>
          <t>Nov 30, 2024</t>
        </is>
      </c>
      <c r="AE39" t="inlineStr">
        <is>
          <t>New Delhi</t>
        </is>
      </c>
      <c r="AF39" t="inlineStr">
        <is>
          <t>2024-11</t>
        </is>
      </c>
      <c r="AG39" t="n">
        <v>11</v>
      </c>
      <c r="AH39" t="n">
        <v>1</v>
      </c>
      <c r="AI39" t="n">
        <v>0</v>
      </c>
      <c r="AJ39">
        <f>IF($AE39="","",IFERROR(VLOOKUP(TRIM($AE39),DECODE!$H$3:$I$60,2,FALSE),"Rest of India"))</f>
        <v/>
      </c>
      <c r="AK39">
        <f>IF($N39="","",UPPER(TRIM(LEFT($N39&amp;",",FIND(",",$N39&amp;",")-1))))</f>
        <v/>
      </c>
      <c r="AL39">
        <f>IF($AK39="","",MID($AK39,4,FIND("~",SUBSTITUTE($AK39,"-","~",2))-4))</f>
        <v/>
      </c>
      <c r="AM39">
        <f>IF($AK39="","",MID($AK39,FIND("~",SUBSTITUTE($AK39,"-","~",2))+1,FIND("~",SUBSTITUTE($AK39,"-","~",3))-FIND("~",SUBSTITUTE($AK39,"-","~",2))-1))</f>
        <v/>
      </c>
      <c r="AN39">
        <f>IF($AL39="","",IFERROR(VLOOKUP($AL39,DECODE!$A$3:$C$8,3,FALSE),"?"))</f>
        <v/>
      </c>
      <c r="AO39">
        <f>IF($AM39="","",IFERROR(VLOOKUP($AL39&amp;"-"&amp;$AM39,DECODE!$E$3:$F$21,2,FALSE),"?"))</f>
        <v/>
      </c>
      <c r="AP39">
        <f>IF($AK39="","",IFERROR(VALUE(RIGHT($AK39,3)),""))</f>
        <v/>
      </c>
      <c r="AQ39">
        <f>IF($T39="","",IFERROR(IF(ISNUMBER($T39),$T39,DATEVALUE(TRIM($T39))),""))</f>
        <v/>
      </c>
      <c r="AR39">
        <f>IF($AQ39="","",IF(MONTH($AQ39)&gt;=12,"Cold Winter",IF(MONTH($AQ39)&gt;=10,"Post-Monsoon",IF(MONTH($AQ39)&gt;=6,"Hot Humid",IF(MONTH($AQ39)&gt;=3,"Hot Dry","Cold Winter")))))</f>
        <v/>
      </c>
      <c r="AS39">
        <f>IF($AL39="","",IFERROR(VLOOKUP($AL39,DECODE!$A$3:$C$8,2,FALSE),"?"))</f>
        <v/>
      </c>
      <c r="AT39">
        <f>IF($O39="","",UPPER(TRIM(LEFT($O39&amp;",",FIND(",",$O39&amp;",")-1))))</f>
        <v/>
      </c>
      <c r="AU39">
        <f>IF($AT39="","",MID($AT39,4,FIND("~",SUBSTITUTE($AT39,"-","~",2))-4))</f>
        <v/>
      </c>
      <c r="AV39">
        <f>IF($AT39="","",MID($AT39,FIND("~",SUBSTITUTE($AT39,"-","~",2))+1,FIND("~",SUBSTITUTE($AT39,"-","~",3))-FIND("~",SUBSTITUTE($AT39,"-","~",2))-1))</f>
        <v/>
      </c>
      <c r="AW39">
        <f>IF($AU39="","",IFERROR(VLOOKUP($AU39,DECODE!$A$3:$C$8,3,FALSE),"?"))</f>
        <v/>
      </c>
      <c r="AX39">
        <f>IF($AV39="","",IFERROR(VLOOKUP($AU39&amp;"-"&amp;$AV39,DECODE!$E$3:$F$21,2,FALSE),"?"))</f>
        <v/>
      </c>
      <c r="AY39">
        <f>IF($AT39="","",IFERROR(VALUE(RIGHT($AT39,3)),""))</f>
        <v/>
      </c>
      <c r="AZ39">
        <f>IF($U39="","",IFERROR(IF(ISNUMBER($U39),$U39,DATEVALUE(TRIM($U39))),""))</f>
        <v/>
      </c>
      <c r="BA39">
        <f>IF($AZ39="","",IF(MONTH($AZ39)&gt;=12,"Cold Winter",IF(MONTH($AZ39)&gt;=10,"Post-Monsoon",IF(MONTH($AZ39)&gt;=6,"Hot Humid",IF(MONTH($AZ39)&gt;=3,"Hot Dry","Cold Winter")))))</f>
        <v/>
      </c>
      <c r="BB39">
        <f>IF($AU39="","",IFERROR(VLOOKUP($AU39,DECODE!$A$3:$C$8,2,FALSE),"?"))</f>
        <v/>
      </c>
      <c r="BC39">
        <f>IF($P39="","",UPPER(TRIM(LEFT($P39&amp;",",FIND(",",$P39&amp;",")-1))))</f>
        <v/>
      </c>
      <c r="BD39">
        <f>IF($BC39="","",MID($BC39,4,FIND("~",SUBSTITUTE($BC39,"-","~",2))-4))</f>
        <v/>
      </c>
      <c r="BE39">
        <f>IF($BC39="","",MID($BC39,FIND("~",SUBSTITUTE($BC39,"-","~",2))+1,FIND("~",SUBSTITUTE($BC39,"-","~",3))-FIND("~",SUBSTITUTE($BC39,"-","~",2))-1))</f>
        <v/>
      </c>
      <c r="BF39">
        <f>IF($BD39="","",IFERROR(VLOOKUP($BD39,DECODE!$A$3:$C$8,3,FALSE),"?"))</f>
        <v/>
      </c>
      <c r="BG39">
        <f>IF($BE39="","",IFERROR(VLOOKUP($BD39&amp;"-"&amp;$BE39,DECODE!$E$3:$F$21,2,FALSE),"?"))</f>
        <v/>
      </c>
      <c r="BH39">
        <f>IF($BC39="","",IFERROR(VALUE(RIGHT($BC39,3)),""))</f>
        <v/>
      </c>
      <c r="BI39">
        <f>IF($V39="","",IFERROR(IF(ISNUMBER($V39),$V39,DATEVALUE(TRIM($V39))),""))</f>
        <v/>
      </c>
      <c r="BJ39">
        <f>IF($BI39="","",IF(MONTH($BI39)&gt;=12,"Cold Winter",IF(MONTH($BI39)&gt;=10,"Post-Monsoon",IF(MONTH($BI39)&gt;=6,"Hot Humid",IF(MONTH($BI39)&gt;=3,"Hot Dry","Cold Winter")))))</f>
        <v/>
      </c>
      <c r="BK39">
        <f>IF($BD39="","",IFERROR(VLOOKUP($BD39,DECODE!$A$3:$C$8,2,FALSE),"?"))</f>
        <v/>
      </c>
      <c r="BL39">
        <f>IF($Q39="","",UPPER(TRIM(LEFT($Q39&amp;",",FIND(",",$Q39&amp;",")-1))))</f>
        <v/>
      </c>
      <c r="BM39">
        <f>IF($BL39="","",MID($BL39,4,FIND("~",SUBSTITUTE($BL39,"-","~",2))-4))</f>
        <v/>
      </c>
      <c r="BN39">
        <f>IF($BL39="","",MID($BL39,FIND("~",SUBSTITUTE($BL39,"-","~",2))+1,FIND("~",SUBSTITUTE($BL39,"-","~",3))-FIND("~",SUBSTITUTE($BL39,"-","~",2))-1))</f>
        <v/>
      </c>
      <c r="BO39">
        <f>IF($BM39="","",IFERROR(VLOOKUP($BM39,DECODE!$A$3:$C$8,3,FALSE),"?"))</f>
        <v/>
      </c>
      <c r="BP39">
        <f>IF($BN39="","",IFERROR(VLOOKUP($BM39&amp;"-"&amp;$BN39,DECODE!$E$3:$F$21,2,FALSE),"?"))</f>
        <v/>
      </c>
      <c r="BQ39">
        <f>IF($BL39="","",IFERROR(VALUE(RIGHT($BL39,3)),""))</f>
        <v/>
      </c>
      <c r="BR39">
        <f>IF($W39="","",IFERROR(IF(ISNUMBER($W39),$W39,DATEVALUE(TRIM($W39))),""))</f>
        <v/>
      </c>
      <c r="BS39">
        <f>IF($BR39="","",IF(MONTH($BR39)&gt;=12,"Cold Winter",IF(MONTH($BR39)&gt;=10,"Post-Monsoon",IF(MONTH($BR39)&gt;=6,"Hot Humid",IF(MONTH($BR39)&gt;=3,"Hot Dry","Cold Winter")))))</f>
        <v/>
      </c>
      <c r="BT39">
        <f>IF($BM39="","",IFERROR(VLOOKUP($BM39,DECODE!$A$3:$C$8,2,FALSE),"?"))</f>
        <v/>
      </c>
      <c r="BU39">
        <f>IF($R39="","",UPPER(TRIM(LEFT($R39&amp;",",FIND(",",$R39&amp;",")-1))))</f>
        <v/>
      </c>
      <c r="BV39">
        <f>IF($BU39="","",MID($BU39,4,FIND("~",SUBSTITUTE($BU39,"-","~",2))-4))</f>
        <v/>
      </c>
      <c r="BW39">
        <f>IF($BU39="","",MID($BU39,FIND("~",SUBSTITUTE($BU39,"-","~",2))+1,FIND("~",SUBSTITUTE($BU39,"-","~",3))-FIND("~",SUBSTITUTE($BU39,"-","~",2))-1))</f>
        <v/>
      </c>
      <c r="BX39">
        <f>IF($BV39="","",IFERROR(VLOOKUP($BV39,DECODE!$A$3:$C$8,3,FALSE),"?"))</f>
        <v/>
      </c>
      <c r="BY39">
        <f>IF($BW39="","",IFERROR(VLOOKUP($BV39&amp;"-"&amp;$BW39,DECODE!$E$3:$F$21,2,FALSE),"?"))</f>
        <v/>
      </c>
      <c r="BZ39">
        <f>IF($BU39="","",IFERROR(VALUE(RIGHT($BU39,3)),""))</f>
        <v/>
      </c>
      <c r="CA39">
        <f>IF($X39="","",IFERROR(IF(ISNUMBER($X39),$X39,DATEVALUE(TRIM($X39))),""))</f>
        <v/>
      </c>
      <c r="CB39">
        <f>IF($CA39="","",IF(MONTH($CA39)&gt;=12,"Cold Winter",IF(MONTH($CA39)&gt;=10,"Post-Monsoon",IF(MONTH($CA39)&gt;=6,"Hot Humid",IF(MONTH($CA39)&gt;=3,"Hot Dry","Cold Winter")))))</f>
        <v/>
      </c>
      <c r="CC39">
        <f>IF($BV39="","",IFERROR(VLOOKUP($BV39,DECODE!$A$3:$C$8,2,FALSE),"?"))</f>
        <v/>
      </c>
      <c r="CD39">
        <f>IF($S39="","",UPPER(TRIM(LEFT($S39&amp;",",FIND(",",$S39&amp;",")-1))))</f>
        <v/>
      </c>
      <c r="CE39">
        <f>IF($CD39="","",MID($CD39,4,FIND("~",SUBSTITUTE($CD39,"-","~",2))-4))</f>
        <v/>
      </c>
      <c r="CF39">
        <f>IF($CD39="","",MID($CD39,FIND("~",SUBSTITUTE($CD39,"-","~",2))+1,FIND("~",SUBSTITUTE($CD39,"-","~",3))-FIND("~",SUBSTITUTE($CD39,"-","~",2))-1))</f>
        <v/>
      </c>
      <c r="CG39">
        <f>IF($CE39="","",IFERROR(VLOOKUP($CE39,DECODE!$A$3:$C$8,3,FALSE),"?"))</f>
        <v/>
      </c>
      <c r="CH39">
        <f>IF($CF39="","",IFERROR(VLOOKUP($CE39&amp;"-"&amp;$CF39,DECODE!$E$3:$F$21,2,FALSE),"?"))</f>
        <v/>
      </c>
      <c r="CI39">
        <f>IF($CD39="","",IFERROR(VALUE(RIGHT($CD39,3)),""))</f>
        <v/>
      </c>
      <c r="CJ39">
        <f>IF($Y39="","",IFERROR(IF(ISNUMBER($Y39),$Y39,DATEVALUE(TRIM($Y39))),""))</f>
        <v/>
      </c>
      <c r="CK39">
        <f>IF($CJ39="","",IF(MONTH($CJ39)&gt;=12,"Cold Winter",IF(MONTH($CJ39)&gt;=10,"Post-Monsoon",IF(MONTH($CJ39)&gt;=6,"Hot Humid",IF(MONTH($CJ39)&gt;=3,"Hot Dry","Cold Winter")))))</f>
        <v/>
      </c>
      <c r="CL39">
        <f>IF($CE39="","",IFERROR(VLOOKUP($CE39,DECODE!$A$3:$C$8,2,FALSE),"?"))</f>
        <v/>
      </c>
      <c r="CM39">
        <f>IF($AN39="","",AN39)</f>
        <v/>
      </c>
      <c r="CN39">
        <f>IF($AO39="","",AO39)</f>
        <v/>
      </c>
      <c r="CO39">
        <f>IF($AP39="","",AP39)</f>
        <v/>
      </c>
      <c r="CP39">
        <f>IF($CM39="","",IF($CM39="Aloe Vera Gel","Aloe Vera Gel "&amp;$CO39&amp;"g",CN39&amp;" "&amp;$CO39&amp;"g"))</f>
        <v/>
      </c>
      <c r="CQ39">
        <f>IF($AT39="",0,1)</f>
        <v/>
      </c>
      <c r="CR39">
        <f>IF($CQ39=0,"",AW39)</f>
        <v/>
      </c>
      <c r="CS39">
        <f>IF($CQ39=0,"",AX39)</f>
        <v/>
      </c>
      <c r="CT39">
        <f>IF($CQ39=0,"",AY39)</f>
        <v/>
      </c>
      <c r="CU39">
        <f>IF($CR39="","",IF($CR39="Aloe Vera Gel","Aloe Vera Gel "&amp;$CT39&amp;"g",CS39&amp;" "&amp;$CT39&amp;"g"))</f>
        <v/>
      </c>
      <c r="CV39">
        <f>IF($CQ39=0,"",IF($CP39=$CU39,"Repeat Exact",IF($CT39&gt;$CO39,"Upsized",IF($CT39&lt;$CO39,"Downsized",IF($CM39&lt;&gt;$CR39,"Lateral","Same Size Diff Variant")))))</f>
        <v/>
      </c>
      <c r="CW39">
        <f>IF($CQ39=0,"",AZ39-AQ39)</f>
        <v/>
      </c>
      <c r="CX39">
        <f>IF($CQ39=0,0,IF(CS39=CN39,1,0))</f>
        <v/>
      </c>
      <c r="CY39">
        <f>IF($CQ39=0,0,IF(CR39=CM39,1,0))</f>
        <v/>
      </c>
      <c r="CZ39">
        <f>IF($A39="","",IF(AND(IF(DASHBOARD!$C$4="All",TRUE,$CM39=DASHBOARD!$C$4),IF(DASHBOARD!$C$6="All",TRUE,$CP39=DASHBOARD!$C$6),IF(DASHBOARD!$C$8="All",TRUE,$AF39&gt;=DASHBOARD!$C$8),IF(DASHBOARD!$C$10="All",TRUE,$AF39&lt;=DASHBOARD!$C$10),IF(DASHBOARD!$C$12="All",TRUE,$AH39=VALUE(DASHBOARD!$C$12)),IF(DASHBOARD!$C$14="All",TRUE,$AJ39=DASHBOARD!$C$14)),1,0))</f>
        <v/>
      </c>
    </row>
    <row r="40">
      <c r="A40" t="n">
        <v>38217</v>
      </c>
      <c r="B40" t="inlineStr">
        <is>
          <t>Active Gel</t>
        </is>
      </c>
      <c r="H40" t="inlineStr">
        <is>
          <t>Active Orange Kiwi Vit-C Gel</t>
        </is>
      </c>
      <c r="N40" t="inlineStr">
        <is>
          <t>FC-AC-OK-050</t>
        </is>
      </c>
      <c r="T40" t="inlineStr">
        <is>
          <t>Nov 14, 2024</t>
        </is>
      </c>
      <c r="AE40" t="inlineStr">
        <is>
          <t>New Delhi</t>
        </is>
      </c>
      <c r="AF40" t="inlineStr">
        <is>
          <t>2024-11</t>
        </is>
      </c>
      <c r="AG40" t="n">
        <v>11</v>
      </c>
      <c r="AH40" t="n">
        <v>1</v>
      </c>
      <c r="AI40" t="n">
        <v>0</v>
      </c>
      <c r="AJ40">
        <f>IF($AE40="","",IFERROR(VLOOKUP(TRIM($AE40),DECODE!$H$3:$I$60,2,FALSE),"Rest of India"))</f>
        <v/>
      </c>
      <c r="AK40">
        <f>IF($N40="","",UPPER(TRIM(LEFT($N40&amp;",",FIND(",",$N40&amp;",")-1))))</f>
        <v/>
      </c>
      <c r="AL40">
        <f>IF($AK40="","",MID($AK40,4,FIND("~",SUBSTITUTE($AK40,"-","~",2))-4))</f>
        <v/>
      </c>
      <c r="AM40">
        <f>IF($AK40="","",MID($AK40,FIND("~",SUBSTITUTE($AK40,"-","~",2))+1,FIND("~",SUBSTITUTE($AK40,"-","~",3))-FIND("~",SUBSTITUTE($AK40,"-","~",2))-1))</f>
        <v/>
      </c>
      <c r="AN40">
        <f>IF($AL40="","",IFERROR(VLOOKUP($AL40,DECODE!$A$3:$C$8,3,FALSE),"?"))</f>
        <v/>
      </c>
      <c r="AO40">
        <f>IF($AM40="","",IFERROR(VLOOKUP($AL40&amp;"-"&amp;$AM40,DECODE!$E$3:$F$21,2,FALSE),"?"))</f>
        <v/>
      </c>
      <c r="AP40">
        <f>IF($AK40="","",IFERROR(VALUE(RIGHT($AK40,3)),""))</f>
        <v/>
      </c>
      <c r="AQ40">
        <f>IF($T40="","",IFERROR(IF(ISNUMBER($T40),$T40,DATEVALUE(TRIM($T40))),""))</f>
        <v/>
      </c>
      <c r="AR40">
        <f>IF($AQ40="","",IF(MONTH($AQ40)&gt;=12,"Cold Winter",IF(MONTH($AQ40)&gt;=10,"Post-Monsoon",IF(MONTH($AQ40)&gt;=6,"Hot Humid",IF(MONTH($AQ40)&gt;=3,"Hot Dry","Cold Winter")))))</f>
        <v/>
      </c>
      <c r="AS40">
        <f>IF($AL40="","",IFERROR(VLOOKUP($AL40,DECODE!$A$3:$C$8,2,FALSE),"?"))</f>
        <v/>
      </c>
      <c r="AT40">
        <f>IF($O40="","",UPPER(TRIM(LEFT($O40&amp;",",FIND(",",$O40&amp;",")-1))))</f>
        <v/>
      </c>
      <c r="AU40">
        <f>IF($AT40="","",MID($AT40,4,FIND("~",SUBSTITUTE($AT40,"-","~",2))-4))</f>
        <v/>
      </c>
      <c r="AV40">
        <f>IF($AT40="","",MID($AT40,FIND("~",SUBSTITUTE($AT40,"-","~",2))+1,FIND("~",SUBSTITUTE($AT40,"-","~",3))-FIND("~",SUBSTITUTE($AT40,"-","~",2))-1))</f>
        <v/>
      </c>
      <c r="AW40">
        <f>IF($AU40="","",IFERROR(VLOOKUP($AU40,DECODE!$A$3:$C$8,3,FALSE),"?"))</f>
        <v/>
      </c>
      <c r="AX40">
        <f>IF($AV40="","",IFERROR(VLOOKUP($AU40&amp;"-"&amp;$AV40,DECODE!$E$3:$F$21,2,FALSE),"?"))</f>
        <v/>
      </c>
      <c r="AY40">
        <f>IF($AT40="","",IFERROR(VALUE(RIGHT($AT40,3)),""))</f>
        <v/>
      </c>
      <c r="AZ40">
        <f>IF($U40="","",IFERROR(IF(ISNUMBER($U40),$U40,DATEVALUE(TRIM($U40))),""))</f>
        <v/>
      </c>
      <c r="BA40">
        <f>IF($AZ40="","",IF(MONTH($AZ40)&gt;=12,"Cold Winter",IF(MONTH($AZ40)&gt;=10,"Post-Monsoon",IF(MONTH($AZ40)&gt;=6,"Hot Humid",IF(MONTH($AZ40)&gt;=3,"Hot Dry","Cold Winter")))))</f>
        <v/>
      </c>
      <c r="BB40">
        <f>IF($AU40="","",IFERROR(VLOOKUP($AU40,DECODE!$A$3:$C$8,2,FALSE),"?"))</f>
        <v/>
      </c>
      <c r="BC40">
        <f>IF($P40="","",UPPER(TRIM(LEFT($P40&amp;",",FIND(",",$P40&amp;",")-1))))</f>
        <v/>
      </c>
      <c r="BD40">
        <f>IF($BC40="","",MID($BC40,4,FIND("~",SUBSTITUTE($BC40,"-","~",2))-4))</f>
        <v/>
      </c>
      <c r="BE40">
        <f>IF($BC40="","",MID($BC40,FIND("~",SUBSTITUTE($BC40,"-","~",2))+1,FIND("~",SUBSTITUTE($BC40,"-","~",3))-FIND("~",SUBSTITUTE($BC40,"-","~",2))-1))</f>
        <v/>
      </c>
      <c r="BF40">
        <f>IF($BD40="","",IFERROR(VLOOKUP($BD40,DECODE!$A$3:$C$8,3,FALSE),"?"))</f>
        <v/>
      </c>
      <c r="BG40">
        <f>IF($BE40="","",IFERROR(VLOOKUP($BD40&amp;"-"&amp;$BE40,DECODE!$E$3:$F$21,2,FALSE),"?"))</f>
        <v/>
      </c>
      <c r="BH40">
        <f>IF($BC40="","",IFERROR(VALUE(RIGHT($BC40,3)),""))</f>
        <v/>
      </c>
      <c r="BI40">
        <f>IF($V40="","",IFERROR(IF(ISNUMBER($V40),$V40,DATEVALUE(TRIM($V40))),""))</f>
        <v/>
      </c>
      <c r="BJ40">
        <f>IF($BI40="","",IF(MONTH($BI40)&gt;=12,"Cold Winter",IF(MONTH($BI40)&gt;=10,"Post-Monsoon",IF(MONTH($BI40)&gt;=6,"Hot Humid",IF(MONTH($BI40)&gt;=3,"Hot Dry","Cold Winter")))))</f>
        <v/>
      </c>
      <c r="BK40">
        <f>IF($BD40="","",IFERROR(VLOOKUP($BD40,DECODE!$A$3:$C$8,2,FALSE),"?"))</f>
        <v/>
      </c>
      <c r="BL40">
        <f>IF($Q40="","",UPPER(TRIM(LEFT($Q40&amp;",",FIND(",",$Q40&amp;",")-1))))</f>
        <v/>
      </c>
      <c r="BM40">
        <f>IF($BL40="","",MID($BL40,4,FIND("~",SUBSTITUTE($BL40,"-","~",2))-4))</f>
        <v/>
      </c>
      <c r="BN40">
        <f>IF($BL40="","",MID($BL40,FIND("~",SUBSTITUTE($BL40,"-","~",2))+1,FIND("~",SUBSTITUTE($BL40,"-","~",3))-FIND("~",SUBSTITUTE($BL40,"-","~",2))-1))</f>
        <v/>
      </c>
      <c r="BO40">
        <f>IF($BM40="","",IFERROR(VLOOKUP($BM40,DECODE!$A$3:$C$8,3,FALSE),"?"))</f>
        <v/>
      </c>
      <c r="BP40">
        <f>IF($BN40="","",IFERROR(VLOOKUP($BM40&amp;"-"&amp;$BN40,DECODE!$E$3:$F$21,2,FALSE),"?"))</f>
        <v/>
      </c>
      <c r="BQ40">
        <f>IF($BL40="","",IFERROR(VALUE(RIGHT($BL40,3)),""))</f>
        <v/>
      </c>
      <c r="BR40">
        <f>IF($W40="","",IFERROR(IF(ISNUMBER($W40),$W40,DATEVALUE(TRIM($W40))),""))</f>
        <v/>
      </c>
      <c r="BS40">
        <f>IF($BR40="","",IF(MONTH($BR40)&gt;=12,"Cold Winter",IF(MONTH($BR40)&gt;=10,"Post-Monsoon",IF(MONTH($BR40)&gt;=6,"Hot Humid",IF(MONTH($BR40)&gt;=3,"Hot Dry","Cold Winter")))))</f>
        <v/>
      </c>
      <c r="BT40">
        <f>IF($BM40="","",IFERROR(VLOOKUP($BM40,DECODE!$A$3:$C$8,2,FALSE),"?"))</f>
        <v/>
      </c>
      <c r="BU40">
        <f>IF($R40="","",UPPER(TRIM(LEFT($R40&amp;",",FIND(",",$R40&amp;",")-1))))</f>
        <v/>
      </c>
      <c r="BV40">
        <f>IF($BU40="","",MID($BU40,4,FIND("~",SUBSTITUTE($BU40,"-","~",2))-4))</f>
        <v/>
      </c>
      <c r="BW40">
        <f>IF($BU40="","",MID($BU40,FIND("~",SUBSTITUTE($BU40,"-","~",2))+1,FIND("~",SUBSTITUTE($BU40,"-","~",3))-FIND("~",SUBSTITUTE($BU40,"-","~",2))-1))</f>
        <v/>
      </c>
      <c r="BX40">
        <f>IF($BV40="","",IFERROR(VLOOKUP($BV40,DECODE!$A$3:$C$8,3,FALSE),"?"))</f>
        <v/>
      </c>
      <c r="BY40">
        <f>IF($BW40="","",IFERROR(VLOOKUP($BV40&amp;"-"&amp;$BW40,DECODE!$E$3:$F$21,2,FALSE),"?"))</f>
        <v/>
      </c>
      <c r="BZ40">
        <f>IF($BU40="","",IFERROR(VALUE(RIGHT($BU40,3)),""))</f>
        <v/>
      </c>
      <c r="CA40">
        <f>IF($X40="","",IFERROR(IF(ISNUMBER($X40),$X40,DATEVALUE(TRIM($X40))),""))</f>
        <v/>
      </c>
      <c r="CB40">
        <f>IF($CA40="","",IF(MONTH($CA40)&gt;=12,"Cold Winter",IF(MONTH($CA40)&gt;=10,"Post-Monsoon",IF(MONTH($CA40)&gt;=6,"Hot Humid",IF(MONTH($CA40)&gt;=3,"Hot Dry","Cold Winter")))))</f>
        <v/>
      </c>
      <c r="CC40">
        <f>IF($BV40="","",IFERROR(VLOOKUP($BV40,DECODE!$A$3:$C$8,2,FALSE),"?"))</f>
        <v/>
      </c>
      <c r="CD40">
        <f>IF($S40="","",UPPER(TRIM(LEFT($S40&amp;",",FIND(",",$S40&amp;",")-1))))</f>
        <v/>
      </c>
      <c r="CE40">
        <f>IF($CD40="","",MID($CD40,4,FIND("~",SUBSTITUTE($CD40,"-","~",2))-4))</f>
        <v/>
      </c>
      <c r="CF40">
        <f>IF($CD40="","",MID($CD40,FIND("~",SUBSTITUTE($CD40,"-","~",2))+1,FIND("~",SUBSTITUTE($CD40,"-","~",3))-FIND("~",SUBSTITUTE($CD40,"-","~",2))-1))</f>
        <v/>
      </c>
      <c r="CG40">
        <f>IF($CE40="","",IFERROR(VLOOKUP($CE40,DECODE!$A$3:$C$8,3,FALSE),"?"))</f>
        <v/>
      </c>
      <c r="CH40">
        <f>IF($CF40="","",IFERROR(VLOOKUP($CE40&amp;"-"&amp;$CF40,DECODE!$E$3:$F$21,2,FALSE),"?"))</f>
        <v/>
      </c>
      <c r="CI40">
        <f>IF($CD40="","",IFERROR(VALUE(RIGHT($CD40,3)),""))</f>
        <v/>
      </c>
      <c r="CJ40">
        <f>IF($Y40="","",IFERROR(IF(ISNUMBER($Y40),$Y40,DATEVALUE(TRIM($Y40))),""))</f>
        <v/>
      </c>
      <c r="CK40">
        <f>IF($CJ40="","",IF(MONTH($CJ40)&gt;=12,"Cold Winter",IF(MONTH($CJ40)&gt;=10,"Post-Monsoon",IF(MONTH($CJ40)&gt;=6,"Hot Humid",IF(MONTH($CJ40)&gt;=3,"Hot Dry","Cold Winter")))))</f>
        <v/>
      </c>
      <c r="CL40">
        <f>IF($CE40="","",IFERROR(VLOOKUP($CE40,DECODE!$A$3:$C$8,2,FALSE),"?"))</f>
        <v/>
      </c>
      <c r="CM40">
        <f>IF($AN40="","",AN40)</f>
        <v/>
      </c>
      <c r="CN40">
        <f>IF($AO40="","",AO40)</f>
        <v/>
      </c>
      <c r="CO40">
        <f>IF($AP40="","",AP40)</f>
        <v/>
      </c>
      <c r="CP40">
        <f>IF($CM40="","",IF($CM40="Aloe Vera Gel","Aloe Vera Gel "&amp;$CO40&amp;"g",CN40&amp;" "&amp;$CO40&amp;"g"))</f>
        <v/>
      </c>
      <c r="CQ40">
        <f>IF($AT40="",0,1)</f>
        <v/>
      </c>
      <c r="CR40">
        <f>IF($CQ40=0,"",AW40)</f>
        <v/>
      </c>
      <c r="CS40">
        <f>IF($CQ40=0,"",AX40)</f>
        <v/>
      </c>
      <c r="CT40">
        <f>IF($CQ40=0,"",AY40)</f>
        <v/>
      </c>
      <c r="CU40">
        <f>IF($CR40="","",IF($CR40="Aloe Vera Gel","Aloe Vera Gel "&amp;$CT40&amp;"g",CS40&amp;" "&amp;$CT40&amp;"g"))</f>
        <v/>
      </c>
      <c r="CV40">
        <f>IF($CQ40=0,"",IF($CP40=$CU40,"Repeat Exact",IF($CT40&gt;$CO40,"Upsized",IF($CT40&lt;$CO40,"Downsized",IF($CM40&lt;&gt;$CR40,"Lateral","Same Size Diff Variant")))))</f>
        <v/>
      </c>
      <c r="CW40">
        <f>IF($CQ40=0,"",AZ40-AQ40)</f>
        <v/>
      </c>
      <c r="CX40">
        <f>IF($CQ40=0,0,IF(CS40=CN40,1,0))</f>
        <v/>
      </c>
      <c r="CY40">
        <f>IF($CQ40=0,0,IF(CR40=CM40,1,0))</f>
        <v/>
      </c>
      <c r="CZ40">
        <f>IF($A40="","",IF(AND(IF(DASHBOARD!$C$4="All",TRUE,$CM40=DASHBOARD!$C$4),IF(DASHBOARD!$C$6="All",TRUE,$CP40=DASHBOARD!$C$6),IF(DASHBOARD!$C$8="All",TRUE,$AF40&gt;=DASHBOARD!$C$8),IF(DASHBOARD!$C$10="All",TRUE,$AF40&lt;=DASHBOARD!$C$10),IF(DASHBOARD!$C$12="All",TRUE,$AH40=VALUE(DASHBOARD!$C$12)),IF(DASHBOARD!$C$14="All",TRUE,$AJ40=DASHBOARD!$C$14)),1,0))</f>
        <v/>
      </c>
    </row>
    <row r="41">
      <c r="A41" t="n">
        <v>39169</v>
      </c>
      <c r="B41" t="inlineStr">
        <is>
          <t>Face Malai</t>
        </is>
      </c>
      <c r="H41" t="inlineStr">
        <is>
          <t>Tomato Rosehip (Hot Dry) 20 - 35 Yrs Face Malai - 30g</t>
        </is>
      </c>
      <c r="N41" t="inlineStr">
        <is>
          <t>FC-HDDM-TR-030</t>
        </is>
      </c>
      <c r="T41" t="inlineStr">
        <is>
          <t>Aug 26, 2025</t>
        </is>
      </c>
      <c r="AE41" t="inlineStr">
        <is>
          <t>New Delhi</t>
        </is>
      </c>
      <c r="AF41" t="inlineStr">
        <is>
          <t>2025-08</t>
        </is>
      </c>
      <c r="AG41" t="n">
        <v>8</v>
      </c>
      <c r="AH41" t="n">
        <v>1</v>
      </c>
      <c r="AI41" t="n">
        <v>0</v>
      </c>
      <c r="AJ41">
        <f>IF($AE41="","",IFERROR(VLOOKUP(TRIM($AE41),DECODE!$H$3:$I$60,2,FALSE),"Rest of India"))</f>
        <v/>
      </c>
      <c r="AK41">
        <f>IF($N41="","",UPPER(TRIM(LEFT($N41&amp;",",FIND(",",$N41&amp;",")-1))))</f>
        <v/>
      </c>
      <c r="AL41">
        <f>IF($AK41="","",MID($AK41,4,FIND("~",SUBSTITUTE($AK41,"-","~",2))-4))</f>
        <v/>
      </c>
      <c r="AM41">
        <f>IF($AK41="","",MID($AK41,FIND("~",SUBSTITUTE($AK41,"-","~",2))+1,FIND("~",SUBSTITUTE($AK41,"-","~",3))-FIND("~",SUBSTITUTE($AK41,"-","~",2))-1))</f>
        <v/>
      </c>
      <c r="AN41">
        <f>IF($AL41="","",IFERROR(VLOOKUP($AL41,DECODE!$A$3:$C$8,3,FALSE),"?"))</f>
        <v/>
      </c>
      <c r="AO41">
        <f>IF($AM41="","",IFERROR(VLOOKUP($AL41&amp;"-"&amp;$AM41,DECODE!$E$3:$F$21,2,FALSE),"?"))</f>
        <v/>
      </c>
      <c r="AP41">
        <f>IF($AK41="","",IFERROR(VALUE(RIGHT($AK41,3)),""))</f>
        <v/>
      </c>
      <c r="AQ41">
        <f>IF($T41="","",IFERROR(IF(ISNUMBER($T41),$T41,DATEVALUE(TRIM($T41))),""))</f>
        <v/>
      </c>
      <c r="AR41">
        <f>IF($AQ41="","",IF(MONTH($AQ41)&gt;=12,"Cold Winter",IF(MONTH($AQ41)&gt;=10,"Post-Monsoon",IF(MONTH($AQ41)&gt;=6,"Hot Humid",IF(MONTH($AQ41)&gt;=3,"Hot Dry","Cold Winter")))))</f>
        <v/>
      </c>
      <c r="AS41">
        <f>IF($AL41="","",IFERROR(VLOOKUP($AL41,DECODE!$A$3:$C$8,2,FALSE),"?"))</f>
        <v/>
      </c>
      <c r="AT41">
        <f>IF($O41="","",UPPER(TRIM(LEFT($O41&amp;",",FIND(",",$O41&amp;",")-1))))</f>
        <v/>
      </c>
      <c r="AU41">
        <f>IF($AT41="","",MID($AT41,4,FIND("~",SUBSTITUTE($AT41,"-","~",2))-4))</f>
        <v/>
      </c>
      <c r="AV41">
        <f>IF($AT41="","",MID($AT41,FIND("~",SUBSTITUTE($AT41,"-","~",2))+1,FIND("~",SUBSTITUTE($AT41,"-","~",3))-FIND("~",SUBSTITUTE($AT41,"-","~",2))-1))</f>
        <v/>
      </c>
      <c r="AW41">
        <f>IF($AU41="","",IFERROR(VLOOKUP($AU41,DECODE!$A$3:$C$8,3,FALSE),"?"))</f>
        <v/>
      </c>
      <c r="AX41">
        <f>IF($AV41="","",IFERROR(VLOOKUP($AU41&amp;"-"&amp;$AV41,DECODE!$E$3:$F$21,2,FALSE),"?"))</f>
        <v/>
      </c>
      <c r="AY41">
        <f>IF($AT41="","",IFERROR(VALUE(RIGHT($AT41,3)),""))</f>
        <v/>
      </c>
      <c r="AZ41">
        <f>IF($U41="","",IFERROR(IF(ISNUMBER($U41),$U41,DATEVALUE(TRIM($U41))),""))</f>
        <v/>
      </c>
      <c r="BA41">
        <f>IF($AZ41="","",IF(MONTH($AZ41)&gt;=12,"Cold Winter",IF(MONTH($AZ41)&gt;=10,"Post-Monsoon",IF(MONTH($AZ41)&gt;=6,"Hot Humid",IF(MONTH($AZ41)&gt;=3,"Hot Dry","Cold Winter")))))</f>
        <v/>
      </c>
      <c r="BB41">
        <f>IF($AU41="","",IFERROR(VLOOKUP($AU41,DECODE!$A$3:$C$8,2,FALSE),"?"))</f>
        <v/>
      </c>
      <c r="BC41">
        <f>IF($P41="","",UPPER(TRIM(LEFT($P41&amp;",",FIND(",",$P41&amp;",")-1))))</f>
        <v/>
      </c>
      <c r="BD41">
        <f>IF($BC41="","",MID($BC41,4,FIND("~",SUBSTITUTE($BC41,"-","~",2))-4))</f>
        <v/>
      </c>
      <c r="BE41">
        <f>IF($BC41="","",MID($BC41,FIND("~",SUBSTITUTE($BC41,"-","~",2))+1,FIND("~",SUBSTITUTE($BC41,"-","~",3))-FIND("~",SUBSTITUTE($BC41,"-","~",2))-1))</f>
        <v/>
      </c>
      <c r="BF41">
        <f>IF($BD41="","",IFERROR(VLOOKUP($BD41,DECODE!$A$3:$C$8,3,FALSE),"?"))</f>
        <v/>
      </c>
      <c r="BG41">
        <f>IF($BE41="","",IFERROR(VLOOKUP($BD41&amp;"-"&amp;$BE41,DECODE!$E$3:$F$21,2,FALSE),"?"))</f>
        <v/>
      </c>
      <c r="BH41">
        <f>IF($BC41="","",IFERROR(VALUE(RIGHT($BC41,3)),""))</f>
        <v/>
      </c>
      <c r="BI41">
        <f>IF($V41="","",IFERROR(IF(ISNUMBER($V41),$V41,DATEVALUE(TRIM($V41))),""))</f>
        <v/>
      </c>
      <c r="BJ41">
        <f>IF($BI41="","",IF(MONTH($BI41)&gt;=12,"Cold Winter",IF(MONTH($BI41)&gt;=10,"Post-Monsoon",IF(MONTH($BI41)&gt;=6,"Hot Humid",IF(MONTH($BI41)&gt;=3,"Hot Dry","Cold Winter")))))</f>
        <v/>
      </c>
      <c r="BK41">
        <f>IF($BD41="","",IFERROR(VLOOKUP($BD41,DECODE!$A$3:$C$8,2,FALSE),"?"))</f>
        <v/>
      </c>
      <c r="BL41">
        <f>IF($Q41="","",UPPER(TRIM(LEFT($Q41&amp;",",FIND(",",$Q41&amp;",")-1))))</f>
        <v/>
      </c>
      <c r="BM41">
        <f>IF($BL41="","",MID($BL41,4,FIND("~",SUBSTITUTE($BL41,"-","~",2))-4))</f>
        <v/>
      </c>
      <c r="BN41">
        <f>IF($BL41="","",MID($BL41,FIND("~",SUBSTITUTE($BL41,"-","~",2))+1,FIND("~",SUBSTITUTE($BL41,"-","~",3))-FIND("~",SUBSTITUTE($BL41,"-","~",2))-1))</f>
        <v/>
      </c>
      <c r="BO41">
        <f>IF($BM41="","",IFERROR(VLOOKUP($BM41,DECODE!$A$3:$C$8,3,FALSE),"?"))</f>
        <v/>
      </c>
      <c r="BP41">
        <f>IF($BN41="","",IFERROR(VLOOKUP($BM41&amp;"-"&amp;$BN41,DECODE!$E$3:$F$21,2,FALSE),"?"))</f>
        <v/>
      </c>
      <c r="BQ41">
        <f>IF($BL41="","",IFERROR(VALUE(RIGHT($BL41,3)),""))</f>
        <v/>
      </c>
      <c r="BR41">
        <f>IF($W41="","",IFERROR(IF(ISNUMBER($W41),$W41,DATEVALUE(TRIM($W41))),""))</f>
        <v/>
      </c>
      <c r="BS41">
        <f>IF($BR41="","",IF(MONTH($BR41)&gt;=12,"Cold Winter",IF(MONTH($BR41)&gt;=10,"Post-Monsoon",IF(MONTH($BR41)&gt;=6,"Hot Humid",IF(MONTH($BR41)&gt;=3,"Hot Dry","Cold Winter")))))</f>
        <v/>
      </c>
      <c r="BT41">
        <f>IF($BM41="","",IFERROR(VLOOKUP($BM41,DECODE!$A$3:$C$8,2,FALSE),"?"))</f>
        <v/>
      </c>
      <c r="BU41">
        <f>IF($R41="","",UPPER(TRIM(LEFT($R41&amp;",",FIND(",",$R41&amp;",")-1))))</f>
        <v/>
      </c>
      <c r="BV41">
        <f>IF($BU41="","",MID($BU41,4,FIND("~",SUBSTITUTE($BU41,"-","~",2))-4))</f>
        <v/>
      </c>
      <c r="BW41">
        <f>IF($BU41="","",MID($BU41,FIND("~",SUBSTITUTE($BU41,"-","~",2))+1,FIND("~",SUBSTITUTE($BU41,"-","~",3))-FIND("~",SUBSTITUTE($BU41,"-","~",2))-1))</f>
        <v/>
      </c>
      <c r="BX41">
        <f>IF($BV41="","",IFERROR(VLOOKUP($BV41,DECODE!$A$3:$C$8,3,FALSE),"?"))</f>
        <v/>
      </c>
      <c r="BY41">
        <f>IF($BW41="","",IFERROR(VLOOKUP($BV41&amp;"-"&amp;$BW41,DECODE!$E$3:$F$21,2,FALSE),"?"))</f>
        <v/>
      </c>
      <c r="BZ41">
        <f>IF($BU41="","",IFERROR(VALUE(RIGHT($BU41,3)),""))</f>
        <v/>
      </c>
      <c r="CA41">
        <f>IF($X41="","",IFERROR(IF(ISNUMBER($X41),$X41,DATEVALUE(TRIM($X41))),""))</f>
        <v/>
      </c>
      <c r="CB41">
        <f>IF($CA41="","",IF(MONTH($CA41)&gt;=12,"Cold Winter",IF(MONTH($CA41)&gt;=10,"Post-Monsoon",IF(MONTH($CA41)&gt;=6,"Hot Humid",IF(MONTH($CA41)&gt;=3,"Hot Dry","Cold Winter")))))</f>
        <v/>
      </c>
      <c r="CC41">
        <f>IF($BV41="","",IFERROR(VLOOKUP($BV41,DECODE!$A$3:$C$8,2,FALSE),"?"))</f>
        <v/>
      </c>
      <c r="CD41">
        <f>IF($S41="","",UPPER(TRIM(LEFT($S41&amp;",",FIND(",",$S41&amp;",")-1))))</f>
        <v/>
      </c>
      <c r="CE41">
        <f>IF($CD41="","",MID($CD41,4,FIND("~",SUBSTITUTE($CD41,"-","~",2))-4))</f>
        <v/>
      </c>
      <c r="CF41">
        <f>IF($CD41="","",MID($CD41,FIND("~",SUBSTITUTE($CD41,"-","~",2))+1,FIND("~",SUBSTITUTE($CD41,"-","~",3))-FIND("~",SUBSTITUTE($CD41,"-","~",2))-1))</f>
        <v/>
      </c>
      <c r="CG41">
        <f>IF($CE41="","",IFERROR(VLOOKUP($CE41,DECODE!$A$3:$C$8,3,FALSE),"?"))</f>
        <v/>
      </c>
      <c r="CH41">
        <f>IF($CF41="","",IFERROR(VLOOKUP($CE41&amp;"-"&amp;$CF41,DECODE!$E$3:$F$21,2,FALSE),"?"))</f>
        <v/>
      </c>
      <c r="CI41">
        <f>IF($CD41="","",IFERROR(VALUE(RIGHT($CD41,3)),""))</f>
        <v/>
      </c>
      <c r="CJ41">
        <f>IF($Y41="","",IFERROR(IF(ISNUMBER($Y41),$Y41,DATEVALUE(TRIM($Y41))),""))</f>
        <v/>
      </c>
      <c r="CK41">
        <f>IF($CJ41="","",IF(MONTH($CJ41)&gt;=12,"Cold Winter",IF(MONTH($CJ41)&gt;=10,"Post-Monsoon",IF(MONTH($CJ41)&gt;=6,"Hot Humid",IF(MONTH($CJ41)&gt;=3,"Hot Dry","Cold Winter")))))</f>
        <v/>
      </c>
      <c r="CL41">
        <f>IF($CE41="","",IFERROR(VLOOKUP($CE41,DECODE!$A$3:$C$8,2,FALSE),"?"))</f>
        <v/>
      </c>
      <c r="CM41">
        <f>IF($AN41="","",AN41)</f>
        <v/>
      </c>
      <c r="CN41">
        <f>IF($AO41="","",AO41)</f>
        <v/>
      </c>
      <c r="CO41">
        <f>IF($AP41="","",AP41)</f>
        <v/>
      </c>
      <c r="CP41">
        <f>IF($CM41="","",IF($CM41="Aloe Vera Gel","Aloe Vera Gel "&amp;$CO41&amp;"g",CN41&amp;" "&amp;$CO41&amp;"g"))</f>
        <v/>
      </c>
      <c r="CQ41">
        <f>IF($AT41="",0,1)</f>
        <v/>
      </c>
      <c r="CR41">
        <f>IF($CQ41=0,"",AW41)</f>
        <v/>
      </c>
      <c r="CS41">
        <f>IF($CQ41=0,"",AX41)</f>
        <v/>
      </c>
      <c r="CT41">
        <f>IF($CQ41=0,"",AY41)</f>
        <v/>
      </c>
      <c r="CU41">
        <f>IF($CR41="","",IF($CR41="Aloe Vera Gel","Aloe Vera Gel "&amp;$CT41&amp;"g",CS41&amp;" "&amp;$CT41&amp;"g"))</f>
        <v/>
      </c>
      <c r="CV41">
        <f>IF($CQ41=0,"",IF($CP41=$CU41,"Repeat Exact",IF($CT41&gt;$CO41,"Upsized",IF($CT41&lt;$CO41,"Downsized",IF($CM41&lt;&gt;$CR41,"Lateral","Same Size Diff Variant")))))</f>
        <v/>
      </c>
      <c r="CW41">
        <f>IF($CQ41=0,"",AZ41-AQ41)</f>
        <v/>
      </c>
      <c r="CX41">
        <f>IF($CQ41=0,0,IF(CS41=CN41,1,0))</f>
        <v/>
      </c>
      <c r="CY41">
        <f>IF($CQ41=0,0,IF(CR41=CM41,1,0))</f>
        <v/>
      </c>
      <c r="CZ41">
        <f>IF($A41="","",IF(AND(IF(DASHBOARD!$C$4="All",TRUE,$CM41=DASHBOARD!$C$4),IF(DASHBOARD!$C$6="All",TRUE,$CP41=DASHBOARD!$C$6),IF(DASHBOARD!$C$8="All",TRUE,$AF41&gt;=DASHBOARD!$C$8),IF(DASHBOARD!$C$10="All",TRUE,$AF41&lt;=DASHBOARD!$C$10),IF(DASHBOARD!$C$12="All",TRUE,$AH41=VALUE(DASHBOARD!$C$12)),IF(DASHBOARD!$C$14="All",TRUE,$AJ41=DASHBOARD!$C$14)),1,0))</f>
        <v/>
      </c>
    </row>
    <row r="42">
      <c r="A42" t="n">
        <v>39271</v>
      </c>
      <c r="B42" t="inlineStr">
        <is>
          <t>Face Malai</t>
        </is>
      </c>
      <c r="H42" t="inlineStr">
        <is>
          <t>Flax Walnut (Cold) 35+ Face Malai</t>
        </is>
      </c>
      <c r="N42" t="inlineStr">
        <is>
          <t>FC-CWDM-FW-030</t>
        </is>
      </c>
      <c r="T42" t="inlineStr">
        <is>
          <t>Nov 23, 2024</t>
        </is>
      </c>
      <c r="AE42" t="inlineStr">
        <is>
          <t>New Delhi</t>
        </is>
      </c>
      <c r="AF42" t="inlineStr">
        <is>
          <t>2024-11</t>
        </is>
      </c>
      <c r="AG42" t="n">
        <v>11</v>
      </c>
      <c r="AH42" t="n">
        <v>1</v>
      </c>
      <c r="AI42" t="n">
        <v>0</v>
      </c>
      <c r="AJ42">
        <f>IF($AE42="","",IFERROR(VLOOKUP(TRIM($AE42),DECODE!$H$3:$I$60,2,FALSE),"Rest of India"))</f>
        <v/>
      </c>
      <c r="AK42">
        <f>IF($N42="","",UPPER(TRIM(LEFT($N42&amp;",",FIND(",",$N42&amp;",")-1))))</f>
        <v/>
      </c>
      <c r="AL42">
        <f>IF($AK42="","",MID($AK42,4,FIND("~",SUBSTITUTE($AK42,"-","~",2))-4))</f>
        <v/>
      </c>
      <c r="AM42">
        <f>IF($AK42="","",MID($AK42,FIND("~",SUBSTITUTE($AK42,"-","~",2))+1,FIND("~",SUBSTITUTE($AK42,"-","~",3))-FIND("~",SUBSTITUTE($AK42,"-","~",2))-1))</f>
        <v/>
      </c>
      <c r="AN42">
        <f>IF($AL42="","",IFERROR(VLOOKUP($AL42,DECODE!$A$3:$C$8,3,FALSE),"?"))</f>
        <v/>
      </c>
      <c r="AO42">
        <f>IF($AM42="","",IFERROR(VLOOKUP($AL42&amp;"-"&amp;$AM42,DECODE!$E$3:$F$21,2,FALSE),"?"))</f>
        <v/>
      </c>
      <c r="AP42">
        <f>IF($AK42="","",IFERROR(VALUE(RIGHT($AK42,3)),""))</f>
        <v/>
      </c>
      <c r="AQ42">
        <f>IF($T42="","",IFERROR(IF(ISNUMBER($T42),$T42,DATEVALUE(TRIM($T42))),""))</f>
        <v/>
      </c>
      <c r="AR42">
        <f>IF($AQ42="","",IF(MONTH($AQ42)&gt;=12,"Cold Winter",IF(MONTH($AQ42)&gt;=10,"Post-Monsoon",IF(MONTH($AQ42)&gt;=6,"Hot Humid",IF(MONTH($AQ42)&gt;=3,"Hot Dry","Cold Winter")))))</f>
        <v/>
      </c>
      <c r="AS42">
        <f>IF($AL42="","",IFERROR(VLOOKUP($AL42,DECODE!$A$3:$C$8,2,FALSE),"?"))</f>
        <v/>
      </c>
      <c r="AT42">
        <f>IF($O42="","",UPPER(TRIM(LEFT($O42&amp;",",FIND(",",$O42&amp;",")-1))))</f>
        <v/>
      </c>
      <c r="AU42">
        <f>IF($AT42="","",MID($AT42,4,FIND("~",SUBSTITUTE($AT42,"-","~",2))-4))</f>
        <v/>
      </c>
      <c r="AV42">
        <f>IF($AT42="","",MID($AT42,FIND("~",SUBSTITUTE($AT42,"-","~",2))+1,FIND("~",SUBSTITUTE($AT42,"-","~",3))-FIND("~",SUBSTITUTE($AT42,"-","~",2))-1))</f>
        <v/>
      </c>
      <c r="AW42">
        <f>IF($AU42="","",IFERROR(VLOOKUP($AU42,DECODE!$A$3:$C$8,3,FALSE),"?"))</f>
        <v/>
      </c>
      <c r="AX42">
        <f>IF($AV42="","",IFERROR(VLOOKUP($AU42&amp;"-"&amp;$AV42,DECODE!$E$3:$F$21,2,FALSE),"?"))</f>
        <v/>
      </c>
      <c r="AY42">
        <f>IF($AT42="","",IFERROR(VALUE(RIGHT($AT42,3)),""))</f>
        <v/>
      </c>
      <c r="AZ42">
        <f>IF($U42="","",IFERROR(IF(ISNUMBER($U42),$U42,DATEVALUE(TRIM($U42))),""))</f>
        <v/>
      </c>
      <c r="BA42">
        <f>IF($AZ42="","",IF(MONTH($AZ42)&gt;=12,"Cold Winter",IF(MONTH($AZ42)&gt;=10,"Post-Monsoon",IF(MONTH($AZ42)&gt;=6,"Hot Humid",IF(MONTH($AZ42)&gt;=3,"Hot Dry","Cold Winter")))))</f>
        <v/>
      </c>
      <c r="BB42">
        <f>IF($AU42="","",IFERROR(VLOOKUP($AU42,DECODE!$A$3:$C$8,2,FALSE),"?"))</f>
        <v/>
      </c>
      <c r="BC42">
        <f>IF($P42="","",UPPER(TRIM(LEFT($P42&amp;",",FIND(",",$P42&amp;",")-1))))</f>
        <v/>
      </c>
      <c r="BD42">
        <f>IF($BC42="","",MID($BC42,4,FIND("~",SUBSTITUTE($BC42,"-","~",2))-4))</f>
        <v/>
      </c>
      <c r="BE42">
        <f>IF($BC42="","",MID($BC42,FIND("~",SUBSTITUTE($BC42,"-","~",2))+1,FIND("~",SUBSTITUTE($BC42,"-","~",3))-FIND("~",SUBSTITUTE($BC42,"-","~",2))-1))</f>
        <v/>
      </c>
      <c r="BF42">
        <f>IF($BD42="","",IFERROR(VLOOKUP($BD42,DECODE!$A$3:$C$8,3,FALSE),"?"))</f>
        <v/>
      </c>
      <c r="BG42">
        <f>IF($BE42="","",IFERROR(VLOOKUP($BD42&amp;"-"&amp;$BE42,DECODE!$E$3:$F$21,2,FALSE),"?"))</f>
        <v/>
      </c>
      <c r="BH42">
        <f>IF($BC42="","",IFERROR(VALUE(RIGHT($BC42,3)),""))</f>
        <v/>
      </c>
      <c r="BI42">
        <f>IF($V42="","",IFERROR(IF(ISNUMBER($V42),$V42,DATEVALUE(TRIM($V42))),""))</f>
        <v/>
      </c>
      <c r="BJ42">
        <f>IF($BI42="","",IF(MONTH($BI42)&gt;=12,"Cold Winter",IF(MONTH($BI42)&gt;=10,"Post-Monsoon",IF(MONTH($BI42)&gt;=6,"Hot Humid",IF(MONTH($BI42)&gt;=3,"Hot Dry","Cold Winter")))))</f>
        <v/>
      </c>
      <c r="BK42">
        <f>IF($BD42="","",IFERROR(VLOOKUP($BD42,DECODE!$A$3:$C$8,2,FALSE),"?"))</f>
        <v/>
      </c>
      <c r="BL42">
        <f>IF($Q42="","",UPPER(TRIM(LEFT($Q42&amp;",",FIND(",",$Q42&amp;",")-1))))</f>
        <v/>
      </c>
      <c r="BM42">
        <f>IF($BL42="","",MID($BL42,4,FIND("~",SUBSTITUTE($BL42,"-","~",2))-4))</f>
        <v/>
      </c>
      <c r="BN42">
        <f>IF($BL42="","",MID($BL42,FIND("~",SUBSTITUTE($BL42,"-","~",2))+1,FIND("~",SUBSTITUTE($BL42,"-","~",3))-FIND("~",SUBSTITUTE($BL42,"-","~",2))-1))</f>
        <v/>
      </c>
      <c r="BO42">
        <f>IF($BM42="","",IFERROR(VLOOKUP($BM42,DECODE!$A$3:$C$8,3,FALSE),"?"))</f>
        <v/>
      </c>
      <c r="BP42">
        <f>IF($BN42="","",IFERROR(VLOOKUP($BM42&amp;"-"&amp;$BN42,DECODE!$E$3:$F$21,2,FALSE),"?"))</f>
        <v/>
      </c>
      <c r="BQ42">
        <f>IF($BL42="","",IFERROR(VALUE(RIGHT($BL42,3)),""))</f>
        <v/>
      </c>
      <c r="BR42">
        <f>IF($W42="","",IFERROR(IF(ISNUMBER($W42),$W42,DATEVALUE(TRIM($W42))),""))</f>
        <v/>
      </c>
      <c r="BS42">
        <f>IF($BR42="","",IF(MONTH($BR42)&gt;=12,"Cold Winter",IF(MONTH($BR42)&gt;=10,"Post-Monsoon",IF(MONTH($BR42)&gt;=6,"Hot Humid",IF(MONTH($BR42)&gt;=3,"Hot Dry","Cold Winter")))))</f>
        <v/>
      </c>
      <c r="BT42">
        <f>IF($BM42="","",IFERROR(VLOOKUP($BM42,DECODE!$A$3:$C$8,2,FALSE),"?"))</f>
        <v/>
      </c>
      <c r="BU42">
        <f>IF($R42="","",UPPER(TRIM(LEFT($R42&amp;",",FIND(",",$R42&amp;",")-1))))</f>
        <v/>
      </c>
      <c r="BV42">
        <f>IF($BU42="","",MID($BU42,4,FIND("~",SUBSTITUTE($BU42,"-","~",2))-4))</f>
        <v/>
      </c>
      <c r="BW42">
        <f>IF($BU42="","",MID($BU42,FIND("~",SUBSTITUTE($BU42,"-","~",2))+1,FIND("~",SUBSTITUTE($BU42,"-","~",3))-FIND("~",SUBSTITUTE($BU42,"-","~",2))-1))</f>
        <v/>
      </c>
      <c r="BX42">
        <f>IF($BV42="","",IFERROR(VLOOKUP($BV42,DECODE!$A$3:$C$8,3,FALSE),"?"))</f>
        <v/>
      </c>
      <c r="BY42">
        <f>IF($BW42="","",IFERROR(VLOOKUP($BV42&amp;"-"&amp;$BW42,DECODE!$E$3:$F$21,2,FALSE),"?"))</f>
        <v/>
      </c>
      <c r="BZ42">
        <f>IF($BU42="","",IFERROR(VALUE(RIGHT($BU42,3)),""))</f>
        <v/>
      </c>
      <c r="CA42">
        <f>IF($X42="","",IFERROR(IF(ISNUMBER($X42),$X42,DATEVALUE(TRIM($X42))),""))</f>
        <v/>
      </c>
      <c r="CB42">
        <f>IF($CA42="","",IF(MONTH($CA42)&gt;=12,"Cold Winter",IF(MONTH($CA42)&gt;=10,"Post-Monsoon",IF(MONTH($CA42)&gt;=6,"Hot Humid",IF(MONTH($CA42)&gt;=3,"Hot Dry","Cold Winter")))))</f>
        <v/>
      </c>
      <c r="CC42">
        <f>IF($BV42="","",IFERROR(VLOOKUP($BV42,DECODE!$A$3:$C$8,2,FALSE),"?"))</f>
        <v/>
      </c>
      <c r="CD42">
        <f>IF($S42="","",UPPER(TRIM(LEFT($S42&amp;",",FIND(",",$S42&amp;",")-1))))</f>
        <v/>
      </c>
      <c r="CE42">
        <f>IF($CD42="","",MID($CD42,4,FIND("~",SUBSTITUTE($CD42,"-","~",2))-4))</f>
        <v/>
      </c>
      <c r="CF42">
        <f>IF($CD42="","",MID($CD42,FIND("~",SUBSTITUTE($CD42,"-","~",2))+1,FIND("~",SUBSTITUTE($CD42,"-","~",3))-FIND("~",SUBSTITUTE($CD42,"-","~",2))-1))</f>
        <v/>
      </c>
      <c r="CG42">
        <f>IF($CE42="","",IFERROR(VLOOKUP($CE42,DECODE!$A$3:$C$8,3,FALSE),"?"))</f>
        <v/>
      </c>
      <c r="CH42">
        <f>IF($CF42="","",IFERROR(VLOOKUP($CE42&amp;"-"&amp;$CF42,DECODE!$E$3:$F$21,2,FALSE),"?"))</f>
        <v/>
      </c>
      <c r="CI42">
        <f>IF($CD42="","",IFERROR(VALUE(RIGHT($CD42,3)),""))</f>
        <v/>
      </c>
      <c r="CJ42">
        <f>IF($Y42="","",IFERROR(IF(ISNUMBER($Y42),$Y42,DATEVALUE(TRIM($Y42))),""))</f>
        <v/>
      </c>
      <c r="CK42">
        <f>IF($CJ42="","",IF(MONTH($CJ42)&gt;=12,"Cold Winter",IF(MONTH($CJ42)&gt;=10,"Post-Monsoon",IF(MONTH($CJ42)&gt;=6,"Hot Humid",IF(MONTH($CJ42)&gt;=3,"Hot Dry","Cold Winter")))))</f>
        <v/>
      </c>
      <c r="CL42">
        <f>IF($CE42="","",IFERROR(VLOOKUP($CE42,DECODE!$A$3:$C$8,2,FALSE),"?"))</f>
        <v/>
      </c>
      <c r="CM42">
        <f>IF($AN42="","",AN42)</f>
        <v/>
      </c>
      <c r="CN42">
        <f>IF($AO42="","",AO42)</f>
        <v/>
      </c>
      <c r="CO42">
        <f>IF($AP42="","",AP42)</f>
        <v/>
      </c>
      <c r="CP42">
        <f>IF($CM42="","",IF($CM42="Aloe Vera Gel","Aloe Vera Gel "&amp;$CO42&amp;"g",CN42&amp;" "&amp;$CO42&amp;"g"))</f>
        <v/>
      </c>
      <c r="CQ42">
        <f>IF($AT42="",0,1)</f>
        <v/>
      </c>
      <c r="CR42">
        <f>IF($CQ42=0,"",AW42)</f>
        <v/>
      </c>
      <c r="CS42">
        <f>IF($CQ42=0,"",AX42)</f>
        <v/>
      </c>
      <c r="CT42">
        <f>IF($CQ42=0,"",AY42)</f>
        <v/>
      </c>
      <c r="CU42">
        <f>IF($CR42="","",IF($CR42="Aloe Vera Gel","Aloe Vera Gel "&amp;$CT42&amp;"g",CS42&amp;" "&amp;$CT42&amp;"g"))</f>
        <v/>
      </c>
      <c r="CV42">
        <f>IF($CQ42=0,"",IF($CP42=$CU42,"Repeat Exact",IF($CT42&gt;$CO42,"Upsized",IF($CT42&lt;$CO42,"Downsized",IF($CM42&lt;&gt;$CR42,"Lateral","Same Size Diff Variant")))))</f>
        <v/>
      </c>
      <c r="CW42">
        <f>IF($CQ42=0,"",AZ42-AQ42)</f>
        <v/>
      </c>
      <c r="CX42">
        <f>IF($CQ42=0,0,IF(CS42=CN42,1,0))</f>
        <v/>
      </c>
      <c r="CY42">
        <f>IF($CQ42=0,0,IF(CR42=CM42,1,0))</f>
        <v/>
      </c>
      <c r="CZ42">
        <f>IF($A42="","",IF(AND(IF(DASHBOARD!$C$4="All",TRUE,$CM42=DASHBOARD!$C$4),IF(DASHBOARD!$C$6="All",TRUE,$CP42=DASHBOARD!$C$6),IF(DASHBOARD!$C$8="All",TRUE,$AF42&gt;=DASHBOARD!$C$8),IF(DASHBOARD!$C$10="All",TRUE,$AF42&lt;=DASHBOARD!$C$10),IF(DASHBOARD!$C$12="All",TRUE,$AH42=VALUE(DASHBOARD!$C$12)),IF(DASHBOARD!$C$14="All",TRUE,$AJ42=DASHBOARD!$C$14)),1,0))</f>
        <v/>
      </c>
    </row>
    <row r="43">
      <c r="A43" t="n">
        <v>39960</v>
      </c>
      <c r="B43" t="inlineStr">
        <is>
          <t>Active Gel, Aloe Vera Gel</t>
        </is>
      </c>
      <c r="H43" t="inlineStr">
        <is>
          <t>Aloe Vera Gel - 80 gms, Active Olive Vit-E Night Gel</t>
        </is>
      </c>
      <c r="N43" t="inlineStr">
        <is>
          <t>FC-AC-OV-050, FC-HG-PA-080</t>
        </is>
      </c>
      <c r="T43" t="inlineStr">
        <is>
          <t>Aug 4, 2025</t>
        </is>
      </c>
      <c r="AE43" t="inlineStr">
        <is>
          <t>New Delhi</t>
        </is>
      </c>
      <c r="AF43" t="inlineStr">
        <is>
          <t>2025-08</t>
        </is>
      </c>
      <c r="AG43" t="n">
        <v>8</v>
      </c>
      <c r="AH43" t="n">
        <v>1</v>
      </c>
      <c r="AI43" t="n">
        <v>0</v>
      </c>
      <c r="AJ43">
        <f>IF($AE43="","",IFERROR(VLOOKUP(TRIM($AE43),DECODE!$H$3:$I$60,2,FALSE),"Rest of India"))</f>
        <v/>
      </c>
      <c r="AK43">
        <f>IF($N43="","",UPPER(TRIM(LEFT($N43&amp;",",FIND(",",$N43&amp;",")-1))))</f>
        <v/>
      </c>
      <c r="AL43">
        <f>IF($AK43="","",MID($AK43,4,FIND("~",SUBSTITUTE($AK43,"-","~",2))-4))</f>
        <v/>
      </c>
      <c r="AM43">
        <f>IF($AK43="","",MID($AK43,FIND("~",SUBSTITUTE($AK43,"-","~",2))+1,FIND("~",SUBSTITUTE($AK43,"-","~",3))-FIND("~",SUBSTITUTE($AK43,"-","~",2))-1))</f>
        <v/>
      </c>
      <c r="AN43">
        <f>IF($AL43="","",IFERROR(VLOOKUP($AL43,DECODE!$A$3:$C$8,3,FALSE),"?"))</f>
        <v/>
      </c>
      <c r="AO43">
        <f>IF($AM43="","",IFERROR(VLOOKUP($AL43&amp;"-"&amp;$AM43,DECODE!$E$3:$F$21,2,FALSE),"?"))</f>
        <v/>
      </c>
      <c r="AP43">
        <f>IF($AK43="","",IFERROR(VALUE(RIGHT($AK43,3)),""))</f>
        <v/>
      </c>
      <c r="AQ43">
        <f>IF($T43="","",IFERROR(IF(ISNUMBER($T43),$T43,DATEVALUE(TRIM($T43))),""))</f>
        <v/>
      </c>
      <c r="AR43">
        <f>IF($AQ43="","",IF(MONTH($AQ43)&gt;=12,"Cold Winter",IF(MONTH($AQ43)&gt;=10,"Post-Monsoon",IF(MONTH($AQ43)&gt;=6,"Hot Humid",IF(MONTH($AQ43)&gt;=3,"Hot Dry","Cold Winter")))))</f>
        <v/>
      </c>
      <c r="AS43">
        <f>IF($AL43="","",IFERROR(VLOOKUP($AL43,DECODE!$A$3:$C$8,2,FALSE),"?"))</f>
        <v/>
      </c>
      <c r="AT43">
        <f>IF($O43="","",UPPER(TRIM(LEFT($O43&amp;",",FIND(",",$O43&amp;",")-1))))</f>
        <v/>
      </c>
      <c r="AU43">
        <f>IF($AT43="","",MID($AT43,4,FIND("~",SUBSTITUTE($AT43,"-","~",2))-4))</f>
        <v/>
      </c>
      <c r="AV43">
        <f>IF($AT43="","",MID($AT43,FIND("~",SUBSTITUTE($AT43,"-","~",2))+1,FIND("~",SUBSTITUTE($AT43,"-","~",3))-FIND("~",SUBSTITUTE($AT43,"-","~",2))-1))</f>
        <v/>
      </c>
      <c r="AW43">
        <f>IF($AU43="","",IFERROR(VLOOKUP($AU43,DECODE!$A$3:$C$8,3,FALSE),"?"))</f>
        <v/>
      </c>
      <c r="AX43">
        <f>IF($AV43="","",IFERROR(VLOOKUP($AU43&amp;"-"&amp;$AV43,DECODE!$E$3:$F$21,2,FALSE),"?"))</f>
        <v/>
      </c>
      <c r="AY43">
        <f>IF($AT43="","",IFERROR(VALUE(RIGHT($AT43,3)),""))</f>
        <v/>
      </c>
      <c r="AZ43">
        <f>IF($U43="","",IFERROR(IF(ISNUMBER($U43),$U43,DATEVALUE(TRIM($U43))),""))</f>
        <v/>
      </c>
      <c r="BA43">
        <f>IF($AZ43="","",IF(MONTH($AZ43)&gt;=12,"Cold Winter",IF(MONTH($AZ43)&gt;=10,"Post-Monsoon",IF(MONTH($AZ43)&gt;=6,"Hot Humid",IF(MONTH($AZ43)&gt;=3,"Hot Dry","Cold Winter")))))</f>
        <v/>
      </c>
      <c r="BB43">
        <f>IF($AU43="","",IFERROR(VLOOKUP($AU43,DECODE!$A$3:$C$8,2,FALSE),"?"))</f>
        <v/>
      </c>
      <c r="BC43">
        <f>IF($P43="","",UPPER(TRIM(LEFT($P43&amp;",",FIND(",",$P43&amp;",")-1))))</f>
        <v/>
      </c>
      <c r="BD43">
        <f>IF($BC43="","",MID($BC43,4,FIND("~",SUBSTITUTE($BC43,"-","~",2))-4))</f>
        <v/>
      </c>
      <c r="BE43">
        <f>IF($BC43="","",MID($BC43,FIND("~",SUBSTITUTE($BC43,"-","~",2))+1,FIND("~",SUBSTITUTE($BC43,"-","~",3))-FIND("~",SUBSTITUTE($BC43,"-","~",2))-1))</f>
        <v/>
      </c>
      <c r="BF43">
        <f>IF($BD43="","",IFERROR(VLOOKUP($BD43,DECODE!$A$3:$C$8,3,FALSE),"?"))</f>
        <v/>
      </c>
      <c r="BG43">
        <f>IF($BE43="","",IFERROR(VLOOKUP($BD43&amp;"-"&amp;$BE43,DECODE!$E$3:$F$21,2,FALSE),"?"))</f>
        <v/>
      </c>
      <c r="BH43">
        <f>IF($BC43="","",IFERROR(VALUE(RIGHT($BC43,3)),""))</f>
        <v/>
      </c>
      <c r="BI43">
        <f>IF($V43="","",IFERROR(IF(ISNUMBER($V43),$V43,DATEVALUE(TRIM($V43))),""))</f>
        <v/>
      </c>
      <c r="BJ43">
        <f>IF($BI43="","",IF(MONTH($BI43)&gt;=12,"Cold Winter",IF(MONTH($BI43)&gt;=10,"Post-Monsoon",IF(MONTH($BI43)&gt;=6,"Hot Humid",IF(MONTH($BI43)&gt;=3,"Hot Dry","Cold Winter")))))</f>
        <v/>
      </c>
      <c r="BK43">
        <f>IF($BD43="","",IFERROR(VLOOKUP($BD43,DECODE!$A$3:$C$8,2,FALSE),"?"))</f>
        <v/>
      </c>
      <c r="BL43">
        <f>IF($Q43="","",UPPER(TRIM(LEFT($Q43&amp;",",FIND(",",$Q43&amp;",")-1))))</f>
        <v/>
      </c>
      <c r="BM43">
        <f>IF($BL43="","",MID($BL43,4,FIND("~",SUBSTITUTE($BL43,"-","~",2))-4))</f>
        <v/>
      </c>
      <c r="BN43">
        <f>IF($BL43="","",MID($BL43,FIND("~",SUBSTITUTE($BL43,"-","~",2))+1,FIND("~",SUBSTITUTE($BL43,"-","~",3))-FIND("~",SUBSTITUTE($BL43,"-","~",2))-1))</f>
        <v/>
      </c>
      <c r="BO43">
        <f>IF($BM43="","",IFERROR(VLOOKUP($BM43,DECODE!$A$3:$C$8,3,FALSE),"?"))</f>
        <v/>
      </c>
      <c r="BP43">
        <f>IF($BN43="","",IFERROR(VLOOKUP($BM43&amp;"-"&amp;$BN43,DECODE!$E$3:$F$21,2,FALSE),"?"))</f>
        <v/>
      </c>
      <c r="BQ43">
        <f>IF($BL43="","",IFERROR(VALUE(RIGHT($BL43,3)),""))</f>
        <v/>
      </c>
      <c r="BR43">
        <f>IF($W43="","",IFERROR(IF(ISNUMBER($W43),$W43,DATEVALUE(TRIM($W43))),""))</f>
        <v/>
      </c>
      <c r="BS43">
        <f>IF($BR43="","",IF(MONTH($BR43)&gt;=12,"Cold Winter",IF(MONTH($BR43)&gt;=10,"Post-Monsoon",IF(MONTH($BR43)&gt;=6,"Hot Humid",IF(MONTH($BR43)&gt;=3,"Hot Dry","Cold Winter")))))</f>
        <v/>
      </c>
      <c r="BT43">
        <f>IF($BM43="","",IFERROR(VLOOKUP($BM43,DECODE!$A$3:$C$8,2,FALSE),"?"))</f>
        <v/>
      </c>
      <c r="BU43">
        <f>IF($R43="","",UPPER(TRIM(LEFT($R43&amp;",",FIND(",",$R43&amp;",")-1))))</f>
        <v/>
      </c>
      <c r="BV43">
        <f>IF($BU43="","",MID($BU43,4,FIND("~",SUBSTITUTE($BU43,"-","~",2))-4))</f>
        <v/>
      </c>
      <c r="BW43">
        <f>IF($BU43="","",MID($BU43,FIND("~",SUBSTITUTE($BU43,"-","~",2))+1,FIND("~",SUBSTITUTE($BU43,"-","~",3))-FIND("~",SUBSTITUTE($BU43,"-","~",2))-1))</f>
        <v/>
      </c>
      <c r="BX43">
        <f>IF($BV43="","",IFERROR(VLOOKUP($BV43,DECODE!$A$3:$C$8,3,FALSE),"?"))</f>
        <v/>
      </c>
      <c r="BY43">
        <f>IF($BW43="","",IFERROR(VLOOKUP($BV43&amp;"-"&amp;$BW43,DECODE!$E$3:$F$21,2,FALSE),"?"))</f>
        <v/>
      </c>
      <c r="BZ43">
        <f>IF($BU43="","",IFERROR(VALUE(RIGHT($BU43,3)),""))</f>
        <v/>
      </c>
      <c r="CA43">
        <f>IF($X43="","",IFERROR(IF(ISNUMBER($X43),$X43,DATEVALUE(TRIM($X43))),""))</f>
        <v/>
      </c>
      <c r="CB43">
        <f>IF($CA43="","",IF(MONTH($CA43)&gt;=12,"Cold Winter",IF(MONTH($CA43)&gt;=10,"Post-Monsoon",IF(MONTH($CA43)&gt;=6,"Hot Humid",IF(MONTH($CA43)&gt;=3,"Hot Dry","Cold Winter")))))</f>
        <v/>
      </c>
      <c r="CC43">
        <f>IF($BV43="","",IFERROR(VLOOKUP($BV43,DECODE!$A$3:$C$8,2,FALSE),"?"))</f>
        <v/>
      </c>
      <c r="CD43">
        <f>IF($S43="","",UPPER(TRIM(LEFT($S43&amp;",",FIND(",",$S43&amp;",")-1))))</f>
        <v/>
      </c>
      <c r="CE43">
        <f>IF($CD43="","",MID($CD43,4,FIND("~",SUBSTITUTE($CD43,"-","~",2))-4))</f>
        <v/>
      </c>
      <c r="CF43">
        <f>IF($CD43="","",MID($CD43,FIND("~",SUBSTITUTE($CD43,"-","~",2))+1,FIND("~",SUBSTITUTE($CD43,"-","~",3))-FIND("~",SUBSTITUTE($CD43,"-","~",2))-1))</f>
        <v/>
      </c>
      <c r="CG43">
        <f>IF($CE43="","",IFERROR(VLOOKUP($CE43,DECODE!$A$3:$C$8,3,FALSE),"?"))</f>
        <v/>
      </c>
      <c r="CH43">
        <f>IF($CF43="","",IFERROR(VLOOKUP($CE43&amp;"-"&amp;$CF43,DECODE!$E$3:$F$21,2,FALSE),"?"))</f>
        <v/>
      </c>
      <c r="CI43">
        <f>IF($CD43="","",IFERROR(VALUE(RIGHT($CD43,3)),""))</f>
        <v/>
      </c>
      <c r="CJ43">
        <f>IF($Y43="","",IFERROR(IF(ISNUMBER($Y43),$Y43,DATEVALUE(TRIM($Y43))),""))</f>
        <v/>
      </c>
      <c r="CK43">
        <f>IF($CJ43="","",IF(MONTH($CJ43)&gt;=12,"Cold Winter",IF(MONTH($CJ43)&gt;=10,"Post-Monsoon",IF(MONTH($CJ43)&gt;=6,"Hot Humid",IF(MONTH($CJ43)&gt;=3,"Hot Dry","Cold Winter")))))</f>
        <v/>
      </c>
      <c r="CL43">
        <f>IF($CE43="","",IFERROR(VLOOKUP($CE43,DECODE!$A$3:$C$8,2,FALSE),"?"))</f>
        <v/>
      </c>
      <c r="CM43">
        <f>IF($AN43="","",AN43)</f>
        <v/>
      </c>
      <c r="CN43">
        <f>IF($AO43="","",AO43)</f>
        <v/>
      </c>
      <c r="CO43">
        <f>IF($AP43="","",AP43)</f>
        <v/>
      </c>
      <c r="CP43">
        <f>IF($CM43="","",IF($CM43="Aloe Vera Gel","Aloe Vera Gel "&amp;$CO43&amp;"g",CN43&amp;" "&amp;$CO43&amp;"g"))</f>
        <v/>
      </c>
      <c r="CQ43">
        <f>IF($AT43="",0,1)</f>
        <v/>
      </c>
      <c r="CR43">
        <f>IF($CQ43=0,"",AW43)</f>
        <v/>
      </c>
      <c r="CS43">
        <f>IF($CQ43=0,"",AX43)</f>
        <v/>
      </c>
      <c r="CT43">
        <f>IF($CQ43=0,"",AY43)</f>
        <v/>
      </c>
      <c r="CU43">
        <f>IF($CR43="","",IF($CR43="Aloe Vera Gel","Aloe Vera Gel "&amp;$CT43&amp;"g",CS43&amp;" "&amp;$CT43&amp;"g"))</f>
        <v/>
      </c>
      <c r="CV43">
        <f>IF($CQ43=0,"",IF($CP43=$CU43,"Repeat Exact",IF($CT43&gt;$CO43,"Upsized",IF($CT43&lt;$CO43,"Downsized",IF($CM43&lt;&gt;$CR43,"Lateral","Same Size Diff Variant")))))</f>
        <v/>
      </c>
      <c r="CW43">
        <f>IF($CQ43=0,"",AZ43-AQ43)</f>
        <v/>
      </c>
      <c r="CX43">
        <f>IF($CQ43=0,0,IF(CS43=CN43,1,0))</f>
        <v/>
      </c>
      <c r="CY43">
        <f>IF($CQ43=0,0,IF(CR43=CM43,1,0))</f>
        <v/>
      </c>
      <c r="CZ43">
        <f>IF($A43="","",IF(AND(IF(DASHBOARD!$C$4="All",TRUE,$CM43=DASHBOARD!$C$4),IF(DASHBOARD!$C$6="All",TRUE,$CP43=DASHBOARD!$C$6),IF(DASHBOARD!$C$8="All",TRUE,$AF43&gt;=DASHBOARD!$C$8),IF(DASHBOARD!$C$10="All",TRUE,$AF43&lt;=DASHBOARD!$C$10),IF(DASHBOARD!$C$12="All",TRUE,$AH43=VALUE(DASHBOARD!$C$12)),IF(DASHBOARD!$C$14="All",TRUE,$AJ43=DASHBOARD!$C$14)),1,0))</f>
        <v/>
      </c>
    </row>
    <row r="44">
      <c r="A44" t="n">
        <v>40148</v>
      </c>
      <c r="B44" t="inlineStr">
        <is>
          <t>Face Malai</t>
        </is>
      </c>
      <c r="H44" t="inlineStr">
        <is>
          <t>Tomato Patchouli (Cold) 20 - 35 Yrs Face Malai</t>
        </is>
      </c>
      <c r="N44" t="inlineStr">
        <is>
          <t>FC-CWDM-TP-030</t>
        </is>
      </c>
      <c r="T44" t="inlineStr">
        <is>
          <t>Dec 8, 2024</t>
        </is>
      </c>
      <c r="AE44" t="inlineStr">
        <is>
          <t>Faizabad</t>
        </is>
      </c>
      <c r="AF44" t="inlineStr">
        <is>
          <t>2024-12</t>
        </is>
      </c>
      <c r="AG44" t="n">
        <v>12</v>
      </c>
      <c r="AH44" t="n">
        <v>1</v>
      </c>
      <c r="AI44" t="n">
        <v>0</v>
      </c>
      <c r="AJ44">
        <f>IF($AE44="","",IFERROR(VLOOKUP(TRIM($AE44),DECODE!$H$3:$I$60,2,FALSE),"Rest of India"))</f>
        <v/>
      </c>
      <c r="AK44">
        <f>IF($N44="","",UPPER(TRIM(LEFT($N44&amp;",",FIND(",",$N44&amp;",")-1))))</f>
        <v/>
      </c>
      <c r="AL44">
        <f>IF($AK44="","",MID($AK44,4,FIND("~",SUBSTITUTE($AK44,"-","~",2))-4))</f>
        <v/>
      </c>
      <c r="AM44">
        <f>IF($AK44="","",MID($AK44,FIND("~",SUBSTITUTE($AK44,"-","~",2))+1,FIND("~",SUBSTITUTE($AK44,"-","~",3))-FIND("~",SUBSTITUTE($AK44,"-","~",2))-1))</f>
        <v/>
      </c>
      <c r="AN44">
        <f>IF($AL44="","",IFERROR(VLOOKUP($AL44,DECODE!$A$3:$C$8,3,FALSE),"?"))</f>
        <v/>
      </c>
      <c r="AO44">
        <f>IF($AM44="","",IFERROR(VLOOKUP($AL44&amp;"-"&amp;$AM44,DECODE!$E$3:$F$21,2,FALSE),"?"))</f>
        <v/>
      </c>
      <c r="AP44">
        <f>IF($AK44="","",IFERROR(VALUE(RIGHT($AK44,3)),""))</f>
        <v/>
      </c>
      <c r="AQ44">
        <f>IF($T44="","",IFERROR(IF(ISNUMBER($T44),$T44,DATEVALUE(TRIM($T44))),""))</f>
        <v/>
      </c>
      <c r="AR44">
        <f>IF($AQ44="","",IF(MONTH($AQ44)&gt;=12,"Cold Winter",IF(MONTH($AQ44)&gt;=10,"Post-Monsoon",IF(MONTH($AQ44)&gt;=6,"Hot Humid",IF(MONTH($AQ44)&gt;=3,"Hot Dry","Cold Winter")))))</f>
        <v/>
      </c>
      <c r="AS44">
        <f>IF($AL44="","",IFERROR(VLOOKUP($AL44,DECODE!$A$3:$C$8,2,FALSE),"?"))</f>
        <v/>
      </c>
      <c r="AT44">
        <f>IF($O44="","",UPPER(TRIM(LEFT($O44&amp;",",FIND(",",$O44&amp;",")-1))))</f>
        <v/>
      </c>
      <c r="AU44">
        <f>IF($AT44="","",MID($AT44,4,FIND("~",SUBSTITUTE($AT44,"-","~",2))-4))</f>
        <v/>
      </c>
      <c r="AV44">
        <f>IF($AT44="","",MID($AT44,FIND("~",SUBSTITUTE($AT44,"-","~",2))+1,FIND("~",SUBSTITUTE($AT44,"-","~",3))-FIND("~",SUBSTITUTE($AT44,"-","~",2))-1))</f>
        <v/>
      </c>
      <c r="AW44">
        <f>IF($AU44="","",IFERROR(VLOOKUP($AU44,DECODE!$A$3:$C$8,3,FALSE),"?"))</f>
        <v/>
      </c>
      <c r="AX44">
        <f>IF($AV44="","",IFERROR(VLOOKUP($AU44&amp;"-"&amp;$AV44,DECODE!$E$3:$F$21,2,FALSE),"?"))</f>
        <v/>
      </c>
      <c r="AY44">
        <f>IF($AT44="","",IFERROR(VALUE(RIGHT($AT44,3)),""))</f>
        <v/>
      </c>
      <c r="AZ44">
        <f>IF($U44="","",IFERROR(IF(ISNUMBER($U44),$U44,DATEVALUE(TRIM($U44))),""))</f>
        <v/>
      </c>
      <c r="BA44">
        <f>IF($AZ44="","",IF(MONTH($AZ44)&gt;=12,"Cold Winter",IF(MONTH($AZ44)&gt;=10,"Post-Monsoon",IF(MONTH($AZ44)&gt;=6,"Hot Humid",IF(MONTH($AZ44)&gt;=3,"Hot Dry","Cold Winter")))))</f>
        <v/>
      </c>
      <c r="BB44">
        <f>IF($AU44="","",IFERROR(VLOOKUP($AU44,DECODE!$A$3:$C$8,2,FALSE),"?"))</f>
        <v/>
      </c>
      <c r="BC44">
        <f>IF($P44="","",UPPER(TRIM(LEFT($P44&amp;",",FIND(",",$P44&amp;",")-1))))</f>
        <v/>
      </c>
      <c r="BD44">
        <f>IF($BC44="","",MID($BC44,4,FIND("~",SUBSTITUTE($BC44,"-","~",2))-4))</f>
        <v/>
      </c>
      <c r="BE44">
        <f>IF($BC44="","",MID($BC44,FIND("~",SUBSTITUTE($BC44,"-","~",2))+1,FIND("~",SUBSTITUTE($BC44,"-","~",3))-FIND("~",SUBSTITUTE($BC44,"-","~",2))-1))</f>
        <v/>
      </c>
      <c r="BF44">
        <f>IF($BD44="","",IFERROR(VLOOKUP($BD44,DECODE!$A$3:$C$8,3,FALSE),"?"))</f>
        <v/>
      </c>
      <c r="BG44">
        <f>IF($BE44="","",IFERROR(VLOOKUP($BD44&amp;"-"&amp;$BE44,DECODE!$E$3:$F$21,2,FALSE),"?"))</f>
        <v/>
      </c>
      <c r="BH44">
        <f>IF($BC44="","",IFERROR(VALUE(RIGHT($BC44,3)),""))</f>
        <v/>
      </c>
      <c r="BI44">
        <f>IF($V44="","",IFERROR(IF(ISNUMBER($V44),$V44,DATEVALUE(TRIM($V44))),""))</f>
        <v/>
      </c>
      <c r="BJ44">
        <f>IF($BI44="","",IF(MONTH($BI44)&gt;=12,"Cold Winter",IF(MONTH($BI44)&gt;=10,"Post-Monsoon",IF(MONTH($BI44)&gt;=6,"Hot Humid",IF(MONTH($BI44)&gt;=3,"Hot Dry","Cold Winter")))))</f>
        <v/>
      </c>
      <c r="BK44">
        <f>IF($BD44="","",IFERROR(VLOOKUP($BD44,DECODE!$A$3:$C$8,2,FALSE),"?"))</f>
        <v/>
      </c>
      <c r="BL44">
        <f>IF($Q44="","",UPPER(TRIM(LEFT($Q44&amp;",",FIND(",",$Q44&amp;",")-1))))</f>
        <v/>
      </c>
      <c r="BM44">
        <f>IF($BL44="","",MID($BL44,4,FIND("~",SUBSTITUTE($BL44,"-","~",2))-4))</f>
        <v/>
      </c>
      <c r="BN44">
        <f>IF($BL44="","",MID($BL44,FIND("~",SUBSTITUTE($BL44,"-","~",2))+1,FIND("~",SUBSTITUTE($BL44,"-","~",3))-FIND("~",SUBSTITUTE($BL44,"-","~",2))-1))</f>
        <v/>
      </c>
      <c r="BO44">
        <f>IF($BM44="","",IFERROR(VLOOKUP($BM44,DECODE!$A$3:$C$8,3,FALSE),"?"))</f>
        <v/>
      </c>
      <c r="BP44">
        <f>IF($BN44="","",IFERROR(VLOOKUP($BM44&amp;"-"&amp;$BN44,DECODE!$E$3:$F$21,2,FALSE),"?"))</f>
        <v/>
      </c>
      <c r="BQ44">
        <f>IF($BL44="","",IFERROR(VALUE(RIGHT($BL44,3)),""))</f>
        <v/>
      </c>
      <c r="BR44">
        <f>IF($W44="","",IFERROR(IF(ISNUMBER($W44),$W44,DATEVALUE(TRIM($W44))),""))</f>
        <v/>
      </c>
      <c r="BS44">
        <f>IF($BR44="","",IF(MONTH($BR44)&gt;=12,"Cold Winter",IF(MONTH($BR44)&gt;=10,"Post-Monsoon",IF(MONTH($BR44)&gt;=6,"Hot Humid",IF(MONTH($BR44)&gt;=3,"Hot Dry","Cold Winter")))))</f>
        <v/>
      </c>
      <c r="BT44">
        <f>IF($BM44="","",IFERROR(VLOOKUP($BM44,DECODE!$A$3:$C$8,2,FALSE),"?"))</f>
        <v/>
      </c>
      <c r="BU44">
        <f>IF($R44="","",UPPER(TRIM(LEFT($R44&amp;",",FIND(",",$R44&amp;",")-1))))</f>
        <v/>
      </c>
      <c r="BV44">
        <f>IF($BU44="","",MID($BU44,4,FIND("~",SUBSTITUTE($BU44,"-","~",2))-4))</f>
        <v/>
      </c>
      <c r="BW44">
        <f>IF($BU44="","",MID($BU44,FIND("~",SUBSTITUTE($BU44,"-","~",2))+1,FIND("~",SUBSTITUTE($BU44,"-","~",3))-FIND("~",SUBSTITUTE($BU44,"-","~",2))-1))</f>
        <v/>
      </c>
      <c r="BX44">
        <f>IF($BV44="","",IFERROR(VLOOKUP($BV44,DECODE!$A$3:$C$8,3,FALSE),"?"))</f>
        <v/>
      </c>
      <c r="BY44">
        <f>IF($BW44="","",IFERROR(VLOOKUP($BV44&amp;"-"&amp;$BW44,DECODE!$E$3:$F$21,2,FALSE),"?"))</f>
        <v/>
      </c>
      <c r="BZ44">
        <f>IF($BU44="","",IFERROR(VALUE(RIGHT($BU44,3)),""))</f>
        <v/>
      </c>
      <c r="CA44">
        <f>IF($X44="","",IFERROR(IF(ISNUMBER($X44),$X44,DATEVALUE(TRIM($X44))),""))</f>
        <v/>
      </c>
      <c r="CB44">
        <f>IF($CA44="","",IF(MONTH($CA44)&gt;=12,"Cold Winter",IF(MONTH($CA44)&gt;=10,"Post-Monsoon",IF(MONTH($CA44)&gt;=6,"Hot Humid",IF(MONTH($CA44)&gt;=3,"Hot Dry","Cold Winter")))))</f>
        <v/>
      </c>
      <c r="CC44">
        <f>IF($BV44="","",IFERROR(VLOOKUP($BV44,DECODE!$A$3:$C$8,2,FALSE),"?"))</f>
        <v/>
      </c>
      <c r="CD44">
        <f>IF($S44="","",UPPER(TRIM(LEFT($S44&amp;",",FIND(",",$S44&amp;",")-1))))</f>
        <v/>
      </c>
      <c r="CE44">
        <f>IF($CD44="","",MID($CD44,4,FIND("~",SUBSTITUTE($CD44,"-","~",2))-4))</f>
        <v/>
      </c>
      <c r="CF44">
        <f>IF($CD44="","",MID($CD44,FIND("~",SUBSTITUTE($CD44,"-","~",2))+1,FIND("~",SUBSTITUTE($CD44,"-","~",3))-FIND("~",SUBSTITUTE($CD44,"-","~",2))-1))</f>
        <v/>
      </c>
      <c r="CG44">
        <f>IF($CE44="","",IFERROR(VLOOKUP($CE44,DECODE!$A$3:$C$8,3,FALSE),"?"))</f>
        <v/>
      </c>
      <c r="CH44">
        <f>IF($CF44="","",IFERROR(VLOOKUP($CE44&amp;"-"&amp;$CF44,DECODE!$E$3:$F$21,2,FALSE),"?"))</f>
        <v/>
      </c>
      <c r="CI44">
        <f>IF($CD44="","",IFERROR(VALUE(RIGHT($CD44,3)),""))</f>
        <v/>
      </c>
      <c r="CJ44">
        <f>IF($Y44="","",IFERROR(IF(ISNUMBER($Y44),$Y44,DATEVALUE(TRIM($Y44))),""))</f>
        <v/>
      </c>
      <c r="CK44">
        <f>IF($CJ44="","",IF(MONTH($CJ44)&gt;=12,"Cold Winter",IF(MONTH($CJ44)&gt;=10,"Post-Monsoon",IF(MONTH($CJ44)&gt;=6,"Hot Humid",IF(MONTH($CJ44)&gt;=3,"Hot Dry","Cold Winter")))))</f>
        <v/>
      </c>
      <c r="CL44">
        <f>IF($CE44="","",IFERROR(VLOOKUP($CE44,DECODE!$A$3:$C$8,2,FALSE),"?"))</f>
        <v/>
      </c>
      <c r="CM44">
        <f>IF($AN44="","",AN44)</f>
        <v/>
      </c>
      <c r="CN44">
        <f>IF($AO44="","",AO44)</f>
        <v/>
      </c>
      <c r="CO44">
        <f>IF($AP44="","",AP44)</f>
        <v/>
      </c>
      <c r="CP44">
        <f>IF($CM44="","",IF($CM44="Aloe Vera Gel","Aloe Vera Gel "&amp;$CO44&amp;"g",CN44&amp;" "&amp;$CO44&amp;"g"))</f>
        <v/>
      </c>
      <c r="CQ44">
        <f>IF($AT44="",0,1)</f>
        <v/>
      </c>
      <c r="CR44">
        <f>IF($CQ44=0,"",AW44)</f>
        <v/>
      </c>
      <c r="CS44">
        <f>IF($CQ44=0,"",AX44)</f>
        <v/>
      </c>
      <c r="CT44">
        <f>IF($CQ44=0,"",AY44)</f>
        <v/>
      </c>
      <c r="CU44">
        <f>IF($CR44="","",IF($CR44="Aloe Vera Gel","Aloe Vera Gel "&amp;$CT44&amp;"g",CS44&amp;" "&amp;$CT44&amp;"g"))</f>
        <v/>
      </c>
      <c r="CV44">
        <f>IF($CQ44=0,"",IF($CP44=$CU44,"Repeat Exact",IF($CT44&gt;$CO44,"Upsized",IF($CT44&lt;$CO44,"Downsized",IF($CM44&lt;&gt;$CR44,"Lateral","Same Size Diff Variant")))))</f>
        <v/>
      </c>
      <c r="CW44">
        <f>IF($CQ44=0,"",AZ44-AQ44)</f>
        <v/>
      </c>
      <c r="CX44">
        <f>IF($CQ44=0,0,IF(CS44=CN44,1,0))</f>
        <v/>
      </c>
      <c r="CY44">
        <f>IF($CQ44=0,0,IF(CR44=CM44,1,0))</f>
        <v/>
      </c>
      <c r="CZ44">
        <f>IF($A44="","",IF(AND(IF(DASHBOARD!$C$4="All",TRUE,$CM44=DASHBOARD!$C$4),IF(DASHBOARD!$C$6="All",TRUE,$CP44=DASHBOARD!$C$6),IF(DASHBOARD!$C$8="All",TRUE,$AF44&gt;=DASHBOARD!$C$8),IF(DASHBOARD!$C$10="All",TRUE,$AF44&lt;=DASHBOARD!$C$10),IF(DASHBOARD!$C$12="All",TRUE,$AH44=VALUE(DASHBOARD!$C$12)),IF(DASHBOARD!$C$14="All",TRUE,$AJ44=DASHBOARD!$C$14)),1,0))</f>
        <v/>
      </c>
    </row>
    <row r="45">
      <c r="A45" t="n">
        <v>40865</v>
      </c>
      <c r="B45" t="inlineStr">
        <is>
          <t>Face Malai</t>
        </is>
      </c>
      <c r="H45" t="inlineStr">
        <is>
          <t>Tomato Patchouli (Cold) 20 - 35 Yrs Face Malai</t>
        </is>
      </c>
      <c r="N45" t="inlineStr">
        <is>
          <t>FC-CWDM-TP-030</t>
        </is>
      </c>
      <c r="T45" t="inlineStr">
        <is>
          <t>Jan 2, 2025</t>
        </is>
      </c>
      <c r="AE45" t="inlineStr">
        <is>
          <t>New Delhi</t>
        </is>
      </c>
      <c r="AF45" t="inlineStr">
        <is>
          <t>2025-01</t>
        </is>
      </c>
      <c r="AG45" t="n">
        <v>1</v>
      </c>
      <c r="AH45" t="n">
        <v>1</v>
      </c>
      <c r="AI45" t="n">
        <v>0</v>
      </c>
      <c r="AJ45">
        <f>IF($AE45="","",IFERROR(VLOOKUP(TRIM($AE45),DECODE!$H$3:$I$60,2,FALSE),"Rest of India"))</f>
        <v/>
      </c>
      <c r="AK45">
        <f>IF($N45="","",UPPER(TRIM(LEFT($N45&amp;",",FIND(",",$N45&amp;",")-1))))</f>
        <v/>
      </c>
      <c r="AL45">
        <f>IF($AK45="","",MID($AK45,4,FIND("~",SUBSTITUTE($AK45,"-","~",2))-4))</f>
        <v/>
      </c>
      <c r="AM45">
        <f>IF($AK45="","",MID($AK45,FIND("~",SUBSTITUTE($AK45,"-","~",2))+1,FIND("~",SUBSTITUTE($AK45,"-","~",3))-FIND("~",SUBSTITUTE($AK45,"-","~",2))-1))</f>
        <v/>
      </c>
      <c r="AN45">
        <f>IF($AL45="","",IFERROR(VLOOKUP($AL45,DECODE!$A$3:$C$8,3,FALSE),"?"))</f>
        <v/>
      </c>
      <c r="AO45">
        <f>IF($AM45="","",IFERROR(VLOOKUP($AL45&amp;"-"&amp;$AM45,DECODE!$E$3:$F$21,2,FALSE),"?"))</f>
        <v/>
      </c>
      <c r="AP45">
        <f>IF($AK45="","",IFERROR(VALUE(RIGHT($AK45,3)),""))</f>
        <v/>
      </c>
      <c r="AQ45">
        <f>IF($T45="","",IFERROR(IF(ISNUMBER($T45),$T45,DATEVALUE(TRIM($T45))),""))</f>
        <v/>
      </c>
      <c r="AR45">
        <f>IF($AQ45="","",IF(MONTH($AQ45)&gt;=12,"Cold Winter",IF(MONTH($AQ45)&gt;=10,"Post-Monsoon",IF(MONTH($AQ45)&gt;=6,"Hot Humid",IF(MONTH($AQ45)&gt;=3,"Hot Dry","Cold Winter")))))</f>
        <v/>
      </c>
      <c r="AS45">
        <f>IF($AL45="","",IFERROR(VLOOKUP($AL45,DECODE!$A$3:$C$8,2,FALSE),"?"))</f>
        <v/>
      </c>
      <c r="AT45">
        <f>IF($O45="","",UPPER(TRIM(LEFT($O45&amp;",",FIND(",",$O45&amp;",")-1))))</f>
        <v/>
      </c>
      <c r="AU45">
        <f>IF($AT45="","",MID($AT45,4,FIND("~",SUBSTITUTE($AT45,"-","~",2))-4))</f>
        <v/>
      </c>
      <c r="AV45">
        <f>IF($AT45="","",MID($AT45,FIND("~",SUBSTITUTE($AT45,"-","~",2))+1,FIND("~",SUBSTITUTE($AT45,"-","~",3))-FIND("~",SUBSTITUTE($AT45,"-","~",2))-1))</f>
        <v/>
      </c>
      <c r="AW45">
        <f>IF($AU45="","",IFERROR(VLOOKUP($AU45,DECODE!$A$3:$C$8,3,FALSE),"?"))</f>
        <v/>
      </c>
      <c r="AX45">
        <f>IF($AV45="","",IFERROR(VLOOKUP($AU45&amp;"-"&amp;$AV45,DECODE!$E$3:$F$21,2,FALSE),"?"))</f>
        <v/>
      </c>
      <c r="AY45">
        <f>IF($AT45="","",IFERROR(VALUE(RIGHT($AT45,3)),""))</f>
        <v/>
      </c>
      <c r="AZ45">
        <f>IF($U45="","",IFERROR(IF(ISNUMBER($U45),$U45,DATEVALUE(TRIM($U45))),""))</f>
        <v/>
      </c>
      <c r="BA45">
        <f>IF($AZ45="","",IF(MONTH($AZ45)&gt;=12,"Cold Winter",IF(MONTH($AZ45)&gt;=10,"Post-Monsoon",IF(MONTH($AZ45)&gt;=6,"Hot Humid",IF(MONTH($AZ45)&gt;=3,"Hot Dry","Cold Winter")))))</f>
        <v/>
      </c>
      <c r="BB45">
        <f>IF($AU45="","",IFERROR(VLOOKUP($AU45,DECODE!$A$3:$C$8,2,FALSE),"?"))</f>
        <v/>
      </c>
      <c r="BC45">
        <f>IF($P45="","",UPPER(TRIM(LEFT($P45&amp;",",FIND(",",$P45&amp;",")-1))))</f>
        <v/>
      </c>
      <c r="BD45">
        <f>IF($BC45="","",MID($BC45,4,FIND("~",SUBSTITUTE($BC45,"-","~",2))-4))</f>
        <v/>
      </c>
      <c r="BE45">
        <f>IF($BC45="","",MID($BC45,FIND("~",SUBSTITUTE($BC45,"-","~",2))+1,FIND("~",SUBSTITUTE($BC45,"-","~",3))-FIND("~",SUBSTITUTE($BC45,"-","~",2))-1))</f>
        <v/>
      </c>
      <c r="BF45">
        <f>IF($BD45="","",IFERROR(VLOOKUP($BD45,DECODE!$A$3:$C$8,3,FALSE),"?"))</f>
        <v/>
      </c>
      <c r="BG45">
        <f>IF($BE45="","",IFERROR(VLOOKUP($BD45&amp;"-"&amp;$BE45,DECODE!$E$3:$F$21,2,FALSE),"?"))</f>
        <v/>
      </c>
      <c r="BH45">
        <f>IF($BC45="","",IFERROR(VALUE(RIGHT($BC45,3)),""))</f>
        <v/>
      </c>
      <c r="BI45">
        <f>IF($V45="","",IFERROR(IF(ISNUMBER($V45),$V45,DATEVALUE(TRIM($V45))),""))</f>
        <v/>
      </c>
      <c r="BJ45">
        <f>IF($BI45="","",IF(MONTH($BI45)&gt;=12,"Cold Winter",IF(MONTH($BI45)&gt;=10,"Post-Monsoon",IF(MONTH($BI45)&gt;=6,"Hot Humid",IF(MONTH($BI45)&gt;=3,"Hot Dry","Cold Winter")))))</f>
        <v/>
      </c>
      <c r="BK45">
        <f>IF($BD45="","",IFERROR(VLOOKUP($BD45,DECODE!$A$3:$C$8,2,FALSE),"?"))</f>
        <v/>
      </c>
      <c r="BL45">
        <f>IF($Q45="","",UPPER(TRIM(LEFT($Q45&amp;",",FIND(",",$Q45&amp;",")-1))))</f>
        <v/>
      </c>
      <c r="BM45">
        <f>IF($BL45="","",MID($BL45,4,FIND("~",SUBSTITUTE($BL45,"-","~",2))-4))</f>
        <v/>
      </c>
      <c r="BN45">
        <f>IF($BL45="","",MID($BL45,FIND("~",SUBSTITUTE($BL45,"-","~",2))+1,FIND("~",SUBSTITUTE($BL45,"-","~",3))-FIND("~",SUBSTITUTE($BL45,"-","~",2))-1))</f>
        <v/>
      </c>
      <c r="BO45">
        <f>IF($BM45="","",IFERROR(VLOOKUP($BM45,DECODE!$A$3:$C$8,3,FALSE),"?"))</f>
        <v/>
      </c>
      <c r="BP45">
        <f>IF($BN45="","",IFERROR(VLOOKUP($BM45&amp;"-"&amp;$BN45,DECODE!$E$3:$F$21,2,FALSE),"?"))</f>
        <v/>
      </c>
      <c r="BQ45">
        <f>IF($BL45="","",IFERROR(VALUE(RIGHT($BL45,3)),""))</f>
        <v/>
      </c>
      <c r="BR45">
        <f>IF($W45="","",IFERROR(IF(ISNUMBER($W45),$W45,DATEVALUE(TRIM($W45))),""))</f>
        <v/>
      </c>
      <c r="BS45">
        <f>IF($BR45="","",IF(MONTH($BR45)&gt;=12,"Cold Winter",IF(MONTH($BR45)&gt;=10,"Post-Monsoon",IF(MONTH($BR45)&gt;=6,"Hot Humid",IF(MONTH($BR45)&gt;=3,"Hot Dry","Cold Winter")))))</f>
        <v/>
      </c>
      <c r="BT45">
        <f>IF($BM45="","",IFERROR(VLOOKUP($BM45,DECODE!$A$3:$C$8,2,FALSE),"?"))</f>
        <v/>
      </c>
      <c r="BU45">
        <f>IF($R45="","",UPPER(TRIM(LEFT($R45&amp;",",FIND(",",$R45&amp;",")-1))))</f>
        <v/>
      </c>
      <c r="BV45">
        <f>IF($BU45="","",MID($BU45,4,FIND("~",SUBSTITUTE($BU45,"-","~",2))-4))</f>
        <v/>
      </c>
      <c r="BW45">
        <f>IF($BU45="","",MID($BU45,FIND("~",SUBSTITUTE($BU45,"-","~",2))+1,FIND("~",SUBSTITUTE($BU45,"-","~",3))-FIND("~",SUBSTITUTE($BU45,"-","~",2))-1))</f>
        <v/>
      </c>
      <c r="BX45">
        <f>IF($BV45="","",IFERROR(VLOOKUP($BV45,DECODE!$A$3:$C$8,3,FALSE),"?"))</f>
        <v/>
      </c>
      <c r="BY45">
        <f>IF($BW45="","",IFERROR(VLOOKUP($BV45&amp;"-"&amp;$BW45,DECODE!$E$3:$F$21,2,FALSE),"?"))</f>
        <v/>
      </c>
      <c r="BZ45">
        <f>IF($BU45="","",IFERROR(VALUE(RIGHT($BU45,3)),""))</f>
        <v/>
      </c>
      <c r="CA45">
        <f>IF($X45="","",IFERROR(IF(ISNUMBER($X45),$X45,DATEVALUE(TRIM($X45))),""))</f>
        <v/>
      </c>
      <c r="CB45">
        <f>IF($CA45="","",IF(MONTH($CA45)&gt;=12,"Cold Winter",IF(MONTH($CA45)&gt;=10,"Post-Monsoon",IF(MONTH($CA45)&gt;=6,"Hot Humid",IF(MONTH($CA45)&gt;=3,"Hot Dry","Cold Winter")))))</f>
        <v/>
      </c>
      <c r="CC45">
        <f>IF($BV45="","",IFERROR(VLOOKUP($BV45,DECODE!$A$3:$C$8,2,FALSE),"?"))</f>
        <v/>
      </c>
      <c r="CD45">
        <f>IF($S45="","",UPPER(TRIM(LEFT($S45&amp;",",FIND(",",$S45&amp;",")-1))))</f>
        <v/>
      </c>
      <c r="CE45">
        <f>IF($CD45="","",MID($CD45,4,FIND("~",SUBSTITUTE($CD45,"-","~",2))-4))</f>
        <v/>
      </c>
      <c r="CF45">
        <f>IF($CD45="","",MID($CD45,FIND("~",SUBSTITUTE($CD45,"-","~",2))+1,FIND("~",SUBSTITUTE($CD45,"-","~",3))-FIND("~",SUBSTITUTE($CD45,"-","~",2))-1))</f>
        <v/>
      </c>
      <c r="CG45">
        <f>IF($CE45="","",IFERROR(VLOOKUP($CE45,DECODE!$A$3:$C$8,3,FALSE),"?"))</f>
        <v/>
      </c>
      <c r="CH45">
        <f>IF($CF45="","",IFERROR(VLOOKUP($CE45&amp;"-"&amp;$CF45,DECODE!$E$3:$F$21,2,FALSE),"?"))</f>
        <v/>
      </c>
      <c r="CI45">
        <f>IF($CD45="","",IFERROR(VALUE(RIGHT($CD45,3)),""))</f>
        <v/>
      </c>
      <c r="CJ45">
        <f>IF($Y45="","",IFERROR(IF(ISNUMBER($Y45),$Y45,DATEVALUE(TRIM($Y45))),""))</f>
        <v/>
      </c>
      <c r="CK45">
        <f>IF($CJ45="","",IF(MONTH($CJ45)&gt;=12,"Cold Winter",IF(MONTH($CJ45)&gt;=10,"Post-Monsoon",IF(MONTH($CJ45)&gt;=6,"Hot Humid",IF(MONTH($CJ45)&gt;=3,"Hot Dry","Cold Winter")))))</f>
        <v/>
      </c>
      <c r="CL45">
        <f>IF($CE45="","",IFERROR(VLOOKUP($CE45,DECODE!$A$3:$C$8,2,FALSE),"?"))</f>
        <v/>
      </c>
      <c r="CM45">
        <f>IF($AN45="","",AN45)</f>
        <v/>
      </c>
      <c r="CN45">
        <f>IF($AO45="","",AO45)</f>
        <v/>
      </c>
      <c r="CO45">
        <f>IF($AP45="","",AP45)</f>
        <v/>
      </c>
      <c r="CP45">
        <f>IF($CM45="","",IF($CM45="Aloe Vera Gel","Aloe Vera Gel "&amp;$CO45&amp;"g",CN45&amp;" "&amp;$CO45&amp;"g"))</f>
        <v/>
      </c>
      <c r="CQ45">
        <f>IF($AT45="",0,1)</f>
        <v/>
      </c>
      <c r="CR45">
        <f>IF($CQ45=0,"",AW45)</f>
        <v/>
      </c>
      <c r="CS45">
        <f>IF($CQ45=0,"",AX45)</f>
        <v/>
      </c>
      <c r="CT45">
        <f>IF($CQ45=0,"",AY45)</f>
        <v/>
      </c>
      <c r="CU45">
        <f>IF($CR45="","",IF($CR45="Aloe Vera Gel","Aloe Vera Gel "&amp;$CT45&amp;"g",CS45&amp;" "&amp;$CT45&amp;"g"))</f>
        <v/>
      </c>
      <c r="CV45">
        <f>IF($CQ45=0,"",IF($CP45=$CU45,"Repeat Exact",IF($CT45&gt;$CO45,"Upsized",IF($CT45&lt;$CO45,"Downsized",IF($CM45&lt;&gt;$CR45,"Lateral","Same Size Diff Variant")))))</f>
        <v/>
      </c>
      <c r="CW45">
        <f>IF($CQ45=0,"",AZ45-AQ45)</f>
        <v/>
      </c>
      <c r="CX45">
        <f>IF($CQ45=0,0,IF(CS45=CN45,1,0))</f>
        <v/>
      </c>
      <c r="CY45">
        <f>IF($CQ45=0,0,IF(CR45=CM45,1,0))</f>
        <v/>
      </c>
      <c r="CZ45">
        <f>IF($A45="","",IF(AND(IF(DASHBOARD!$C$4="All",TRUE,$CM45=DASHBOARD!$C$4),IF(DASHBOARD!$C$6="All",TRUE,$CP45=DASHBOARD!$C$6),IF(DASHBOARD!$C$8="All",TRUE,$AF45&gt;=DASHBOARD!$C$8),IF(DASHBOARD!$C$10="All",TRUE,$AF45&lt;=DASHBOARD!$C$10),IF(DASHBOARD!$C$12="All",TRUE,$AH45=VALUE(DASHBOARD!$C$12)),IF(DASHBOARD!$C$14="All",TRUE,$AJ45=DASHBOARD!$C$14)),1,0))</f>
        <v/>
      </c>
    </row>
    <row r="46">
      <c r="A46" t="n">
        <v>40930</v>
      </c>
      <c r="B46" t="inlineStr">
        <is>
          <t>Active Gel</t>
        </is>
      </c>
      <c r="H46" t="inlineStr">
        <is>
          <t>Active Orange Kiwi Vit-C Gel</t>
        </is>
      </c>
      <c r="N46" t="inlineStr">
        <is>
          <t>FC-AC-OK-050</t>
        </is>
      </c>
      <c r="T46" t="inlineStr">
        <is>
          <t>Jun 12, 2024</t>
        </is>
      </c>
      <c r="AE46" t="inlineStr">
        <is>
          <t>New Delhi</t>
        </is>
      </c>
      <c r="AF46" t="inlineStr">
        <is>
          <t>2024-06</t>
        </is>
      </c>
      <c r="AG46" t="n">
        <v>6</v>
      </c>
      <c r="AH46" t="n">
        <v>1</v>
      </c>
      <c r="AI46" t="n">
        <v>0</v>
      </c>
      <c r="AJ46">
        <f>IF($AE46="","",IFERROR(VLOOKUP(TRIM($AE46),DECODE!$H$3:$I$60,2,FALSE),"Rest of India"))</f>
        <v/>
      </c>
      <c r="AK46">
        <f>IF($N46="","",UPPER(TRIM(LEFT($N46&amp;",",FIND(",",$N46&amp;",")-1))))</f>
        <v/>
      </c>
      <c r="AL46">
        <f>IF($AK46="","",MID($AK46,4,FIND("~",SUBSTITUTE($AK46,"-","~",2))-4))</f>
        <v/>
      </c>
      <c r="AM46">
        <f>IF($AK46="","",MID($AK46,FIND("~",SUBSTITUTE($AK46,"-","~",2))+1,FIND("~",SUBSTITUTE($AK46,"-","~",3))-FIND("~",SUBSTITUTE($AK46,"-","~",2))-1))</f>
        <v/>
      </c>
      <c r="AN46">
        <f>IF($AL46="","",IFERROR(VLOOKUP($AL46,DECODE!$A$3:$C$8,3,FALSE),"?"))</f>
        <v/>
      </c>
      <c r="AO46">
        <f>IF($AM46="","",IFERROR(VLOOKUP($AL46&amp;"-"&amp;$AM46,DECODE!$E$3:$F$21,2,FALSE),"?"))</f>
        <v/>
      </c>
      <c r="AP46">
        <f>IF($AK46="","",IFERROR(VALUE(RIGHT($AK46,3)),""))</f>
        <v/>
      </c>
      <c r="AQ46">
        <f>IF($T46="","",IFERROR(IF(ISNUMBER($T46),$T46,DATEVALUE(TRIM($T46))),""))</f>
        <v/>
      </c>
      <c r="AR46">
        <f>IF($AQ46="","",IF(MONTH($AQ46)&gt;=12,"Cold Winter",IF(MONTH($AQ46)&gt;=10,"Post-Monsoon",IF(MONTH($AQ46)&gt;=6,"Hot Humid",IF(MONTH($AQ46)&gt;=3,"Hot Dry","Cold Winter")))))</f>
        <v/>
      </c>
      <c r="AS46">
        <f>IF($AL46="","",IFERROR(VLOOKUP($AL46,DECODE!$A$3:$C$8,2,FALSE),"?"))</f>
        <v/>
      </c>
      <c r="AT46">
        <f>IF($O46="","",UPPER(TRIM(LEFT($O46&amp;",",FIND(",",$O46&amp;",")-1))))</f>
        <v/>
      </c>
      <c r="AU46">
        <f>IF($AT46="","",MID($AT46,4,FIND("~",SUBSTITUTE($AT46,"-","~",2))-4))</f>
        <v/>
      </c>
      <c r="AV46">
        <f>IF($AT46="","",MID($AT46,FIND("~",SUBSTITUTE($AT46,"-","~",2))+1,FIND("~",SUBSTITUTE($AT46,"-","~",3))-FIND("~",SUBSTITUTE($AT46,"-","~",2))-1))</f>
        <v/>
      </c>
      <c r="AW46">
        <f>IF($AU46="","",IFERROR(VLOOKUP($AU46,DECODE!$A$3:$C$8,3,FALSE),"?"))</f>
        <v/>
      </c>
      <c r="AX46">
        <f>IF($AV46="","",IFERROR(VLOOKUP($AU46&amp;"-"&amp;$AV46,DECODE!$E$3:$F$21,2,FALSE),"?"))</f>
        <v/>
      </c>
      <c r="AY46">
        <f>IF($AT46="","",IFERROR(VALUE(RIGHT($AT46,3)),""))</f>
        <v/>
      </c>
      <c r="AZ46">
        <f>IF($U46="","",IFERROR(IF(ISNUMBER($U46),$U46,DATEVALUE(TRIM($U46))),""))</f>
        <v/>
      </c>
      <c r="BA46">
        <f>IF($AZ46="","",IF(MONTH($AZ46)&gt;=12,"Cold Winter",IF(MONTH($AZ46)&gt;=10,"Post-Monsoon",IF(MONTH($AZ46)&gt;=6,"Hot Humid",IF(MONTH($AZ46)&gt;=3,"Hot Dry","Cold Winter")))))</f>
        <v/>
      </c>
      <c r="BB46">
        <f>IF($AU46="","",IFERROR(VLOOKUP($AU46,DECODE!$A$3:$C$8,2,FALSE),"?"))</f>
        <v/>
      </c>
      <c r="BC46">
        <f>IF($P46="","",UPPER(TRIM(LEFT($P46&amp;",",FIND(",",$P46&amp;",")-1))))</f>
        <v/>
      </c>
      <c r="BD46">
        <f>IF($BC46="","",MID($BC46,4,FIND("~",SUBSTITUTE($BC46,"-","~",2))-4))</f>
        <v/>
      </c>
      <c r="BE46">
        <f>IF($BC46="","",MID($BC46,FIND("~",SUBSTITUTE($BC46,"-","~",2))+1,FIND("~",SUBSTITUTE($BC46,"-","~",3))-FIND("~",SUBSTITUTE($BC46,"-","~",2))-1))</f>
        <v/>
      </c>
      <c r="BF46">
        <f>IF($BD46="","",IFERROR(VLOOKUP($BD46,DECODE!$A$3:$C$8,3,FALSE),"?"))</f>
        <v/>
      </c>
      <c r="BG46">
        <f>IF($BE46="","",IFERROR(VLOOKUP($BD46&amp;"-"&amp;$BE46,DECODE!$E$3:$F$21,2,FALSE),"?"))</f>
        <v/>
      </c>
      <c r="BH46">
        <f>IF($BC46="","",IFERROR(VALUE(RIGHT($BC46,3)),""))</f>
        <v/>
      </c>
      <c r="BI46">
        <f>IF($V46="","",IFERROR(IF(ISNUMBER($V46),$V46,DATEVALUE(TRIM($V46))),""))</f>
        <v/>
      </c>
      <c r="BJ46">
        <f>IF($BI46="","",IF(MONTH($BI46)&gt;=12,"Cold Winter",IF(MONTH($BI46)&gt;=10,"Post-Monsoon",IF(MONTH($BI46)&gt;=6,"Hot Humid",IF(MONTH($BI46)&gt;=3,"Hot Dry","Cold Winter")))))</f>
        <v/>
      </c>
      <c r="BK46">
        <f>IF($BD46="","",IFERROR(VLOOKUP($BD46,DECODE!$A$3:$C$8,2,FALSE),"?"))</f>
        <v/>
      </c>
      <c r="BL46">
        <f>IF($Q46="","",UPPER(TRIM(LEFT($Q46&amp;",",FIND(",",$Q46&amp;",")-1))))</f>
        <v/>
      </c>
      <c r="BM46">
        <f>IF($BL46="","",MID($BL46,4,FIND("~",SUBSTITUTE($BL46,"-","~",2))-4))</f>
        <v/>
      </c>
      <c r="BN46">
        <f>IF($BL46="","",MID($BL46,FIND("~",SUBSTITUTE($BL46,"-","~",2))+1,FIND("~",SUBSTITUTE($BL46,"-","~",3))-FIND("~",SUBSTITUTE($BL46,"-","~",2))-1))</f>
        <v/>
      </c>
      <c r="BO46">
        <f>IF($BM46="","",IFERROR(VLOOKUP($BM46,DECODE!$A$3:$C$8,3,FALSE),"?"))</f>
        <v/>
      </c>
      <c r="BP46">
        <f>IF($BN46="","",IFERROR(VLOOKUP($BM46&amp;"-"&amp;$BN46,DECODE!$E$3:$F$21,2,FALSE),"?"))</f>
        <v/>
      </c>
      <c r="BQ46">
        <f>IF($BL46="","",IFERROR(VALUE(RIGHT($BL46,3)),""))</f>
        <v/>
      </c>
      <c r="BR46">
        <f>IF($W46="","",IFERROR(IF(ISNUMBER($W46),$W46,DATEVALUE(TRIM($W46))),""))</f>
        <v/>
      </c>
      <c r="BS46">
        <f>IF($BR46="","",IF(MONTH($BR46)&gt;=12,"Cold Winter",IF(MONTH($BR46)&gt;=10,"Post-Monsoon",IF(MONTH($BR46)&gt;=6,"Hot Humid",IF(MONTH($BR46)&gt;=3,"Hot Dry","Cold Winter")))))</f>
        <v/>
      </c>
      <c r="BT46">
        <f>IF($BM46="","",IFERROR(VLOOKUP($BM46,DECODE!$A$3:$C$8,2,FALSE),"?"))</f>
        <v/>
      </c>
      <c r="BU46">
        <f>IF($R46="","",UPPER(TRIM(LEFT($R46&amp;",",FIND(",",$R46&amp;",")-1))))</f>
        <v/>
      </c>
      <c r="BV46">
        <f>IF($BU46="","",MID($BU46,4,FIND("~",SUBSTITUTE($BU46,"-","~",2))-4))</f>
        <v/>
      </c>
      <c r="BW46">
        <f>IF($BU46="","",MID($BU46,FIND("~",SUBSTITUTE($BU46,"-","~",2))+1,FIND("~",SUBSTITUTE($BU46,"-","~",3))-FIND("~",SUBSTITUTE($BU46,"-","~",2))-1))</f>
        <v/>
      </c>
      <c r="BX46">
        <f>IF($BV46="","",IFERROR(VLOOKUP($BV46,DECODE!$A$3:$C$8,3,FALSE),"?"))</f>
        <v/>
      </c>
      <c r="BY46">
        <f>IF($BW46="","",IFERROR(VLOOKUP($BV46&amp;"-"&amp;$BW46,DECODE!$E$3:$F$21,2,FALSE),"?"))</f>
        <v/>
      </c>
      <c r="BZ46">
        <f>IF($BU46="","",IFERROR(VALUE(RIGHT($BU46,3)),""))</f>
        <v/>
      </c>
      <c r="CA46">
        <f>IF($X46="","",IFERROR(IF(ISNUMBER($X46),$X46,DATEVALUE(TRIM($X46))),""))</f>
        <v/>
      </c>
      <c r="CB46">
        <f>IF($CA46="","",IF(MONTH($CA46)&gt;=12,"Cold Winter",IF(MONTH($CA46)&gt;=10,"Post-Monsoon",IF(MONTH($CA46)&gt;=6,"Hot Humid",IF(MONTH($CA46)&gt;=3,"Hot Dry","Cold Winter")))))</f>
        <v/>
      </c>
      <c r="CC46">
        <f>IF($BV46="","",IFERROR(VLOOKUP($BV46,DECODE!$A$3:$C$8,2,FALSE),"?"))</f>
        <v/>
      </c>
      <c r="CD46">
        <f>IF($S46="","",UPPER(TRIM(LEFT($S46&amp;",",FIND(",",$S46&amp;",")-1))))</f>
        <v/>
      </c>
      <c r="CE46">
        <f>IF($CD46="","",MID($CD46,4,FIND("~",SUBSTITUTE($CD46,"-","~",2))-4))</f>
        <v/>
      </c>
      <c r="CF46">
        <f>IF($CD46="","",MID($CD46,FIND("~",SUBSTITUTE($CD46,"-","~",2))+1,FIND("~",SUBSTITUTE($CD46,"-","~",3))-FIND("~",SUBSTITUTE($CD46,"-","~",2))-1))</f>
        <v/>
      </c>
      <c r="CG46">
        <f>IF($CE46="","",IFERROR(VLOOKUP($CE46,DECODE!$A$3:$C$8,3,FALSE),"?"))</f>
        <v/>
      </c>
      <c r="CH46">
        <f>IF($CF46="","",IFERROR(VLOOKUP($CE46&amp;"-"&amp;$CF46,DECODE!$E$3:$F$21,2,FALSE),"?"))</f>
        <v/>
      </c>
      <c r="CI46">
        <f>IF($CD46="","",IFERROR(VALUE(RIGHT($CD46,3)),""))</f>
        <v/>
      </c>
      <c r="CJ46">
        <f>IF($Y46="","",IFERROR(IF(ISNUMBER($Y46),$Y46,DATEVALUE(TRIM($Y46))),""))</f>
        <v/>
      </c>
      <c r="CK46">
        <f>IF($CJ46="","",IF(MONTH($CJ46)&gt;=12,"Cold Winter",IF(MONTH($CJ46)&gt;=10,"Post-Monsoon",IF(MONTH($CJ46)&gt;=6,"Hot Humid",IF(MONTH($CJ46)&gt;=3,"Hot Dry","Cold Winter")))))</f>
        <v/>
      </c>
      <c r="CL46">
        <f>IF($CE46="","",IFERROR(VLOOKUP($CE46,DECODE!$A$3:$C$8,2,FALSE),"?"))</f>
        <v/>
      </c>
      <c r="CM46">
        <f>IF($AN46="","",AN46)</f>
        <v/>
      </c>
      <c r="CN46">
        <f>IF($AO46="","",AO46)</f>
        <v/>
      </c>
      <c r="CO46">
        <f>IF($AP46="","",AP46)</f>
        <v/>
      </c>
      <c r="CP46">
        <f>IF($CM46="","",IF($CM46="Aloe Vera Gel","Aloe Vera Gel "&amp;$CO46&amp;"g",CN46&amp;" "&amp;$CO46&amp;"g"))</f>
        <v/>
      </c>
      <c r="CQ46">
        <f>IF($AT46="",0,1)</f>
        <v/>
      </c>
      <c r="CR46">
        <f>IF($CQ46=0,"",AW46)</f>
        <v/>
      </c>
      <c r="CS46">
        <f>IF($CQ46=0,"",AX46)</f>
        <v/>
      </c>
      <c r="CT46">
        <f>IF($CQ46=0,"",AY46)</f>
        <v/>
      </c>
      <c r="CU46">
        <f>IF($CR46="","",IF($CR46="Aloe Vera Gel","Aloe Vera Gel "&amp;$CT46&amp;"g",CS46&amp;" "&amp;$CT46&amp;"g"))</f>
        <v/>
      </c>
      <c r="CV46">
        <f>IF($CQ46=0,"",IF($CP46=$CU46,"Repeat Exact",IF($CT46&gt;$CO46,"Upsized",IF($CT46&lt;$CO46,"Downsized",IF($CM46&lt;&gt;$CR46,"Lateral","Same Size Diff Variant")))))</f>
        <v/>
      </c>
      <c r="CW46">
        <f>IF($CQ46=0,"",AZ46-AQ46)</f>
        <v/>
      </c>
      <c r="CX46">
        <f>IF($CQ46=0,0,IF(CS46=CN46,1,0))</f>
        <v/>
      </c>
      <c r="CY46">
        <f>IF($CQ46=0,0,IF(CR46=CM46,1,0))</f>
        <v/>
      </c>
      <c r="CZ46">
        <f>IF($A46="","",IF(AND(IF(DASHBOARD!$C$4="All",TRUE,$CM46=DASHBOARD!$C$4),IF(DASHBOARD!$C$6="All",TRUE,$CP46=DASHBOARD!$C$6),IF(DASHBOARD!$C$8="All",TRUE,$AF46&gt;=DASHBOARD!$C$8),IF(DASHBOARD!$C$10="All",TRUE,$AF46&lt;=DASHBOARD!$C$10),IF(DASHBOARD!$C$12="All",TRUE,$AH46=VALUE(DASHBOARD!$C$12)),IF(DASHBOARD!$C$14="All",TRUE,$AJ46=DASHBOARD!$C$14)),1,0))</f>
        <v/>
      </c>
    </row>
    <row r="47">
      <c r="A47" t="n">
        <v>41008</v>
      </c>
      <c r="B47" t="inlineStr">
        <is>
          <t>Face Malai</t>
        </is>
      </c>
      <c r="H47" t="inlineStr">
        <is>
          <t>Flax Walnut (Cold) 35+ Face Malai</t>
        </is>
      </c>
      <c r="N47" t="inlineStr">
        <is>
          <t>FC-CWDM-FW-030</t>
        </is>
      </c>
      <c r="T47" t="inlineStr">
        <is>
          <t>Dec 21, 2024</t>
        </is>
      </c>
      <c r="AE47" t="inlineStr">
        <is>
          <t>Gurgaon</t>
        </is>
      </c>
      <c r="AF47" t="inlineStr">
        <is>
          <t>2024-12</t>
        </is>
      </c>
      <c r="AG47" t="n">
        <v>12</v>
      </c>
      <c r="AH47" t="n">
        <v>1</v>
      </c>
      <c r="AI47" t="n">
        <v>0</v>
      </c>
      <c r="AJ47">
        <f>IF($AE47="","",IFERROR(VLOOKUP(TRIM($AE47),DECODE!$H$3:$I$60,2,FALSE),"Rest of India"))</f>
        <v/>
      </c>
      <c r="AK47">
        <f>IF($N47="","",UPPER(TRIM(LEFT($N47&amp;",",FIND(",",$N47&amp;",")-1))))</f>
        <v/>
      </c>
      <c r="AL47">
        <f>IF($AK47="","",MID($AK47,4,FIND("~",SUBSTITUTE($AK47,"-","~",2))-4))</f>
        <v/>
      </c>
      <c r="AM47">
        <f>IF($AK47="","",MID($AK47,FIND("~",SUBSTITUTE($AK47,"-","~",2))+1,FIND("~",SUBSTITUTE($AK47,"-","~",3))-FIND("~",SUBSTITUTE($AK47,"-","~",2))-1))</f>
        <v/>
      </c>
      <c r="AN47">
        <f>IF($AL47="","",IFERROR(VLOOKUP($AL47,DECODE!$A$3:$C$8,3,FALSE),"?"))</f>
        <v/>
      </c>
      <c r="AO47">
        <f>IF($AM47="","",IFERROR(VLOOKUP($AL47&amp;"-"&amp;$AM47,DECODE!$E$3:$F$21,2,FALSE),"?"))</f>
        <v/>
      </c>
      <c r="AP47">
        <f>IF($AK47="","",IFERROR(VALUE(RIGHT($AK47,3)),""))</f>
        <v/>
      </c>
      <c r="AQ47">
        <f>IF($T47="","",IFERROR(IF(ISNUMBER($T47),$T47,DATEVALUE(TRIM($T47))),""))</f>
        <v/>
      </c>
      <c r="AR47">
        <f>IF($AQ47="","",IF(MONTH($AQ47)&gt;=12,"Cold Winter",IF(MONTH($AQ47)&gt;=10,"Post-Monsoon",IF(MONTH($AQ47)&gt;=6,"Hot Humid",IF(MONTH($AQ47)&gt;=3,"Hot Dry","Cold Winter")))))</f>
        <v/>
      </c>
      <c r="AS47">
        <f>IF($AL47="","",IFERROR(VLOOKUP($AL47,DECODE!$A$3:$C$8,2,FALSE),"?"))</f>
        <v/>
      </c>
      <c r="AT47">
        <f>IF($O47="","",UPPER(TRIM(LEFT($O47&amp;",",FIND(",",$O47&amp;",")-1))))</f>
        <v/>
      </c>
      <c r="AU47">
        <f>IF($AT47="","",MID($AT47,4,FIND("~",SUBSTITUTE($AT47,"-","~",2))-4))</f>
        <v/>
      </c>
      <c r="AV47">
        <f>IF($AT47="","",MID($AT47,FIND("~",SUBSTITUTE($AT47,"-","~",2))+1,FIND("~",SUBSTITUTE($AT47,"-","~",3))-FIND("~",SUBSTITUTE($AT47,"-","~",2))-1))</f>
        <v/>
      </c>
      <c r="AW47">
        <f>IF($AU47="","",IFERROR(VLOOKUP($AU47,DECODE!$A$3:$C$8,3,FALSE),"?"))</f>
        <v/>
      </c>
      <c r="AX47">
        <f>IF($AV47="","",IFERROR(VLOOKUP($AU47&amp;"-"&amp;$AV47,DECODE!$E$3:$F$21,2,FALSE),"?"))</f>
        <v/>
      </c>
      <c r="AY47">
        <f>IF($AT47="","",IFERROR(VALUE(RIGHT($AT47,3)),""))</f>
        <v/>
      </c>
      <c r="AZ47">
        <f>IF($U47="","",IFERROR(IF(ISNUMBER($U47),$U47,DATEVALUE(TRIM($U47))),""))</f>
        <v/>
      </c>
      <c r="BA47">
        <f>IF($AZ47="","",IF(MONTH($AZ47)&gt;=12,"Cold Winter",IF(MONTH($AZ47)&gt;=10,"Post-Monsoon",IF(MONTH($AZ47)&gt;=6,"Hot Humid",IF(MONTH($AZ47)&gt;=3,"Hot Dry","Cold Winter")))))</f>
        <v/>
      </c>
      <c r="BB47">
        <f>IF($AU47="","",IFERROR(VLOOKUP($AU47,DECODE!$A$3:$C$8,2,FALSE),"?"))</f>
        <v/>
      </c>
      <c r="BC47">
        <f>IF($P47="","",UPPER(TRIM(LEFT($P47&amp;",",FIND(",",$P47&amp;",")-1))))</f>
        <v/>
      </c>
      <c r="BD47">
        <f>IF($BC47="","",MID($BC47,4,FIND("~",SUBSTITUTE($BC47,"-","~",2))-4))</f>
        <v/>
      </c>
      <c r="BE47">
        <f>IF($BC47="","",MID($BC47,FIND("~",SUBSTITUTE($BC47,"-","~",2))+1,FIND("~",SUBSTITUTE($BC47,"-","~",3))-FIND("~",SUBSTITUTE($BC47,"-","~",2))-1))</f>
        <v/>
      </c>
      <c r="BF47">
        <f>IF($BD47="","",IFERROR(VLOOKUP($BD47,DECODE!$A$3:$C$8,3,FALSE),"?"))</f>
        <v/>
      </c>
      <c r="BG47">
        <f>IF($BE47="","",IFERROR(VLOOKUP($BD47&amp;"-"&amp;$BE47,DECODE!$E$3:$F$21,2,FALSE),"?"))</f>
        <v/>
      </c>
      <c r="BH47">
        <f>IF($BC47="","",IFERROR(VALUE(RIGHT($BC47,3)),""))</f>
        <v/>
      </c>
      <c r="BI47">
        <f>IF($V47="","",IFERROR(IF(ISNUMBER($V47),$V47,DATEVALUE(TRIM($V47))),""))</f>
        <v/>
      </c>
      <c r="BJ47">
        <f>IF($BI47="","",IF(MONTH($BI47)&gt;=12,"Cold Winter",IF(MONTH($BI47)&gt;=10,"Post-Monsoon",IF(MONTH($BI47)&gt;=6,"Hot Humid",IF(MONTH($BI47)&gt;=3,"Hot Dry","Cold Winter")))))</f>
        <v/>
      </c>
      <c r="BK47">
        <f>IF($BD47="","",IFERROR(VLOOKUP($BD47,DECODE!$A$3:$C$8,2,FALSE),"?"))</f>
        <v/>
      </c>
      <c r="BL47">
        <f>IF($Q47="","",UPPER(TRIM(LEFT($Q47&amp;",",FIND(",",$Q47&amp;",")-1))))</f>
        <v/>
      </c>
      <c r="BM47">
        <f>IF($BL47="","",MID($BL47,4,FIND("~",SUBSTITUTE($BL47,"-","~",2))-4))</f>
        <v/>
      </c>
      <c r="BN47">
        <f>IF($BL47="","",MID($BL47,FIND("~",SUBSTITUTE($BL47,"-","~",2))+1,FIND("~",SUBSTITUTE($BL47,"-","~",3))-FIND("~",SUBSTITUTE($BL47,"-","~",2))-1))</f>
        <v/>
      </c>
      <c r="BO47">
        <f>IF($BM47="","",IFERROR(VLOOKUP($BM47,DECODE!$A$3:$C$8,3,FALSE),"?"))</f>
        <v/>
      </c>
      <c r="BP47">
        <f>IF($BN47="","",IFERROR(VLOOKUP($BM47&amp;"-"&amp;$BN47,DECODE!$E$3:$F$21,2,FALSE),"?"))</f>
        <v/>
      </c>
      <c r="BQ47">
        <f>IF($BL47="","",IFERROR(VALUE(RIGHT($BL47,3)),""))</f>
        <v/>
      </c>
      <c r="BR47">
        <f>IF($W47="","",IFERROR(IF(ISNUMBER($W47),$W47,DATEVALUE(TRIM($W47))),""))</f>
        <v/>
      </c>
      <c r="BS47">
        <f>IF($BR47="","",IF(MONTH($BR47)&gt;=12,"Cold Winter",IF(MONTH($BR47)&gt;=10,"Post-Monsoon",IF(MONTH($BR47)&gt;=6,"Hot Humid",IF(MONTH($BR47)&gt;=3,"Hot Dry","Cold Winter")))))</f>
        <v/>
      </c>
      <c r="BT47">
        <f>IF($BM47="","",IFERROR(VLOOKUP($BM47,DECODE!$A$3:$C$8,2,FALSE),"?"))</f>
        <v/>
      </c>
      <c r="BU47">
        <f>IF($R47="","",UPPER(TRIM(LEFT($R47&amp;",",FIND(",",$R47&amp;",")-1))))</f>
        <v/>
      </c>
      <c r="BV47">
        <f>IF($BU47="","",MID($BU47,4,FIND("~",SUBSTITUTE($BU47,"-","~",2))-4))</f>
        <v/>
      </c>
      <c r="BW47">
        <f>IF($BU47="","",MID($BU47,FIND("~",SUBSTITUTE($BU47,"-","~",2))+1,FIND("~",SUBSTITUTE($BU47,"-","~",3))-FIND("~",SUBSTITUTE($BU47,"-","~",2))-1))</f>
        <v/>
      </c>
      <c r="BX47">
        <f>IF($BV47="","",IFERROR(VLOOKUP($BV47,DECODE!$A$3:$C$8,3,FALSE),"?"))</f>
        <v/>
      </c>
      <c r="BY47">
        <f>IF($BW47="","",IFERROR(VLOOKUP($BV47&amp;"-"&amp;$BW47,DECODE!$E$3:$F$21,2,FALSE),"?"))</f>
        <v/>
      </c>
      <c r="BZ47">
        <f>IF($BU47="","",IFERROR(VALUE(RIGHT($BU47,3)),""))</f>
        <v/>
      </c>
      <c r="CA47">
        <f>IF($X47="","",IFERROR(IF(ISNUMBER($X47),$X47,DATEVALUE(TRIM($X47))),""))</f>
        <v/>
      </c>
      <c r="CB47">
        <f>IF($CA47="","",IF(MONTH($CA47)&gt;=12,"Cold Winter",IF(MONTH($CA47)&gt;=10,"Post-Monsoon",IF(MONTH($CA47)&gt;=6,"Hot Humid",IF(MONTH($CA47)&gt;=3,"Hot Dry","Cold Winter")))))</f>
        <v/>
      </c>
      <c r="CC47">
        <f>IF($BV47="","",IFERROR(VLOOKUP($BV47,DECODE!$A$3:$C$8,2,FALSE),"?"))</f>
        <v/>
      </c>
      <c r="CD47">
        <f>IF($S47="","",UPPER(TRIM(LEFT($S47&amp;",",FIND(",",$S47&amp;",")-1))))</f>
        <v/>
      </c>
      <c r="CE47">
        <f>IF($CD47="","",MID($CD47,4,FIND("~",SUBSTITUTE($CD47,"-","~",2))-4))</f>
        <v/>
      </c>
      <c r="CF47">
        <f>IF($CD47="","",MID($CD47,FIND("~",SUBSTITUTE($CD47,"-","~",2))+1,FIND("~",SUBSTITUTE($CD47,"-","~",3))-FIND("~",SUBSTITUTE($CD47,"-","~",2))-1))</f>
        <v/>
      </c>
      <c r="CG47">
        <f>IF($CE47="","",IFERROR(VLOOKUP($CE47,DECODE!$A$3:$C$8,3,FALSE),"?"))</f>
        <v/>
      </c>
      <c r="CH47">
        <f>IF($CF47="","",IFERROR(VLOOKUP($CE47&amp;"-"&amp;$CF47,DECODE!$E$3:$F$21,2,FALSE),"?"))</f>
        <v/>
      </c>
      <c r="CI47">
        <f>IF($CD47="","",IFERROR(VALUE(RIGHT($CD47,3)),""))</f>
        <v/>
      </c>
      <c r="CJ47">
        <f>IF($Y47="","",IFERROR(IF(ISNUMBER($Y47),$Y47,DATEVALUE(TRIM($Y47))),""))</f>
        <v/>
      </c>
      <c r="CK47">
        <f>IF($CJ47="","",IF(MONTH($CJ47)&gt;=12,"Cold Winter",IF(MONTH($CJ47)&gt;=10,"Post-Monsoon",IF(MONTH($CJ47)&gt;=6,"Hot Humid",IF(MONTH($CJ47)&gt;=3,"Hot Dry","Cold Winter")))))</f>
        <v/>
      </c>
      <c r="CL47">
        <f>IF($CE47="","",IFERROR(VLOOKUP($CE47,DECODE!$A$3:$C$8,2,FALSE),"?"))</f>
        <v/>
      </c>
      <c r="CM47">
        <f>IF($AN47="","",AN47)</f>
        <v/>
      </c>
      <c r="CN47">
        <f>IF($AO47="","",AO47)</f>
        <v/>
      </c>
      <c r="CO47">
        <f>IF($AP47="","",AP47)</f>
        <v/>
      </c>
      <c r="CP47">
        <f>IF($CM47="","",IF($CM47="Aloe Vera Gel","Aloe Vera Gel "&amp;$CO47&amp;"g",CN47&amp;" "&amp;$CO47&amp;"g"))</f>
        <v/>
      </c>
      <c r="CQ47">
        <f>IF($AT47="",0,1)</f>
        <v/>
      </c>
      <c r="CR47">
        <f>IF($CQ47=0,"",AW47)</f>
        <v/>
      </c>
      <c r="CS47">
        <f>IF($CQ47=0,"",AX47)</f>
        <v/>
      </c>
      <c r="CT47">
        <f>IF($CQ47=0,"",AY47)</f>
        <v/>
      </c>
      <c r="CU47">
        <f>IF($CR47="","",IF($CR47="Aloe Vera Gel","Aloe Vera Gel "&amp;$CT47&amp;"g",CS47&amp;" "&amp;$CT47&amp;"g"))</f>
        <v/>
      </c>
      <c r="CV47">
        <f>IF($CQ47=0,"",IF($CP47=$CU47,"Repeat Exact",IF($CT47&gt;$CO47,"Upsized",IF($CT47&lt;$CO47,"Downsized",IF($CM47&lt;&gt;$CR47,"Lateral","Same Size Diff Variant")))))</f>
        <v/>
      </c>
      <c r="CW47">
        <f>IF($CQ47=0,"",AZ47-AQ47)</f>
        <v/>
      </c>
      <c r="CX47">
        <f>IF($CQ47=0,0,IF(CS47=CN47,1,0))</f>
        <v/>
      </c>
      <c r="CY47">
        <f>IF($CQ47=0,0,IF(CR47=CM47,1,0))</f>
        <v/>
      </c>
      <c r="CZ47">
        <f>IF($A47="","",IF(AND(IF(DASHBOARD!$C$4="All",TRUE,$CM47=DASHBOARD!$C$4),IF(DASHBOARD!$C$6="All",TRUE,$CP47=DASHBOARD!$C$6),IF(DASHBOARD!$C$8="All",TRUE,$AF47&gt;=DASHBOARD!$C$8),IF(DASHBOARD!$C$10="All",TRUE,$AF47&lt;=DASHBOARD!$C$10),IF(DASHBOARD!$C$12="All",TRUE,$AH47=VALUE(DASHBOARD!$C$12)),IF(DASHBOARD!$C$14="All",TRUE,$AJ47=DASHBOARD!$C$14)),1,0))</f>
        <v/>
      </c>
    </row>
    <row r="48">
      <c r="A48" t="n">
        <v>41050</v>
      </c>
      <c r="B48" t="inlineStr">
        <is>
          <t>Aloe Vera Gel</t>
        </is>
      </c>
      <c r="H48" t="inlineStr">
        <is>
          <t>Aloe Vera Gel - 80 gms</t>
        </is>
      </c>
      <c r="N48" t="inlineStr">
        <is>
          <t>FC-HG-PA-080</t>
        </is>
      </c>
      <c r="T48" t="inlineStr">
        <is>
          <t>Jan 19, 2026</t>
        </is>
      </c>
      <c r="AE48" t="inlineStr">
        <is>
          <t>New Delhi</t>
        </is>
      </c>
      <c r="AF48" t="inlineStr">
        <is>
          <t>2026-01</t>
        </is>
      </c>
      <c r="AG48" t="n">
        <v>1</v>
      </c>
      <c r="AH48" t="n">
        <v>1</v>
      </c>
      <c r="AI48" t="n">
        <v>0</v>
      </c>
      <c r="AJ48">
        <f>IF($AE48="","",IFERROR(VLOOKUP(TRIM($AE48),DECODE!$H$3:$I$60,2,FALSE),"Rest of India"))</f>
        <v/>
      </c>
      <c r="AK48">
        <f>IF($N48="","",UPPER(TRIM(LEFT($N48&amp;",",FIND(",",$N48&amp;",")-1))))</f>
        <v/>
      </c>
      <c r="AL48">
        <f>IF($AK48="","",MID($AK48,4,FIND("~",SUBSTITUTE($AK48,"-","~",2))-4))</f>
        <v/>
      </c>
      <c r="AM48">
        <f>IF($AK48="","",MID($AK48,FIND("~",SUBSTITUTE($AK48,"-","~",2))+1,FIND("~",SUBSTITUTE($AK48,"-","~",3))-FIND("~",SUBSTITUTE($AK48,"-","~",2))-1))</f>
        <v/>
      </c>
      <c r="AN48">
        <f>IF($AL48="","",IFERROR(VLOOKUP($AL48,DECODE!$A$3:$C$8,3,FALSE),"?"))</f>
        <v/>
      </c>
      <c r="AO48">
        <f>IF($AM48="","",IFERROR(VLOOKUP($AL48&amp;"-"&amp;$AM48,DECODE!$E$3:$F$21,2,FALSE),"?"))</f>
        <v/>
      </c>
      <c r="AP48">
        <f>IF($AK48="","",IFERROR(VALUE(RIGHT($AK48,3)),""))</f>
        <v/>
      </c>
      <c r="AQ48">
        <f>IF($T48="","",IFERROR(IF(ISNUMBER($T48),$T48,DATEVALUE(TRIM($T48))),""))</f>
        <v/>
      </c>
      <c r="AR48">
        <f>IF($AQ48="","",IF(MONTH($AQ48)&gt;=12,"Cold Winter",IF(MONTH($AQ48)&gt;=10,"Post-Monsoon",IF(MONTH($AQ48)&gt;=6,"Hot Humid",IF(MONTH($AQ48)&gt;=3,"Hot Dry","Cold Winter")))))</f>
        <v/>
      </c>
      <c r="AS48">
        <f>IF($AL48="","",IFERROR(VLOOKUP($AL48,DECODE!$A$3:$C$8,2,FALSE),"?"))</f>
        <v/>
      </c>
      <c r="AT48">
        <f>IF($O48="","",UPPER(TRIM(LEFT($O48&amp;",",FIND(",",$O48&amp;",")-1))))</f>
        <v/>
      </c>
      <c r="AU48">
        <f>IF($AT48="","",MID($AT48,4,FIND("~",SUBSTITUTE($AT48,"-","~",2))-4))</f>
        <v/>
      </c>
      <c r="AV48">
        <f>IF($AT48="","",MID($AT48,FIND("~",SUBSTITUTE($AT48,"-","~",2))+1,FIND("~",SUBSTITUTE($AT48,"-","~",3))-FIND("~",SUBSTITUTE($AT48,"-","~",2))-1))</f>
        <v/>
      </c>
      <c r="AW48">
        <f>IF($AU48="","",IFERROR(VLOOKUP($AU48,DECODE!$A$3:$C$8,3,FALSE),"?"))</f>
        <v/>
      </c>
      <c r="AX48">
        <f>IF($AV48="","",IFERROR(VLOOKUP($AU48&amp;"-"&amp;$AV48,DECODE!$E$3:$F$21,2,FALSE),"?"))</f>
        <v/>
      </c>
      <c r="AY48">
        <f>IF($AT48="","",IFERROR(VALUE(RIGHT($AT48,3)),""))</f>
        <v/>
      </c>
      <c r="AZ48">
        <f>IF($U48="","",IFERROR(IF(ISNUMBER($U48),$U48,DATEVALUE(TRIM($U48))),""))</f>
        <v/>
      </c>
      <c r="BA48">
        <f>IF($AZ48="","",IF(MONTH($AZ48)&gt;=12,"Cold Winter",IF(MONTH($AZ48)&gt;=10,"Post-Monsoon",IF(MONTH($AZ48)&gt;=6,"Hot Humid",IF(MONTH($AZ48)&gt;=3,"Hot Dry","Cold Winter")))))</f>
        <v/>
      </c>
      <c r="BB48">
        <f>IF($AU48="","",IFERROR(VLOOKUP($AU48,DECODE!$A$3:$C$8,2,FALSE),"?"))</f>
        <v/>
      </c>
      <c r="BC48">
        <f>IF($P48="","",UPPER(TRIM(LEFT($P48&amp;",",FIND(",",$P48&amp;",")-1))))</f>
        <v/>
      </c>
      <c r="BD48">
        <f>IF($BC48="","",MID($BC48,4,FIND("~",SUBSTITUTE($BC48,"-","~",2))-4))</f>
        <v/>
      </c>
      <c r="BE48">
        <f>IF($BC48="","",MID($BC48,FIND("~",SUBSTITUTE($BC48,"-","~",2))+1,FIND("~",SUBSTITUTE($BC48,"-","~",3))-FIND("~",SUBSTITUTE($BC48,"-","~",2))-1))</f>
        <v/>
      </c>
      <c r="BF48">
        <f>IF($BD48="","",IFERROR(VLOOKUP($BD48,DECODE!$A$3:$C$8,3,FALSE),"?"))</f>
        <v/>
      </c>
      <c r="BG48">
        <f>IF($BE48="","",IFERROR(VLOOKUP($BD48&amp;"-"&amp;$BE48,DECODE!$E$3:$F$21,2,FALSE),"?"))</f>
        <v/>
      </c>
      <c r="BH48">
        <f>IF($BC48="","",IFERROR(VALUE(RIGHT($BC48,3)),""))</f>
        <v/>
      </c>
      <c r="BI48">
        <f>IF($V48="","",IFERROR(IF(ISNUMBER($V48),$V48,DATEVALUE(TRIM($V48))),""))</f>
        <v/>
      </c>
      <c r="BJ48">
        <f>IF($BI48="","",IF(MONTH($BI48)&gt;=12,"Cold Winter",IF(MONTH($BI48)&gt;=10,"Post-Monsoon",IF(MONTH($BI48)&gt;=6,"Hot Humid",IF(MONTH($BI48)&gt;=3,"Hot Dry","Cold Winter")))))</f>
        <v/>
      </c>
      <c r="BK48">
        <f>IF($BD48="","",IFERROR(VLOOKUP($BD48,DECODE!$A$3:$C$8,2,FALSE),"?"))</f>
        <v/>
      </c>
      <c r="BL48">
        <f>IF($Q48="","",UPPER(TRIM(LEFT($Q48&amp;",",FIND(",",$Q48&amp;",")-1))))</f>
        <v/>
      </c>
      <c r="BM48">
        <f>IF($BL48="","",MID($BL48,4,FIND("~",SUBSTITUTE($BL48,"-","~",2))-4))</f>
        <v/>
      </c>
      <c r="BN48">
        <f>IF($BL48="","",MID($BL48,FIND("~",SUBSTITUTE($BL48,"-","~",2))+1,FIND("~",SUBSTITUTE($BL48,"-","~",3))-FIND("~",SUBSTITUTE($BL48,"-","~",2))-1))</f>
        <v/>
      </c>
      <c r="BO48">
        <f>IF($BM48="","",IFERROR(VLOOKUP($BM48,DECODE!$A$3:$C$8,3,FALSE),"?"))</f>
        <v/>
      </c>
      <c r="BP48">
        <f>IF($BN48="","",IFERROR(VLOOKUP($BM48&amp;"-"&amp;$BN48,DECODE!$E$3:$F$21,2,FALSE),"?"))</f>
        <v/>
      </c>
      <c r="BQ48">
        <f>IF($BL48="","",IFERROR(VALUE(RIGHT($BL48,3)),""))</f>
        <v/>
      </c>
      <c r="BR48">
        <f>IF($W48="","",IFERROR(IF(ISNUMBER($W48),$W48,DATEVALUE(TRIM($W48))),""))</f>
        <v/>
      </c>
      <c r="BS48">
        <f>IF($BR48="","",IF(MONTH($BR48)&gt;=12,"Cold Winter",IF(MONTH($BR48)&gt;=10,"Post-Monsoon",IF(MONTH($BR48)&gt;=6,"Hot Humid",IF(MONTH($BR48)&gt;=3,"Hot Dry","Cold Winter")))))</f>
        <v/>
      </c>
      <c r="BT48">
        <f>IF($BM48="","",IFERROR(VLOOKUP($BM48,DECODE!$A$3:$C$8,2,FALSE),"?"))</f>
        <v/>
      </c>
      <c r="BU48">
        <f>IF($R48="","",UPPER(TRIM(LEFT($R48&amp;",",FIND(",",$R48&amp;",")-1))))</f>
        <v/>
      </c>
      <c r="BV48">
        <f>IF($BU48="","",MID($BU48,4,FIND("~",SUBSTITUTE($BU48,"-","~",2))-4))</f>
        <v/>
      </c>
      <c r="BW48">
        <f>IF($BU48="","",MID($BU48,FIND("~",SUBSTITUTE($BU48,"-","~",2))+1,FIND("~",SUBSTITUTE($BU48,"-","~",3))-FIND("~",SUBSTITUTE($BU48,"-","~",2))-1))</f>
        <v/>
      </c>
      <c r="BX48">
        <f>IF($BV48="","",IFERROR(VLOOKUP($BV48,DECODE!$A$3:$C$8,3,FALSE),"?"))</f>
        <v/>
      </c>
      <c r="BY48">
        <f>IF($BW48="","",IFERROR(VLOOKUP($BV48&amp;"-"&amp;$BW48,DECODE!$E$3:$F$21,2,FALSE),"?"))</f>
        <v/>
      </c>
      <c r="BZ48">
        <f>IF($BU48="","",IFERROR(VALUE(RIGHT($BU48,3)),""))</f>
        <v/>
      </c>
      <c r="CA48">
        <f>IF($X48="","",IFERROR(IF(ISNUMBER($X48),$X48,DATEVALUE(TRIM($X48))),""))</f>
        <v/>
      </c>
      <c r="CB48">
        <f>IF($CA48="","",IF(MONTH($CA48)&gt;=12,"Cold Winter",IF(MONTH($CA48)&gt;=10,"Post-Monsoon",IF(MONTH($CA48)&gt;=6,"Hot Humid",IF(MONTH($CA48)&gt;=3,"Hot Dry","Cold Winter")))))</f>
        <v/>
      </c>
      <c r="CC48">
        <f>IF($BV48="","",IFERROR(VLOOKUP($BV48,DECODE!$A$3:$C$8,2,FALSE),"?"))</f>
        <v/>
      </c>
      <c r="CD48">
        <f>IF($S48="","",UPPER(TRIM(LEFT($S48&amp;",",FIND(",",$S48&amp;",")-1))))</f>
        <v/>
      </c>
      <c r="CE48">
        <f>IF($CD48="","",MID($CD48,4,FIND("~",SUBSTITUTE($CD48,"-","~",2))-4))</f>
        <v/>
      </c>
      <c r="CF48">
        <f>IF($CD48="","",MID($CD48,FIND("~",SUBSTITUTE($CD48,"-","~",2))+1,FIND("~",SUBSTITUTE($CD48,"-","~",3))-FIND("~",SUBSTITUTE($CD48,"-","~",2))-1))</f>
        <v/>
      </c>
      <c r="CG48">
        <f>IF($CE48="","",IFERROR(VLOOKUP($CE48,DECODE!$A$3:$C$8,3,FALSE),"?"))</f>
        <v/>
      </c>
      <c r="CH48">
        <f>IF($CF48="","",IFERROR(VLOOKUP($CE48&amp;"-"&amp;$CF48,DECODE!$E$3:$F$21,2,FALSE),"?"))</f>
        <v/>
      </c>
      <c r="CI48">
        <f>IF($CD48="","",IFERROR(VALUE(RIGHT($CD48,3)),""))</f>
        <v/>
      </c>
      <c r="CJ48">
        <f>IF($Y48="","",IFERROR(IF(ISNUMBER($Y48),$Y48,DATEVALUE(TRIM($Y48))),""))</f>
        <v/>
      </c>
      <c r="CK48">
        <f>IF($CJ48="","",IF(MONTH($CJ48)&gt;=12,"Cold Winter",IF(MONTH($CJ48)&gt;=10,"Post-Monsoon",IF(MONTH($CJ48)&gt;=6,"Hot Humid",IF(MONTH($CJ48)&gt;=3,"Hot Dry","Cold Winter")))))</f>
        <v/>
      </c>
      <c r="CL48">
        <f>IF($CE48="","",IFERROR(VLOOKUP($CE48,DECODE!$A$3:$C$8,2,FALSE),"?"))</f>
        <v/>
      </c>
      <c r="CM48">
        <f>IF($AN48="","",AN48)</f>
        <v/>
      </c>
      <c r="CN48">
        <f>IF($AO48="","",AO48)</f>
        <v/>
      </c>
      <c r="CO48">
        <f>IF($AP48="","",AP48)</f>
        <v/>
      </c>
      <c r="CP48">
        <f>IF($CM48="","",IF($CM48="Aloe Vera Gel","Aloe Vera Gel "&amp;$CO48&amp;"g",CN48&amp;" "&amp;$CO48&amp;"g"))</f>
        <v/>
      </c>
      <c r="CQ48">
        <f>IF($AT48="",0,1)</f>
        <v/>
      </c>
      <c r="CR48">
        <f>IF($CQ48=0,"",AW48)</f>
        <v/>
      </c>
      <c r="CS48">
        <f>IF($CQ48=0,"",AX48)</f>
        <v/>
      </c>
      <c r="CT48">
        <f>IF($CQ48=0,"",AY48)</f>
        <v/>
      </c>
      <c r="CU48">
        <f>IF($CR48="","",IF($CR48="Aloe Vera Gel","Aloe Vera Gel "&amp;$CT48&amp;"g",CS48&amp;" "&amp;$CT48&amp;"g"))</f>
        <v/>
      </c>
      <c r="CV48">
        <f>IF($CQ48=0,"",IF($CP48=$CU48,"Repeat Exact",IF($CT48&gt;$CO48,"Upsized",IF($CT48&lt;$CO48,"Downsized",IF($CM48&lt;&gt;$CR48,"Lateral","Same Size Diff Variant")))))</f>
        <v/>
      </c>
      <c r="CW48">
        <f>IF($CQ48=0,"",AZ48-AQ48)</f>
        <v/>
      </c>
      <c r="CX48">
        <f>IF($CQ48=0,0,IF(CS48=CN48,1,0))</f>
        <v/>
      </c>
      <c r="CY48">
        <f>IF($CQ48=0,0,IF(CR48=CM48,1,0))</f>
        <v/>
      </c>
      <c r="CZ48">
        <f>IF($A48="","",IF(AND(IF(DASHBOARD!$C$4="All",TRUE,$CM48=DASHBOARD!$C$4),IF(DASHBOARD!$C$6="All",TRUE,$CP48=DASHBOARD!$C$6),IF(DASHBOARD!$C$8="All",TRUE,$AF48&gt;=DASHBOARD!$C$8),IF(DASHBOARD!$C$10="All",TRUE,$AF48&lt;=DASHBOARD!$C$10),IF(DASHBOARD!$C$12="All",TRUE,$AH48=VALUE(DASHBOARD!$C$12)),IF(DASHBOARD!$C$14="All",TRUE,$AJ48=DASHBOARD!$C$14)),1,0))</f>
        <v/>
      </c>
    </row>
    <row r="49">
      <c r="A49" t="n">
        <v>41079</v>
      </c>
      <c r="B49" t="inlineStr">
        <is>
          <t>Aloe Vera Gel</t>
        </is>
      </c>
      <c r="H49" t="inlineStr">
        <is>
          <t>Aloe Vera Gel - 40 gms</t>
        </is>
      </c>
      <c r="N49" t="inlineStr">
        <is>
          <t>FC-HG-PA-040</t>
        </is>
      </c>
      <c r="T49" t="inlineStr">
        <is>
          <t>Nov 21, 2024</t>
        </is>
      </c>
      <c r="AE49" t="inlineStr">
        <is>
          <t>New Delhi</t>
        </is>
      </c>
      <c r="AF49" t="inlineStr">
        <is>
          <t>2024-11</t>
        </is>
      </c>
      <c r="AG49" t="n">
        <v>11</v>
      </c>
      <c r="AH49" t="n">
        <v>1</v>
      </c>
      <c r="AI49" t="n">
        <v>0</v>
      </c>
      <c r="AJ49">
        <f>IF($AE49="","",IFERROR(VLOOKUP(TRIM($AE49),DECODE!$H$3:$I$60,2,FALSE),"Rest of India"))</f>
        <v/>
      </c>
      <c r="AK49">
        <f>IF($N49="","",UPPER(TRIM(LEFT($N49&amp;",",FIND(",",$N49&amp;",")-1))))</f>
        <v/>
      </c>
      <c r="AL49">
        <f>IF($AK49="","",MID($AK49,4,FIND("~",SUBSTITUTE($AK49,"-","~",2))-4))</f>
        <v/>
      </c>
      <c r="AM49">
        <f>IF($AK49="","",MID($AK49,FIND("~",SUBSTITUTE($AK49,"-","~",2))+1,FIND("~",SUBSTITUTE($AK49,"-","~",3))-FIND("~",SUBSTITUTE($AK49,"-","~",2))-1))</f>
        <v/>
      </c>
      <c r="AN49">
        <f>IF($AL49="","",IFERROR(VLOOKUP($AL49,DECODE!$A$3:$C$8,3,FALSE),"?"))</f>
        <v/>
      </c>
      <c r="AO49">
        <f>IF($AM49="","",IFERROR(VLOOKUP($AL49&amp;"-"&amp;$AM49,DECODE!$E$3:$F$21,2,FALSE),"?"))</f>
        <v/>
      </c>
      <c r="AP49">
        <f>IF($AK49="","",IFERROR(VALUE(RIGHT($AK49,3)),""))</f>
        <v/>
      </c>
      <c r="AQ49">
        <f>IF($T49="","",IFERROR(IF(ISNUMBER($T49),$T49,DATEVALUE(TRIM($T49))),""))</f>
        <v/>
      </c>
      <c r="AR49">
        <f>IF($AQ49="","",IF(MONTH($AQ49)&gt;=12,"Cold Winter",IF(MONTH($AQ49)&gt;=10,"Post-Monsoon",IF(MONTH($AQ49)&gt;=6,"Hot Humid",IF(MONTH($AQ49)&gt;=3,"Hot Dry","Cold Winter")))))</f>
        <v/>
      </c>
      <c r="AS49">
        <f>IF($AL49="","",IFERROR(VLOOKUP($AL49,DECODE!$A$3:$C$8,2,FALSE),"?"))</f>
        <v/>
      </c>
      <c r="AT49">
        <f>IF($O49="","",UPPER(TRIM(LEFT($O49&amp;",",FIND(",",$O49&amp;",")-1))))</f>
        <v/>
      </c>
      <c r="AU49">
        <f>IF($AT49="","",MID($AT49,4,FIND("~",SUBSTITUTE($AT49,"-","~",2))-4))</f>
        <v/>
      </c>
      <c r="AV49">
        <f>IF($AT49="","",MID($AT49,FIND("~",SUBSTITUTE($AT49,"-","~",2))+1,FIND("~",SUBSTITUTE($AT49,"-","~",3))-FIND("~",SUBSTITUTE($AT49,"-","~",2))-1))</f>
        <v/>
      </c>
      <c r="AW49">
        <f>IF($AU49="","",IFERROR(VLOOKUP($AU49,DECODE!$A$3:$C$8,3,FALSE),"?"))</f>
        <v/>
      </c>
      <c r="AX49">
        <f>IF($AV49="","",IFERROR(VLOOKUP($AU49&amp;"-"&amp;$AV49,DECODE!$E$3:$F$21,2,FALSE),"?"))</f>
        <v/>
      </c>
      <c r="AY49">
        <f>IF($AT49="","",IFERROR(VALUE(RIGHT($AT49,3)),""))</f>
        <v/>
      </c>
      <c r="AZ49">
        <f>IF($U49="","",IFERROR(IF(ISNUMBER($U49),$U49,DATEVALUE(TRIM($U49))),""))</f>
        <v/>
      </c>
      <c r="BA49">
        <f>IF($AZ49="","",IF(MONTH($AZ49)&gt;=12,"Cold Winter",IF(MONTH($AZ49)&gt;=10,"Post-Monsoon",IF(MONTH($AZ49)&gt;=6,"Hot Humid",IF(MONTH($AZ49)&gt;=3,"Hot Dry","Cold Winter")))))</f>
        <v/>
      </c>
      <c r="BB49">
        <f>IF($AU49="","",IFERROR(VLOOKUP($AU49,DECODE!$A$3:$C$8,2,FALSE),"?"))</f>
        <v/>
      </c>
      <c r="BC49">
        <f>IF($P49="","",UPPER(TRIM(LEFT($P49&amp;",",FIND(",",$P49&amp;",")-1))))</f>
        <v/>
      </c>
      <c r="BD49">
        <f>IF($BC49="","",MID($BC49,4,FIND("~",SUBSTITUTE($BC49,"-","~",2))-4))</f>
        <v/>
      </c>
      <c r="BE49">
        <f>IF($BC49="","",MID($BC49,FIND("~",SUBSTITUTE($BC49,"-","~",2))+1,FIND("~",SUBSTITUTE($BC49,"-","~",3))-FIND("~",SUBSTITUTE($BC49,"-","~",2))-1))</f>
        <v/>
      </c>
      <c r="BF49">
        <f>IF($BD49="","",IFERROR(VLOOKUP($BD49,DECODE!$A$3:$C$8,3,FALSE),"?"))</f>
        <v/>
      </c>
      <c r="BG49">
        <f>IF($BE49="","",IFERROR(VLOOKUP($BD49&amp;"-"&amp;$BE49,DECODE!$E$3:$F$21,2,FALSE),"?"))</f>
        <v/>
      </c>
      <c r="BH49">
        <f>IF($BC49="","",IFERROR(VALUE(RIGHT($BC49,3)),""))</f>
        <v/>
      </c>
      <c r="BI49">
        <f>IF($V49="","",IFERROR(IF(ISNUMBER($V49),$V49,DATEVALUE(TRIM($V49))),""))</f>
        <v/>
      </c>
      <c r="BJ49">
        <f>IF($BI49="","",IF(MONTH($BI49)&gt;=12,"Cold Winter",IF(MONTH($BI49)&gt;=10,"Post-Monsoon",IF(MONTH($BI49)&gt;=6,"Hot Humid",IF(MONTH($BI49)&gt;=3,"Hot Dry","Cold Winter")))))</f>
        <v/>
      </c>
      <c r="BK49">
        <f>IF($BD49="","",IFERROR(VLOOKUP($BD49,DECODE!$A$3:$C$8,2,FALSE),"?"))</f>
        <v/>
      </c>
      <c r="BL49">
        <f>IF($Q49="","",UPPER(TRIM(LEFT($Q49&amp;",",FIND(",",$Q49&amp;",")-1))))</f>
        <v/>
      </c>
      <c r="BM49">
        <f>IF($BL49="","",MID($BL49,4,FIND("~",SUBSTITUTE($BL49,"-","~",2))-4))</f>
        <v/>
      </c>
      <c r="BN49">
        <f>IF($BL49="","",MID($BL49,FIND("~",SUBSTITUTE($BL49,"-","~",2))+1,FIND("~",SUBSTITUTE($BL49,"-","~",3))-FIND("~",SUBSTITUTE($BL49,"-","~",2))-1))</f>
        <v/>
      </c>
      <c r="BO49">
        <f>IF($BM49="","",IFERROR(VLOOKUP($BM49,DECODE!$A$3:$C$8,3,FALSE),"?"))</f>
        <v/>
      </c>
      <c r="BP49">
        <f>IF($BN49="","",IFERROR(VLOOKUP($BM49&amp;"-"&amp;$BN49,DECODE!$E$3:$F$21,2,FALSE),"?"))</f>
        <v/>
      </c>
      <c r="BQ49">
        <f>IF($BL49="","",IFERROR(VALUE(RIGHT($BL49,3)),""))</f>
        <v/>
      </c>
      <c r="BR49">
        <f>IF($W49="","",IFERROR(IF(ISNUMBER($W49),$W49,DATEVALUE(TRIM($W49))),""))</f>
        <v/>
      </c>
      <c r="BS49">
        <f>IF($BR49="","",IF(MONTH($BR49)&gt;=12,"Cold Winter",IF(MONTH($BR49)&gt;=10,"Post-Monsoon",IF(MONTH($BR49)&gt;=6,"Hot Humid",IF(MONTH($BR49)&gt;=3,"Hot Dry","Cold Winter")))))</f>
        <v/>
      </c>
      <c r="BT49">
        <f>IF($BM49="","",IFERROR(VLOOKUP($BM49,DECODE!$A$3:$C$8,2,FALSE),"?"))</f>
        <v/>
      </c>
      <c r="BU49">
        <f>IF($R49="","",UPPER(TRIM(LEFT($R49&amp;",",FIND(",",$R49&amp;",")-1))))</f>
        <v/>
      </c>
      <c r="BV49">
        <f>IF($BU49="","",MID($BU49,4,FIND("~",SUBSTITUTE($BU49,"-","~",2))-4))</f>
        <v/>
      </c>
      <c r="BW49">
        <f>IF($BU49="","",MID($BU49,FIND("~",SUBSTITUTE($BU49,"-","~",2))+1,FIND("~",SUBSTITUTE($BU49,"-","~",3))-FIND("~",SUBSTITUTE($BU49,"-","~",2))-1))</f>
        <v/>
      </c>
      <c r="BX49">
        <f>IF($BV49="","",IFERROR(VLOOKUP($BV49,DECODE!$A$3:$C$8,3,FALSE),"?"))</f>
        <v/>
      </c>
      <c r="BY49">
        <f>IF($BW49="","",IFERROR(VLOOKUP($BV49&amp;"-"&amp;$BW49,DECODE!$E$3:$F$21,2,FALSE),"?"))</f>
        <v/>
      </c>
      <c r="BZ49">
        <f>IF($BU49="","",IFERROR(VALUE(RIGHT($BU49,3)),""))</f>
        <v/>
      </c>
      <c r="CA49">
        <f>IF($X49="","",IFERROR(IF(ISNUMBER($X49),$X49,DATEVALUE(TRIM($X49))),""))</f>
        <v/>
      </c>
      <c r="CB49">
        <f>IF($CA49="","",IF(MONTH($CA49)&gt;=12,"Cold Winter",IF(MONTH($CA49)&gt;=10,"Post-Monsoon",IF(MONTH($CA49)&gt;=6,"Hot Humid",IF(MONTH($CA49)&gt;=3,"Hot Dry","Cold Winter")))))</f>
        <v/>
      </c>
      <c r="CC49">
        <f>IF($BV49="","",IFERROR(VLOOKUP($BV49,DECODE!$A$3:$C$8,2,FALSE),"?"))</f>
        <v/>
      </c>
      <c r="CD49">
        <f>IF($S49="","",UPPER(TRIM(LEFT($S49&amp;",",FIND(",",$S49&amp;",")-1))))</f>
        <v/>
      </c>
      <c r="CE49">
        <f>IF($CD49="","",MID($CD49,4,FIND("~",SUBSTITUTE($CD49,"-","~",2))-4))</f>
        <v/>
      </c>
      <c r="CF49">
        <f>IF($CD49="","",MID($CD49,FIND("~",SUBSTITUTE($CD49,"-","~",2))+1,FIND("~",SUBSTITUTE($CD49,"-","~",3))-FIND("~",SUBSTITUTE($CD49,"-","~",2))-1))</f>
        <v/>
      </c>
      <c r="CG49">
        <f>IF($CE49="","",IFERROR(VLOOKUP($CE49,DECODE!$A$3:$C$8,3,FALSE),"?"))</f>
        <v/>
      </c>
      <c r="CH49">
        <f>IF($CF49="","",IFERROR(VLOOKUP($CE49&amp;"-"&amp;$CF49,DECODE!$E$3:$F$21,2,FALSE),"?"))</f>
        <v/>
      </c>
      <c r="CI49">
        <f>IF($CD49="","",IFERROR(VALUE(RIGHT($CD49,3)),""))</f>
        <v/>
      </c>
      <c r="CJ49">
        <f>IF($Y49="","",IFERROR(IF(ISNUMBER($Y49),$Y49,DATEVALUE(TRIM($Y49))),""))</f>
        <v/>
      </c>
      <c r="CK49">
        <f>IF($CJ49="","",IF(MONTH($CJ49)&gt;=12,"Cold Winter",IF(MONTH($CJ49)&gt;=10,"Post-Monsoon",IF(MONTH($CJ49)&gt;=6,"Hot Humid",IF(MONTH($CJ49)&gt;=3,"Hot Dry","Cold Winter")))))</f>
        <v/>
      </c>
      <c r="CL49">
        <f>IF($CE49="","",IFERROR(VLOOKUP($CE49,DECODE!$A$3:$C$8,2,FALSE),"?"))</f>
        <v/>
      </c>
      <c r="CM49">
        <f>IF($AN49="","",AN49)</f>
        <v/>
      </c>
      <c r="CN49">
        <f>IF($AO49="","",AO49)</f>
        <v/>
      </c>
      <c r="CO49">
        <f>IF($AP49="","",AP49)</f>
        <v/>
      </c>
      <c r="CP49">
        <f>IF($CM49="","",IF($CM49="Aloe Vera Gel","Aloe Vera Gel "&amp;$CO49&amp;"g",CN49&amp;" "&amp;$CO49&amp;"g"))</f>
        <v/>
      </c>
      <c r="CQ49">
        <f>IF($AT49="",0,1)</f>
        <v/>
      </c>
      <c r="CR49">
        <f>IF($CQ49=0,"",AW49)</f>
        <v/>
      </c>
      <c r="CS49">
        <f>IF($CQ49=0,"",AX49)</f>
        <v/>
      </c>
      <c r="CT49">
        <f>IF($CQ49=0,"",AY49)</f>
        <v/>
      </c>
      <c r="CU49">
        <f>IF($CR49="","",IF($CR49="Aloe Vera Gel","Aloe Vera Gel "&amp;$CT49&amp;"g",CS49&amp;" "&amp;$CT49&amp;"g"))</f>
        <v/>
      </c>
      <c r="CV49">
        <f>IF($CQ49=0,"",IF($CP49=$CU49,"Repeat Exact",IF($CT49&gt;$CO49,"Upsized",IF($CT49&lt;$CO49,"Downsized",IF($CM49&lt;&gt;$CR49,"Lateral","Same Size Diff Variant")))))</f>
        <v/>
      </c>
      <c r="CW49">
        <f>IF($CQ49=0,"",AZ49-AQ49)</f>
        <v/>
      </c>
      <c r="CX49">
        <f>IF($CQ49=0,0,IF(CS49=CN49,1,0))</f>
        <v/>
      </c>
      <c r="CY49">
        <f>IF($CQ49=0,0,IF(CR49=CM49,1,0))</f>
        <v/>
      </c>
      <c r="CZ49">
        <f>IF($A49="","",IF(AND(IF(DASHBOARD!$C$4="All",TRUE,$CM49=DASHBOARD!$C$4),IF(DASHBOARD!$C$6="All",TRUE,$CP49=DASHBOARD!$C$6),IF(DASHBOARD!$C$8="All",TRUE,$AF49&gt;=DASHBOARD!$C$8),IF(DASHBOARD!$C$10="All",TRUE,$AF49&lt;=DASHBOARD!$C$10),IF(DASHBOARD!$C$12="All",TRUE,$AH49=VALUE(DASHBOARD!$C$12)),IF(DASHBOARD!$C$14="All",TRUE,$AJ49=DASHBOARD!$C$14)),1,0))</f>
        <v/>
      </c>
    </row>
    <row r="50">
      <c r="A50" t="n">
        <v>41468</v>
      </c>
      <c r="B50" t="inlineStr">
        <is>
          <t>Face Malai</t>
        </is>
      </c>
      <c r="C50" t="inlineStr">
        <is>
          <t>Active Gel</t>
        </is>
      </c>
      <c r="D50" t="inlineStr">
        <is>
          <t>Face Malai</t>
        </is>
      </c>
      <c r="E50" t="inlineStr">
        <is>
          <t>Active Gel</t>
        </is>
      </c>
      <c r="F50" t="inlineStr">
        <is>
          <t>Face Malai</t>
        </is>
      </c>
      <c r="G50" t="inlineStr">
        <is>
          <t>Face Malai</t>
        </is>
      </c>
      <c r="H50" t="inlineStr">
        <is>
          <t>GreenApple Tulsi (Hot Humid) 13 - 19 Yrs Face Malai</t>
        </is>
      </c>
      <c r="I50" t="inlineStr">
        <is>
          <t>Active Aloe Cactus Hydra Lift Gel</t>
        </is>
      </c>
      <c r="J50" t="inlineStr">
        <is>
          <t>Cocoa Mogra (Overnight) Face Malai - 30g</t>
        </is>
      </c>
      <c r="K50" t="inlineStr">
        <is>
          <t>Active Aloe Cactus Hydra Lift Gel</t>
        </is>
      </c>
      <c r="L50" t="inlineStr">
        <is>
          <t>GreenApple Tulsi (Hot Humid) 13 - 19 Yrs Face Malai</t>
        </is>
      </c>
      <c r="M50" t="inlineStr">
        <is>
          <t>GreenApple Tulsi (Hot Humid) 13 - 19 Yrs Face Malai</t>
        </is>
      </c>
      <c r="N50" t="inlineStr">
        <is>
          <t>FC-HHDM-GAT-030</t>
        </is>
      </c>
      <c r="O50" t="inlineStr">
        <is>
          <t>FC-AC-AC-050</t>
        </is>
      </c>
      <c r="P50" t="inlineStr">
        <is>
          <t>FC-DM-NR-030</t>
        </is>
      </c>
      <c r="Q50" t="inlineStr">
        <is>
          <t>FC-AC-AC-050</t>
        </is>
      </c>
      <c r="R50" t="inlineStr">
        <is>
          <t>FC-HHDM-GAT-030</t>
        </is>
      </c>
      <c r="S50" t="inlineStr">
        <is>
          <t>FC-HHDM-GAT-030</t>
        </is>
      </c>
      <c r="T50" t="inlineStr">
        <is>
          <t>Mar 4, 2024</t>
        </is>
      </c>
      <c r="U50" t="inlineStr">
        <is>
          <t>Apr 12, 2024</t>
        </is>
      </c>
      <c r="V50" t="inlineStr">
        <is>
          <t>May 10, 2024</t>
        </is>
      </c>
      <c r="W50" t="inlineStr">
        <is>
          <t>Jun 7, 2024</t>
        </is>
      </c>
      <c r="X50" t="inlineStr">
        <is>
          <t>Aug 21, 2024</t>
        </is>
      </c>
      <c r="Y50" t="inlineStr">
        <is>
          <t>Nov 5, 2024</t>
        </is>
      </c>
      <c r="Z50" t="n">
        <v>39</v>
      </c>
      <c r="AA50" t="n">
        <v>28</v>
      </c>
      <c r="AB50" t="n">
        <v>28</v>
      </c>
      <c r="AC50" t="n">
        <v>75</v>
      </c>
      <c r="AD50" t="n">
        <v>76</v>
      </c>
      <c r="AE50" t="inlineStr">
        <is>
          <t>Ghaziabad</t>
        </is>
      </c>
      <c r="AF50" t="inlineStr">
        <is>
          <t>2024-03</t>
        </is>
      </c>
      <c r="AG50" t="n">
        <v>3</v>
      </c>
      <c r="AH50" t="n">
        <v>6</v>
      </c>
      <c r="AI50" t="n">
        <v>1</v>
      </c>
      <c r="AJ50">
        <f>IF($AE50="","",IFERROR(VLOOKUP(TRIM($AE50),DECODE!$H$3:$I$60,2,FALSE),"Rest of India"))</f>
        <v/>
      </c>
      <c r="AK50">
        <f>IF($N50="","",UPPER(TRIM(LEFT($N50&amp;",",FIND(",",$N50&amp;",")-1))))</f>
        <v/>
      </c>
      <c r="AL50">
        <f>IF($AK50="","",MID($AK50,4,FIND("~",SUBSTITUTE($AK50,"-","~",2))-4))</f>
        <v/>
      </c>
      <c r="AM50">
        <f>IF($AK50="","",MID($AK50,FIND("~",SUBSTITUTE($AK50,"-","~",2))+1,FIND("~",SUBSTITUTE($AK50,"-","~",3))-FIND("~",SUBSTITUTE($AK50,"-","~",2))-1))</f>
        <v/>
      </c>
      <c r="AN50">
        <f>IF($AL50="","",IFERROR(VLOOKUP($AL50,DECODE!$A$3:$C$8,3,FALSE),"?"))</f>
        <v/>
      </c>
      <c r="AO50">
        <f>IF($AM50="","",IFERROR(VLOOKUP($AL50&amp;"-"&amp;$AM50,DECODE!$E$3:$F$21,2,FALSE),"?"))</f>
        <v/>
      </c>
      <c r="AP50">
        <f>IF($AK50="","",IFERROR(VALUE(RIGHT($AK50,3)),""))</f>
        <v/>
      </c>
      <c r="AQ50">
        <f>IF($T50="","",IFERROR(IF(ISNUMBER($T50),$T50,DATEVALUE(TRIM($T50))),""))</f>
        <v/>
      </c>
      <c r="AR50">
        <f>IF($AQ50="","",IF(MONTH($AQ50)&gt;=12,"Cold Winter",IF(MONTH($AQ50)&gt;=10,"Post-Monsoon",IF(MONTH($AQ50)&gt;=6,"Hot Humid",IF(MONTH($AQ50)&gt;=3,"Hot Dry","Cold Winter")))))</f>
        <v/>
      </c>
      <c r="AS50">
        <f>IF($AL50="","",IFERROR(VLOOKUP($AL50,DECODE!$A$3:$C$8,2,FALSE),"?"))</f>
        <v/>
      </c>
      <c r="AT50">
        <f>IF($O50="","",UPPER(TRIM(LEFT($O50&amp;",",FIND(",",$O50&amp;",")-1))))</f>
        <v/>
      </c>
      <c r="AU50">
        <f>IF($AT50="","",MID($AT50,4,FIND("~",SUBSTITUTE($AT50,"-","~",2))-4))</f>
        <v/>
      </c>
      <c r="AV50">
        <f>IF($AT50="","",MID($AT50,FIND("~",SUBSTITUTE($AT50,"-","~",2))+1,FIND("~",SUBSTITUTE($AT50,"-","~",3))-FIND("~",SUBSTITUTE($AT50,"-","~",2))-1))</f>
        <v/>
      </c>
      <c r="AW50">
        <f>IF($AU50="","",IFERROR(VLOOKUP($AU50,DECODE!$A$3:$C$8,3,FALSE),"?"))</f>
        <v/>
      </c>
      <c r="AX50">
        <f>IF($AV50="","",IFERROR(VLOOKUP($AU50&amp;"-"&amp;$AV50,DECODE!$E$3:$F$21,2,FALSE),"?"))</f>
        <v/>
      </c>
      <c r="AY50">
        <f>IF($AT50="","",IFERROR(VALUE(RIGHT($AT50,3)),""))</f>
        <v/>
      </c>
      <c r="AZ50">
        <f>IF($U50="","",IFERROR(IF(ISNUMBER($U50),$U50,DATEVALUE(TRIM($U50))),""))</f>
        <v/>
      </c>
      <c r="BA50">
        <f>IF($AZ50="","",IF(MONTH($AZ50)&gt;=12,"Cold Winter",IF(MONTH($AZ50)&gt;=10,"Post-Monsoon",IF(MONTH($AZ50)&gt;=6,"Hot Humid",IF(MONTH($AZ50)&gt;=3,"Hot Dry","Cold Winter")))))</f>
        <v/>
      </c>
      <c r="BB50">
        <f>IF($AU50="","",IFERROR(VLOOKUP($AU50,DECODE!$A$3:$C$8,2,FALSE),"?"))</f>
        <v/>
      </c>
      <c r="BC50">
        <f>IF($P50="","",UPPER(TRIM(LEFT($P50&amp;",",FIND(",",$P50&amp;",")-1))))</f>
        <v/>
      </c>
      <c r="BD50">
        <f>IF($BC50="","",MID($BC50,4,FIND("~",SUBSTITUTE($BC50,"-","~",2))-4))</f>
        <v/>
      </c>
      <c r="BE50">
        <f>IF($BC50="","",MID($BC50,FIND("~",SUBSTITUTE($BC50,"-","~",2))+1,FIND("~",SUBSTITUTE($BC50,"-","~",3))-FIND("~",SUBSTITUTE($BC50,"-","~",2))-1))</f>
        <v/>
      </c>
      <c r="BF50">
        <f>IF($BD50="","",IFERROR(VLOOKUP($BD50,DECODE!$A$3:$C$8,3,FALSE),"?"))</f>
        <v/>
      </c>
      <c r="BG50">
        <f>IF($BE50="","",IFERROR(VLOOKUP($BD50&amp;"-"&amp;$BE50,DECODE!$E$3:$F$21,2,FALSE),"?"))</f>
        <v/>
      </c>
      <c r="BH50">
        <f>IF($BC50="","",IFERROR(VALUE(RIGHT($BC50,3)),""))</f>
        <v/>
      </c>
      <c r="BI50">
        <f>IF($V50="","",IFERROR(IF(ISNUMBER($V50),$V50,DATEVALUE(TRIM($V50))),""))</f>
        <v/>
      </c>
      <c r="BJ50">
        <f>IF($BI50="","",IF(MONTH($BI50)&gt;=12,"Cold Winter",IF(MONTH($BI50)&gt;=10,"Post-Monsoon",IF(MONTH($BI50)&gt;=6,"Hot Humid",IF(MONTH($BI50)&gt;=3,"Hot Dry","Cold Winter")))))</f>
        <v/>
      </c>
      <c r="BK50">
        <f>IF($BD50="","",IFERROR(VLOOKUP($BD50,DECODE!$A$3:$C$8,2,FALSE),"?"))</f>
        <v/>
      </c>
      <c r="BL50">
        <f>IF($Q50="","",UPPER(TRIM(LEFT($Q50&amp;",",FIND(",",$Q50&amp;",")-1))))</f>
        <v/>
      </c>
      <c r="BM50">
        <f>IF($BL50="","",MID($BL50,4,FIND("~",SUBSTITUTE($BL50,"-","~",2))-4))</f>
        <v/>
      </c>
      <c r="BN50">
        <f>IF($BL50="","",MID($BL50,FIND("~",SUBSTITUTE($BL50,"-","~",2))+1,FIND("~",SUBSTITUTE($BL50,"-","~",3))-FIND("~",SUBSTITUTE($BL50,"-","~",2))-1))</f>
        <v/>
      </c>
      <c r="BO50">
        <f>IF($BM50="","",IFERROR(VLOOKUP($BM50,DECODE!$A$3:$C$8,3,FALSE),"?"))</f>
        <v/>
      </c>
      <c r="BP50">
        <f>IF($BN50="","",IFERROR(VLOOKUP($BM50&amp;"-"&amp;$BN50,DECODE!$E$3:$F$21,2,FALSE),"?"))</f>
        <v/>
      </c>
      <c r="BQ50">
        <f>IF($BL50="","",IFERROR(VALUE(RIGHT($BL50,3)),""))</f>
        <v/>
      </c>
      <c r="BR50">
        <f>IF($W50="","",IFERROR(IF(ISNUMBER($W50),$W50,DATEVALUE(TRIM($W50))),""))</f>
        <v/>
      </c>
      <c r="BS50">
        <f>IF($BR50="","",IF(MONTH($BR50)&gt;=12,"Cold Winter",IF(MONTH($BR50)&gt;=10,"Post-Monsoon",IF(MONTH($BR50)&gt;=6,"Hot Humid",IF(MONTH($BR50)&gt;=3,"Hot Dry","Cold Winter")))))</f>
        <v/>
      </c>
      <c r="BT50">
        <f>IF($BM50="","",IFERROR(VLOOKUP($BM50,DECODE!$A$3:$C$8,2,FALSE),"?"))</f>
        <v/>
      </c>
      <c r="BU50">
        <f>IF($R50="","",UPPER(TRIM(LEFT($R50&amp;",",FIND(",",$R50&amp;",")-1))))</f>
        <v/>
      </c>
      <c r="BV50">
        <f>IF($BU50="","",MID($BU50,4,FIND("~",SUBSTITUTE($BU50,"-","~",2))-4))</f>
        <v/>
      </c>
      <c r="BW50">
        <f>IF($BU50="","",MID($BU50,FIND("~",SUBSTITUTE($BU50,"-","~",2))+1,FIND("~",SUBSTITUTE($BU50,"-","~",3))-FIND("~",SUBSTITUTE($BU50,"-","~",2))-1))</f>
        <v/>
      </c>
      <c r="BX50">
        <f>IF($BV50="","",IFERROR(VLOOKUP($BV50,DECODE!$A$3:$C$8,3,FALSE),"?"))</f>
        <v/>
      </c>
      <c r="BY50">
        <f>IF($BW50="","",IFERROR(VLOOKUP($BV50&amp;"-"&amp;$BW50,DECODE!$E$3:$F$21,2,FALSE),"?"))</f>
        <v/>
      </c>
      <c r="BZ50">
        <f>IF($BU50="","",IFERROR(VALUE(RIGHT($BU50,3)),""))</f>
        <v/>
      </c>
      <c r="CA50">
        <f>IF($X50="","",IFERROR(IF(ISNUMBER($X50),$X50,DATEVALUE(TRIM($X50))),""))</f>
        <v/>
      </c>
      <c r="CB50">
        <f>IF($CA50="","",IF(MONTH($CA50)&gt;=12,"Cold Winter",IF(MONTH($CA50)&gt;=10,"Post-Monsoon",IF(MONTH($CA50)&gt;=6,"Hot Humid",IF(MONTH($CA50)&gt;=3,"Hot Dry","Cold Winter")))))</f>
        <v/>
      </c>
      <c r="CC50">
        <f>IF($BV50="","",IFERROR(VLOOKUP($BV50,DECODE!$A$3:$C$8,2,FALSE),"?"))</f>
        <v/>
      </c>
      <c r="CD50">
        <f>IF($S50="","",UPPER(TRIM(LEFT($S50&amp;",",FIND(",",$S50&amp;",")-1))))</f>
        <v/>
      </c>
      <c r="CE50">
        <f>IF($CD50="","",MID($CD50,4,FIND("~",SUBSTITUTE($CD50,"-","~",2))-4))</f>
        <v/>
      </c>
      <c r="CF50">
        <f>IF($CD50="","",MID($CD50,FIND("~",SUBSTITUTE($CD50,"-","~",2))+1,FIND("~",SUBSTITUTE($CD50,"-","~",3))-FIND("~",SUBSTITUTE($CD50,"-","~",2))-1))</f>
        <v/>
      </c>
      <c r="CG50">
        <f>IF($CE50="","",IFERROR(VLOOKUP($CE50,DECODE!$A$3:$C$8,3,FALSE),"?"))</f>
        <v/>
      </c>
      <c r="CH50">
        <f>IF($CF50="","",IFERROR(VLOOKUP($CE50&amp;"-"&amp;$CF50,DECODE!$E$3:$F$21,2,FALSE),"?"))</f>
        <v/>
      </c>
      <c r="CI50">
        <f>IF($CD50="","",IFERROR(VALUE(RIGHT($CD50,3)),""))</f>
        <v/>
      </c>
      <c r="CJ50">
        <f>IF($Y50="","",IFERROR(IF(ISNUMBER($Y50),$Y50,DATEVALUE(TRIM($Y50))),""))</f>
        <v/>
      </c>
      <c r="CK50">
        <f>IF($CJ50="","",IF(MONTH($CJ50)&gt;=12,"Cold Winter",IF(MONTH($CJ50)&gt;=10,"Post-Monsoon",IF(MONTH($CJ50)&gt;=6,"Hot Humid",IF(MONTH($CJ50)&gt;=3,"Hot Dry","Cold Winter")))))</f>
        <v/>
      </c>
      <c r="CL50">
        <f>IF($CE50="","",IFERROR(VLOOKUP($CE50,DECODE!$A$3:$C$8,2,FALSE),"?"))</f>
        <v/>
      </c>
      <c r="CM50">
        <f>IF($AN50="","",AN50)</f>
        <v/>
      </c>
      <c r="CN50">
        <f>IF($AO50="","",AO50)</f>
        <v/>
      </c>
      <c r="CO50">
        <f>IF($AP50="","",AP50)</f>
        <v/>
      </c>
      <c r="CP50">
        <f>IF($CM50="","",IF($CM50="Aloe Vera Gel","Aloe Vera Gel "&amp;$CO50&amp;"g",CN50&amp;" "&amp;$CO50&amp;"g"))</f>
        <v/>
      </c>
      <c r="CQ50">
        <f>IF($AT50="",0,1)</f>
        <v/>
      </c>
      <c r="CR50">
        <f>IF($CQ50=0,"",AW50)</f>
        <v/>
      </c>
      <c r="CS50">
        <f>IF($CQ50=0,"",AX50)</f>
        <v/>
      </c>
      <c r="CT50">
        <f>IF($CQ50=0,"",AY50)</f>
        <v/>
      </c>
      <c r="CU50">
        <f>IF($CR50="","",IF($CR50="Aloe Vera Gel","Aloe Vera Gel "&amp;$CT50&amp;"g",CS50&amp;" "&amp;$CT50&amp;"g"))</f>
        <v/>
      </c>
      <c r="CV50">
        <f>IF($CQ50=0,"",IF($CP50=$CU50,"Repeat Exact",IF($CT50&gt;$CO50,"Upsized",IF($CT50&lt;$CO50,"Downsized",IF($CM50&lt;&gt;$CR50,"Lateral","Same Size Diff Variant")))))</f>
        <v/>
      </c>
      <c r="CW50">
        <f>IF($CQ50=0,"",AZ50-AQ50)</f>
        <v/>
      </c>
      <c r="CX50">
        <f>IF($CQ50=0,0,IF(CS50=CN50,1,0))</f>
        <v/>
      </c>
      <c r="CY50">
        <f>IF($CQ50=0,0,IF(CR50=CM50,1,0))</f>
        <v/>
      </c>
      <c r="CZ50">
        <f>IF($A50="","",IF(AND(IF(DASHBOARD!$C$4="All",TRUE,$CM50=DASHBOARD!$C$4),IF(DASHBOARD!$C$6="All",TRUE,$CP50=DASHBOARD!$C$6),IF(DASHBOARD!$C$8="All",TRUE,$AF50&gt;=DASHBOARD!$C$8),IF(DASHBOARD!$C$10="All",TRUE,$AF50&lt;=DASHBOARD!$C$10),IF(DASHBOARD!$C$12="All",TRUE,$AH50=VALUE(DASHBOARD!$C$12)),IF(DASHBOARD!$C$14="All",TRUE,$AJ50=DASHBOARD!$C$14)),1,0))</f>
        <v/>
      </c>
    </row>
    <row r="51">
      <c r="A51" t="n">
        <v>41564</v>
      </c>
      <c r="B51" t="inlineStr">
        <is>
          <t>Aloe Vera Gel</t>
        </is>
      </c>
      <c r="H51" t="inlineStr">
        <is>
          <t>Aloe Vera Gel - 80 gms</t>
        </is>
      </c>
      <c r="N51" t="inlineStr">
        <is>
          <t>FC-HG-PA-080</t>
        </is>
      </c>
      <c r="T51" t="inlineStr">
        <is>
          <t>May 9, 2026</t>
        </is>
      </c>
      <c r="AE51" t="inlineStr">
        <is>
          <t>New Delhi</t>
        </is>
      </c>
      <c r="AF51" t="inlineStr">
        <is>
          <t>2026-05</t>
        </is>
      </c>
      <c r="AG51" t="n">
        <v>5</v>
      </c>
      <c r="AH51" t="n">
        <v>1</v>
      </c>
      <c r="AI51" t="n">
        <v>0</v>
      </c>
      <c r="AJ51">
        <f>IF($AE51="","",IFERROR(VLOOKUP(TRIM($AE51),DECODE!$H$3:$I$60,2,FALSE),"Rest of India"))</f>
        <v/>
      </c>
      <c r="AK51">
        <f>IF($N51="","",UPPER(TRIM(LEFT($N51&amp;",",FIND(",",$N51&amp;",")-1))))</f>
        <v/>
      </c>
      <c r="AL51">
        <f>IF($AK51="","",MID($AK51,4,FIND("~",SUBSTITUTE($AK51,"-","~",2))-4))</f>
        <v/>
      </c>
      <c r="AM51">
        <f>IF($AK51="","",MID($AK51,FIND("~",SUBSTITUTE($AK51,"-","~",2))+1,FIND("~",SUBSTITUTE($AK51,"-","~",3))-FIND("~",SUBSTITUTE($AK51,"-","~",2))-1))</f>
        <v/>
      </c>
      <c r="AN51">
        <f>IF($AL51="","",IFERROR(VLOOKUP($AL51,DECODE!$A$3:$C$8,3,FALSE),"?"))</f>
        <v/>
      </c>
      <c r="AO51">
        <f>IF($AM51="","",IFERROR(VLOOKUP($AL51&amp;"-"&amp;$AM51,DECODE!$E$3:$F$21,2,FALSE),"?"))</f>
        <v/>
      </c>
      <c r="AP51">
        <f>IF($AK51="","",IFERROR(VALUE(RIGHT($AK51,3)),""))</f>
        <v/>
      </c>
      <c r="AQ51">
        <f>IF($T51="","",IFERROR(IF(ISNUMBER($T51),$T51,DATEVALUE(TRIM($T51))),""))</f>
        <v/>
      </c>
      <c r="AR51">
        <f>IF($AQ51="","",IF(MONTH($AQ51)&gt;=12,"Cold Winter",IF(MONTH($AQ51)&gt;=10,"Post-Monsoon",IF(MONTH($AQ51)&gt;=6,"Hot Humid",IF(MONTH($AQ51)&gt;=3,"Hot Dry","Cold Winter")))))</f>
        <v/>
      </c>
      <c r="AS51">
        <f>IF($AL51="","",IFERROR(VLOOKUP($AL51,DECODE!$A$3:$C$8,2,FALSE),"?"))</f>
        <v/>
      </c>
      <c r="AT51">
        <f>IF($O51="","",UPPER(TRIM(LEFT($O51&amp;",",FIND(",",$O51&amp;",")-1))))</f>
        <v/>
      </c>
      <c r="AU51">
        <f>IF($AT51="","",MID($AT51,4,FIND("~",SUBSTITUTE($AT51,"-","~",2))-4))</f>
        <v/>
      </c>
      <c r="AV51">
        <f>IF($AT51="","",MID($AT51,FIND("~",SUBSTITUTE($AT51,"-","~",2))+1,FIND("~",SUBSTITUTE($AT51,"-","~",3))-FIND("~",SUBSTITUTE($AT51,"-","~",2))-1))</f>
        <v/>
      </c>
      <c r="AW51">
        <f>IF($AU51="","",IFERROR(VLOOKUP($AU51,DECODE!$A$3:$C$8,3,FALSE),"?"))</f>
        <v/>
      </c>
      <c r="AX51">
        <f>IF($AV51="","",IFERROR(VLOOKUP($AU51&amp;"-"&amp;$AV51,DECODE!$E$3:$F$21,2,FALSE),"?"))</f>
        <v/>
      </c>
      <c r="AY51">
        <f>IF($AT51="","",IFERROR(VALUE(RIGHT($AT51,3)),""))</f>
        <v/>
      </c>
      <c r="AZ51">
        <f>IF($U51="","",IFERROR(IF(ISNUMBER($U51),$U51,DATEVALUE(TRIM($U51))),""))</f>
        <v/>
      </c>
      <c r="BA51">
        <f>IF($AZ51="","",IF(MONTH($AZ51)&gt;=12,"Cold Winter",IF(MONTH($AZ51)&gt;=10,"Post-Monsoon",IF(MONTH($AZ51)&gt;=6,"Hot Humid",IF(MONTH($AZ51)&gt;=3,"Hot Dry","Cold Winter")))))</f>
        <v/>
      </c>
      <c r="BB51">
        <f>IF($AU51="","",IFERROR(VLOOKUP($AU51,DECODE!$A$3:$C$8,2,FALSE),"?"))</f>
        <v/>
      </c>
      <c r="BC51">
        <f>IF($P51="","",UPPER(TRIM(LEFT($P51&amp;",",FIND(",",$P51&amp;",")-1))))</f>
        <v/>
      </c>
      <c r="BD51">
        <f>IF($BC51="","",MID($BC51,4,FIND("~",SUBSTITUTE($BC51,"-","~",2))-4))</f>
        <v/>
      </c>
      <c r="BE51">
        <f>IF($BC51="","",MID($BC51,FIND("~",SUBSTITUTE($BC51,"-","~",2))+1,FIND("~",SUBSTITUTE($BC51,"-","~",3))-FIND("~",SUBSTITUTE($BC51,"-","~",2))-1))</f>
        <v/>
      </c>
      <c r="BF51">
        <f>IF($BD51="","",IFERROR(VLOOKUP($BD51,DECODE!$A$3:$C$8,3,FALSE),"?"))</f>
        <v/>
      </c>
      <c r="BG51">
        <f>IF($BE51="","",IFERROR(VLOOKUP($BD51&amp;"-"&amp;$BE51,DECODE!$E$3:$F$21,2,FALSE),"?"))</f>
        <v/>
      </c>
      <c r="BH51">
        <f>IF($BC51="","",IFERROR(VALUE(RIGHT($BC51,3)),""))</f>
        <v/>
      </c>
      <c r="BI51">
        <f>IF($V51="","",IFERROR(IF(ISNUMBER($V51),$V51,DATEVALUE(TRIM($V51))),""))</f>
        <v/>
      </c>
      <c r="BJ51">
        <f>IF($BI51="","",IF(MONTH($BI51)&gt;=12,"Cold Winter",IF(MONTH($BI51)&gt;=10,"Post-Monsoon",IF(MONTH($BI51)&gt;=6,"Hot Humid",IF(MONTH($BI51)&gt;=3,"Hot Dry","Cold Winter")))))</f>
        <v/>
      </c>
      <c r="BK51">
        <f>IF($BD51="","",IFERROR(VLOOKUP($BD51,DECODE!$A$3:$C$8,2,FALSE),"?"))</f>
        <v/>
      </c>
      <c r="BL51">
        <f>IF($Q51="","",UPPER(TRIM(LEFT($Q51&amp;",",FIND(",",$Q51&amp;",")-1))))</f>
        <v/>
      </c>
      <c r="BM51">
        <f>IF($BL51="","",MID($BL51,4,FIND("~",SUBSTITUTE($BL51,"-","~",2))-4))</f>
        <v/>
      </c>
      <c r="BN51">
        <f>IF($BL51="","",MID($BL51,FIND("~",SUBSTITUTE($BL51,"-","~",2))+1,FIND("~",SUBSTITUTE($BL51,"-","~",3))-FIND("~",SUBSTITUTE($BL51,"-","~",2))-1))</f>
        <v/>
      </c>
      <c r="BO51">
        <f>IF($BM51="","",IFERROR(VLOOKUP($BM51,DECODE!$A$3:$C$8,3,FALSE),"?"))</f>
        <v/>
      </c>
      <c r="BP51">
        <f>IF($BN51="","",IFERROR(VLOOKUP($BM51&amp;"-"&amp;$BN51,DECODE!$E$3:$F$21,2,FALSE),"?"))</f>
        <v/>
      </c>
      <c r="BQ51">
        <f>IF($BL51="","",IFERROR(VALUE(RIGHT($BL51,3)),""))</f>
        <v/>
      </c>
      <c r="BR51">
        <f>IF($W51="","",IFERROR(IF(ISNUMBER($W51),$W51,DATEVALUE(TRIM($W51))),""))</f>
        <v/>
      </c>
      <c r="BS51">
        <f>IF($BR51="","",IF(MONTH($BR51)&gt;=12,"Cold Winter",IF(MONTH($BR51)&gt;=10,"Post-Monsoon",IF(MONTH($BR51)&gt;=6,"Hot Humid",IF(MONTH($BR51)&gt;=3,"Hot Dry","Cold Winter")))))</f>
        <v/>
      </c>
      <c r="BT51">
        <f>IF($BM51="","",IFERROR(VLOOKUP($BM51,DECODE!$A$3:$C$8,2,FALSE),"?"))</f>
        <v/>
      </c>
      <c r="BU51">
        <f>IF($R51="","",UPPER(TRIM(LEFT($R51&amp;",",FIND(",",$R51&amp;",")-1))))</f>
        <v/>
      </c>
      <c r="BV51">
        <f>IF($BU51="","",MID($BU51,4,FIND("~",SUBSTITUTE($BU51,"-","~",2))-4))</f>
        <v/>
      </c>
      <c r="BW51">
        <f>IF($BU51="","",MID($BU51,FIND("~",SUBSTITUTE($BU51,"-","~",2))+1,FIND("~",SUBSTITUTE($BU51,"-","~",3))-FIND("~",SUBSTITUTE($BU51,"-","~",2))-1))</f>
        <v/>
      </c>
      <c r="BX51">
        <f>IF($BV51="","",IFERROR(VLOOKUP($BV51,DECODE!$A$3:$C$8,3,FALSE),"?"))</f>
        <v/>
      </c>
      <c r="BY51">
        <f>IF($BW51="","",IFERROR(VLOOKUP($BV51&amp;"-"&amp;$BW51,DECODE!$E$3:$F$21,2,FALSE),"?"))</f>
        <v/>
      </c>
      <c r="BZ51">
        <f>IF($BU51="","",IFERROR(VALUE(RIGHT($BU51,3)),""))</f>
        <v/>
      </c>
      <c r="CA51">
        <f>IF($X51="","",IFERROR(IF(ISNUMBER($X51),$X51,DATEVALUE(TRIM($X51))),""))</f>
        <v/>
      </c>
      <c r="CB51">
        <f>IF($CA51="","",IF(MONTH($CA51)&gt;=12,"Cold Winter",IF(MONTH($CA51)&gt;=10,"Post-Monsoon",IF(MONTH($CA51)&gt;=6,"Hot Humid",IF(MONTH($CA51)&gt;=3,"Hot Dry","Cold Winter")))))</f>
        <v/>
      </c>
      <c r="CC51">
        <f>IF($BV51="","",IFERROR(VLOOKUP($BV51,DECODE!$A$3:$C$8,2,FALSE),"?"))</f>
        <v/>
      </c>
      <c r="CD51">
        <f>IF($S51="","",UPPER(TRIM(LEFT($S51&amp;",",FIND(",",$S51&amp;",")-1))))</f>
        <v/>
      </c>
      <c r="CE51">
        <f>IF($CD51="","",MID($CD51,4,FIND("~",SUBSTITUTE($CD51,"-","~",2))-4))</f>
        <v/>
      </c>
      <c r="CF51">
        <f>IF($CD51="","",MID($CD51,FIND("~",SUBSTITUTE($CD51,"-","~",2))+1,FIND("~",SUBSTITUTE($CD51,"-","~",3))-FIND("~",SUBSTITUTE($CD51,"-","~",2))-1))</f>
        <v/>
      </c>
      <c r="CG51">
        <f>IF($CE51="","",IFERROR(VLOOKUP($CE51,DECODE!$A$3:$C$8,3,FALSE),"?"))</f>
        <v/>
      </c>
      <c r="CH51">
        <f>IF($CF51="","",IFERROR(VLOOKUP($CE51&amp;"-"&amp;$CF51,DECODE!$E$3:$F$21,2,FALSE),"?"))</f>
        <v/>
      </c>
      <c r="CI51">
        <f>IF($CD51="","",IFERROR(VALUE(RIGHT($CD51,3)),""))</f>
        <v/>
      </c>
      <c r="CJ51">
        <f>IF($Y51="","",IFERROR(IF(ISNUMBER($Y51),$Y51,DATEVALUE(TRIM($Y51))),""))</f>
        <v/>
      </c>
      <c r="CK51">
        <f>IF($CJ51="","",IF(MONTH($CJ51)&gt;=12,"Cold Winter",IF(MONTH($CJ51)&gt;=10,"Post-Monsoon",IF(MONTH($CJ51)&gt;=6,"Hot Humid",IF(MONTH($CJ51)&gt;=3,"Hot Dry","Cold Winter")))))</f>
        <v/>
      </c>
      <c r="CL51">
        <f>IF($CE51="","",IFERROR(VLOOKUP($CE51,DECODE!$A$3:$C$8,2,FALSE),"?"))</f>
        <v/>
      </c>
      <c r="CM51">
        <f>IF($AN51="","",AN51)</f>
        <v/>
      </c>
      <c r="CN51">
        <f>IF($AO51="","",AO51)</f>
        <v/>
      </c>
      <c r="CO51">
        <f>IF($AP51="","",AP51)</f>
        <v/>
      </c>
      <c r="CP51">
        <f>IF($CM51="","",IF($CM51="Aloe Vera Gel","Aloe Vera Gel "&amp;$CO51&amp;"g",CN51&amp;" "&amp;$CO51&amp;"g"))</f>
        <v/>
      </c>
      <c r="CQ51">
        <f>IF($AT51="",0,1)</f>
        <v/>
      </c>
      <c r="CR51">
        <f>IF($CQ51=0,"",AW51)</f>
        <v/>
      </c>
      <c r="CS51">
        <f>IF($CQ51=0,"",AX51)</f>
        <v/>
      </c>
      <c r="CT51">
        <f>IF($CQ51=0,"",AY51)</f>
        <v/>
      </c>
      <c r="CU51">
        <f>IF($CR51="","",IF($CR51="Aloe Vera Gel","Aloe Vera Gel "&amp;$CT51&amp;"g",CS51&amp;" "&amp;$CT51&amp;"g"))</f>
        <v/>
      </c>
      <c r="CV51">
        <f>IF($CQ51=0,"",IF($CP51=$CU51,"Repeat Exact",IF($CT51&gt;$CO51,"Upsized",IF($CT51&lt;$CO51,"Downsized",IF($CM51&lt;&gt;$CR51,"Lateral","Same Size Diff Variant")))))</f>
        <v/>
      </c>
      <c r="CW51">
        <f>IF($CQ51=0,"",AZ51-AQ51)</f>
        <v/>
      </c>
      <c r="CX51">
        <f>IF($CQ51=0,0,IF(CS51=CN51,1,0))</f>
        <v/>
      </c>
      <c r="CY51">
        <f>IF($CQ51=0,0,IF(CR51=CM51,1,0))</f>
        <v/>
      </c>
      <c r="CZ51">
        <f>IF($A51="","",IF(AND(IF(DASHBOARD!$C$4="All",TRUE,$CM51=DASHBOARD!$C$4),IF(DASHBOARD!$C$6="All",TRUE,$CP51=DASHBOARD!$C$6),IF(DASHBOARD!$C$8="All",TRUE,$AF51&gt;=DASHBOARD!$C$8),IF(DASHBOARD!$C$10="All",TRUE,$AF51&lt;=DASHBOARD!$C$10),IF(DASHBOARD!$C$12="All",TRUE,$AH51=VALUE(DASHBOARD!$C$12)),IF(DASHBOARD!$C$14="All",TRUE,$AJ51=DASHBOARD!$C$14)),1,0))</f>
        <v/>
      </c>
    </row>
    <row r="52">
      <c r="A52" t="n">
        <v>42059</v>
      </c>
      <c r="B52" t="inlineStr">
        <is>
          <t>Active Gel</t>
        </is>
      </c>
      <c r="H52" t="inlineStr">
        <is>
          <t>Active Neem TeaTree Gel</t>
        </is>
      </c>
      <c r="N52" t="inlineStr">
        <is>
          <t>FC-AC-NT-050</t>
        </is>
      </c>
      <c r="T52" t="inlineStr">
        <is>
          <t>May 31, 2024</t>
        </is>
      </c>
      <c r="AE52" t="inlineStr">
        <is>
          <t>Faridabad</t>
        </is>
      </c>
      <c r="AF52" t="inlineStr">
        <is>
          <t>2024-05</t>
        </is>
      </c>
      <c r="AG52" t="n">
        <v>5</v>
      </c>
      <c r="AH52" t="n">
        <v>1</v>
      </c>
      <c r="AI52" t="n">
        <v>0</v>
      </c>
      <c r="AJ52">
        <f>IF($AE52="","",IFERROR(VLOOKUP(TRIM($AE52),DECODE!$H$3:$I$60,2,FALSE),"Rest of India"))</f>
        <v/>
      </c>
      <c r="AK52">
        <f>IF($N52="","",UPPER(TRIM(LEFT($N52&amp;",",FIND(",",$N52&amp;",")-1))))</f>
        <v/>
      </c>
      <c r="AL52">
        <f>IF($AK52="","",MID($AK52,4,FIND("~",SUBSTITUTE($AK52,"-","~",2))-4))</f>
        <v/>
      </c>
      <c r="AM52">
        <f>IF($AK52="","",MID($AK52,FIND("~",SUBSTITUTE($AK52,"-","~",2))+1,FIND("~",SUBSTITUTE($AK52,"-","~",3))-FIND("~",SUBSTITUTE($AK52,"-","~",2))-1))</f>
        <v/>
      </c>
      <c r="AN52">
        <f>IF($AL52="","",IFERROR(VLOOKUP($AL52,DECODE!$A$3:$C$8,3,FALSE),"?"))</f>
        <v/>
      </c>
      <c r="AO52">
        <f>IF($AM52="","",IFERROR(VLOOKUP($AL52&amp;"-"&amp;$AM52,DECODE!$E$3:$F$21,2,FALSE),"?"))</f>
        <v/>
      </c>
      <c r="AP52">
        <f>IF($AK52="","",IFERROR(VALUE(RIGHT($AK52,3)),""))</f>
        <v/>
      </c>
      <c r="AQ52">
        <f>IF($T52="","",IFERROR(IF(ISNUMBER($T52),$T52,DATEVALUE(TRIM($T52))),""))</f>
        <v/>
      </c>
      <c r="AR52">
        <f>IF($AQ52="","",IF(MONTH($AQ52)&gt;=12,"Cold Winter",IF(MONTH($AQ52)&gt;=10,"Post-Monsoon",IF(MONTH($AQ52)&gt;=6,"Hot Humid",IF(MONTH($AQ52)&gt;=3,"Hot Dry","Cold Winter")))))</f>
        <v/>
      </c>
      <c r="AS52">
        <f>IF($AL52="","",IFERROR(VLOOKUP($AL52,DECODE!$A$3:$C$8,2,FALSE),"?"))</f>
        <v/>
      </c>
      <c r="AT52">
        <f>IF($O52="","",UPPER(TRIM(LEFT($O52&amp;",",FIND(",",$O52&amp;",")-1))))</f>
        <v/>
      </c>
      <c r="AU52">
        <f>IF($AT52="","",MID($AT52,4,FIND("~",SUBSTITUTE($AT52,"-","~",2))-4))</f>
        <v/>
      </c>
      <c r="AV52">
        <f>IF($AT52="","",MID($AT52,FIND("~",SUBSTITUTE($AT52,"-","~",2))+1,FIND("~",SUBSTITUTE($AT52,"-","~",3))-FIND("~",SUBSTITUTE($AT52,"-","~",2))-1))</f>
        <v/>
      </c>
      <c r="AW52">
        <f>IF($AU52="","",IFERROR(VLOOKUP($AU52,DECODE!$A$3:$C$8,3,FALSE),"?"))</f>
        <v/>
      </c>
      <c r="AX52">
        <f>IF($AV52="","",IFERROR(VLOOKUP($AU52&amp;"-"&amp;$AV52,DECODE!$E$3:$F$21,2,FALSE),"?"))</f>
        <v/>
      </c>
      <c r="AY52">
        <f>IF($AT52="","",IFERROR(VALUE(RIGHT($AT52,3)),""))</f>
        <v/>
      </c>
      <c r="AZ52">
        <f>IF($U52="","",IFERROR(IF(ISNUMBER($U52),$U52,DATEVALUE(TRIM($U52))),""))</f>
        <v/>
      </c>
      <c r="BA52">
        <f>IF($AZ52="","",IF(MONTH($AZ52)&gt;=12,"Cold Winter",IF(MONTH($AZ52)&gt;=10,"Post-Monsoon",IF(MONTH($AZ52)&gt;=6,"Hot Humid",IF(MONTH($AZ52)&gt;=3,"Hot Dry","Cold Winter")))))</f>
        <v/>
      </c>
      <c r="BB52">
        <f>IF($AU52="","",IFERROR(VLOOKUP($AU52,DECODE!$A$3:$C$8,2,FALSE),"?"))</f>
        <v/>
      </c>
      <c r="BC52">
        <f>IF($P52="","",UPPER(TRIM(LEFT($P52&amp;",",FIND(",",$P52&amp;",")-1))))</f>
        <v/>
      </c>
      <c r="BD52">
        <f>IF($BC52="","",MID($BC52,4,FIND("~",SUBSTITUTE($BC52,"-","~",2))-4))</f>
        <v/>
      </c>
      <c r="BE52">
        <f>IF($BC52="","",MID($BC52,FIND("~",SUBSTITUTE($BC52,"-","~",2))+1,FIND("~",SUBSTITUTE($BC52,"-","~",3))-FIND("~",SUBSTITUTE($BC52,"-","~",2))-1))</f>
        <v/>
      </c>
      <c r="BF52">
        <f>IF($BD52="","",IFERROR(VLOOKUP($BD52,DECODE!$A$3:$C$8,3,FALSE),"?"))</f>
        <v/>
      </c>
      <c r="BG52">
        <f>IF($BE52="","",IFERROR(VLOOKUP($BD52&amp;"-"&amp;$BE52,DECODE!$E$3:$F$21,2,FALSE),"?"))</f>
        <v/>
      </c>
      <c r="BH52">
        <f>IF($BC52="","",IFERROR(VALUE(RIGHT($BC52,3)),""))</f>
        <v/>
      </c>
      <c r="BI52">
        <f>IF($V52="","",IFERROR(IF(ISNUMBER($V52),$V52,DATEVALUE(TRIM($V52))),""))</f>
        <v/>
      </c>
      <c r="BJ52">
        <f>IF($BI52="","",IF(MONTH($BI52)&gt;=12,"Cold Winter",IF(MONTH($BI52)&gt;=10,"Post-Monsoon",IF(MONTH($BI52)&gt;=6,"Hot Humid",IF(MONTH($BI52)&gt;=3,"Hot Dry","Cold Winter")))))</f>
        <v/>
      </c>
      <c r="BK52">
        <f>IF($BD52="","",IFERROR(VLOOKUP($BD52,DECODE!$A$3:$C$8,2,FALSE),"?"))</f>
        <v/>
      </c>
      <c r="BL52">
        <f>IF($Q52="","",UPPER(TRIM(LEFT($Q52&amp;",",FIND(",",$Q52&amp;",")-1))))</f>
        <v/>
      </c>
      <c r="BM52">
        <f>IF($BL52="","",MID($BL52,4,FIND("~",SUBSTITUTE($BL52,"-","~",2))-4))</f>
        <v/>
      </c>
      <c r="BN52">
        <f>IF($BL52="","",MID($BL52,FIND("~",SUBSTITUTE($BL52,"-","~",2))+1,FIND("~",SUBSTITUTE($BL52,"-","~",3))-FIND("~",SUBSTITUTE($BL52,"-","~",2))-1))</f>
        <v/>
      </c>
      <c r="BO52">
        <f>IF($BM52="","",IFERROR(VLOOKUP($BM52,DECODE!$A$3:$C$8,3,FALSE),"?"))</f>
        <v/>
      </c>
      <c r="BP52">
        <f>IF($BN52="","",IFERROR(VLOOKUP($BM52&amp;"-"&amp;$BN52,DECODE!$E$3:$F$21,2,FALSE),"?"))</f>
        <v/>
      </c>
      <c r="BQ52">
        <f>IF($BL52="","",IFERROR(VALUE(RIGHT($BL52,3)),""))</f>
        <v/>
      </c>
      <c r="BR52">
        <f>IF($W52="","",IFERROR(IF(ISNUMBER($W52),$W52,DATEVALUE(TRIM($W52))),""))</f>
        <v/>
      </c>
      <c r="BS52">
        <f>IF($BR52="","",IF(MONTH($BR52)&gt;=12,"Cold Winter",IF(MONTH($BR52)&gt;=10,"Post-Monsoon",IF(MONTH($BR52)&gt;=6,"Hot Humid",IF(MONTH($BR52)&gt;=3,"Hot Dry","Cold Winter")))))</f>
        <v/>
      </c>
      <c r="BT52">
        <f>IF($BM52="","",IFERROR(VLOOKUP($BM52,DECODE!$A$3:$C$8,2,FALSE),"?"))</f>
        <v/>
      </c>
      <c r="BU52">
        <f>IF($R52="","",UPPER(TRIM(LEFT($R52&amp;",",FIND(",",$R52&amp;",")-1))))</f>
        <v/>
      </c>
      <c r="BV52">
        <f>IF($BU52="","",MID($BU52,4,FIND("~",SUBSTITUTE($BU52,"-","~",2))-4))</f>
        <v/>
      </c>
      <c r="BW52">
        <f>IF($BU52="","",MID($BU52,FIND("~",SUBSTITUTE($BU52,"-","~",2))+1,FIND("~",SUBSTITUTE($BU52,"-","~",3))-FIND("~",SUBSTITUTE($BU52,"-","~",2))-1))</f>
        <v/>
      </c>
      <c r="BX52">
        <f>IF($BV52="","",IFERROR(VLOOKUP($BV52,DECODE!$A$3:$C$8,3,FALSE),"?"))</f>
        <v/>
      </c>
      <c r="BY52">
        <f>IF($BW52="","",IFERROR(VLOOKUP($BV52&amp;"-"&amp;$BW52,DECODE!$E$3:$F$21,2,FALSE),"?"))</f>
        <v/>
      </c>
      <c r="BZ52">
        <f>IF($BU52="","",IFERROR(VALUE(RIGHT($BU52,3)),""))</f>
        <v/>
      </c>
      <c r="CA52">
        <f>IF($X52="","",IFERROR(IF(ISNUMBER($X52),$X52,DATEVALUE(TRIM($X52))),""))</f>
        <v/>
      </c>
      <c r="CB52">
        <f>IF($CA52="","",IF(MONTH($CA52)&gt;=12,"Cold Winter",IF(MONTH($CA52)&gt;=10,"Post-Monsoon",IF(MONTH($CA52)&gt;=6,"Hot Humid",IF(MONTH($CA52)&gt;=3,"Hot Dry","Cold Winter")))))</f>
        <v/>
      </c>
      <c r="CC52">
        <f>IF($BV52="","",IFERROR(VLOOKUP($BV52,DECODE!$A$3:$C$8,2,FALSE),"?"))</f>
        <v/>
      </c>
      <c r="CD52">
        <f>IF($S52="","",UPPER(TRIM(LEFT($S52&amp;",",FIND(",",$S52&amp;",")-1))))</f>
        <v/>
      </c>
      <c r="CE52">
        <f>IF($CD52="","",MID($CD52,4,FIND("~",SUBSTITUTE($CD52,"-","~",2))-4))</f>
        <v/>
      </c>
      <c r="CF52">
        <f>IF($CD52="","",MID($CD52,FIND("~",SUBSTITUTE($CD52,"-","~",2))+1,FIND("~",SUBSTITUTE($CD52,"-","~",3))-FIND("~",SUBSTITUTE($CD52,"-","~",2))-1))</f>
        <v/>
      </c>
      <c r="CG52">
        <f>IF($CE52="","",IFERROR(VLOOKUP($CE52,DECODE!$A$3:$C$8,3,FALSE),"?"))</f>
        <v/>
      </c>
      <c r="CH52">
        <f>IF($CF52="","",IFERROR(VLOOKUP($CE52&amp;"-"&amp;$CF52,DECODE!$E$3:$F$21,2,FALSE),"?"))</f>
        <v/>
      </c>
      <c r="CI52">
        <f>IF($CD52="","",IFERROR(VALUE(RIGHT($CD52,3)),""))</f>
        <v/>
      </c>
      <c r="CJ52">
        <f>IF($Y52="","",IFERROR(IF(ISNUMBER($Y52),$Y52,DATEVALUE(TRIM($Y52))),""))</f>
        <v/>
      </c>
      <c r="CK52">
        <f>IF($CJ52="","",IF(MONTH($CJ52)&gt;=12,"Cold Winter",IF(MONTH($CJ52)&gt;=10,"Post-Monsoon",IF(MONTH($CJ52)&gt;=6,"Hot Humid",IF(MONTH($CJ52)&gt;=3,"Hot Dry","Cold Winter")))))</f>
        <v/>
      </c>
      <c r="CL52">
        <f>IF($CE52="","",IFERROR(VLOOKUP($CE52,DECODE!$A$3:$C$8,2,FALSE),"?"))</f>
        <v/>
      </c>
      <c r="CM52">
        <f>IF($AN52="","",AN52)</f>
        <v/>
      </c>
      <c r="CN52">
        <f>IF($AO52="","",AO52)</f>
        <v/>
      </c>
      <c r="CO52">
        <f>IF($AP52="","",AP52)</f>
        <v/>
      </c>
      <c r="CP52">
        <f>IF($CM52="","",IF($CM52="Aloe Vera Gel","Aloe Vera Gel "&amp;$CO52&amp;"g",CN52&amp;" "&amp;$CO52&amp;"g"))</f>
        <v/>
      </c>
      <c r="CQ52">
        <f>IF($AT52="",0,1)</f>
        <v/>
      </c>
      <c r="CR52">
        <f>IF($CQ52=0,"",AW52)</f>
        <v/>
      </c>
      <c r="CS52">
        <f>IF($CQ52=0,"",AX52)</f>
        <v/>
      </c>
      <c r="CT52">
        <f>IF($CQ52=0,"",AY52)</f>
        <v/>
      </c>
      <c r="CU52">
        <f>IF($CR52="","",IF($CR52="Aloe Vera Gel","Aloe Vera Gel "&amp;$CT52&amp;"g",CS52&amp;" "&amp;$CT52&amp;"g"))</f>
        <v/>
      </c>
      <c r="CV52">
        <f>IF($CQ52=0,"",IF($CP52=$CU52,"Repeat Exact",IF($CT52&gt;$CO52,"Upsized",IF($CT52&lt;$CO52,"Downsized",IF($CM52&lt;&gt;$CR52,"Lateral","Same Size Diff Variant")))))</f>
        <v/>
      </c>
      <c r="CW52">
        <f>IF($CQ52=0,"",AZ52-AQ52)</f>
        <v/>
      </c>
      <c r="CX52">
        <f>IF($CQ52=0,0,IF(CS52=CN52,1,0))</f>
        <v/>
      </c>
      <c r="CY52">
        <f>IF($CQ52=0,0,IF(CR52=CM52,1,0))</f>
        <v/>
      </c>
      <c r="CZ52">
        <f>IF($A52="","",IF(AND(IF(DASHBOARD!$C$4="All",TRUE,$CM52=DASHBOARD!$C$4),IF(DASHBOARD!$C$6="All",TRUE,$CP52=DASHBOARD!$C$6),IF(DASHBOARD!$C$8="All",TRUE,$AF52&gt;=DASHBOARD!$C$8),IF(DASHBOARD!$C$10="All",TRUE,$AF52&lt;=DASHBOARD!$C$10),IF(DASHBOARD!$C$12="All",TRUE,$AH52=VALUE(DASHBOARD!$C$12)),IF(DASHBOARD!$C$14="All",TRUE,$AJ52=DASHBOARD!$C$14)),1,0))</f>
        <v/>
      </c>
    </row>
    <row r="53">
      <c r="A53" t="n">
        <v>42680</v>
      </c>
      <c r="B53" t="inlineStr">
        <is>
          <t>Face Malai</t>
        </is>
      </c>
      <c r="H53" t="inlineStr">
        <is>
          <t>Cocoa Mogra (Overnight) Face Malai - 30g</t>
        </is>
      </c>
      <c r="N53" t="inlineStr">
        <is>
          <t>FC-DM-NR-030</t>
        </is>
      </c>
      <c r="T53" t="inlineStr">
        <is>
          <t>May 19, 2024</t>
        </is>
      </c>
      <c r="AE53" t="inlineStr">
        <is>
          <t>Dehradun</t>
        </is>
      </c>
      <c r="AF53" t="inlineStr">
        <is>
          <t>2024-05</t>
        </is>
      </c>
      <c r="AG53" t="n">
        <v>5</v>
      </c>
      <c r="AH53" t="n">
        <v>1</v>
      </c>
      <c r="AI53" t="n">
        <v>0</v>
      </c>
      <c r="AJ53">
        <f>IF($AE53="","",IFERROR(VLOOKUP(TRIM($AE53),DECODE!$H$3:$I$60,2,FALSE),"Rest of India"))</f>
        <v/>
      </c>
      <c r="AK53">
        <f>IF($N53="","",UPPER(TRIM(LEFT($N53&amp;",",FIND(",",$N53&amp;",")-1))))</f>
        <v/>
      </c>
      <c r="AL53">
        <f>IF($AK53="","",MID($AK53,4,FIND("~",SUBSTITUTE($AK53,"-","~",2))-4))</f>
        <v/>
      </c>
      <c r="AM53">
        <f>IF($AK53="","",MID($AK53,FIND("~",SUBSTITUTE($AK53,"-","~",2))+1,FIND("~",SUBSTITUTE($AK53,"-","~",3))-FIND("~",SUBSTITUTE($AK53,"-","~",2))-1))</f>
        <v/>
      </c>
      <c r="AN53">
        <f>IF($AL53="","",IFERROR(VLOOKUP($AL53,DECODE!$A$3:$C$8,3,FALSE),"?"))</f>
        <v/>
      </c>
      <c r="AO53">
        <f>IF($AM53="","",IFERROR(VLOOKUP($AL53&amp;"-"&amp;$AM53,DECODE!$E$3:$F$21,2,FALSE),"?"))</f>
        <v/>
      </c>
      <c r="AP53">
        <f>IF($AK53="","",IFERROR(VALUE(RIGHT($AK53,3)),""))</f>
        <v/>
      </c>
      <c r="AQ53">
        <f>IF($T53="","",IFERROR(IF(ISNUMBER($T53),$T53,DATEVALUE(TRIM($T53))),""))</f>
        <v/>
      </c>
      <c r="AR53">
        <f>IF($AQ53="","",IF(MONTH($AQ53)&gt;=12,"Cold Winter",IF(MONTH($AQ53)&gt;=10,"Post-Monsoon",IF(MONTH($AQ53)&gt;=6,"Hot Humid",IF(MONTH($AQ53)&gt;=3,"Hot Dry","Cold Winter")))))</f>
        <v/>
      </c>
      <c r="AS53">
        <f>IF($AL53="","",IFERROR(VLOOKUP($AL53,DECODE!$A$3:$C$8,2,FALSE),"?"))</f>
        <v/>
      </c>
      <c r="AT53">
        <f>IF($O53="","",UPPER(TRIM(LEFT($O53&amp;",",FIND(",",$O53&amp;",")-1))))</f>
        <v/>
      </c>
      <c r="AU53">
        <f>IF($AT53="","",MID($AT53,4,FIND("~",SUBSTITUTE($AT53,"-","~",2))-4))</f>
        <v/>
      </c>
      <c r="AV53">
        <f>IF($AT53="","",MID($AT53,FIND("~",SUBSTITUTE($AT53,"-","~",2))+1,FIND("~",SUBSTITUTE($AT53,"-","~",3))-FIND("~",SUBSTITUTE($AT53,"-","~",2))-1))</f>
        <v/>
      </c>
      <c r="AW53">
        <f>IF($AU53="","",IFERROR(VLOOKUP($AU53,DECODE!$A$3:$C$8,3,FALSE),"?"))</f>
        <v/>
      </c>
      <c r="AX53">
        <f>IF($AV53="","",IFERROR(VLOOKUP($AU53&amp;"-"&amp;$AV53,DECODE!$E$3:$F$21,2,FALSE),"?"))</f>
        <v/>
      </c>
      <c r="AY53">
        <f>IF($AT53="","",IFERROR(VALUE(RIGHT($AT53,3)),""))</f>
        <v/>
      </c>
      <c r="AZ53">
        <f>IF($U53="","",IFERROR(IF(ISNUMBER($U53),$U53,DATEVALUE(TRIM($U53))),""))</f>
        <v/>
      </c>
      <c r="BA53">
        <f>IF($AZ53="","",IF(MONTH($AZ53)&gt;=12,"Cold Winter",IF(MONTH($AZ53)&gt;=10,"Post-Monsoon",IF(MONTH($AZ53)&gt;=6,"Hot Humid",IF(MONTH($AZ53)&gt;=3,"Hot Dry","Cold Winter")))))</f>
        <v/>
      </c>
      <c r="BB53">
        <f>IF($AU53="","",IFERROR(VLOOKUP($AU53,DECODE!$A$3:$C$8,2,FALSE),"?"))</f>
        <v/>
      </c>
      <c r="BC53">
        <f>IF($P53="","",UPPER(TRIM(LEFT($P53&amp;",",FIND(",",$P53&amp;",")-1))))</f>
        <v/>
      </c>
      <c r="BD53">
        <f>IF($BC53="","",MID($BC53,4,FIND("~",SUBSTITUTE($BC53,"-","~",2))-4))</f>
        <v/>
      </c>
      <c r="BE53">
        <f>IF($BC53="","",MID($BC53,FIND("~",SUBSTITUTE($BC53,"-","~",2))+1,FIND("~",SUBSTITUTE($BC53,"-","~",3))-FIND("~",SUBSTITUTE($BC53,"-","~",2))-1))</f>
        <v/>
      </c>
      <c r="BF53">
        <f>IF($BD53="","",IFERROR(VLOOKUP($BD53,DECODE!$A$3:$C$8,3,FALSE),"?"))</f>
        <v/>
      </c>
      <c r="BG53">
        <f>IF($BE53="","",IFERROR(VLOOKUP($BD53&amp;"-"&amp;$BE53,DECODE!$E$3:$F$21,2,FALSE),"?"))</f>
        <v/>
      </c>
      <c r="BH53">
        <f>IF($BC53="","",IFERROR(VALUE(RIGHT($BC53,3)),""))</f>
        <v/>
      </c>
      <c r="BI53">
        <f>IF($V53="","",IFERROR(IF(ISNUMBER($V53),$V53,DATEVALUE(TRIM($V53))),""))</f>
        <v/>
      </c>
      <c r="BJ53">
        <f>IF($BI53="","",IF(MONTH($BI53)&gt;=12,"Cold Winter",IF(MONTH($BI53)&gt;=10,"Post-Monsoon",IF(MONTH($BI53)&gt;=6,"Hot Humid",IF(MONTH($BI53)&gt;=3,"Hot Dry","Cold Winter")))))</f>
        <v/>
      </c>
      <c r="BK53">
        <f>IF($BD53="","",IFERROR(VLOOKUP($BD53,DECODE!$A$3:$C$8,2,FALSE),"?"))</f>
        <v/>
      </c>
      <c r="BL53">
        <f>IF($Q53="","",UPPER(TRIM(LEFT($Q53&amp;",",FIND(",",$Q53&amp;",")-1))))</f>
        <v/>
      </c>
      <c r="BM53">
        <f>IF($BL53="","",MID($BL53,4,FIND("~",SUBSTITUTE($BL53,"-","~",2))-4))</f>
        <v/>
      </c>
      <c r="BN53">
        <f>IF($BL53="","",MID($BL53,FIND("~",SUBSTITUTE($BL53,"-","~",2))+1,FIND("~",SUBSTITUTE($BL53,"-","~",3))-FIND("~",SUBSTITUTE($BL53,"-","~",2))-1))</f>
        <v/>
      </c>
      <c r="BO53">
        <f>IF($BM53="","",IFERROR(VLOOKUP($BM53,DECODE!$A$3:$C$8,3,FALSE),"?"))</f>
        <v/>
      </c>
      <c r="BP53">
        <f>IF($BN53="","",IFERROR(VLOOKUP($BM53&amp;"-"&amp;$BN53,DECODE!$E$3:$F$21,2,FALSE),"?"))</f>
        <v/>
      </c>
      <c r="BQ53">
        <f>IF($BL53="","",IFERROR(VALUE(RIGHT($BL53,3)),""))</f>
        <v/>
      </c>
      <c r="BR53">
        <f>IF($W53="","",IFERROR(IF(ISNUMBER($W53),$W53,DATEVALUE(TRIM($W53))),""))</f>
        <v/>
      </c>
      <c r="BS53">
        <f>IF($BR53="","",IF(MONTH($BR53)&gt;=12,"Cold Winter",IF(MONTH($BR53)&gt;=10,"Post-Monsoon",IF(MONTH($BR53)&gt;=6,"Hot Humid",IF(MONTH($BR53)&gt;=3,"Hot Dry","Cold Winter")))))</f>
        <v/>
      </c>
      <c r="BT53">
        <f>IF($BM53="","",IFERROR(VLOOKUP($BM53,DECODE!$A$3:$C$8,2,FALSE),"?"))</f>
        <v/>
      </c>
      <c r="BU53">
        <f>IF($R53="","",UPPER(TRIM(LEFT($R53&amp;",",FIND(",",$R53&amp;",")-1))))</f>
        <v/>
      </c>
      <c r="BV53">
        <f>IF($BU53="","",MID($BU53,4,FIND("~",SUBSTITUTE($BU53,"-","~",2))-4))</f>
        <v/>
      </c>
      <c r="BW53">
        <f>IF($BU53="","",MID($BU53,FIND("~",SUBSTITUTE($BU53,"-","~",2))+1,FIND("~",SUBSTITUTE($BU53,"-","~",3))-FIND("~",SUBSTITUTE($BU53,"-","~",2))-1))</f>
        <v/>
      </c>
      <c r="BX53">
        <f>IF($BV53="","",IFERROR(VLOOKUP($BV53,DECODE!$A$3:$C$8,3,FALSE),"?"))</f>
        <v/>
      </c>
      <c r="BY53">
        <f>IF($BW53="","",IFERROR(VLOOKUP($BV53&amp;"-"&amp;$BW53,DECODE!$E$3:$F$21,2,FALSE),"?"))</f>
        <v/>
      </c>
      <c r="BZ53">
        <f>IF($BU53="","",IFERROR(VALUE(RIGHT($BU53,3)),""))</f>
        <v/>
      </c>
      <c r="CA53">
        <f>IF($X53="","",IFERROR(IF(ISNUMBER($X53),$X53,DATEVALUE(TRIM($X53))),""))</f>
        <v/>
      </c>
      <c r="CB53">
        <f>IF($CA53="","",IF(MONTH($CA53)&gt;=12,"Cold Winter",IF(MONTH($CA53)&gt;=10,"Post-Monsoon",IF(MONTH($CA53)&gt;=6,"Hot Humid",IF(MONTH($CA53)&gt;=3,"Hot Dry","Cold Winter")))))</f>
        <v/>
      </c>
      <c r="CC53">
        <f>IF($BV53="","",IFERROR(VLOOKUP($BV53,DECODE!$A$3:$C$8,2,FALSE),"?"))</f>
        <v/>
      </c>
      <c r="CD53">
        <f>IF($S53="","",UPPER(TRIM(LEFT($S53&amp;",",FIND(",",$S53&amp;",")-1))))</f>
        <v/>
      </c>
      <c r="CE53">
        <f>IF($CD53="","",MID($CD53,4,FIND("~",SUBSTITUTE($CD53,"-","~",2))-4))</f>
        <v/>
      </c>
      <c r="CF53">
        <f>IF($CD53="","",MID($CD53,FIND("~",SUBSTITUTE($CD53,"-","~",2))+1,FIND("~",SUBSTITUTE($CD53,"-","~",3))-FIND("~",SUBSTITUTE($CD53,"-","~",2))-1))</f>
        <v/>
      </c>
      <c r="CG53">
        <f>IF($CE53="","",IFERROR(VLOOKUP($CE53,DECODE!$A$3:$C$8,3,FALSE),"?"))</f>
        <v/>
      </c>
      <c r="CH53">
        <f>IF($CF53="","",IFERROR(VLOOKUP($CE53&amp;"-"&amp;$CF53,DECODE!$E$3:$F$21,2,FALSE),"?"))</f>
        <v/>
      </c>
      <c r="CI53">
        <f>IF($CD53="","",IFERROR(VALUE(RIGHT($CD53,3)),""))</f>
        <v/>
      </c>
      <c r="CJ53">
        <f>IF($Y53="","",IFERROR(IF(ISNUMBER($Y53),$Y53,DATEVALUE(TRIM($Y53))),""))</f>
        <v/>
      </c>
      <c r="CK53">
        <f>IF($CJ53="","",IF(MONTH($CJ53)&gt;=12,"Cold Winter",IF(MONTH($CJ53)&gt;=10,"Post-Monsoon",IF(MONTH($CJ53)&gt;=6,"Hot Humid",IF(MONTH($CJ53)&gt;=3,"Hot Dry","Cold Winter")))))</f>
        <v/>
      </c>
      <c r="CL53">
        <f>IF($CE53="","",IFERROR(VLOOKUP($CE53,DECODE!$A$3:$C$8,2,FALSE),"?"))</f>
        <v/>
      </c>
      <c r="CM53">
        <f>IF($AN53="","",AN53)</f>
        <v/>
      </c>
      <c r="CN53">
        <f>IF($AO53="","",AO53)</f>
        <v/>
      </c>
      <c r="CO53">
        <f>IF($AP53="","",AP53)</f>
        <v/>
      </c>
      <c r="CP53">
        <f>IF($CM53="","",IF($CM53="Aloe Vera Gel","Aloe Vera Gel "&amp;$CO53&amp;"g",CN53&amp;" "&amp;$CO53&amp;"g"))</f>
        <v/>
      </c>
      <c r="CQ53">
        <f>IF($AT53="",0,1)</f>
        <v/>
      </c>
      <c r="CR53">
        <f>IF($CQ53=0,"",AW53)</f>
        <v/>
      </c>
      <c r="CS53">
        <f>IF($CQ53=0,"",AX53)</f>
        <v/>
      </c>
      <c r="CT53">
        <f>IF($CQ53=0,"",AY53)</f>
        <v/>
      </c>
      <c r="CU53">
        <f>IF($CR53="","",IF($CR53="Aloe Vera Gel","Aloe Vera Gel "&amp;$CT53&amp;"g",CS53&amp;" "&amp;$CT53&amp;"g"))</f>
        <v/>
      </c>
      <c r="CV53">
        <f>IF($CQ53=0,"",IF($CP53=$CU53,"Repeat Exact",IF($CT53&gt;$CO53,"Upsized",IF($CT53&lt;$CO53,"Downsized",IF($CM53&lt;&gt;$CR53,"Lateral","Same Size Diff Variant")))))</f>
        <v/>
      </c>
      <c r="CW53">
        <f>IF($CQ53=0,"",AZ53-AQ53)</f>
        <v/>
      </c>
      <c r="CX53">
        <f>IF($CQ53=0,0,IF(CS53=CN53,1,0))</f>
        <v/>
      </c>
      <c r="CY53">
        <f>IF($CQ53=0,0,IF(CR53=CM53,1,0))</f>
        <v/>
      </c>
      <c r="CZ53">
        <f>IF($A53="","",IF(AND(IF(DASHBOARD!$C$4="All",TRUE,$CM53=DASHBOARD!$C$4),IF(DASHBOARD!$C$6="All",TRUE,$CP53=DASHBOARD!$C$6),IF(DASHBOARD!$C$8="All",TRUE,$AF53&gt;=DASHBOARD!$C$8),IF(DASHBOARD!$C$10="All",TRUE,$AF53&lt;=DASHBOARD!$C$10),IF(DASHBOARD!$C$12="All",TRUE,$AH53=VALUE(DASHBOARD!$C$12)),IF(DASHBOARD!$C$14="All",TRUE,$AJ53=DASHBOARD!$C$14)),1,0))</f>
        <v/>
      </c>
    </row>
    <row r="54">
      <c r="A54" t="n">
        <v>42806</v>
      </c>
      <c r="B54" t="inlineStr">
        <is>
          <t>Face Malai</t>
        </is>
      </c>
      <c r="C54" t="inlineStr">
        <is>
          <t>Face Malai</t>
        </is>
      </c>
      <c r="H54" t="inlineStr">
        <is>
          <t>Turmeric Nutmeg (Pigmentation)  Face Malai - 30g</t>
        </is>
      </c>
      <c r="I54" t="inlineStr">
        <is>
          <t>Cocoa Mogra (Overnight) Face Malai - 30g, Turmeric Nutmeg (Pigmentation)  Face Malai - 30g</t>
        </is>
      </c>
      <c r="N54" t="inlineStr">
        <is>
          <t>FC-DM-PG-030</t>
        </is>
      </c>
      <c r="O54" t="inlineStr">
        <is>
          <t>FC-DM-PG-030, FC-DM-NR-030</t>
        </is>
      </c>
      <c r="T54" t="inlineStr">
        <is>
          <t>Jul 31, 2025</t>
        </is>
      </c>
      <c r="U54" t="inlineStr">
        <is>
          <t>Aug 2, 2025</t>
        </is>
      </c>
      <c r="Z54" t="n">
        <v>2</v>
      </c>
      <c r="AE54" t="inlineStr">
        <is>
          <t>New Delhi</t>
        </is>
      </c>
      <c r="AF54" t="inlineStr">
        <is>
          <t>2025-07</t>
        </is>
      </c>
      <c r="AG54" t="n">
        <v>7</v>
      </c>
      <c r="AH54" t="n">
        <v>2</v>
      </c>
      <c r="AI54" t="n">
        <v>1</v>
      </c>
      <c r="AJ54">
        <f>IF($AE54="","",IFERROR(VLOOKUP(TRIM($AE54),DECODE!$H$3:$I$60,2,FALSE),"Rest of India"))</f>
        <v/>
      </c>
      <c r="AK54">
        <f>IF($N54="","",UPPER(TRIM(LEFT($N54&amp;",",FIND(",",$N54&amp;",")-1))))</f>
        <v/>
      </c>
      <c r="AL54">
        <f>IF($AK54="","",MID($AK54,4,FIND("~",SUBSTITUTE($AK54,"-","~",2))-4))</f>
        <v/>
      </c>
      <c r="AM54">
        <f>IF($AK54="","",MID($AK54,FIND("~",SUBSTITUTE($AK54,"-","~",2))+1,FIND("~",SUBSTITUTE($AK54,"-","~",3))-FIND("~",SUBSTITUTE($AK54,"-","~",2))-1))</f>
        <v/>
      </c>
      <c r="AN54">
        <f>IF($AL54="","",IFERROR(VLOOKUP($AL54,DECODE!$A$3:$C$8,3,FALSE),"?"))</f>
        <v/>
      </c>
      <c r="AO54">
        <f>IF($AM54="","",IFERROR(VLOOKUP($AL54&amp;"-"&amp;$AM54,DECODE!$E$3:$F$21,2,FALSE),"?"))</f>
        <v/>
      </c>
      <c r="AP54">
        <f>IF($AK54="","",IFERROR(VALUE(RIGHT($AK54,3)),""))</f>
        <v/>
      </c>
      <c r="AQ54">
        <f>IF($T54="","",IFERROR(IF(ISNUMBER($T54),$T54,DATEVALUE(TRIM($T54))),""))</f>
        <v/>
      </c>
      <c r="AR54">
        <f>IF($AQ54="","",IF(MONTH($AQ54)&gt;=12,"Cold Winter",IF(MONTH($AQ54)&gt;=10,"Post-Monsoon",IF(MONTH($AQ54)&gt;=6,"Hot Humid",IF(MONTH($AQ54)&gt;=3,"Hot Dry","Cold Winter")))))</f>
        <v/>
      </c>
      <c r="AS54">
        <f>IF($AL54="","",IFERROR(VLOOKUP($AL54,DECODE!$A$3:$C$8,2,FALSE),"?"))</f>
        <v/>
      </c>
      <c r="AT54">
        <f>IF($O54="","",UPPER(TRIM(LEFT($O54&amp;",",FIND(",",$O54&amp;",")-1))))</f>
        <v/>
      </c>
      <c r="AU54">
        <f>IF($AT54="","",MID($AT54,4,FIND("~",SUBSTITUTE($AT54,"-","~",2))-4))</f>
        <v/>
      </c>
      <c r="AV54">
        <f>IF($AT54="","",MID($AT54,FIND("~",SUBSTITUTE($AT54,"-","~",2))+1,FIND("~",SUBSTITUTE($AT54,"-","~",3))-FIND("~",SUBSTITUTE($AT54,"-","~",2))-1))</f>
        <v/>
      </c>
      <c r="AW54">
        <f>IF($AU54="","",IFERROR(VLOOKUP($AU54,DECODE!$A$3:$C$8,3,FALSE),"?"))</f>
        <v/>
      </c>
      <c r="AX54">
        <f>IF($AV54="","",IFERROR(VLOOKUP($AU54&amp;"-"&amp;$AV54,DECODE!$E$3:$F$21,2,FALSE),"?"))</f>
        <v/>
      </c>
      <c r="AY54">
        <f>IF($AT54="","",IFERROR(VALUE(RIGHT($AT54,3)),""))</f>
        <v/>
      </c>
      <c r="AZ54">
        <f>IF($U54="","",IFERROR(IF(ISNUMBER($U54),$U54,DATEVALUE(TRIM($U54))),""))</f>
        <v/>
      </c>
      <c r="BA54">
        <f>IF($AZ54="","",IF(MONTH($AZ54)&gt;=12,"Cold Winter",IF(MONTH($AZ54)&gt;=10,"Post-Monsoon",IF(MONTH($AZ54)&gt;=6,"Hot Humid",IF(MONTH($AZ54)&gt;=3,"Hot Dry","Cold Winter")))))</f>
        <v/>
      </c>
      <c r="BB54">
        <f>IF($AU54="","",IFERROR(VLOOKUP($AU54,DECODE!$A$3:$C$8,2,FALSE),"?"))</f>
        <v/>
      </c>
      <c r="BC54">
        <f>IF($P54="","",UPPER(TRIM(LEFT($P54&amp;",",FIND(",",$P54&amp;",")-1))))</f>
        <v/>
      </c>
      <c r="BD54">
        <f>IF($BC54="","",MID($BC54,4,FIND("~",SUBSTITUTE($BC54,"-","~",2))-4))</f>
        <v/>
      </c>
      <c r="BE54">
        <f>IF($BC54="","",MID($BC54,FIND("~",SUBSTITUTE($BC54,"-","~",2))+1,FIND("~",SUBSTITUTE($BC54,"-","~",3))-FIND("~",SUBSTITUTE($BC54,"-","~",2))-1))</f>
        <v/>
      </c>
      <c r="BF54">
        <f>IF($BD54="","",IFERROR(VLOOKUP($BD54,DECODE!$A$3:$C$8,3,FALSE),"?"))</f>
        <v/>
      </c>
      <c r="BG54">
        <f>IF($BE54="","",IFERROR(VLOOKUP($BD54&amp;"-"&amp;$BE54,DECODE!$E$3:$F$21,2,FALSE),"?"))</f>
        <v/>
      </c>
      <c r="BH54">
        <f>IF($BC54="","",IFERROR(VALUE(RIGHT($BC54,3)),""))</f>
        <v/>
      </c>
      <c r="BI54">
        <f>IF($V54="","",IFERROR(IF(ISNUMBER($V54),$V54,DATEVALUE(TRIM($V54))),""))</f>
        <v/>
      </c>
      <c r="BJ54">
        <f>IF($BI54="","",IF(MONTH($BI54)&gt;=12,"Cold Winter",IF(MONTH($BI54)&gt;=10,"Post-Monsoon",IF(MONTH($BI54)&gt;=6,"Hot Humid",IF(MONTH($BI54)&gt;=3,"Hot Dry","Cold Winter")))))</f>
        <v/>
      </c>
      <c r="BK54">
        <f>IF($BD54="","",IFERROR(VLOOKUP($BD54,DECODE!$A$3:$C$8,2,FALSE),"?"))</f>
        <v/>
      </c>
      <c r="BL54">
        <f>IF($Q54="","",UPPER(TRIM(LEFT($Q54&amp;",",FIND(",",$Q54&amp;",")-1))))</f>
        <v/>
      </c>
      <c r="BM54">
        <f>IF($BL54="","",MID($BL54,4,FIND("~",SUBSTITUTE($BL54,"-","~",2))-4))</f>
        <v/>
      </c>
      <c r="BN54">
        <f>IF($BL54="","",MID($BL54,FIND("~",SUBSTITUTE($BL54,"-","~",2))+1,FIND("~",SUBSTITUTE($BL54,"-","~",3))-FIND("~",SUBSTITUTE($BL54,"-","~",2))-1))</f>
        <v/>
      </c>
      <c r="BO54">
        <f>IF($BM54="","",IFERROR(VLOOKUP($BM54,DECODE!$A$3:$C$8,3,FALSE),"?"))</f>
        <v/>
      </c>
      <c r="BP54">
        <f>IF($BN54="","",IFERROR(VLOOKUP($BM54&amp;"-"&amp;$BN54,DECODE!$E$3:$F$21,2,FALSE),"?"))</f>
        <v/>
      </c>
      <c r="BQ54">
        <f>IF($BL54="","",IFERROR(VALUE(RIGHT($BL54,3)),""))</f>
        <v/>
      </c>
      <c r="BR54">
        <f>IF($W54="","",IFERROR(IF(ISNUMBER($W54),$W54,DATEVALUE(TRIM($W54))),""))</f>
        <v/>
      </c>
      <c r="BS54">
        <f>IF($BR54="","",IF(MONTH($BR54)&gt;=12,"Cold Winter",IF(MONTH($BR54)&gt;=10,"Post-Monsoon",IF(MONTH($BR54)&gt;=6,"Hot Humid",IF(MONTH($BR54)&gt;=3,"Hot Dry","Cold Winter")))))</f>
        <v/>
      </c>
      <c r="BT54">
        <f>IF($BM54="","",IFERROR(VLOOKUP($BM54,DECODE!$A$3:$C$8,2,FALSE),"?"))</f>
        <v/>
      </c>
      <c r="BU54">
        <f>IF($R54="","",UPPER(TRIM(LEFT($R54&amp;",",FIND(",",$R54&amp;",")-1))))</f>
        <v/>
      </c>
      <c r="BV54">
        <f>IF($BU54="","",MID($BU54,4,FIND("~",SUBSTITUTE($BU54,"-","~",2))-4))</f>
        <v/>
      </c>
      <c r="BW54">
        <f>IF($BU54="","",MID($BU54,FIND("~",SUBSTITUTE($BU54,"-","~",2))+1,FIND("~",SUBSTITUTE($BU54,"-","~",3))-FIND("~",SUBSTITUTE($BU54,"-","~",2))-1))</f>
        <v/>
      </c>
      <c r="BX54">
        <f>IF($BV54="","",IFERROR(VLOOKUP($BV54,DECODE!$A$3:$C$8,3,FALSE),"?"))</f>
        <v/>
      </c>
      <c r="BY54">
        <f>IF($BW54="","",IFERROR(VLOOKUP($BV54&amp;"-"&amp;$BW54,DECODE!$E$3:$F$21,2,FALSE),"?"))</f>
        <v/>
      </c>
      <c r="BZ54">
        <f>IF($BU54="","",IFERROR(VALUE(RIGHT($BU54,3)),""))</f>
        <v/>
      </c>
      <c r="CA54">
        <f>IF($X54="","",IFERROR(IF(ISNUMBER($X54),$X54,DATEVALUE(TRIM($X54))),""))</f>
        <v/>
      </c>
      <c r="CB54">
        <f>IF($CA54="","",IF(MONTH($CA54)&gt;=12,"Cold Winter",IF(MONTH($CA54)&gt;=10,"Post-Monsoon",IF(MONTH($CA54)&gt;=6,"Hot Humid",IF(MONTH($CA54)&gt;=3,"Hot Dry","Cold Winter")))))</f>
        <v/>
      </c>
      <c r="CC54">
        <f>IF($BV54="","",IFERROR(VLOOKUP($BV54,DECODE!$A$3:$C$8,2,FALSE),"?"))</f>
        <v/>
      </c>
      <c r="CD54">
        <f>IF($S54="","",UPPER(TRIM(LEFT($S54&amp;",",FIND(",",$S54&amp;",")-1))))</f>
        <v/>
      </c>
      <c r="CE54">
        <f>IF($CD54="","",MID($CD54,4,FIND("~",SUBSTITUTE($CD54,"-","~",2))-4))</f>
        <v/>
      </c>
      <c r="CF54">
        <f>IF($CD54="","",MID($CD54,FIND("~",SUBSTITUTE($CD54,"-","~",2))+1,FIND("~",SUBSTITUTE($CD54,"-","~",3))-FIND("~",SUBSTITUTE($CD54,"-","~",2))-1))</f>
        <v/>
      </c>
      <c r="CG54">
        <f>IF($CE54="","",IFERROR(VLOOKUP($CE54,DECODE!$A$3:$C$8,3,FALSE),"?"))</f>
        <v/>
      </c>
      <c r="CH54">
        <f>IF($CF54="","",IFERROR(VLOOKUP($CE54&amp;"-"&amp;$CF54,DECODE!$E$3:$F$21,2,FALSE),"?"))</f>
        <v/>
      </c>
      <c r="CI54">
        <f>IF($CD54="","",IFERROR(VALUE(RIGHT($CD54,3)),""))</f>
        <v/>
      </c>
      <c r="CJ54">
        <f>IF($Y54="","",IFERROR(IF(ISNUMBER($Y54),$Y54,DATEVALUE(TRIM($Y54))),""))</f>
        <v/>
      </c>
      <c r="CK54">
        <f>IF($CJ54="","",IF(MONTH($CJ54)&gt;=12,"Cold Winter",IF(MONTH($CJ54)&gt;=10,"Post-Monsoon",IF(MONTH($CJ54)&gt;=6,"Hot Humid",IF(MONTH($CJ54)&gt;=3,"Hot Dry","Cold Winter")))))</f>
        <v/>
      </c>
      <c r="CL54">
        <f>IF($CE54="","",IFERROR(VLOOKUP($CE54,DECODE!$A$3:$C$8,2,FALSE),"?"))</f>
        <v/>
      </c>
      <c r="CM54">
        <f>IF($AN54="","",AN54)</f>
        <v/>
      </c>
      <c r="CN54">
        <f>IF($AO54="","",AO54)</f>
        <v/>
      </c>
      <c r="CO54">
        <f>IF($AP54="","",AP54)</f>
        <v/>
      </c>
      <c r="CP54">
        <f>IF($CM54="","",IF($CM54="Aloe Vera Gel","Aloe Vera Gel "&amp;$CO54&amp;"g",CN54&amp;" "&amp;$CO54&amp;"g"))</f>
        <v/>
      </c>
      <c r="CQ54">
        <f>IF($AT54="",0,1)</f>
        <v/>
      </c>
      <c r="CR54">
        <f>IF($CQ54=0,"",AW54)</f>
        <v/>
      </c>
      <c r="CS54">
        <f>IF($CQ54=0,"",AX54)</f>
        <v/>
      </c>
      <c r="CT54">
        <f>IF($CQ54=0,"",AY54)</f>
        <v/>
      </c>
      <c r="CU54">
        <f>IF($CR54="","",IF($CR54="Aloe Vera Gel","Aloe Vera Gel "&amp;$CT54&amp;"g",CS54&amp;" "&amp;$CT54&amp;"g"))</f>
        <v/>
      </c>
      <c r="CV54">
        <f>IF($CQ54=0,"",IF($CP54=$CU54,"Repeat Exact",IF($CT54&gt;$CO54,"Upsized",IF($CT54&lt;$CO54,"Downsized",IF($CM54&lt;&gt;$CR54,"Lateral","Same Size Diff Variant")))))</f>
        <v/>
      </c>
      <c r="CW54">
        <f>IF($CQ54=0,"",AZ54-AQ54)</f>
        <v/>
      </c>
      <c r="CX54">
        <f>IF($CQ54=0,0,IF(CS54=CN54,1,0))</f>
        <v/>
      </c>
      <c r="CY54">
        <f>IF($CQ54=0,0,IF(CR54=CM54,1,0))</f>
        <v/>
      </c>
      <c r="CZ54">
        <f>IF($A54="","",IF(AND(IF(DASHBOARD!$C$4="All",TRUE,$CM54=DASHBOARD!$C$4),IF(DASHBOARD!$C$6="All",TRUE,$CP54=DASHBOARD!$C$6),IF(DASHBOARD!$C$8="All",TRUE,$AF54&gt;=DASHBOARD!$C$8),IF(DASHBOARD!$C$10="All",TRUE,$AF54&lt;=DASHBOARD!$C$10),IF(DASHBOARD!$C$12="All",TRUE,$AH54=VALUE(DASHBOARD!$C$12)),IF(DASHBOARD!$C$14="All",TRUE,$AJ54=DASHBOARD!$C$14)),1,0))</f>
        <v/>
      </c>
    </row>
    <row r="55">
      <c r="A55" t="n">
        <v>42936</v>
      </c>
      <c r="B55" t="inlineStr">
        <is>
          <t>Face Malai</t>
        </is>
      </c>
      <c r="H55" t="inlineStr">
        <is>
          <t>Turmeric Nutmeg (Pigmentation)  Face Malai - 30g</t>
        </is>
      </c>
      <c r="N55" t="inlineStr">
        <is>
          <t>FC-DM-PG-030</t>
        </is>
      </c>
      <c r="T55" t="inlineStr">
        <is>
          <t>Dec 26, 2024</t>
        </is>
      </c>
      <c r="AE55" t="inlineStr">
        <is>
          <t>Gurgaon</t>
        </is>
      </c>
      <c r="AF55" t="inlineStr">
        <is>
          <t>2024-12</t>
        </is>
      </c>
      <c r="AG55" t="n">
        <v>12</v>
      </c>
      <c r="AH55" t="n">
        <v>1</v>
      </c>
      <c r="AI55" t="n">
        <v>0</v>
      </c>
      <c r="AJ55">
        <f>IF($AE55="","",IFERROR(VLOOKUP(TRIM($AE55),DECODE!$H$3:$I$60,2,FALSE),"Rest of India"))</f>
        <v/>
      </c>
      <c r="AK55">
        <f>IF($N55="","",UPPER(TRIM(LEFT($N55&amp;",",FIND(",",$N55&amp;",")-1))))</f>
        <v/>
      </c>
      <c r="AL55">
        <f>IF($AK55="","",MID($AK55,4,FIND("~",SUBSTITUTE($AK55,"-","~",2))-4))</f>
        <v/>
      </c>
      <c r="AM55">
        <f>IF($AK55="","",MID($AK55,FIND("~",SUBSTITUTE($AK55,"-","~",2))+1,FIND("~",SUBSTITUTE($AK55,"-","~",3))-FIND("~",SUBSTITUTE($AK55,"-","~",2))-1))</f>
        <v/>
      </c>
      <c r="AN55">
        <f>IF($AL55="","",IFERROR(VLOOKUP($AL55,DECODE!$A$3:$C$8,3,FALSE),"?"))</f>
        <v/>
      </c>
      <c r="AO55">
        <f>IF($AM55="","",IFERROR(VLOOKUP($AL55&amp;"-"&amp;$AM55,DECODE!$E$3:$F$21,2,FALSE),"?"))</f>
        <v/>
      </c>
      <c r="AP55">
        <f>IF($AK55="","",IFERROR(VALUE(RIGHT($AK55,3)),""))</f>
        <v/>
      </c>
      <c r="AQ55">
        <f>IF($T55="","",IFERROR(IF(ISNUMBER($T55),$T55,DATEVALUE(TRIM($T55))),""))</f>
        <v/>
      </c>
      <c r="AR55">
        <f>IF($AQ55="","",IF(MONTH($AQ55)&gt;=12,"Cold Winter",IF(MONTH($AQ55)&gt;=10,"Post-Monsoon",IF(MONTH($AQ55)&gt;=6,"Hot Humid",IF(MONTH($AQ55)&gt;=3,"Hot Dry","Cold Winter")))))</f>
        <v/>
      </c>
      <c r="AS55">
        <f>IF($AL55="","",IFERROR(VLOOKUP($AL55,DECODE!$A$3:$C$8,2,FALSE),"?"))</f>
        <v/>
      </c>
      <c r="AT55">
        <f>IF($O55="","",UPPER(TRIM(LEFT($O55&amp;",",FIND(",",$O55&amp;",")-1))))</f>
        <v/>
      </c>
      <c r="AU55">
        <f>IF($AT55="","",MID($AT55,4,FIND("~",SUBSTITUTE($AT55,"-","~",2))-4))</f>
        <v/>
      </c>
      <c r="AV55">
        <f>IF($AT55="","",MID($AT55,FIND("~",SUBSTITUTE($AT55,"-","~",2))+1,FIND("~",SUBSTITUTE($AT55,"-","~",3))-FIND("~",SUBSTITUTE($AT55,"-","~",2))-1))</f>
        <v/>
      </c>
      <c r="AW55">
        <f>IF($AU55="","",IFERROR(VLOOKUP($AU55,DECODE!$A$3:$C$8,3,FALSE),"?"))</f>
        <v/>
      </c>
      <c r="AX55">
        <f>IF($AV55="","",IFERROR(VLOOKUP($AU55&amp;"-"&amp;$AV55,DECODE!$E$3:$F$21,2,FALSE),"?"))</f>
        <v/>
      </c>
      <c r="AY55">
        <f>IF($AT55="","",IFERROR(VALUE(RIGHT($AT55,3)),""))</f>
        <v/>
      </c>
      <c r="AZ55">
        <f>IF($U55="","",IFERROR(IF(ISNUMBER($U55),$U55,DATEVALUE(TRIM($U55))),""))</f>
        <v/>
      </c>
      <c r="BA55">
        <f>IF($AZ55="","",IF(MONTH($AZ55)&gt;=12,"Cold Winter",IF(MONTH($AZ55)&gt;=10,"Post-Monsoon",IF(MONTH($AZ55)&gt;=6,"Hot Humid",IF(MONTH($AZ55)&gt;=3,"Hot Dry","Cold Winter")))))</f>
        <v/>
      </c>
      <c r="BB55">
        <f>IF($AU55="","",IFERROR(VLOOKUP($AU55,DECODE!$A$3:$C$8,2,FALSE),"?"))</f>
        <v/>
      </c>
      <c r="BC55">
        <f>IF($P55="","",UPPER(TRIM(LEFT($P55&amp;",",FIND(",",$P55&amp;",")-1))))</f>
        <v/>
      </c>
      <c r="BD55">
        <f>IF($BC55="","",MID($BC55,4,FIND("~",SUBSTITUTE($BC55,"-","~",2))-4))</f>
        <v/>
      </c>
      <c r="BE55">
        <f>IF($BC55="","",MID($BC55,FIND("~",SUBSTITUTE($BC55,"-","~",2))+1,FIND("~",SUBSTITUTE($BC55,"-","~",3))-FIND("~",SUBSTITUTE($BC55,"-","~",2))-1))</f>
        <v/>
      </c>
      <c r="BF55">
        <f>IF($BD55="","",IFERROR(VLOOKUP($BD55,DECODE!$A$3:$C$8,3,FALSE),"?"))</f>
        <v/>
      </c>
      <c r="BG55">
        <f>IF($BE55="","",IFERROR(VLOOKUP($BD55&amp;"-"&amp;$BE55,DECODE!$E$3:$F$21,2,FALSE),"?"))</f>
        <v/>
      </c>
      <c r="BH55">
        <f>IF($BC55="","",IFERROR(VALUE(RIGHT($BC55,3)),""))</f>
        <v/>
      </c>
      <c r="BI55">
        <f>IF($V55="","",IFERROR(IF(ISNUMBER($V55),$V55,DATEVALUE(TRIM($V55))),""))</f>
        <v/>
      </c>
      <c r="BJ55">
        <f>IF($BI55="","",IF(MONTH($BI55)&gt;=12,"Cold Winter",IF(MONTH($BI55)&gt;=10,"Post-Monsoon",IF(MONTH($BI55)&gt;=6,"Hot Humid",IF(MONTH($BI55)&gt;=3,"Hot Dry","Cold Winter")))))</f>
        <v/>
      </c>
      <c r="BK55">
        <f>IF($BD55="","",IFERROR(VLOOKUP($BD55,DECODE!$A$3:$C$8,2,FALSE),"?"))</f>
        <v/>
      </c>
      <c r="BL55">
        <f>IF($Q55="","",UPPER(TRIM(LEFT($Q55&amp;",",FIND(",",$Q55&amp;",")-1))))</f>
        <v/>
      </c>
      <c r="BM55">
        <f>IF($BL55="","",MID($BL55,4,FIND("~",SUBSTITUTE($BL55,"-","~",2))-4))</f>
        <v/>
      </c>
      <c r="BN55">
        <f>IF($BL55="","",MID($BL55,FIND("~",SUBSTITUTE($BL55,"-","~",2))+1,FIND("~",SUBSTITUTE($BL55,"-","~",3))-FIND("~",SUBSTITUTE($BL55,"-","~",2))-1))</f>
        <v/>
      </c>
      <c r="BO55">
        <f>IF($BM55="","",IFERROR(VLOOKUP($BM55,DECODE!$A$3:$C$8,3,FALSE),"?"))</f>
        <v/>
      </c>
      <c r="BP55">
        <f>IF($BN55="","",IFERROR(VLOOKUP($BM55&amp;"-"&amp;$BN55,DECODE!$E$3:$F$21,2,FALSE),"?"))</f>
        <v/>
      </c>
      <c r="BQ55">
        <f>IF($BL55="","",IFERROR(VALUE(RIGHT($BL55,3)),""))</f>
        <v/>
      </c>
      <c r="BR55">
        <f>IF($W55="","",IFERROR(IF(ISNUMBER($W55),$W55,DATEVALUE(TRIM($W55))),""))</f>
        <v/>
      </c>
      <c r="BS55">
        <f>IF($BR55="","",IF(MONTH($BR55)&gt;=12,"Cold Winter",IF(MONTH($BR55)&gt;=10,"Post-Monsoon",IF(MONTH($BR55)&gt;=6,"Hot Humid",IF(MONTH($BR55)&gt;=3,"Hot Dry","Cold Winter")))))</f>
        <v/>
      </c>
      <c r="BT55">
        <f>IF($BM55="","",IFERROR(VLOOKUP($BM55,DECODE!$A$3:$C$8,2,FALSE),"?"))</f>
        <v/>
      </c>
      <c r="BU55">
        <f>IF($R55="","",UPPER(TRIM(LEFT($R55&amp;",",FIND(",",$R55&amp;",")-1))))</f>
        <v/>
      </c>
      <c r="BV55">
        <f>IF($BU55="","",MID($BU55,4,FIND("~",SUBSTITUTE($BU55,"-","~",2))-4))</f>
        <v/>
      </c>
      <c r="BW55">
        <f>IF($BU55="","",MID($BU55,FIND("~",SUBSTITUTE($BU55,"-","~",2))+1,FIND("~",SUBSTITUTE($BU55,"-","~",3))-FIND("~",SUBSTITUTE($BU55,"-","~",2))-1))</f>
        <v/>
      </c>
      <c r="BX55">
        <f>IF($BV55="","",IFERROR(VLOOKUP($BV55,DECODE!$A$3:$C$8,3,FALSE),"?"))</f>
        <v/>
      </c>
      <c r="BY55">
        <f>IF($BW55="","",IFERROR(VLOOKUP($BV55&amp;"-"&amp;$BW55,DECODE!$E$3:$F$21,2,FALSE),"?"))</f>
        <v/>
      </c>
      <c r="BZ55">
        <f>IF($BU55="","",IFERROR(VALUE(RIGHT($BU55,3)),""))</f>
        <v/>
      </c>
      <c r="CA55">
        <f>IF($X55="","",IFERROR(IF(ISNUMBER($X55),$X55,DATEVALUE(TRIM($X55))),""))</f>
        <v/>
      </c>
      <c r="CB55">
        <f>IF($CA55="","",IF(MONTH($CA55)&gt;=12,"Cold Winter",IF(MONTH($CA55)&gt;=10,"Post-Monsoon",IF(MONTH($CA55)&gt;=6,"Hot Humid",IF(MONTH($CA55)&gt;=3,"Hot Dry","Cold Winter")))))</f>
        <v/>
      </c>
      <c r="CC55">
        <f>IF($BV55="","",IFERROR(VLOOKUP($BV55,DECODE!$A$3:$C$8,2,FALSE),"?"))</f>
        <v/>
      </c>
      <c r="CD55">
        <f>IF($S55="","",UPPER(TRIM(LEFT($S55&amp;",",FIND(",",$S55&amp;",")-1))))</f>
        <v/>
      </c>
      <c r="CE55">
        <f>IF($CD55="","",MID($CD55,4,FIND("~",SUBSTITUTE($CD55,"-","~",2))-4))</f>
        <v/>
      </c>
      <c r="CF55">
        <f>IF($CD55="","",MID($CD55,FIND("~",SUBSTITUTE($CD55,"-","~",2))+1,FIND("~",SUBSTITUTE($CD55,"-","~",3))-FIND("~",SUBSTITUTE($CD55,"-","~",2))-1))</f>
        <v/>
      </c>
      <c r="CG55">
        <f>IF($CE55="","",IFERROR(VLOOKUP($CE55,DECODE!$A$3:$C$8,3,FALSE),"?"))</f>
        <v/>
      </c>
      <c r="CH55">
        <f>IF($CF55="","",IFERROR(VLOOKUP($CE55&amp;"-"&amp;$CF55,DECODE!$E$3:$F$21,2,FALSE),"?"))</f>
        <v/>
      </c>
      <c r="CI55">
        <f>IF($CD55="","",IFERROR(VALUE(RIGHT($CD55,3)),""))</f>
        <v/>
      </c>
      <c r="CJ55">
        <f>IF($Y55="","",IFERROR(IF(ISNUMBER($Y55),$Y55,DATEVALUE(TRIM($Y55))),""))</f>
        <v/>
      </c>
      <c r="CK55">
        <f>IF($CJ55="","",IF(MONTH($CJ55)&gt;=12,"Cold Winter",IF(MONTH($CJ55)&gt;=10,"Post-Monsoon",IF(MONTH($CJ55)&gt;=6,"Hot Humid",IF(MONTH($CJ55)&gt;=3,"Hot Dry","Cold Winter")))))</f>
        <v/>
      </c>
      <c r="CL55">
        <f>IF($CE55="","",IFERROR(VLOOKUP($CE55,DECODE!$A$3:$C$8,2,FALSE),"?"))</f>
        <v/>
      </c>
      <c r="CM55">
        <f>IF($AN55="","",AN55)</f>
        <v/>
      </c>
      <c r="CN55">
        <f>IF($AO55="","",AO55)</f>
        <v/>
      </c>
      <c r="CO55">
        <f>IF($AP55="","",AP55)</f>
        <v/>
      </c>
      <c r="CP55">
        <f>IF($CM55="","",IF($CM55="Aloe Vera Gel","Aloe Vera Gel "&amp;$CO55&amp;"g",CN55&amp;" "&amp;$CO55&amp;"g"))</f>
        <v/>
      </c>
      <c r="CQ55">
        <f>IF($AT55="",0,1)</f>
        <v/>
      </c>
      <c r="CR55">
        <f>IF($CQ55=0,"",AW55)</f>
        <v/>
      </c>
      <c r="CS55">
        <f>IF($CQ55=0,"",AX55)</f>
        <v/>
      </c>
      <c r="CT55">
        <f>IF($CQ55=0,"",AY55)</f>
        <v/>
      </c>
      <c r="CU55">
        <f>IF($CR55="","",IF($CR55="Aloe Vera Gel","Aloe Vera Gel "&amp;$CT55&amp;"g",CS55&amp;" "&amp;$CT55&amp;"g"))</f>
        <v/>
      </c>
      <c r="CV55">
        <f>IF($CQ55=0,"",IF($CP55=$CU55,"Repeat Exact",IF($CT55&gt;$CO55,"Upsized",IF($CT55&lt;$CO55,"Downsized",IF($CM55&lt;&gt;$CR55,"Lateral","Same Size Diff Variant")))))</f>
        <v/>
      </c>
      <c r="CW55">
        <f>IF($CQ55=0,"",AZ55-AQ55)</f>
        <v/>
      </c>
      <c r="CX55">
        <f>IF($CQ55=0,0,IF(CS55=CN55,1,0))</f>
        <v/>
      </c>
      <c r="CY55">
        <f>IF($CQ55=0,0,IF(CR55=CM55,1,0))</f>
        <v/>
      </c>
      <c r="CZ55">
        <f>IF($A55="","",IF(AND(IF(DASHBOARD!$C$4="All",TRUE,$CM55=DASHBOARD!$C$4),IF(DASHBOARD!$C$6="All",TRUE,$CP55=DASHBOARD!$C$6),IF(DASHBOARD!$C$8="All",TRUE,$AF55&gt;=DASHBOARD!$C$8),IF(DASHBOARD!$C$10="All",TRUE,$AF55&lt;=DASHBOARD!$C$10),IF(DASHBOARD!$C$12="All",TRUE,$AH55=VALUE(DASHBOARD!$C$12)),IF(DASHBOARD!$C$14="All",TRUE,$AJ55=DASHBOARD!$C$14)),1,0))</f>
        <v/>
      </c>
    </row>
    <row r="56">
      <c r="A56" t="n">
        <v>43181</v>
      </c>
      <c r="B56" t="inlineStr">
        <is>
          <t>Active Gel, Face Malai</t>
        </is>
      </c>
      <c r="H56" t="inlineStr">
        <is>
          <t>Flax Bakuchi (Hot Dry) 35+ Face Malai - 30g, Active Aloe Cactus Hydra Lift Gel</t>
        </is>
      </c>
      <c r="N56" t="inlineStr">
        <is>
          <t>FC-AC-AC-050, FC-HDDM-FB-030</t>
        </is>
      </c>
      <c r="T56" t="inlineStr">
        <is>
          <t>Feb 29, 2024</t>
        </is>
      </c>
      <c r="AE56" t="inlineStr">
        <is>
          <t>Gurgaon</t>
        </is>
      </c>
      <c r="AF56" t="inlineStr">
        <is>
          <t>2024-02</t>
        </is>
      </c>
      <c r="AG56" t="n">
        <v>2</v>
      </c>
      <c r="AH56" t="n">
        <v>1</v>
      </c>
      <c r="AI56" t="n">
        <v>0</v>
      </c>
      <c r="AJ56">
        <f>IF($AE56="","",IFERROR(VLOOKUP(TRIM($AE56),DECODE!$H$3:$I$60,2,FALSE),"Rest of India"))</f>
        <v/>
      </c>
      <c r="AK56">
        <f>IF($N56="","",UPPER(TRIM(LEFT($N56&amp;",",FIND(",",$N56&amp;",")-1))))</f>
        <v/>
      </c>
      <c r="AL56">
        <f>IF($AK56="","",MID($AK56,4,FIND("~",SUBSTITUTE($AK56,"-","~",2))-4))</f>
        <v/>
      </c>
      <c r="AM56">
        <f>IF($AK56="","",MID($AK56,FIND("~",SUBSTITUTE($AK56,"-","~",2))+1,FIND("~",SUBSTITUTE($AK56,"-","~",3))-FIND("~",SUBSTITUTE($AK56,"-","~",2))-1))</f>
        <v/>
      </c>
      <c r="AN56">
        <f>IF($AL56="","",IFERROR(VLOOKUP($AL56,DECODE!$A$3:$C$8,3,FALSE),"?"))</f>
        <v/>
      </c>
      <c r="AO56">
        <f>IF($AM56="","",IFERROR(VLOOKUP($AL56&amp;"-"&amp;$AM56,DECODE!$E$3:$F$21,2,FALSE),"?"))</f>
        <v/>
      </c>
      <c r="AP56">
        <f>IF($AK56="","",IFERROR(VALUE(RIGHT($AK56,3)),""))</f>
        <v/>
      </c>
      <c r="AQ56">
        <f>IF($T56="","",IFERROR(IF(ISNUMBER($T56),$T56,DATEVALUE(TRIM($T56))),""))</f>
        <v/>
      </c>
      <c r="AR56">
        <f>IF($AQ56="","",IF(MONTH($AQ56)&gt;=12,"Cold Winter",IF(MONTH($AQ56)&gt;=10,"Post-Monsoon",IF(MONTH($AQ56)&gt;=6,"Hot Humid",IF(MONTH($AQ56)&gt;=3,"Hot Dry","Cold Winter")))))</f>
        <v/>
      </c>
      <c r="AS56">
        <f>IF($AL56="","",IFERROR(VLOOKUP($AL56,DECODE!$A$3:$C$8,2,FALSE),"?"))</f>
        <v/>
      </c>
      <c r="AT56">
        <f>IF($O56="","",UPPER(TRIM(LEFT($O56&amp;",",FIND(",",$O56&amp;",")-1))))</f>
        <v/>
      </c>
      <c r="AU56">
        <f>IF($AT56="","",MID($AT56,4,FIND("~",SUBSTITUTE($AT56,"-","~",2))-4))</f>
        <v/>
      </c>
      <c r="AV56">
        <f>IF($AT56="","",MID($AT56,FIND("~",SUBSTITUTE($AT56,"-","~",2))+1,FIND("~",SUBSTITUTE($AT56,"-","~",3))-FIND("~",SUBSTITUTE($AT56,"-","~",2))-1))</f>
        <v/>
      </c>
      <c r="AW56">
        <f>IF($AU56="","",IFERROR(VLOOKUP($AU56,DECODE!$A$3:$C$8,3,FALSE),"?"))</f>
        <v/>
      </c>
      <c r="AX56">
        <f>IF($AV56="","",IFERROR(VLOOKUP($AU56&amp;"-"&amp;$AV56,DECODE!$E$3:$F$21,2,FALSE),"?"))</f>
        <v/>
      </c>
      <c r="AY56">
        <f>IF($AT56="","",IFERROR(VALUE(RIGHT($AT56,3)),""))</f>
        <v/>
      </c>
      <c r="AZ56">
        <f>IF($U56="","",IFERROR(IF(ISNUMBER($U56),$U56,DATEVALUE(TRIM($U56))),""))</f>
        <v/>
      </c>
      <c r="BA56">
        <f>IF($AZ56="","",IF(MONTH($AZ56)&gt;=12,"Cold Winter",IF(MONTH($AZ56)&gt;=10,"Post-Monsoon",IF(MONTH($AZ56)&gt;=6,"Hot Humid",IF(MONTH($AZ56)&gt;=3,"Hot Dry","Cold Winter")))))</f>
        <v/>
      </c>
      <c r="BB56">
        <f>IF($AU56="","",IFERROR(VLOOKUP($AU56,DECODE!$A$3:$C$8,2,FALSE),"?"))</f>
        <v/>
      </c>
      <c r="BC56">
        <f>IF($P56="","",UPPER(TRIM(LEFT($P56&amp;",",FIND(",",$P56&amp;",")-1))))</f>
        <v/>
      </c>
      <c r="BD56">
        <f>IF($BC56="","",MID($BC56,4,FIND("~",SUBSTITUTE($BC56,"-","~",2))-4))</f>
        <v/>
      </c>
      <c r="BE56">
        <f>IF($BC56="","",MID($BC56,FIND("~",SUBSTITUTE($BC56,"-","~",2))+1,FIND("~",SUBSTITUTE($BC56,"-","~",3))-FIND("~",SUBSTITUTE($BC56,"-","~",2))-1))</f>
        <v/>
      </c>
      <c r="BF56">
        <f>IF($BD56="","",IFERROR(VLOOKUP($BD56,DECODE!$A$3:$C$8,3,FALSE),"?"))</f>
        <v/>
      </c>
      <c r="BG56">
        <f>IF($BE56="","",IFERROR(VLOOKUP($BD56&amp;"-"&amp;$BE56,DECODE!$E$3:$F$21,2,FALSE),"?"))</f>
        <v/>
      </c>
      <c r="BH56">
        <f>IF($BC56="","",IFERROR(VALUE(RIGHT($BC56,3)),""))</f>
        <v/>
      </c>
      <c r="BI56">
        <f>IF($V56="","",IFERROR(IF(ISNUMBER($V56),$V56,DATEVALUE(TRIM($V56))),""))</f>
        <v/>
      </c>
      <c r="BJ56">
        <f>IF($BI56="","",IF(MONTH($BI56)&gt;=12,"Cold Winter",IF(MONTH($BI56)&gt;=10,"Post-Monsoon",IF(MONTH($BI56)&gt;=6,"Hot Humid",IF(MONTH($BI56)&gt;=3,"Hot Dry","Cold Winter")))))</f>
        <v/>
      </c>
      <c r="BK56">
        <f>IF($BD56="","",IFERROR(VLOOKUP($BD56,DECODE!$A$3:$C$8,2,FALSE),"?"))</f>
        <v/>
      </c>
      <c r="BL56">
        <f>IF($Q56="","",UPPER(TRIM(LEFT($Q56&amp;",",FIND(",",$Q56&amp;",")-1))))</f>
        <v/>
      </c>
      <c r="BM56">
        <f>IF($BL56="","",MID($BL56,4,FIND("~",SUBSTITUTE($BL56,"-","~",2))-4))</f>
        <v/>
      </c>
      <c r="BN56">
        <f>IF($BL56="","",MID($BL56,FIND("~",SUBSTITUTE($BL56,"-","~",2))+1,FIND("~",SUBSTITUTE($BL56,"-","~",3))-FIND("~",SUBSTITUTE($BL56,"-","~",2))-1))</f>
        <v/>
      </c>
      <c r="BO56">
        <f>IF($BM56="","",IFERROR(VLOOKUP($BM56,DECODE!$A$3:$C$8,3,FALSE),"?"))</f>
        <v/>
      </c>
      <c r="BP56">
        <f>IF($BN56="","",IFERROR(VLOOKUP($BM56&amp;"-"&amp;$BN56,DECODE!$E$3:$F$21,2,FALSE),"?"))</f>
        <v/>
      </c>
      <c r="BQ56">
        <f>IF($BL56="","",IFERROR(VALUE(RIGHT($BL56,3)),""))</f>
        <v/>
      </c>
      <c r="BR56">
        <f>IF($W56="","",IFERROR(IF(ISNUMBER($W56),$W56,DATEVALUE(TRIM($W56))),""))</f>
        <v/>
      </c>
      <c r="BS56">
        <f>IF($BR56="","",IF(MONTH($BR56)&gt;=12,"Cold Winter",IF(MONTH($BR56)&gt;=10,"Post-Monsoon",IF(MONTH($BR56)&gt;=6,"Hot Humid",IF(MONTH($BR56)&gt;=3,"Hot Dry","Cold Winter")))))</f>
        <v/>
      </c>
      <c r="BT56">
        <f>IF($BM56="","",IFERROR(VLOOKUP($BM56,DECODE!$A$3:$C$8,2,FALSE),"?"))</f>
        <v/>
      </c>
      <c r="BU56">
        <f>IF($R56="","",UPPER(TRIM(LEFT($R56&amp;",",FIND(",",$R56&amp;",")-1))))</f>
        <v/>
      </c>
      <c r="BV56">
        <f>IF($BU56="","",MID($BU56,4,FIND("~",SUBSTITUTE($BU56,"-","~",2))-4))</f>
        <v/>
      </c>
      <c r="BW56">
        <f>IF($BU56="","",MID($BU56,FIND("~",SUBSTITUTE($BU56,"-","~",2))+1,FIND("~",SUBSTITUTE($BU56,"-","~",3))-FIND("~",SUBSTITUTE($BU56,"-","~",2))-1))</f>
        <v/>
      </c>
      <c r="BX56">
        <f>IF($BV56="","",IFERROR(VLOOKUP($BV56,DECODE!$A$3:$C$8,3,FALSE),"?"))</f>
        <v/>
      </c>
      <c r="BY56">
        <f>IF($BW56="","",IFERROR(VLOOKUP($BV56&amp;"-"&amp;$BW56,DECODE!$E$3:$F$21,2,FALSE),"?"))</f>
        <v/>
      </c>
      <c r="BZ56">
        <f>IF($BU56="","",IFERROR(VALUE(RIGHT($BU56,3)),""))</f>
        <v/>
      </c>
      <c r="CA56">
        <f>IF($X56="","",IFERROR(IF(ISNUMBER($X56),$X56,DATEVALUE(TRIM($X56))),""))</f>
        <v/>
      </c>
      <c r="CB56">
        <f>IF($CA56="","",IF(MONTH($CA56)&gt;=12,"Cold Winter",IF(MONTH($CA56)&gt;=10,"Post-Monsoon",IF(MONTH($CA56)&gt;=6,"Hot Humid",IF(MONTH($CA56)&gt;=3,"Hot Dry","Cold Winter")))))</f>
        <v/>
      </c>
      <c r="CC56">
        <f>IF($BV56="","",IFERROR(VLOOKUP($BV56,DECODE!$A$3:$C$8,2,FALSE),"?"))</f>
        <v/>
      </c>
      <c r="CD56">
        <f>IF($S56="","",UPPER(TRIM(LEFT($S56&amp;",",FIND(",",$S56&amp;",")-1))))</f>
        <v/>
      </c>
      <c r="CE56">
        <f>IF($CD56="","",MID($CD56,4,FIND("~",SUBSTITUTE($CD56,"-","~",2))-4))</f>
        <v/>
      </c>
      <c r="CF56">
        <f>IF($CD56="","",MID($CD56,FIND("~",SUBSTITUTE($CD56,"-","~",2))+1,FIND("~",SUBSTITUTE($CD56,"-","~",3))-FIND("~",SUBSTITUTE($CD56,"-","~",2))-1))</f>
        <v/>
      </c>
      <c r="CG56">
        <f>IF($CE56="","",IFERROR(VLOOKUP($CE56,DECODE!$A$3:$C$8,3,FALSE),"?"))</f>
        <v/>
      </c>
      <c r="CH56">
        <f>IF($CF56="","",IFERROR(VLOOKUP($CE56&amp;"-"&amp;$CF56,DECODE!$E$3:$F$21,2,FALSE),"?"))</f>
        <v/>
      </c>
      <c r="CI56">
        <f>IF($CD56="","",IFERROR(VALUE(RIGHT($CD56,3)),""))</f>
        <v/>
      </c>
      <c r="CJ56">
        <f>IF($Y56="","",IFERROR(IF(ISNUMBER($Y56),$Y56,DATEVALUE(TRIM($Y56))),""))</f>
        <v/>
      </c>
      <c r="CK56">
        <f>IF($CJ56="","",IF(MONTH($CJ56)&gt;=12,"Cold Winter",IF(MONTH($CJ56)&gt;=10,"Post-Monsoon",IF(MONTH($CJ56)&gt;=6,"Hot Humid",IF(MONTH($CJ56)&gt;=3,"Hot Dry","Cold Winter")))))</f>
        <v/>
      </c>
      <c r="CL56">
        <f>IF($CE56="","",IFERROR(VLOOKUP($CE56,DECODE!$A$3:$C$8,2,FALSE),"?"))</f>
        <v/>
      </c>
      <c r="CM56">
        <f>IF($AN56="","",AN56)</f>
        <v/>
      </c>
      <c r="CN56">
        <f>IF($AO56="","",AO56)</f>
        <v/>
      </c>
      <c r="CO56">
        <f>IF($AP56="","",AP56)</f>
        <v/>
      </c>
      <c r="CP56">
        <f>IF($CM56="","",IF($CM56="Aloe Vera Gel","Aloe Vera Gel "&amp;$CO56&amp;"g",CN56&amp;" "&amp;$CO56&amp;"g"))</f>
        <v/>
      </c>
      <c r="CQ56">
        <f>IF($AT56="",0,1)</f>
        <v/>
      </c>
      <c r="CR56">
        <f>IF($CQ56=0,"",AW56)</f>
        <v/>
      </c>
      <c r="CS56">
        <f>IF($CQ56=0,"",AX56)</f>
        <v/>
      </c>
      <c r="CT56">
        <f>IF($CQ56=0,"",AY56)</f>
        <v/>
      </c>
      <c r="CU56">
        <f>IF($CR56="","",IF($CR56="Aloe Vera Gel","Aloe Vera Gel "&amp;$CT56&amp;"g",CS56&amp;" "&amp;$CT56&amp;"g"))</f>
        <v/>
      </c>
      <c r="CV56">
        <f>IF($CQ56=0,"",IF($CP56=$CU56,"Repeat Exact",IF($CT56&gt;$CO56,"Upsized",IF($CT56&lt;$CO56,"Downsized",IF($CM56&lt;&gt;$CR56,"Lateral","Same Size Diff Variant")))))</f>
        <v/>
      </c>
      <c r="CW56">
        <f>IF($CQ56=0,"",AZ56-AQ56)</f>
        <v/>
      </c>
      <c r="CX56">
        <f>IF($CQ56=0,0,IF(CS56=CN56,1,0))</f>
        <v/>
      </c>
      <c r="CY56">
        <f>IF($CQ56=0,0,IF(CR56=CM56,1,0))</f>
        <v/>
      </c>
      <c r="CZ56">
        <f>IF($A56="","",IF(AND(IF(DASHBOARD!$C$4="All",TRUE,$CM56=DASHBOARD!$C$4),IF(DASHBOARD!$C$6="All",TRUE,$CP56=DASHBOARD!$C$6),IF(DASHBOARD!$C$8="All",TRUE,$AF56&gt;=DASHBOARD!$C$8),IF(DASHBOARD!$C$10="All",TRUE,$AF56&lt;=DASHBOARD!$C$10),IF(DASHBOARD!$C$12="All",TRUE,$AH56=VALUE(DASHBOARD!$C$12)),IF(DASHBOARD!$C$14="All",TRUE,$AJ56=DASHBOARD!$C$14)),1,0))</f>
        <v/>
      </c>
    </row>
    <row r="57">
      <c r="A57" t="n">
        <v>43192</v>
      </c>
      <c r="B57" t="inlineStr">
        <is>
          <t>Face Malai</t>
        </is>
      </c>
      <c r="H57" t="inlineStr">
        <is>
          <t>Flax Walnut (Cold) 35+ Face Malai</t>
        </is>
      </c>
      <c r="N57" t="inlineStr">
        <is>
          <t>FC-CWDM-FW-030</t>
        </is>
      </c>
      <c r="T57" t="inlineStr">
        <is>
          <t>Nov 2, 2024</t>
        </is>
      </c>
      <c r="AE57" t="inlineStr">
        <is>
          <t>Gurgaon</t>
        </is>
      </c>
      <c r="AF57" t="inlineStr">
        <is>
          <t>2024-11</t>
        </is>
      </c>
      <c r="AG57" t="n">
        <v>11</v>
      </c>
      <c r="AH57" t="n">
        <v>1</v>
      </c>
      <c r="AI57" t="n">
        <v>0</v>
      </c>
      <c r="AJ57">
        <f>IF($AE57="","",IFERROR(VLOOKUP(TRIM($AE57),DECODE!$H$3:$I$60,2,FALSE),"Rest of India"))</f>
        <v/>
      </c>
      <c r="AK57">
        <f>IF($N57="","",UPPER(TRIM(LEFT($N57&amp;",",FIND(",",$N57&amp;",")-1))))</f>
        <v/>
      </c>
      <c r="AL57">
        <f>IF($AK57="","",MID($AK57,4,FIND("~",SUBSTITUTE($AK57,"-","~",2))-4))</f>
        <v/>
      </c>
      <c r="AM57">
        <f>IF($AK57="","",MID($AK57,FIND("~",SUBSTITUTE($AK57,"-","~",2))+1,FIND("~",SUBSTITUTE($AK57,"-","~",3))-FIND("~",SUBSTITUTE($AK57,"-","~",2))-1))</f>
        <v/>
      </c>
      <c r="AN57">
        <f>IF($AL57="","",IFERROR(VLOOKUP($AL57,DECODE!$A$3:$C$8,3,FALSE),"?"))</f>
        <v/>
      </c>
      <c r="AO57">
        <f>IF($AM57="","",IFERROR(VLOOKUP($AL57&amp;"-"&amp;$AM57,DECODE!$E$3:$F$21,2,FALSE),"?"))</f>
        <v/>
      </c>
      <c r="AP57">
        <f>IF($AK57="","",IFERROR(VALUE(RIGHT($AK57,3)),""))</f>
        <v/>
      </c>
      <c r="AQ57">
        <f>IF($T57="","",IFERROR(IF(ISNUMBER($T57),$T57,DATEVALUE(TRIM($T57))),""))</f>
        <v/>
      </c>
      <c r="AR57">
        <f>IF($AQ57="","",IF(MONTH($AQ57)&gt;=12,"Cold Winter",IF(MONTH($AQ57)&gt;=10,"Post-Monsoon",IF(MONTH($AQ57)&gt;=6,"Hot Humid",IF(MONTH($AQ57)&gt;=3,"Hot Dry","Cold Winter")))))</f>
        <v/>
      </c>
      <c r="AS57">
        <f>IF($AL57="","",IFERROR(VLOOKUP($AL57,DECODE!$A$3:$C$8,2,FALSE),"?"))</f>
        <v/>
      </c>
      <c r="AT57">
        <f>IF($O57="","",UPPER(TRIM(LEFT($O57&amp;",",FIND(",",$O57&amp;",")-1))))</f>
        <v/>
      </c>
      <c r="AU57">
        <f>IF($AT57="","",MID($AT57,4,FIND("~",SUBSTITUTE($AT57,"-","~",2))-4))</f>
        <v/>
      </c>
      <c r="AV57">
        <f>IF($AT57="","",MID($AT57,FIND("~",SUBSTITUTE($AT57,"-","~",2))+1,FIND("~",SUBSTITUTE($AT57,"-","~",3))-FIND("~",SUBSTITUTE($AT57,"-","~",2))-1))</f>
        <v/>
      </c>
      <c r="AW57">
        <f>IF($AU57="","",IFERROR(VLOOKUP($AU57,DECODE!$A$3:$C$8,3,FALSE),"?"))</f>
        <v/>
      </c>
      <c r="AX57">
        <f>IF($AV57="","",IFERROR(VLOOKUP($AU57&amp;"-"&amp;$AV57,DECODE!$E$3:$F$21,2,FALSE),"?"))</f>
        <v/>
      </c>
      <c r="AY57">
        <f>IF($AT57="","",IFERROR(VALUE(RIGHT($AT57,3)),""))</f>
        <v/>
      </c>
      <c r="AZ57">
        <f>IF($U57="","",IFERROR(IF(ISNUMBER($U57),$U57,DATEVALUE(TRIM($U57))),""))</f>
        <v/>
      </c>
      <c r="BA57">
        <f>IF($AZ57="","",IF(MONTH($AZ57)&gt;=12,"Cold Winter",IF(MONTH($AZ57)&gt;=10,"Post-Monsoon",IF(MONTH($AZ57)&gt;=6,"Hot Humid",IF(MONTH($AZ57)&gt;=3,"Hot Dry","Cold Winter")))))</f>
        <v/>
      </c>
      <c r="BB57">
        <f>IF($AU57="","",IFERROR(VLOOKUP($AU57,DECODE!$A$3:$C$8,2,FALSE),"?"))</f>
        <v/>
      </c>
      <c r="BC57">
        <f>IF($P57="","",UPPER(TRIM(LEFT($P57&amp;",",FIND(",",$P57&amp;",")-1))))</f>
        <v/>
      </c>
      <c r="BD57">
        <f>IF($BC57="","",MID($BC57,4,FIND("~",SUBSTITUTE($BC57,"-","~",2))-4))</f>
        <v/>
      </c>
      <c r="BE57">
        <f>IF($BC57="","",MID($BC57,FIND("~",SUBSTITUTE($BC57,"-","~",2))+1,FIND("~",SUBSTITUTE($BC57,"-","~",3))-FIND("~",SUBSTITUTE($BC57,"-","~",2))-1))</f>
        <v/>
      </c>
      <c r="BF57">
        <f>IF($BD57="","",IFERROR(VLOOKUP($BD57,DECODE!$A$3:$C$8,3,FALSE),"?"))</f>
        <v/>
      </c>
      <c r="BG57">
        <f>IF($BE57="","",IFERROR(VLOOKUP($BD57&amp;"-"&amp;$BE57,DECODE!$E$3:$F$21,2,FALSE),"?"))</f>
        <v/>
      </c>
      <c r="BH57">
        <f>IF($BC57="","",IFERROR(VALUE(RIGHT($BC57,3)),""))</f>
        <v/>
      </c>
      <c r="BI57">
        <f>IF($V57="","",IFERROR(IF(ISNUMBER($V57),$V57,DATEVALUE(TRIM($V57))),""))</f>
        <v/>
      </c>
      <c r="BJ57">
        <f>IF($BI57="","",IF(MONTH($BI57)&gt;=12,"Cold Winter",IF(MONTH($BI57)&gt;=10,"Post-Monsoon",IF(MONTH($BI57)&gt;=6,"Hot Humid",IF(MONTH($BI57)&gt;=3,"Hot Dry","Cold Winter")))))</f>
        <v/>
      </c>
      <c r="BK57">
        <f>IF($BD57="","",IFERROR(VLOOKUP($BD57,DECODE!$A$3:$C$8,2,FALSE),"?"))</f>
        <v/>
      </c>
      <c r="BL57">
        <f>IF($Q57="","",UPPER(TRIM(LEFT($Q57&amp;",",FIND(",",$Q57&amp;",")-1))))</f>
        <v/>
      </c>
      <c r="BM57">
        <f>IF($BL57="","",MID($BL57,4,FIND("~",SUBSTITUTE($BL57,"-","~",2))-4))</f>
        <v/>
      </c>
      <c r="BN57">
        <f>IF($BL57="","",MID($BL57,FIND("~",SUBSTITUTE($BL57,"-","~",2))+1,FIND("~",SUBSTITUTE($BL57,"-","~",3))-FIND("~",SUBSTITUTE($BL57,"-","~",2))-1))</f>
        <v/>
      </c>
      <c r="BO57">
        <f>IF($BM57="","",IFERROR(VLOOKUP($BM57,DECODE!$A$3:$C$8,3,FALSE),"?"))</f>
        <v/>
      </c>
      <c r="BP57">
        <f>IF($BN57="","",IFERROR(VLOOKUP($BM57&amp;"-"&amp;$BN57,DECODE!$E$3:$F$21,2,FALSE),"?"))</f>
        <v/>
      </c>
      <c r="BQ57">
        <f>IF($BL57="","",IFERROR(VALUE(RIGHT($BL57,3)),""))</f>
        <v/>
      </c>
      <c r="BR57">
        <f>IF($W57="","",IFERROR(IF(ISNUMBER($W57),$W57,DATEVALUE(TRIM($W57))),""))</f>
        <v/>
      </c>
      <c r="BS57">
        <f>IF($BR57="","",IF(MONTH($BR57)&gt;=12,"Cold Winter",IF(MONTH($BR57)&gt;=10,"Post-Monsoon",IF(MONTH($BR57)&gt;=6,"Hot Humid",IF(MONTH($BR57)&gt;=3,"Hot Dry","Cold Winter")))))</f>
        <v/>
      </c>
      <c r="BT57">
        <f>IF($BM57="","",IFERROR(VLOOKUP($BM57,DECODE!$A$3:$C$8,2,FALSE),"?"))</f>
        <v/>
      </c>
      <c r="BU57">
        <f>IF($R57="","",UPPER(TRIM(LEFT($R57&amp;",",FIND(",",$R57&amp;",")-1))))</f>
        <v/>
      </c>
      <c r="BV57">
        <f>IF($BU57="","",MID($BU57,4,FIND("~",SUBSTITUTE($BU57,"-","~",2))-4))</f>
        <v/>
      </c>
      <c r="BW57">
        <f>IF($BU57="","",MID($BU57,FIND("~",SUBSTITUTE($BU57,"-","~",2))+1,FIND("~",SUBSTITUTE($BU57,"-","~",3))-FIND("~",SUBSTITUTE($BU57,"-","~",2))-1))</f>
        <v/>
      </c>
      <c r="BX57">
        <f>IF($BV57="","",IFERROR(VLOOKUP($BV57,DECODE!$A$3:$C$8,3,FALSE),"?"))</f>
        <v/>
      </c>
      <c r="BY57">
        <f>IF($BW57="","",IFERROR(VLOOKUP($BV57&amp;"-"&amp;$BW57,DECODE!$E$3:$F$21,2,FALSE),"?"))</f>
        <v/>
      </c>
      <c r="BZ57">
        <f>IF($BU57="","",IFERROR(VALUE(RIGHT($BU57,3)),""))</f>
        <v/>
      </c>
      <c r="CA57">
        <f>IF($X57="","",IFERROR(IF(ISNUMBER($X57),$X57,DATEVALUE(TRIM($X57))),""))</f>
        <v/>
      </c>
      <c r="CB57">
        <f>IF($CA57="","",IF(MONTH($CA57)&gt;=12,"Cold Winter",IF(MONTH($CA57)&gt;=10,"Post-Monsoon",IF(MONTH($CA57)&gt;=6,"Hot Humid",IF(MONTH($CA57)&gt;=3,"Hot Dry","Cold Winter")))))</f>
        <v/>
      </c>
      <c r="CC57">
        <f>IF($BV57="","",IFERROR(VLOOKUP($BV57,DECODE!$A$3:$C$8,2,FALSE),"?"))</f>
        <v/>
      </c>
      <c r="CD57">
        <f>IF($S57="","",UPPER(TRIM(LEFT($S57&amp;",",FIND(",",$S57&amp;",")-1))))</f>
        <v/>
      </c>
      <c r="CE57">
        <f>IF($CD57="","",MID($CD57,4,FIND("~",SUBSTITUTE($CD57,"-","~",2))-4))</f>
        <v/>
      </c>
      <c r="CF57">
        <f>IF($CD57="","",MID($CD57,FIND("~",SUBSTITUTE($CD57,"-","~",2))+1,FIND("~",SUBSTITUTE($CD57,"-","~",3))-FIND("~",SUBSTITUTE($CD57,"-","~",2))-1))</f>
        <v/>
      </c>
      <c r="CG57">
        <f>IF($CE57="","",IFERROR(VLOOKUP($CE57,DECODE!$A$3:$C$8,3,FALSE),"?"))</f>
        <v/>
      </c>
      <c r="CH57">
        <f>IF($CF57="","",IFERROR(VLOOKUP($CE57&amp;"-"&amp;$CF57,DECODE!$E$3:$F$21,2,FALSE),"?"))</f>
        <v/>
      </c>
      <c r="CI57">
        <f>IF($CD57="","",IFERROR(VALUE(RIGHT($CD57,3)),""))</f>
        <v/>
      </c>
      <c r="CJ57">
        <f>IF($Y57="","",IFERROR(IF(ISNUMBER($Y57),$Y57,DATEVALUE(TRIM($Y57))),""))</f>
        <v/>
      </c>
      <c r="CK57">
        <f>IF($CJ57="","",IF(MONTH($CJ57)&gt;=12,"Cold Winter",IF(MONTH($CJ57)&gt;=10,"Post-Monsoon",IF(MONTH($CJ57)&gt;=6,"Hot Humid",IF(MONTH($CJ57)&gt;=3,"Hot Dry","Cold Winter")))))</f>
        <v/>
      </c>
      <c r="CL57">
        <f>IF($CE57="","",IFERROR(VLOOKUP($CE57,DECODE!$A$3:$C$8,2,FALSE),"?"))</f>
        <v/>
      </c>
      <c r="CM57">
        <f>IF($AN57="","",AN57)</f>
        <v/>
      </c>
      <c r="CN57">
        <f>IF($AO57="","",AO57)</f>
        <v/>
      </c>
      <c r="CO57">
        <f>IF($AP57="","",AP57)</f>
        <v/>
      </c>
      <c r="CP57">
        <f>IF($CM57="","",IF($CM57="Aloe Vera Gel","Aloe Vera Gel "&amp;$CO57&amp;"g",CN57&amp;" "&amp;$CO57&amp;"g"))</f>
        <v/>
      </c>
      <c r="CQ57">
        <f>IF($AT57="",0,1)</f>
        <v/>
      </c>
      <c r="CR57">
        <f>IF($CQ57=0,"",AW57)</f>
        <v/>
      </c>
      <c r="CS57">
        <f>IF($CQ57=0,"",AX57)</f>
        <v/>
      </c>
      <c r="CT57">
        <f>IF($CQ57=0,"",AY57)</f>
        <v/>
      </c>
      <c r="CU57">
        <f>IF($CR57="","",IF($CR57="Aloe Vera Gel","Aloe Vera Gel "&amp;$CT57&amp;"g",CS57&amp;" "&amp;$CT57&amp;"g"))</f>
        <v/>
      </c>
      <c r="CV57">
        <f>IF($CQ57=0,"",IF($CP57=$CU57,"Repeat Exact",IF($CT57&gt;$CO57,"Upsized",IF($CT57&lt;$CO57,"Downsized",IF($CM57&lt;&gt;$CR57,"Lateral","Same Size Diff Variant")))))</f>
        <v/>
      </c>
      <c r="CW57">
        <f>IF($CQ57=0,"",AZ57-AQ57)</f>
        <v/>
      </c>
      <c r="CX57">
        <f>IF($CQ57=0,0,IF(CS57=CN57,1,0))</f>
        <v/>
      </c>
      <c r="CY57">
        <f>IF($CQ57=0,0,IF(CR57=CM57,1,0))</f>
        <v/>
      </c>
      <c r="CZ57">
        <f>IF($A57="","",IF(AND(IF(DASHBOARD!$C$4="All",TRUE,$CM57=DASHBOARD!$C$4),IF(DASHBOARD!$C$6="All",TRUE,$CP57=DASHBOARD!$C$6),IF(DASHBOARD!$C$8="All",TRUE,$AF57&gt;=DASHBOARD!$C$8),IF(DASHBOARD!$C$10="All",TRUE,$AF57&lt;=DASHBOARD!$C$10),IF(DASHBOARD!$C$12="All",TRUE,$AH57=VALUE(DASHBOARD!$C$12)),IF(DASHBOARD!$C$14="All",TRUE,$AJ57=DASHBOARD!$C$14)),1,0))</f>
        <v/>
      </c>
    </row>
    <row r="58">
      <c r="A58" t="n">
        <v>43540</v>
      </c>
      <c r="B58" t="inlineStr">
        <is>
          <t>Face Malai</t>
        </is>
      </c>
      <c r="H58" t="inlineStr">
        <is>
          <t>Cocoa Mogra (Overnight) Face Malai - 30g</t>
        </is>
      </c>
      <c r="N58" t="inlineStr">
        <is>
          <t>FC-DM-NR-030</t>
        </is>
      </c>
      <c r="T58" t="inlineStr">
        <is>
          <t>Jan 17, 2024</t>
        </is>
      </c>
      <c r="AE58" t="inlineStr">
        <is>
          <t>Gurgaon</t>
        </is>
      </c>
      <c r="AF58" t="inlineStr">
        <is>
          <t>2024-01</t>
        </is>
      </c>
      <c r="AG58" t="n">
        <v>1</v>
      </c>
      <c r="AH58" t="n">
        <v>1</v>
      </c>
      <c r="AI58" t="n">
        <v>0</v>
      </c>
      <c r="AJ58">
        <f>IF($AE58="","",IFERROR(VLOOKUP(TRIM($AE58),DECODE!$H$3:$I$60,2,FALSE),"Rest of India"))</f>
        <v/>
      </c>
      <c r="AK58">
        <f>IF($N58="","",UPPER(TRIM(LEFT($N58&amp;",",FIND(",",$N58&amp;",")-1))))</f>
        <v/>
      </c>
      <c r="AL58">
        <f>IF($AK58="","",MID($AK58,4,FIND("~",SUBSTITUTE($AK58,"-","~",2))-4))</f>
        <v/>
      </c>
      <c r="AM58">
        <f>IF($AK58="","",MID($AK58,FIND("~",SUBSTITUTE($AK58,"-","~",2))+1,FIND("~",SUBSTITUTE($AK58,"-","~",3))-FIND("~",SUBSTITUTE($AK58,"-","~",2))-1))</f>
        <v/>
      </c>
      <c r="AN58">
        <f>IF($AL58="","",IFERROR(VLOOKUP($AL58,DECODE!$A$3:$C$8,3,FALSE),"?"))</f>
        <v/>
      </c>
      <c r="AO58">
        <f>IF($AM58="","",IFERROR(VLOOKUP($AL58&amp;"-"&amp;$AM58,DECODE!$E$3:$F$21,2,FALSE),"?"))</f>
        <v/>
      </c>
      <c r="AP58">
        <f>IF($AK58="","",IFERROR(VALUE(RIGHT($AK58,3)),""))</f>
        <v/>
      </c>
      <c r="AQ58">
        <f>IF($T58="","",IFERROR(IF(ISNUMBER($T58),$T58,DATEVALUE(TRIM($T58))),""))</f>
        <v/>
      </c>
      <c r="AR58">
        <f>IF($AQ58="","",IF(MONTH($AQ58)&gt;=12,"Cold Winter",IF(MONTH($AQ58)&gt;=10,"Post-Monsoon",IF(MONTH($AQ58)&gt;=6,"Hot Humid",IF(MONTH($AQ58)&gt;=3,"Hot Dry","Cold Winter")))))</f>
        <v/>
      </c>
      <c r="AS58">
        <f>IF($AL58="","",IFERROR(VLOOKUP($AL58,DECODE!$A$3:$C$8,2,FALSE),"?"))</f>
        <v/>
      </c>
      <c r="AT58">
        <f>IF($O58="","",UPPER(TRIM(LEFT($O58&amp;",",FIND(",",$O58&amp;",")-1))))</f>
        <v/>
      </c>
      <c r="AU58">
        <f>IF($AT58="","",MID($AT58,4,FIND("~",SUBSTITUTE($AT58,"-","~",2))-4))</f>
        <v/>
      </c>
      <c r="AV58">
        <f>IF($AT58="","",MID($AT58,FIND("~",SUBSTITUTE($AT58,"-","~",2))+1,FIND("~",SUBSTITUTE($AT58,"-","~",3))-FIND("~",SUBSTITUTE($AT58,"-","~",2))-1))</f>
        <v/>
      </c>
      <c r="AW58">
        <f>IF($AU58="","",IFERROR(VLOOKUP($AU58,DECODE!$A$3:$C$8,3,FALSE),"?"))</f>
        <v/>
      </c>
      <c r="AX58">
        <f>IF($AV58="","",IFERROR(VLOOKUP($AU58&amp;"-"&amp;$AV58,DECODE!$E$3:$F$21,2,FALSE),"?"))</f>
        <v/>
      </c>
      <c r="AY58">
        <f>IF($AT58="","",IFERROR(VALUE(RIGHT($AT58,3)),""))</f>
        <v/>
      </c>
      <c r="AZ58">
        <f>IF($U58="","",IFERROR(IF(ISNUMBER($U58),$U58,DATEVALUE(TRIM($U58))),""))</f>
        <v/>
      </c>
      <c r="BA58">
        <f>IF($AZ58="","",IF(MONTH($AZ58)&gt;=12,"Cold Winter",IF(MONTH($AZ58)&gt;=10,"Post-Monsoon",IF(MONTH($AZ58)&gt;=6,"Hot Humid",IF(MONTH($AZ58)&gt;=3,"Hot Dry","Cold Winter")))))</f>
        <v/>
      </c>
      <c r="BB58">
        <f>IF($AU58="","",IFERROR(VLOOKUP($AU58,DECODE!$A$3:$C$8,2,FALSE),"?"))</f>
        <v/>
      </c>
      <c r="BC58">
        <f>IF($P58="","",UPPER(TRIM(LEFT($P58&amp;",",FIND(",",$P58&amp;",")-1))))</f>
        <v/>
      </c>
      <c r="BD58">
        <f>IF($BC58="","",MID($BC58,4,FIND("~",SUBSTITUTE($BC58,"-","~",2))-4))</f>
        <v/>
      </c>
      <c r="BE58">
        <f>IF($BC58="","",MID($BC58,FIND("~",SUBSTITUTE($BC58,"-","~",2))+1,FIND("~",SUBSTITUTE($BC58,"-","~",3))-FIND("~",SUBSTITUTE($BC58,"-","~",2))-1))</f>
        <v/>
      </c>
      <c r="BF58">
        <f>IF($BD58="","",IFERROR(VLOOKUP($BD58,DECODE!$A$3:$C$8,3,FALSE),"?"))</f>
        <v/>
      </c>
      <c r="BG58">
        <f>IF($BE58="","",IFERROR(VLOOKUP($BD58&amp;"-"&amp;$BE58,DECODE!$E$3:$F$21,2,FALSE),"?"))</f>
        <v/>
      </c>
      <c r="BH58">
        <f>IF($BC58="","",IFERROR(VALUE(RIGHT($BC58,3)),""))</f>
        <v/>
      </c>
      <c r="BI58">
        <f>IF($V58="","",IFERROR(IF(ISNUMBER($V58),$V58,DATEVALUE(TRIM($V58))),""))</f>
        <v/>
      </c>
      <c r="BJ58">
        <f>IF($BI58="","",IF(MONTH($BI58)&gt;=12,"Cold Winter",IF(MONTH($BI58)&gt;=10,"Post-Monsoon",IF(MONTH($BI58)&gt;=6,"Hot Humid",IF(MONTH($BI58)&gt;=3,"Hot Dry","Cold Winter")))))</f>
        <v/>
      </c>
      <c r="BK58">
        <f>IF($BD58="","",IFERROR(VLOOKUP($BD58,DECODE!$A$3:$C$8,2,FALSE),"?"))</f>
        <v/>
      </c>
      <c r="BL58">
        <f>IF($Q58="","",UPPER(TRIM(LEFT($Q58&amp;",",FIND(",",$Q58&amp;",")-1))))</f>
        <v/>
      </c>
      <c r="BM58">
        <f>IF($BL58="","",MID($BL58,4,FIND("~",SUBSTITUTE($BL58,"-","~",2))-4))</f>
        <v/>
      </c>
      <c r="BN58">
        <f>IF($BL58="","",MID($BL58,FIND("~",SUBSTITUTE($BL58,"-","~",2))+1,FIND("~",SUBSTITUTE($BL58,"-","~",3))-FIND("~",SUBSTITUTE($BL58,"-","~",2))-1))</f>
        <v/>
      </c>
      <c r="BO58">
        <f>IF($BM58="","",IFERROR(VLOOKUP($BM58,DECODE!$A$3:$C$8,3,FALSE),"?"))</f>
        <v/>
      </c>
      <c r="BP58">
        <f>IF($BN58="","",IFERROR(VLOOKUP($BM58&amp;"-"&amp;$BN58,DECODE!$E$3:$F$21,2,FALSE),"?"))</f>
        <v/>
      </c>
      <c r="BQ58">
        <f>IF($BL58="","",IFERROR(VALUE(RIGHT($BL58,3)),""))</f>
        <v/>
      </c>
      <c r="BR58">
        <f>IF($W58="","",IFERROR(IF(ISNUMBER($W58),$W58,DATEVALUE(TRIM($W58))),""))</f>
        <v/>
      </c>
      <c r="BS58">
        <f>IF($BR58="","",IF(MONTH($BR58)&gt;=12,"Cold Winter",IF(MONTH($BR58)&gt;=10,"Post-Monsoon",IF(MONTH($BR58)&gt;=6,"Hot Humid",IF(MONTH($BR58)&gt;=3,"Hot Dry","Cold Winter")))))</f>
        <v/>
      </c>
      <c r="BT58">
        <f>IF($BM58="","",IFERROR(VLOOKUP($BM58,DECODE!$A$3:$C$8,2,FALSE),"?"))</f>
        <v/>
      </c>
      <c r="BU58">
        <f>IF($R58="","",UPPER(TRIM(LEFT($R58&amp;",",FIND(",",$R58&amp;",")-1))))</f>
        <v/>
      </c>
      <c r="BV58">
        <f>IF($BU58="","",MID($BU58,4,FIND("~",SUBSTITUTE($BU58,"-","~",2))-4))</f>
        <v/>
      </c>
      <c r="BW58">
        <f>IF($BU58="","",MID($BU58,FIND("~",SUBSTITUTE($BU58,"-","~",2))+1,FIND("~",SUBSTITUTE($BU58,"-","~",3))-FIND("~",SUBSTITUTE($BU58,"-","~",2))-1))</f>
        <v/>
      </c>
      <c r="BX58">
        <f>IF($BV58="","",IFERROR(VLOOKUP($BV58,DECODE!$A$3:$C$8,3,FALSE),"?"))</f>
        <v/>
      </c>
      <c r="BY58">
        <f>IF($BW58="","",IFERROR(VLOOKUP($BV58&amp;"-"&amp;$BW58,DECODE!$E$3:$F$21,2,FALSE),"?"))</f>
        <v/>
      </c>
      <c r="BZ58">
        <f>IF($BU58="","",IFERROR(VALUE(RIGHT($BU58,3)),""))</f>
        <v/>
      </c>
      <c r="CA58">
        <f>IF($X58="","",IFERROR(IF(ISNUMBER($X58),$X58,DATEVALUE(TRIM($X58))),""))</f>
        <v/>
      </c>
      <c r="CB58">
        <f>IF($CA58="","",IF(MONTH($CA58)&gt;=12,"Cold Winter",IF(MONTH($CA58)&gt;=10,"Post-Monsoon",IF(MONTH($CA58)&gt;=6,"Hot Humid",IF(MONTH($CA58)&gt;=3,"Hot Dry","Cold Winter")))))</f>
        <v/>
      </c>
      <c r="CC58">
        <f>IF($BV58="","",IFERROR(VLOOKUP($BV58,DECODE!$A$3:$C$8,2,FALSE),"?"))</f>
        <v/>
      </c>
      <c r="CD58">
        <f>IF($S58="","",UPPER(TRIM(LEFT($S58&amp;",",FIND(",",$S58&amp;",")-1))))</f>
        <v/>
      </c>
      <c r="CE58">
        <f>IF($CD58="","",MID($CD58,4,FIND("~",SUBSTITUTE($CD58,"-","~",2))-4))</f>
        <v/>
      </c>
      <c r="CF58">
        <f>IF($CD58="","",MID($CD58,FIND("~",SUBSTITUTE($CD58,"-","~",2))+1,FIND("~",SUBSTITUTE($CD58,"-","~",3))-FIND("~",SUBSTITUTE($CD58,"-","~",2))-1))</f>
        <v/>
      </c>
      <c r="CG58">
        <f>IF($CE58="","",IFERROR(VLOOKUP($CE58,DECODE!$A$3:$C$8,3,FALSE),"?"))</f>
        <v/>
      </c>
      <c r="CH58">
        <f>IF($CF58="","",IFERROR(VLOOKUP($CE58&amp;"-"&amp;$CF58,DECODE!$E$3:$F$21,2,FALSE),"?"))</f>
        <v/>
      </c>
      <c r="CI58">
        <f>IF($CD58="","",IFERROR(VALUE(RIGHT($CD58,3)),""))</f>
        <v/>
      </c>
      <c r="CJ58">
        <f>IF($Y58="","",IFERROR(IF(ISNUMBER($Y58),$Y58,DATEVALUE(TRIM($Y58))),""))</f>
        <v/>
      </c>
      <c r="CK58">
        <f>IF($CJ58="","",IF(MONTH($CJ58)&gt;=12,"Cold Winter",IF(MONTH($CJ58)&gt;=10,"Post-Monsoon",IF(MONTH($CJ58)&gt;=6,"Hot Humid",IF(MONTH($CJ58)&gt;=3,"Hot Dry","Cold Winter")))))</f>
        <v/>
      </c>
      <c r="CL58">
        <f>IF($CE58="","",IFERROR(VLOOKUP($CE58,DECODE!$A$3:$C$8,2,FALSE),"?"))</f>
        <v/>
      </c>
      <c r="CM58">
        <f>IF($AN58="","",AN58)</f>
        <v/>
      </c>
      <c r="CN58">
        <f>IF($AO58="","",AO58)</f>
        <v/>
      </c>
      <c r="CO58">
        <f>IF($AP58="","",AP58)</f>
        <v/>
      </c>
      <c r="CP58">
        <f>IF($CM58="","",IF($CM58="Aloe Vera Gel","Aloe Vera Gel "&amp;$CO58&amp;"g",CN58&amp;" "&amp;$CO58&amp;"g"))</f>
        <v/>
      </c>
      <c r="CQ58">
        <f>IF($AT58="",0,1)</f>
        <v/>
      </c>
      <c r="CR58">
        <f>IF($CQ58=0,"",AW58)</f>
        <v/>
      </c>
      <c r="CS58">
        <f>IF($CQ58=0,"",AX58)</f>
        <v/>
      </c>
      <c r="CT58">
        <f>IF($CQ58=0,"",AY58)</f>
        <v/>
      </c>
      <c r="CU58">
        <f>IF($CR58="","",IF($CR58="Aloe Vera Gel","Aloe Vera Gel "&amp;$CT58&amp;"g",CS58&amp;" "&amp;$CT58&amp;"g"))</f>
        <v/>
      </c>
      <c r="CV58">
        <f>IF($CQ58=0,"",IF($CP58=$CU58,"Repeat Exact",IF($CT58&gt;$CO58,"Upsized",IF($CT58&lt;$CO58,"Downsized",IF($CM58&lt;&gt;$CR58,"Lateral","Same Size Diff Variant")))))</f>
        <v/>
      </c>
      <c r="CW58">
        <f>IF($CQ58=0,"",AZ58-AQ58)</f>
        <v/>
      </c>
      <c r="CX58">
        <f>IF($CQ58=0,0,IF(CS58=CN58,1,0))</f>
        <v/>
      </c>
      <c r="CY58">
        <f>IF($CQ58=0,0,IF(CR58=CM58,1,0))</f>
        <v/>
      </c>
      <c r="CZ58">
        <f>IF($A58="","",IF(AND(IF(DASHBOARD!$C$4="All",TRUE,$CM58=DASHBOARD!$C$4),IF(DASHBOARD!$C$6="All",TRUE,$CP58=DASHBOARD!$C$6),IF(DASHBOARD!$C$8="All",TRUE,$AF58&gt;=DASHBOARD!$C$8),IF(DASHBOARD!$C$10="All",TRUE,$AF58&lt;=DASHBOARD!$C$10),IF(DASHBOARD!$C$12="All",TRUE,$AH58=VALUE(DASHBOARD!$C$12)),IF(DASHBOARD!$C$14="All",TRUE,$AJ58=DASHBOARD!$C$14)),1,0))</f>
        <v/>
      </c>
    </row>
    <row r="59">
      <c r="A59" t="n">
        <v>43611</v>
      </c>
      <c r="B59" t="inlineStr">
        <is>
          <t>Aloe Vera Gel</t>
        </is>
      </c>
      <c r="C59" t="inlineStr">
        <is>
          <t>Aloe Vera Gel</t>
        </is>
      </c>
      <c r="H59" t="inlineStr">
        <is>
          <t>Aloe Vera Gel - 40 gms</t>
        </is>
      </c>
      <c r="I59" t="inlineStr">
        <is>
          <t>Aloe Vera Gel - 40 gms</t>
        </is>
      </c>
      <c r="N59" t="inlineStr">
        <is>
          <t>FC-HG-PA-040</t>
        </is>
      </c>
      <c r="O59" t="inlineStr">
        <is>
          <t>FC-HG-PA-040</t>
        </is>
      </c>
      <c r="T59" t="inlineStr">
        <is>
          <t>Apr 28, 2024</t>
        </is>
      </c>
      <c r="U59" t="inlineStr">
        <is>
          <t>Nov 24, 2024</t>
        </is>
      </c>
      <c r="Z59" t="n">
        <v>210</v>
      </c>
      <c r="AE59" t="inlineStr">
        <is>
          <t>Gurgaon</t>
        </is>
      </c>
      <c r="AF59" t="inlineStr">
        <is>
          <t>2024-04</t>
        </is>
      </c>
      <c r="AG59" t="n">
        <v>4</v>
      </c>
      <c r="AH59" t="n">
        <v>2</v>
      </c>
      <c r="AI59" t="n">
        <v>1</v>
      </c>
      <c r="AJ59">
        <f>IF($AE59="","",IFERROR(VLOOKUP(TRIM($AE59),DECODE!$H$3:$I$60,2,FALSE),"Rest of India"))</f>
        <v/>
      </c>
      <c r="AK59">
        <f>IF($N59="","",UPPER(TRIM(LEFT($N59&amp;",",FIND(",",$N59&amp;",")-1))))</f>
        <v/>
      </c>
      <c r="AL59">
        <f>IF($AK59="","",MID($AK59,4,FIND("~",SUBSTITUTE($AK59,"-","~",2))-4))</f>
        <v/>
      </c>
      <c r="AM59">
        <f>IF($AK59="","",MID($AK59,FIND("~",SUBSTITUTE($AK59,"-","~",2))+1,FIND("~",SUBSTITUTE($AK59,"-","~",3))-FIND("~",SUBSTITUTE($AK59,"-","~",2))-1))</f>
        <v/>
      </c>
      <c r="AN59">
        <f>IF($AL59="","",IFERROR(VLOOKUP($AL59,DECODE!$A$3:$C$8,3,FALSE),"?"))</f>
        <v/>
      </c>
      <c r="AO59">
        <f>IF($AM59="","",IFERROR(VLOOKUP($AL59&amp;"-"&amp;$AM59,DECODE!$E$3:$F$21,2,FALSE),"?"))</f>
        <v/>
      </c>
      <c r="AP59">
        <f>IF($AK59="","",IFERROR(VALUE(RIGHT($AK59,3)),""))</f>
        <v/>
      </c>
      <c r="AQ59">
        <f>IF($T59="","",IFERROR(IF(ISNUMBER($T59),$T59,DATEVALUE(TRIM($T59))),""))</f>
        <v/>
      </c>
      <c r="AR59">
        <f>IF($AQ59="","",IF(MONTH($AQ59)&gt;=12,"Cold Winter",IF(MONTH($AQ59)&gt;=10,"Post-Monsoon",IF(MONTH($AQ59)&gt;=6,"Hot Humid",IF(MONTH($AQ59)&gt;=3,"Hot Dry","Cold Winter")))))</f>
        <v/>
      </c>
      <c r="AS59">
        <f>IF($AL59="","",IFERROR(VLOOKUP($AL59,DECODE!$A$3:$C$8,2,FALSE),"?"))</f>
        <v/>
      </c>
      <c r="AT59">
        <f>IF($O59="","",UPPER(TRIM(LEFT($O59&amp;",",FIND(",",$O59&amp;",")-1))))</f>
        <v/>
      </c>
      <c r="AU59">
        <f>IF($AT59="","",MID($AT59,4,FIND("~",SUBSTITUTE($AT59,"-","~",2))-4))</f>
        <v/>
      </c>
      <c r="AV59">
        <f>IF($AT59="","",MID($AT59,FIND("~",SUBSTITUTE($AT59,"-","~",2))+1,FIND("~",SUBSTITUTE($AT59,"-","~",3))-FIND("~",SUBSTITUTE($AT59,"-","~",2))-1))</f>
        <v/>
      </c>
      <c r="AW59">
        <f>IF($AU59="","",IFERROR(VLOOKUP($AU59,DECODE!$A$3:$C$8,3,FALSE),"?"))</f>
        <v/>
      </c>
      <c r="AX59">
        <f>IF($AV59="","",IFERROR(VLOOKUP($AU59&amp;"-"&amp;$AV59,DECODE!$E$3:$F$21,2,FALSE),"?"))</f>
        <v/>
      </c>
      <c r="AY59">
        <f>IF($AT59="","",IFERROR(VALUE(RIGHT($AT59,3)),""))</f>
        <v/>
      </c>
      <c r="AZ59">
        <f>IF($U59="","",IFERROR(IF(ISNUMBER($U59),$U59,DATEVALUE(TRIM($U59))),""))</f>
        <v/>
      </c>
      <c r="BA59">
        <f>IF($AZ59="","",IF(MONTH($AZ59)&gt;=12,"Cold Winter",IF(MONTH($AZ59)&gt;=10,"Post-Monsoon",IF(MONTH($AZ59)&gt;=6,"Hot Humid",IF(MONTH($AZ59)&gt;=3,"Hot Dry","Cold Winter")))))</f>
        <v/>
      </c>
      <c r="BB59">
        <f>IF($AU59="","",IFERROR(VLOOKUP($AU59,DECODE!$A$3:$C$8,2,FALSE),"?"))</f>
        <v/>
      </c>
      <c r="BC59">
        <f>IF($P59="","",UPPER(TRIM(LEFT($P59&amp;",",FIND(",",$P59&amp;",")-1))))</f>
        <v/>
      </c>
      <c r="BD59">
        <f>IF($BC59="","",MID($BC59,4,FIND("~",SUBSTITUTE($BC59,"-","~",2))-4))</f>
        <v/>
      </c>
      <c r="BE59">
        <f>IF($BC59="","",MID($BC59,FIND("~",SUBSTITUTE($BC59,"-","~",2))+1,FIND("~",SUBSTITUTE($BC59,"-","~",3))-FIND("~",SUBSTITUTE($BC59,"-","~",2))-1))</f>
        <v/>
      </c>
      <c r="BF59">
        <f>IF($BD59="","",IFERROR(VLOOKUP($BD59,DECODE!$A$3:$C$8,3,FALSE),"?"))</f>
        <v/>
      </c>
      <c r="BG59">
        <f>IF($BE59="","",IFERROR(VLOOKUP($BD59&amp;"-"&amp;$BE59,DECODE!$E$3:$F$21,2,FALSE),"?"))</f>
        <v/>
      </c>
      <c r="BH59">
        <f>IF($BC59="","",IFERROR(VALUE(RIGHT($BC59,3)),""))</f>
        <v/>
      </c>
      <c r="BI59">
        <f>IF($V59="","",IFERROR(IF(ISNUMBER($V59),$V59,DATEVALUE(TRIM($V59))),""))</f>
        <v/>
      </c>
      <c r="BJ59">
        <f>IF($BI59="","",IF(MONTH($BI59)&gt;=12,"Cold Winter",IF(MONTH($BI59)&gt;=10,"Post-Monsoon",IF(MONTH($BI59)&gt;=6,"Hot Humid",IF(MONTH($BI59)&gt;=3,"Hot Dry","Cold Winter")))))</f>
        <v/>
      </c>
      <c r="BK59">
        <f>IF($BD59="","",IFERROR(VLOOKUP($BD59,DECODE!$A$3:$C$8,2,FALSE),"?"))</f>
        <v/>
      </c>
      <c r="BL59">
        <f>IF($Q59="","",UPPER(TRIM(LEFT($Q59&amp;",",FIND(",",$Q59&amp;",")-1))))</f>
        <v/>
      </c>
      <c r="BM59">
        <f>IF($BL59="","",MID($BL59,4,FIND("~",SUBSTITUTE($BL59,"-","~",2))-4))</f>
        <v/>
      </c>
      <c r="BN59">
        <f>IF($BL59="","",MID($BL59,FIND("~",SUBSTITUTE($BL59,"-","~",2))+1,FIND("~",SUBSTITUTE($BL59,"-","~",3))-FIND("~",SUBSTITUTE($BL59,"-","~",2))-1))</f>
        <v/>
      </c>
      <c r="BO59">
        <f>IF($BM59="","",IFERROR(VLOOKUP($BM59,DECODE!$A$3:$C$8,3,FALSE),"?"))</f>
        <v/>
      </c>
      <c r="BP59">
        <f>IF($BN59="","",IFERROR(VLOOKUP($BM59&amp;"-"&amp;$BN59,DECODE!$E$3:$F$21,2,FALSE),"?"))</f>
        <v/>
      </c>
      <c r="BQ59">
        <f>IF($BL59="","",IFERROR(VALUE(RIGHT($BL59,3)),""))</f>
        <v/>
      </c>
      <c r="BR59">
        <f>IF($W59="","",IFERROR(IF(ISNUMBER($W59),$W59,DATEVALUE(TRIM($W59))),""))</f>
        <v/>
      </c>
      <c r="BS59">
        <f>IF($BR59="","",IF(MONTH($BR59)&gt;=12,"Cold Winter",IF(MONTH($BR59)&gt;=10,"Post-Monsoon",IF(MONTH($BR59)&gt;=6,"Hot Humid",IF(MONTH($BR59)&gt;=3,"Hot Dry","Cold Winter")))))</f>
        <v/>
      </c>
      <c r="BT59">
        <f>IF($BM59="","",IFERROR(VLOOKUP($BM59,DECODE!$A$3:$C$8,2,FALSE),"?"))</f>
        <v/>
      </c>
      <c r="BU59">
        <f>IF($R59="","",UPPER(TRIM(LEFT($R59&amp;",",FIND(",",$R59&amp;",")-1))))</f>
        <v/>
      </c>
      <c r="BV59">
        <f>IF($BU59="","",MID($BU59,4,FIND("~",SUBSTITUTE($BU59,"-","~",2))-4))</f>
        <v/>
      </c>
      <c r="BW59">
        <f>IF($BU59="","",MID($BU59,FIND("~",SUBSTITUTE($BU59,"-","~",2))+1,FIND("~",SUBSTITUTE($BU59,"-","~",3))-FIND("~",SUBSTITUTE($BU59,"-","~",2))-1))</f>
        <v/>
      </c>
      <c r="BX59">
        <f>IF($BV59="","",IFERROR(VLOOKUP($BV59,DECODE!$A$3:$C$8,3,FALSE),"?"))</f>
        <v/>
      </c>
      <c r="BY59">
        <f>IF($BW59="","",IFERROR(VLOOKUP($BV59&amp;"-"&amp;$BW59,DECODE!$E$3:$F$21,2,FALSE),"?"))</f>
        <v/>
      </c>
      <c r="BZ59">
        <f>IF($BU59="","",IFERROR(VALUE(RIGHT($BU59,3)),""))</f>
        <v/>
      </c>
      <c r="CA59">
        <f>IF($X59="","",IFERROR(IF(ISNUMBER($X59),$X59,DATEVALUE(TRIM($X59))),""))</f>
        <v/>
      </c>
      <c r="CB59">
        <f>IF($CA59="","",IF(MONTH($CA59)&gt;=12,"Cold Winter",IF(MONTH($CA59)&gt;=10,"Post-Monsoon",IF(MONTH($CA59)&gt;=6,"Hot Humid",IF(MONTH($CA59)&gt;=3,"Hot Dry","Cold Winter")))))</f>
        <v/>
      </c>
      <c r="CC59">
        <f>IF($BV59="","",IFERROR(VLOOKUP($BV59,DECODE!$A$3:$C$8,2,FALSE),"?"))</f>
        <v/>
      </c>
      <c r="CD59">
        <f>IF($S59="","",UPPER(TRIM(LEFT($S59&amp;",",FIND(",",$S59&amp;",")-1))))</f>
        <v/>
      </c>
      <c r="CE59">
        <f>IF($CD59="","",MID($CD59,4,FIND("~",SUBSTITUTE($CD59,"-","~",2))-4))</f>
        <v/>
      </c>
      <c r="CF59">
        <f>IF($CD59="","",MID($CD59,FIND("~",SUBSTITUTE($CD59,"-","~",2))+1,FIND("~",SUBSTITUTE($CD59,"-","~",3))-FIND("~",SUBSTITUTE($CD59,"-","~",2))-1))</f>
        <v/>
      </c>
      <c r="CG59">
        <f>IF($CE59="","",IFERROR(VLOOKUP($CE59,DECODE!$A$3:$C$8,3,FALSE),"?"))</f>
        <v/>
      </c>
      <c r="CH59">
        <f>IF($CF59="","",IFERROR(VLOOKUP($CE59&amp;"-"&amp;$CF59,DECODE!$E$3:$F$21,2,FALSE),"?"))</f>
        <v/>
      </c>
      <c r="CI59">
        <f>IF($CD59="","",IFERROR(VALUE(RIGHT($CD59,3)),""))</f>
        <v/>
      </c>
      <c r="CJ59">
        <f>IF($Y59="","",IFERROR(IF(ISNUMBER($Y59),$Y59,DATEVALUE(TRIM($Y59))),""))</f>
        <v/>
      </c>
      <c r="CK59">
        <f>IF($CJ59="","",IF(MONTH($CJ59)&gt;=12,"Cold Winter",IF(MONTH($CJ59)&gt;=10,"Post-Monsoon",IF(MONTH($CJ59)&gt;=6,"Hot Humid",IF(MONTH($CJ59)&gt;=3,"Hot Dry","Cold Winter")))))</f>
        <v/>
      </c>
      <c r="CL59">
        <f>IF($CE59="","",IFERROR(VLOOKUP($CE59,DECODE!$A$3:$C$8,2,FALSE),"?"))</f>
        <v/>
      </c>
      <c r="CM59">
        <f>IF($AN59="","",AN59)</f>
        <v/>
      </c>
      <c r="CN59">
        <f>IF($AO59="","",AO59)</f>
        <v/>
      </c>
      <c r="CO59">
        <f>IF($AP59="","",AP59)</f>
        <v/>
      </c>
      <c r="CP59">
        <f>IF($CM59="","",IF($CM59="Aloe Vera Gel","Aloe Vera Gel "&amp;$CO59&amp;"g",CN59&amp;" "&amp;$CO59&amp;"g"))</f>
        <v/>
      </c>
      <c r="CQ59">
        <f>IF($AT59="",0,1)</f>
        <v/>
      </c>
      <c r="CR59">
        <f>IF($CQ59=0,"",AW59)</f>
        <v/>
      </c>
      <c r="CS59">
        <f>IF($CQ59=0,"",AX59)</f>
        <v/>
      </c>
      <c r="CT59">
        <f>IF($CQ59=0,"",AY59)</f>
        <v/>
      </c>
      <c r="CU59">
        <f>IF($CR59="","",IF($CR59="Aloe Vera Gel","Aloe Vera Gel "&amp;$CT59&amp;"g",CS59&amp;" "&amp;$CT59&amp;"g"))</f>
        <v/>
      </c>
      <c r="CV59">
        <f>IF($CQ59=0,"",IF($CP59=$CU59,"Repeat Exact",IF($CT59&gt;$CO59,"Upsized",IF($CT59&lt;$CO59,"Downsized",IF($CM59&lt;&gt;$CR59,"Lateral","Same Size Diff Variant")))))</f>
        <v/>
      </c>
      <c r="CW59">
        <f>IF($CQ59=0,"",AZ59-AQ59)</f>
        <v/>
      </c>
      <c r="CX59">
        <f>IF($CQ59=0,0,IF(CS59=CN59,1,0))</f>
        <v/>
      </c>
      <c r="CY59">
        <f>IF($CQ59=0,0,IF(CR59=CM59,1,0))</f>
        <v/>
      </c>
      <c r="CZ59">
        <f>IF($A59="","",IF(AND(IF(DASHBOARD!$C$4="All",TRUE,$CM59=DASHBOARD!$C$4),IF(DASHBOARD!$C$6="All",TRUE,$CP59=DASHBOARD!$C$6),IF(DASHBOARD!$C$8="All",TRUE,$AF59&gt;=DASHBOARD!$C$8),IF(DASHBOARD!$C$10="All",TRUE,$AF59&lt;=DASHBOARD!$C$10),IF(DASHBOARD!$C$12="All",TRUE,$AH59=VALUE(DASHBOARD!$C$12)),IF(DASHBOARD!$C$14="All",TRUE,$AJ59=DASHBOARD!$C$14)),1,0))</f>
        <v/>
      </c>
    </row>
    <row r="60">
      <c r="A60" t="n">
        <v>43946</v>
      </c>
      <c r="B60" t="inlineStr">
        <is>
          <t>Face Malai</t>
        </is>
      </c>
      <c r="H60" t="inlineStr">
        <is>
          <t>Flax Walnut (Cold) 35+ Face Malai</t>
        </is>
      </c>
      <c r="N60" t="inlineStr">
        <is>
          <t>FC-CWDM-FW-030</t>
        </is>
      </c>
      <c r="T60" t="inlineStr">
        <is>
          <t>Jan 9, 2025</t>
        </is>
      </c>
      <c r="AE60" t="inlineStr">
        <is>
          <t>Gurgaon</t>
        </is>
      </c>
      <c r="AF60" t="inlineStr">
        <is>
          <t>2025-01</t>
        </is>
      </c>
      <c r="AG60" t="n">
        <v>1</v>
      </c>
      <c r="AH60" t="n">
        <v>1</v>
      </c>
      <c r="AI60" t="n">
        <v>0</v>
      </c>
      <c r="AJ60">
        <f>IF($AE60="","",IFERROR(VLOOKUP(TRIM($AE60),DECODE!$H$3:$I$60,2,FALSE),"Rest of India"))</f>
        <v/>
      </c>
      <c r="AK60">
        <f>IF($N60="","",UPPER(TRIM(LEFT($N60&amp;",",FIND(",",$N60&amp;",")-1))))</f>
        <v/>
      </c>
      <c r="AL60">
        <f>IF($AK60="","",MID($AK60,4,FIND("~",SUBSTITUTE($AK60,"-","~",2))-4))</f>
        <v/>
      </c>
      <c r="AM60">
        <f>IF($AK60="","",MID($AK60,FIND("~",SUBSTITUTE($AK60,"-","~",2))+1,FIND("~",SUBSTITUTE($AK60,"-","~",3))-FIND("~",SUBSTITUTE($AK60,"-","~",2))-1))</f>
        <v/>
      </c>
      <c r="AN60">
        <f>IF($AL60="","",IFERROR(VLOOKUP($AL60,DECODE!$A$3:$C$8,3,FALSE),"?"))</f>
        <v/>
      </c>
      <c r="AO60">
        <f>IF($AM60="","",IFERROR(VLOOKUP($AL60&amp;"-"&amp;$AM60,DECODE!$E$3:$F$21,2,FALSE),"?"))</f>
        <v/>
      </c>
      <c r="AP60">
        <f>IF($AK60="","",IFERROR(VALUE(RIGHT($AK60,3)),""))</f>
        <v/>
      </c>
      <c r="AQ60">
        <f>IF($T60="","",IFERROR(IF(ISNUMBER($T60),$T60,DATEVALUE(TRIM($T60))),""))</f>
        <v/>
      </c>
      <c r="AR60">
        <f>IF($AQ60="","",IF(MONTH($AQ60)&gt;=12,"Cold Winter",IF(MONTH($AQ60)&gt;=10,"Post-Monsoon",IF(MONTH($AQ60)&gt;=6,"Hot Humid",IF(MONTH($AQ60)&gt;=3,"Hot Dry","Cold Winter")))))</f>
        <v/>
      </c>
      <c r="AS60">
        <f>IF($AL60="","",IFERROR(VLOOKUP($AL60,DECODE!$A$3:$C$8,2,FALSE),"?"))</f>
        <v/>
      </c>
      <c r="AT60">
        <f>IF($O60="","",UPPER(TRIM(LEFT($O60&amp;",",FIND(",",$O60&amp;",")-1))))</f>
        <v/>
      </c>
      <c r="AU60">
        <f>IF($AT60="","",MID($AT60,4,FIND("~",SUBSTITUTE($AT60,"-","~",2))-4))</f>
        <v/>
      </c>
      <c r="AV60">
        <f>IF($AT60="","",MID($AT60,FIND("~",SUBSTITUTE($AT60,"-","~",2))+1,FIND("~",SUBSTITUTE($AT60,"-","~",3))-FIND("~",SUBSTITUTE($AT60,"-","~",2))-1))</f>
        <v/>
      </c>
      <c r="AW60">
        <f>IF($AU60="","",IFERROR(VLOOKUP($AU60,DECODE!$A$3:$C$8,3,FALSE),"?"))</f>
        <v/>
      </c>
      <c r="AX60">
        <f>IF($AV60="","",IFERROR(VLOOKUP($AU60&amp;"-"&amp;$AV60,DECODE!$E$3:$F$21,2,FALSE),"?"))</f>
        <v/>
      </c>
      <c r="AY60">
        <f>IF($AT60="","",IFERROR(VALUE(RIGHT($AT60,3)),""))</f>
        <v/>
      </c>
      <c r="AZ60">
        <f>IF($U60="","",IFERROR(IF(ISNUMBER($U60),$U60,DATEVALUE(TRIM($U60))),""))</f>
        <v/>
      </c>
      <c r="BA60">
        <f>IF($AZ60="","",IF(MONTH($AZ60)&gt;=12,"Cold Winter",IF(MONTH($AZ60)&gt;=10,"Post-Monsoon",IF(MONTH($AZ60)&gt;=6,"Hot Humid",IF(MONTH($AZ60)&gt;=3,"Hot Dry","Cold Winter")))))</f>
        <v/>
      </c>
      <c r="BB60">
        <f>IF($AU60="","",IFERROR(VLOOKUP($AU60,DECODE!$A$3:$C$8,2,FALSE),"?"))</f>
        <v/>
      </c>
      <c r="BC60">
        <f>IF($P60="","",UPPER(TRIM(LEFT($P60&amp;",",FIND(",",$P60&amp;",")-1))))</f>
        <v/>
      </c>
      <c r="BD60">
        <f>IF($BC60="","",MID($BC60,4,FIND("~",SUBSTITUTE($BC60,"-","~",2))-4))</f>
        <v/>
      </c>
      <c r="BE60">
        <f>IF($BC60="","",MID($BC60,FIND("~",SUBSTITUTE($BC60,"-","~",2))+1,FIND("~",SUBSTITUTE($BC60,"-","~",3))-FIND("~",SUBSTITUTE($BC60,"-","~",2))-1))</f>
        <v/>
      </c>
      <c r="BF60">
        <f>IF($BD60="","",IFERROR(VLOOKUP($BD60,DECODE!$A$3:$C$8,3,FALSE),"?"))</f>
        <v/>
      </c>
      <c r="BG60">
        <f>IF($BE60="","",IFERROR(VLOOKUP($BD60&amp;"-"&amp;$BE60,DECODE!$E$3:$F$21,2,FALSE),"?"))</f>
        <v/>
      </c>
      <c r="BH60">
        <f>IF($BC60="","",IFERROR(VALUE(RIGHT($BC60,3)),""))</f>
        <v/>
      </c>
      <c r="BI60">
        <f>IF($V60="","",IFERROR(IF(ISNUMBER($V60),$V60,DATEVALUE(TRIM($V60))),""))</f>
        <v/>
      </c>
      <c r="BJ60">
        <f>IF($BI60="","",IF(MONTH($BI60)&gt;=12,"Cold Winter",IF(MONTH($BI60)&gt;=10,"Post-Monsoon",IF(MONTH($BI60)&gt;=6,"Hot Humid",IF(MONTH($BI60)&gt;=3,"Hot Dry","Cold Winter")))))</f>
        <v/>
      </c>
      <c r="BK60">
        <f>IF($BD60="","",IFERROR(VLOOKUP($BD60,DECODE!$A$3:$C$8,2,FALSE),"?"))</f>
        <v/>
      </c>
      <c r="BL60">
        <f>IF($Q60="","",UPPER(TRIM(LEFT($Q60&amp;",",FIND(",",$Q60&amp;",")-1))))</f>
        <v/>
      </c>
      <c r="BM60">
        <f>IF($BL60="","",MID($BL60,4,FIND("~",SUBSTITUTE($BL60,"-","~",2))-4))</f>
        <v/>
      </c>
      <c r="BN60">
        <f>IF($BL60="","",MID($BL60,FIND("~",SUBSTITUTE($BL60,"-","~",2))+1,FIND("~",SUBSTITUTE($BL60,"-","~",3))-FIND("~",SUBSTITUTE($BL60,"-","~",2))-1))</f>
        <v/>
      </c>
      <c r="BO60">
        <f>IF($BM60="","",IFERROR(VLOOKUP($BM60,DECODE!$A$3:$C$8,3,FALSE),"?"))</f>
        <v/>
      </c>
      <c r="BP60">
        <f>IF($BN60="","",IFERROR(VLOOKUP($BM60&amp;"-"&amp;$BN60,DECODE!$E$3:$F$21,2,FALSE),"?"))</f>
        <v/>
      </c>
      <c r="BQ60">
        <f>IF($BL60="","",IFERROR(VALUE(RIGHT($BL60,3)),""))</f>
        <v/>
      </c>
      <c r="BR60">
        <f>IF($W60="","",IFERROR(IF(ISNUMBER($W60),$W60,DATEVALUE(TRIM($W60))),""))</f>
        <v/>
      </c>
      <c r="BS60">
        <f>IF($BR60="","",IF(MONTH($BR60)&gt;=12,"Cold Winter",IF(MONTH($BR60)&gt;=10,"Post-Monsoon",IF(MONTH($BR60)&gt;=6,"Hot Humid",IF(MONTH($BR60)&gt;=3,"Hot Dry","Cold Winter")))))</f>
        <v/>
      </c>
      <c r="BT60">
        <f>IF($BM60="","",IFERROR(VLOOKUP($BM60,DECODE!$A$3:$C$8,2,FALSE),"?"))</f>
        <v/>
      </c>
      <c r="BU60">
        <f>IF($R60="","",UPPER(TRIM(LEFT($R60&amp;",",FIND(",",$R60&amp;",")-1))))</f>
        <v/>
      </c>
      <c r="BV60">
        <f>IF($BU60="","",MID($BU60,4,FIND("~",SUBSTITUTE($BU60,"-","~",2))-4))</f>
        <v/>
      </c>
      <c r="BW60">
        <f>IF($BU60="","",MID($BU60,FIND("~",SUBSTITUTE($BU60,"-","~",2))+1,FIND("~",SUBSTITUTE($BU60,"-","~",3))-FIND("~",SUBSTITUTE($BU60,"-","~",2))-1))</f>
        <v/>
      </c>
      <c r="BX60">
        <f>IF($BV60="","",IFERROR(VLOOKUP($BV60,DECODE!$A$3:$C$8,3,FALSE),"?"))</f>
        <v/>
      </c>
      <c r="BY60">
        <f>IF($BW60="","",IFERROR(VLOOKUP($BV60&amp;"-"&amp;$BW60,DECODE!$E$3:$F$21,2,FALSE),"?"))</f>
        <v/>
      </c>
      <c r="BZ60">
        <f>IF($BU60="","",IFERROR(VALUE(RIGHT($BU60,3)),""))</f>
        <v/>
      </c>
      <c r="CA60">
        <f>IF($X60="","",IFERROR(IF(ISNUMBER($X60),$X60,DATEVALUE(TRIM($X60))),""))</f>
        <v/>
      </c>
      <c r="CB60">
        <f>IF($CA60="","",IF(MONTH($CA60)&gt;=12,"Cold Winter",IF(MONTH($CA60)&gt;=10,"Post-Monsoon",IF(MONTH($CA60)&gt;=6,"Hot Humid",IF(MONTH($CA60)&gt;=3,"Hot Dry","Cold Winter")))))</f>
        <v/>
      </c>
      <c r="CC60">
        <f>IF($BV60="","",IFERROR(VLOOKUP($BV60,DECODE!$A$3:$C$8,2,FALSE),"?"))</f>
        <v/>
      </c>
      <c r="CD60">
        <f>IF($S60="","",UPPER(TRIM(LEFT($S60&amp;",",FIND(",",$S60&amp;",")-1))))</f>
        <v/>
      </c>
      <c r="CE60">
        <f>IF($CD60="","",MID($CD60,4,FIND("~",SUBSTITUTE($CD60,"-","~",2))-4))</f>
        <v/>
      </c>
      <c r="CF60">
        <f>IF($CD60="","",MID($CD60,FIND("~",SUBSTITUTE($CD60,"-","~",2))+1,FIND("~",SUBSTITUTE($CD60,"-","~",3))-FIND("~",SUBSTITUTE($CD60,"-","~",2))-1))</f>
        <v/>
      </c>
      <c r="CG60">
        <f>IF($CE60="","",IFERROR(VLOOKUP($CE60,DECODE!$A$3:$C$8,3,FALSE),"?"))</f>
        <v/>
      </c>
      <c r="CH60">
        <f>IF($CF60="","",IFERROR(VLOOKUP($CE60&amp;"-"&amp;$CF60,DECODE!$E$3:$F$21,2,FALSE),"?"))</f>
        <v/>
      </c>
      <c r="CI60">
        <f>IF($CD60="","",IFERROR(VALUE(RIGHT($CD60,3)),""))</f>
        <v/>
      </c>
      <c r="CJ60">
        <f>IF($Y60="","",IFERROR(IF(ISNUMBER($Y60),$Y60,DATEVALUE(TRIM($Y60))),""))</f>
        <v/>
      </c>
      <c r="CK60">
        <f>IF($CJ60="","",IF(MONTH($CJ60)&gt;=12,"Cold Winter",IF(MONTH($CJ60)&gt;=10,"Post-Monsoon",IF(MONTH($CJ60)&gt;=6,"Hot Humid",IF(MONTH($CJ60)&gt;=3,"Hot Dry","Cold Winter")))))</f>
        <v/>
      </c>
      <c r="CL60">
        <f>IF($CE60="","",IFERROR(VLOOKUP($CE60,DECODE!$A$3:$C$8,2,FALSE),"?"))</f>
        <v/>
      </c>
      <c r="CM60">
        <f>IF($AN60="","",AN60)</f>
        <v/>
      </c>
      <c r="CN60">
        <f>IF($AO60="","",AO60)</f>
        <v/>
      </c>
      <c r="CO60">
        <f>IF($AP60="","",AP60)</f>
        <v/>
      </c>
      <c r="CP60">
        <f>IF($CM60="","",IF($CM60="Aloe Vera Gel","Aloe Vera Gel "&amp;$CO60&amp;"g",CN60&amp;" "&amp;$CO60&amp;"g"))</f>
        <v/>
      </c>
      <c r="CQ60">
        <f>IF($AT60="",0,1)</f>
        <v/>
      </c>
      <c r="CR60">
        <f>IF($CQ60=0,"",AW60)</f>
        <v/>
      </c>
      <c r="CS60">
        <f>IF($CQ60=0,"",AX60)</f>
        <v/>
      </c>
      <c r="CT60">
        <f>IF($CQ60=0,"",AY60)</f>
        <v/>
      </c>
      <c r="CU60">
        <f>IF($CR60="","",IF($CR60="Aloe Vera Gel","Aloe Vera Gel "&amp;$CT60&amp;"g",CS60&amp;" "&amp;$CT60&amp;"g"))</f>
        <v/>
      </c>
      <c r="CV60">
        <f>IF($CQ60=0,"",IF($CP60=$CU60,"Repeat Exact",IF($CT60&gt;$CO60,"Upsized",IF($CT60&lt;$CO60,"Downsized",IF($CM60&lt;&gt;$CR60,"Lateral","Same Size Diff Variant")))))</f>
        <v/>
      </c>
      <c r="CW60">
        <f>IF($CQ60=0,"",AZ60-AQ60)</f>
        <v/>
      </c>
      <c r="CX60">
        <f>IF($CQ60=0,0,IF(CS60=CN60,1,0))</f>
        <v/>
      </c>
      <c r="CY60">
        <f>IF($CQ60=0,0,IF(CR60=CM60,1,0))</f>
        <v/>
      </c>
      <c r="CZ60">
        <f>IF($A60="","",IF(AND(IF(DASHBOARD!$C$4="All",TRUE,$CM60=DASHBOARD!$C$4),IF(DASHBOARD!$C$6="All",TRUE,$CP60=DASHBOARD!$C$6),IF(DASHBOARD!$C$8="All",TRUE,$AF60&gt;=DASHBOARD!$C$8),IF(DASHBOARD!$C$10="All",TRUE,$AF60&lt;=DASHBOARD!$C$10),IF(DASHBOARD!$C$12="All",TRUE,$AH60=VALUE(DASHBOARD!$C$12)),IF(DASHBOARD!$C$14="All",TRUE,$AJ60=DASHBOARD!$C$14)),1,0))</f>
        <v/>
      </c>
    </row>
    <row r="61">
      <c r="A61" t="n">
        <v>43986</v>
      </c>
      <c r="B61" t="inlineStr">
        <is>
          <t>Face Malai</t>
        </is>
      </c>
      <c r="H61" t="inlineStr">
        <is>
          <t>Flax Walnut (Cold) 35+ Face Malai</t>
        </is>
      </c>
      <c r="N61" t="inlineStr">
        <is>
          <t>FC-CWDM-FW-030</t>
        </is>
      </c>
      <c r="T61" t="inlineStr">
        <is>
          <t>Jan 21, 2024</t>
        </is>
      </c>
      <c r="AE61" t="inlineStr">
        <is>
          <t>Gurgaon</t>
        </is>
      </c>
      <c r="AF61" t="inlineStr">
        <is>
          <t>2024-01</t>
        </is>
      </c>
      <c r="AG61" t="n">
        <v>1</v>
      </c>
      <c r="AH61" t="n">
        <v>1</v>
      </c>
      <c r="AI61" t="n">
        <v>0</v>
      </c>
      <c r="AJ61">
        <f>IF($AE61="","",IFERROR(VLOOKUP(TRIM($AE61),DECODE!$H$3:$I$60,2,FALSE),"Rest of India"))</f>
        <v/>
      </c>
      <c r="AK61">
        <f>IF($N61="","",UPPER(TRIM(LEFT($N61&amp;",",FIND(",",$N61&amp;",")-1))))</f>
        <v/>
      </c>
      <c r="AL61">
        <f>IF($AK61="","",MID($AK61,4,FIND("~",SUBSTITUTE($AK61,"-","~",2))-4))</f>
        <v/>
      </c>
      <c r="AM61">
        <f>IF($AK61="","",MID($AK61,FIND("~",SUBSTITUTE($AK61,"-","~",2))+1,FIND("~",SUBSTITUTE($AK61,"-","~",3))-FIND("~",SUBSTITUTE($AK61,"-","~",2))-1))</f>
        <v/>
      </c>
      <c r="AN61">
        <f>IF($AL61="","",IFERROR(VLOOKUP($AL61,DECODE!$A$3:$C$8,3,FALSE),"?"))</f>
        <v/>
      </c>
      <c r="AO61">
        <f>IF($AM61="","",IFERROR(VLOOKUP($AL61&amp;"-"&amp;$AM61,DECODE!$E$3:$F$21,2,FALSE),"?"))</f>
        <v/>
      </c>
      <c r="AP61">
        <f>IF($AK61="","",IFERROR(VALUE(RIGHT($AK61,3)),""))</f>
        <v/>
      </c>
      <c r="AQ61">
        <f>IF($T61="","",IFERROR(IF(ISNUMBER($T61),$T61,DATEVALUE(TRIM($T61))),""))</f>
        <v/>
      </c>
      <c r="AR61">
        <f>IF($AQ61="","",IF(MONTH($AQ61)&gt;=12,"Cold Winter",IF(MONTH($AQ61)&gt;=10,"Post-Monsoon",IF(MONTH($AQ61)&gt;=6,"Hot Humid",IF(MONTH($AQ61)&gt;=3,"Hot Dry","Cold Winter")))))</f>
        <v/>
      </c>
      <c r="AS61">
        <f>IF($AL61="","",IFERROR(VLOOKUP($AL61,DECODE!$A$3:$C$8,2,FALSE),"?"))</f>
        <v/>
      </c>
      <c r="AT61">
        <f>IF($O61="","",UPPER(TRIM(LEFT($O61&amp;",",FIND(",",$O61&amp;",")-1))))</f>
        <v/>
      </c>
      <c r="AU61">
        <f>IF($AT61="","",MID($AT61,4,FIND("~",SUBSTITUTE($AT61,"-","~",2))-4))</f>
        <v/>
      </c>
      <c r="AV61">
        <f>IF($AT61="","",MID($AT61,FIND("~",SUBSTITUTE($AT61,"-","~",2))+1,FIND("~",SUBSTITUTE($AT61,"-","~",3))-FIND("~",SUBSTITUTE($AT61,"-","~",2))-1))</f>
        <v/>
      </c>
      <c r="AW61">
        <f>IF($AU61="","",IFERROR(VLOOKUP($AU61,DECODE!$A$3:$C$8,3,FALSE),"?"))</f>
        <v/>
      </c>
      <c r="AX61">
        <f>IF($AV61="","",IFERROR(VLOOKUP($AU61&amp;"-"&amp;$AV61,DECODE!$E$3:$F$21,2,FALSE),"?"))</f>
        <v/>
      </c>
      <c r="AY61">
        <f>IF($AT61="","",IFERROR(VALUE(RIGHT($AT61,3)),""))</f>
        <v/>
      </c>
      <c r="AZ61">
        <f>IF($U61="","",IFERROR(IF(ISNUMBER($U61),$U61,DATEVALUE(TRIM($U61))),""))</f>
        <v/>
      </c>
      <c r="BA61">
        <f>IF($AZ61="","",IF(MONTH($AZ61)&gt;=12,"Cold Winter",IF(MONTH($AZ61)&gt;=10,"Post-Monsoon",IF(MONTH($AZ61)&gt;=6,"Hot Humid",IF(MONTH($AZ61)&gt;=3,"Hot Dry","Cold Winter")))))</f>
        <v/>
      </c>
      <c r="BB61">
        <f>IF($AU61="","",IFERROR(VLOOKUP($AU61,DECODE!$A$3:$C$8,2,FALSE),"?"))</f>
        <v/>
      </c>
      <c r="BC61">
        <f>IF($P61="","",UPPER(TRIM(LEFT($P61&amp;",",FIND(",",$P61&amp;",")-1))))</f>
        <v/>
      </c>
      <c r="BD61">
        <f>IF($BC61="","",MID($BC61,4,FIND("~",SUBSTITUTE($BC61,"-","~",2))-4))</f>
        <v/>
      </c>
      <c r="BE61">
        <f>IF($BC61="","",MID($BC61,FIND("~",SUBSTITUTE($BC61,"-","~",2))+1,FIND("~",SUBSTITUTE($BC61,"-","~",3))-FIND("~",SUBSTITUTE($BC61,"-","~",2))-1))</f>
        <v/>
      </c>
      <c r="BF61">
        <f>IF($BD61="","",IFERROR(VLOOKUP($BD61,DECODE!$A$3:$C$8,3,FALSE),"?"))</f>
        <v/>
      </c>
      <c r="BG61">
        <f>IF($BE61="","",IFERROR(VLOOKUP($BD61&amp;"-"&amp;$BE61,DECODE!$E$3:$F$21,2,FALSE),"?"))</f>
        <v/>
      </c>
      <c r="BH61">
        <f>IF($BC61="","",IFERROR(VALUE(RIGHT($BC61,3)),""))</f>
        <v/>
      </c>
      <c r="BI61">
        <f>IF($V61="","",IFERROR(IF(ISNUMBER($V61),$V61,DATEVALUE(TRIM($V61))),""))</f>
        <v/>
      </c>
      <c r="BJ61">
        <f>IF($BI61="","",IF(MONTH($BI61)&gt;=12,"Cold Winter",IF(MONTH($BI61)&gt;=10,"Post-Monsoon",IF(MONTH($BI61)&gt;=6,"Hot Humid",IF(MONTH($BI61)&gt;=3,"Hot Dry","Cold Winter")))))</f>
        <v/>
      </c>
      <c r="BK61">
        <f>IF($BD61="","",IFERROR(VLOOKUP($BD61,DECODE!$A$3:$C$8,2,FALSE),"?"))</f>
        <v/>
      </c>
      <c r="BL61">
        <f>IF($Q61="","",UPPER(TRIM(LEFT($Q61&amp;",",FIND(",",$Q61&amp;",")-1))))</f>
        <v/>
      </c>
      <c r="BM61">
        <f>IF($BL61="","",MID($BL61,4,FIND("~",SUBSTITUTE($BL61,"-","~",2))-4))</f>
        <v/>
      </c>
      <c r="BN61">
        <f>IF($BL61="","",MID($BL61,FIND("~",SUBSTITUTE($BL61,"-","~",2))+1,FIND("~",SUBSTITUTE($BL61,"-","~",3))-FIND("~",SUBSTITUTE($BL61,"-","~",2))-1))</f>
        <v/>
      </c>
      <c r="BO61">
        <f>IF($BM61="","",IFERROR(VLOOKUP($BM61,DECODE!$A$3:$C$8,3,FALSE),"?"))</f>
        <v/>
      </c>
      <c r="BP61">
        <f>IF($BN61="","",IFERROR(VLOOKUP($BM61&amp;"-"&amp;$BN61,DECODE!$E$3:$F$21,2,FALSE),"?"))</f>
        <v/>
      </c>
      <c r="BQ61">
        <f>IF($BL61="","",IFERROR(VALUE(RIGHT($BL61,3)),""))</f>
        <v/>
      </c>
      <c r="BR61">
        <f>IF($W61="","",IFERROR(IF(ISNUMBER($W61),$W61,DATEVALUE(TRIM($W61))),""))</f>
        <v/>
      </c>
      <c r="BS61">
        <f>IF($BR61="","",IF(MONTH($BR61)&gt;=12,"Cold Winter",IF(MONTH($BR61)&gt;=10,"Post-Monsoon",IF(MONTH($BR61)&gt;=6,"Hot Humid",IF(MONTH($BR61)&gt;=3,"Hot Dry","Cold Winter")))))</f>
        <v/>
      </c>
      <c r="BT61">
        <f>IF($BM61="","",IFERROR(VLOOKUP($BM61,DECODE!$A$3:$C$8,2,FALSE),"?"))</f>
        <v/>
      </c>
      <c r="BU61">
        <f>IF($R61="","",UPPER(TRIM(LEFT($R61&amp;",",FIND(",",$R61&amp;",")-1))))</f>
        <v/>
      </c>
      <c r="BV61">
        <f>IF($BU61="","",MID($BU61,4,FIND("~",SUBSTITUTE($BU61,"-","~",2))-4))</f>
        <v/>
      </c>
      <c r="BW61">
        <f>IF($BU61="","",MID($BU61,FIND("~",SUBSTITUTE($BU61,"-","~",2))+1,FIND("~",SUBSTITUTE($BU61,"-","~",3))-FIND("~",SUBSTITUTE($BU61,"-","~",2))-1))</f>
        <v/>
      </c>
      <c r="BX61">
        <f>IF($BV61="","",IFERROR(VLOOKUP($BV61,DECODE!$A$3:$C$8,3,FALSE),"?"))</f>
        <v/>
      </c>
      <c r="BY61">
        <f>IF($BW61="","",IFERROR(VLOOKUP($BV61&amp;"-"&amp;$BW61,DECODE!$E$3:$F$21,2,FALSE),"?"))</f>
        <v/>
      </c>
      <c r="BZ61">
        <f>IF($BU61="","",IFERROR(VALUE(RIGHT($BU61,3)),""))</f>
        <v/>
      </c>
      <c r="CA61">
        <f>IF($X61="","",IFERROR(IF(ISNUMBER($X61),$X61,DATEVALUE(TRIM($X61))),""))</f>
        <v/>
      </c>
      <c r="CB61">
        <f>IF($CA61="","",IF(MONTH($CA61)&gt;=12,"Cold Winter",IF(MONTH($CA61)&gt;=10,"Post-Monsoon",IF(MONTH($CA61)&gt;=6,"Hot Humid",IF(MONTH($CA61)&gt;=3,"Hot Dry","Cold Winter")))))</f>
        <v/>
      </c>
      <c r="CC61">
        <f>IF($BV61="","",IFERROR(VLOOKUP($BV61,DECODE!$A$3:$C$8,2,FALSE),"?"))</f>
        <v/>
      </c>
      <c r="CD61">
        <f>IF($S61="","",UPPER(TRIM(LEFT($S61&amp;",",FIND(",",$S61&amp;",")-1))))</f>
        <v/>
      </c>
      <c r="CE61">
        <f>IF($CD61="","",MID($CD61,4,FIND("~",SUBSTITUTE($CD61,"-","~",2))-4))</f>
        <v/>
      </c>
      <c r="CF61">
        <f>IF($CD61="","",MID($CD61,FIND("~",SUBSTITUTE($CD61,"-","~",2))+1,FIND("~",SUBSTITUTE($CD61,"-","~",3))-FIND("~",SUBSTITUTE($CD61,"-","~",2))-1))</f>
        <v/>
      </c>
      <c r="CG61">
        <f>IF($CE61="","",IFERROR(VLOOKUP($CE61,DECODE!$A$3:$C$8,3,FALSE),"?"))</f>
        <v/>
      </c>
      <c r="CH61">
        <f>IF($CF61="","",IFERROR(VLOOKUP($CE61&amp;"-"&amp;$CF61,DECODE!$E$3:$F$21,2,FALSE),"?"))</f>
        <v/>
      </c>
      <c r="CI61">
        <f>IF($CD61="","",IFERROR(VALUE(RIGHT($CD61,3)),""))</f>
        <v/>
      </c>
      <c r="CJ61">
        <f>IF($Y61="","",IFERROR(IF(ISNUMBER($Y61),$Y61,DATEVALUE(TRIM($Y61))),""))</f>
        <v/>
      </c>
      <c r="CK61">
        <f>IF($CJ61="","",IF(MONTH($CJ61)&gt;=12,"Cold Winter",IF(MONTH($CJ61)&gt;=10,"Post-Monsoon",IF(MONTH($CJ61)&gt;=6,"Hot Humid",IF(MONTH($CJ61)&gt;=3,"Hot Dry","Cold Winter")))))</f>
        <v/>
      </c>
      <c r="CL61">
        <f>IF($CE61="","",IFERROR(VLOOKUP($CE61,DECODE!$A$3:$C$8,2,FALSE),"?"))</f>
        <v/>
      </c>
      <c r="CM61">
        <f>IF($AN61="","",AN61)</f>
        <v/>
      </c>
      <c r="CN61">
        <f>IF($AO61="","",AO61)</f>
        <v/>
      </c>
      <c r="CO61">
        <f>IF($AP61="","",AP61)</f>
        <v/>
      </c>
      <c r="CP61">
        <f>IF($CM61="","",IF($CM61="Aloe Vera Gel","Aloe Vera Gel "&amp;$CO61&amp;"g",CN61&amp;" "&amp;$CO61&amp;"g"))</f>
        <v/>
      </c>
      <c r="CQ61">
        <f>IF($AT61="",0,1)</f>
        <v/>
      </c>
      <c r="CR61">
        <f>IF($CQ61=0,"",AW61)</f>
        <v/>
      </c>
      <c r="CS61">
        <f>IF($CQ61=0,"",AX61)</f>
        <v/>
      </c>
      <c r="CT61">
        <f>IF($CQ61=0,"",AY61)</f>
        <v/>
      </c>
      <c r="CU61">
        <f>IF($CR61="","",IF($CR61="Aloe Vera Gel","Aloe Vera Gel "&amp;$CT61&amp;"g",CS61&amp;" "&amp;$CT61&amp;"g"))</f>
        <v/>
      </c>
      <c r="CV61">
        <f>IF($CQ61=0,"",IF($CP61=$CU61,"Repeat Exact",IF($CT61&gt;$CO61,"Upsized",IF($CT61&lt;$CO61,"Downsized",IF($CM61&lt;&gt;$CR61,"Lateral","Same Size Diff Variant")))))</f>
        <v/>
      </c>
      <c r="CW61">
        <f>IF($CQ61=0,"",AZ61-AQ61)</f>
        <v/>
      </c>
      <c r="CX61">
        <f>IF($CQ61=0,0,IF(CS61=CN61,1,0))</f>
        <v/>
      </c>
      <c r="CY61">
        <f>IF($CQ61=0,0,IF(CR61=CM61,1,0))</f>
        <v/>
      </c>
      <c r="CZ61">
        <f>IF($A61="","",IF(AND(IF(DASHBOARD!$C$4="All",TRUE,$CM61=DASHBOARD!$C$4),IF(DASHBOARD!$C$6="All",TRUE,$CP61=DASHBOARD!$C$6),IF(DASHBOARD!$C$8="All",TRUE,$AF61&gt;=DASHBOARD!$C$8),IF(DASHBOARD!$C$10="All",TRUE,$AF61&lt;=DASHBOARD!$C$10),IF(DASHBOARD!$C$12="All",TRUE,$AH61=VALUE(DASHBOARD!$C$12)),IF(DASHBOARD!$C$14="All",TRUE,$AJ61=DASHBOARD!$C$14)),1,0))</f>
        <v/>
      </c>
    </row>
    <row r="62">
      <c r="A62" t="n">
        <v>44054</v>
      </c>
      <c r="B62" t="inlineStr">
        <is>
          <t>Face Malai</t>
        </is>
      </c>
      <c r="C62" t="inlineStr">
        <is>
          <t>Face Malai</t>
        </is>
      </c>
      <c r="D62" t="inlineStr">
        <is>
          <t>Face Malai</t>
        </is>
      </c>
      <c r="H62" t="inlineStr">
        <is>
          <t>Flax Carrot (Hot Humid) 35+ Face Malai - 30g</t>
        </is>
      </c>
      <c r="I62" t="inlineStr">
        <is>
          <t>Flax Walnut (Cold) 35+ Face Malai</t>
        </is>
      </c>
      <c r="J62" t="inlineStr">
        <is>
          <t>Flax Bakuchi (Hot Dry) 35+ Face Malai - 30g</t>
        </is>
      </c>
      <c r="N62" t="inlineStr">
        <is>
          <t>FC-HHDM-FC-030</t>
        </is>
      </c>
      <c r="O62" t="inlineStr">
        <is>
          <t>FC-CWDM-FW-030</t>
        </is>
      </c>
      <c r="P62" t="inlineStr">
        <is>
          <t>FC-HDDM-FB-030</t>
        </is>
      </c>
      <c r="T62" t="inlineStr">
        <is>
          <t>Mar 2, 2025</t>
        </is>
      </c>
      <c r="U62" t="inlineStr">
        <is>
          <t>Jun 30, 2025</t>
        </is>
      </c>
      <c r="V62" t="inlineStr">
        <is>
          <t>Mar 25, 2026</t>
        </is>
      </c>
      <c r="Z62" t="n">
        <v>120</v>
      </c>
      <c r="AA62" t="n">
        <v>268</v>
      </c>
      <c r="AE62" t="inlineStr">
        <is>
          <t>Gurgaon</t>
        </is>
      </c>
      <c r="AF62" t="inlineStr">
        <is>
          <t>2025-03</t>
        </is>
      </c>
      <c r="AG62" t="n">
        <v>3</v>
      </c>
      <c r="AH62" t="n">
        <v>3</v>
      </c>
      <c r="AI62" t="n">
        <v>1</v>
      </c>
      <c r="AJ62">
        <f>IF($AE62="","",IFERROR(VLOOKUP(TRIM($AE62),DECODE!$H$3:$I$60,2,FALSE),"Rest of India"))</f>
        <v/>
      </c>
      <c r="AK62">
        <f>IF($N62="","",UPPER(TRIM(LEFT($N62&amp;",",FIND(",",$N62&amp;",")-1))))</f>
        <v/>
      </c>
      <c r="AL62">
        <f>IF($AK62="","",MID($AK62,4,FIND("~",SUBSTITUTE($AK62,"-","~",2))-4))</f>
        <v/>
      </c>
      <c r="AM62">
        <f>IF($AK62="","",MID($AK62,FIND("~",SUBSTITUTE($AK62,"-","~",2))+1,FIND("~",SUBSTITUTE($AK62,"-","~",3))-FIND("~",SUBSTITUTE($AK62,"-","~",2))-1))</f>
        <v/>
      </c>
      <c r="AN62">
        <f>IF($AL62="","",IFERROR(VLOOKUP($AL62,DECODE!$A$3:$C$8,3,FALSE),"?"))</f>
        <v/>
      </c>
      <c r="AO62">
        <f>IF($AM62="","",IFERROR(VLOOKUP($AL62&amp;"-"&amp;$AM62,DECODE!$E$3:$F$21,2,FALSE),"?"))</f>
        <v/>
      </c>
      <c r="AP62">
        <f>IF($AK62="","",IFERROR(VALUE(RIGHT($AK62,3)),""))</f>
        <v/>
      </c>
      <c r="AQ62">
        <f>IF($T62="","",IFERROR(IF(ISNUMBER($T62),$T62,DATEVALUE(TRIM($T62))),""))</f>
        <v/>
      </c>
      <c r="AR62">
        <f>IF($AQ62="","",IF(MONTH($AQ62)&gt;=12,"Cold Winter",IF(MONTH($AQ62)&gt;=10,"Post-Monsoon",IF(MONTH($AQ62)&gt;=6,"Hot Humid",IF(MONTH($AQ62)&gt;=3,"Hot Dry","Cold Winter")))))</f>
        <v/>
      </c>
      <c r="AS62">
        <f>IF($AL62="","",IFERROR(VLOOKUP($AL62,DECODE!$A$3:$C$8,2,FALSE),"?"))</f>
        <v/>
      </c>
      <c r="AT62">
        <f>IF($O62="","",UPPER(TRIM(LEFT($O62&amp;",",FIND(",",$O62&amp;",")-1))))</f>
        <v/>
      </c>
      <c r="AU62">
        <f>IF($AT62="","",MID($AT62,4,FIND("~",SUBSTITUTE($AT62,"-","~",2))-4))</f>
        <v/>
      </c>
      <c r="AV62">
        <f>IF($AT62="","",MID($AT62,FIND("~",SUBSTITUTE($AT62,"-","~",2))+1,FIND("~",SUBSTITUTE($AT62,"-","~",3))-FIND("~",SUBSTITUTE($AT62,"-","~",2))-1))</f>
        <v/>
      </c>
      <c r="AW62">
        <f>IF($AU62="","",IFERROR(VLOOKUP($AU62,DECODE!$A$3:$C$8,3,FALSE),"?"))</f>
        <v/>
      </c>
      <c r="AX62">
        <f>IF($AV62="","",IFERROR(VLOOKUP($AU62&amp;"-"&amp;$AV62,DECODE!$E$3:$F$21,2,FALSE),"?"))</f>
        <v/>
      </c>
      <c r="AY62">
        <f>IF($AT62="","",IFERROR(VALUE(RIGHT($AT62,3)),""))</f>
        <v/>
      </c>
      <c r="AZ62">
        <f>IF($U62="","",IFERROR(IF(ISNUMBER($U62),$U62,DATEVALUE(TRIM($U62))),""))</f>
        <v/>
      </c>
      <c r="BA62">
        <f>IF($AZ62="","",IF(MONTH($AZ62)&gt;=12,"Cold Winter",IF(MONTH($AZ62)&gt;=10,"Post-Monsoon",IF(MONTH($AZ62)&gt;=6,"Hot Humid",IF(MONTH($AZ62)&gt;=3,"Hot Dry","Cold Winter")))))</f>
        <v/>
      </c>
      <c r="BB62">
        <f>IF($AU62="","",IFERROR(VLOOKUP($AU62,DECODE!$A$3:$C$8,2,FALSE),"?"))</f>
        <v/>
      </c>
      <c r="BC62">
        <f>IF($P62="","",UPPER(TRIM(LEFT($P62&amp;",",FIND(",",$P62&amp;",")-1))))</f>
        <v/>
      </c>
      <c r="BD62">
        <f>IF($BC62="","",MID($BC62,4,FIND("~",SUBSTITUTE($BC62,"-","~",2))-4))</f>
        <v/>
      </c>
      <c r="BE62">
        <f>IF($BC62="","",MID($BC62,FIND("~",SUBSTITUTE($BC62,"-","~",2))+1,FIND("~",SUBSTITUTE($BC62,"-","~",3))-FIND("~",SUBSTITUTE($BC62,"-","~",2))-1))</f>
        <v/>
      </c>
      <c r="BF62">
        <f>IF($BD62="","",IFERROR(VLOOKUP($BD62,DECODE!$A$3:$C$8,3,FALSE),"?"))</f>
        <v/>
      </c>
      <c r="BG62">
        <f>IF($BE62="","",IFERROR(VLOOKUP($BD62&amp;"-"&amp;$BE62,DECODE!$E$3:$F$21,2,FALSE),"?"))</f>
        <v/>
      </c>
      <c r="BH62">
        <f>IF($BC62="","",IFERROR(VALUE(RIGHT($BC62,3)),""))</f>
        <v/>
      </c>
      <c r="BI62">
        <f>IF($V62="","",IFERROR(IF(ISNUMBER($V62),$V62,DATEVALUE(TRIM($V62))),""))</f>
        <v/>
      </c>
      <c r="BJ62">
        <f>IF($BI62="","",IF(MONTH($BI62)&gt;=12,"Cold Winter",IF(MONTH($BI62)&gt;=10,"Post-Monsoon",IF(MONTH($BI62)&gt;=6,"Hot Humid",IF(MONTH($BI62)&gt;=3,"Hot Dry","Cold Winter")))))</f>
        <v/>
      </c>
      <c r="BK62">
        <f>IF($BD62="","",IFERROR(VLOOKUP($BD62,DECODE!$A$3:$C$8,2,FALSE),"?"))</f>
        <v/>
      </c>
      <c r="BL62">
        <f>IF($Q62="","",UPPER(TRIM(LEFT($Q62&amp;",",FIND(",",$Q62&amp;",")-1))))</f>
        <v/>
      </c>
      <c r="BM62">
        <f>IF($BL62="","",MID($BL62,4,FIND("~",SUBSTITUTE($BL62,"-","~",2))-4))</f>
        <v/>
      </c>
      <c r="BN62">
        <f>IF($BL62="","",MID($BL62,FIND("~",SUBSTITUTE($BL62,"-","~",2))+1,FIND("~",SUBSTITUTE($BL62,"-","~",3))-FIND("~",SUBSTITUTE($BL62,"-","~",2))-1))</f>
        <v/>
      </c>
      <c r="BO62">
        <f>IF($BM62="","",IFERROR(VLOOKUP($BM62,DECODE!$A$3:$C$8,3,FALSE),"?"))</f>
        <v/>
      </c>
      <c r="BP62">
        <f>IF($BN62="","",IFERROR(VLOOKUP($BM62&amp;"-"&amp;$BN62,DECODE!$E$3:$F$21,2,FALSE),"?"))</f>
        <v/>
      </c>
      <c r="BQ62">
        <f>IF($BL62="","",IFERROR(VALUE(RIGHT($BL62,3)),""))</f>
        <v/>
      </c>
      <c r="BR62">
        <f>IF($W62="","",IFERROR(IF(ISNUMBER($W62),$W62,DATEVALUE(TRIM($W62))),""))</f>
        <v/>
      </c>
      <c r="BS62">
        <f>IF($BR62="","",IF(MONTH($BR62)&gt;=12,"Cold Winter",IF(MONTH($BR62)&gt;=10,"Post-Monsoon",IF(MONTH($BR62)&gt;=6,"Hot Humid",IF(MONTH($BR62)&gt;=3,"Hot Dry","Cold Winter")))))</f>
        <v/>
      </c>
      <c r="BT62">
        <f>IF($BM62="","",IFERROR(VLOOKUP($BM62,DECODE!$A$3:$C$8,2,FALSE),"?"))</f>
        <v/>
      </c>
      <c r="BU62">
        <f>IF($R62="","",UPPER(TRIM(LEFT($R62&amp;",",FIND(",",$R62&amp;",")-1))))</f>
        <v/>
      </c>
      <c r="BV62">
        <f>IF($BU62="","",MID($BU62,4,FIND("~",SUBSTITUTE($BU62,"-","~",2))-4))</f>
        <v/>
      </c>
      <c r="BW62">
        <f>IF($BU62="","",MID($BU62,FIND("~",SUBSTITUTE($BU62,"-","~",2))+1,FIND("~",SUBSTITUTE($BU62,"-","~",3))-FIND("~",SUBSTITUTE($BU62,"-","~",2))-1))</f>
        <v/>
      </c>
      <c r="BX62">
        <f>IF($BV62="","",IFERROR(VLOOKUP($BV62,DECODE!$A$3:$C$8,3,FALSE),"?"))</f>
        <v/>
      </c>
      <c r="BY62">
        <f>IF($BW62="","",IFERROR(VLOOKUP($BV62&amp;"-"&amp;$BW62,DECODE!$E$3:$F$21,2,FALSE),"?"))</f>
        <v/>
      </c>
      <c r="BZ62">
        <f>IF($BU62="","",IFERROR(VALUE(RIGHT($BU62,3)),""))</f>
        <v/>
      </c>
      <c r="CA62">
        <f>IF($X62="","",IFERROR(IF(ISNUMBER($X62),$X62,DATEVALUE(TRIM($X62))),""))</f>
        <v/>
      </c>
      <c r="CB62">
        <f>IF($CA62="","",IF(MONTH($CA62)&gt;=12,"Cold Winter",IF(MONTH($CA62)&gt;=10,"Post-Monsoon",IF(MONTH($CA62)&gt;=6,"Hot Humid",IF(MONTH($CA62)&gt;=3,"Hot Dry","Cold Winter")))))</f>
        <v/>
      </c>
      <c r="CC62">
        <f>IF($BV62="","",IFERROR(VLOOKUP($BV62,DECODE!$A$3:$C$8,2,FALSE),"?"))</f>
        <v/>
      </c>
      <c r="CD62">
        <f>IF($S62="","",UPPER(TRIM(LEFT($S62&amp;",",FIND(",",$S62&amp;",")-1))))</f>
        <v/>
      </c>
      <c r="CE62">
        <f>IF($CD62="","",MID($CD62,4,FIND("~",SUBSTITUTE($CD62,"-","~",2))-4))</f>
        <v/>
      </c>
      <c r="CF62">
        <f>IF($CD62="","",MID($CD62,FIND("~",SUBSTITUTE($CD62,"-","~",2))+1,FIND("~",SUBSTITUTE($CD62,"-","~",3))-FIND("~",SUBSTITUTE($CD62,"-","~",2))-1))</f>
        <v/>
      </c>
      <c r="CG62">
        <f>IF($CE62="","",IFERROR(VLOOKUP($CE62,DECODE!$A$3:$C$8,3,FALSE),"?"))</f>
        <v/>
      </c>
      <c r="CH62">
        <f>IF($CF62="","",IFERROR(VLOOKUP($CE62&amp;"-"&amp;$CF62,DECODE!$E$3:$F$21,2,FALSE),"?"))</f>
        <v/>
      </c>
      <c r="CI62">
        <f>IF($CD62="","",IFERROR(VALUE(RIGHT($CD62,3)),""))</f>
        <v/>
      </c>
      <c r="CJ62">
        <f>IF($Y62="","",IFERROR(IF(ISNUMBER($Y62),$Y62,DATEVALUE(TRIM($Y62))),""))</f>
        <v/>
      </c>
      <c r="CK62">
        <f>IF($CJ62="","",IF(MONTH($CJ62)&gt;=12,"Cold Winter",IF(MONTH($CJ62)&gt;=10,"Post-Monsoon",IF(MONTH($CJ62)&gt;=6,"Hot Humid",IF(MONTH($CJ62)&gt;=3,"Hot Dry","Cold Winter")))))</f>
        <v/>
      </c>
      <c r="CL62">
        <f>IF($CE62="","",IFERROR(VLOOKUP($CE62,DECODE!$A$3:$C$8,2,FALSE),"?"))</f>
        <v/>
      </c>
      <c r="CM62">
        <f>IF($AN62="","",AN62)</f>
        <v/>
      </c>
      <c r="CN62">
        <f>IF($AO62="","",AO62)</f>
        <v/>
      </c>
      <c r="CO62">
        <f>IF($AP62="","",AP62)</f>
        <v/>
      </c>
      <c r="CP62">
        <f>IF($CM62="","",IF($CM62="Aloe Vera Gel","Aloe Vera Gel "&amp;$CO62&amp;"g",CN62&amp;" "&amp;$CO62&amp;"g"))</f>
        <v/>
      </c>
      <c r="CQ62">
        <f>IF($AT62="",0,1)</f>
        <v/>
      </c>
      <c r="CR62">
        <f>IF($CQ62=0,"",AW62)</f>
        <v/>
      </c>
      <c r="CS62">
        <f>IF($CQ62=0,"",AX62)</f>
        <v/>
      </c>
      <c r="CT62">
        <f>IF($CQ62=0,"",AY62)</f>
        <v/>
      </c>
      <c r="CU62">
        <f>IF($CR62="","",IF($CR62="Aloe Vera Gel","Aloe Vera Gel "&amp;$CT62&amp;"g",CS62&amp;" "&amp;$CT62&amp;"g"))</f>
        <v/>
      </c>
      <c r="CV62">
        <f>IF($CQ62=0,"",IF($CP62=$CU62,"Repeat Exact",IF($CT62&gt;$CO62,"Upsized",IF($CT62&lt;$CO62,"Downsized",IF($CM62&lt;&gt;$CR62,"Lateral","Same Size Diff Variant")))))</f>
        <v/>
      </c>
      <c r="CW62">
        <f>IF($CQ62=0,"",AZ62-AQ62)</f>
        <v/>
      </c>
      <c r="CX62">
        <f>IF($CQ62=0,0,IF(CS62=CN62,1,0))</f>
        <v/>
      </c>
      <c r="CY62">
        <f>IF($CQ62=0,0,IF(CR62=CM62,1,0))</f>
        <v/>
      </c>
      <c r="CZ62">
        <f>IF($A62="","",IF(AND(IF(DASHBOARD!$C$4="All",TRUE,$CM62=DASHBOARD!$C$4),IF(DASHBOARD!$C$6="All",TRUE,$CP62=DASHBOARD!$C$6),IF(DASHBOARD!$C$8="All",TRUE,$AF62&gt;=DASHBOARD!$C$8),IF(DASHBOARD!$C$10="All",TRUE,$AF62&lt;=DASHBOARD!$C$10),IF(DASHBOARD!$C$12="All",TRUE,$AH62=VALUE(DASHBOARD!$C$12)),IF(DASHBOARD!$C$14="All",TRUE,$AJ62=DASHBOARD!$C$14)),1,0))</f>
        <v/>
      </c>
    </row>
    <row r="63">
      <c r="A63" t="n">
        <v>44067</v>
      </c>
      <c r="B63" t="inlineStr">
        <is>
          <t>Face Malai</t>
        </is>
      </c>
      <c r="H63" t="inlineStr">
        <is>
          <t>Tomato Rosehip (Hot Dry) 20 - 35 Yrs Face Malai - 30g</t>
        </is>
      </c>
      <c r="N63" t="inlineStr">
        <is>
          <t>FC-HDDM-TR-030</t>
        </is>
      </c>
      <c r="T63" t="inlineStr">
        <is>
          <t>May 30, 2024</t>
        </is>
      </c>
      <c r="AE63" t="inlineStr">
        <is>
          <t>Shamli</t>
        </is>
      </c>
      <c r="AF63" t="inlineStr">
        <is>
          <t>2024-05</t>
        </is>
      </c>
      <c r="AG63" t="n">
        <v>5</v>
      </c>
      <c r="AH63" t="n">
        <v>1</v>
      </c>
      <c r="AI63" t="n">
        <v>0</v>
      </c>
      <c r="AJ63">
        <f>IF($AE63="","",IFERROR(VLOOKUP(TRIM($AE63),DECODE!$H$3:$I$60,2,FALSE),"Rest of India"))</f>
        <v/>
      </c>
      <c r="AK63">
        <f>IF($N63="","",UPPER(TRIM(LEFT($N63&amp;",",FIND(",",$N63&amp;",")-1))))</f>
        <v/>
      </c>
      <c r="AL63">
        <f>IF($AK63="","",MID($AK63,4,FIND("~",SUBSTITUTE($AK63,"-","~",2))-4))</f>
        <v/>
      </c>
      <c r="AM63">
        <f>IF($AK63="","",MID($AK63,FIND("~",SUBSTITUTE($AK63,"-","~",2))+1,FIND("~",SUBSTITUTE($AK63,"-","~",3))-FIND("~",SUBSTITUTE($AK63,"-","~",2))-1))</f>
        <v/>
      </c>
      <c r="AN63">
        <f>IF($AL63="","",IFERROR(VLOOKUP($AL63,DECODE!$A$3:$C$8,3,FALSE),"?"))</f>
        <v/>
      </c>
      <c r="AO63">
        <f>IF($AM63="","",IFERROR(VLOOKUP($AL63&amp;"-"&amp;$AM63,DECODE!$E$3:$F$21,2,FALSE),"?"))</f>
        <v/>
      </c>
      <c r="AP63">
        <f>IF($AK63="","",IFERROR(VALUE(RIGHT($AK63,3)),""))</f>
        <v/>
      </c>
      <c r="AQ63">
        <f>IF($T63="","",IFERROR(IF(ISNUMBER($T63),$T63,DATEVALUE(TRIM($T63))),""))</f>
        <v/>
      </c>
      <c r="AR63">
        <f>IF($AQ63="","",IF(MONTH($AQ63)&gt;=12,"Cold Winter",IF(MONTH($AQ63)&gt;=10,"Post-Monsoon",IF(MONTH($AQ63)&gt;=6,"Hot Humid",IF(MONTH($AQ63)&gt;=3,"Hot Dry","Cold Winter")))))</f>
        <v/>
      </c>
      <c r="AS63">
        <f>IF($AL63="","",IFERROR(VLOOKUP($AL63,DECODE!$A$3:$C$8,2,FALSE),"?"))</f>
        <v/>
      </c>
      <c r="AT63">
        <f>IF($O63="","",UPPER(TRIM(LEFT($O63&amp;",",FIND(",",$O63&amp;",")-1))))</f>
        <v/>
      </c>
      <c r="AU63">
        <f>IF($AT63="","",MID($AT63,4,FIND("~",SUBSTITUTE($AT63,"-","~",2))-4))</f>
        <v/>
      </c>
      <c r="AV63">
        <f>IF($AT63="","",MID($AT63,FIND("~",SUBSTITUTE($AT63,"-","~",2))+1,FIND("~",SUBSTITUTE($AT63,"-","~",3))-FIND("~",SUBSTITUTE($AT63,"-","~",2))-1))</f>
        <v/>
      </c>
      <c r="AW63">
        <f>IF($AU63="","",IFERROR(VLOOKUP($AU63,DECODE!$A$3:$C$8,3,FALSE),"?"))</f>
        <v/>
      </c>
      <c r="AX63">
        <f>IF($AV63="","",IFERROR(VLOOKUP($AU63&amp;"-"&amp;$AV63,DECODE!$E$3:$F$21,2,FALSE),"?"))</f>
        <v/>
      </c>
      <c r="AY63">
        <f>IF($AT63="","",IFERROR(VALUE(RIGHT($AT63,3)),""))</f>
        <v/>
      </c>
      <c r="AZ63">
        <f>IF($U63="","",IFERROR(IF(ISNUMBER($U63),$U63,DATEVALUE(TRIM($U63))),""))</f>
        <v/>
      </c>
      <c r="BA63">
        <f>IF($AZ63="","",IF(MONTH($AZ63)&gt;=12,"Cold Winter",IF(MONTH($AZ63)&gt;=10,"Post-Monsoon",IF(MONTH($AZ63)&gt;=6,"Hot Humid",IF(MONTH($AZ63)&gt;=3,"Hot Dry","Cold Winter")))))</f>
        <v/>
      </c>
      <c r="BB63">
        <f>IF($AU63="","",IFERROR(VLOOKUP($AU63,DECODE!$A$3:$C$8,2,FALSE),"?"))</f>
        <v/>
      </c>
      <c r="BC63">
        <f>IF($P63="","",UPPER(TRIM(LEFT($P63&amp;",",FIND(",",$P63&amp;",")-1))))</f>
        <v/>
      </c>
      <c r="BD63">
        <f>IF($BC63="","",MID($BC63,4,FIND("~",SUBSTITUTE($BC63,"-","~",2))-4))</f>
        <v/>
      </c>
      <c r="BE63">
        <f>IF($BC63="","",MID($BC63,FIND("~",SUBSTITUTE($BC63,"-","~",2))+1,FIND("~",SUBSTITUTE($BC63,"-","~",3))-FIND("~",SUBSTITUTE($BC63,"-","~",2))-1))</f>
        <v/>
      </c>
      <c r="BF63">
        <f>IF($BD63="","",IFERROR(VLOOKUP($BD63,DECODE!$A$3:$C$8,3,FALSE),"?"))</f>
        <v/>
      </c>
      <c r="BG63">
        <f>IF($BE63="","",IFERROR(VLOOKUP($BD63&amp;"-"&amp;$BE63,DECODE!$E$3:$F$21,2,FALSE),"?"))</f>
        <v/>
      </c>
      <c r="BH63">
        <f>IF($BC63="","",IFERROR(VALUE(RIGHT($BC63,3)),""))</f>
        <v/>
      </c>
      <c r="BI63">
        <f>IF($V63="","",IFERROR(IF(ISNUMBER($V63),$V63,DATEVALUE(TRIM($V63))),""))</f>
        <v/>
      </c>
      <c r="BJ63">
        <f>IF($BI63="","",IF(MONTH($BI63)&gt;=12,"Cold Winter",IF(MONTH($BI63)&gt;=10,"Post-Monsoon",IF(MONTH($BI63)&gt;=6,"Hot Humid",IF(MONTH($BI63)&gt;=3,"Hot Dry","Cold Winter")))))</f>
        <v/>
      </c>
      <c r="BK63">
        <f>IF($BD63="","",IFERROR(VLOOKUP($BD63,DECODE!$A$3:$C$8,2,FALSE),"?"))</f>
        <v/>
      </c>
      <c r="BL63">
        <f>IF($Q63="","",UPPER(TRIM(LEFT($Q63&amp;",",FIND(",",$Q63&amp;",")-1))))</f>
        <v/>
      </c>
      <c r="BM63">
        <f>IF($BL63="","",MID($BL63,4,FIND("~",SUBSTITUTE($BL63,"-","~",2))-4))</f>
        <v/>
      </c>
      <c r="BN63">
        <f>IF($BL63="","",MID($BL63,FIND("~",SUBSTITUTE($BL63,"-","~",2))+1,FIND("~",SUBSTITUTE($BL63,"-","~",3))-FIND("~",SUBSTITUTE($BL63,"-","~",2))-1))</f>
        <v/>
      </c>
      <c r="BO63">
        <f>IF($BM63="","",IFERROR(VLOOKUP($BM63,DECODE!$A$3:$C$8,3,FALSE),"?"))</f>
        <v/>
      </c>
      <c r="BP63">
        <f>IF($BN63="","",IFERROR(VLOOKUP($BM63&amp;"-"&amp;$BN63,DECODE!$E$3:$F$21,2,FALSE),"?"))</f>
        <v/>
      </c>
      <c r="BQ63">
        <f>IF($BL63="","",IFERROR(VALUE(RIGHT($BL63,3)),""))</f>
        <v/>
      </c>
      <c r="BR63">
        <f>IF($W63="","",IFERROR(IF(ISNUMBER($W63),$W63,DATEVALUE(TRIM($W63))),""))</f>
        <v/>
      </c>
      <c r="BS63">
        <f>IF($BR63="","",IF(MONTH($BR63)&gt;=12,"Cold Winter",IF(MONTH($BR63)&gt;=10,"Post-Monsoon",IF(MONTH($BR63)&gt;=6,"Hot Humid",IF(MONTH($BR63)&gt;=3,"Hot Dry","Cold Winter")))))</f>
        <v/>
      </c>
      <c r="BT63">
        <f>IF($BM63="","",IFERROR(VLOOKUP($BM63,DECODE!$A$3:$C$8,2,FALSE),"?"))</f>
        <v/>
      </c>
      <c r="BU63">
        <f>IF($R63="","",UPPER(TRIM(LEFT($R63&amp;",",FIND(",",$R63&amp;",")-1))))</f>
        <v/>
      </c>
      <c r="BV63">
        <f>IF($BU63="","",MID($BU63,4,FIND("~",SUBSTITUTE($BU63,"-","~",2))-4))</f>
        <v/>
      </c>
      <c r="BW63">
        <f>IF($BU63="","",MID($BU63,FIND("~",SUBSTITUTE($BU63,"-","~",2))+1,FIND("~",SUBSTITUTE($BU63,"-","~",3))-FIND("~",SUBSTITUTE($BU63,"-","~",2))-1))</f>
        <v/>
      </c>
      <c r="BX63">
        <f>IF($BV63="","",IFERROR(VLOOKUP($BV63,DECODE!$A$3:$C$8,3,FALSE),"?"))</f>
        <v/>
      </c>
      <c r="BY63">
        <f>IF($BW63="","",IFERROR(VLOOKUP($BV63&amp;"-"&amp;$BW63,DECODE!$E$3:$F$21,2,FALSE),"?"))</f>
        <v/>
      </c>
      <c r="BZ63">
        <f>IF($BU63="","",IFERROR(VALUE(RIGHT($BU63,3)),""))</f>
        <v/>
      </c>
      <c r="CA63">
        <f>IF($X63="","",IFERROR(IF(ISNUMBER($X63),$X63,DATEVALUE(TRIM($X63))),""))</f>
        <v/>
      </c>
      <c r="CB63">
        <f>IF($CA63="","",IF(MONTH($CA63)&gt;=12,"Cold Winter",IF(MONTH($CA63)&gt;=10,"Post-Monsoon",IF(MONTH($CA63)&gt;=6,"Hot Humid",IF(MONTH($CA63)&gt;=3,"Hot Dry","Cold Winter")))))</f>
        <v/>
      </c>
      <c r="CC63">
        <f>IF($BV63="","",IFERROR(VLOOKUP($BV63,DECODE!$A$3:$C$8,2,FALSE),"?"))</f>
        <v/>
      </c>
      <c r="CD63">
        <f>IF($S63="","",UPPER(TRIM(LEFT($S63&amp;",",FIND(",",$S63&amp;",")-1))))</f>
        <v/>
      </c>
      <c r="CE63">
        <f>IF($CD63="","",MID($CD63,4,FIND("~",SUBSTITUTE($CD63,"-","~",2))-4))</f>
        <v/>
      </c>
      <c r="CF63">
        <f>IF($CD63="","",MID($CD63,FIND("~",SUBSTITUTE($CD63,"-","~",2))+1,FIND("~",SUBSTITUTE($CD63,"-","~",3))-FIND("~",SUBSTITUTE($CD63,"-","~",2))-1))</f>
        <v/>
      </c>
      <c r="CG63">
        <f>IF($CE63="","",IFERROR(VLOOKUP($CE63,DECODE!$A$3:$C$8,3,FALSE),"?"))</f>
        <v/>
      </c>
      <c r="CH63">
        <f>IF($CF63="","",IFERROR(VLOOKUP($CE63&amp;"-"&amp;$CF63,DECODE!$E$3:$F$21,2,FALSE),"?"))</f>
        <v/>
      </c>
      <c r="CI63">
        <f>IF($CD63="","",IFERROR(VALUE(RIGHT($CD63,3)),""))</f>
        <v/>
      </c>
      <c r="CJ63">
        <f>IF($Y63="","",IFERROR(IF(ISNUMBER($Y63),$Y63,DATEVALUE(TRIM($Y63))),""))</f>
        <v/>
      </c>
      <c r="CK63">
        <f>IF($CJ63="","",IF(MONTH($CJ63)&gt;=12,"Cold Winter",IF(MONTH($CJ63)&gt;=10,"Post-Monsoon",IF(MONTH($CJ63)&gt;=6,"Hot Humid",IF(MONTH($CJ63)&gt;=3,"Hot Dry","Cold Winter")))))</f>
        <v/>
      </c>
      <c r="CL63">
        <f>IF($CE63="","",IFERROR(VLOOKUP($CE63,DECODE!$A$3:$C$8,2,FALSE),"?"))</f>
        <v/>
      </c>
      <c r="CM63">
        <f>IF($AN63="","",AN63)</f>
        <v/>
      </c>
      <c r="CN63">
        <f>IF($AO63="","",AO63)</f>
        <v/>
      </c>
      <c r="CO63">
        <f>IF($AP63="","",AP63)</f>
        <v/>
      </c>
      <c r="CP63">
        <f>IF($CM63="","",IF($CM63="Aloe Vera Gel","Aloe Vera Gel "&amp;$CO63&amp;"g",CN63&amp;" "&amp;$CO63&amp;"g"))</f>
        <v/>
      </c>
      <c r="CQ63">
        <f>IF($AT63="",0,1)</f>
        <v/>
      </c>
      <c r="CR63">
        <f>IF($CQ63=0,"",AW63)</f>
        <v/>
      </c>
      <c r="CS63">
        <f>IF($CQ63=0,"",AX63)</f>
        <v/>
      </c>
      <c r="CT63">
        <f>IF($CQ63=0,"",AY63)</f>
        <v/>
      </c>
      <c r="CU63">
        <f>IF($CR63="","",IF($CR63="Aloe Vera Gel","Aloe Vera Gel "&amp;$CT63&amp;"g",CS63&amp;" "&amp;$CT63&amp;"g"))</f>
        <v/>
      </c>
      <c r="CV63">
        <f>IF($CQ63=0,"",IF($CP63=$CU63,"Repeat Exact",IF($CT63&gt;$CO63,"Upsized",IF($CT63&lt;$CO63,"Downsized",IF($CM63&lt;&gt;$CR63,"Lateral","Same Size Diff Variant")))))</f>
        <v/>
      </c>
      <c r="CW63">
        <f>IF($CQ63=0,"",AZ63-AQ63)</f>
        <v/>
      </c>
      <c r="CX63">
        <f>IF($CQ63=0,0,IF(CS63=CN63,1,0))</f>
        <v/>
      </c>
      <c r="CY63">
        <f>IF($CQ63=0,0,IF(CR63=CM63,1,0))</f>
        <v/>
      </c>
      <c r="CZ63">
        <f>IF($A63="","",IF(AND(IF(DASHBOARD!$C$4="All",TRUE,$CM63=DASHBOARD!$C$4),IF(DASHBOARD!$C$6="All",TRUE,$CP63=DASHBOARD!$C$6),IF(DASHBOARD!$C$8="All",TRUE,$AF63&gt;=DASHBOARD!$C$8),IF(DASHBOARD!$C$10="All",TRUE,$AF63&lt;=DASHBOARD!$C$10),IF(DASHBOARD!$C$12="All",TRUE,$AH63=VALUE(DASHBOARD!$C$12)),IF(DASHBOARD!$C$14="All",TRUE,$AJ63=DASHBOARD!$C$14)),1,0))</f>
        <v/>
      </c>
    </row>
    <row r="64">
      <c r="A64" t="n">
        <v>44331</v>
      </c>
      <c r="B64" t="inlineStr">
        <is>
          <t>Aloe Vera Gel</t>
        </is>
      </c>
      <c r="H64" t="inlineStr">
        <is>
          <t>Aloe Vera Gel - 40 gms</t>
        </is>
      </c>
      <c r="N64" t="inlineStr">
        <is>
          <t>FC-HG-PA-040</t>
        </is>
      </c>
      <c r="T64" t="inlineStr">
        <is>
          <t>Jan 7, 2025</t>
        </is>
      </c>
      <c r="AE64" t="inlineStr">
        <is>
          <t>Pune</t>
        </is>
      </c>
      <c r="AF64" t="inlineStr">
        <is>
          <t>2025-01</t>
        </is>
      </c>
      <c r="AG64" t="n">
        <v>1</v>
      </c>
      <c r="AH64" t="n">
        <v>1</v>
      </c>
      <c r="AI64" t="n">
        <v>0</v>
      </c>
      <c r="AJ64">
        <f>IF($AE64="","",IFERROR(VLOOKUP(TRIM($AE64),DECODE!$H$3:$I$60,2,FALSE),"Rest of India"))</f>
        <v/>
      </c>
      <c r="AK64">
        <f>IF($N64="","",UPPER(TRIM(LEFT($N64&amp;",",FIND(",",$N64&amp;",")-1))))</f>
        <v/>
      </c>
      <c r="AL64">
        <f>IF($AK64="","",MID($AK64,4,FIND("~",SUBSTITUTE($AK64,"-","~",2))-4))</f>
        <v/>
      </c>
      <c r="AM64">
        <f>IF($AK64="","",MID($AK64,FIND("~",SUBSTITUTE($AK64,"-","~",2))+1,FIND("~",SUBSTITUTE($AK64,"-","~",3))-FIND("~",SUBSTITUTE($AK64,"-","~",2))-1))</f>
        <v/>
      </c>
      <c r="AN64">
        <f>IF($AL64="","",IFERROR(VLOOKUP($AL64,DECODE!$A$3:$C$8,3,FALSE),"?"))</f>
        <v/>
      </c>
      <c r="AO64">
        <f>IF($AM64="","",IFERROR(VLOOKUP($AL64&amp;"-"&amp;$AM64,DECODE!$E$3:$F$21,2,FALSE),"?"))</f>
        <v/>
      </c>
      <c r="AP64">
        <f>IF($AK64="","",IFERROR(VALUE(RIGHT($AK64,3)),""))</f>
        <v/>
      </c>
      <c r="AQ64">
        <f>IF($T64="","",IFERROR(IF(ISNUMBER($T64),$T64,DATEVALUE(TRIM($T64))),""))</f>
        <v/>
      </c>
      <c r="AR64">
        <f>IF($AQ64="","",IF(MONTH($AQ64)&gt;=12,"Cold Winter",IF(MONTH($AQ64)&gt;=10,"Post-Monsoon",IF(MONTH($AQ64)&gt;=6,"Hot Humid",IF(MONTH($AQ64)&gt;=3,"Hot Dry","Cold Winter")))))</f>
        <v/>
      </c>
      <c r="AS64">
        <f>IF($AL64="","",IFERROR(VLOOKUP($AL64,DECODE!$A$3:$C$8,2,FALSE),"?"))</f>
        <v/>
      </c>
      <c r="AT64">
        <f>IF($O64="","",UPPER(TRIM(LEFT($O64&amp;",",FIND(",",$O64&amp;",")-1))))</f>
        <v/>
      </c>
      <c r="AU64">
        <f>IF($AT64="","",MID($AT64,4,FIND("~",SUBSTITUTE($AT64,"-","~",2))-4))</f>
        <v/>
      </c>
      <c r="AV64">
        <f>IF($AT64="","",MID($AT64,FIND("~",SUBSTITUTE($AT64,"-","~",2))+1,FIND("~",SUBSTITUTE($AT64,"-","~",3))-FIND("~",SUBSTITUTE($AT64,"-","~",2))-1))</f>
        <v/>
      </c>
      <c r="AW64">
        <f>IF($AU64="","",IFERROR(VLOOKUP($AU64,DECODE!$A$3:$C$8,3,FALSE),"?"))</f>
        <v/>
      </c>
      <c r="AX64">
        <f>IF($AV64="","",IFERROR(VLOOKUP($AU64&amp;"-"&amp;$AV64,DECODE!$E$3:$F$21,2,FALSE),"?"))</f>
        <v/>
      </c>
      <c r="AY64">
        <f>IF($AT64="","",IFERROR(VALUE(RIGHT($AT64,3)),""))</f>
        <v/>
      </c>
      <c r="AZ64">
        <f>IF($U64="","",IFERROR(IF(ISNUMBER($U64),$U64,DATEVALUE(TRIM($U64))),""))</f>
        <v/>
      </c>
      <c r="BA64">
        <f>IF($AZ64="","",IF(MONTH($AZ64)&gt;=12,"Cold Winter",IF(MONTH($AZ64)&gt;=10,"Post-Monsoon",IF(MONTH($AZ64)&gt;=6,"Hot Humid",IF(MONTH($AZ64)&gt;=3,"Hot Dry","Cold Winter")))))</f>
        <v/>
      </c>
      <c r="BB64">
        <f>IF($AU64="","",IFERROR(VLOOKUP($AU64,DECODE!$A$3:$C$8,2,FALSE),"?"))</f>
        <v/>
      </c>
      <c r="BC64">
        <f>IF($P64="","",UPPER(TRIM(LEFT($P64&amp;",",FIND(",",$P64&amp;",")-1))))</f>
        <v/>
      </c>
      <c r="BD64">
        <f>IF($BC64="","",MID($BC64,4,FIND("~",SUBSTITUTE($BC64,"-","~",2))-4))</f>
        <v/>
      </c>
      <c r="BE64">
        <f>IF($BC64="","",MID($BC64,FIND("~",SUBSTITUTE($BC64,"-","~",2))+1,FIND("~",SUBSTITUTE($BC64,"-","~",3))-FIND("~",SUBSTITUTE($BC64,"-","~",2))-1))</f>
        <v/>
      </c>
      <c r="BF64">
        <f>IF($BD64="","",IFERROR(VLOOKUP($BD64,DECODE!$A$3:$C$8,3,FALSE),"?"))</f>
        <v/>
      </c>
      <c r="BG64">
        <f>IF($BE64="","",IFERROR(VLOOKUP($BD64&amp;"-"&amp;$BE64,DECODE!$E$3:$F$21,2,FALSE),"?"))</f>
        <v/>
      </c>
      <c r="BH64">
        <f>IF($BC64="","",IFERROR(VALUE(RIGHT($BC64,3)),""))</f>
        <v/>
      </c>
      <c r="BI64">
        <f>IF($V64="","",IFERROR(IF(ISNUMBER($V64),$V64,DATEVALUE(TRIM($V64))),""))</f>
        <v/>
      </c>
      <c r="BJ64">
        <f>IF($BI64="","",IF(MONTH($BI64)&gt;=12,"Cold Winter",IF(MONTH($BI64)&gt;=10,"Post-Monsoon",IF(MONTH($BI64)&gt;=6,"Hot Humid",IF(MONTH($BI64)&gt;=3,"Hot Dry","Cold Winter")))))</f>
        <v/>
      </c>
      <c r="BK64">
        <f>IF($BD64="","",IFERROR(VLOOKUP($BD64,DECODE!$A$3:$C$8,2,FALSE),"?"))</f>
        <v/>
      </c>
      <c r="BL64">
        <f>IF($Q64="","",UPPER(TRIM(LEFT($Q64&amp;",",FIND(",",$Q64&amp;",")-1))))</f>
        <v/>
      </c>
      <c r="BM64">
        <f>IF($BL64="","",MID($BL64,4,FIND("~",SUBSTITUTE($BL64,"-","~",2))-4))</f>
        <v/>
      </c>
      <c r="BN64">
        <f>IF($BL64="","",MID($BL64,FIND("~",SUBSTITUTE($BL64,"-","~",2))+1,FIND("~",SUBSTITUTE($BL64,"-","~",3))-FIND("~",SUBSTITUTE($BL64,"-","~",2))-1))</f>
        <v/>
      </c>
      <c r="BO64">
        <f>IF($BM64="","",IFERROR(VLOOKUP($BM64,DECODE!$A$3:$C$8,3,FALSE),"?"))</f>
        <v/>
      </c>
      <c r="BP64">
        <f>IF($BN64="","",IFERROR(VLOOKUP($BM64&amp;"-"&amp;$BN64,DECODE!$E$3:$F$21,2,FALSE),"?"))</f>
        <v/>
      </c>
      <c r="BQ64">
        <f>IF($BL64="","",IFERROR(VALUE(RIGHT($BL64,3)),""))</f>
        <v/>
      </c>
      <c r="BR64">
        <f>IF($W64="","",IFERROR(IF(ISNUMBER($W64),$W64,DATEVALUE(TRIM($W64))),""))</f>
        <v/>
      </c>
      <c r="BS64">
        <f>IF($BR64="","",IF(MONTH($BR64)&gt;=12,"Cold Winter",IF(MONTH($BR64)&gt;=10,"Post-Monsoon",IF(MONTH($BR64)&gt;=6,"Hot Humid",IF(MONTH($BR64)&gt;=3,"Hot Dry","Cold Winter")))))</f>
        <v/>
      </c>
      <c r="BT64">
        <f>IF($BM64="","",IFERROR(VLOOKUP($BM64,DECODE!$A$3:$C$8,2,FALSE),"?"))</f>
        <v/>
      </c>
      <c r="BU64">
        <f>IF($R64="","",UPPER(TRIM(LEFT($R64&amp;",",FIND(",",$R64&amp;",")-1))))</f>
        <v/>
      </c>
      <c r="BV64">
        <f>IF($BU64="","",MID($BU64,4,FIND("~",SUBSTITUTE($BU64,"-","~",2))-4))</f>
        <v/>
      </c>
      <c r="BW64">
        <f>IF($BU64="","",MID($BU64,FIND("~",SUBSTITUTE($BU64,"-","~",2))+1,FIND("~",SUBSTITUTE($BU64,"-","~",3))-FIND("~",SUBSTITUTE($BU64,"-","~",2))-1))</f>
        <v/>
      </c>
      <c r="BX64">
        <f>IF($BV64="","",IFERROR(VLOOKUP($BV64,DECODE!$A$3:$C$8,3,FALSE),"?"))</f>
        <v/>
      </c>
      <c r="BY64">
        <f>IF($BW64="","",IFERROR(VLOOKUP($BV64&amp;"-"&amp;$BW64,DECODE!$E$3:$F$21,2,FALSE),"?"))</f>
        <v/>
      </c>
      <c r="BZ64">
        <f>IF($BU64="","",IFERROR(VALUE(RIGHT($BU64,3)),""))</f>
        <v/>
      </c>
      <c r="CA64">
        <f>IF($X64="","",IFERROR(IF(ISNUMBER($X64),$X64,DATEVALUE(TRIM($X64))),""))</f>
        <v/>
      </c>
      <c r="CB64">
        <f>IF($CA64="","",IF(MONTH($CA64)&gt;=12,"Cold Winter",IF(MONTH($CA64)&gt;=10,"Post-Monsoon",IF(MONTH($CA64)&gt;=6,"Hot Humid",IF(MONTH($CA64)&gt;=3,"Hot Dry","Cold Winter")))))</f>
        <v/>
      </c>
      <c r="CC64">
        <f>IF($BV64="","",IFERROR(VLOOKUP($BV64,DECODE!$A$3:$C$8,2,FALSE),"?"))</f>
        <v/>
      </c>
      <c r="CD64">
        <f>IF($S64="","",UPPER(TRIM(LEFT($S64&amp;",",FIND(",",$S64&amp;",")-1))))</f>
        <v/>
      </c>
      <c r="CE64">
        <f>IF($CD64="","",MID($CD64,4,FIND("~",SUBSTITUTE($CD64,"-","~",2))-4))</f>
        <v/>
      </c>
      <c r="CF64">
        <f>IF($CD64="","",MID($CD64,FIND("~",SUBSTITUTE($CD64,"-","~",2))+1,FIND("~",SUBSTITUTE($CD64,"-","~",3))-FIND("~",SUBSTITUTE($CD64,"-","~",2))-1))</f>
        <v/>
      </c>
      <c r="CG64">
        <f>IF($CE64="","",IFERROR(VLOOKUP($CE64,DECODE!$A$3:$C$8,3,FALSE),"?"))</f>
        <v/>
      </c>
      <c r="CH64">
        <f>IF($CF64="","",IFERROR(VLOOKUP($CE64&amp;"-"&amp;$CF64,DECODE!$E$3:$F$21,2,FALSE),"?"))</f>
        <v/>
      </c>
      <c r="CI64">
        <f>IF($CD64="","",IFERROR(VALUE(RIGHT($CD64,3)),""))</f>
        <v/>
      </c>
      <c r="CJ64">
        <f>IF($Y64="","",IFERROR(IF(ISNUMBER($Y64),$Y64,DATEVALUE(TRIM($Y64))),""))</f>
        <v/>
      </c>
      <c r="CK64">
        <f>IF($CJ64="","",IF(MONTH($CJ64)&gt;=12,"Cold Winter",IF(MONTH($CJ64)&gt;=10,"Post-Monsoon",IF(MONTH($CJ64)&gt;=6,"Hot Humid",IF(MONTH($CJ64)&gt;=3,"Hot Dry","Cold Winter")))))</f>
        <v/>
      </c>
      <c r="CL64">
        <f>IF($CE64="","",IFERROR(VLOOKUP($CE64,DECODE!$A$3:$C$8,2,FALSE),"?"))</f>
        <v/>
      </c>
      <c r="CM64">
        <f>IF($AN64="","",AN64)</f>
        <v/>
      </c>
      <c r="CN64">
        <f>IF($AO64="","",AO64)</f>
        <v/>
      </c>
      <c r="CO64">
        <f>IF($AP64="","",AP64)</f>
        <v/>
      </c>
      <c r="CP64">
        <f>IF($CM64="","",IF($CM64="Aloe Vera Gel","Aloe Vera Gel "&amp;$CO64&amp;"g",CN64&amp;" "&amp;$CO64&amp;"g"))</f>
        <v/>
      </c>
      <c r="CQ64">
        <f>IF($AT64="",0,1)</f>
        <v/>
      </c>
      <c r="CR64">
        <f>IF($CQ64=0,"",AW64)</f>
        <v/>
      </c>
      <c r="CS64">
        <f>IF($CQ64=0,"",AX64)</f>
        <v/>
      </c>
      <c r="CT64">
        <f>IF($CQ64=0,"",AY64)</f>
        <v/>
      </c>
      <c r="CU64">
        <f>IF($CR64="","",IF($CR64="Aloe Vera Gel","Aloe Vera Gel "&amp;$CT64&amp;"g",CS64&amp;" "&amp;$CT64&amp;"g"))</f>
        <v/>
      </c>
      <c r="CV64">
        <f>IF($CQ64=0,"",IF($CP64=$CU64,"Repeat Exact",IF($CT64&gt;$CO64,"Upsized",IF($CT64&lt;$CO64,"Downsized",IF($CM64&lt;&gt;$CR64,"Lateral","Same Size Diff Variant")))))</f>
        <v/>
      </c>
      <c r="CW64">
        <f>IF($CQ64=0,"",AZ64-AQ64)</f>
        <v/>
      </c>
      <c r="CX64">
        <f>IF($CQ64=0,0,IF(CS64=CN64,1,0))</f>
        <v/>
      </c>
      <c r="CY64">
        <f>IF($CQ64=0,0,IF(CR64=CM64,1,0))</f>
        <v/>
      </c>
      <c r="CZ64">
        <f>IF($A64="","",IF(AND(IF(DASHBOARD!$C$4="All",TRUE,$CM64=DASHBOARD!$C$4),IF(DASHBOARD!$C$6="All",TRUE,$CP64=DASHBOARD!$C$6),IF(DASHBOARD!$C$8="All",TRUE,$AF64&gt;=DASHBOARD!$C$8),IF(DASHBOARD!$C$10="All",TRUE,$AF64&lt;=DASHBOARD!$C$10),IF(DASHBOARD!$C$12="All",TRUE,$AH64=VALUE(DASHBOARD!$C$12)),IF(DASHBOARD!$C$14="All",TRUE,$AJ64=DASHBOARD!$C$14)),1,0))</f>
        <v/>
      </c>
    </row>
    <row r="65">
      <c r="A65" t="n">
        <v>44631</v>
      </c>
      <c r="B65" t="inlineStr">
        <is>
          <t>Face Malai</t>
        </is>
      </c>
      <c r="C65" t="inlineStr">
        <is>
          <t>Aloe Vera Gel</t>
        </is>
      </c>
      <c r="D65" t="inlineStr">
        <is>
          <t>Active Gel</t>
        </is>
      </c>
      <c r="H65" t="inlineStr">
        <is>
          <t>Tomato Patchouli (Cold) 20 - 35 Yrs Face Malai</t>
        </is>
      </c>
      <c r="I65" t="inlineStr">
        <is>
          <t>Aloe Vera Gel - 80 gms</t>
        </is>
      </c>
      <c r="J65" t="inlineStr">
        <is>
          <t>Active Neem TeaTree Gel</t>
        </is>
      </c>
      <c r="N65" t="inlineStr">
        <is>
          <t>FC-CWDM-TP-030</t>
        </is>
      </c>
      <c r="O65" t="inlineStr">
        <is>
          <t>FC-HG-PA-080</t>
        </is>
      </c>
      <c r="P65" t="inlineStr">
        <is>
          <t>FC-AC-NT-050</t>
        </is>
      </c>
      <c r="T65" t="inlineStr">
        <is>
          <t>Nov 29, 2024</t>
        </is>
      </c>
      <c r="U65" t="inlineStr">
        <is>
          <t>Apr 11, 2025</t>
        </is>
      </c>
      <c r="V65" t="inlineStr">
        <is>
          <t>May 18, 2025</t>
        </is>
      </c>
      <c r="Z65" t="n">
        <v>133</v>
      </c>
      <c r="AA65" t="n">
        <v>37</v>
      </c>
      <c r="AE65" t="inlineStr">
        <is>
          <t>Gurgaon</t>
        </is>
      </c>
      <c r="AF65" t="inlineStr">
        <is>
          <t>2024-11</t>
        </is>
      </c>
      <c r="AG65" t="n">
        <v>11</v>
      </c>
      <c r="AH65" t="n">
        <v>3</v>
      </c>
      <c r="AI65" t="n">
        <v>1</v>
      </c>
      <c r="AJ65">
        <f>IF($AE65="","",IFERROR(VLOOKUP(TRIM($AE65),DECODE!$H$3:$I$60,2,FALSE),"Rest of India"))</f>
        <v/>
      </c>
      <c r="AK65">
        <f>IF($N65="","",UPPER(TRIM(LEFT($N65&amp;",",FIND(",",$N65&amp;",")-1))))</f>
        <v/>
      </c>
      <c r="AL65">
        <f>IF($AK65="","",MID($AK65,4,FIND("~",SUBSTITUTE($AK65,"-","~",2))-4))</f>
        <v/>
      </c>
      <c r="AM65">
        <f>IF($AK65="","",MID($AK65,FIND("~",SUBSTITUTE($AK65,"-","~",2))+1,FIND("~",SUBSTITUTE($AK65,"-","~",3))-FIND("~",SUBSTITUTE($AK65,"-","~",2))-1))</f>
        <v/>
      </c>
      <c r="AN65">
        <f>IF($AL65="","",IFERROR(VLOOKUP($AL65,DECODE!$A$3:$C$8,3,FALSE),"?"))</f>
        <v/>
      </c>
      <c r="AO65">
        <f>IF($AM65="","",IFERROR(VLOOKUP($AL65&amp;"-"&amp;$AM65,DECODE!$E$3:$F$21,2,FALSE),"?"))</f>
        <v/>
      </c>
      <c r="AP65">
        <f>IF($AK65="","",IFERROR(VALUE(RIGHT($AK65,3)),""))</f>
        <v/>
      </c>
      <c r="AQ65">
        <f>IF($T65="","",IFERROR(IF(ISNUMBER($T65),$T65,DATEVALUE(TRIM($T65))),""))</f>
        <v/>
      </c>
      <c r="AR65">
        <f>IF($AQ65="","",IF(MONTH($AQ65)&gt;=12,"Cold Winter",IF(MONTH($AQ65)&gt;=10,"Post-Monsoon",IF(MONTH($AQ65)&gt;=6,"Hot Humid",IF(MONTH($AQ65)&gt;=3,"Hot Dry","Cold Winter")))))</f>
        <v/>
      </c>
      <c r="AS65">
        <f>IF($AL65="","",IFERROR(VLOOKUP($AL65,DECODE!$A$3:$C$8,2,FALSE),"?"))</f>
        <v/>
      </c>
      <c r="AT65">
        <f>IF($O65="","",UPPER(TRIM(LEFT($O65&amp;",",FIND(",",$O65&amp;",")-1))))</f>
        <v/>
      </c>
      <c r="AU65">
        <f>IF($AT65="","",MID($AT65,4,FIND("~",SUBSTITUTE($AT65,"-","~",2))-4))</f>
        <v/>
      </c>
      <c r="AV65">
        <f>IF($AT65="","",MID($AT65,FIND("~",SUBSTITUTE($AT65,"-","~",2))+1,FIND("~",SUBSTITUTE($AT65,"-","~",3))-FIND("~",SUBSTITUTE($AT65,"-","~",2))-1))</f>
        <v/>
      </c>
      <c r="AW65">
        <f>IF($AU65="","",IFERROR(VLOOKUP($AU65,DECODE!$A$3:$C$8,3,FALSE),"?"))</f>
        <v/>
      </c>
      <c r="AX65">
        <f>IF($AV65="","",IFERROR(VLOOKUP($AU65&amp;"-"&amp;$AV65,DECODE!$E$3:$F$21,2,FALSE),"?"))</f>
        <v/>
      </c>
      <c r="AY65">
        <f>IF($AT65="","",IFERROR(VALUE(RIGHT($AT65,3)),""))</f>
        <v/>
      </c>
      <c r="AZ65">
        <f>IF($U65="","",IFERROR(IF(ISNUMBER($U65),$U65,DATEVALUE(TRIM($U65))),""))</f>
        <v/>
      </c>
      <c r="BA65">
        <f>IF($AZ65="","",IF(MONTH($AZ65)&gt;=12,"Cold Winter",IF(MONTH($AZ65)&gt;=10,"Post-Monsoon",IF(MONTH($AZ65)&gt;=6,"Hot Humid",IF(MONTH($AZ65)&gt;=3,"Hot Dry","Cold Winter")))))</f>
        <v/>
      </c>
      <c r="BB65">
        <f>IF($AU65="","",IFERROR(VLOOKUP($AU65,DECODE!$A$3:$C$8,2,FALSE),"?"))</f>
        <v/>
      </c>
      <c r="BC65">
        <f>IF($P65="","",UPPER(TRIM(LEFT($P65&amp;",",FIND(",",$P65&amp;",")-1))))</f>
        <v/>
      </c>
      <c r="BD65">
        <f>IF($BC65="","",MID($BC65,4,FIND("~",SUBSTITUTE($BC65,"-","~",2))-4))</f>
        <v/>
      </c>
      <c r="BE65">
        <f>IF($BC65="","",MID($BC65,FIND("~",SUBSTITUTE($BC65,"-","~",2))+1,FIND("~",SUBSTITUTE($BC65,"-","~",3))-FIND("~",SUBSTITUTE($BC65,"-","~",2))-1))</f>
        <v/>
      </c>
      <c r="BF65">
        <f>IF($BD65="","",IFERROR(VLOOKUP($BD65,DECODE!$A$3:$C$8,3,FALSE),"?"))</f>
        <v/>
      </c>
      <c r="BG65">
        <f>IF($BE65="","",IFERROR(VLOOKUP($BD65&amp;"-"&amp;$BE65,DECODE!$E$3:$F$21,2,FALSE),"?"))</f>
        <v/>
      </c>
      <c r="BH65">
        <f>IF($BC65="","",IFERROR(VALUE(RIGHT($BC65,3)),""))</f>
        <v/>
      </c>
      <c r="BI65">
        <f>IF($V65="","",IFERROR(IF(ISNUMBER($V65),$V65,DATEVALUE(TRIM($V65))),""))</f>
        <v/>
      </c>
      <c r="BJ65">
        <f>IF($BI65="","",IF(MONTH($BI65)&gt;=12,"Cold Winter",IF(MONTH($BI65)&gt;=10,"Post-Monsoon",IF(MONTH($BI65)&gt;=6,"Hot Humid",IF(MONTH($BI65)&gt;=3,"Hot Dry","Cold Winter")))))</f>
        <v/>
      </c>
      <c r="BK65">
        <f>IF($BD65="","",IFERROR(VLOOKUP($BD65,DECODE!$A$3:$C$8,2,FALSE),"?"))</f>
        <v/>
      </c>
      <c r="BL65">
        <f>IF($Q65="","",UPPER(TRIM(LEFT($Q65&amp;",",FIND(",",$Q65&amp;",")-1))))</f>
        <v/>
      </c>
      <c r="BM65">
        <f>IF($BL65="","",MID($BL65,4,FIND("~",SUBSTITUTE($BL65,"-","~",2))-4))</f>
        <v/>
      </c>
      <c r="BN65">
        <f>IF($BL65="","",MID($BL65,FIND("~",SUBSTITUTE($BL65,"-","~",2))+1,FIND("~",SUBSTITUTE($BL65,"-","~",3))-FIND("~",SUBSTITUTE($BL65,"-","~",2))-1))</f>
        <v/>
      </c>
      <c r="BO65">
        <f>IF($BM65="","",IFERROR(VLOOKUP($BM65,DECODE!$A$3:$C$8,3,FALSE),"?"))</f>
        <v/>
      </c>
      <c r="BP65">
        <f>IF($BN65="","",IFERROR(VLOOKUP($BM65&amp;"-"&amp;$BN65,DECODE!$E$3:$F$21,2,FALSE),"?"))</f>
        <v/>
      </c>
      <c r="BQ65">
        <f>IF($BL65="","",IFERROR(VALUE(RIGHT($BL65,3)),""))</f>
        <v/>
      </c>
      <c r="BR65">
        <f>IF($W65="","",IFERROR(IF(ISNUMBER($W65),$W65,DATEVALUE(TRIM($W65))),""))</f>
        <v/>
      </c>
      <c r="BS65">
        <f>IF($BR65="","",IF(MONTH($BR65)&gt;=12,"Cold Winter",IF(MONTH($BR65)&gt;=10,"Post-Monsoon",IF(MONTH($BR65)&gt;=6,"Hot Humid",IF(MONTH($BR65)&gt;=3,"Hot Dry","Cold Winter")))))</f>
        <v/>
      </c>
      <c r="BT65">
        <f>IF($BM65="","",IFERROR(VLOOKUP($BM65,DECODE!$A$3:$C$8,2,FALSE),"?"))</f>
        <v/>
      </c>
      <c r="BU65">
        <f>IF($R65="","",UPPER(TRIM(LEFT($R65&amp;",",FIND(",",$R65&amp;",")-1))))</f>
        <v/>
      </c>
      <c r="BV65">
        <f>IF($BU65="","",MID($BU65,4,FIND("~",SUBSTITUTE($BU65,"-","~",2))-4))</f>
        <v/>
      </c>
      <c r="BW65">
        <f>IF($BU65="","",MID($BU65,FIND("~",SUBSTITUTE($BU65,"-","~",2))+1,FIND("~",SUBSTITUTE($BU65,"-","~",3))-FIND("~",SUBSTITUTE($BU65,"-","~",2))-1))</f>
        <v/>
      </c>
      <c r="BX65">
        <f>IF($BV65="","",IFERROR(VLOOKUP($BV65,DECODE!$A$3:$C$8,3,FALSE),"?"))</f>
        <v/>
      </c>
      <c r="BY65">
        <f>IF($BW65="","",IFERROR(VLOOKUP($BV65&amp;"-"&amp;$BW65,DECODE!$E$3:$F$21,2,FALSE),"?"))</f>
        <v/>
      </c>
      <c r="BZ65">
        <f>IF($BU65="","",IFERROR(VALUE(RIGHT($BU65,3)),""))</f>
        <v/>
      </c>
      <c r="CA65">
        <f>IF($X65="","",IFERROR(IF(ISNUMBER($X65),$X65,DATEVALUE(TRIM($X65))),""))</f>
        <v/>
      </c>
      <c r="CB65">
        <f>IF($CA65="","",IF(MONTH($CA65)&gt;=12,"Cold Winter",IF(MONTH($CA65)&gt;=10,"Post-Monsoon",IF(MONTH($CA65)&gt;=6,"Hot Humid",IF(MONTH($CA65)&gt;=3,"Hot Dry","Cold Winter")))))</f>
        <v/>
      </c>
      <c r="CC65">
        <f>IF($BV65="","",IFERROR(VLOOKUP($BV65,DECODE!$A$3:$C$8,2,FALSE),"?"))</f>
        <v/>
      </c>
      <c r="CD65">
        <f>IF($S65="","",UPPER(TRIM(LEFT($S65&amp;",",FIND(",",$S65&amp;",")-1))))</f>
        <v/>
      </c>
      <c r="CE65">
        <f>IF($CD65="","",MID($CD65,4,FIND("~",SUBSTITUTE($CD65,"-","~",2))-4))</f>
        <v/>
      </c>
      <c r="CF65">
        <f>IF($CD65="","",MID($CD65,FIND("~",SUBSTITUTE($CD65,"-","~",2))+1,FIND("~",SUBSTITUTE($CD65,"-","~",3))-FIND("~",SUBSTITUTE($CD65,"-","~",2))-1))</f>
        <v/>
      </c>
      <c r="CG65">
        <f>IF($CE65="","",IFERROR(VLOOKUP($CE65,DECODE!$A$3:$C$8,3,FALSE),"?"))</f>
        <v/>
      </c>
      <c r="CH65">
        <f>IF($CF65="","",IFERROR(VLOOKUP($CE65&amp;"-"&amp;$CF65,DECODE!$E$3:$F$21,2,FALSE),"?"))</f>
        <v/>
      </c>
      <c r="CI65">
        <f>IF($CD65="","",IFERROR(VALUE(RIGHT($CD65,3)),""))</f>
        <v/>
      </c>
      <c r="CJ65">
        <f>IF($Y65="","",IFERROR(IF(ISNUMBER($Y65),$Y65,DATEVALUE(TRIM($Y65))),""))</f>
        <v/>
      </c>
      <c r="CK65">
        <f>IF($CJ65="","",IF(MONTH($CJ65)&gt;=12,"Cold Winter",IF(MONTH($CJ65)&gt;=10,"Post-Monsoon",IF(MONTH($CJ65)&gt;=6,"Hot Humid",IF(MONTH($CJ65)&gt;=3,"Hot Dry","Cold Winter")))))</f>
        <v/>
      </c>
      <c r="CL65">
        <f>IF($CE65="","",IFERROR(VLOOKUP($CE65,DECODE!$A$3:$C$8,2,FALSE),"?"))</f>
        <v/>
      </c>
      <c r="CM65">
        <f>IF($AN65="","",AN65)</f>
        <v/>
      </c>
      <c r="CN65">
        <f>IF($AO65="","",AO65)</f>
        <v/>
      </c>
      <c r="CO65">
        <f>IF($AP65="","",AP65)</f>
        <v/>
      </c>
      <c r="CP65">
        <f>IF($CM65="","",IF($CM65="Aloe Vera Gel","Aloe Vera Gel "&amp;$CO65&amp;"g",CN65&amp;" "&amp;$CO65&amp;"g"))</f>
        <v/>
      </c>
      <c r="CQ65">
        <f>IF($AT65="",0,1)</f>
        <v/>
      </c>
      <c r="CR65">
        <f>IF($CQ65=0,"",AW65)</f>
        <v/>
      </c>
      <c r="CS65">
        <f>IF($CQ65=0,"",AX65)</f>
        <v/>
      </c>
      <c r="CT65">
        <f>IF($CQ65=0,"",AY65)</f>
        <v/>
      </c>
      <c r="CU65">
        <f>IF($CR65="","",IF($CR65="Aloe Vera Gel","Aloe Vera Gel "&amp;$CT65&amp;"g",CS65&amp;" "&amp;$CT65&amp;"g"))</f>
        <v/>
      </c>
      <c r="CV65">
        <f>IF($CQ65=0,"",IF($CP65=$CU65,"Repeat Exact",IF($CT65&gt;$CO65,"Upsized",IF($CT65&lt;$CO65,"Downsized",IF($CM65&lt;&gt;$CR65,"Lateral","Same Size Diff Variant")))))</f>
        <v/>
      </c>
      <c r="CW65">
        <f>IF($CQ65=0,"",AZ65-AQ65)</f>
        <v/>
      </c>
      <c r="CX65">
        <f>IF($CQ65=0,0,IF(CS65=CN65,1,0))</f>
        <v/>
      </c>
      <c r="CY65">
        <f>IF($CQ65=0,0,IF(CR65=CM65,1,0))</f>
        <v/>
      </c>
      <c r="CZ65">
        <f>IF($A65="","",IF(AND(IF(DASHBOARD!$C$4="All",TRUE,$CM65=DASHBOARD!$C$4),IF(DASHBOARD!$C$6="All",TRUE,$CP65=DASHBOARD!$C$6),IF(DASHBOARD!$C$8="All",TRUE,$AF65&gt;=DASHBOARD!$C$8),IF(DASHBOARD!$C$10="All",TRUE,$AF65&lt;=DASHBOARD!$C$10),IF(DASHBOARD!$C$12="All",TRUE,$AH65=VALUE(DASHBOARD!$C$12)),IF(DASHBOARD!$C$14="All",TRUE,$AJ65=DASHBOARD!$C$14)),1,0))</f>
        <v/>
      </c>
    </row>
    <row r="66">
      <c r="A66" t="n">
        <v>44834</v>
      </c>
      <c r="B66" t="inlineStr">
        <is>
          <t>Aloe Vera Gel</t>
        </is>
      </c>
      <c r="H66" t="inlineStr">
        <is>
          <t>Aloe Vera Gel - 40 gms</t>
        </is>
      </c>
      <c r="N66" t="inlineStr">
        <is>
          <t>FC-HG-PA-040</t>
        </is>
      </c>
      <c r="T66" t="inlineStr">
        <is>
          <t>Aug 2, 2024</t>
        </is>
      </c>
      <c r="AE66" t="inlineStr">
        <is>
          <t>Gurgaon</t>
        </is>
      </c>
      <c r="AF66" t="inlineStr">
        <is>
          <t>2024-08</t>
        </is>
      </c>
      <c r="AG66" t="n">
        <v>8</v>
      </c>
      <c r="AH66" t="n">
        <v>1</v>
      </c>
      <c r="AI66" t="n">
        <v>0</v>
      </c>
      <c r="AJ66">
        <f>IF($AE66="","",IFERROR(VLOOKUP(TRIM($AE66),DECODE!$H$3:$I$60,2,FALSE),"Rest of India"))</f>
        <v/>
      </c>
      <c r="AK66">
        <f>IF($N66="","",UPPER(TRIM(LEFT($N66&amp;",",FIND(",",$N66&amp;",")-1))))</f>
        <v/>
      </c>
      <c r="AL66">
        <f>IF($AK66="","",MID($AK66,4,FIND("~",SUBSTITUTE($AK66,"-","~",2))-4))</f>
        <v/>
      </c>
      <c r="AM66">
        <f>IF($AK66="","",MID($AK66,FIND("~",SUBSTITUTE($AK66,"-","~",2))+1,FIND("~",SUBSTITUTE($AK66,"-","~",3))-FIND("~",SUBSTITUTE($AK66,"-","~",2))-1))</f>
        <v/>
      </c>
      <c r="AN66">
        <f>IF($AL66="","",IFERROR(VLOOKUP($AL66,DECODE!$A$3:$C$8,3,FALSE),"?"))</f>
        <v/>
      </c>
      <c r="AO66">
        <f>IF($AM66="","",IFERROR(VLOOKUP($AL66&amp;"-"&amp;$AM66,DECODE!$E$3:$F$21,2,FALSE),"?"))</f>
        <v/>
      </c>
      <c r="AP66">
        <f>IF($AK66="","",IFERROR(VALUE(RIGHT($AK66,3)),""))</f>
        <v/>
      </c>
      <c r="AQ66">
        <f>IF($T66="","",IFERROR(IF(ISNUMBER($T66),$T66,DATEVALUE(TRIM($T66))),""))</f>
        <v/>
      </c>
      <c r="AR66">
        <f>IF($AQ66="","",IF(MONTH($AQ66)&gt;=12,"Cold Winter",IF(MONTH($AQ66)&gt;=10,"Post-Monsoon",IF(MONTH($AQ66)&gt;=6,"Hot Humid",IF(MONTH($AQ66)&gt;=3,"Hot Dry","Cold Winter")))))</f>
        <v/>
      </c>
      <c r="AS66">
        <f>IF($AL66="","",IFERROR(VLOOKUP($AL66,DECODE!$A$3:$C$8,2,FALSE),"?"))</f>
        <v/>
      </c>
      <c r="AT66">
        <f>IF($O66="","",UPPER(TRIM(LEFT($O66&amp;",",FIND(",",$O66&amp;",")-1))))</f>
        <v/>
      </c>
      <c r="AU66">
        <f>IF($AT66="","",MID($AT66,4,FIND("~",SUBSTITUTE($AT66,"-","~",2))-4))</f>
        <v/>
      </c>
      <c r="AV66">
        <f>IF($AT66="","",MID($AT66,FIND("~",SUBSTITUTE($AT66,"-","~",2))+1,FIND("~",SUBSTITUTE($AT66,"-","~",3))-FIND("~",SUBSTITUTE($AT66,"-","~",2))-1))</f>
        <v/>
      </c>
      <c r="AW66">
        <f>IF($AU66="","",IFERROR(VLOOKUP($AU66,DECODE!$A$3:$C$8,3,FALSE),"?"))</f>
        <v/>
      </c>
      <c r="AX66">
        <f>IF($AV66="","",IFERROR(VLOOKUP($AU66&amp;"-"&amp;$AV66,DECODE!$E$3:$F$21,2,FALSE),"?"))</f>
        <v/>
      </c>
      <c r="AY66">
        <f>IF($AT66="","",IFERROR(VALUE(RIGHT($AT66,3)),""))</f>
        <v/>
      </c>
      <c r="AZ66">
        <f>IF($U66="","",IFERROR(IF(ISNUMBER($U66),$U66,DATEVALUE(TRIM($U66))),""))</f>
        <v/>
      </c>
      <c r="BA66">
        <f>IF($AZ66="","",IF(MONTH($AZ66)&gt;=12,"Cold Winter",IF(MONTH($AZ66)&gt;=10,"Post-Monsoon",IF(MONTH($AZ66)&gt;=6,"Hot Humid",IF(MONTH($AZ66)&gt;=3,"Hot Dry","Cold Winter")))))</f>
        <v/>
      </c>
      <c r="BB66">
        <f>IF($AU66="","",IFERROR(VLOOKUP($AU66,DECODE!$A$3:$C$8,2,FALSE),"?"))</f>
        <v/>
      </c>
      <c r="BC66">
        <f>IF($P66="","",UPPER(TRIM(LEFT($P66&amp;",",FIND(",",$P66&amp;",")-1))))</f>
        <v/>
      </c>
      <c r="BD66">
        <f>IF($BC66="","",MID($BC66,4,FIND("~",SUBSTITUTE($BC66,"-","~",2))-4))</f>
        <v/>
      </c>
      <c r="BE66">
        <f>IF($BC66="","",MID($BC66,FIND("~",SUBSTITUTE($BC66,"-","~",2))+1,FIND("~",SUBSTITUTE($BC66,"-","~",3))-FIND("~",SUBSTITUTE($BC66,"-","~",2))-1))</f>
        <v/>
      </c>
      <c r="BF66">
        <f>IF($BD66="","",IFERROR(VLOOKUP($BD66,DECODE!$A$3:$C$8,3,FALSE),"?"))</f>
        <v/>
      </c>
      <c r="BG66">
        <f>IF($BE66="","",IFERROR(VLOOKUP($BD66&amp;"-"&amp;$BE66,DECODE!$E$3:$F$21,2,FALSE),"?"))</f>
        <v/>
      </c>
      <c r="BH66">
        <f>IF($BC66="","",IFERROR(VALUE(RIGHT($BC66,3)),""))</f>
        <v/>
      </c>
      <c r="BI66">
        <f>IF($V66="","",IFERROR(IF(ISNUMBER($V66),$V66,DATEVALUE(TRIM($V66))),""))</f>
        <v/>
      </c>
      <c r="BJ66">
        <f>IF($BI66="","",IF(MONTH($BI66)&gt;=12,"Cold Winter",IF(MONTH($BI66)&gt;=10,"Post-Monsoon",IF(MONTH($BI66)&gt;=6,"Hot Humid",IF(MONTH($BI66)&gt;=3,"Hot Dry","Cold Winter")))))</f>
        <v/>
      </c>
      <c r="BK66">
        <f>IF($BD66="","",IFERROR(VLOOKUP($BD66,DECODE!$A$3:$C$8,2,FALSE),"?"))</f>
        <v/>
      </c>
      <c r="BL66">
        <f>IF($Q66="","",UPPER(TRIM(LEFT($Q66&amp;",",FIND(",",$Q66&amp;",")-1))))</f>
        <v/>
      </c>
      <c r="BM66">
        <f>IF($BL66="","",MID($BL66,4,FIND("~",SUBSTITUTE($BL66,"-","~",2))-4))</f>
        <v/>
      </c>
      <c r="BN66">
        <f>IF($BL66="","",MID($BL66,FIND("~",SUBSTITUTE($BL66,"-","~",2))+1,FIND("~",SUBSTITUTE($BL66,"-","~",3))-FIND("~",SUBSTITUTE($BL66,"-","~",2))-1))</f>
        <v/>
      </c>
      <c r="BO66">
        <f>IF($BM66="","",IFERROR(VLOOKUP($BM66,DECODE!$A$3:$C$8,3,FALSE),"?"))</f>
        <v/>
      </c>
      <c r="BP66">
        <f>IF($BN66="","",IFERROR(VLOOKUP($BM66&amp;"-"&amp;$BN66,DECODE!$E$3:$F$21,2,FALSE),"?"))</f>
        <v/>
      </c>
      <c r="BQ66">
        <f>IF($BL66="","",IFERROR(VALUE(RIGHT($BL66,3)),""))</f>
        <v/>
      </c>
      <c r="BR66">
        <f>IF($W66="","",IFERROR(IF(ISNUMBER($W66),$W66,DATEVALUE(TRIM($W66))),""))</f>
        <v/>
      </c>
      <c r="BS66">
        <f>IF($BR66="","",IF(MONTH($BR66)&gt;=12,"Cold Winter",IF(MONTH($BR66)&gt;=10,"Post-Monsoon",IF(MONTH($BR66)&gt;=6,"Hot Humid",IF(MONTH($BR66)&gt;=3,"Hot Dry","Cold Winter")))))</f>
        <v/>
      </c>
      <c r="BT66">
        <f>IF($BM66="","",IFERROR(VLOOKUP($BM66,DECODE!$A$3:$C$8,2,FALSE),"?"))</f>
        <v/>
      </c>
      <c r="BU66">
        <f>IF($R66="","",UPPER(TRIM(LEFT($R66&amp;",",FIND(",",$R66&amp;",")-1))))</f>
        <v/>
      </c>
      <c r="BV66">
        <f>IF($BU66="","",MID($BU66,4,FIND("~",SUBSTITUTE($BU66,"-","~",2))-4))</f>
        <v/>
      </c>
      <c r="BW66">
        <f>IF($BU66="","",MID($BU66,FIND("~",SUBSTITUTE($BU66,"-","~",2))+1,FIND("~",SUBSTITUTE($BU66,"-","~",3))-FIND("~",SUBSTITUTE($BU66,"-","~",2))-1))</f>
        <v/>
      </c>
      <c r="BX66">
        <f>IF($BV66="","",IFERROR(VLOOKUP($BV66,DECODE!$A$3:$C$8,3,FALSE),"?"))</f>
        <v/>
      </c>
      <c r="BY66">
        <f>IF($BW66="","",IFERROR(VLOOKUP($BV66&amp;"-"&amp;$BW66,DECODE!$E$3:$F$21,2,FALSE),"?"))</f>
        <v/>
      </c>
      <c r="BZ66">
        <f>IF($BU66="","",IFERROR(VALUE(RIGHT($BU66,3)),""))</f>
        <v/>
      </c>
      <c r="CA66">
        <f>IF($X66="","",IFERROR(IF(ISNUMBER($X66),$X66,DATEVALUE(TRIM($X66))),""))</f>
        <v/>
      </c>
      <c r="CB66">
        <f>IF($CA66="","",IF(MONTH($CA66)&gt;=12,"Cold Winter",IF(MONTH($CA66)&gt;=10,"Post-Monsoon",IF(MONTH($CA66)&gt;=6,"Hot Humid",IF(MONTH($CA66)&gt;=3,"Hot Dry","Cold Winter")))))</f>
        <v/>
      </c>
      <c r="CC66">
        <f>IF($BV66="","",IFERROR(VLOOKUP($BV66,DECODE!$A$3:$C$8,2,FALSE),"?"))</f>
        <v/>
      </c>
      <c r="CD66">
        <f>IF($S66="","",UPPER(TRIM(LEFT($S66&amp;",",FIND(",",$S66&amp;",")-1))))</f>
        <v/>
      </c>
      <c r="CE66">
        <f>IF($CD66="","",MID($CD66,4,FIND("~",SUBSTITUTE($CD66,"-","~",2))-4))</f>
        <v/>
      </c>
      <c r="CF66">
        <f>IF($CD66="","",MID($CD66,FIND("~",SUBSTITUTE($CD66,"-","~",2))+1,FIND("~",SUBSTITUTE($CD66,"-","~",3))-FIND("~",SUBSTITUTE($CD66,"-","~",2))-1))</f>
        <v/>
      </c>
      <c r="CG66">
        <f>IF($CE66="","",IFERROR(VLOOKUP($CE66,DECODE!$A$3:$C$8,3,FALSE),"?"))</f>
        <v/>
      </c>
      <c r="CH66">
        <f>IF($CF66="","",IFERROR(VLOOKUP($CE66&amp;"-"&amp;$CF66,DECODE!$E$3:$F$21,2,FALSE),"?"))</f>
        <v/>
      </c>
      <c r="CI66">
        <f>IF($CD66="","",IFERROR(VALUE(RIGHT($CD66,3)),""))</f>
        <v/>
      </c>
      <c r="CJ66">
        <f>IF($Y66="","",IFERROR(IF(ISNUMBER($Y66),$Y66,DATEVALUE(TRIM($Y66))),""))</f>
        <v/>
      </c>
      <c r="CK66">
        <f>IF($CJ66="","",IF(MONTH($CJ66)&gt;=12,"Cold Winter",IF(MONTH($CJ66)&gt;=10,"Post-Monsoon",IF(MONTH($CJ66)&gt;=6,"Hot Humid",IF(MONTH($CJ66)&gt;=3,"Hot Dry","Cold Winter")))))</f>
        <v/>
      </c>
      <c r="CL66">
        <f>IF($CE66="","",IFERROR(VLOOKUP($CE66,DECODE!$A$3:$C$8,2,FALSE),"?"))</f>
        <v/>
      </c>
      <c r="CM66">
        <f>IF($AN66="","",AN66)</f>
        <v/>
      </c>
      <c r="CN66">
        <f>IF($AO66="","",AO66)</f>
        <v/>
      </c>
      <c r="CO66">
        <f>IF($AP66="","",AP66)</f>
        <v/>
      </c>
      <c r="CP66">
        <f>IF($CM66="","",IF($CM66="Aloe Vera Gel","Aloe Vera Gel "&amp;$CO66&amp;"g",CN66&amp;" "&amp;$CO66&amp;"g"))</f>
        <v/>
      </c>
      <c r="CQ66">
        <f>IF($AT66="",0,1)</f>
        <v/>
      </c>
      <c r="CR66">
        <f>IF($CQ66=0,"",AW66)</f>
        <v/>
      </c>
      <c r="CS66">
        <f>IF($CQ66=0,"",AX66)</f>
        <v/>
      </c>
      <c r="CT66">
        <f>IF($CQ66=0,"",AY66)</f>
        <v/>
      </c>
      <c r="CU66">
        <f>IF($CR66="","",IF($CR66="Aloe Vera Gel","Aloe Vera Gel "&amp;$CT66&amp;"g",CS66&amp;" "&amp;$CT66&amp;"g"))</f>
        <v/>
      </c>
      <c r="CV66">
        <f>IF($CQ66=0,"",IF($CP66=$CU66,"Repeat Exact",IF($CT66&gt;$CO66,"Upsized",IF($CT66&lt;$CO66,"Downsized",IF($CM66&lt;&gt;$CR66,"Lateral","Same Size Diff Variant")))))</f>
        <v/>
      </c>
      <c r="CW66">
        <f>IF($CQ66=0,"",AZ66-AQ66)</f>
        <v/>
      </c>
      <c r="CX66">
        <f>IF($CQ66=0,0,IF(CS66=CN66,1,0))</f>
        <v/>
      </c>
      <c r="CY66">
        <f>IF($CQ66=0,0,IF(CR66=CM66,1,0))</f>
        <v/>
      </c>
      <c r="CZ66">
        <f>IF($A66="","",IF(AND(IF(DASHBOARD!$C$4="All",TRUE,$CM66=DASHBOARD!$C$4),IF(DASHBOARD!$C$6="All",TRUE,$CP66=DASHBOARD!$C$6),IF(DASHBOARD!$C$8="All",TRUE,$AF66&gt;=DASHBOARD!$C$8),IF(DASHBOARD!$C$10="All",TRUE,$AF66&lt;=DASHBOARD!$C$10),IF(DASHBOARD!$C$12="All",TRUE,$AH66=VALUE(DASHBOARD!$C$12)),IF(DASHBOARD!$C$14="All",TRUE,$AJ66=DASHBOARD!$C$14)),1,0))</f>
        <v/>
      </c>
    </row>
    <row r="67">
      <c r="A67" t="n">
        <v>44859</v>
      </c>
      <c r="B67" t="inlineStr">
        <is>
          <t>Aloe Vera Gel</t>
        </is>
      </c>
      <c r="H67" t="inlineStr">
        <is>
          <t>Aloe Vera Gel - 40 gms</t>
        </is>
      </c>
      <c r="N67" t="inlineStr">
        <is>
          <t>FC-HG-PA-040</t>
        </is>
      </c>
      <c r="T67" t="inlineStr">
        <is>
          <t>Jul 9, 2024</t>
        </is>
      </c>
      <c r="AE67" t="inlineStr">
        <is>
          <t>Bengaluru</t>
        </is>
      </c>
      <c r="AF67" t="inlineStr">
        <is>
          <t>2024-07</t>
        </is>
      </c>
      <c r="AG67" t="n">
        <v>7</v>
      </c>
      <c r="AH67" t="n">
        <v>1</v>
      </c>
      <c r="AI67" t="n">
        <v>0</v>
      </c>
      <c r="AJ67">
        <f>IF($AE67="","",IFERROR(VLOOKUP(TRIM($AE67),DECODE!$H$3:$I$60,2,FALSE),"Rest of India"))</f>
        <v/>
      </c>
      <c r="AK67">
        <f>IF($N67="","",UPPER(TRIM(LEFT($N67&amp;",",FIND(",",$N67&amp;",")-1))))</f>
        <v/>
      </c>
      <c r="AL67">
        <f>IF($AK67="","",MID($AK67,4,FIND("~",SUBSTITUTE($AK67,"-","~",2))-4))</f>
        <v/>
      </c>
      <c r="AM67">
        <f>IF($AK67="","",MID($AK67,FIND("~",SUBSTITUTE($AK67,"-","~",2))+1,FIND("~",SUBSTITUTE($AK67,"-","~",3))-FIND("~",SUBSTITUTE($AK67,"-","~",2))-1))</f>
        <v/>
      </c>
      <c r="AN67">
        <f>IF($AL67="","",IFERROR(VLOOKUP($AL67,DECODE!$A$3:$C$8,3,FALSE),"?"))</f>
        <v/>
      </c>
      <c r="AO67">
        <f>IF($AM67="","",IFERROR(VLOOKUP($AL67&amp;"-"&amp;$AM67,DECODE!$E$3:$F$21,2,FALSE),"?"))</f>
        <v/>
      </c>
      <c r="AP67">
        <f>IF($AK67="","",IFERROR(VALUE(RIGHT($AK67,3)),""))</f>
        <v/>
      </c>
      <c r="AQ67">
        <f>IF($T67="","",IFERROR(IF(ISNUMBER($T67),$T67,DATEVALUE(TRIM($T67))),""))</f>
        <v/>
      </c>
      <c r="AR67">
        <f>IF($AQ67="","",IF(MONTH($AQ67)&gt;=12,"Cold Winter",IF(MONTH($AQ67)&gt;=10,"Post-Monsoon",IF(MONTH($AQ67)&gt;=6,"Hot Humid",IF(MONTH($AQ67)&gt;=3,"Hot Dry","Cold Winter")))))</f>
        <v/>
      </c>
      <c r="AS67">
        <f>IF($AL67="","",IFERROR(VLOOKUP($AL67,DECODE!$A$3:$C$8,2,FALSE),"?"))</f>
        <v/>
      </c>
      <c r="AT67">
        <f>IF($O67="","",UPPER(TRIM(LEFT($O67&amp;",",FIND(",",$O67&amp;",")-1))))</f>
        <v/>
      </c>
      <c r="AU67">
        <f>IF($AT67="","",MID($AT67,4,FIND("~",SUBSTITUTE($AT67,"-","~",2))-4))</f>
        <v/>
      </c>
      <c r="AV67">
        <f>IF($AT67="","",MID($AT67,FIND("~",SUBSTITUTE($AT67,"-","~",2))+1,FIND("~",SUBSTITUTE($AT67,"-","~",3))-FIND("~",SUBSTITUTE($AT67,"-","~",2))-1))</f>
        <v/>
      </c>
      <c r="AW67">
        <f>IF($AU67="","",IFERROR(VLOOKUP($AU67,DECODE!$A$3:$C$8,3,FALSE),"?"))</f>
        <v/>
      </c>
      <c r="AX67">
        <f>IF($AV67="","",IFERROR(VLOOKUP($AU67&amp;"-"&amp;$AV67,DECODE!$E$3:$F$21,2,FALSE),"?"))</f>
        <v/>
      </c>
      <c r="AY67">
        <f>IF($AT67="","",IFERROR(VALUE(RIGHT($AT67,3)),""))</f>
        <v/>
      </c>
      <c r="AZ67">
        <f>IF($U67="","",IFERROR(IF(ISNUMBER($U67),$U67,DATEVALUE(TRIM($U67))),""))</f>
        <v/>
      </c>
      <c r="BA67">
        <f>IF($AZ67="","",IF(MONTH($AZ67)&gt;=12,"Cold Winter",IF(MONTH($AZ67)&gt;=10,"Post-Monsoon",IF(MONTH($AZ67)&gt;=6,"Hot Humid",IF(MONTH($AZ67)&gt;=3,"Hot Dry","Cold Winter")))))</f>
        <v/>
      </c>
      <c r="BB67">
        <f>IF($AU67="","",IFERROR(VLOOKUP($AU67,DECODE!$A$3:$C$8,2,FALSE),"?"))</f>
        <v/>
      </c>
      <c r="BC67">
        <f>IF($P67="","",UPPER(TRIM(LEFT($P67&amp;",",FIND(",",$P67&amp;",")-1))))</f>
        <v/>
      </c>
      <c r="BD67">
        <f>IF($BC67="","",MID($BC67,4,FIND("~",SUBSTITUTE($BC67,"-","~",2))-4))</f>
        <v/>
      </c>
      <c r="BE67">
        <f>IF($BC67="","",MID($BC67,FIND("~",SUBSTITUTE($BC67,"-","~",2))+1,FIND("~",SUBSTITUTE($BC67,"-","~",3))-FIND("~",SUBSTITUTE($BC67,"-","~",2))-1))</f>
        <v/>
      </c>
      <c r="BF67">
        <f>IF($BD67="","",IFERROR(VLOOKUP($BD67,DECODE!$A$3:$C$8,3,FALSE),"?"))</f>
        <v/>
      </c>
      <c r="BG67">
        <f>IF($BE67="","",IFERROR(VLOOKUP($BD67&amp;"-"&amp;$BE67,DECODE!$E$3:$F$21,2,FALSE),"?"))</f>
        <v/>
      </c>
      <c r="BH67">
        <f>IF($BC67="","",IFERROR(VALUE(RIGHT($BC67,3)),""))</f>
        <v/>
      </c>
      <c r="BI67">
        <f>IF($V67="","",IFERROR(IF(ISNUMBER($V67),$V67,DATEVALUE(TRIM($V67))),""))</f>
        <v/>
      </c>
      <c r="BJ67">
        <f>IF($BI67="","",IF(MONTH($BI67)&gt;=12,"Cold Winter",IF(MONTH($BI67)&gt;=10,"Post-Monsoon",IF(MONTH($BI67)&gt;=6,"Hot Humid",IF(MONTH($BI67)&gt;=3,"Hot Dry","Cold Winter")))))</f>
        <v/>
      </c>
      <c r="BK67">
        <f>IF($BD67="","",IFERROR(VLOOKUP($BD67,DECODE!$A$3:$C$8,2,FALSE),"?"))</f>
        <v/>
      </c>
      <c r="BL67">
        <f>IF($Q67="","",UPPER(TRIM(LEFT($Q67&amp;",",FIND(",",$Q67&amp;",")-1))))</f>
        <v/>
      </c>
      <c r="BM67">
        <f>IF($BL67="","",MID($BL67,4,FIND("~",SUBSTITUTE($BL67,"-","~",2))-4))</f>
        <v/>
      </c>
      <c r="BN67">
        <f>IF($BL67="","",MID($BL67,FIND("~",SUBSTITUTE($BL67,"-","~",2))+1,FIND("~",SUBSTITUTE($BL67,"-","~",3))-FIND("~",SUBSTITUTE($BL67,"-","~",2))-1))</f>
        <v/>
      </c>
      <c r="BO67">
        <f>IF($BM67="","",IFERROR(VLOOKUP($BM67,DECODE!$A$3:$C$8,3,FALSE),"?"))</f>
        <v/>
      </c>
      <c r="BP67">
        <f>IF($BN67="","",IFERROR(VLOOKUP($BM67&amp;"-"&amp;$BN67,DECODE!$E$3:$F$21,2,FALSE),"?"))</f>
        <v/>
      </c>
      <c r="BQ67">
        <f>IF($BL67="","",IFERROR(VALUE(RIGHT($BL67,3)),""))</f>
        <v/>
      </c>
      <c r="BR67">
        <f>IF($W67="","",IFERROR(IF(ISNUMBER($W67),$W67,DATEVALUE(TRIM($W67))),""))</f>
        <v/>
      </c>
      <c r="BS67">
        <f>IF($BR67="","",IF(MONTH($BR67)&gt;=12,"Cold Winter",IF(MONTH($BR67)&gt;=10,"Post-Monsoon",IF(MONTH($BR67)&gt;=6,"Hot Humid",IF(MONTH($BR67)&gt;=3,"Hot Dry","Cold Winter")))))</f>
        <v/>
      </c>
      <c r="BT67">
        <f>IF($BM67="","",IFERROR(VLOOKUP($BM67,DECODE!$A$3:$C$8,2,FALSE),"?"))</f>
        <v/>
      </c>
      <c r="BU67">
        <f>IF($R67="","",UPPER(TRIM(LEFT($R67&amp;",",FIND(",",$R67&amp;",")-1))))</f>
        <v/>
      </c>
      <c r="BV67">
        <f>IF($BU67="","",MID($BU67,4,FIND("~",SUBSTITUTE($BU67,"-","~",2))-4))</f>
        <v/>
      </c>
      <c r="BW67">
        <f>IF($BU67="","",MID($BU67,FIND("~",SUBSTITUTE($BU67,"-","~",2))+1,FIND("~",SUBSTITUTE($BU67,"-","~",3))-FIND("~",SUBSTITUTE($BU67,"-","~",2))-1))</f>
        <v/>
      </c>
      <c r="BX67">
        <f>IF($BV67="","",IFERROR(VLOOKUP($BV67,DECODE!$A$3:$C$8,3,FALSE),"?"))</f>
        <v/>
      </c>
      <c r="BY67">
        <f>IF($BW67="","",IFERROR(VLOOKUP($BV67&amp;"-"&amp;$BW67,DECODE!$E$3:$F$21,2,FALSE),"?"))</f>
        <v/>
      </c>
      <c r="BZ67">
        <f>IF($BU67="","",IFERROR(VALUE(RIGHT($BU67,3)),""))</f>
        <v/>
      </c>
      <c r="CA67">
        <f>IF($X67="","",IFERROR(IF(ISNUMBER($X67),$X67,DATEVALUE(TRIM($X67))),""))</f>
        <v/>
      </c>
      <c r="CB67">
        <f>IF($CA67="","",IF(MONTH($CA67)&gt;=12,"Cold Winter",IF(MONTH($CA67)&gt;=10,"Post-Monsoon",IF(MONTH($CA67)&gt;=6,"Hot Humid",IF(MONTH($CA67)&gt;=3,"Hot Dry","Cold Winter")))))</f>
        <v/>
      </c>
      <c r="CC67">
        <f>IF($BV67="","",IFERROR(VLOOKUP($BV67,DECODE!$A$3:$C$8,2,FALSE),"?"))</f>
        <v/>
      </c>
      <c r="CD67">
        <f>IF($S67="","",UPPER(TRIM(LEFT($S67&amp;",",FIND(",",$S67&amp;",")-1))))</f>
        <v/>
      </c>
      <c r="CE67">
        <f>IF($CD67="","",MID($CD67,4,FIND("~",SUBSTITUTE($CD67,"-","~",2))-4))</f>
        <v/>
      </c>
      <c r="CF67">
        <f>IF($CD67="","",MID($CD67,FIND("~",SUBSTITUTE($CD67,"-","~",2))+1,FIND("~",SUBSTITUTE($CD67,"-","~",3))-FIND("~",SUBSTITUTE($CD67,"-","~",2))-1))</f>
        <v/>
      </c>
      <c r="CG67">
        <f>IF($CE67="","",IFERROR(VLOOKUP($CE67,DECODE!$A$3:$C$8,3,FALSE),"?"))</f>
        <v/>
      </c>
      <c r="CH67">
        <f>IF($CF67="","",IFERROR(VLOOKUP($CE67&amp;"-"&amp;$CF67,DECODE!$E$3:$F$21,2,FALSE),"?"))</f>
        <v/>
      </c>
      <c r="CI67">
        <f>IF($CD67="","",IFERROR(VALUE(RIGHT($CD67,3)),""))</f>
        <v/>
      </c>
      <c r="CJ67">
        <f>IF($Y67="","",IFERROR(IF(ISNUMBER($Y67),$Y67,DATEVALUE(TRIM($Y67))),""))</f>
        <v/>
      </c>
      <c r="CK67">
        <f>IF($CJ67="","",IF(MONTH($CJ67)&gt;=12,"Cold Winter",IF(MONTH($CJ67)&gt;=10,"Post-Monsoon",IF(MONTH($CJ67)&gt;=6,"Hot Humid",IF(MONTH($CJ67)&gt;=3,"Hot Dry","Cold Winter")))))</f>
        <v/>
      </c>
      <c r="CL67">
        <f>IF($CE67="","",IFERROR(VLOOKUP($CE67,DECODE!$A$3:$C$8,2,FALSE),"?"))</f>
        <v/>
      </c>
      <c r="CM67">
        <f>IF($AN67="","",AN67)</f>
        <v/>
      </c>
      <c r="CN67">
        <f>IF($AO67="","",AO67)</f>
        <v/>
      </c>
      <c r="CO67">
        <f>IF($AP67="","",AP67)</f>
        <v/>
      </c>
      <c r="CP67">
        <f>IF($CM67="","",IF($CM67="Aloe Vera Gel","Aloe Vera Gel "&amp;$CO67&amp;"g",CN67&amp;" "&amp;$CO67&amp;"g"))</f>
        <v/>
      </c>
      <c r="CQ67">
        <f>IF($AT67="",0,1)</f>
        <v/>
      </c>
      <c r="CR67">
        <f>IF($CQ67=0,"",AW67)</f>
        <v/>
      </c>
      <c r="CS67">
        <f>IF($CQ67=0,"",AX67)</f>
        <v/>
      </c>
      <c r="CT67">
        <f>IF($CQ67=0,"",AY67)</f>
        <v/>
      </c>
      <c r="CU67">
        <f>IF($CR67="","",IF($CR67="Aloe Vera Gel","Aloe Vera Gel "&amp;$CT67&amp;"g",CS67&amp;" "&amp;$CT67&amp;"g"))</f>
        <v/>
      </c>
      <c r="CV67">
        <f>IF($CQ67=0,"",IF($CP67=$CU67,"Repeat Exact",IF($CT67&gt;$CO67,"Upsized",IF($CT67&lt;$CO67,"Downsized",IF($CM67&lt;&gt;$CR67,"Lateral","Same Size Diff Variant")))))</f>
        <v/>
      </c>
      <c r="CW67">
        <f>IF($CQ67=0,"",AZ67-AQ67)</f>
        <v/>
      </c>
      <c r="CX67">
        <f>IF($CQ67=0,0,IF(CS67=CN67,1,0))</f>
        <v/>
      </c>
      <c r="CY67">
        <f>IF($CQ67=0,0,IF(CR67=CM67,1,0))</f>
        <v/>
      </c>
      <c r="CZ67">
        <f>IF($A67="","",IF(AND(IF(DASHBOARD!$C$4="All",TRUE,$CM67=DASHBOARD!$C$4),IF(DASHBOARD!$C$6="All",TRUE,$CP67=DASHBOARD!$C$6),IF(DASHBOARD!$C$8="All",TRUE,$AF67&gt;=DASHBOARD!$C$8),IF(DASHBOARD!$C$10="All",TRUE,$AF67&lt;=DASHBOARD!$C$10),IF(DASHBOARD!$C$12="All",TRUE,$AH67=VALUE(DASHBOARD!$C$12)),IF(DASHBOARD!$C$14="All",TRUE,$AJ67=DASHBOARD!$C$14)),1,0))</f>
        <v/>
      </c>
    </row>
    <row r="68">
      <c r="A68" t="n">
        <v>44983</v>
      </c>
      <c r="B68" t="inlineStr">
        <is>
          <t>Face Malai</t>
        </is>
      </c>
      <c r="H68" t="inlineStr">
        <is>
          <t>Cocoa Mogra (Overnight) Face Malai - 30g</t>
        </is>
      </c>
      <c r="N68" t="inlineStr">
        <is>
          <t>FC-DM-NR-030</t>
        </is>
      </c>
      <c r="T68" t="inlineStr">
        <is>
          <t>May 12, 2026</t>
        </is>
      </c>
      <c r="AE68" t="inlineStr">
        <is>
          <t>Gurgaon</t>
        </is>
      </c>
      <c r="AF68" t="inlineStr">
        <is>
          <t>2026-05</t>
        </is>
      </c>
      <c r="AG68" t="n">
        <v>5</v>
      </c>
      <c r="AH68" t="n">
        <v>1</v>
      </c>
      <c r="AI68" t="n">
        <v>0</v>
      </c>
      <c r="AJ68">
        <f>IF($AE68="","",IFERROR(VLOOKUP(TRIM($AE68),DECODE!$H$3:$I$60,2,FALSE),"Rest of India"))</f>
        <v/>
      </c>
      <c r="AK68">
        <f>IF($N68="","",UPPER(TRIM(LEFT($N68&amp;",",FIND(",",$N68&amp;",")-1))))</f>
        <v/>
      </c>
      <c r="AL68">
        <f>IF($AK68="","",MID($AK68,4,FIND("~",SUBSTITUTE($AK68,"-","~",2))-4))</f>
        <v/>
      </c>
      <c r="AM68">
        <f>IF($AK68="","",MID($AK68,FIND("~",SUBSTITUTE($AK68,"-","~",2))+1,FIND("~",SUBSTITUTE($AK68,"-","~",3))-FIND("~",SUBSTITUTE($AK68,"-","~",2))-1))</f>
        <v/>
      </c>
      <c r="AN68">
        <f>IF($AL68="","",IFERROR(VLOOKUP($AL68,DECODE!$A$3:$C$8,3,FALSE),"?"))</f>
        <v/>
      </c>
      <c r="AO68">
        <f>IF($AM68="","",IFERROR(VLOOKUP($AL68&amp;"-"&amp;$AM68,DECODE!$E$3:$F$21,2,FALSE),"?"))</f>
        <v/>
      </c>
      <c r="AP68">
        <f>IF($AK68="","",IFERROR(VALUE(RIGHT($AK68,3)),""))</f>
        <v/>
      </c>
      <c r="AQ68">
        <f>IF($T68="","",IFERROR(IF(ISNUMBER($T68),$T68,DATEVALUE(TRIM($T68))),""))</f>
        <v/>
      </c>
      <c r="AR68">
        <f>IF($AQ68="","",IF(MONTH($AQ68)&gt;=12,"Cold Winter",IF(MONTH($AQ68)&gt;=10,"Post-Monsoon",IF(MONTH($AQ68)&gt;=6,"Hot Humid",IF(MONTH($AQ68)&gt;=3,"Hot Dry","Cold Winter")))))</f>
        <v/>
      </c>
      <c r="AS68">
        <f>IF($AL68="","",IFERROR(VLOOKUP($AL68,DECODE!$A$3:$C$8,2,FALSE),"?"))</f>
        <v/>
      </c>
      <c r="AT68">
        <f>IF($O68="","",UPPER(TRIM(LEFT($O68&amp;",",FIND(",",$O68&amp;",")-1))))</f>
        <v/>
      </c>
      <c r="AU68">
        <f>IF($AT68="","",MID($AT68,4,FIND("~",SUBSTITUTE($AT68,"-","~",2))-4))</f>
        <v/>
      </c>
      <c r="AV68">
        <f>IF($AT68="","",MID($AT68,FIND("~",SUBSTITUTE($AT68,"-","~",2))+1,FIND("~",SUBSTITUTE($AT68,"-","~",3))-FIND("~",SUBSTITUTE($AT68,"-","~",2))-1))</f>
        <v/>
      </c>
      <c r="AW68">
        <f>IF($AU68="","",IFERROR(VLOOKUP($AU68,DECODE!$A$3:$C$8,3,FALSE),"?"))</f>
        <v/>
      </c>
      <c r="AX68">
        <f>IF($AV68="","",IFERROR(VLOOKUP($AU68&amp;"-"&amp;$AV68,DECODE!$E$3:$F$21,2,FALSE),"?"))</f>
        <v/>
      </c>
      <c r="AY68">
        <f>IF($AT68="","",IFERROR(VALUE(RIGHT($AT68,3)),""))</f>
        <v/>
      </c>
      <c r="AZ68">
        <f>IF($U68="","",IFERROR(IF(ISNUMBER($U68),$U68,DATEVALUE(TRIM($U68))),""))</f>
        <v/>
      </c>
      <c r="BA68">
        <f>IF($AZ68="","",IF(MONTH($AZ68)&gt;=12,"Cold Winter",IF(MONTH($AZ68)&gt;=10,"Post-Monsoon",IF(MONTH($AZ68)&gt;=6,"Hot Humid",IF(MONTH($AZ68)&gt;=3,"Hot Dry","Cold Winter")))))</f>
        <v/>
      </c>
      <c r="BB68">
        <f>IF($AU68="","",IFERROR(VLOOKUP($AU68,DECODE!$A$3:$C$8,2,FALSE),"?"))</f>
        <v/>
      </c>
      <c r="BC68">
        <f>IF($P68="","",UPPER(TRIM(LEFT($P68&amp;",",FIND(",",$P68&amp;",")-1))))</f>
        <v/>
      </c>
      <c r="BD68">
        <f>IF($BC68="","",MID($BC68,4,FIND("~",SUBSTITUTE($BC68,"-","~",2))-4))</f>
        <v/>
      </c>
      <c r="BE68">
        <f>IF($BC68="","",MID($BC68,FIND("~",SUBSTITUTE($BC68,"-","~",2))+1,FIND("~",SUBSTITUTE($BC68,"-","~",3))-FIND("~",SUBSTITUTE($BC68,"-","~",2))-1))</f>
        <v/>
      </c>
      <c r="BF68">
        <f>IF($BD68="","",IFERROR(VLOOKUP($BD68,DECODE!$A$3:$C$8,3,FALSE),"?"))</f>
        <v/>
      </c>
      <c r="BG68">
        <f>IF($BE68="","",IFERROR(VLOOKUP($BD68&amp;"-"&amp;$BE68,DECODE!$E$3:$F$21,2,FALSE),"?"))</f>
        <v/>
      </c>
      <c r="BH68">
        <f>IF($BC68="","",IFERROR(VALUE(RIGHT($BC68,3)),""))</f>
        <v/>
      </c>
      <c r="BI68">
        <f>IF($V68="","",IFERROR(IF(ISNUMBER($V68),$V68,DATEVALUE(TRIM($V68))),""))</f>
        <v/>
      </c>
      <c r="BJ68">
        <f>IF($BI68="","",IF(MONTH($BI68)&gt;=12,"Cold Winter",IF(MONTH($BI68)&gt;=10,"Post-Monsoon",IF(MONTH($BI68)&gt;=6,"Hot Humid",IF(MONTH($BI68)&gt;=3,"Hot Dry","Cold Winter")))))</f>
        <v/>
      </c>
      <c r="BK68">
        <f>IF($BD68="","",IFERROR(VLOOKUP($BD68,DECODE!$A$3:$C$8,2,FALSE),"?"))</f>
        <v/>
      </c>
      <c r="BL68">
        <f>IF($Q68="","",UPPER(TRIM(LEFT($Q68&amp;",",FIND(",",$Q68&amp;",")-1))))</f>
        <v/>
      </c>
      <c r="BM68">
        <f>IF($BL68="","",MID($BL68,4,FIND("~",SUBSTITUTE($BL68,"-","~",2))-4))</f>
        <v/>
      </c>
      <c r="BN68">
        <f>IF($BL68="","",MID($BL68,FIND("~",SUBSTITUTE($BL68,"-","~",2))+1,FIND("~",SUBSTITUTE($BL68,"-","~",3))-FIND("~",SUBSTITUTE($BL68,"-","~",2))-1))</f>
        <v/>
      </c>
      <c r="BO68">
        <f>IF($BM68="","",IFERROR(VLOOKUP($BM68,DECODE!$A$3:$C$8,3,FALSE),"?"))</f>
        <v/>
      </c>
      <c r="BP68">
        <f>IF($BN68="","",IFERROR(VLOOKUP($BM68&amp;"-"&amp;$BN68,DECODE!$E$3:$F$21,2,FALSE),"?"))</f>
        <v/>
      </c>
      <c r="BQ68">
        <f>IF($BL68="","",IFERROR(VALUE(RIGHT($BL68,3)),""))</f>
        <v/>
      </c>
      <c r="BR68">
        <f>IF($W68="","",IFERROR(IF(ISNUMBER($W68),$W68,DATEVALUE(TRIM($W68))),""))</f>
        <v/>
      </c>
      <c r="BS68">
        <f>IF($BR68="","",IF(MONTH($BR68)&gt;=12,"Cold Winter",IF(MONTH($BR68)&gt;=10,"Post-Monsoon",IF(MONTH($BR68)&gt;=6,"Hot Humid",IF(MONTH($BR68)&gt;=3,"Hot Dry","Cold Winter")))))</f>
        <v/>
      </c>
      <c r="BT68">
        <f>IF($BM68="","",IFERROR(VLOOKUP($BM68,DECODE!$A$3:$C$8,2,FALSE),"?"))</f>
        <v/>
      </c>
      <c r="BU68">
        <f>IF($R68="","",UPPER(TRIM(LEFT($R68&amp;",",FIND(",",$R68&amp;",")-1))))</f>
        <v/>
      </c>
      <c r="BV68">
        <f>IF($BU68="","",MID($BU68,4,FIND("~",SUBSTITUTE($BU68,"-","~",2))-4))</f>
        <v/>
      </c>
      <c r="BW68">
        <f>IF($BU68="","",MID($BU68,FIND("~",SUBSTITUTE($BU68,"-","~",2))+1,FIND("~",SUBSTITUTE($BU68,"-","~",3))-FIND("~",SUBSTITUTE($BU68,"-","~",2))-1))</f>
        <v/>
      </c>
      <c r="BX68">
        <f>IF($BV68="","",IFERROR(VLOOKUP($BV68,DECODE!$A$3:$C$8,3,FALSE),"?"))</f>
        <v/>
      </c>
      <c r="BY68">
        <f>IF($BW68="","",IFERROR(VLOOKUP($BV68&amp;"-"&amp;$BW68,DECODE!$E$3:$F$21,2,FALSE),"?"))</f>
        <v/>
      </c>
      <c r="BZ68">
        <f>IF($BU68="","",IFERROR(VALUE(RIGHT($BU68,3)),""))</f>
        <v/>
      </c>
      <c r="CA68">
        <f>IF($X68="","",IFERROR(IF(ISNUMBER($X68),$X68,DATEVALUE(TRIM($X68))),""))</f>
        <v/>
      </c>
      <c r="CB68">
        <f>IF($CA68="","",IF(MONTH($CA68)&gt;=12,"Cold Winter",IF(MONTH($CA68)&gt;=10,"Post-Monsoon",IF(MONTH($CA68)&gt;=6,"Hot Humid",IF(MONTH($CA68)&gt;=3,"Hot Dry","Cold Winter")))))</f>
        <v/>
      </c>
      <c r="CC68">
        <f>IF($BV68="","",IFERROR(VLOOKUP($BV68,DECODE!$A$3:$C$8,2,FALSE),"?"))</f>
        <v/>
      </c>
      <c r="CD68">
        <f>IF($S68="","",UPPER(TRIM(LEFT($S68&amp;",",FIND(",",$S68&amp;",")-1))))</f>
        <v/>
      </c>
      <c r="CE68">
        <f>IF($CD68="","",MID($CD68,4,FIND("~",SUBSTITUTE($CD68,"-","~",2))-4))</f>
        <v/>
      </c>
      <c r="CF68">
        <f>IF($CD68="","",MID($CD68,FIND("~",SUBSTITUTE($CD68,"-","~",2))+1,FIND("~",SUBSTITUTE($CD68,"-","~",3))-FIND("~",SUBSTITUTE($CD68,"-","~",2))-1))</f>
        <v/>
      </c>
      <c r="CG68">
        <f>IF($CE68="","",IFERROR(VLOOKUP($CE68,DECODE!$A$3:$C$8,3,FALSE),"?"))</f>
        <v/>
      </c>
      <c r="CH68">
        <f>IF($CF68="","",IFERROR(VLOOKUP($CE68&amp;"-"&amp;$CF68,DECODE!$E$3:$F$21,2,FALSE),"?"))</f>
        <v/>
      </c>
      <c r="CI68">
        <f>IF($CD68="","",IFERROR(VALUE(RIGHT($CD68,3)),""))</f>
        <v/>
      </c>
      <c r="CJ68">
        <f>IF($Y68="","",IFERROR(IF(ISNUMBER($Y68),$Y68,DATEVALUE(TRIM($Y68))),""))</f>
        <v/>
      </c>
      <c r="CK68">
        <f>IF($CJ68="","",IF(MONTH($CJ68)&gt;=12,"Cold Winter",IF(MONTH($CJ68)&gt;=10,"Post-Monsoon",IF(MONTH($CJ68)&gt;=6,"Hot Humid",IF(MONTH($CJ68)&gt;=3,"Hot Dry","Cold Winter")))))</f>
        <v/>
      </c>
      <c r="CL68">
        <f>IF($CE68="","",IFERROR(VLOOKUP($CE68,DECODE!$A$3:$C$8,2,FALSE),"?"))</f>
        <v/>
      </c>
      <c r="CM68">
        <f>IF($AN68="","",AN68)</f>
        <v/>
      </c>
      <c r="CN68">
        <f>IF($AO68="","",AO68)</f>
        <v/>
      </c>
      <c r="CO68">
        <f>IF($AP68="","",AP68)</f>
        <v/>
      </c>
      <c r="CP68">
        <f>IF($CM68="","",IF($CM68="Aloe Vera Gel","Aloe Vera Gel "&amp;$CO68&amp;"g",CN68&amp;" "&amp;$CO68&amp;"g"))</f>
        <v/>
      </c>
      <c r="CQ68">
        <f>IF($AT68="",0,1)</f>
        <v/>
      </c>
      <c r="CR68">
        <f>IF($CQ68=0,"",AW68)</f>
        <v/>
      </c>
      <c r="CS68">
        <f>IF($CQ68=0,"",AX68)</f>
        <v/>
      </c>
      <c r="CT68">
        <f>IF($CQ68=0,"",AY68)</f>
        <v/>
      </c>
      <c r="CU68">
        <f>IF($CR68="","",IF($CR68="Aloe Vera Gel","Aloe Vera Gel "&amp;$CT68&amp;"g",CS68&amp;" "&amp;$CT68&amp;"g"))</f>
        <v/>
      </c>
      <c r="CV68">
        <f>IF($CQ68=0,"",IF($CP68=$CU68,"Repeat Exact",IF($CT68&gt;$CO68,"Upsized",IF($CT68&lt;$CO68,"Downsized",IF($CM68&lt;&gt;$CR68,"Lateral","Same Size Diff Variant")))))</f>
        <v/>
      </c>
      <c r="CW68">
        <f>IF($CQ68=0,"",AZ68-AQ68)</f>
        <v/>
      </c>
      <c r="CX68">
        <f>IF($CQ68=0,0,IF(CS68=CN68,1,0))</f>
        <v/>
      </c>
      <c r="CY68">
        <f>IF($CQ68=0,0,IF(CR68=CM68,1,0))</f>
        <v/>
      </c>
      <c r="CZ68">
        <f>IF($A68="","",IF(AND(IF(DASHBOARD!$C$4="All",TRUE,$CM68=DASHBOARD!$C$4),IF(DASHBOARD!$C$6="All",TRUE,$CP68=DASHBOARD!$C$6),IF(DASHBOARD!$C$8="All",TRUE,$AF68&gt;=DASHBOARD!$C$8),IF(DASHBOARD!$C$10="All",TRUE,$AF68&lt;=DASHBOARD!$C$10),IF(DASHBOARD!$C$12="All",TRUE,$AH68=VALUE(DASHBOARD!$C$12)),IF(DASHBOARD!$C$14="All",TRUE,$AJ68=DASHBOARD!$C$14)),1,0))</f>
        <v/>
      </c>
    </row>
    <row r="69">
      <c r="A69" t="n">
        <v>45145</v>
      </c>
      <c r="B69" t="inlineStr">
        <is>
          <t>Aloe Vera Gel</t>
        </is>
      </c>
      <c r="H69" t="inlineStr">
        <is>
          <t>Aloe Vera Gel - 40 gms</t>
        </is>
      </c>
      <c r="N69" t="inlineStr">
        <is>
          <t>FC-HG-PA-040</t>
        </is>
      </c>
      <c r="T69" t="inlineStr">
        <is>
          <t>Sep 25, 2024</t>
        </is>
      </c>
      <c r="AE69" t="inlineStr">
        <is>
          <t>Gurgaon</t>
        </is>
      </c>
      <c r="AF69" t="inlineStr">
        <is>
          <t>2024-09</t>
        </is>
      </c>
      <c r="AG69" t="n">
        <v>9</v>
      </c>
      <c r="AH69" t="n">
        <v>1</v>
      </c>
      <c r="AI69" t="n">
        <v>0</v>
      </c>
      <c r="AJ69">
        <f>IF($AE69="","",IFERROR(VLOOKUP(TRIM($AE69),DECODE!$H$3:$I$60,2,FALSE),"Rest of India"))</f>
        <v/>
      </c>
      <c r="AK69">
        <f>IF($N69="","",UPPER(TRIM(LEFT($N69&amp;",",FIND(",",$N69&amp;",")-1))))</f>
        <v/>
      </c>
      <c r="AL69">
        <f>IF($AK69="","",MID($AK69,4,FIND("~",SUBSTITUTE($AK69,"-","~",2))-4))</f>
        <v/>
      </c>
      <c r="AM69">
        <f>IF($AK69="","",MID($AK69,FIND("~",SUBSTITUTE($AK69,"-","~",2))+1,FIND("~",SUBSTITUTE($AK69,"-","~",3))-FIND("~",SUBSTITUTE($AK69,"-","~",2))-1))</f>
        <v/>
      </c>
      <c r="AN69">
        <f>IF($AL69="","",IFERROR(VLOOKUP($AL69,DECODE!$A$3:$C$8,3,FALSE),"?"))</f>
        <v/>
      </c>
      <c r="AO69">
        <f>IF($AM69="","",IFERROR(VLOOKUP($AL69&amp;"-"&amp;$AM69,DECODE!$E$3:$F$21,2,FALSE),"?"))</f>
        <v/>
      </c>
      <c r="AP69">
        <f>IF($AK69="","",IFERROR(VALUE(RIGHT($AK69,3)),""))</f>
        <v/>
      </c>
      <c r="AQ69">
        <f>IF($T69="","",IFERROR(IF(ISNUMBER($T69),$T69,DATEVALUE(TRIM($T69))),""))</f>
        <v/>
      </c>
      <c r="AR69">
        <f>IF($AQ69="","",IF(MONTH($AQ69)&gt;=12,"Cold Winter",IF(MONTH($AQ69)&gt;=10,"Post-Monsoon",IF(MONTH($AQ69)&gt;=6,"Hot Humid",IF(MONTH($AQ69)&gt;=3,"Hot Dry","Cold Winter")))))</f>
        <v/>
      </c>
      <c r="AS69">
        <f>IF($AL69="","",IFERROR(VLOOKUP($AL69,DECODE!$A$3:$C$8,2,FALSE),"?"))</f>
        <v/>
      </c>
      <c r="AT69">
        <f>IF($O69="","",UPPER(TRIM(LEFT($O69&amp;",",FIND(",",$O69&amp;",")-1))))</f>
        <v/>
      </c>
      <c r="AU69">
        <f>IF($AT69="","",MID($AT69,4,FIND("~",SUBSTITUTE($AT69,"-","~",2))-4))</f>
        <v/>
      </c>
      <c r="AV69">
        <f>IF($AT69="","",MID($AT69,FIND("~",SUBSTITUTE($AT69,"-","~",2))+1,FIND("~",SUBSTITUTE($AT69,"-","~",3))-FIND("~",SUBSTITUTE($AT69,"-","~",2))-1))</f>
        <v/>
      </c>
      <c r="AW69">
        <f>IF($AU69="","",IFERROR(VLOOKUP($AU69,DECODE!$A$3:$C$8,3,FALSE),"?"))</f>
        <v/>
      </c>
      <c r="AX69">
        <f>IF($AV69="","",IFERROR(VLOOKUP($AU69&amp;"-"&amp;$AV69,DECODE!$E$3:$F$21,2,FALSE),"?"))</f>
        <v/>
      </c>
      <c r="AY69">
        <f>IF($AT69="","",IFERROR(VALUE(RIGHT($AT69,3)),""))</f>
        <v/>
      </c>
      <c r="AZ69">
        <f>IF($U69="","",IFERROR(IF(ISNUMBER($U69),$U69,DATEVALUE(TRIM($U69))),""))</f>
        <v/>
      </c>
      <c r="BA69">
        <f>IF($AZ69="","",IF(MONTH($AZ69)&gt;=12,"Cold Winter",IF(MONTH($AZ69)&gt;=10,"Post-Monsoon",IF(MONTH($AZ69)&gt;=6,"Hot Humid",IF(MONTH($AZ69)&gt;=3,"Hot Dry","Cold Winter")))))</f>
        <v/>
      </c>
      <c r="BB69">
        <f>IF($AU69="","",IFERROR(VLOOKUP($AU69,DECODE!$A$3:$C$8,2,FALSE),"?"))</f>
        <v/>
      </c>
      <c r="BC69">
        <f>IF($P69="","",UPPER(TRIM(LEFT($P69&amp;",",FIND(",",$P69&amp;",")-1))))</f>
        <v/>
      </c>
      <c r="BD69">
        <f>IF($BC69="","",MID($BC69,4,FIND("~",SUBSTITUTE($BC69,"-","~",2))-4))</f>
        <v/>
      </c>
      <c r="BE69">
        <f>IF($BC69="","",MID($BC69,FIND("~",SUBSTITUTE($BC69,"-","~",2))+1,FIND("~",SUBSTITUTE($BC69,"-","~",3))-FIND("~",SUBSTITUTE($BC69,"-","~",2))-1))</f>
        <v/>
      </c>
      <c r="BF69">
        <f>IF($BD69="","",IFERROR(VLOOKUP($BD69,DECODE!$A$3:$C$8,3,FALSE),"?"))</f>
        <v/>
      </c>
      <c r="BG69">
        <f>IF($BE69="","",IFERROR(VLOOKUP($BD69&amp;"-"&amp;$BE69,DECODE!$E$3:$F$21,2,FALSE),"?"))</f>
        <v/>
      </c>
      <c r="BH69">
        <f>IF($BC69="","",IFERROR(VALUE(RIGHT($BC69,3)),""))</f>
        <v/>
      </c>
      <c r="BI69">
        <f>IF($V69="","",IFERROR(IF(ISNUMBER($V69),$V69,DATEVALUE(TRIM($V69))),""))</f>
        <v/>
      </c>
      <c r="BJ69">
        <f>IF($BI69="","",IF(MONTH($BI69)&gt;=12,"Cold Winter",IF(MONTH($BI69)&gt;=10,"Post-Monsoon",IF(MONTH($BI69)&gt;=6,"Hot Humid",IF(MONTH($BI69)&gt;=3,"Hot Dry","Cold Winter")))))</f>
        <v/>
      </c>
      <c r="BK69">
        <f>IF($BD69="","",IFERROR(VLOOKUP($BD69,DECODE!$A$3:$C$8,2,FALSE),"?"))</f>
        <v/>
      </c>
      <c r="BL69">
        <f>IF($Q69="","",UPPER(TRIM(LEFT($Q69&amp;",",FIND(",",$Q69&amp;",")-1))))</f>
        <v/>
      </c>
      <c r="BM69">
        <f>IF($BL69="","",MID($BL69,4,FIND("~",SUBSTITUTE($BL69,"-","~",2))-4))</f>
        <v/>
      </c>
      <c r="BN69">
        <f>IF($BL69="","",MID($BL69,FIND("~",SUBSTITUTE($BL69,"-","~",2))+1,FIND("~",SUBSTITUTE($BL69,"-","~",3))-FIND("~",SUBSTITUTE($BL69,"-","~",2))-1))</f>
        <v/>
      </c>
      <c r="BO69">
        <f>IF($BM69="","",IFERROR(VLOOKUP($BM69,DECODE!$A$3:$C$8,3,FALSE),"?"))</f>
        <v/>
      </c>
      <c r="BP69">
        <f>IF($BN69="","",IFERROR(VLOOKUP($BM69&amp;"-"&amp;$BN69,DECODE!$E$3:$F$21,2,FALSE),"?"))</f>
        <v/>
      </c>
      <c r="BQ69">
        <f>IF($BL69="","",IFERROR(VALUE(RIGHT($BL69,3)),""))</f>
        <v/>
      </c>
      <c r="BR69">
        <f>IF($W69="","",IFERROR(IF(ISNUMBER($W69),$W69,DATEVALUE(TRIM($W69))),""))</f>
        <v/>
      </c>
      <c r="BS69">
        <f>IF($BR69="","",IF(MONTH($BR69)&gt;=12,"Cold Winter",IF(MONTH($BR69)&gt;=10,"Post-Monsoon",IF(MONTH($BR69)&gt;=6,"Hot Humid",IF(MONTH($BR69)&gt;=3,"Hot Dry","Cold Winter")))))</f>
        <v/>
      </c>
      <c r="BT69">
        <f>IF($BM69="","",IFERROR(VLOOKUP($BM69,DECODE!$A$3:$C$8,2,FALSE),"?"))</f>
        <v/>
      </c>
      <c r="BU69">
        <f>IF($R69="","",UPPER(TRIM(LEFT($R69&amp;",",FIND(",",$R69&amp;",")-1))))</f>
        <v/>
      </c>
      <c r="BV69">
        <f>IF($BU69="","",MID($BU69,4,FIND("~",SUBSTITUTE($BU69,"-","~",2))-4))</f>
        <v/>
      </c>
      <c r="BW69">
        <f>IF($BU69="","",MID($BU69,FIND("~",SUBSTITUTE($BU69,"-","~",2))+1,FIND("~",SUBSTITUTE($BU69,"-","~",3))-FIND("~",SUBSTITUTE($BU69,"-","~",2))-1))</f>
        <v/>
      </c>
      <c r="BX69">
        <f>IF($BV69="","",IFERROR(VLOOKUP($BV69,DECODE!$A$3:$C$8,3,FALSE),"?"))</f>
        <v/>
      </c>
      <c r="BY69">
        <f>IF($BW69="","",IFERROR(VLOOKUP($BV69&amp;"-"&amp;$BW69,DECODE!$E$3:$F$21,2,FALSE),"?"))</f>
        <v/>
      </c>
      <c r="BZ69">
        <f>IF($BU69="","",IFERROR(VALUE(RIGHT($BU69,3)),""))</f>
        <v/>
      </c>
      <c r="CA69">
        <f>IF($X69="","",IFERROR(IF(ISNUMBER($X69),$X69,DATEVALUE(TRIM($X69))),""))</f>
        <v/>
      </c>
      <c r="CB69">
        <f>IF($CA69="","",IF(MONTH($CA69)&gt;=12,"Cold Winter",IF(MONTH($CA69)&gt;=10,"Post-Monsoon",IF(MONTH($CA69)&gt;=6,"Hot Humid",IF(MONTH($CA69)&gt;=3,"Hot Dry","Cold Winter")))))</f>
        <v/>
      </c>
      <c r="CC69">
        <f>IF($BV69="","",IFERROR(VLOOKUP($BV69,DECODE!$A$3:$C$8,2,FALSE),"?"))</f>
        <v/>
      </c>
      <c r="CD69">
        <f>IF($S69="","",UPPER(TRIM(LEFT($S69&amp;",",FIND(",",$S69&amp;",")-1))))</f>
        <v/>
      </c>
      <c r="CE69">
        <f>IF($CD69="","",MID($CD69,4,FIND("~",SUBSTITUTE($CD69,"-","~",2))-4))</f>
        <v/>
      </c>
      <c r="CF69">
        <f>IF($CD69="","",MID($CD69,FIND("~",SUBSTITUTE($CD69,"-","~",2))+1,FIND("~",SUBSTITUTE($CD69,"-","~",3))-FIND("~",SUBSTITUTE($CD69,"-","~",2))-1))</f>
        <v/>
      </c>
      <c r="CG69">
        <f>IF($CE69="","",IFERROR(VLOOKUP($CE69,DECODE!$A$3:$C$8,3,FALSE),"?"))</f>
        <v/>
      </c>
      <c r="CH69">
        <f>IF($CF69="","",IFERROR(VLOOKUP($CE69&amp;"-"&amp;$CF69,DECODE!$E$3:$F$21,2,FALSE),"?"))</f>
        <v/>
      </c>
      <c r="CI69">
        <f>IF($CD69="","",IFERROR(VALUE(RIGHT($CD69,3)),""))</f>
        <v/>
      </c>
      <c r="CJ69">
        <f>IF($Y69="","",IFERROR(IF(ISNUMBER($Y69),$Y69,DATEVALUE(TRIM($Y69))),""))</f>
        <v/>
      </c>
      <c r="CK69">
        <f>IF($CJ69="","",IF(MONTH($CJ69)&gt;=12,"Cold Winter",IF(MONTH($CJ69)&gt;=10,"Post-Monsoon",IF(MONTH($CJ69)&gt;=6,"Hot Humid",IF(MONTH($CJ69)&gt;=3,"Hot Dry","Cold Winter")))))</f>
        <v/>
      </c>
      <c r="CL69">
        <f>IF($CE69="","",IFERROR(VLOOKUP($CE69,DECODE!$A$3:$C$8,2,FALSE),"?"))</f>
        <v/>
      </c>
      <c r="CM69">
        <f>IF($AN69="","",AN69)</f>
        <v/>
      </c>
      <c r="CN69">
        <f>IF($AO69="","",AO69)</f>
        <v/>
      </c>
      <c r="CO69">
        <f>IF($AP69="","",AP69)</f>
        <v/>
      </c>
      <c r="CP69">
        <f>IF($CM69="","",IF($CM69="Aloe Vera Gel","Aloe Vera Gel "&amp;$CO69&amp;"g",CN69&amp;" "&amp;$CO69&amp;"g"))</f>
        <v/>
      </c>
      <c r="CQ69">
        <f>IF($AT69="",0,1)</f>
        <v/>
      </c>
      <c r="CR69">
        <f>IF($CQ69=0,"",AW69)</f>
        <v/>
      </c>
      <c r="CS69">
        <f>IF($CQ69=0,"",AX69)</f>
        <v/>
      </c>
      <c r="CT69">
        <f>IF($CQ69=0,"",AY69)</f>
        <v/>
      </c>
      <c r="CU69">
        <f>IF($CR69="","",IF($CR69="Aloe Vera Gel","Aloe Vera Gel "&amp;$CT69&amp;"g",CS69&amp;" "&amp;$CT69&amp;"g"))</f>
        <v/>
      </c>
      <c r="CV69">
        <f>IF($CQ69=0,"",IF($CP69=$CU69,"Repeat Exact",IF($CT69&gt;$CO69,"Upsized",IF($CT69&lt;$CO69,"Downsized",IF($CM69&lt;&gt;$CR69,"Lateral","Same Size Diff Variant")))))</f>
        <v/>
      </c>
      <c r="CW69">
        <f>IF($CQ69=0,"",AZ69-AQ69)</f>
        <v/>
      </c>
      <c r="CX69">
        <f>IF($CQ69=0,0,IF(CS69=CN69,1,0))</f>
        <v/>
      </c>
      <c r="CY69">
        <f>IF($CQ69=0,0,IF(CR69=CM69,1,0))</f>
        <v/>
      </c>
      <c r="CZ69">
        <f>IF($A69="","",IF(AND(IF(DASHBOARD!$C$4="All",TRUE,$CM69=DASHBOARD!$C$4),IF(DASHBOARD!$C$6="All",TRUE,$CP69=DASHBOARD!$C$6),IF(DASHBOARD!$C$8="All",TRUE,$AF69&gt;=DASHBOARD!$C$8),IF(DASHBOARD!$C$10="All",TRUE,$AF69&lt;=DASHBOARD!$C$10),IF(DASHBOARD!$C$12="All",TRUE,$AH69=VALUE(DASHBOARD!$C$12)),IF(DASHBOARD!$C$14="All",TRUE,$AJ69=DASHBOARD!$C$14)),1,0))</f>
        <v/>
      </c>
    </row>
    <row r="70">
      <c r="A70" t="n">
        <v>45547</v>
      </c>
      <c r="B70" t="inlineStr">
        <is>
          <t>Face Malai</t>
        </is>
      </c>
      <c r="C70" t="inlineStr">
        <is>
          <t>Face Malai</t>
        </is>
      </c>
      <c r="H70" t="inlineStr">
        <is>
          <t>Flax Walnut (Cold) 35+ Face Malai</t>
        </is>
      </c>
      <c r="I70" t="inlineStr">
        <is>
          <t>Flax Bakuchi (Hot Dry) 35+ Face Malai - 30g</t>
        </is>
      </c>
      <c r="N70" t="inlineStr">
        <is>
          <t>FC-CWDM-FW-030</t>
        </is>
      </c>
      <c r="O70" t="inlineStr">
        <is>
          <t>FC-HDDM-FB-030</t>
        </is>
      </c>
      <c r="T70" t="inlineStr">
        <is>
          <t>Jan 24, 2024</t>
        </is>
      </c>
      <c r="U70" t="inlineStr">
        <is>
          <t>Feb 14, 2024</t>
        </is>
      </c>
      <c r="Z70" t="n">
        <v>21</v>
      </c>
      <c r="AE70" t="inlineStr">
        <is>
          <t>Gurgaon</t>
        </is>
      </c>
      <c r="AF70" t="inlineStr">
        <is>
          <t>2024-01</t>
        </is>
      </c>
      <c r="AG70" t="n">
        <v>1</v>
      </c>
      <c r="AH70" t="n">
        <v>2</v>
      </c>
      <c r="AI70" t="n">
        <v>1</v>
      </c>
      <c r="AJ70">
        <f>IF($AE70="","",IFERROR(VLOOKUP(TRIM($AE70),DECODE!$H$3:$I$60,2,FALSE),"Rest of India"))</f>
        <v/>
      </c>
      <c r="AK70">
        <f>IF($N70="","",UPPER(TRIM(LEFT($N70&amp;",",FIND(",",$N70&amp;",")-1))))</f>
        <v/>
      </c>
      <c r="AL70">
        <f>IF($AK70="","",MID($AK70,4,FIND("~",SUBSTITUTE($AK70,"-","~",2))-4))</f>
        <v/>
      </c>
      <c r="AM70">
        <f>IF($AK70="","",MID($AK70,FIND("~",SUBSTITUTE($AK70,"-","~",2))+1,FIND("~",SUBSTITUTE($AK70,"-","~",3))-FIND("~",SUBSTITUTE($AK70,"-","~",2))-1))</f>
        <v/>
      </c>
      <c r="AN70">
        <f>IF($AL70="","",IFERROR(VLOOKUP($AL70,DECODE!$A$3:$C$8,3,FALSE),"?"))</f>
        <v/>
      </c>
      <c r="AO70">
        <f>IF($AM70="","",IFERROR(VLOOKUP($AL70&amp;"-"&amp;$AM70,DECODE!$E$3:$F$21,2,FALSE),"?"))</f>
        <v/>
      </c>
      <c r="AP70">
        <f>IF($AK70="","",IFERROR(VALUE(RIGHT($AK70,3)),""))</f>
        <v/>
      </c>
      <c r="AQ70">
        <f>IF($T70="","",IFERROR(IF(ISNUMBER($T70),$T70,DATEVALUE(TRIM($T70))),""))</f>
        <v/>
      </c>
      <c r="AR70">
        <f>IF($AQ70="","",IF(MONTH($AQ70)&gt;=12,"Cold Winter",IF(MONTH($AQ70)&gt;=10,"Post-Monsoon",IF(MONTH($AQ70)&gt;=6,"Hot Humid",IF(MONTH($AQ70)&gt;=3,"Hot Dry","Cold Winter")))))</f>
        <v/>
      </c>
      <c r="AS70">
        <f>IF($AL70="","",IFERROR(VLOOKUP($AL70,DECODE!$A$3:$C$8,2,FALSE),"?"))</f>
        <v/>
      </c>
      <c r="AT70">
        <f>IF($O70="","",UPPER(TRIM(LEFT($O70&amp;",",FIND(",",$O70&amp;",")-1))))</f>
        <v/>
      </c>
      <c r="AU70">
        <f>IF($AT70="","",MID($AT70,4,FIND("~",SUBSTITUTE($AT70,"-","~",2))-4))</f>
        <v/>
      </c>
      <c r="AV70">
        <f>IF($AT70="","",MID($AT70,FIND("~",SUBSTITUTE($AT70,"-","~",2))+1,FIND("~",SUBSTITUTE($AT70,"-","~",3))-FIND("~",SUBSTITUTE($AT70,"-","~",2))-1))</f>
        <v/>
      </c>
      <c r="AW70">
        <f>IF($AU70="","",IFERROR(VLOOKUP($AU70,DECODE!$A$3:$C$8,3,FALSE),"?"))</f>
        <v/>
      </c>
      <c r="AX70">
        <f>IF($AV70="","",IFERROR(VLOOKUP($AU70&amp;"-"&amp;$AV70,DECODE!$E$3:$F$21,2,FALSE),"?"))</f>
        <v/>
      </c>
      <c r="AY70">
        <f>IF($AT70="","",IFERROR(VALUE(RIGHT($AT70,3)),""))</f>
        <v/>
      </c>
      <c r="AZ70">
        <f>IF($U70="","",IFERROR(IF(ISNUMBER($U70),$U70,DATEVALUE(TRIM($U70))),""))</f>
        <v/>
      </c>
      <c r="BA70">
        <f>IF($AZ70="","",IF(MONTH($AZ70)&gt;=12,"Cold Winter",IF(MONTH($AZ70)&gt;=10,"Post-Monsoon",IF(MONTH($AZ70)&gt;=6,"Hot Humid",IF(MONTH($AZ70)&gt;=3,"Hot Dry","Cold Winter")))))</f>
        <v/>
      </c>
      <c r="BB70">
        <f>IF($AU70="","",IFERROR(VLOOKUP($AU70,DECODE!$A$3:$C$8,2,FALSE),"?"))</f>
        <v/>
      </c>
      <c r="BC70">
        <f>IF($P70="","",UPPER(TRIM(LEFT($P70&amp;",",FIND(",",$P70&amp;",")-1))))</f>
        <v/>
      </c>
      <c r="BD70">
        <f>IF($BC70="","",MID($BC70,4,FIND("~",SUBSTITUTE($BC70,"-","~",2))-4))</f>
        <v/>
      </c>
      <c r="BE70">
        <f>IF($BC70="","",MID($BC70,FIND("~",SUBSTITUTE($BC70,"-","~",2))+1,FIND("~",SUBSTITUTE($BC70,"-","~",3))-FIND("~",SUBSTITUTE($BC70,"-","~",2))-1))</f>
        <v/>
      </c>
      <c r="BF70">
        <f>IF($BD70="","",IFERROR(VLOOKUP($BD70,DECODE!$A$3:$C$8,3,FALSE),"?"))</f>
        <v/>
      </c>
      <c r="BG70">
        <f>IF($BE70="","",IFERROR(VLOOKUP($BD70&amp;"-"&amp;$BE70,DECODE!$E$3:$F$21,2,FALSE),"?"))</f>
        <v/>
      </c>
      <c r="BH70">
        <f>IF($BC70="","",IFERROR(VALUE(RIGHT($BC70,3)),""))</f>
        <v/>
      </c>
      <c r="BI70">
        <f>IF($V70="","",IFERROR(IF(ISNUMBER($V70),$V70,DATEVALUE(TRIM($V70))),""))</f>
        <v/>
      </c>
      <c r="BJ70">
        <f>IF($BI70="","",IF(MONTH($BI70)&gt;=12,"Cold Winter",IF(MONTH($BI70)&gt;=10,"Post-Monsoon",IF(MONTH($BI70)&gt;=6,"Hot Humid",IF(MONTH($BI70)&gt;=3,"Hot Dry","Cold Winter")))))</f>
        <v/>
      </c>
      <c r="BK70">
        <f>IF($BD70="","",IFERROR(VLOOKUP($BD70,DECODE!$A$3:$C$8,2,FALSE),"?"))</f>
        <v/>
      </c>
      <c r="BL70">
        <f>IF($Q70="","",UPPER(TRIM(LEFT($Q70&amp;",",FIND(",",$Q70&amp;",")-1))))</f>
        <v/>
      </c>
      <c r="BM70">
        <f>IF($BL70="","",MID($BL70,4,FIND("~",SUBSTITUTE($BL70,"-","~",2))-4))</f>
        <v/>
      </c>
      <c r="BN70">
        <f>IF($BL70="","",MID($BL70,FIND("~",SUBSTITUTE($BL70,"-","~",2))+1,FIND("~",SUBSTITUTE($BL70,"-","~",3))-FIND("~",SUBSTITUTE($BL70,"-","~",2))-1))</f>
        <v/>
      </c>
      <c r="BO70">
        <f>IF($BM70="","",IFERROR(VLOOKUP($BM70,DECODE!$A$3:$C$8,3,FALSE),"?"))</f>
        <v/>
      </c>
      <c r="BP70">
        <f>IF($BN70="","",IFERROR(VLOOKUP($BM70&amp;"-"&amp;$BN70,DECODE!$E$3:$F$21,2,FALSE),"?"))</f>
        <v/>
      </c>
      <c r="BQ70">
        <f>IF($BL70="","",IFERROR(VALUE(RIGHT($BL70,3)),""))</f>
        <v/>
      </c>
      <c r="BR70">
        <f>IF($W70="","",IFERROR(IF(ISNUMBER($W70),$W70,DATEVALUE(TRIM($W70))),""))</f>
        <v/>
      </c>
      <c r="BS70">
        <f>IF($BR70="","",IF(MONTH($BR70)&gt;=12,"Cold Winter",IF(MONTH($BR70)&gt;=10,"Post-Monsoon",IF(MONTH($BR70)&gt;=6,"Hot Humid",IF(MONTH($BR70)&gt;=3,"Hot Dry","Cold Winter")))))</f>
        <v/>
      </c>
      <c r="BT70">
        <f>IF($BM70="","",IFERROR(VLOOKUP($BM70,DECODE!$A$3:$C$8,2,FALSE),"?"))</f>
        <v/>
      </c>
      <c r="BU70">
        <f>IF($R70="","",UPPER(TRIM(LEFT($R70&amp;",",FIND(",",$R70&amp;",")-1))))</f>
        <v/>
      </c>
      <c r="BV70">
        <f>IF($BU70="","",MID($BU70,4,FIND("~",SUBSTITUTE($BU70,"-","~",2))-4))</f>
        <v/>
      </c>
      <c r="BW70">
        <f>IF($BU70="","",MID($BU70,FIND("~",SUBSTITUTE($BU70,"-","~",2))+1,FIND("~",SUBSTITUTE($BU70,"-","~",3))-FIND("~",SUBSTITUTE($BU70,"-","~",2))-1))</f>
        <v/>
      </c>
      <c r="BX70">
        <f>IF($BV70="","",IFERROR(VLOOKUP($BV70,DECODE!$A$3:$C$8,3,FALSE),"?"))</f>
        <v/>
      </c>
      <c r="BY70">
        <f>IF($BW70="","",IFERROR(VLOOKUP($BV70&amp;"-"&amp;$BW70,DECODE!$E$3:$F$21,2,FALSE),"?"))</f>
        <v/>
      </c>
      <c r="BZ70">
        <f>IF($BU70="","",IFERROR(VALUE(RIGHT($BU70,3)),""))</f>
        <v/>
      </c>
      <c r="CA70">
        <f>IF($X70="","",IFERROR(IF(ISNUMBER($X70),$X70,DATEVALUE(TRIM($X70))),""))</f>
        <v/>
      </c>
      <c r="CB70">
        <f>IF($CA70="","",IF(MONTH($CA70)&gt;=12,"Cold Winter",IF(MONTH($CA70)&gt;=10,"Post-Monsoon",IF(MONTH($CA70)&gt;=6,"Hot Humid",IF(MONTH($CA70)&gt;=3,"Hot Dry","Cold Winter")))))</f>
        <v/>
      </c>
      <c r="CC70">
        <f>IF($BV70="","",IFERROR(VLOOKUP($BV70,DECODE!$A$3:$C$8,2,FALSE),"?"))</f>
        <v/>
      </c>
      <c r="CD70">
        <f>IF($S70="","",UPPER(TRIM(LEFT($S70&amp;",",FIND(",",$S70&amp;",")-1))))</f>
        <v/>
      </c>
      <c r="CE70">
        <f>IF($CD70="","",MID($CD70,4,FIND("~",SUBSTITUTE($CD70,"-","~",2))-4))</f>
        <v/>
      </c>
      <c r="CF70">
        <f>IF($CD70="","",MID($CD70,FIND("~",SUBSTITUTE($CD70,"-","~",2))+1,FIND("~",SUBSTITUTE($CD70,"-","~",3))-FIND("~",SUBSTITUTE($CD70,"-","~",2))-1))</f>
        <v/>
      </c>
      <c r="CG70">
        <f>IF($CE70="","",IFERROR(VLOOKUP($CE70,DECODE!$A$3:$C$8,3,FALSE),"?"))</f>
        <v/>
      </c>
      <c r="CH70">
        <f>IF($CF70="","",IFERROR(VLOOKUP($CE70&amp;"-"&amp;$CF70,DECODE!$E$3:$F$21,2,FALSE),"?"))</f>
        <v/>
      </c>
      <c r="CI70">
        <f>IF($CD70="","",IFERROR(VALUE(RIGHT($CD70,3)),""))</f>
        <v/>
      </c>
      <c r="CJ70">
        <f>IF($Y70="","",IFERROR(IF(ISNUMBER($Y70),$Y70,DATEVALUE(TRIM($Y70))),""))</f>
        <v/>
      </c>
      <c r="CK70">
        <f>IF($CJ70="","",IF(MONTH($CJ70)&gt;=12,"Cold Winter",IF(MONTH($CJ70)&gt;=10,"Post-Monsoon",IF(MONTH($CJ70)&gt;=6,"Hot Humid",IF(MONTH($CJ70)&gt;=3,"Hot Dry","Cold Winter")))))</f>
        <v/>
      </c>
      <c r="CL70">
        <f>IF($CE70="","",IFERROR(VLOOKUP($CE70,DECODE!$A$3:$C$8,2,FALSE),"?"))</f>
        <v/>
      </c>
      <c r="CM70">
        <f>IF($AN70="","",AN70)</f>
        <v/>
      </c>
      <c r="CN70">
        <f>IF($AO70="","",AO70)</f>
        <v/>
      </c>
      <c r="CO70">
        <f>IF($AP70="","",AP70)</f>
        <v/>
      </c>
      <c r="CP70">
        <f>IF($CM70="","",IF($CM70="Aloe Vera Gel","Aloe Vera Gel "&amp;$CO70&amp;"g",CN70&amp;" "&amp;$CO70&amp;"g"))</f>
        <v/>
      </c>
      <c r="CQ70">
        <f>IF($AT70="",0,1)</f>
        <v/>
      </c>
      <c r="CR70">
        <f>IF($CQ70=0,"",AW70)</f>
        <v/>
      </c>
      <c r="CS70">
        <f>IF($CQ70=0,"",AX70)</f>
        <v/>
      </c>
      <c r="CT70">
        <f>IF($CQ70=0,"",AY70)</f>
        <v/>
      </c>
      <c r="CU70">
        <f>IF($CR70="","",IF($CR70="Aloe Vera Gel","Aloe Vera Gel "&amp;$CT70&amp;"g",CS70&amp;" "&amp;$CT70&amp;"g"))</f>
        <v/>
      </c>
      <c r="CV70">
        <f>IF($CQ70=0,"",IF($CP70=$CU70,"Repeat Exact",IF($CT70&gt;$CO70,"Upsized",IF($CT70&lt;$CO70,"Downsized",IF($CM70&lt;&gt;$CR70,"Lateral","Same Size Diff Variant")))))</f>
        <v/>
      </c>
      <c r="CW70">
        <f>IF($CQ70=0,"",AZ70-AQ70)</f>
        <v/>
      </c>
      <c r="CX70">
        <f>IF($CQ70=0,0,IF(CS70=CN70,1,0))</f>
        <v/>
      </c>
      <c r="CY70">
        <f>IF($CQ70=0,0,IF(CR70=CM70,1,0))</f>
        <v/>
      </c>
      <c r="CZ70">
        <f>IF($A70="","",IF(AND(IF(DASHBOARD!$C$4="All",TRUE,$CM70=DASHBOARD!$C$4),IF(DASHBOARD!$C$6="All",TRUE,$CP70=DASHBOARD!$C$6),IF(DASHBOARD!$C$8="All",TRUE,$AF70&gt;=DASHBOARD!$C$8),IF(DASHBOARD!$C$10="All",TRUE,$AF70&lt;=DASHBOARD!$C$10),IF(DASHBOARD!$C$12="All",TRUE,$AH70=VALUE(DASHBOARD!$C$12)),IF(DASHBOARD!$C$14="All",TRUE,$AJ70=DASHBOARD!$C$14)),1,0))</f>
        <v/>
      </c>
    </row>
    <row r="71">
      <c r="A71" t="n">
        <v>45891</v>
      </c>
      <c r="B71" t="inlineStr">
        <is>
          <t>Aloe Vera Gel</t>
        </is>
      </c>
      <c r="H71" t="inlineStr">
        <is>
          <t>Aloe Vera Gel - 40 gms</t>
        </is>
      </c>
      <c r="N71" t="inlineStr">
        <is>
          <t>FC-HG-PA-040</t>
        </is>
      </c>
      <c r="T71" t="inlineStr">
        <is>
          <t>Nov 18, 2024</t>
        </is>
      </c>
      <c r="AE71" t="inlineStr">
        <is>
          <t>Nasik</t>
        </is>
      </c>
      <c r="AF71" t="inlineStr">
        <is>
          <t>2024-11</t>
        </is>
      </c>
      <c r="AG71" t="n">
        <v>11</v>
      </c>
      <c r="AH71" t="n">
        <v>1</v>
      </c>
      <c r="AI71" t="n">
        <v>0</v>
      </c>
      <c r="AJ71">
        <f>IF($AE71="","",IFERROR(VLOOKUP(TRIM($AE71),DECODE!$H$3:$I$60,2,FALSE),"Rest of India"))</f>
        <v/>
      </c>
      <c r="AK71">
        <f>IF($N71="","",UPPER(TRIM(LEFT($N71&amp;",",FIND(",",$N71&amp;",")-1))))</f>
        <v/>
      </c>
      <c r="AL71">
        <f>IF($AK71="","",MID($AK71,4,FIND("~",SUBSTITUTE($AK71,"-","~",2))-4))</f>
        <v/>
      </c>
      <c r="AM71">
        <f>IF($AK71="","",MID($AK71,FIND("~",SUBSTITUTE($AK71,"-","~",2))+1,FIND("~",SUBSTITUTE($AK71,"-","~",3))-FIND("~",SUBSTITUTE($AK71,"-","~",2))-1))</f>
        <v/>
      </c>
      <c r="AN71">
        <f>IF($AL71="","",IFERROR(VLOOKUP($AL71,DECODE!$A$3:$C$8,3,FALSE),"?"))</f>
        <v/>
      </c>
      <c r="AO71">
        <f>IF($AM71="","",IFERROR(VLOOKUP($AL71&amp;"-"&amp;$AM71,DECODE!$E$3:$F$21,2,FALSE),"?"))</f>
        <v/>
      </c>
      <c r="AP71">
        <f>IF($AK71="","",IFERROR(VALUE(RIGHT($AK71,3)),""))</f>
        <v/>
      </c>
      <c r="AQ71">
        <f>IF($T71="","",IFERROR(IF(ISNUMBER($T71),$T71,DATEVALUE(TRIM($T71))),""))</f>
        <v/>
      </c>
      <c r="AR71">
        <f>IF($AQ71="","",IF(MONTH($AQ71)&gt;=12,"Cold Winter",IF(MONTH($AQ71)&gt;=10,"Post-Monsoon",IF(MONTH($AQ71)&gt;=6,"Hot Humid",IF(MONTH($AQ71)&gt;=3,"Hot Dry","Cold Winter")))))</f>
        <v/>
      </c>
      <c r="AS71">
        <f>IF($AL71="","",IFERROR(VLOOKUP($AL71,DECODE!$A$3:$C$8,2,FALSE),"?"))</f>
        <v/>
      </c>
      <c r="AT71">
        <f>IF($O71="","",UPPER(TRIM(LEFT($O71&amp;",",FIND(",",$O71&amp;",")-1))))</f>
        <v/>
      </c>
      <c r="AU71">
        <f>IF($AT71="","",MID($AT71,4,FIND("~",SUBSTITUTE($AT71,"-","~",2))-4))</f>
        <v/>
      </c>
      <c r="AV71">
        <f>IF($AT71="","",MID($AT71,FIND("~",SUBSTITUTE($AT71,"-","~",2))+1,FIND("~",SUBSTITUTE($AT71,"-","~",3))-FIND("~",SUBSTITUTE($AT71,"-","~",2))-1))</f>
        <v/>
      </c>
      <c r="AW71">
        <f>IF($AU71="","",IFERROR(VLOOKUP($AU71,DECODE!$A$3:$C$8,3,FALSE),"?"))</f>
        <v/>
      </c>
      <c r="AX71">
        <f>IF($AV71="","",IFERROR(VLOOKUP($AU71&amp;"-"&amp;$AV71,DECODE!$E$3:$F$21,2,FALSE),"?"))</f>
        <v/>
      </c>
      <c r="AY71">
        <f>IF($AT71="","",IFERROR(VALUE(RIGHT($AT71,3)),""))</f>
        <v/>
      </c>
      <c r="AZ71">
        <f>IF($U71="","",IFERROR(IF(ISNUMBER($U71),$U71,DATEVALUE(TRIM($U71))),""))</f>
        <v/>
      </c>
      <c r="BA71">
        <f>IF($AZ71="","",IF(MONTH($AZ71)&gt;=12,"Cold Winter",IF(MONTH($AZ71)&gt;=10,"Post-Monsoon",IF(MONTH($AZ71)&gt;=6,"Hot Humid",IF(MONTH($AZ71)&gt;=3,"Hot Dry","Cold Winter")))))</f>
        <v/>
      </c>
      <c r="BB71">
        <f>IF($AU71="","",IFERROR(VLOOKUP($AU71,DECODE!$A$3:$C$8,2,FALSE),"?"))</f>
        <v/>
      </c>
      <c r="BC71">
        <f>IF($P71="","",UPPER(TRIM(LEFT($P71&amp;",",FIND(",",$P71&amp;",")-1))))</f>
        <v/>
      </c>
      <c r="BD71">
        <f>IF($BC71="","",MID($BC71,4,FIND("~",SUBSTITUTE($BC71,"-","~",2))-4))</f>
        <v/>
      </c>
      <c r="BE71">
        <f>IF($BC71="","",MID($BC71,FIND("~",SUBSTITUTE($BC71,"-","~",2))+1,FIND("~",SUBSTITUTE($BC71,"-","~",3))-FIND("~",SUBSTITUTE($BC71,"-","~",2))-1))</f>
        <v/>
      </c>
      <c r="BF71">
        <f>IF($BD71="","",IFERROR(VLOOKUP($BD71,DECODE!$A$3:$C$8,3,FALSE),"?"))</f>
        <v/>
      </c>
      <c r="BG71">
        <f>IF($BE71="","",IFERROR(VLOOKUP($BD71&amp;"-"&amp;$BE71,DECODE!$E$3:$F$21,2,FALSE),"?"))</f>
        <v/>
      </c>
      <c r="BH71">
        <f>IF($BC71="","",IFERROR(VALUE(RIGHT($BC71,3)),""))</f>
        <v/>
      </c>
      <c r="BI71">
        <f>IF($V71="","",IFERROR(IF(ISNUMBER($V71),$V71,DATEVALUE(TRIM($V71))),""))</f>
        <v/>
      </c>
      <c r="BJ71">
        <f>IF($BI71="","",IF(MONTH($BI71)&gt;=12,"Cold Winter",IF(MONTH($BI71)&gt;=10,"Post-Monsoon",IF(MONTH($BI71)&gt;=6,"Hot Humid",IF(MONTH($BI71)&gt;=3,"Hot Dry","Cold Winter")))))</f>
        <v/>
      </c>
      <c r="BK71">
        <f>IF($BD71="","",IFERROR(VLOOKUP($BD71,DECODE!$A$3:$C$8,2,FALSE),"?"))</f>
        <v/>
      </c>
      <c r="BL71">
        <f>IF($Q71="","",UPPER(TRIM(LEFT($Q71&amp;",",FIND(",",$Q71&amp;",")-1))))</f>
        <v/>
      </c>
      <c r="BM71">
        <f>IF($BL71="","",MID($BL71,4,FIND("~",SUBSTITUTE($BL71,"-","~",2))-4))</f>
        <v/>
      </c>
      <c r="BN71">
        <f>IF($BL71="","",MID($BL71,FIND("~",SUBSTITUTE($BL71,"-","~",2))+1,FIND("~",SUBSTITUTE($BL71,"-","~",3))-FIND("~",SUBSTITUTE($BL71,"-","~",2))-1))</f>
        <v/>
      </c>
      <c r="BO71">
        <f>IF($BM71="","",IFERROR(VLOOKUP($BM71,DECODE!$A$3:$C$8,3,FALSE),"?"))</f>
        <v/>
      </c>
      <c r="BP71">
        <f>IF($BN71="","",IFERROR(VLOOKUP($BM71&amp;"-"&amp;$BN71,DECODE!$E$3:$F$21,2,FALSE),"?"))</f>
        <v/>
      </c>
      <c r="BQ71">
        <f>IF($BL71="","",IFERROR(VALUE(RIGHT($BL71,3)),""))</f>
        <v/>
      </c>
      <c r="BR71">
        <f>IF($W71="","",IFERROR(IF(ISNUMBER($W71),$W71,DATEVALUE(TRIM($W71))),""))</f>
        <v/>
      </c>
      <c r="BS71">
        <f>IF($BR71="","",IF(MONTH($BR71)&gt;=12,"Cold Winter",IF(MONTH($BR71)&gt;=10,"Post-Monsoon",IF(MONTH($BR71)&gt;=6,"Hot Humid",IF(MONTH($BR71)&gt;=3,"Hot Dry","Cold Winter")))))</f>
        <v/>
      </c>
      <c r="BT71">
        <f>IF($BM71="","",IFERROR(VLOOKUP($BM71,DECODE!$A$3:$C$8,2,FALSE),"?"))</f>
        <v/>
      </c>
      <c r="BU71">
        <f>IF($R71="","",UPPER(TRIM(LEFT($R71&amp;",",FIND(",",$R71&amp;",")-1))))</f>
        <v/>
      </c>
      <c r="BV71">
        <f>IF($BU71="","",MID($BU71,4,FIND("~",SUBSTITUTE($BU71,"-","~",2))-4))</f>
        <v/>
      </c>
      <c r="BW71">
        <f>IF($BU71="","",MID($BU71,FIND("~",SUBSTITUTE($BU71,"-","~",2))+1,FIND("~",SUBSTITUTE($BU71,"-","~",3))-FIND("~",SUBSTITUTE($BU71,"-","~",2))-1))</f>
        <v/>
      </c>
      <c r="BX71">
        <f>IF($BV71="","",IFERROR(VLOOKUP($BV71,DECODE!$A$3:$C$8,3,FALSE),"?"))</f>
        <v/>
      </c>
      <c r="BY71">
        <f>IF($BW71="","",IFERROR(VLOOKUP($BV71&amp;"-"&amp;$BW71,DECODE!$E$3:$F$21,2,FALSE),"?"))</f>
        <v/>
      </c>
      <c r="BZ71">
        <f>IF($BU71="","",IFERROR(VALUE(RIGHT($BU71,3)),""))</f>
        <v/>
      </c>
      <c r="CA71">
        <f>IF($X71="","",IFERROR(IF(ISNUMBER($X71),$X71,DATEVALUE(TRIM($X71))),""))</f>
        <v/>
      </c>
      <c r="CB71">
        <f>IF($CA71="","",IF(MONTH($CA71)&gt;=12,"Cold Winter",IF(MONTH($CA71)&gt;=10,"Post-Monsoon",IF(MONTH($CA71)&gt;=6,"Hot Humid",IF(MONTH($CA71)&gt;=3,"Hot Dry","Cold Winter")))))</f>
        <v/>
      </c>
      <c r="CC71">
        <f>IF($BV71="","",IFERROR(VLOOKUP($BV71,DECODE!$A$3:$C$8,2,FALSE),"?"))</f>
        <v/>
      </c>
      <c r="CD71">
        <f>IF($S71="","",UPPER(TRIM(LEFT($S71&amp;",",FIND(",",$S71&amp;",")-1))))</f>
        <v/>
      </c>
      <c r="CE71">
        <f>IF($CD71="","",MID($CD71,4,FIND("~",SUBSTITUTE($CD71,"-","~",2))-4))</f>
        <v/>
      </c>
      <c r="CF71">
        <f>IF($CD71="","",MID($CD71,FIND("~",SUBSTITUTE($CD71,"-","~",2))+1,FIND("~",SUBSTITUTE($CD71,"-","~",3))-FIND("~",SUBSTITUTE($CD71,"-","~",2))-1))</f>
        <v/>
      </c>
      <c r="CG71">
        <f>IF($CE71="","",IFERROR(VLOOKUP($CE71,DECODE!$A$3:$C$8,3,FALSE),"?"))</f>
        <v/>
      </c>
      <c r="CH71">
        <f>IF($CF71="","",IFERROR(VLOOKUP($CE71&amp;"-"&amp;$CF71,DECODE!$E$3:$F$21,2,FALSE),"?"))</f>
        <v/>
      </c>
      <c r="CI71">
        <f>IF($CD71="","",IFERROR(VALUE(RIGHT($CD71,3)),""))</f>
        <v/>
      </c>
      <c r="CJ71">
        <f>IF($Y71="","",IFERROR(IF(ISNUMBER($Y71),$Y71,DATEVALUE(TRIM($Y71))),""))</f>
        <v/>
      </c>
      <c r="CK71">
        <f>IF($CJ71="","",IF(MONTH($CJ71)&gt;=12,"Cold Winter",IF(MONTH($CJ71)&gt;=10,"Post-Monsoon",IF(MONTH($CJ71)&gt;=6,"Hot Humid",IF(MONTH($CJ71)&gt;=3,"Hot Dry","Cold Winter")))))</f>
        <v/>
      </c>
      <c r="CL71">
        <f>IF($CE71="","",IFERROR(VLOOKUP($CE71,DECODE!$A$3:$C$8,2,FALSE),"?"))</f>
        <v/>
      </c>
      <c r="CM71">
        <f>IF($AN71="","",AN71)</f>
        <v/>
      </c>
      <c r="CN71">
        <f>IF($AO71="","",AO71)</f>
        <v/>
      </c>
      <c r="CO71">
        <f>IF($AP71="","",AP71)</f>
        <v/>
      </c>
      <c r="CP71">
        <f>IF($CM71="","",IF($CM71="Aloe Vera Gel","Aloe Vera Gel "&amp;$CO71&amp;"g",CN71&amp;" "&amp;$CO71&amp;"g"))</f>
        <v/>
      </c>
      <c r="CQ71">
        <f>IF($AT71="",0,1)</f>
        <v/>
      </c>
      <c r="CR71">
        <f>IF($CQ71=0,"",AW71)</f>
        <v/>
      </c>
      <c r="CS71">
        <f>IF($CQ71=0,"",AX71)</f>
        <v/>
      </c>
      <c r="CT71">
        <f>IF($CQ71=0,"",AY71)</f>
        <v/>
      </c>
      <c r="CU71">
        <f>IF($CR71="","",IF($CR71="Aloe Vera Gel","Aloe Vera Gel "&amp;$CT71&amp;"g",CS71&amp;" "&amp;$CT71&amp;"g"))</f>
        <v/>
      </c>
      <c r="CV71">
        <f>IF($CQ71=0,"",IF($CP71=$CU71,"Repeat Exact",IF($CT71&gt;$CO71,"Upsized",IF($CT71&lt;$CO71,"Downsized",IF($CM71&lt;&gt;$CR71,"Lateral","Same Size Diff Variant")))))</f>
        <v/>
      </c>
      <c r="CW71">
        <f>IF($CQ71=0,"",AZ71-AQ71)</f>
        <v/>
      </c>
      <c r="CX71">
        <f>IF($CQ71=0,0,IF(CS71=CN71,1,0))</f>
        <v/>
      </c>
      <c r="CY71">
        <f>IF($CQ71=0,0,IF(CR71=CM71,1,0))</f>
        <v/>
      </c>
      <c r="CZ71">
        <f>IF($A71="","",IF(AND(IF(DASHBOARD!$C$4="All",TRUE,$CM71=DASHBOARD!$C$4),IF(DASHBOARD!$C$6="All",TRUE,$CP71=DASHBOARD!$C$6),IF(DASHBOARD!$C$8="All",TRUE,$AF71&gt;=DASHBOARD!$C$8),IF(DASHBOARD!$C$10="All",TRUE,$AF71&lt;=DASHBOARD!$C$10),IF(DASHBOARD!$C$12="All",TRUE,$AH71=VALUE(DASHBOARD!$C$12)),IF(DASHBOARD!$C$14="All",TRUE,$AJ71=DASHBOARD!$C$14)),1,0))</f>
        <v/>
      </c>
    </row>
    <row r="72">
      <c r="A72" t="n">
        <v>45904</v>
      </c>
      <c r="B72" t="inlineStr">
        <is>
          <t>Face Malai</t>
        </is>
      </c>
      <c r="H72" t="inlineStr">
        <is>
          <t>Flax Carrot (Hot Humid) 35+ Face Malai - 30g, GreenApple Tulsi (Hot Humid) 13 - 19 Yrs Face Malai</t>
        </is>
      </c>
      <c r="N72" t="inlineStr">
        <is>
          <t>FC-HHDM-GAT-030, FC-HHDM-FC-030</t>
        </is>
      </c>
      <c r="T72" t="inlineStr">
        <is>
          <t>May 3, 2024</t>
        </is>
      </c>
      <c r="AE72" t="inlineStr">
        <is>
          <t>Gurgaon</t>
        </is>
      </c>
      <c r="AF72" t="inlineStr">
        <is>
          <t>2024-05</t>
        </is>
      </c>
      <c r="AG72" t="n">
        <v>5</v>
      </c>
      <c r="AH72" t="n">
        <v>1</v>
      </c>
      <c r="AI72" t="n">
        <v>0</v>
      </c>
      <c r="AJ72">
        <f>IF($AE72="","",IFERROR(VLOOKUP(TRIM($AE72),DECODE!$H$3:$I$60,2,FALSE),"Rest of India"))</f>
        <v/>
      </c>
      <c r="AK72">
        <f>IF($N72="","",UPPER(TRIM(LEFT($N72&amp;",",FIND(",",$N72&amp;",")-1))))</f>
        <v/>
      </c>
      <c r="AL72">
        <f>IF($AK72="","",MID($AK72,4,FIND("~",SUBSTITUTE($AK72,"-","~",2))-4))</f>
        <v/>
      </c>
      <c r="AM72">
        <f>IF($AK72="","",MID($AK72,FIND("~",SUBSTITUTE($AK72,"-","~",2))+1,FIND("~",SUBSTITUTE($AK72,"-","~",3))-FIND("~",SUBSTITUTE($AK72,"-","~",2))-1))</f>
        <v/>
      </c>
      <c r="AN72">
        <f>IF($AL72="","",IFERROR(VLOOKUP($AL72,DECODE!$A$3:$C$8,3,FALSE),"?"))</f>
        <v/>
      </c>
      <c r="AO72">
        <f>IF($AM72="","",IFERROR(VLOOKUP($AL72&amp;"-"&amp;$AM72,DECODE!$E$3:$F$21,2,FALSE),"?"))</f>
        <v/>
      </c>
      <c r="AP72">
        <f>IF($AK72="","",IFERROR(VALUE(RIGHT($AK72,3)),""))</f>
        <v/>
      </c>
      <c r="AQ72">
        <f>IF($T72="","",IFERROR(IF(ISNUMBER($T72),$T72,DATEVALUE(TRIM($T72))),""))</f>
        <v/>
      </c>
      <c r="AR72">
        <f>IF($AQ72="","",IF(MONTH($AQ72)&gt;=12,"Cold Winter",IF(MONTH($AQ72)&gt;=10,"Post-Monsoon",IF(MONTH($AQ72)&gt;=6,"Hot Humid",IF(MONTH($AQ72)&gt;=3,"Hot Dry","Cold Winter")))))</f>
        <v/>
      </c>
      <c r="AS72">
        <f>IF($AL72="","",IFERROR(VLOOKUP($AL72,DECODE!$A$3:$C$8,2,FALSE),"?"))</f>
        <v/>
      </c>
      <c r="AT72">
        <f>IF($O72="","",UPPER(TRIM(LEFT($O72&amp;",",FIND(",",$O72&amp;",")-1))))</f>
        <v/>
      </c>
      <c r="AU72">
        <f>IF($AT72="","",MID($AT72,4,FIND("~",SUBSTITUTE($AT72,"-","~",2))-4))</f>
        <v/>
      </c>
      <c r="AV72">
        <f>IF($AT72="","",MID($AT72,FIND("~",SUBSTITUTE($AT72,"-","~",2))+1,FIND("~",SUBSTITUTE($AT72,"-","~",3))-FIND("~",SUBSTITUTE($AT72,"-","~",2))-1))</f>
        <v/>
      </c>
      <c r="AW72">
        <f>IF($AU72="","",IFERROR(VLOOKUP($AU72,DECODE!$A$3:$C$8,3,FALSE),"?"))</f>
        <v/>
      </c>
      <c r="AX72">
        <f>IF($AV72="","",IFERROR(VLOOKUP($AU72&amp;"-"&amp;$AV72,DECODE!$E$3:$F$21,2,FALSE),"?"))</f>
        <v/>
      </c>
      <c r="AY72">
        <f>IF($AT72="","",IFERROR(VALUE(RIGHT($AT72,3)),""))</f>
        <v/>
      </c>
      <c r="AZ72">
        <f>IF($U72="","",IFERROR(IF(ISNUMBER($U72),$U72,DATEVALUE(TRIM($U72))),""))</f>
        <v/>
      </c>
      <c r="BA72">
        <f>IF($AZ72="","",IF(MONTH($AZ72)&gt;=12,"Cold Winter",IF(MONTH($AZ72)&gt;=10,"Post-Monsoon",IF(MONTH($AZ72)&gt;=6,"Hot Humid",IF(MONTH($AZ72)&gt;=3,"Hot Dry","Cold Winter")))))</f>
        <v/>
      </c>
      <c r="BB72">
        <f>IF($AU72="","",IFERROR(VLOOKUP($AU72,DECODE!$A$3:$C$8,2,FALSE),"?"))</f>
        <v/>
      </c>
      <c r="BC72">
        <f>IF($P72="","",UPPER(TRIM(LEFT($P72&amp;",",FIND(",",$P72&amp;",")-1))))</f>
        <v/>
      </c>
      <c r="BD72">
        <f>IF($BC72="","",MID($BC72,4,FIND("~",SUBSTITUTE($BC72,"-","~",2))-4))</f>
        <v/>
      </c>
      <c r="BE72">
        <f>IF($BC72="","",MID($BC72,FIND("~",SUBSTITUTE($BC72,"-","~",2))+1,FIND("~",SUBSTITUTE($BC72,"-","~",3))-FIND("~",SUBSTITUTE($BC72,"-","~",2))-1))</f>
        <v/>
      </c>
      <c r="BF72">
        <f>IF($BD72="","",IFERROR(VLOOKUP($BD72,DECODE!$A$3:$C$8,3,FALSE),"?"))</f>
        <v/>
      </c>
      <c r="BG72">
        <f>IF($BE72="","",IFERROR(VLOOKUP($BD72&amp;"-"&amp;$BE72,DECODE!$E$3:$F$21,2,FALSE),"?"))</f>
        <v/>
      </c>
      <c r="BH72">
        <f>IF($BC72="","",IFERROR(VALUE(RIGHT($BC72,3)),""))</f>
        <v/>
      </c>
      <c r="BI72">
        <f>IF($V72="","",IFERROR(IF(ISNUMBER($V72),$V72,DATEVALUE(TRIM($V72))),""))</f>
        <v/>
      </c>
      <c r="BJ72">
        <f>IF($BI72="","",IF(MONTH($BI72)&gt;=12,"Cold Winter",IF(MONTH($BI72)&gt;=10,"Post-Monsoon",IF(MONTH($BI72)&gt;=6,"Hot Humid",IF(MONTH($BI72)&gt;=3,"Hot Dry","Cold Winter")))))</f>
        <v/>
      </c>
      <c r="BK72">
        <f>IF($BD72="","",IFERROR(VLOOKUP($BD72,DECODE!$A$3:$C$8,2,FALSE),"?"))</f>
        <v/>
      </c>
      <c r="BL72">
        <f>IF($Q72="","",UPPER(TRIM(LEFT($Q72&amp;",",FIND(",",$Q72&amp;",")-1))))</f>
        <v/>
      </c>
      <c r="BM72">
        <f>IF($BL72="","",MID($BL72,4,FIND("~",SUBSTITUTE($BL72,"-","~",2))-4))</f>
        <v/>
      </c>
      <c r="BN72">
        <f>IF($BL72="","",MID($BL72,FIND("~",SUBSTITUTE($BL72,"-","~",2))+1,FIND("~",SUBSTITUTE($BL72,"-","~",3))-FIND("~",SUBSTITUTE($BL72,"-","~",2))-1))</f>
        <v/>
      </c>
      <c r="BO72">
        <f>IF($BM72="","",IFERROR(VLOOKUP($BM72,DECODE!$A$3:$C$8,3,FALSE),"?"))</f>
        <v/>
      </c>
      <c r="BP72">
        <f>IF($BN72="","",IFERROR(VLOOKUP($BM72&amp;"-"&amp;$BN72,DECODE!$E$3:$F$21,2,FALSE),"?"))</f>
        <v/>
      </c>
      <c r="BQ72">
        <f>IF($BL72="","",IFERROR(VALUE(RIGHT($BL72,3)),""))</f>
        <v/>
      </c>
      <c r="BR72">
        <f>IF($W72="","",IFERROR(IF(ISNUMBER($W72),$W72,DATEVALUE(TRIM($W72))),""))</f>
        <v/>
      </c>
      <c r="BS72">
        <f>IF($BR72="","",IF(MONTH($BR72)&gt;=12,"Cold Winter",IF(MONTH($BR72)&gt;=10,"Post-Monsoon",IF(MONTH($BR72)&gt;=6,"Hot Humid",IF(MONTH($BR72)&gt;=3,"Hot Dry","Cold Winter")))))</f>
        <v/>
      </c>
      <c r="BT72">
        <f>IF($BM72="","",IFERROR(VLOOKUP($BM72,DECODE!$A$3:$C$8,2,FALSE),"?"))</f>
        <v/>
      </c>
      <c r="BU72">
        <f>IF($R72="","",UPPER(TRIM(LEFT($R72&amp;",",FIND(",",$R72&amp;",")-1))))</f>
        <v/>
      </c>
      <c r="BV72">
        <f>IF($BU72="","",MID($BU72,4,FIND("~",SUBSTITUTE($BU72,"-","~",2))-4))</f>
        <v/>
      </c>
      <c r="BW72">
        <f>IF($BU72="","",MID($BU72,FIND("~",SUBSTITUTE($BU72,"-","~",2))+1,FIND("~",SUBSTITUTE($BU72,"-","~",3))-FIND("~",SUBSTITUTE($BU72,"-","~",2))-1))</f>
        <v/>
      </c>
      <c r="BX72">
        <f>IF($BV72="","",IFERROR(VLOOKUP($BV72,DECODE!$A$3:$C$8,3,FALSE),"?"))</f>
        <v/>
      </c>
      <c r="BY72">
        <f>IF($BW72="","",IFERROR(VLOOKUP($BV72&amp;"-"&amp;$BW72,DECODE!$E$3:$F$21,2,FALSE),"?"))</f>
        <v/>
      </c>
      <c r="BZ72">
        <f>IF($BU72="","",IFERROR(VALUE(RIGHT($BU72,3)),""))</f>
        <v/>
      </c>
      <c r="CA72">
        <f>IF($X72="","",IFERROR(IF(ISNUMBER($X72),$X72,DATEVALUE(TRIM($X72))),""))</f>
        <v/>
      </c>
      <c r="CB72">
        <f>IF($CA72="","",IF(MONTH($CA72)&gt;=12,"Cold Winter",IF(MONTH($CA72)&gt;=10,"Post-Monsoon",IF(MONTH($CA72)&gt;=6,"Hot Humid",IF(MONTH($CA72)&gt;=3,"Hot Dry","Cold Winter")))))</f>
        <v/>
      </c>
      <c r="CC72">
        <f>IF($BV72="","",IFERROR(VLOOKUP($BV72,DECODE!$A$3:$C$8,2,FALSE),"?"))</f>
        <v/>
      </c>
      <c r="CD72">
        <f>IF($S72="","",UPPER(TRIM(LEFT($S72&amp;",",FIND(",",$S72&amp;",")-1))))</f>
        <v/>
      </c>
      <c r="CE72">
        <f>IF($CD72="","",MID($CD72,4,FIND("~",SUBSTITUTE($CD72,"-","~",2))-4))</f>
        <v/>
      </c>
      <c r="CF72">
        <f>IF($CD72="","",MID($CD72,FIND("~",SUBSTITUTE($CD72,"-","~",2))+1,FIND("~",SUBSTITUTE($CD72,"-","~",3))-FIND("~",SUBSTITUTE($CD72,"-","~",2))-1))</f>
        <v/>
      </c>
      <c r="CG72">
        <f>IF($CE72="","",IFERROR(VLOOKUP($CE72,DECODE!$A$3:$C$8,3,FALSE),"?"))</f>
        <v/>
      </c>
      <c r="CH72">
        <f>IF($CF72="","",IFERROR(VLOOKUP($CE72&amp;"-"&amp;$CF72,DECODE!$E$3:$F$21,2,FALSE),"?"))</f>
        <v/>
      </c>
      <c r="CI72">
        <f>IF($CD72="","",IFERROR(VALUE(RIGHT($CD72,3)),""))</f>
        <v/>
      </c>
      <c r="CJ72">
        <f>IF($Y72="","",IFERROR(IF(ISNUMBER($Y72),$Y72,DATEVALUE(TRIM($Y72))),""))</f>
        <v/>
      </c>
      <c r="CK72">
        <f>IF($CJ72="","",IF(MONTH($CJ72)&gt;=12,"Cold Winter",IF(MONTH($CJ72)&gt;=10,"Post-Monsoon",IF(MONTH($CJ72)&gt;=6,"Hot Humid",IF(MONTH($CJ72)&gt;=3,"Hot Dry","Cold Winter")))))</f>
        <v/>
      </c>
      <c r="CL72">
        <f>IF($CE72="","",IFERROR(VLOOKUP($CE72,DECODE!$A$3:$C$8,2,FALSE),"?"))</f>
        <v/>
      </c>
      <c r="CM72">
        <f>IF($AN72="","",AN72)</f>
        <v/>
      </c>
      <c r="CN72">
        <f>IF($AO72="","",AO72)</f>
        <v/>
      </c>
      <c r="CO72">
        <f>IF($AP72="","",AP72)</f>
        <v/>
      </c>
      <c r="CP72">
        <f>IF($CM72="","",IF($CM72="Aloe Vera Gel","Aloe Vera Gel "&amp;$CO72&amp;"g",CN72&amp;" "&amp;$CO72&amp;"g"))</f>
        <v/>
      </c>
      <c r="CQ72">
        <f>IF($AT72="",0,1)</f>
        <v/>
      </c>
      <c r="CR72">
        <f>IF($CQ72=0,"",AW72)</f>
        <v/>
      </c>
      <c r="CS72">
        <f>IF($CQ72=0,"",AX72)</f>
        <v/>
      </c>
      <c r="CT72">
        <f>IF($CQ72=0,"",AY72)</f>
        <v/>
      </c>
      <c r="CU72">
        <f>IF($CR72="","",IF($CR72="Aloe Vera Gel","Aloe Vera Gel "&amp;$CT72&amp;"g",CS72&amp;" "&amp;$CT72&amp;"g"))</f>
        <v/>
      </c>
      <c r="CV72">
        <f>IF($CQ72=0,"",IF($CP72=$CU72,"Repeat Exact",IF($CT72&gt;$CO72,"Upsized",IF($CT72&lt;$CO72,"Downsized",IF($CM72&lt;&gt;$CR72,"Lateral","Same Size Diff Variant")))))</f>
        <v/>
      </c>
      <c r="CW72">
        <f>IF($CQ72=0,"",AZ72-AQ72)</f>
        <v/>
      </c>
      <c r="CX72">
        <f>IF($CQ72=0,0,IF(CS72=CN72,1,0))</f>
        <v/>
      </c>
      <c r="CY72">
        <f>IF($CQ72=0,0,IF(CR72=CM72,1,0))</f>
        <v/>
      </c>
      <c r="CZ72">
        <f>IF($A72="","",IF(AND(IF(DASHBOARD!$C$4="All",TRUE,$CM72=DASHBOARD!$C$4),IF(DASHBOARD!$C$6="All",TRUE,$CP72=DASHBOARD!$C$6),IF(DASHBOARD!$C$8="All",TRUE,$AF72&gt;=DASHBOARD!$C$8),IF(DASHBOARD!$C$10="All",TRUE,$AF72&lt;=DASHBOARD!$C$10),IF(DASHBOARD!$C$12="All",TRUE,$AH72=VALUE(DASHBOARD!$C$12)),IF(DASHBOARD!$C$14="All",TRUE,$AJ72=DASHBOARD!$C$14)),1,0))</f>
        <v/>
      </c>
    </row>
    <row r="73">
      <c r="A73" t="n">
        <v>46096</v>
      </c>
      <c r="B73" t="inlineStr">
        <is>
          <t>Aloe Vera Gel</t>
        </is>
      </c>
      <c r="H73" t="inlineStr">
        <is>
          <t>Aloe Vera Gel - 40 gms</t>
        </is>
      </c>
      <c r="N73" t="inlineStr">
        <is>
          <t>FC-HG-PA-040</t>
        </is>
      </c>
      <c r="T73" t="inlineStr">
        <is>
          <t>Apr 24, 2024</t>
        </is>
      </c>
      <c r="AE73" t="inlineStr">
        <is>
          <t>Gurgaon</t>
        </is>
      </c>
      <c r="AF73" t="inlineStr">
        <is>
          <t>2024-04</t>
        </is>
      </c>
      <c r="AG73" t="n">
        <v>4</v>
      </c>
      <c r="AH73" t="n">
        <v>1</v>
      </c>
      <c r="AI73" t="n">
        <v>0</v>
      </c>
      <c r="AJ73">
        <f>IF($AE73="","",IFERROR(VLOOKUP(TRIM($AE73),DECODE!$H$3:$I$60,2,FALSE),"Rest of India"))</f>
        <v/>
      </c>
      <c r="AK73">
        <f>IF($N73="","",UPPER(TRIM(LEFT($N73&amp;",",FIND(",",$N73&amp;",")-1))))</f>
        <v/>
      </c>
      <c r="AL73">
        <f>IF($AK73="","",MID($AK73,4,FIND("~",SUBSTITUTE($AK73,"-","~",2))-4))</f>
        <v/>
      </c>
      <c r="AM73">
        <f>IF($AK73="","",MID($AK73,FIND("~",SUBSTITUTE($AK73,"-","~",2))+1,FIND("~",SUBSTITUTE($AK73,"-","~",3))-FIND("~",SUBSTITUTE($AK73,"-","~",2))-1))</f>
        <v/>
      </c>
      <c r="AN73">
        <f>IF($AL73="","",IFERROR(VLOOKUP($AL73,DECODE!$A$3:$C$8,3,FALSE),"?"))</f>
        <v/>
      </c>
      <c r="AO73">
        <f>IF($AM73="","",IFERROR(VLOOKUP($AL73&amp;"-"&amp;$AM73,DECODE!$E$3:$F$21,2,FALSE),"?"))</f>
        <v/>
      </c>
      <c r="AP73">
        <f>IF($AK73="","",IFERROR(VALUE(RIGHT($AK73,3)),""))</f>
        <v/>
      </c>
      <c r="AQ73">
        <f>IF($T73="","",IFERROR(IF(ISNUMBER($T73),$T73,DATEVALUE(TRIM($T73))),""))</f>
        <v/>
      </c>
      <c r="AR73">
        <f>IF($AQ73="","",IF(MONTH($AQ73)&gt;=12,"Cold Winter",IF(MONTH($AQ73)&gt;=10,"Post-Monsoon",IF(MONTH($AQ73)&gt;=6,"Hot Humid",IF(MONTH($AQ73)&gt;=3,"Hot Dry","Cold Winter")))))</f>
        <v/>
      </c>
      <c r="AS73">
        <f>IF($AL73="","",IFERROR(VLOOKUP($AL73,DECODE!$A$3:$C$8,2,FALSE),"?"))</f>
        <v/>
      </c>
      <c r="AT73">
        <f>IF($O73="","",UPPER(TRIM(LEFT($O73&amp;",",FIND(",",$O73&amp;",")-1))))</f>
        <v/>
      </c>
      <c r="AU73">
        <f>IF($AT73="","",MID($AT73,4,FIND("~",SUBSTITUTE($AT73,"-","~",2))-4))</f>
        <v/>
      </c>
      <c r="AV73">
        <f>IF($AT73="","",MID($AT73,FIND("~",SUBSTITUTE($AT73,"-","~",2))+1,FIND("~",SUBSTITUTE($AT73,"-","~",3))-FIND("~",SUBSTITUTE($AT73,"-","~",2))-1))</f>
        <v/>
      </c>
      <c r="AW73">
        <f>IF($AU73="","",IFERROR(VLOOKUP($AU73,DECODE!$A$3:$C$8,3,FALSE),"?"))</f>
        <v/>
      </c>
      <c r="AX73">
        <f>IF($AV73="","",IFERROR(VLOOKUP($AU73&amp;"-"&amp;$AV73,DECODE!$E$3:$F$21,2,FALSE),"?"))</f>
        <v/>
      </c>
      <c r="AY73">
        <f>IF($AT73="","",IFERROR(VALUE(RIGHT($AT73,3)),""))</f>
        <v/>
      </c>
      <c r="AZ73">
        <f>IF($U73="","",IFERROR(IF(ISNUMBER($U73),$U73,DATEVALUE(TRIM($U73))),""))</f>
        <v/>
      </c>
      <c r="BA73">
        <f>IF($AZ73="","",IF(MONTH($AZ73)&gt;=12,"Cold Winter",IF(MONTH($AZ73)&gt;=10,"Post-Monsoon",IF(MONTH($AZ73)&gt;=6,"Hot Humid",IF(MONTH($AZ73)&gt;=3,"Hot Dry","Cold Winter")))))</f>
        <v/>
      </c>
      <c r="BB73">
        <f>IF($AU73="","",IFERROR(VLOOKUP($AU73,DECODE!$A$3:$C$8,2,FALSE),"?"))</f>
        <v/>
      </c>
      <c r="BC73">
        <f>IF($P73="","",UPPER(TRIM(LEFT($P73&amp;",",FIND(",",$P73&amp;",")-1))))</f>
        <v/>
      </c>
      <c r="BD73">
        <f>IF($BC73="","",MID($BC73,4,FIND("~",SUBSTITUTE($BC73,"-","~",2))-4))</f>
        <v/>
      </c>
      <c r="BE73">
        <f>IF($BC73="","",MID($BC73,FIND("~",SUBSTITUTE($BC73,"-","~",2))+1,FIND("~",SUBSTITUTE($BC73,"-","~",3))-FIND("~",SUBSTITUTE($BC73,"-","~",2))-1))</f>
        <v/>
      </c>
      <c r="BF73">
        <f>IF($BD73="","",IFERROR(VLOOKUP($BD73,DECODE!$A$3:$C$8,3,FALSE),"?"))</f>
        <v/>
      </c>
      <c r="BG73">
        <f>IF($BE73="","",IFERROR(VLOOKUP($BD73&amp;"-"&amp;$BE73,DECODE!$E$3:$F$21,2,FALSE),"?"))</f>
        <v/>
      </c>
      <c r="BH73">
        <f>IF($BC73="","",IFERROR(VALUE(RIGHT($BC73,3)),""))</f>
        <v/>
      </c>
      <c r="BI73">
        <f>IF($V73="","",IFERROR(IF(ISNUMBER($V73),$V73,DATEVALUE(TRIM($V73))),""))</f>
        <v/>
      </c>
      <c r="BJ73">
        <f>IF($BI73="","",IF(MONTH($BI73)&gt;=12,"Cold Winter",IF(MONTH($BI73)&gt;=10,"Post-Monsoon",IF(MONTH($BI73)&gt;=6,"Hot Humid",IF(MONTH($BI73)&gt;=3,"Hot Dry","Cold Winter")))))</f>
        <v/>
      </c>
      <c r="BK73">
        <f>IF($BD73="","",IFERROR(VLOOKUP($BD73,DECODE!$A$3:$C$8,2,FALSE),"?"))</f>
        <v/>
      </c>
      <c r="BL73">
        <f>IF($Q73="","",UPPER(TRIM(LEFT($Q73&amp;",",FIND(",",$Q73&amp;",")-1))))</f>
        <v/>
      </c>
      <c r="BM73">
        <f>IF($BL73="","",MID($BL73,4,FIND("~",SUBSTITUTE($BL73,"-","~",2))-4))</f>
        <v/>
      </c>
      <c r="BN73">
        <f>IF($BL73="","",MID($BL73,FIND("~",SUBSTITUTE($BL73,"-","~",2))+1,FIND("~",SUBSTITUTE($BL73,"-","~",3))-FIND("~",SUBSTITUTE($BL73,"-","~",2))-1))</f>
        <v/>
      </c>
      <c r="BO73">
        <f>IF($BM73="","",IFERROR(VLOOKUP($BM73,DECODE!$A$3:$C$8,3,FALSE),"?"))</f>
        <v/>
      </c>
      <c r="BP73">
        <f>IF($BN73="","",IFERROR(VLOOKUP($BM73&amp;"-"&amp;$BN73,DECODE!$E$3:$F$21,2,FALSE),"?"))</f>
        <v/>
      </c>
      <c r="BQ73">
        <f>IF($BL73="","",IFERROR(VALUE(RIGHT($BL73,3)),""))</f>
        <v/>
      </c>
      <c r="BR73">
        <f>IF($W73="","",IFERROR(IF(ISNUMBER($W73),$W73,DATEVALUE(TRIM($W73))),""))</f>
        <v/>
      </c>
      <c r="BS73">
        <f>IF($BR73="","",IF(MONTH($BR73)&gt;=12,"Cold Winter",IF(MONTH($BR73)&gt;=10,"Post-Monsoon",IF(MONTH($BR73)&gt;=6,"Hot Humid",IF(MONTH($BR73)&gt;=3,"Hot Dry","Cold Winter")))))</f>
        <v/>
      </c>
      <c r="BT73">
        <f>IF($BM73="","",IFERROR(VLOOKUP($BM73,DECODE!$A$3:$C$8,2,FALSE),"?"))</f>
        <v/>
      </c>
      <c r="BU73">
        <f>IF($R73="","",UPPER(TRIM(LEFT($R73&amp;",",FIND(",",$R73&amp;",")-1))))</f>
        <v/>
      </c>
      <c r="BV73">
        <f>IF($BU73="","",MID($BU73,4,FIND("~",SUBSTITUTE($BU73,"-","~",2))-4))</f>
        <v/>
      </c>
      <c r="BW73">
        <f>IF($BU73="","",MID($BU73,FIND("~",SUBSTITUTE($BU73,"-","~",2))+1,FIND("~",SUBSTITUTE($BU73,"-","~",3))-FIND("~",SUBSTITUTE($BU73,"-","~",2))-1))</f>
        <v/>
      </c>
      <c r="BX73">
        <f>IF($BV73="","",IFERROR(VLOOKUP($BV73,DECODE!$A$3:$C$8,3,FALSE),"?"))</f>
        <v/>
      </c>
      <c r="BY73">
        <f>IF($BW73="","",IFERROR(VLOOKUP($BV73&amp;"-"&amp;$BW73,DECODE!$E$3:$F$21,2,FALSE),"?"))</f>
        <v/>
      </c>
      <c r="BZ73">
        <f>IF($BU73="","",IFERROR(VALUE(RIGHT($BU73,3)),""))</f>
        <v/>
      </c>
      <c r="CA73">
        <f>IF($X73="","",IFERROR(IF(ISNUMBER($X73),$X73,DATEVALUE(TRIM($X73))),""))</f>
        <v/>
      </c>
      <c r="CB73">
        <f>IF($CA73="","",IF(MONTH($CA73)&gt;=12,"Cold Winter",IF(MONTH($CA73)&gt;=10,"Post-Monsoon",IF(MONTH($CA73)&gt;=6,"Hot Humid",IF(MONTH($CA73)&gt;=3,"Hot Dry","Cold Winter")))))</f>
        <v/>
      </c>
      <c r="CC73">
        <f>IF($BV73="","",IFERROR(VLOOKUP($BV73,DECODE!$A$3:$C$8,2,FALSE),"?"))</f>
        <v/>
      </c>
      <c r="CD73">
        <f>IF($S73="","",UPPER(TRIM(LEFT($S73&amp;",",FIND(",",$S73&amp;",")-1))))</f>
        <v/>
      </c>
      <c r="CE73">
        <f>IF($CD73="","",MID($CD73,4,FIND("~",SUBSTITUTE($CD73,"-","~",2))-4))</f>
        <v/>
      </c>
      <c r="CF73">
        <f>IF($CD73="","",MID($CD73,FIND("~",SUBSTITUTE($CD73,"-","~",2))+1,FIND("~",SUBSTITUTE($CD73,"-","~",3))-FIND("~",SUBSTITUTE($CD73,"-","~",2))-1))</f>
        <v/>
      </c>
      <c r="CG73">
        <f>IF($CE73="","",IFERROR(VLOOKUP($CE73,DECODE!$A$3:$C$8,3,FALSE),"?"))</f>
        <v/>
      </c>
      <c r="CH73">
        <f>IF($CF73="","",IFERROR(VLOOKUP($CE73&amp;"-"&amp;$CF73,DECODE!$E$3:$F$21,2,FALSE),"?"))</f>
        <v/>
      </c>
      <c r="CI73">
        <f>IF($CD73="","",IFERROR(VALUE(RIGHT($CD73,3)),""))</f>
        <v/>
      </c>
      <c r="CJ73">
        <f>IF($Y73="","",IFERROR(IF(ISNUMBER($Y73),$Y73,DATEVALUE(TRIM($Y73))),""))</f>
        <v/>
      </c>
      <c r="CK73">
        <f>IF($CJ73="","",IF(MONTH($CJ73)&gt;=12,"Cold Winter",IF(MONTH($CJ73)&gt;=10,"Post-Monsoon",IF(MONTH($CJ73)&gt;=6,"Hot Humid",IF(MONTH($CJ73)&gt;=3,"Hot Dry","Cold Winter")))))</f>
        <v/>
      </c>
      <c r="CL73">
        <f>IF($CE73="","",IFERROR(VLOOKUP($CE73,DECODE!$A$3:$C$8,2,FALSE),"?"))</f>
        <v/>
      </c>
      <c r="CM73">
        <f>IF($AN73="","",AN73)</f>
        <v/>
      </c>
      <c r="CN73">
        <f>IF($AO73="","",AO73)</f>
        <v/>
      </c>
      <c r="CO73">
        <f>IF($AP73="","",AP73)</f>
        <v/>
      </c>
      <c r="CP73">
        <f>IF($CM73="","",IF($CM73="Aloe Vera Gel","Aloe Vera Gel "&amp;$CO73&amp;"g",CN73&amp;" "&amp;$CO73&amp;"g"))</f>
        <v/>
      </c>
      <c r="CQ73">
        <f>IF($AT73="",0,1)</f>
        <v/>
      </c>
      <c r="CR73">
        <f>IF($CQ73=0,"",AW73)</f>
        <v/>
      </c>
      <c r="CS73">
        <f>IF($CQ73=0,"",AX73)</f>
        <v/>
      </c>
      <c r="CT73">
        <f>IF($CQ73=0,"",AY73)</f>
        <v/>
      </c>
      <c r="CU73">
        <f>IF($CR73="","",IF($CR73="Aloe Vera Gel","Aloe Vera Gel "&amp;$CT73&amp;"g",CS73&amp;" "&amp;$CT73&amp;"g"))</f>
        <v/>
      </c>
      <c r="CV73">
        <f>IF($CQ73=0,"",IF($CP73=$CU73,"Repeat Exact",IF($CT73&gt;$CO73,"Upsized",IF($CT73&lt;$CO73,"Downsized",IF($CM73&lt;&gt;$CR73,"Lateral","Same Size Diff Variant")))))</f>
        <v/>
      </c>
      <c r="CW73">
        <f>IF($CQ73=0,"",AZ73-AQ73)</f>
        <v/>
      </c>
      <c r="CX73">
        <f>IF($CQ73=0,0,IF(CS73=CN73,1,0))</f>
        <v/>
      </c>
      <c r="CY73">
        <f>IF($CQ73=0,0,IF(CR73=CM73,1,0))</f>
        <v/>
      </c>
      <c r="CZ73">
        <f>IF($A73="","",IF(AND(IF(DASHBOARD!$C$4="All",TRUE,$CM73=DASHBOARD!$C$4),IF(DASHBOARD!$C$6="All",TRUE,$CP73=DASHBOARD!$C$6),IF(DASHBOARD!$C$8="All",TRUE,$AF73&gt;=DASHBOARD!$C$8),IF(DASHBOARD!$C$10="All",TRUE,$AF73&lt;=DASHBOARD!$C$10),IF(DASHBOARD!$C$12="All",TRUE,$AH73=VALUE(DASHBOARD!$C$12)),IF(DASHBOARD!$C$14="All",TRUE,$AJ73=DASHBOARD!$C$14)),1,0))</f>
        <v/>
      </c>
    </row>
    <row r="74">
      <c r="A74" t="n">
        <v>46650</v>
      </c>
      <c r="B74" t="inlineStr">
        <is>
          <t>Aloe Vera Gel</t>
        </is>
      </c>
      <c r="H74" t="inlineStr">
        <is>
          <t>Aloe Vera Gel - 80 gms</t>
        </is>
      </c>
      <c r="N74" t="inlineStr">
        <is>
          <t>FC-HG-PA-080</t>
        </is>
      </c>
      <c r="T74" t="inlineStr">
        <is>
          <t>Aug 7, 2025</t>
        </is>
      </c>
      <c r="AE74" t="inlineStr">
        <is>
          <t>Chandigarh</t>
        </is>
      </c>
      <c r="AF74" t="inlineStr">
        <is>
          <t>2025-08</t>
        </is>
      </c>
      <c r="AG74" t="n">
        <v>8</v>
      </c>
      <c r="AH74" t="n">
        <v>1</v>
      </c>
      <c r="AI74" t="n">
        <v>0</v>
      </c>
      <c r="AJ74">
        <f>IF($AE74="","",IFERROR(VLOOKUP(TRIM($AE74),DECODE!$H$3:$I$60,2,FALSE),"Rest of India"))</f>
        <v/>
      </c>
      <c r="AK74">
        <f>IF($N74="","",UPPER(TRIM(LEFT($N74&amp;",",FIND(",",$N74&amp;",")-1))))</f>
        <v/>
      </c>
      <c r="AL74">
        <f>IF($AK74="","",MID($AK74,4,FIND("~",SUBSTITUTE($AK74,"-","~",2))-4))</f>
        <v/>
      </c>
      <c r="AM74">
        <f>IF($AK74="","",MID($AK74,FIND("~",SUBSTITUTE($AK74,"-","~",2))+1,FIND("~",SUBSTITUTE($AK74,"-","~",3))-FIND("~",SUBSTITUTE($AK74,"-","~",2))-1))</f>
        <v/>
      </c>
      <c r="AN74">
        <f>IF($AL74="","",IFERROR(VLOOKUP($AL74,DECODE!$A$3:$C$8,3,FALSE),"?"))</f>
        <v/>
      </c>
      <c r="AO74">
        <f>IF($AM74="","",IFERROR(VLOOKUP($AL74&amp;"-"&amp;$AM74,DECODE!$E$3:$F$21,2,FALSE),"?"))</f>
        <v/>
      </c>
      <c r="AP74">
        <f>IF($AK74="","",IFERROR(VALUE(RIGHT($AK74,3)),""))</f>
        <v/>
      </c>
      <c r="AQ74">
        <f>IF($T74="","",IFERROR(IF(ISNUMBER($T74),$T74,DATEVALUE(TRIM($T74))),""))</f>
        <v/>
      </c>
      <c r="AR74">
        <f>IF($AQ74="","",IF(MONTH($AQ74)&gt;=12,"Cold Winter",IF(MONTH($AQ74)&gt;=10,"Post-Monsoon",IF(MONTH($AQ74)&gt;=6,"Hot Humid",IF(MONTH($AQ74)&gt;=3,"Hot Dry","Cold Winter")))))</f>
        <v/>
      </c>
      <c r="AS74">
        <f>IF($AL74="","",IFERROR(VLOOKUP($AL74,DECODE!$A$3:$C$8,2,FALSE),"?"))</f>
        <v/>
      </c>
      <c r="AT74">
        <f>IF($O74="","",UPPER(TRIM(LEFT($O74&amp;",",FIND(",",$O74&amp;",")-1))))</f>
        <v/>
      </c>
      <c r="AU74">
        <f>IF($AT74="","",MID($AT74,4,FIND("~",SUBSTITUTE($AT74,"-","~",2))-4))</f>
        <v/>
      </c>
      <c r="AV74">
        <f>IF($AT74="","",MID($AT74,FIND("~",SUBSTITUTE($AT74,"-","~",2))+1,FIND("~",SUBSTITUTE($AT74,"-","~",3))-FIND("~",SUBSTITUTE($AT74,"-","~",2))-1))</f>
        <v/>
      </c>
      <c r="AW74">
        <f>IF($AU74="","",IFERROR(VLOOKUP($AU74,DECODE!$A$3:$C$8,3,FALSE),"?"))</f>
        <v/>
      </c>
      <c r="AX74">
        <f>IF($AV74="","",IFERROR(VLOOKUP($AU74&amp;"-"&amp;$AV74,DECODE!$E$3:$F$21,2,FALSE),"?"))</f>
        <v/>
      </c>
      <c r="AY74">
        <f>IF($AT74="","",IFERROR(VALUE(RIGHT($AT74,3)),""))</f>
        <v/>
      </c>
      <c r="AZ74">
        <f>IF($U74="","",IFERROR(IF(ISNUMBER($U74),$U74,DATEVALUE(TRIM($U74))),""))</f>
        <v/>
      </c>
      <c r="BA74">
        <f>IF($AZ74="","",IF(MONTH($AZ74)&gt;=12,"Cold Winter",IF(MONTH($AZ74)&gt;=10,"Post-Monsoon",IF(MONTH($AZ74)&gt;=6,"Hot Humid",IF(MONTH($AZ74)&gt;=3,"Hot Dry","Cold Winter")))))</f>
        <v/>
      </c>
      <c r="BB74">
        <f>IF($AU74="","",IFERROR(VLOOKUP($AU74,DECODE!$A$3:$C$8,2,FALSE),"?"))</f>
        <v/>
      </c>
      <c r="BC74">
        <f>IF($P74="","",UPPER(TRIM(LEFT($P74&amp;",",FIND(",",$P74&amp;",")-1))))</f>
        <v/>
      </c>
      <c r="BD74">
        <f>IF($BC74="","",MID($BC74,4,FIND("~",SUBSTITUTE($BC74,"-","~",2))-4))</f>
        <v/>
      </c>
      <c r="BE74">
        <f>IF($BC74="","",MID($BC74,FIND("~",SUBSTITUTE($BC74,"-","~",2))+1,FIND("~",SUBSTITUTE($BC74,"-","~",3))-FIND("~",SUBSTITUTE($BC74,"-","~",2))-1))</f>
        <v/>
      </c>
      <c r="BF74">
        <f>IF($BD74="","",IFERROR(VLOOKUP($BD74,DECODE!$A$3:$C$8,3,FALSE),"?"))</f>
        <v/>
      </c>
      <c r="BG74">
        <f>IF($BE74="","",IFERROR(VLOOKUP($BD74&amp;"-"&amp;$BE74,DECODE!$E$3:$F$21,2,FALSE),"?"))</f>
        <v/>
      </c>
      <c r="BH74">
        <f>IF($BC74="","",IFERROR(VALUE(RIGHT($BC74,3)),""))</f>
        <v/>
      </c>
      <c r="BI74">
        <f>IF($V74="","",IFERROR(IF(ISNUMBER($V74),$V74,DATEVALUE(TRIM($V74))),""))</f>
        <v/>
      </c>
      <c r="BJ74">
        <f>IF($BI74="","",IF(MONTH($BI74)&gt;=12,"Cold Winter",IF(MONTH($BI74)&gt;=10,"Post-Monsoon",IF(MONTH($BI74)&gt;=6,"Hot Humid",IF(MONTH($BI74)&gt;=3,"Hot Dry","Cold Winter")))))</f>
        <v/>
      </c>
      <c r="BK74">
        <f>IF($BD74="","",IFERROR(VLOOKUP($BD74,DECODE!$A$3:$C$8,2,FALSE),"?"))</f>
        <v/>
      </c>
      <c r="BL74">
        <f>IF($Q74="","",UPPER(TRIM(LEFT($Q74&amp;",",FIND(",",$Q74&amp;",")-1))))</f>
        <v/>
      </c>
      <c r="BM74">
        <f>IF($BL74="","",MID($BL74,4,FIND("~",SUBSTITUTE($BL74,"-","~",2))-4))</f>
        <v/>
      </c>
      <c r="BN74">
        <f>IF($BL74="","",MID($BL74,FIND("~",SUBSTITUTE($BL74,"-","~",2))+1,FIND("~",SUBSTITUTE($BL74,"-","~",3))-FIND("~",SUBSTITUTE($BL74,"-","~",2))-1))</f>
        <v/>
      </c>
      <c r="BO74">
        <f>IF($BM74="","",IFERROR(VLOOKUP($BM74,DECODE!$A$3:$C$8,3,FALSE),"?"))</f>
        <v/>
      </c>
      <c r="BP74">
        <f>IF($BN74="","",IFERROR(VLOOKUP($BM74&amp;"-"&amp;$BN74,DECODE!$E$3:$F$21,2,FALSE),"?"))</f>
        <v/>
      </c>
      <c r="BQ74">
        <f>IF($BL74="","",IFERROR(VALUE(RIGHT($BL74,3)),""))</f>
        <v/>
      </c>
      <c r="BR74">
        <f>IF($W74="","",IFERROR(IF(ISNUMBER($W74),$W74,DATEVALUE(TRIM($W74))),""))</f>
        <v/>
      </c>
      <c r="BS74">
        <f>IF($BR74="","",IF(MONTH($BR74)&gt;=12,"Cold Winter",IF(MONTH($BR74)&gt;=10,"Post-Monsoon",IF(MONTH($BR74)&gt;=6,"Hot Humid",IF(MONTH($BR74)&gt;=3,"Hot Dry","Cold Winter")))))</f>
        <v/>
      </c>
      <c r="BT74">
        <f>IF($BM74="","",IFERROR(VLOOKUP($BM74,DECODE!$A$3:$C$8,2,FALSE),"?"))</f>
        <v/>
      </c>
      <c r="BU74">
        <f>IF($R74="","",UPPER(TRIM(LEFT($R74&amp;",",FIND(",",$R74&amp;",")-1))))</f>
        <v/>
      </c>
      <c r="BV74">
        <f>IF($BU74="","",MID($BU74,4,FIND("~",SUBSTITUTE($BU74,"-","~",2))-4))</f>
        <v/>
      </c>
      <c r="BW74">
        <f>IF($BU74="","",MID($BU74,FIND("~",SUBSTITUTE($BU74,"-","~",2))+1,FIND("~",SUBSTITUTE($BU74,"-","~",3))-FIND("~",SUBSTITUTE($BU74,"-","~",2))-1))</f>
        <v/>
      </c>
      <c r="BX74">
        <f>IF($BV74="","",IFERROR(VLOOKUP($BV74,DECODE!$A$3:$C$8,3,FALSE),"?"))</f>
        <v/>
      </c>
      <c r="BY74">
        <f>IF($BW74="","",IFERROR(VLOOKUP($BV74&amp;"-"&amp;$BW74,DECODE!$E$3:$F$21,2,FALSE),"?"))</f>
        <v/>
      </c>
      <c r="BZ74">
        <f>IF($BU74="","",IFERROR(VALUE(RIGHT($BU74,3)),""))</f>
        <v/>
      </c>
      <c r="CA74">
        <f>IF($X74="","",IFERROR(IF(ISNUMBER($X74),$X74,DATEVALUE(TRIM($X74))),""))</f>
        <v/>
      </c>
      <c r="CB74">
        <f>IF($CA74="","",IF(MONTH($CA74)&gt;=12,"Cold Winter",IF(MONTH($CA74)&gt;=10,"Post-Monsoon",IF(MONTH($CA74)&gt;=6,"Hot Humid",IF(MONTH($CA74)&gt;=3,"Hot Dry","Cold Winter")))))</f>
        <v/>
      </c>
      <c r="CC74">
        <f>IF($BV74="","",IFERROR(VLOOKUP($BV74,DECODE!$A$3:$C$8,2,FALSE),"?"))</f>
        <v/>
      </c>
      <c r="CD74">
        <f>IF($S74="","",UPPER(TRIM(LEFT($S74&amp;",",FIND(",",$S74&amp;",")-1))))</f>
        <v/>
      </c>
      <c r="CE74">
        <f>IF($CD74="","",MID($CD74,4,FIND("~",SUBSTITUTE($CD74,"-","~",2))-4))</f>
        <v/>
      </c>
      <c r="CF74">
        <f>IF($CD74="","",MID($CD74,FIND("~",SUBSTITUTE($CD74,"-","~",2))+1,FIND("~",SUBSTITUTE($CD74,"-","~",3))-FIND("~",SUBSTITUTE($CD74,"-","~",2))-1))</f>
        <v/>
      </c>
      <c r="CG74">
        <f>IF($CE74="","",IFERROR(VLOOKUP($CE74,DECODE!$A$3:$C$8,3,FALSE),"?"))</f>
        <v/>
      </c>
      <c r="CH74">
        <f>IF($CF74="","",IFERROR(VLOOKUP($CE74&amp;"-"&amp;$CF74,DECODE!$E$3:$F$21,2,FALSE),"?"))</f>
        <v/>
      </c>
      <c r="CI74">
        <f>IF($CD74="","",IFERROR(VALUE(RIGHT($CD74,3)),""))</f>
        <v/>
      </c>
      <c r="CJ74">
        <f>IF($Y74="","",IFERROR(IF(ISNUMBER($Y74),$Y74,DATEVALUE(TRIM($Y74))),""))</f>
        <v/>
      </c>
      <c r="CK74">
        <f>IF($CJ74="","",IF(MONTH($CJ74)&gt;=12,"Cold Winter",IF(MONTH($CJ74)&gt;=10,"Post-Monsoon",IF(MONTH($CJ74)&gt;=6,"Hot Humid",IF(MONTH($CJ74)&gt;=3,"Hot Dry","Cold Winter")))))</f>
        <v/>
      </c>
      <c r="CL74">
        <f>IF($CE74="","",IFERROR(VLOOKUP($CE74,DECODE!$A$3:$C$8,2,FALSE),"?"))</f>
        <v/>
      </c>
      <c r="CM74">
        <f>IF($AN74="","",AN74)</f>
        <v/>
      </c>
      <c r="CN74">
        <f>IF($AO74="","",AO74)</f>
        <v/>
      </c>
      <c r="CO74">
        <f>IF($AP74="","",AP74)</f>
        <v/>
      </c>
      <c r="CP74">
        <f>IF($CM74="","",IF($CM74="Aloe Vera Gel","Aloe Vera Gel "&amp;$CO74&amp;"g",CN74&amp;" "&amp;$CO74&amp;"g"))</f>
        <v/>
      </c>
      <c r="CQ74">
        <f>IF($AT74="",0,1)</f>
        <v/>
      </c>
      <c r="CR74">
        <f>IF($CQ74=0,"",AW74)</f>
        <v/>
      </c>
      <c r="CS74">
        <f>IF($CQ74=0,"",AX74)</f>
        <v/>
      </c>
      <c r="CT74">
        <f>IF($CQ74=0,"",AY74)</f>
        <v/>
      </c>
      <c r="CU74">
        <f>IF($CR74="","",IF($CR74="Aloe Vera Gel","Aloe Vera Gel "&amp;$CT74&amp;"g",CS74&amp;" "&amp;$CT74&amp;"g"))</f>
        <v/>
      </c>
      <c r="CV74">
        <f>IF($CQ74=0,"",IF($CP74=$CU74,"Repeat Exact",IF($CT74&gt;$CO74,"Upsized",IF($CT74&lt;$CO74,"Downsized",IF($CM74&lt;&gt;$CR74,"Lateral","Same Size Diff Variant")))))</f>
        <v/>
      </c>
      <c r="CW74">
        <f>IF($CQ74=0,"",AZ74-AQ74)</f>
        <v/>
      </c>
      <c r="CX74">
        <f>IF($CQ74=0,0,IF(CS74=CN74,1,0))</f>
        <v/>
      </c>
      <c r="CY74">
        <f>IF($CQ74=0,0,IF(CR74=CM74,1,0))</f>
        <v/>
      </c>
      <c r="CZ74">
        <f>IF($A74="","",IF(AND(IF(DASHBOARD!$C$4="All",TRUE,$CM74=DASHBOARD!$C$4),IF(DASHBOARD!$C$6="All",TRUE,$CP74=DASHBOARD!$C$6),IF(DASHBOARD!$C$8="All",TRUE,$AF74&gt;=DASHBOARD!$C$8),IF(DASHBOARD!$C$10="All",TRUE,$AF74&lt;=DASHBOARD!$C$10),IF(DASHBOARD!$C$12="All",TRUE,$AH74=VALUE(DASHBOARD!$C$12)),IF(DASHBOARD!$C$14="All",TRUE,$AJ74=DASHBOARD!$C$14)),1,0))</f>
        <v/>
      </c>
    </row>
    <row r="75">
      <c r="A75" t="n">
        <v>46720</v>
      </c>
      <c r="B75" t="inlineStr">
        <is>
          <t>Active Gel</t>
        </is>
      </c>
      <c r="H75" t="inlineStr">
        <is>
          <t>Active Orange Kiwi Vit-C Gel</t>
        </is>
      </c>
      <c r="N75" t="inlineStr">
        <is>
          <t>FC-AC-OK-050</t>
        </is>
      </c>
      <c r="T75" t="inlineStr">
        <is>
          <t>Apr 30, 2025</t>
        </is>
      </c>
      <c r="AE75" t="inlineStr">
        <is>
          <t>Gurgaon</t>
        </is>
      </c>
      <c r="AF75" t="inlineStr">
        <is>
          <t>2025-04</t>
        </is>
      </c>
      <c r="AG75" t="n">
        <v>4</v>
      </c>
      <c r="AH75" t="n">
        <v>1</v>
      </c>
      <c r="AI75" t="n">
        <v>0</v>
      </c>
      <c r="AJ75">
        <f>IF($AE75="","",IFERROR(VLOOKUP(TRIM($AE75),DECODE!$H$3:$I$60,2,FALSE),"Rest of India"))</f>
        <v/>
      </c>
      <c r="AK75">
        <f>IF($N75="","",UPPER(TRIM(LEFT($N75&amp;",",FIND(",",$N75&amp;",")-1))))</f>
        <v/>
      </c>
      <c r="AL75">
        <f>IF($AK75="","",MID($AK75,4,FIND("~",SUBSTITUTE($AK75,"-","~",2))-4))</f>
        <v/>
      </c>
      <c r="AM75">
        <f>IF($AK75="","",MID($AK75,FIND("~",SUBSTITUTE($AK75,"-","~",2))+1,FIND("~",SUBSTITUTE($AK75,"-","~",3))-FIND("~",SUBSTITUTE($AK75,"-","~",2))-1))</f>
        <v/>
      </c>
      <c r="AN75">
        <f>IF($AL75="","",IFERROR(VLOOKUP($AL75,DECODE!$A$3:$C$8,3,FALSE),"?"))</f>
        <v/>
      </c>
      <c r="AO75">
        <f>IF($AM75="","",IFERROR(VLOOKUP($AL75&amp;"-"&amp;$AM75,DECODE!$E$3:$F$21,2,FALSE),"?"))</f>
        <v/>
      </c>
      <c r="AP75">
        <f>IF($AK75="","",IFERROR(VALUE(RIGHT($AK75,3)),""))</f>
        <v/>
      </c>
      <c r="AQ75">
        <f>IF($T75="","",IFERROR(IF(ISNUMBER($T75),$T75,DATEVALUE(TRIM($T75))),""))</f>
        <v/>
      </c>
      <c r="AR75">
        <f>IF($AQ75="","",IF(MONTH($AQ75)&gt;=12,"Cold Winter",IF(MONTH($AQ75)&gt;=10,"Post-Monsoon",IF(MONTH($AQ75)&gt;=6,"Hot Humid",IF(MONTH($AQ75)&gt;=3,"Hot Dry","Cold Winter")))))</f>
        <v/>
      </c>
      <c r="AS75">
        <f>IF($AL75="","",IFERROR(VLOOKUP($AL75,DECODE!$A$3:$C$8,2,FALSE),"?"))</f>
        <v/>
      </c>
      <c r="AT75">
        <f>IF($O75="","",UPPER(TRIM(LEFT($O75&amp;",",FIND(",",$O75&amp;",")-1))))</f>
        <v/>
      </c>
      <c r="AU75">
        <f>IF($AT75="","",MID($AT75,4,FIND("~",SUBSTITUTE($AT75,"-","~",2))-4))</f>
        <v/>
      </c>
      <c r="AV75">
        <f>IF($AT75="","",MID($AT75,FIND("~",SUBSTITUTE($AT75,"-","~",2))+1,FIND("~",SUBSTITUTE($AT75,"-","~",3))-FIND("~",SUBSTITUTE($AT75,"-","~",2))-1))</f>
        <v/>
      </c>
      <c r="AW75">
        <f>IF($AU75="","",IFERROR(VLOOKUP($AU75,DECODE!$A$3:$C$8,3,FALSE),"?"))</f>
        <v/>
      </c>
      <c r="AX75">
        <f>IF($AV75="","",IFERROR(VLOOKUP($AU75&amp;"-"&amp;$AV75,DECODE!$E$3:$F$21,2,FALSE),"?"))</f>
        <v/>
      </c>
      <c r="AY75">
        <f>IF($AT75="","",IFERROR(VALUE(RIGHT($AT75,3)),""))</f>
        <v/>
      </c>
      <c r="AZ75">
        <f>IF($U75="","",IFERROR(IF(ISNUMBER($U75),$U75,DATEVALUE(TRIM($U75))),""))</f>
        <v/>
      </c>
      <c r="BA75">
        <f>IF($AZ75="","",IF(MONTH($AZ75)&gt;=12,"Cold Winter",IF(MONTH($AZ75)&gt;=10,"Post-Monsoon",IF(MONTH($AZ75)&gt;=6,"Hot Humid",IF(MONTH($AZ75)&gt;=3,"Hot Dry","Cold Winter")))))</f>
        <v/>
      </c>
      <c r="BB75">
        <f>IF($AU75="","",IFERROR(VLOOKUP($AU75,DECODE!$A$3:$C$8,2,FALSE),"?"))</f>
        <v/>
      </c>
      <c r="BC75">
        <f>IF($P75="","",UPPER(TRIM(LEFT($P75&amp;",",FIND(",",$P75&amp;",")-1))))</f>
        <v/>
      </c>
      <c r="BD75">
        <f>IF($BC75="","",MID($BC75,4,FIND("~",SUBSTITUTE($BC75,"-","~",2))-4))</f>
        <v/>
      </c>
      <c r="BE75">
        <f>IF($BC75="","",MID($BC75,FIND("~",SUBSTITUTE($BC75,"-","~",2))+1,FIND("~",SUBSTITUTE($BC75,"-","~",3))-FIND("~",SUBSTITUTE($BC75,"-","~",2))-1))</f>
        <v/>
      </c>
      <c r="BF75">
        <f>IF($BD75="","",IFERROR(VLOOKUP($BD75,DECODE!$A$3:$C$8,3,FALSE),"?"))</f>
        <v/>
      </c>
      <c r="BG75">
        <f>IF($BE75="","",IFERROR(VLOOKUP($BD75&amp;"-"&amp;$BE75,DECODE!$E$3:$F$21,2,FALSE),"?"))</f>
        <v/>
      </c>
      <c r="BH75">
        <f>IF($BC75="","",IFERROR(VALUE(RIGHT($BC75,3)),""))</f>
        <v/>
      </c>
      <c r="BI75">
        <f>IF($V75="","",IFERROR(IF(ISNUMBER($V75),$V75,DATEVALUE(TRIM($V75))),""))</f>
        <v/>
      </c>
      <c r="BJ75">
        <f>IF($BI75="","",IF(MONTH($BI75)&gt;=12,"Cold Winter",IF(MONTH($BI75)&gt;=10,"Post-Monsoon",IF(MONTH($BI75)&gt;=6,"Hot Humid",IF(MONTH($BI75)&gt;=3,"Hot Dry","Cold Winter")))))</f>
        <v/>
      </c>
      <c r="BK75">
        <f>IF($BD75="","",IFERROR(VLOOKUP($BD75,DECODE!$A$3:$C$8,2,FALSE),"?"))</f>
        <v/>
      </c>
      <c r="BL75">
        <f>IF($Q75="","",UPPER(TRIM(LEFT($Q75&amp;",",FIND(",",$Q75&amp;",")-1))))</f>
        <v/>
      </c>
      <c r="BM75">
        <f>IF($BL75="","",MID($BL75,4,FIND("~",SUBSTITUTE($BL75,"-","~",2))-4))</f>
        <v/>
      </c>
      <c r="BN75">
        <f>IF($BL75="","",MID($BL75,FIND("~",SUBSTITUTE($BL75,"-","~",2))+1,FIND("~",SUBSTITUTE($BL75,"-","~",3))-FIND("~",SUBSTITUTE($BL75,"-","~",2))-1))</f>
        <v/>
      </c>
      <c r="BO75">
        <f>IF($BM75="","",IFERROR(VLOOKUP($BM75,DECODE!$A$3:$C$8,3,FALSE),"?"))</f>
        <v/>
      </c>
      <c r="BP75">
        <f>IF($BN75="","",IFERROR(VLOOKUP($BM75&amp;"-"&amp;$BN75,DECODE!$E$3:$F$21,2,FALSE),"?"))</f>
        <v/>
      </c>
      <c r="BQ75">
        <f>IF($BL75="","",IFERROR(VALUE(RIGHT($BL75,3)),""))</f>
        <v/>
      </c>
      <c r="BR75">
        <f>IF($W75="","",IFERROR(IF(ISNUMBER($W75),$W75,DATEVALUE(TRIM($W75))),""))</f>
        <v/>
      </c>
      <c r="BS75">
        <f>IF($BR75="","",IF(MONTH($BR75)&gt;=12,"Cold Winter",IF(MONTH($BR75)&gt;=10,"Post-Monsoon",IF(MONTH($BR75)&gt;=6,"Hot Humid",IF(MONTH($BR75)&gt;=3,"Hot Dry","Cold Winter")))))</f>
        <v/>
      </c>
      <c r="BT75">
        <f>IF($BM75="","",IFERROR(VLOOKUP($BM75,DECODE!$A$3:$C$8,2,FALSE),"?"))</f>
        <v/>
      </c>
      <c r="BU75">
        <f>IF($R75="","",UPPER(TRIM(LEFT($R75&amp;",",FIND(",",$R75&amp;",")-1))))</f>
        <v/>
      </c>
      <c r="BV75">
        <f>IF($BU75="","",MID($BU75,4,FIND("~",SUBSTITUTE($BU75,"-","~",2))-4))</f>
        <v/>
      </c>
      <c r="BW75">
        <f>IF($BU75="","",MID($BU75,FIND("~",SUBSTITUTE($BU75,"-","~",2))+1,FIND("~",SUBSTITUTE($BU75,"-","~",3))-FIND("~",SUBSTITUTE($BU75,"-","~",2))-1))</f>
        <v/>
      </c>
      <c r="BX75">
        <f>IF($BV75="","",IFERROR(VLOOKUP($BV75,DECODE!$A$3:$C$8,3,FALSE),"?"))</f>
        <v/>
      </c>
      <c r="BY75">
        <f>IF($BW75="","",IFERROR(VLOOKUP($BV75&amp;"-"&amp;$BW75,DECODE!$E$3:$F$21,2,FALSE),"?"))</f>
        <v/>
      </c>
      <c r="BZ75">
        <f>IF($BU75="","",IFERROR(VALUE(RIGHT($BU75,3)),""))</f>
        <v/>
      </c>
      <c r="CA75">
        <f>IF($X75="","",IFERROR(IF(ISNUMBER($X75),$X75,DATEVALUE(TRIM($X75))),""))</f>
        <v/>
      </c>
      <c r="CB75">
        <f>IF($CA75="","",IF(MONTH($CA75)&gt;=12,"Cold Winter",IF(MONTH($CA75)&gt;=10,"Post-Monsoon",IF(MONTH($CA75)&gt;=6,"Hot Humid",IF(MONTH($CA75)&gt;=3,"Hot Dry","Cold Winter")))))</f>
        <v/>
      </c>
      <c r="CC75">
        <f>IF($BV75="","",IFERROR(VLOOKUP($BV75,DECODE!$A$3:$C$8,2,FALSE),"?"))</f>
        <v/>
      </c>
      <c r="CD75">
        <f>IF($S75="","",UPPER(TRIM(LEFT($S75&amp;",",FIND(",",$S75&amp;",")-1))))</f>
        <v/>
      </c>
      <c r="CE75">
        <f>IF($CD75="","",MID($CD75,4,FIND("~",SUBSTITUTE($CD75,"-","~",2))-4))</f>
        <v/>
      </c>
      <c r="CF75">
        <f>IF($CD75="","",MID($CD75,FIND("~",SUBSTITUTE($CD75,"-","~",2))+1,FIND("~",SUBSTITUTE($CD75,"-","~",3))-FIND("~",SUBSTITUTE($CD75,"-","~",2))-1))</f>
        <v/>
      </c>
      <c r="CG75">
        <f>IF($CE75="","",IFERROR(VLOOKUP($CE75,DECODE!$A$3:$C$8,3,FALSE),"?"))</f>
        <v/>
      </c>
      <c r="CH75">
        <f>IF($CF75="","",IFERROR(VLOOKUP($CE75&amp;"-"&amp;$CF75,DECODE!$E$3:$F$21,2,FALSE),"?"))</f>
        <v/>
      </c>
      <c r="CI75">
        <f>IF($CD75="","",IFERROR(VALUE(RIGHT($CD75,3)),""))</f>
        <v/>
      </c>
      <c r="CJ75">
        <f>IF($Y75="","",IFERROR(IF(ISNUMBER($Y75),$Y75,DATEVALUE(TRIM($Y75))),""))</f>
        <v/>
      </c>
      <c r="CK75">
        <f>IF($CJ75="","",IF(MONTH($CJ75)&gt;=12,"Cold Winter",IF(MONTH($CJ75)&gt;=10,"Post-Monsoon",IF(MONTH($CJ75)&gt;=6,"Hot Humid",IF(MONTH($CJ75)&gt;=3,"Hot Dry","Cold Winter")))))</f>
        <v/>
      </c>
      <c r="CL75">
        <f>IF($CE75="","",IFERROR(VLOOKUP($CE75,DECODE!$A$3:$C$8,2,FALSE),"?"))</f>
        <v/>
      </c>
      <c r="CM75">
        <f>IF($AN75="","",AN75)</f>
        <v/>
      </c>
      <c r="CN75">
        <f>IF($AO75="","",AO75)</f>
        <v/>
      </c>
      <c r="CO75">
        <f>IF($AP75="","",AP75)</f>
        <v/>
      </c>
      <c r="CP75">
        <f>IF($CM75="","",IF($CM75="Aloe Vera Gel","Aloe Vera Gel "&amp;$CO75&amp;"g",CN75&amp;" "&amp;$CO75&amp;"g"))</f>
        <v/>
      </c>
      <c r="CQ75">
        <f>IF($AT75="",0,1)</f>
        <v/>
      </c>
      <c r="CR75">
        <f>IF($CQ75=0,"",AW75)</f>
        <v/>
      </c>
      <c r="CS75">
        <f>IF($CQ75=0,"",AX75)</f>
        <v/>
      </c>
      <c r="CT75">
        <f>IF($CQ75=0,"",AY75)</f>
        <v/>
      </c>
      <c r="CU75">
        <f>IF($CR75="","",IF($CR75="Aloe Vera Gel","Aloe Vera Gel "&amp;$CT75&amp;"g",CS75&amp;" "&amp;$CT75&amp;"g"))</f>
        <v/>
      </c>
      <c r="CV75">
        <f>IF($CQ75=0,"",IF($CP75=$CU75,"Repeat Exact",IF($CT75&gt;$CO75,"Upsized",IF($CT75&lt;$CO75,"Downsized",IF($CM75&lt;&gt;$CR75,"Lateral","Same Size Diff Variant")))))</f>
        <v/>
      </c>
      <c r="CW75">
        <f>IF($CQ75=0,"",AZ75-AQ75)</f>
        <v/>
      </c>
      <c r="CX75">
        <f>IF($CQ75=0,0,IF(CS75=CN75,1,0))</f>
        <v/>
      </c>
      <c r="CY75">
        <f>IF($CQ75=0,0,IF(CR75=CM75,1,0))</f>
        <v/>
      </c>
      <c r="CZ75">
        <f>IF($A75="","",IF(AND(IF(DASHBOARD!$C$4="All",TRUE,$CM75=DASHBOARD!$C$4),IF(DASHBOARD!$C$6="All",TRUE,$CP75=DASHBOARD!$C$6),IF(DASHBOARD!$C$8="All",TRUE,$AF75&gt;=DASHBOARD!$C$8),IF(DASHBOARD!$C$10="All",TRUE,$AF75&lt;=DASHBOARD!$C$10),IF(DASHBOARD!$C$12="All",TRUE,$AH75=VALUE(DASHBOARD!$C$12)),IF(DASHBOARD!$C$14="All",TRUE,$AJ75=DASHBOARD!$C$14)),1,0))</f>
        <v/>
      </c>
    </row>
    <row r="76">
      <c r="A76" t="n">
        <v>48109</v>
      </c>
      <c r="B76" t="inlineStr">
        <is>
          <t>Aloe Vera Gel</t>
        </is>
      </c>
      <c r="C76" t="inlineStr">
        <is>
          <t>Aloe Vera Gel</t>
        </is>
      </c>
      <c r="D76" t="inlineStr">
        <is>
          <t>Aloe Vera Gel</t>
        </is>
      </c>
      <c r="E76" t="inlineStr">
        <is>
          <t>Face Malai</t>
        </is>
      </c>
      <c r="F76" t="inlineStr">
        <is>
          <t>Aloe Vera Gel</t>
        </is>
      </c>
      <c r="H76" t="inlineStr">
        <is>
          <t>Aloe Vera Gel - 40 gms</t>
        </is>
      </c>
      <c r="I76" t="inlineStr">
        <is>
          <t>Aloe Vera Gel - 40 gms</t>
        </is>
      </c>
      <c r="J76" t="inlineStr">
        <is>
          <t>Aloe Vera Gel - 40 gms</t>
        </is>
      </c>
      <c r="K76" t="inlineStr">
        <is>
          <t>Tomato Patchouli (Cold) 20 - 35 Yrs Face Malai</t>
        </is>
      </c>
      <c r="L76" t="inlineStr">
        <is>
          <t>Aloe Vera Gel - 80 gms</t>
        </is>
      </c>
      <c r="N76" t="inlineStr">
        <is>
          <t>FC-HG-PA-040</t>
        </is>
      </c>
      <c r="O76" t="inlineStr">
        <is>
          <t>FC-HG-PA-040</t>
        </is>
      </c>
      <c r="P76" t="inlineStr">
        <is>
          <t>FC-HG-PA-040</t>
        </is>
      </c>
      <c r="Q76" t="inlineStr">
        <is>
          <t>FC-CWDM-TP-030</t>
        </is>
      </c>
      <c r="R76" t="inlineStr">
        <is>
          <t>FC-HG-PA-080</t>
        </is>
      </c>
      <c r="T76" t="inlineStr">
        <is>
          <t>Sep 29, 2024</t>
        </is>
      </c>
      <c r="U76" t="inlineStr">
        <is>
          <t>Oct 1, 2024</t>
        </is>
      </c>
      <c r="V76" t="inlineStr">
        <is>
          <t>Oct 1, 2024</t>
        </is>
      </c>
      <c r="W76" t="inlineStr">
        <is>
          <t>Nov 10, 2024</t>
        </is>
      </c>
      <c r="X76" t="inlineStr">
        <is>
          <t>Sep 24, 2025</t>
        </is>
      </c>
      <c r="Z76" t="n">
        <v>2</v>
      </c>
      <c r="AA76" t="n">
        <v>0</v>
      </c>
      <c r="AB76" t="n">
        <v>40</v>
      </c>
      <c r="AC76" t="n">
        <v>318</v>
      </c>
      <c r="AE76" t="inlineStr">
        <is>
          <t>Agra</t>
        </is>
      </c>
      <c r="AF76" t="inlineStr">
        <is>
          <t>2024-09</t>
        </is>
      </c>
      <c r="AG76" t="n">
        <v>9</v>
      </c>
      <c r="AH76" t="n">
        <v>5</v>
      </c>
      <c r="AI76" t="n">
        <v>1</v>
      </c>
      <c r="AJ76">
        <f>IF($AE76="","",IFERROR(VLOOKUP(TRIM($AE76),DECODE!$H$3:$I$60,2,FALSE),"Rest of India"))</f>
        <v/>
      </c>
      <c r="AK76">
        <f>IF($N76="","",UPPER(TRIM(LEFT($N76&amp;",",FIND(",",$N76&amp;",")-1))))</f>
        <v/>
      </c>
      <c r="AL76">
        <f>IF($AK76="","",MID($AK76,4,FIND("~",SUBSTITUTE($AK76,"-","~",2))-4))</f>
        <v/>
      </c>
      <c r="AM76">
        <f>IF($AK76="","",MID($AK76,FIND("~",SUBSTITUTE($AK76,"-","~",2))+1,FIND("~",SUBSTITUTE($AK76,"-","~",3))-FIND("~",SUBSTITUTE($AK76,"-","~",2))-1))</f>
        <v/>
      </c>
      <c r="AN76">
        <f>IF($AL76="","",IFERROR(VLOOKUP($AL76,DECODE!$A$3:$C$8,3,FALSE),"?"))</f>
        <v/>
      </c>
      <c r="AO76">
        <f>IF($AM76="","",IFERROR(VLOOKUP($AL76&amp;"-"&amp;$AM76,DECODE!$E$3:$F$21,2,FALSE),"?"))</f>
        <v/>
      </c>
      <c r="AP76">
        <f>IF($AK76="","",IFERROR(VALUE(RIGHT($AK76,3)),""))</f>
        <v/>
      </c>
      <c r="AQ76">
        <f>IF($T76="","",IFERROR(IF(ISNUMBER($T76),$T76,DATEVALUE(TRIM($T76))),""))</f>
        <v/>
      </c>
      <c r="AR76">
        <f>IF($AQ76="","",IF(MONTH($AQ76)&gt;=12,"Cold Winter",IF(MONTH($AQ76)&gt;=10,"Post-Monsoon",IF(MONTH($AQ76)&gt;=6,"Hot Humid",IF(MONTH($AQ76)&gt;=3,"Hot Dry","Cold Winter")))))</f>
        <v/>
      </c>
      <c r="AS76">
        <f>IF($AL76="","",IFERROR(VLOOKUP($AL76,DECODE!$A$3:$C$8,2,FALSE),"?"))</f>
        <v/>
      </c>
      <c r="AT76">
        <f>IF($O76="","",UPPER(TRIM(LEFT($O76&amp;",",FIND(",",$O76&amp;",")-1))))</f>
        <v/>
      </c>
      <c r="AU76">
        <f>IF($AT76="","",MID($AT76,4,FIND("~",SUBSTITUTE($AT76,"-","~",2))-4))</f>
        <v/>
      </c>
      <c r="AV76">
        <f>IF($AT76="","",MID($AT76,FIND("~",SUBSTITUTE($AT76,"-","~",2))+1,FIND("~",SUBSTITUTE($AT76,"-","~",3))-FIND("~",SUBSTITUTE($AT76,"-","~",2))-1))</f>
        <v/>
      </c>
      <c r="AW76">
        <f>IF($AU76="","",IFERROR(VLOOKUP($AU76,DECODE!$A$3:$C$8,3,FALSE),"?"))</f>
        <v/>
      </c>
      <c r="AX76">
        <f>IF($AV76="","",IFERROR(VLOOKUP($AU76&amp;"-"&amp;$AV76,DECODE!$E$3:$F$21,2,FALSE),"?"))</f>
        <v/>
      </c>
      <c r="AY76">
        <f>IF($AT76="","",IFERROR(VALUE(RIGHT($AT76,3)),""))</f>
        <v/>
      </c>
      <c r="AZ76">
        <f>IF($U76="","",IFERROR(IF(ISNUMBER($U76),$U76,DATEVALUE(TRIM($U76))),""))</f>
        <v/>
      </c>
      <c r="BA76">
        <f>IF($AZ76="","",IF(MONTH($AZ76)&gt;=12,"Cold Winter",IF(MONTH($AZ76)&gt;=10,"Post-Monsoon",IF(MONTH($AZ76)&gt;=6,"Hot Humid",IF(MONTH($AZ76)&gt;=3,"Hot Dry","Cold Winter")))))</f>
        <v/>
      </c>
      <c r="BB76">
        <f>IF($AU76="","",IFERROR(VLOOKUP($AU76,DECODE!$A$3:$C$8,2,FALSE),"?"))</f>
        <v/>
      </c>
      <c r="BC76">
        <f>IF($P76="","",UPPER(TRIM(LEFT($P76&amp;",",FIND(",",$P76&amp;",")-1))))</f>
        <v/>
      </c>
      <c r="BD76">
        <f>IF($BC76="","",MID($BC76,4,FIND("~",SUBSTITUTE($BC76,"-","~",2))-4))</f>
        <v/>
      </c>
      <c r="BE76">
        <f>IF($BC76="","",MID($BC76,FIND("~",SUBSTITUTE($BC76,"-","~",2))+1,FIND("~",SUBSTITUTE($BC76,"-","~",3))-FIND("~",SUBSTITUTE($BC76,"-","~",2))-1))</f>
        <v/>
      </c>
      <c r="BF76">
        <f>IF($BD76="","",IFERROR(VLOOKUP($BD76,DECODE!$A$3:$C$8,3,FALSE),"?"))</f>
        <v/>
      </c>
      <c r="BG76">
        <f>IF($BE76="","",IFERROR(VLOOKUP($BD76&amp;"-"&amp;$BE76,DECODE!$E$3:$F$21,2,FALSE),"?"))</f>
        <v/>
      </c>
      <c r="BH76">
        <f>IF($BC76="","",IFERROR(VALUE(RIGHT($BC76,3)),""))</f>
        <v/>
      </c>
      <c r="BI76">
        <f>IF($V76="","",IFERROR(IF(ISNUMBER($V76),$V76,DATEVALUE(TRIM($V76))),""))</f>
        <v/>
      </c>
      <c r="BJ76">
        <f>IF($BI76="","",IF(MONTH($BI76)&gt;=12,"Cold Winter",IF(MONTH($BI76)&gt;=10,"Post-Monsoon",IF(MONTH($BI76)&gt;=6,"Hot Humid",IF(MONTH($BI76)&gt;=3,"Hot Dry","Cold Winter")))))</f>
        <v/>
      </c>
      <c r="BK76">
        <f>IF($BD76="","",IFERROR(VLOOKUP($BD76,DECODE!$A$3:$C$8,2,FALSE),"?"))</f>
        <v/>
      </c>
      <c r="BL76">
        <f>IF($Q76="","",UPPER(TRIM(LEFT($Q76&amp;",",FIND(",",$Q76&amp;",")-1))))</f>
        <v/>
      </c>
      <c r="BM76">
        <f>IF($BL76="","",MID($BL76,4,FIND("~",SUBSTITUTE($BL76,"-","~",2))-4))</f>
        <v/>
      </c>
      <c r="BN76">
        <f>IF($BL76="","",MID($BL76,FIND("~",SUBSTITUTE($BL76,"-","~",2))+1,FIND("~",SUBSTITUTE($BL76,"-","~",3))-FIND("~",SUBSTITUTE($BL76,"-","~",2))-1))</f>
        <v/>
      </c>
      <c r="BO76">
        <f>IF($BM76="","",IFERROR(VLOOKUP($BM76,DECODE!$A$3:$C$8,3,FALSE),"?"))</f>
        <v/>
      </c>
      <c r="BP76">
        <f>IF($BN76="","",IFERROR(VLOOKUP($BM76&amp;"-"&amp;$BN76,DECODE!$E$3:$F$21,2,FALSE),"?"))</f>
        <v/>
      </c>
      <c r="BQ76">
        <f>IF($BL76="","",IFERROR(VALUE(RIGHT($BL76,3)),""))</f>
        <v/>
      </c>
      <c r="BR76">
        <f>IF($W76="","",IFERROR(IF(ISNUMBER($W76),$W76,DATEVALUE(TRIM($W76))),""))</f>
        <v/>
      </c>
      <c r="BS76">
        <f>IF($BR76="","",IF(MONTH($BR76)&gt;=12,"Cold Winter",IF(MONTH($BR76)&gt;=10,"Post-Monsoon",IF(MONTH($BR76)&gt;=6,"Hot Humid",IF(MONTH($BR76)&gt;=3,"Hot Dry","Cold Winter")))))</f>
        <v/>
      </c>
      <c r="BT76">
        <f>IF($BM76="","",IFERROR(VLOOKUP($BM76,DECODE!$A$3:$C$8,2,FALSE),"?"))</f>
        <v/>
      </c>
      <c r="BU76">
        <f>IF($R76="","",UPPER(TRIM(LEFT($R76&amp;",",FIND(",",$R76&amp;",")-1))))</f>
        <v/>
      </c>
      <c r="BV76">
        <f>IF($BU76="","",MID($BU76,4,FIND("~",SUBSTITUTE($BU76,"-","~",2))-4))</f>
        <v/>
      </c>
      <c r="BW76">
        <f>IF($BU76="","",MID($BU76,FIND("~",SUBSTITUTE($BU76,"-","~",2))+1,FIND("~",SUBSTITUTE($BU76,"-","~",3))-FIND("~",SUBSTITUTE($BU76,"-","~",2))-1))</f>
        <v/>
      </c>
      <c r="BX76">
        <f>IF($BV76="","",IFERROR(VLOOKUP($BV76,DECODE!$A$3:$C$8,3,FALSE),"?"))</f>
        <v/>
      </c>
      <c r="BY76">
        <f>IF($BW76="","",IFERROR(VLOOKUP($BV76&amp;"-"&amp;$BW76,DECODE!$E$3:$F$21,2,FALSE),"?"))</f>
        <v/>
      </c>
      <c r="BZ76">
        <f>IF($BU76="","",IFERROR(VALUE(RIGHT($BU76,3)),""))</f>
        <v/>
      </c>
      <c r="CA76">
        <f>IF($X76="","",IFERROR(IF(ISNUMBER($X76),$X76,DATEVALUE(TRIM($X76))),""))</f>
        <v/>
      </c>
      <c r="CB76">
        <f>IF($CA76="","",IF(MONTH($CA76)&gt;=12,"Cold Winter",IF(MONTH($CA76)&gt;=10,"Post-Monsoon",IF(MONTH($CA76)&gt;=6,"Hot Humid",IF(MONTH($CA76)&gt;=3,"Hot Dry","Cold Winter")))))</f>
        <v/>
      </c>
      <c r="CC76">
        <f>IF($BV76="","",IFERROR(VLOOKUP($BV76,DECODE!$A$3:$C$8,2,FALSE),"?"))</f>
        <v/>
      </c>
      <c r="CD76">
        <f>IF($S76="","",UPPER(TRIM(LEFT($S76&amp;",",FIND(",",$S76&amp;",")-1))))</f>
        <v/>
      </c>
      <c r="CE76">
        <f>IF($CD76="","",MID($CD76,4,FIND("~",SUBSTITUTE($CD76,"-","~",2))-4))</f>
        <v/>
      </c>
      <c r="CF76">
        <f>IF($CD76="","",MID($CD76,FIND("~",SUBSTITUTE($CD76,"-","~",2))+1,FIND("~",SUBSTITUTE($CD76,"-","~",3))-FIND("~",SUBSTITUTE($CD76,"-","~",2))-1))</f>
        <v/>
      </c>
      <c r="CG76">
        <f>IF($CE76="","",IFERROR(VLOOKUP($CE76,DECODE!$A$3:$C$8,3,FALSE),"?"))</f>
        <v/>
      </c>
      <c r="CH76">
        <f>IF($CF76="","",IFERROR(VLOOKUP($CE76&amp;"-"&amp;$CF76,DECODE!$E$3:$F$21,2,FALSE),"?"))</f>
        <v/>
      </c>
      <c r="CI76">
        <f>IF($CD76="","",IFERROR(VALUE(RIGHT($CD76,3)),""))</f>
        <v/>
      </c>
      <c r="CJ76">
        <f>IF($Y76="","",IFERROR(IF(ISNUMBER($Y76),$Y76,DATEVALUE(TRIM($Y76))),""))</f>
        <v/>
      </c>
      <c r="CK76">
        <f>IF($CJ76="","",IF(MONTH($CJ76)&gt;=12,"Cold Winter",IF(MONTH($CJ76)&gt;=10,"Post-Monsoon",IF(MONTH($CJ76)&gt;=6,"Hot Humid",IF(MONTH($CJ76)&gt;=3,"Hot Dry","Cold Winter")))))</f>
        <v/>
      </c>
      <c r="CL76">
        <f>IF($CE76="","",IFERROR(VLOOKUP($CE76,DECODE!$A$3:$C$8,2,FALSE),"?"))</f>
        <v/>
      </c>
      <c r="CM76">
        <f>IF($AN76="","",AN76)</f>
        <v/>
      </c>
      <c r="CN76">
        <f>IF($AO76="","",AO76)</f>
        <v/>
      </c>
      <c r="CO76">
        <f>IF($AP76="","",AP76)</f>
        <v/>
      </c>
      <c r="CP76">
        <f>IF($CM76="","",IF($CM76="Aloe Vera Gel","Aloe Vera Gel "&amp;$CO76&amp;"g",CN76&amp;" "&amp;$CO76&amp;"g"))</f>
        <v/>
      </c>
      <c r="CQ76">
        <f>IF($AT76="",0,1)</f>
        <v/>
      </c>
      <c r="CR76">
        <f>IF($CQ76=0,"",AW76)</f>
        <v/>
      </c>
      <c r="CS76">
        <f>IF($CQ76=0,"",AX76)</f>
        <v/>
      </c>
      <c r="CT76">
        <f>IF($CQ76=0,"",AY76)</f>
        <v/>
      </c>
      <c r="CU76">
        <f>IF($CR76="","",IF($CR76="Aloe Vera Gel","Aloe Vera Gel "&amp;$CT76&amp;"g",CS76&amp;" "&amp;$CT76&amp;"g"))</f>
        <v/>
      </c>
      <c r="CV76">
        <f>IF($CQ76=0,"",IF($CP76=$CU76,"Repeat Exact",IF($CT76&gt;$CO76,"Upsized",IF($CT76&lt;$CO76,"Downsized",IF($CM76&lt;&gt;$CR76,"Lateral","Same Size Diff Variant")))))</f>
        <v/>
      </c>
      <c r="CW76">
        <f>IF($CQ76=0,"",AZ76-AQ76)</f>
        <v/>
      </c>
      <c r="CX76">
        <f>IF($CQ76=0,0,IF(CS76=CN76,1,0))</f>
        <v/>
      </c>
      <c r="CY76">
        <f>IF($CQ76=0,0,IF(CR76=CM76,1,0))</f>
        <v/>
      </c>
      <c r="CZ76">
        <f>IF($A76="","",IF(AND(IF(DASHBOARD!$C$4="All",TRUE,$CM76=DASHBOARD!$C$4),IF(DASHBOARD!$C$6="All",TRUE,$CP76=DASHBOARD!$C$6),IF(DASHBOARD!$C$8="All",TRUE,$AF76&gt;=DASHBOARD!$C$8),IF(DASHBOARD!$C$10="All",TRUE,$AF76&lt;=DASHBOARD!$C$10),IF(DASHBOARD!$C$12="All",TRUE,$AH76=VALUE(DASHBOARD!$C$12)),IF(DASHBOARD!$C$14="All",TRUE,$AJ76=DASHBOARD!$C$14)),1,0))</f>
        <v/>
      </c>
    </row>
    <row r="77">
      <c r="A77" t="n">
        <v>48324</v>
      </c>
      <c r="B77" t="inlineStr">
        <is>
          <t>Face Malai</t>
        </is>
      </c>
      <c r="H77" t="inlineStr">
        <is>
          <t>Flax Walnut (Cold) 35+ Face Malai</t>
        </is>
      </c>
      <c r="N77" t="inlineStr">
        <is>
          <t>FC-CWDM-FW-030</t>
        </is>
      </c>
      <c r="T77" t="inlineStr">
        <is>
          <t>Jan 3, 2025</t>
        </is>
      </c>
      <c r="AE77" t="inlineStr">
        <is>
          <t>Gurgaon</t>
        </is>
      </c>
      <c r="AF77" t="inlineStr">
        <is>
          <t>2025-01</t>
        </is>
      </c>
      <c r="AG77" t="n">
        <v>1</v>
      </c>
      <c r="AH77" t="n">
        <v>1</v>
      </c>
      <c r="AI77" t="n">
        <v>0</v>
      </c>
      <c r="AJ77">
        <f>IF($AE77="","",IFERROR(VLOOKUP(TRIM($AE77),DECODE!$H$3:$I$60,2,FALSE),"Rest of India"))</f>
        <v/>
      </c>
      <c r="AK77">
        <f>IF($N77="","",UPPER(TRIM(LEFT($N77&amp;",",FIND(",",$N77&amp;",")-1))))</f>
        <v/>
      </c>
      <c r="AL77">
        <f>IF($AK77="","",MID($AK77,4,FIND("~",SUBSTITUTE($AK77,"-","~",2))-4))</f>
        <v/>
      </c>
      <c r="AM77">
        <f>IF($AK77="","",MID($AK77,FIND("~",SUBSTITUTE($AK77,"-","~",2))+1,FIND("~",SUBSTITUTE($AK77,"-","~",3))-FIND("~",SUBSTITUTE($AK77,"-","~",2))-1))</f>
        <v/>
      </c>
      <c r="AN77">
        <f>IF($AL77="","",IFERROR(VLOOKUP($AL77,DECODE!$A$3:$C$8,3,FALSE),"?"))</f>
        <v/>
      </c>
      <c r="AO77">
        <f>IF($AM77="","",IFERROR(VLOOKUP($AL77&amp;"-"&amp;$AM77,DECODE!$E$3:$F$21,2,FALSE),"?"))</f>
        <v/>
      </c>
      <c r="AP77">
        <f>IF($AK77="","",IFERROR(VALUE(RIGHT($AK77,3)),""))</f>
        <v/>
      </c>
      <c r="AQ77">
        <f>IF($T77="","",IFERROR(IF(ISNUMBER($T77),$T77,DATEVALUE(TRIM($T77))),""))</f>
        <v/>
      </c>
      <c r="AR77">
        <f>IF($AQ77="","",IF(MONTH($AQ77)&gt;=12,"Cold Winter",IF(MONTH($AQ77)&gt;=10,"Post-Monsoon",IF(MONTH($AQ77)&gt;=6,"Hot Humid",IF(MONTH($AQ77)&gt;=3,"Hot Dry","Cold Winter")))))</f>
        <v/>
      </c>
      <c r="AS77">
        <f>IF($AL77="","",IFERROR(VLOOKUP($AL77,DECODE!$A$3:$C$8,2,FALSE),"?"))</f>
        <v/>
      </c>
      <c r="AT77">
        <f>IF($O77="","",UPPER(TRIM(LEFT($O77&amp;",",FIND(",",$O77&amp;",")-1))))</f>
        <v/>
      </c>
      <c r="AU77">
        <f>IF($AT77="","",MID($AT77,4,FIND("~",SUBSTITUTE($AT77,"-","~",2))-4))</f>
        <v/>
      </c>
      <c r="AV77">
        <f>IF($AT77="","",MID($AT77,FIND("~",SUBSTITUTE($AT77,"-","~",2))+1,FIND("~",SUBSTITUTE($AT77,"-","~",3))-FIND("~",SUBSTITUTE($AT77,"-","~",2))-1))</f>
        <v/>
      </c>
      <c r="AW77">
        <f>IF($AU77="","",IFERROR(VLOOKUP($AU77,DECODE!$A$3:$C$8,3,FALSE),"?"))</f>
        <v/>
      </c>
      <c r="AX77">
        <f>IF($AV77="","",IFERROR(VLOOKUP($AU77&amp;"-"&amp;$AV77,DECODE!$E$3:$F$21,2,FALSE),"?"))</f>
        <v/>
      </c>
      <c r="AY77">
        <f>IF($AT77="","",IFERROR(VALUE(RIGHT($AT77,3)),""))</f>
        <v/>
      </c>
      <c r="AZ77">
        <f>IF($U77="","",IFERROR(IF(ISNUMBER($U77),$U77,DATEVALUE(TRIM($U77))),""))</f>
        <v/>
      </c>
      <c r="BA77">
        <f>IF($AZ77="","",IF(MONTH($AZ77)&gt;=12,"Cold Winter",IF(MONTH($AZ77)&gt;=10,"Post-Monsoon",IF(MONTH($AZ77)&gt;=6,"Hot Humid",IF(MONTH($AZ77)&gt;=3,"Hot Dry","Cold Winter")))))</f>
        <v/>
      </c>
      <c r="BB77">
        <f>IF($AU77="","",IFERROR(VLOOKUP($AU77,DECODE!$A$3:$C$8,2,FALSE),"?"))</f>
        <v/>
      </c>
      <c r="BC77">
        <f>IF($P77="","",UPPER(TRIM(LEFT($P77&amp;",",FIND(",",$P77&amp;",")-1))))</f>
        <v/>
      </c>
      <c r="BD77">
        <f>IF($BC77="","",MID($BC77,4,FIND("~",SUBSTITUTE($BC77,"-","~",2))-4))</f>
        <v/>
      </c>
      <c r="BE77">
        <f>IF($BC77="","",MID($BC77,FIND("~",SUBSTITUTE($BC77,"-","~",2))+1,FIND("~",SUBSTITUTE($BC77,"-","~",3))-FIND("~",SUBSTITUTE($BC77,"-","~",2))-1))</f>
        <v/>
      </c>
      <c r="BF77">
        <f>IF($BD77="","",IFERROR(VLOOKUP($BD77,DECODE!$A$3:$C$8,3,FALSE),"?"))</f>
        <v/>
      </c>
      <c r="BG77">
        <f>IF($BE77="","",IFERROR(VLOOKUP($BD77&amp;"-"&amp;$BE77,DECODE!$E$3:$F$21,2,FALSE),"?"))</f>
        <v/>
      </c>
      <c r="BH77">
        <f>IF($BC77="","",IFERROR(VALUE(RIGHT($BC77,3)),""))</f>
        <v/>
      </c>
      <c r="BI77">
        <f>IF($V77="","",IFERROR(IF(ISNUMBER($V77),$V77,DATEVALUE(TRIM($V77))),""))</f>
        <v/>
      </c>
      <c r="BJ77">
        <f>IF($BI77="","",IF(MONTH($BI77)&gt;=12,"Cold Winter",IF(MONTH($BI77)&gt;=10,"Post-Monsoon",IF(MONTH($BI77)&gt;=6,"Hot Humid",IF(MONTH($BI77)&gt;=3,"Hot Dry","Cold Winter")))))</f>
        <v/>
      </c>
      <c r="BK77">
        <f>IF($BD77="","",IFERROR(VLOOKUP($BD77,DECODE!$A$3:$C$8,2,FALSE),"?"))</f>
        <v/>
      </c>
      <c r="BL77">
        <f>IF($Q77="","",UPPER(TRIM(LEFT($Q77&amp;",",FIND(",",$Q77&amp;",")-1))))</f>
        <v/>
      </c>
      <c r="BM77">
        <f>IF($BL77="","",MID($BL77,4,FIND("~",SUBSTITUTE($BL77,"-","~",2))-4))</f>
        <v/>
      </c>
      <c r="BN77">
        <f>IF($BL77="","",MID($BL77,FIND("~",SUBSTITUTE($BL77,"-","~",2))+1,FIND("~",SUBSTITUTE($BL77,"-","~",3))-FIND("~",SUBSTITUTE($BL77,"-","~",2))-1))</f>
        <v/>
      </c>
      <c r="BO77">
        <f>IF($BM77="","",IFERROR(VLOOKUP($BM77,DECODE!$A$3:$C$8,3,FALSE),"?"))</f>
        <v/>
      </c>
      <c r="BP77">
        <f>IF($BN77="","",IFERROR(VLOOKUP($BM77&amp;"-"&amp;$BN77,DECODE!$E$3:$F$21,2,FALSE),"?"))</f>
        <v/>
      </c>
      <c r="BQ77">
        <f>IF($BL77="","",IFERROR(VALUE(RIGHT($BL77,3)),""))</f>
        <v/>
      </c>
      <c r="BR77">
        <f>IF($W77="","",IFERROR(IF(ISNUMBER($W77),$W77,DATEVALUE(TRIM($W77))),""))</f>
        <v/>
      </c>
      <c r="BS77">
        <f>IF($BR77="","",IF(MONTH($BR77)&gt;=12,"Cold Winter",IF(MONTH($BR77)&gt;=10,"Post-Monsoon",IF(MONTH($BR77)&gt;=6,"Hot Humid",IF(MONTH($BR77)&gt;=3,"Hot Dry","Cold Winter")))))</f>
        <v/>
      </c>
      <c r="BT77">
        <f>IF($BM77="","",IFERROR(VLOOKUP($BM77,DECODE!$A$3:$C$8,2,FALSE),"?"))</f>
        <v/>
      </c>
      <c r="BU77">
        <f>IF($R77="","",UPPER(TRIM(LEFT($R77&amp;",",FIND(",",$R77&amp;",")-1))))</f>
        <v/>
      </c>
      <c r="BV77">
        <f>IF($BU77="","",MID($BU77,4,FIND("~",SUBSTITUTE($BU77,"-","~",2))-4))</f>
        <v/>
      </c>
      <c r="BW77">
        <f>IF($BU77="","",MID($BU77,FIND("~",SUBSTITUTE($BU77,"-","~",2))+1,FIND("~",SUBSTITUTE($BU77,"-","~",3))-FIND("~",SUBSTITUTE($BU77,"-","~",2))-1))</f>
        <v/>
      </c>
      <c r="BX77">
        <f>IF($BV77="","",IFERROR(VLOOKUP($BV77,DECODE!$A$3:$C$8,3,FALSE),"?"))</f>
        <v/>
      </c>
      <c r="BY77">
        <f>IF($BW77="","",IFERROR(VLOOKUP($BV77&amp;"-"&amp;$BW77,DECODE!$E$3:$F$21,2,FALSE),"?"))</f>
        <v/>
      </c>
      <c r="BZ77">
        <f>IF($BU77="","",IFERROR(VALUE(RIGHT($BU77,3)),""))</f>
        <v/>
      </c>
      <c r="CA77">
        <f>IF($X77="","",IFERROR(IF(ISNUMBER($X77),$X77,DATEVALUE(TRIM($X77))),""))</f>
        <v/>
      </c>
      <c r="CB77">
        <f>IF($CA77="","",IF(MONTH($CA77)&gt;=12,"Cold Winter",IF(MONTH($CA77)&gt;=10,"Post-Monsoon",IF(MONTH($CA77)&gt;=6,"Hot Humid",IF(MONTH($CA77)&gt;=3,"Hot Dry","Cold Winter")))))</f>
        <v/>
      </c>
      <c r="CC77">
        <f>IF($BV77="","",IFERROR(VLOOKUP($BV77,DECODE!$A$3:$C$8,2,FALSE),"?"))</f>
        <v/>
      </c>
      <c r="CD77">
        <f>IF($S77="","",UPPER(TRIM(LEFT($S77&amp;",",FIND(",",$S77&amp;",")-1))))</f>
        <v/>
      </c>
      <c r="CE77">
        <f>IF($CD77="","",MID($CD77,4,FIND("~",SUBSTITUTE($CD77,"-","~",2))-4))</f>
        <v/>
      </c>
      <c r="CF77">
        <f>IF($CD77="","",MID($CD77,FIND("~",SUBSTITUTE($CD77,"-","~",2))+1,FIND("~",SUBSTITUTE($CD77,"-","~",3))-FIND("~",SUBSTITUTE($CD77,"-","~",2))-1))</f>
        <v/>
      </c>
      <c r="CG77">
        <f>IF($CE77="","",IFERROR(VLOOKUP($CE77,DECODE!$A$3:$C$8,3,FALSE),"?"))</f>
        <v/>
      </c>
      <c r="CH77">
        <f>IF($CF77="","",IFERROR(VLOOKUP($CE77&amp;"-"&amp;$CF77,DECODE!$E$3:$F$21,2,FALSE),"?"))</f>
        <v/>
      </c>
      <c r="CI77">
        <f>IF($CD77="","",IFERROR(VALUE(RIGHT($CD77,3)),""))</f>
        <v/>
      </c>
      <c r="CJ77">
        <f>IF($Y77="","",IFERROR(IF(ISNUMBER($Y77),$Y77,DATEVALUE(TRIM($Y77))),""))</f>
        <v/>
      </c>
      <c r="CK77">
        <f>IF($CJ77="","",IF(MONTH($CJ77)&gt;=12,"Cold Winter",IF(MONTH($CJ77)&gt;=10,"Post-Monsoon",IF(MONTH($CJ77)&gt;=6,"Hot Humid",IF(MONTH($CJ77)&gt;=3,"Hot Dry","Cold Winter")))))</f>
        <v/>
      </c>
      <c r="CL77">
        <f>IF($CE77="","",IFERROR(VLOOKUP($CE77,DECODE!$A$3:$C$8,2,FALSE),"?"))</f>
        <v/>
      </c>
      <c r="CM77">
        <f>IF($AN77="","",AN77)</f>
        <v/>
      </c>
      <c r="CN77">
        <f>IF($AO77="","",AO77)</f>
        <v/>
      </c>
      <c r="CO77">
        <f>IF($AP77="","",AP77)</f>
        <v/>
      </c>
      <c r="CP77">
        <f>IF($CM77="","",IF($CM77="Aloe Vera Gel","Aloe Vera Gel "&amp;$CO77&amp;"g",CN77&amp;" "&amp;$CO77&amp;"g"))</f>
        <v/>
      </c>
      <c r="CQ77">
        <f>IF($AT77="",0,1)</f>
        <v/>
      </c>
      <c r="CR77">
        <f>IF($CQ77=0,"",AW77)</f>
        <v/>
      </c>
      <c r="CS77">
        <f>IF($CQ77=0,"",AX77)</f>
        <v/>
      </c>
      <c r="CT77">
        <f>IF($CQ77=0,"",AY77)</f>
        <v/>
      </c>
      <c r="CU77">
        <f>IF($CR77="","",IF($CR77="Aloe Vera Gel","Aloe Vera Gel "&amp;$CT77&amp;"g",CS77&amp;" "&amp;$CT77&amp;"g"))</f>
        <v/>
      </c>
      <c r="CV77">
        <f>IF($CQ77=0,"",IF($CP77=$CU77,"Repeat Exact",IF($CT77&gt;$CO77,"Upsized",IF($CT77&lt;$CO77,"Downsized",IF($CM77&lt;&gt;$CR77,"Lateral","Same Size Diff Variant")))))</f>
        <v/>
      </c>
      <c r="CW77">
        <f>IF($CQ77=0,"",AZ77-AQ77)</f>
        <v/>
      </c>
      <c r="CX77">
        <f>IF($CQ77=0,0,IF(CS77=CN77,1,0))</f>
        <v/>
      </c>
      <c r="CY77">
        <f>IF($CQ77=0,0,IF(CR77=CM77,1,0))</f>
        <v/>
      </c>
      <c r="CZ77">
        <f>IF($A77="","",IF(AND(IF(DASHBOARD!$C$4="All",TRUE,$CM77=DASHBOARD!$C$4),IF(DASHBOARD!$C$6="All",TRUE,$CP77=DASHBOARD!$C$6),IF(DASHBOARD!$C$8="All",TRUE,$AF77&gt;=DASHBOARD!$C$8),IF(DASHBOARD!$C$10="All",TRUE,$AF77&lt;=DASHBOARD!$C$10),IF(DASHBOARD!$C$12="All",TRUE,$AH77=VALUE(DASHBOARD!$C$12)),IF(DASHBOARD!$C$14="All",TRUE,$AJ77=DASHBOARD!$C$14)),1,0))</f>
        <v/>
      </c>
    </row>
    <row r="78">
      <c r="A78" t="n">
        <v>48601</v>
      </c>
      <c r="B78" t="inlineStr">
        <is>
          <t>Aloe Vera Gel</t>
        </is>
      </c>
      <c r="C78" t="inlineStr">
        <is>
          <t>Aloe Vera Gel</t>
        </is>
      </c>
      <c r="H78" t="inlineStr">
        <is>
          <t>Aloe Vera Gel - 40 gms</t>
        </is>
      </c>
      <c r="I78" t="inlineStr">
        <is>
          <t>Aloe Vera Gel - 80 gms</t>
        </is>
      </c>
      <c r="N78" t="inlineStr">
        <is>
          <t>FC-HG-PA-040</t>
        </is>
      </c>
      <c r="O78" t="inlineStr">
        <is>
          <t>FC-HG-PA-080</t>
        </is>
      </c>
      <c r="T78" t="inlineStr">
        <is>
          <t>Jan 14, 2025</t>
        </is>
      </c>
      <c r="U78" t="inlineStr">
        <is>
          <t>Jan 12, 2026</t>
        </is>
      </c>
      <c r="Z78" t="n">
        <v>363</v>
      </c>
      <c r="AE78" t="inlineStr">
        <is>
          <t>Gurgaon</t>
        </is>
      </c>
      <c r="AF78" t="inlineStr">
        <is>
          <t>2025-01</t>
        </is>
      </c>
      <c r="AG78" t="n">
        <v>1</v>
      </c>
      <c r="AH78" t="n">
        <v>2</v>
      </c>
      <c r="AI78" t="n">
        <v>1</v>
      </c>
      <c r="AJ78">
        <f>IF($AE78="","",IFERROR(VLOOKUP(TRIM($AE78),DECODE!$H$3:$I$60,2,FALSE),"Rest of India"))</f>
        <v/>
      </c>
      <c r="AK78">
        <f>IF($N78="","",UPPER(TRIM(LEFT($N78&amp;",",FIND(",",$N78&amp;",")-1))))</f>
        <v/>
      </c>
      <c r="AL78">
        <f>IF($AK78="","",MID($AK78,4,FIND("~",SUBSTITUTE($AK78,"-","~",2))-4))</f>
        <v/>
      </c>
      <c r="AM78">
        <f>IF($AK78="","",MID($AK78,FIND("~",SUBSTITUTE($AK78,"-","~",2))+1,FIND("~",SUBSTITUTE($AK78,"-","~",3))-FIND("~",SUBSTITUTE($AK78,"-","~",2))-1))</f>
        <v/>
      </c>
      <c r="AN78">
        <f>IF($AL78="","",IFERROR(VLOOKUP($AL78,DECODE!$A$3:$C$8,3,FALSE),"?"))</f>
        <v/>
      </c>
      <c r="AO78">
        <f>IF($AM78="","",IFERROR(VLOOKUP($AL78&amp;"-"&amp;$AM78,DECODE!$E$3:$F$21,2,FALSE),"?"))</f>
        <v/>
      </c>
      <c r="AP78">
        <f>IF($AK78="","",IFERROR(VALUE(RIGHT($AK78,3)),""))</f>
        <v/>
      </c>
      <c r="AQ78">
        <f>IF($T78="","",IFERROR(IF(ISNUMBER($T78),$T78,DATEVALUE(TRIM($T78))),""))</f>
        <v/>
      </c>
      <c r="AR78">
        <f>IF($AQ78="","",IF(MONTH($AQ78)&gt;=12,"Cold Winter",IF(MONTH($AQ78)&gt;=10,"Post-Monsoon",IF(MONTH($AQ78)&gt;=6,"Hot Humid",IF(MONTH($AQ78)&gt;=3,"Hot Dry","Cold Winter")))))</f>
        <v/>
      </c>
      <c r="AS78">
        <f>IF($AL78="","",IFERROR(VLOOKUP($AL78,DECODE!$A$3:$C$8,2,FALSE),"?"))</f>
        <v/>
      </c>
      <c r="AT78">
        <f>IF($O78="","",UPPER(TRIM(LEFT($O78&amp;",",FIND(",",$O78&amp;",")-1))))</f>
        <v/>
      </c>
      <c r="AU78">
        <f>IF($AT78="","",MID($AT78,4,FIND("~",SUBSTITUTE($AT78,"-","~",2))-4))</f>
        <v/>
      </c>
      <c r="AV78">
        <f>IF($AT78="","",MID($AT78,FIND("~",SUBSTITUTE($AT78,"-","~",2))+1,FIND("~",SUBSTITUTE($AT78,"-","~",3))-FIND("~",SUBSTITUTE($AT78,"-","~",2))-1))</f>
        <v/>
      </c>
      <c r="AW78">
        <f>IF($AU78="","",IFERROR(VLOOKUP($AU78,DECODE!$A$3:$C$8,3,FALSE),"?"))</f>
        <v/>
      </c>
      <c r="AX78">
        <f>IF($AV78="","",IFERROR(VLOOKUP($AU78&amp;"-"&amp;$AV78,DECODE!$E$3:$F$21,2,FALSE),"?"))</f>
        <v/>
      </c>
      <c r="AY78">
        <f>IF($AT78="","",IFERROR(VALUE(RIGHT($AT78,3)),""))</f>
        <v/>
      </c>
      <c r="AZ78">
        <f>IF($U78="","",IFERROR(IF(ISNUMBER($U78),$U78,DATEVALUE(TRIM($U78))),""))</f>
        <v/>
      </c>
      <c r="BA78">
        <f>IF($AZ78="","",IF(MONTH($AZ78)&gt;=12,"Cold Winter",IF(MONTH($AZ78)&gt;=10,"Post-Monsoon",IF(MONTH($AZ78)&gt;=6,"Hot Humid",IF(MONTH($AZ78)&gt;=3,"Hot Dry","Cold Winter")))))</f>
        <v/>
      </c>
      <c r="BB78">
        <f>IF($AU78="","",IFERROR(VLOOKUP($AU78,DECODE!$A$3:$C$8,2,FALSE),"?"))</f>
        <v/>
      </c>
      <c r="BC78">
        <f>IF($P78="","",UPPER(TRIM(LEFT($P78&amp;",",FIND(",",$P78&amp;",")-1))))</f>
        <v/>
      </c>
      <c r="BD78">
        <f>IF($BC78="","",MID($BC78,4,FIND("~",SUBSTITUTE($BC78,"-","~",2))-4))</f>
        <v/>
      </c>
      <c r="BE78">
        <f>IF($BC78="","",MID($BC78,FIND("~",SUBSTITUTE($BC78,"-","~",2))+1,FIND("~",SUBSTITUTE($BC78,"-","~",3))-FIND("~",SUBSTITUTE($BC78,"-","~",2))-1))</f>
        <v/>
      </c>
      <c r="BF78">
        <f>IF($BD78="","",IFERROR(VLOOKUP($BD78,DECODE!$A$3:$C$8,3,FALSE),"?"))</f>
        <v/>
      </c>
      <c r="BG78">
        <f>IF($BE78="","",IFERROR(VLOOKUP($BD78&amp;"-"&amp;$BE78,DECODE!$E$3:$F$21,2,FALSE),"?"))</f>
        <v/>
      </c>
      <c r="BH78">
        <f>IF($BC78="","",IFERROR(VALUE(RIGHT($BC78,3)),""))</f>
        <v/>
      </c>
      <c r="BI78">
        <f>IF($V78="","",IFERROR(IF(ISNUMBER($V78),$V78,DATEVALUE(TRIM($V78))),""))</f>
        <v/>
      </c>
      <c r="BJ78">
        <f>IF($BI78="","",IF(MONTH($BI78)&gt;=12,"Cold Winter",IF(MONTH($BI78)&gt;=10,"Post-Monsoon",IF(MONTH($BI78)&gt;=6,"Hot Humid",IF(MONTH($BI78)&gt;=3,"Hot Dry","Cold Winter")))))</f>
        <v/>
      </c>
      <c r="BK78">
        <f>IF($BD78="","",IFERROR(VLOOKUP($BD78,DECODE!$A$3:$C$8,2,FALSE),"?"))</f>
        <v/>
      </c>
      <c r="BL78">
        <f>IF($Q78="","",UPPER(TRIM(LEFT($Q78&amp;",",FIND(",",$Q78&amp;",")-1))))</f>
        <v/>
      </c>
      <c r="BM78">
        <f>IF($BL78="","",MID($BL78,4,FIND("~",SUBSTITUTE($BL78,"-","~",2))-4))</f>
        <v/>
      </c>
      <c r="BN78">
        <f>IF($BL78="","",MID($BL78,FIND("~",SUBSTITUTE($BL78,"-","~",2))+1,FIND("~",SUBSTITUTE($BL78,"-","~",3))-FIND("~",SUBSTITUTE($BL78,"-","~",2))-1))</f>
        <v/>
      </c>
      <c r="BO78">
        <f>IF($BM78="","",IFERROR(VLOOKUP($BM78,DECODE!$A$3:$C$8,3,FALSE),"?"))</f>
        <v/>
      </c>
      <c r="BP78">
        <f>IF($BN78="","",IFERROR(VLOOKUP($BM78&amp;"-"&amp;$BN78,DECODE!$E$3:$F$21,2,FALSE),"?"))</f>
        <v/>
      </c>
      <c r="BQ78">
        <f>IF($BL78="","",IFERROR(VALUE(RIGHT($BL78,3)),""))</f>
        <v/>
      </c>
      <c r="BR78">
        <f>IF($W78="","",IFERROR(IF(ISNUMBER($W78),$W78,DATEVALUE(TRIM($W78))),""))</f>
        <v/>
      </c>
      <c r="BS78">
        <f>IF($BR78="","",IF(MONTH($BR78)&gt;=12,"Cold Winter",IF(MONTH($BR78)&gt;=10,"Post-Monsoon",IF(MONTH($BR78)&gt;=6,"Hot Humid",IF(MONTH($BR78)&gt;=3,"Hot Dry","Cold Winter")))))</f>
        <v/>
      </c>
      <c r="BT78">
        <f>IF($BM78="","",IFERROR(VLOOKUP($BM78,DECODE!$A$3:$C$8,2,FALSE),"?"))</f>
        <v/>
      </c>
      <c r="BU78">
        <f>IF($R78="","",UPPER(TRIM(LEFT($R78&amp;",",FIND(",",$R78&amp;",")-1))))</f>
        <v/>
      </c>
      <c r="BV78">
        <f>IF($BU78="","",MID($BU78,4,FIND("~",SUBSTITUTE($BU78,"-","~",2))-4))</f>
        <v/>
      </c>
      <c r="BW78">
        <f>IF($BU78="","",MID($BU78,FIND("~",SUBSTITUTE($BU78,"-","~",2))+1,FIND("~",SUBSTITUTE($BU78,"-","~",3))-FIND("~",SUBSTITUTE($BU78,"-","~",2))-1))</f>
        <v/>
      </c>
      <c r="BX78">
        <f>IF($BV78="","",IFERROR(VLOOKUP($BV78,DECODE!$A$3:$C$8,3,FALSE),"?"))</f>
        <v/>
      </c>
      <c r="BY78">
        <f>IF($BW78="","",IFERROR(VLOOKUP($BV78&amp;"-"&amp;$BW78,DECODE!$E$3:$F$21,2,FALSE),"?"))</f>
        <v/>
      </c>
      <c r="BZ78">
        <f>IF($BU78="","",IFERROR(VALUE(RIGHT($BU78,3)),""))</f>
        <v/>
      </c>
      <c r="CA78">
        <f>IF($X78="","",IFERROR(IF(ISNUMBER($X78),$X78,DATEVALUE(TRIM($X78))),""))</f>
        <v/>
      </c>
      <c r="CB78">
        <f>IF($CA78="","",IF(MONTH($CA78)&gt;=12,"Cold Winter",IF(MONTH($CA78)&gt;=10,"Post-Monsoon",IF(MONTH($CA78)&gt;=6,"Hot Humid",IF(MONTH($CA78)&gt;=3,"Hot Dry","Cold Winter")))))</f>
        <v/>
      </c>
      <c r="CC78">
        <f>IF($BV78="","",IFERROR(VLOOKUP($BV78,DECODE!$A$3:$C$8,2,FALSE),"?"))</f>
        <v/>
      </c>
      <c r="CD78">
        <f>IF($S78="","",UPPER(TRIM(LEFT($S78&amp;",",FIND(",",$S78&amp;",")-1))))</f>
        <v/>
      </c>
      <c r="CE78">
        <f>IF($CD78="","",MID($CD78,4,FIND("~",SUBSTITUTE($CD78,"-","~",2))-4))</f>
        <v/>
      </c>
      <c r="CF78">
        <f>IF($CD78="","",MID($CD78,FIND("~",SUBSTITUTE($CD78,"-","~",2))+1,FIND("~",SUBSTITUTE($CD78,"-","~",3))-FIND("~",SUBSTITUTE($CD78,"-","~",2))-1))</f>
        <v/>
      </c>
      <c r="CG78">
        <f>IF($CE78="","",IFERROR(VLOOKUP($CE78,DECODE!$A$3:$C$8,3,FALSE),"?"))</f>
        <v/>
      </c>
      <c r="CH78">
        <f>IF($CF78="","",IFERROR(VLOOKUP($CE78&amp;"-"&amp;$CF78,DECODE!$E$3:$F$21,2,FALSE),"?"))</f>
        <v/>
      </c>
      <c r="CI78">
        <f>IF($CD78="","",IFERROR(VALUE(RIGHT($CD78,3)),""))</f>
        <v/>
      </c>
      <c r="CJ78">
        <f>IF($Y78="","",IFERROR(IF(ISNUMBER($Y78),$Y78,DATEVALUE(TRIM($Y78))),""))</f>
        <v/>
      </c>
      <c r="CK78">
        <f>IF($CJ78="","",IF(MONTH($CJ78)&gt;=12,"Cold Winter",IF(MONTH($CJ78)&gt;=10,"Post-Monsoon",IF(MONTH($CJ78)&gt;=6,"Hot Humid",IF(MONTH($CJ78)&gt;=3,"Hot Dry","Cold Winter")))))</f>
        <v/>
      </c>
      <c r="CL78">
        <f>IF($CE78="","",IFERROR(VLOOKUP($CE78,DECODE!$A$3:$C$8,2,FALSE),"?"))</f>
        <v/>
      </c>
      <c r="CM78">
        <f>IF($AN78="","",AN78)</f>
        <v/>
      </c>
      <c r="CN78">
        <f>IF($AO78="","",AO78)</f>
        <v/>
      </c>
      <c r="CO78">
        <f>IF($AP78="","",AP78)</f>
        <v/>
      </c>
      <c r="CP78">
        <f>IF($CM78="","",IF($CM78="Aloe Vera Gel","Aloe Vera Gel "&amp;$CO78&amp;"g",CN78&amp;" "&amp;$CO78&amp;"g"))</f>
        <v/>
      </c>
      <c r="CQ78">
        <f>IF($AT78="",0,1)</f>
        <v/>
      </c>
      <c r="CR78">
        <f>IF($CQ78=0,"",AW78)</f>
        <v/>
      </c>
      <c r="CS78">
        <f>IF($CQ78=0,"",AX78)</f>
        <v/>
      </c>
      <c r="CT78">
        <f>IF($CQ78=0,"",AY78)</f>
        <v/>
      </c>
      <c r="CU78">
        <f>IF($CR78="","",IF($CR78="Aloe Vera Gel","Aloe Vera Gel "&amp;$CT78&amp;"g",CS78&amp;" "&amp;$CT78&amp;"g"))</f>
        <v/>
      </c>
      <c r="CV78">
        <f>IF($CQ78=0,"",IF($CP78=$CU78,"Repeat Exact",IF($CT78&gt;$CO78,"Upsized",IF($CT78&lt;$CO78,"Downsized",IF($CM78&lt;&gt;$CR78,"Lateral","Same Size Diff Variant")))))</f>
        <v/>
      </c>
      <c r="CW78">
        <f>IF($CQ78=0,"",AZ78-AQ78)</f>
        <v/>
      </c>
      <c r="CX78">
        <f>IF($CQ78=0,0,IF(CS78=CN78,1,0))</f>
        <v/>
      </c>
      <c r="CY78">
        <f>IF($CQ78=0,0,IF(CR78=CM78,1,0))</f>
        <v/>
      </c>
      <c r="CZ78">
        <f>IF($A78="","",IF(AND(IF(DASHBOARD!$C$4="All",TRUE,$CM78=DASHBOARD!$C$4),IF(DASHBOARD!$C$6="All",TRUE,$CP78=DASHBOARD!$C$6),IF(DASHBOARD!$C$8="All",TRUE,$AF78&gt;=DASHBOARD!$C$8),IF(DASHBOARD!$C$10="All",TRUE,$AF78&lt;=DASHBOARD!$C$10),IF(DASHBOARD!$C$12="All",TRUE,$AH78=VALUE(DASHBOARD!$C$12)),IF(DASHBOARD!$C$14="All",TRUE,$AJ78=DASHBOARD!$C$14)),1,0))</f>
        <v/>
      </c>
    </row>
    <row r="79">
      <c r="A79" t="n">
        <v>48781</v>
      </c>
      <c r="B79" t="inlineStr">
        <is>
          <t>Face Malai</t>
        </is>
      </c>
      <c r="C79" t="inlineStr">
        <is>
          <t>Face Malai</t>
        </is>
      </c>
      <c r="H79" t="inlineStr">
        <is>
          <t>Tomato Vetiver (Hot Humid) 20 - 35 Yrs Face Malai</t>
        </is>
      </c>
      <c r="I79" t="inlineStr">
        <is>
          <t>Tomato Vetiver (Hot Humid) 20 - 35 Yrs Face Malai</t>
        </is>
      </c>
      <c r="N79" t="inlineStr">
        <is>
          <t>FC-HHDM-TV-030</t>
        </is>
      </c>
      <c r="O79" t="inlineStr">
        <is>
          <t>FC-HHDM-TV-030</t>
        </is>
      </c>
      <c r="T79" t="inlineStr">
        <is>
          <t>Apr 30, 2025</t>
        </is>
      </c>
      <c r="U79" t="inlineStr">
        <is>
          <t>May 15, 2025</t>
        </is>
      </c>
      <c r="Z79" t="n">
        <v>15</v>
      </c>
      <c r="AE79" t="inlineStr">
        <is>
          <t>Secunderabad</t>
        </is>
      </c>
      <c r="AF79" t="inlineStr">
        <is>
          <t>2025-04</t>
        </is>
      </c>
      <c r="AG79" t="n">
        <v>4</v>
      </c>
      <c r="AH79" t="n">
        <v>2</v>
      </c>
      <c r="AI79" t="n">
        <v>1</v>
      </c>
      <c r="AJ79">
        <f>IF($AE79="","",IFERROR(VLOOKUP(TRIM($AE79),DECODE!$H$3:$I$60,2,FALSE),"Rest of India"))</f>
        <v/>
      </c>
      <c r="AK79">
        <f>IF($N79="","",UPPER(TRIM(LEFT($N79&amp;",",FIND(",",$N79&amp;",")-1))))</f>
        <v/>
      </c>
      <c r="AL79">
        <f>IF($AK79="","",MID($AK79,4,FIND("~",SUBSTITUTE($AK79,"-","~",2))-4))</f>
        <v/>
      </c>
      <c r="AM79">
        <f>IF($AK79="","",MID($AK79,FIND("~",SUBSTITUTE($AK79,"-","~",2))+1,FIND("~",SUBSTITUTE($AK79,"-","~",3))-FIND("~",SUBSTITUTE($AK79,"-","~",2))-1))</f>
        <v/>
      </c>
      <c r="AN79">
        <f>IF($AL79="","",IFERROR(VLOOKUP($AL79,DECODE!$A$3:$C$8,3,FALSE),"?"))</f>
        <v/>
      </c>
      <c r="AO79">
        <f>IF($AM79="","",IFERROR(VLOOKUP($AL79&amp;"-"&amp;$AM79,DECODE!$E$3:$F$21,2,FALSE),"?"))</f>
        <v/>
      </c>
      <c r="AP79">
        <f>IF($AK79="","",IFERROR(VALUE(RIGHT($AK79,3)),""))</f>
        <v/>
      </c>
      <c r="AQ79">
        <f>IF($T79="","",IFERROR(IF(ISNUMBER($T79),$T79,DATEVALUE(TRIM($T79))),""))</f>
        <v/>
      </c>
      <c r="AR79">
        <f>IF($AQ79="","",IF(MONTH($AQ79)&gt;=12,"Cold Winter",IF(MONTH($AQ79)&gt;=10,"Post-Monsoon",IF(MONTH($AQ79)&gt;=6,"Hot Humid",IF(MONTH($AQ79)&gt;=3,"Hot Dry","Cold Winter")))))</f>
        <v/>
      </c>
      <c r="AS79">
        <f>IF($AL79="","",IFERROR(VLOOKUP($AL79,DECODE!$A$3:$C$8,2,FALSE),"?"))</f>
        <v/>
      </c>
      <c r="AT79">
        <f>IF($O79="","",UPPER(TRIM(LEFT($O79&amp;",",FIND(",",$O79&amp;",")-1))))</f>
        <v/>
      </c>
      <c r="AU79">
        <f>IF($AT79="","",MID($AT79,4,FIND("~",SUBSTITUTE($AT79,"-","~",2))-4))</f>
        <v/>
      </c>
      <c r="AV79">
        <f>IF($AT79="","",MID($AT79,FIND("~",SUBSTITUTE($AT79,"-","~",2))+1,FIND("~",SUBSTITUTE($AT79,"-","~",3))-FIND("~",SUBSTITUTE($AT79,"-","~",2))-1))</f>
        <v/>
      </c>
      <c r="AW79">
        <f>IF($AU79="","",IFERROR(VLOOKUP($AU79,DECODE!$A$3:$C$8,3,FALSE),"?"))</f>
        <v/>
      </c>
      <c r="AX79">
        <f>IF($AV79="","",IFERROR(VLOOKUP($AU79&amp;"-"&amp;$AV79,DECODE!$E$3:$F$21,2,FALSE),"?"))</f>
        <v/>
      </c>
      <c r="AY79">
        <f>IF($AT79="","",IFERROR(VALUE(RIGHT($AT79,3)),""))</f>
        <v/>
      </c>
      <c r="AZ79">
        <f>IF($U79="","",IFERROR(IF(ISNUMBER($U79),$U79,DATEVALUE(TRIM($U79))),""))</f>
        <v/>
      </c>
      <c r="BA79">
        <f>IF($AZ79="","",IF(MONTH($AZ79)&gt;=12,"Cold Winter",IF(MONTH($AZ79)&gt;=10,"Post-Monsoon",IF(MONTH($AZ79)&gt;=6,"Hot Humid",IF(MONTH($AZ79)&gt;=3,"Hot Dry","Cold Winter")))))</f>
        <v/>
      </c>
      <c r="BB79">
        <f>IF($AU79="","",IFERROR(VLOOKUP($AU79,DECODE!$A$3:$C$8,2,FALSE),"?"))</f>
        <v/>
      </c>
      <c r="BC79">
        <f>IF($P79="","",UPPER(TRIM(LEFT($P79&amp;",",FIND(",",$P79&amp;",")-1))))</f>
        <v/>
      </c>
      <c r="BD79">
        <f>IF($BC79="","",MID($BC79,4,FIND("~",SUBSTITUTE($BC79,"-","~",2))-4))</f>
        <v/>
      </c>
      <c r="BE79">
        <f>IF($BC79="","",MID($BC79,FIND("~",SUBSTITUTE($BC79,"-","~",2))+1,FIND("~",SUBSTITUTE($BC79,"-","~",3))-FIND("~",SUBSTITUTE($BC79,"-","~",2))-1))</f>
        <v/>
      </c>
      <c r="BF79">
        <f>IF($BD79="","",IFERROR(VLOOKUP($BD79,DECODE!$A$3:$C$8,3,FALSE),"?"))</f>
        <v/>
      </c>
      <c r="BG79">
        <f>IF($BE79="","",IFERROR(VLOOKUP($BD79&amp;"-"&amp;$BE79,DECODE!$E$3:$F$21,2,FALSE),"?"))</f>
        <v/>
      </c>
      <c r="BH79">
        <f>IF($BC79="","",IFERROR(VALUE(RIGHT($BC79,3)),""))</f>
        <v/>
      </c>
      <c r="BI79">
        <f>IF($V79="","",IFERROR(IF(ISNUMBER($V79),$V79,DATEVALUE(TRIM($V79))),""))</f>
        <v/>
      </c>
      <c r="BJ79">
        <f>IF($BI79="","",IF(MONTH($BI79)&gt;=12,"Cold Winter",IF(MONTH($BI79)&gt;=10,"Post-Monsoon",IF(MONTH($BI79)&gt;=6,"Hot Humid",IF(MONTH($BI79)&gt;=3,"Hot Dry","Cold Winter")))))</f>
        <v/>
      </c>
      <c r="BK79">
        <f>IF($BD79="","",IFERROR(VLOOKUP($BD79,DECODE!$A$3:$C$8,2,FALSE),"?"))</f>
        <v/>
      </c>
      <c r="BL79">
        <f>IF($Q79="","",UPPER(TRIM(LEFT($Q79&amp;",",FIND(",",$Q79&amp;",")-1))))</f>
        <v/>
      </c>
      <c r="BM79">
        <f>IF($BL79="","",MID($BL79,4,FIND("~",SUBSTITUTE($BL79,"-","~",2))-4))</f>
        <v/>
      </c>
      <c r="BN79">
        <f>IF($BL79="","",MID($BL79,FIND("~",SUBSTITUTE($BL79,"-","~",2))+1,FIND("~",SUBSTITUTE($BL79,"-","~",3))-FIND("~",SUBSTITUTE($BL79,"-","~",2))-1))</f>
        <v/>
      </c>
      <c r="BO79">
        <f>IF($BM79="","",IFERROR(VLOOKUP($BM79,DECODE!$A$3:$C$8,3,FALSE),"?"))</f>
        <v/>
      </c>
      <c r="BP79">
        <f>IF($BN79="","",IFERROR(VLOOKUP($BM79&amp;"-"&amp;$BN79,DECODE!$E$3:$F$21,2,FALSE),"?"))</f>
        <v/>
      </c>
      <c r="BQ79">
        <f>IF($BL79="","",IFERROR(VALUE(RIGHT($BL79,3)),""))</f>
        <v/>
      </c>
      <c r="BR79">
        <f>IF($W79="","",IFERROR(IF(ISNUMBER($W79),$W79,DATEVALUE(TRIM($W79))),""))</f>
        <v/>
      </c>
      <c r="BS79">
        <f>IF($BR79="","",IF(MONTH($BR79)&gt;=12,"Cold Winter",IF(MONTH($BR79)&gt;=10,"Post-Monsoon",IF(MONTH($BR79)&gt;=6,"Hot Humid",IF(MONTH($BR79)&gt;=3,"Hot Dry","Cold Winter")))))</f>
        <v/>
      </c>
      <c r="BT79">
        <f>IF($BM79="","",IFERROR(VLOOKUP($BM79,DECODE!$A$3:$C$8,2,FALSE),"?"))</f>
        <v/>
      </c>
      <c r="BU79">
        <f>IF($R79="","",UPPER(TRIM(LEFT($R79&amp;",",FIND(",",$R79&amp;",")-1))))</f>
        <v/>
      </c>
      <c r="BV79">
        <f>IF($BU79="","",MID($BU79,4,FIND("~",SUBSTITUTE($BU79,"-","~",2))-4))</f>
        <v/>
      </c>
      <c r="BW79">
        <f>IF($BU79="","",MID($BU79,FIND("~",SUBSTITUTE($BU79,"-","~",2))+1,FIND("~",SUBSTITUTE($BU79,"-","~",3))-FIND("~",SUBSTITUTE($BU79,"-","~",2))-1))</f>
        <v/>
      </c>
      <c r="BX79">
        <f>IF($BV79="","",IFERROR(VLOOKUP($BV79,DECODE!$A$3:$C$8,3,FALSE),"?"))</f>
        <v/>
      </c>
      <c r="BY79">
        <f>IF($BW79="","",IFERROR(VLOOKUP($BV79&amp;"-"&amp;$BW79,DECODE!$E$3:$F$21,2,FALSE),"?"))</f>
        <v/>
      </c>
      <c r="BZ79">
        <f>IF($BU79="","",IFERROR(VALUE(RIGHT($BU79,3)),""))</f>
        <v/>
      </c>
      <c r="CA79">
        <f>IF($X79="","",IFERROR(IF(ISNUMBER($X79),$X79,DATEVALUE(TRIM($X79))),""))</f>
        <v/>
      </c>
      <c r="CB79">
        <f>IF($CA79="","",IF(MONTH($CA79)&gt;=12,"Cold Winter",IF(MONTH($CA79)&gt;=10,"Post-Monsoon",IF(MONTH($CA79)&gt;=6,"Hot Humid",IF(MONTH($CA79)&gt;=3,"Hot Dry","Cold Winter")))))</f>
        <v/>
      </c>
      <c r="CC79">
        <f>IF($BV79="","",IFERROR(VLOOKUP($BV79,DECODE!$A$3:$C$8,2,FALSE),"?"))</f>
        <v/>
      </c>
      <c r="CD79">
        <f>IF($S79="","",UPPER(TRIM(LEFT($S79&amp;",",FIND(",",$S79&amp;",")-1))))</f>
        <v/>
      </c>
      <c r="CE79">
        <f>IF($CD79="","",MID($CD79,4,FIND("~",SUBSTITUTE($CD79,"-","~",2))-4))</f>
        <v/>
      </c>
      <c r="CF79">
        <f>IF($CD79="","",MID($CD79,FIND("~",SUBSTITUTE($CD79,"-","~",2))+1,FIND("~",SUBSTITUTE($CD79,"-","~",3))-FIND("~",SUBSTITUTE($CD79,"-","~",2))-1))</f>
        <v/>
      </c>
      <c r="CG79">
        <f>IF($CE79="","",IFERROR(VLOOKUP($CE79,DECODE!$A$3:$C$8,3,FALSE),"?"))</f>
        <v/>
      </c>
      <c r="CH79">
        <f>IF($CF79="","",IFERROR(VLOOKUP($CE79&amp;"-"&amp;$CF79,DECODE!$E$3:$F$21,2,FALSE),"?"))</f>
        <v/>
      </c>
      <c r="CI79">
        <f>IF($CD79="","",IFERROR(VALUE(RIGHT($CD79,3)),""))</f>
        <v/>
      </c>
      <c r="CJ79">
        <f>IF($Y79="","",IFERROR(IF(ISNUMBER($Y79),$Y79,DATEVALUE(TRIM($Y79))),""))</f>
        <v/>
      </c>
      <c r="CK79">
        <f>IF($CJ79="","",IF(MONTH($CJ79)&gt;=12,"Cold Winter",IF(MONTH($CJ79)&gt;=10,"Post-Monsoon",IF(MONTH($CJ79)&gt;=6,"Hot Humid",IF(MONTH($CJ79)&gt;=3,"Hot Dry","Cold Winter")))))</f>
        <v/>
      </c>
      <c r="CL79">
        <f>IF($CE79="","",IFERROR(VLOOKUP($CE79,DECODE!$A$3:$C$8,2,FALSE),"?"))</f>
        <v/>
      </c>
      <c r="CM79">
        <f>IF($AN79="","",AN79)</f>
        <v/>
      </c>
      <c r="CN79">
        <f>IF($AO79="","",AO79)</f>
        <v/>
      </c>
      <c r="CO79">
        <f>IF($AP79="","",AP79)</f>
        <v/>
      </c>
      <c r="CP79">
        <f>IF($CM79="","",IF($CM79="Aloe Vera Gel","Aloe Vera Gel "&amp;$CO79&amp;"g",CN79&amp;" "&amp;$CO79&amp;"g"))</f>
        <v/>
      </c>
      <c r="CQ79">
        <f>IF($AT79="",0,1)</f>
        <v/>
      </c>
      <c r="CR79">
        <f>IF($CQ79=0,"",AW79)</f>
        <v/>
      </c>
      <c r="CS79">
        <f>IF($CQ79=0,"",AX79)</f>
        <v/>
      </c>
      <c r="CT79">
        <f>IF($CQ79=0,"",AY79)</f>
        <v/>
      </c>
      <c r="CU79">
        <f>IF($CR79="","",IF($CR79="Aloe Vera Gel","Aloe Vera Gel "&amp;$CT79&amp;"g",CS79&amp;" "&amp;$CT79&amp;"g"))</f>
        <v/>
      </c>
      <c r="CV79">
        <f>IF($CQ79=0,"",IF($CP79=$CU79,"Repeat Exact",IF($CT79&gt;$CO79,"Upsized",IF($CT79&lt;$CO79,"Downsized",IF($CM79&lt;&gt;$CR79,"Lateral","Same Size Diff Variant")))))</f>
        <v/>
      </c>
      <c r="CW79">
        <f>IF($CQ79=0,"",AZ79-AQ79)</f>
        <v/>
      </c>
      <c r="CX79">
        <f>IF($CQ79=0,0,IF(CS79=CN79,1,0))</f>
        <v/>
      </c>
      <c r="CY79">
        <f>IF($CQ79=0,0,IF(CR79=CM79,1,0))</f>
        <v/>
      </c>
      <c r="CZ79">
        <f>IF($A79="","",IF(AND(IF(DASHBOARD!$C$4="All",TRUE,$CM79=DASHBOARD!$C$4),IF(DASHBOARD!$C$6="All",TRUE,$CP79=DASHBOARD!$C$6),IF(DASHBOARD!$C$8="All",TRUE,$AF79&gt;=DASHBOARD!$C$8),IF(DASHBOARD!$C$10="All",TRUE,$AF79&lt;=DASHBOARD!$C$10),IF(DASHBOARD!$C$12="All",TRUE,$AH79=VALUE(DASHBOARD!$C$12)),IF(DASHBOARD!$C$14="All",TRUE,$AJ79=DASHBOARD!$C$14)),1,0))</f>
        <v/>
      </c>
    </row>
    <row r="80">
      <c r="A80" t="n">
        <v>48967</v>
      </c>
      <c r="B80" t="inlineStr">
        <is>
          <t>Face Malai</t>
        </is>
      </c>
      <c r="H80" t="inlineStr">
        <is>
          <t>Flax Carrot (Hot Humid) 35+ Face Malai - 30g</t>
        </is>
      </c>
      <c r="N80" t="inlineStr">
        <is>
          <t>FC-HHDM-FC-030</t>
        </is>
      </c>
      <c r="T80" t="inlineStr">
        <is>
          <t>Sep 2, 2024</t>
        </is>
      </c>
      <c r="AE80" t="inlineStr">
        <is>
          <t>Gautam Buddha Nagar</t>
        </is>
      </c>
      <c r="AF80" t="inlineStr">
        <is>
          <t>2024-09</t>
        </is>
      </c>
      <c r="AG80" t="n">
        <v>9</v>
      </c>
      <c r="AH80" t="n">
        <v>1</v>
      </c>
      <c r="AI80" t="n">
        <v>0</v>
      </c>
      <c r="AJ80">
        <f>IF($AE80="","",IFERROR(VLOOKUP(TRIM($AE80),DECODE!$H$3:$I$60,2,FALSE),"Rest of India"))</f>
        <v/>
      </c>
      <c r="AK80">
        <f>IF($N80="","",UPPER(TRIM(LEFT($N80&amp;",",FIND(",",$N80&amp;",")-1))))</f>
        <v/>
      </c>
      <c r="AL80">
        <f>IF($AK80="","",MID($AK80,4,FIND("~",SUBSTITUTE($AK80,"-","~",2))-4))</f>
        <v/>
      </c>
      <c r="AM80">
        <f>IF($AK80="","",MID($AK80,FIND("~",SUBSTITUTE($AK80,"-","~",2))+1,FIND("~",SUBSTITUTE($AK80,"-","~",3))-FIND("~",SUBSTITUTE($AK80,"-","~",2))-1))</f>
        <v/>
      </c>
      <c r="AN80">
        <f>IF($AL80="","",IFERROR(VLOOKUP($AL80,DECODE!$A$3:$C$8,3,FALSE),"?"))</f>
        <v/>
      </c>
      <c r="AO80">
        <f>IF($AM80="","",IFERROR(VLOOKUP($AL80&amp;"-"&amp;$AM80,DECODE!$E$3:$F$21,2,FALSE),"?"))</f>
        <v/>
      </c>
      <c r="AP80">
        <f>IF($AK80="","",IFERROR(VALUE(RIGHT($AK80,3)),""))</f>
        <v/>
      </c>
      <c r="AQ80">
        <f>IF($T80="","",IFERROR(IF(ISNUMBER($T80),$T80,DATEVALUE(TRIM($T80))),""))</f>
        <v/>
      </c>
      <c r="AR80">
        <f>IF($AQ80="","",IF(MONTH($AQ80)&gt;=12,"Cold Winter",IF(MONTH($AQ80)&gt;=10,"Post-Monsoon",IF(MONTH($AQ80)&gt;=6,"Hot Humid",IF(MONTH($AQ80)&gt;=3,"Hot Dry","Cold Winter")))))</f>
        <v/>
      </c>
      <c r="AS80">
        <f>IF($AL80="","",IFERROR(VLOOKUP($AL80,DECODE!$A$3:$C$8,2,FALSE),"?"))</f>
        <v/>
      </c>
      <c r="AT80">
        <f>IF($O80="","",UPPER(TRIM(LEFT($O80&amp;",",FIND(",",$O80&amp;",")-1))))</f>
        <v/>
      </c>
      <c r="AU80">
        <f>IF($AT80="","",MID($AT80,4,FIND("~",SUBSTITUTE($AT80,"-","~",2))-4))</f>
        <v/>
      </c>
      <c r="AV80">
        <f>IF($AT80="","",MID($AT80,FIND("~",SUBSTITUTE($AT80,"-","~",2))+1,FIND("~",SUBSTITUTE($AT80,"-","~",3))-FIND("~",SUBSTITUTE($AT80,"-","~",2))-1))</f>
        <v/>
      </c>
      <c r="AW80">
        <f>IF($AU80="","",IFERROR(VLOOKUP($AU80,DECODE!$A$3:$C$8,3,FALSE),"?"))</f>
        <v/>
      </c>
      <c r="AX80">
        <f>IF($AV80="","",IFERROR(VLOOKUP($AU80&amp;"-"&amp;$AV80,DECODE!$E$3:$F$21,2,FALSE),"?"))</f>
        <v/>
      </c>
      <c r="AY80">
        <f>IF($AT80="","",IFERROR(VALUE(RIGHT($AT80,3)),""))</f>
        <v/>
      </c>
      <c r="AZ80">
        <f>IF($U80="","",IFERROR(IF(ISNUMBER($U80),$U80,DATEVALUE(TRIM($U80))),""))</f>
        <v/>
      </c>
      <c r="BA80">
        <f>IF($AZ80="","",IF(MONTH($AZ80)&gt;=12,"Cold Winter",IF(MONTH($AZ80)&gt;=10,"Post-Monsoon",IF(MONTH($AZ80)&gt;=6,"Hot Humid",IF(MONTH($AZ80)&gt;=3,"Hot Dry","Cold Winter")))))</f>
        <v/>
      </c>
      <c r="BB80">
        <f>IF($AU80="","",IFERROR(VLOOKUP($AU80,DECODE!$A$3:$C$8,2,FALSE),"?"))</f>
        <v/>
      </c>
      <c r="BC80">
        <f>IF($P80="","",UPPER(TRIM(LEFT($P80&amp;",",FIND(",",$P80&amp;",")-1))))</f>
        <v/>
      </c>
      <c r="BD80">
        <f>IF($BC80="","",MID($BC80,4,FIND("~",SUBSTITUTE($BC80,"-","~",2))-4))</f>
        <v/>
      </c>
      <c r="BE80">
        <f>IF($BC80="","",MID($BC80,FIND("~",SUBSTITUTE($BC80,"-","~",2))+1,FIND("~",SUBSTITUTE($BC80,"-","~",3))-FIND("~",SUBSTITUTE($BC80,"-","~",2))-1))</f>
        <v/>
      </c>
      <c r="BF80">
        <f>IF($BD80="","",IFERROR(VLOOKUP($BD80,DECODE!$A$3:$C$8,3,FALSE),"?"))</f>
        <v/>
      </c>
      <c r="BG80">
        <f>IF($BE80="","",IFERROR(VLOOKUP($BD80&amp;"-"&amp;$BE80,DECODE!$E$3:$F$21,2,FALSE),"?"))</f>
        <v/>
      </c>
      <c r="BH80">
        <f>IF($BC80="","",IFERROR(VALUE(RIGHT($BC80,3)),""))</f>
        <v/>
      </c>
      <c r="BI80">
        <f>IF($V80="","",IFERROR(IF(ISNUMBER($V80),$V80,DATEVALUE(TRIM($V80))),""))</f>
        <v/>
      </c>
      <c r="BJ80">
        <f>IF($BI80="","",IF(MONTH($BI80)&gt;=12,"Cold Winter",IF(MONTH($BI80)&gt;=10,"Post-Monsoon",IF(MONTH($BI80)&gt;=6,"Hot Humid",IF(MONTH($BI80)&gt;=3,"Hot Dry","Cold Winter")))))</f>
        <v/>
      </c>
      <c r="BK80">
        <f>IF($BD80="","",IFERROR(VLOOKUP($BD80,DECODE!$A$3:$C$8,2,FALSE),"?"))</f>
        <v/>
      </c>
      <c r="BL80">
        <f>IF($Q80="","",UPPER(TRIM(LEFT($Q80&amp;",",FIND(",",$Q80&amp;",")-1))))</f>
        <v/>
      </c>
      <c r="BM80">
        <f>IF($BL80="","",MID($BL80,4,FIND("~",SUBSTITUTE($BL80,"-","~",2))-4))</f>
        <v/>
      </c>
      <c r="BN80">
        <f>IF($BL80="","",MID($BL80,FIND("~",SUBSTITUTE($BL80,"-","~",2))+1,FIND("~",SUBSTITUTE($BL80,"-","~",3))-FIND("~",SUBSTITUTE($BL80,"-","~",2))-1))</f>
        <v/>
      </c>
      <c r="BO80">
        <f>IF($BM80="","",IFERROR(VLOOKUP($BM80,DECODE!$A$3:$C$8,3,FALSE),"?"))</f>
        <v/>
      </c>
      <c r="BP80">
        <f>IF($BN80="","",IFERROR(VLOOKUP($BM80&amp;"-"&amp;$BN80,DECODE!$E$3:$F$21,2,FALSE),"?"))</f>
        <v/>
      </c>
      <c r="BQ80">
        <f>IF($BL80="","",IFERROR(VALUE(RIGHT($BL80,3)),""))</f>
        <v/>
      </c>
      <c r="BR80">
        <f>IF($W80="","",IFERROR(IF(ISNUMBER($W80),$W80,DATEVALUE(TRIM($W80))),""))</f>
        <v/>
      </c>
      <c r="BS80">
        <f>IF($BR80="","",IF(MONTH($BR80)&gt;=12,"Cold Winter",IF(MONTH($BR80)&gt;=10,"Post-Monsoon",IF(MONTH($BR80)&gt;=6,"Hot Humid",IF(MONTH($BR80)&gt;=3,"Hot Dry","Cold Winter")))))</f>
        <v/>
      </c>
      <c r="BT80">
        <f>IF($BM80="","",IFERROR(VLOOKUP($BM80,DECODE!$A$3:$C$8,2,FALSE),"?"))</f>
        <v/>
      </c>
      <c r="BU80">
        <f>IF($R80="","",UPPER(TRIM(LEFT($R80&amp;",",FIND(",",$R80&amp;",")-1))))</f>
        <v/>
      </c>
      <c r="BV80">
        <f>IF($BU80="","",MID($BU80,4,FIND("~",SUBSTITUTE($BU80,"-","~",2))-4))</f>
        <v/>
      </c>
      <c r="BW80">
        <f>IF($BU80="","",MID($BU80,FIND("~",SUBSTITUTE($BU80,"-","~",2))+1,FIND("~",SUBSTITUTE($BU80,"-","~",3))-FIND("~",SUBSTITUTE($BU80,"-","~",2))-1))</f>
        <v/>
      </c>
      <c r="BX80">
        <f>IF($BV80="","",IFERROR(VLOOKUP($BV80,DECODE!$A$3:$C$8,3,FALSE),"?"))</f>
        <v/>
      </c>
      <c r="BY80">
        <f>IF($BW80="","",IFERROR(VLOOKUP($BV80&amp;"-"&amp;$BW80,DECODE!$E$3:$F$21,2,FALSE),"?"))</f>
        <v/>
      </c>
      <c r="BZ80">
        <f>IF($BU80="","",IFERROR(VALUE(RIGHT($BU80,3)),""))</f>
        <v/>
      </c>
      <c r="CA80">
        <f>IF($X80="","",IFERROR(IF(ISNUMBER($X80),$X80,DATEVALUE(TRIM($X80))),""))</f>
        <v/>
      </c>
      <c r="CB80">
        <f>IF($CA80="","",IF(MONTH($CA80)&gt;=12,"Cold Winter",IF(MONTH($CA80)&gt;=10,"Post-Monsoon",IF(MONTH($CA80)&gt;=6,"Hot Humid",IF(MONTH($CA80)&gt;=3,"Hot Dry","Cold Winter")))))</f>
        <v/>
      </c>
      <c r="CC80">
        <f>IF($BV80="","",IFERROR(VLOOKUP($BV80,DECODE!$A$3:$C$8,2,FALSE),"?"))</f>
        <v/>
      </c>
      <c r="CD80">
        <f>IF($S80="","",UPPER(TRIM(LEFT($S80&amp;",",FIND(",",$S80&amp;",")-1))))</f>
        <v/>
      </c>
      <c r="CE80">
        <f>IF($CD80="","",MID($CD80,4,FIND("~",SUBSTITUTE($CD80,"-","~",2))-4))</f>
        <v/>
      </c>
      <c r="CF80">
        <f>IF($CD80="","",MID($CD80,FIND("~",SUBSTITUTE($CD80,"-","~",2))+1,FIND("~",SUBSTITUTE($CD80,"-","~",3))-FIND("~",SUBSTITUTE($CD80,"-","~",2))-1))</f>
        <v/>
      </c>
      <c r="CG80">
        <f>IF($CE80="","",IFERROR(VLOOKUP($CE80,DECODE!$A$3:$C$8,3,FALSE),"?"))</f>
        <v/>
      </c>
      <c r="CH80">
        <f>IF($CF80="","",IFERROR(VLOOKUP($CE80&amp;"-"&amp;$CF80,DECODE!$E$3:$F$21,2,FALSE),"?"))</f>
        <v/>
      </c>
      <c r="CI80">
        <f>IF($CD80="","",IFERROR(VALUE(RIGHT($CD80,3)),""))</f>
        <v/>
      </c>
      <c r="CJ80">
        <f>IF($Y80="","",IFERROR(IF(ISNUMBER($Y80),$Y80,DATEVALUE(TRIM($Y80))),""))</f>
        <v/>
      </c>
      <c r="CK80">
        <f>IF($CJ80="","",IF(MONTH($CJ80)&gt;=12,"Cold Winter",IF(MONTH($CJ80)&gt;=10,"Post-Monsoon",IF(MONTH($CJ80)&gt;=6,"Hot Humid",IF(MONTH($CJ80)&gt;=3,"Hot Dry","Cold Winter")))))</f>
        <v/>
      </c>
      <c r="CL80">
        <f>IF($CE80="","",IFERROR(VLOOKUP($CE80,DECODE!$A$3:$C$8,2,FALSE),"?"))</f>
        <v/>
      </c>
      <c r="CM80">
        <f>IF($AN80="","",AN80)</f>
        <v/>
      </c>
      <c r="CN80">
        <f>IF($AO80="","",AO80)</f>
        <v/>
      </c>
      <c r="CO80">
        <f>IF($AP80="","",AP80)</f>
        <v/>
      </c>
      <c r="CP80">
        <f>IF($CM80="","",IF($CM80="Aloe Vera Gel","Aloe Vera Gel "&amp;$CO80&amp;"g",CN80&amp;" "&amp;$CO80&amp;"g"))</f>
        <v/>
      </c>
      <c r="CQ80">
        <f>IF($AT80="",0,1)</f>
        <v/>
      </c>
      <c r="CR80">
        <f>IF($CQ80=0,"",AW80)</f>
        <v/>
      </c>
      <c r="CS80">
        <f>IF($CQ80=0,"",AX80)</f>
        <v/>
      </c>
      <c r="CT80">
        <f>IF($CQ80=0,"",AY80)</f>
        <v/>
      </c>
      <c r="CU80">
        <f>IF($CR80="","",IF($CR80="Aloe Vera Gel","Aloe Vera Gel "&amp;$CT80&amp;"g",CS80&amp;" "&amp;$CT80&amp;"g"))</f>
        <v/>
      </c>
      <c r="CV80">
        <f>IF($CQ80=0,"",IF($CP80=$CU80,"Repeat Exact",IF($CT80&gt;$CO80,"Upsized",IF($CT80&lt;$CO80,"Downsized",IF($CM80&lt;&gt;$CR80,"Lateral","Same Size Diff Variant")))))</f>
        <v/>
      </c>
      <c r="CW80">
        <f>IF($CQ80=0,"",AZ80-AQ80)</f>
        <v/>
      </c>
      <c r="CX80">
        <f>IF($CQ80=0,0,IF(CS80=CN80,1,0))</f>
        <v/>
      </c>
      <c r="CY80">
        <f>IF($CQ80=0,0,IF(CR80=CM80,1,0))</f>
        <v/>
      </c>
      <c r="CZ80">
        <f>IF($A80="","",IF(AND(IF(DASHBOARD!$C$4="All",TRUE,$CM80=DASHBOARD!$C$4),IF(DASHBOARD!$C$6="All",TRUE,$CP80=DASHBOARD!$C$6),IF(DASHBOARD!$C$8="All",TRUE,$AF80&gt;=DASHBOARD!$C$8),IF(DASHBOARD!$C$10="All",TRUE,$AF80&lt;=DASHBOARD!$C$10),IF(DASHBOARD!$C$12="All",TRUE,$AH80=VALUE(DASHBOARD!$C$12)),IF(DASHBOARD!$C$14="All",TRUE,$AJ80=DASHBOARD!$C$14)),1,0))</f>
        <v/>
      </c>
    </row>
    <row r="81">
      <c r="A81" t="n">
        <v>49294</v>
      </c>
      <c r="B81" t="inlineStr">
        <is>
          <t>Aloe Vera Gel</t>
        </is>
      </c>
      <c r="H81" t="inlineStr">
        <is>
          <t>Aloe Vera Gel - 80 gms</t>
        </is>
      </c>
      <c r="N81" t="inlineStr">
        <is>
          <t>FC-HG-PA-080</t>
        </is>
      </c>
      <c r="T81" t="inlineStr">
        <is>
          <t>Jul 6, 2025</t>
        </is>
      </c>
      <c r="AE81" t="inlineStr">
        <is>
          <t>Gwalior</t>
        </is>
      </c>
      <c r="AF81" t="inlineStr">
        <is>
          <t>2025-07</t>
        </is>
      </c>
      <c r="AG81" t="n">
        <v>7</v>
      </c>
      <c r="AH81" t="n">
        <v>1</v>
      </c>
      <c r="AI81" t="n">
        <v>0</v>
      </c>
      <c r="AJ81">
        <f>IF($AE81="","",IFERROR(VLOOKUP(TRIM($AE81),DECODE!$H$3:$I$60,2,FALSE),"Rest of India"))</f>
        <v/>
      </c>
      <c r="AK81">
        <f>IF($N81="","",UPPER(TRIM(LEFT($N81&amp;",",FIND(",",$N81&amp;",")-1))))</f>
        <v/>
      </c>
      <c r="AL81">
        <f>IF($AK81="","",MID($AK81,4,FIND("~",SUBSTITUTE($AK81,"-","~",2))-4))</f>
        <v/>
      </c>
      <c r="AM81">
        <f>IF($AK81="","",MID($AK81,FIND("~",SUBSTITUTE($AK81,"-","~",2))+1,FIND("~",SUBSTITUTE($AK81,"-","~",3))-FIND("~",SUBSTITUTE($AK81,"-","~",2))-1))</f>
        <v/>
      </c>
      <c r="AN81">
        <f>IF($AL81="","",IFERROR(VLOOKUP($AL81,DECODE!$A$3:$C$8,3,FALSE),"?"))</f>
        <v/>
      </c>
      <c r="AO81">
        <f>IF($AM81="","",IFERROR(VLOOKUP($AL81&amp;"-"&amp;$AM81,DECODE!$E$3:$F$21,2,FALSE),"?"))</f>
        <v/>
      </c>
      <c r="AP81">
        <f>IF($AK81="","",IFERROR(VALUE(RIGHT($AK81,3)),""))</f>
        <v/>
      </c>
      <c r="AQ81">
        <f>IF($T81="","",IFERROR(IF(ISNUMBER($T81),$T81,DATEVALUE(TRIM($T81))),""))</f>
        <v/>
      </c>
      <c r="AR81">
        <f>IF($AQ81="","",IF(MONTH($AQ81)&gt;=12,"Cold Winter",IF(MONTH($AQ81)&gt;=10,"Post-Monsoon",IF(MONTH($AQ81)&gt;=6,"Hot Humid",IF(MONTH($AQ81)&gt;=3,"Hot Dry","Cold Winter")))))</f>
        <v/>
      </c>
      <c r="AS81">
        <f>IF($AL81="","",IFERROR(VLOOKUP($AL81,DECODE!$A$3:$C$8,2,FALSE),"?"))</f>
        <v/>
      </c>
      <c r="AT81">
        <f>IF($O81="","",UPPER(TRIM(LEFT($O81&amp;",",FIND(",",$O81&amp;",")-1))))</f>
        <v/>
      </c>
      <c r="AU81">
        <f>IF($AT81="","",MID($AT81,4,FIND("~",SUBSTITUTE($AT81,"-","~",2))-4))</f>
        <v/>
      </c>
      <c r="AV81">
        <f>IF($AT81="","",MID($AT81,FIND("~",SUBSTITUTE($AT81,"-","~",2))+1,FIND("~",SUBSTITUTE($AT81,"-","~",3))-FIND("~",SUBSTITUTE($AT81,"-","~",2))-1))</f>
        <v/>
      </c>
      <c r="AW81">
        <f>IF($AU81="","",IFERROR(VLOOKUP($AU81,DECODE!$A$3:$C$8,3,FALSE),"?"))</f>
        <v/>
      </c>
      <c r="AX81">
        <f>IF($AV81="","",IFERROR(VLOOKUP($AU81&amp;"-"&amp;$AV81,DECODE!$E$3:$F$21,2,FALSE),"?"))</f>
        <v/>
      </c>
      <c r="AY81">
        <f>IF($AT81="","",IFERROR(VALUE(RIGHT($AT81,3)),""))</f>
        <v/>
      </c>
      <c r="AZ81">
        <f>IF($U81="","",IFERROR(IF(ISNUMBER($U81),$U81,DATEVALUE(TRIM($U81))),""))</f>
        <v/>
      </c>
      <c r="BA81">
        <f>IF($AZ81="","",IF(MONTH($AZ81)&gt;=12,"Cold Winter",IF(MONTH($AZ81)&gt;=10,"Post-Monsoon",IF(MONTH($AZ81)&gt;=6,"Hot Humid",IF(MONTH($AZ81)&gt;=3,"Hot Dry","Cold Winter")))))</f>
        <v/>
      </c>
      <c r="BB81">
        <f>IF($AU81="","",IFERROR(VLOOKUP($AU81,DECODE!$A$3:$C$8,2,FALSE),"?"))</f>
        <v/>
      </c>
      <c r="BC81">
        <f>IF($P81="","",UPPER(TRIM(LEFT($P81&amp;",",FIND(",",$P81&amp;",")-1))))</f>
        <v/>
      </c>
      <c r="BD81">
        <f>IF($BC81="","",MID($BC81,4,FIND("~",SUBSTITUTE($BC81,"-","~",2))-4))</f>
        <v/>
      </c>
      <c r="BE81">
        <f>IF($BC81="","",MID($BC81,FIND("~",SUBSTITUTE($BC81,"-","~",2))+1,FIND("~",SUBSTITUTE($BC81,"-","~",3))-FIND("~",SUBSTITUTE($BC81,"-","~",2))-1))</f>
        <v/>
      </c>
      <c r="BF81">
        <f>IF($BD81="","",IFERROR(VLOOKUP($BD81,DECODE!$A$3:$C$8,3,FALSE),"?"))</f>
        <v/>
      </c>
      <c r="BG81">
        <f>IF($BE81="","",IFERROR(VLOOKUP($BD81&amp;"-"&amp;$BE81,DECODE!$E$3:$F$21,2,FALSE),"?"))</f>
        <v/>
      </c>
      <c r="BH81">
        <f>IF($BC81="","",IFERROR(VALUE(RIGHT($BC81,3)),""))</f>
        <v/>
      </c>
      <c r="BI81">
        <f>IF($V81="","",IFERROR(IF(ISNUMBER($V81),$V81,DATEVALUE(TRIM($V81))),""))</f>
        <v/>
      </c>
      <c r="BJ81">
        <f>IF($BI81="","",IF(MONTH($BI81)&gt;=12,"Cold Winter",IF(MONTH($BI81)&gt;=10,"Post-Monsoon",IF(MONTH($BI81)&gt;=6,"Hot Humid",IF(MONTH($BI81)&gt;=3,"Hot Dry","Cold Winter")))))</f>
        <v/>
      </c>
      <c r="BK81">
        <f>IF($BD81="","",IFERROR(VLOOKUP($BD81,DECODE!$A$3:$C$8,2,FALSE),"?"))</f>
        <v/>
      </c>
      <c r="BL81">
        <f>IF($Q81="","",UPPER(TRIM(LEFT($Q81&amp;",",FIND(",",$Q81&amp;",")-1))))</f>
        <v/>
      </c>
      <c r="BM81">
        <f>IF($BL81="","",MID($BL81,4,FIND("~",SUBSTITUTE($BL81,"-","~",2))-4))</f>
        <v/>
      </c>
      <c r="BN81">
        <f>IF($BL81="","",MID($BL81,FIND("~",SUBSTITUTE($BL81,"-","~",2))+1,FIND("~",SUBSTITUTE($BL81,"-","~",3))-FIND("~",SUBSTITUTE($BL81,"-","~",2))-1))</f>
        <v/>
      </c>
      <c r="BO81">
        <f>IF($BM81="","",IFERROR(VLOOKUP($BM81,DECODE!$A$3:$C$8,3,FALSE),"?"))</f>
        <v/>
      </c>
      <c r="BP81">
        <f>IF($BN81="","",IFERROR(VLOOKUP($BM81&amp;"-"&amp;$BN81,DECODE!$E$3:$F$21,2,FALSE),"?"))</f>
        <v/>
      </c>
      <c r="BQ81">
        <f>IF($BL81="","",IFERROR(VALUE(RIGHT($BL81,3)),""))</f>
        <v/>
      </c>
      <c r="BR81">
        <f>IF($W81="","",IFERROR(IF(ISNUMBER($W81),$W81,DATEVALUE(TRIM($W81))),""))</f>
        <v/>
      </c>
      <c r="BS81">
        <f>IF($BR81="","",IF(MONTH($BR81)&gt;=12,"Cold Winter",IF(MONTH($BR81)&gt;=10,"Post-Monsoon",IF(MONTH($BR81)&gt;=6,"Hot Humid",IF(MONTH($BR81)&gt;=3,"Hot Dry","Cold Winter")))))</f>
        <v/>
      </c>
      <c r="BT81">
        <f>IF($BM81="","",IFERROR(VLOOKUP($BM81,DECODE!$A$3:$C$8,2,FALSE),"?"))</f>
        <v/>
      </c>
      <c r="BU81">
        <f>IF($R81="","",UPPER(TRIM(LEFT($R81&amp;",",FIND(",",$R81&amp;",")-1))))</f>
        <v/>
      </c>
      <c r="BV81">
        <f>IF($BU81="","",MID($BU81,4,FIND("~",SUBSTITUTE($BU81,"-","~",2))-4))</f>
        <v/>
      </c>
      <c r="BW81">
        <f>IF($BU81="","",MID($BU81,FIND("~",SUBSTITUTE($BU81,"-","~",2))+1,FIND("~",SUBSTITUTE($BU81,"-","~",3))-FIND("~",SUBSTITUTE($BU81,"-","~",2))-1))</f>
        <v/>
      </c>
      <c r="BX81">
        <f>IF($BV81="","",IFERROR(VLOOKUP($BV81,DECODE!$A$3:$C$8,3,FALSE),"?"))</f>
        <v/>
      </c>
      <c r="BY81">
        <f>IF($BW81="","",IFERROR(VLOOKUP($BV81&amp;"-"&amp;$BW81,DECODE!$E$3:$F$21,2,FALSE),"?"))</f>
        <v/>
      </c>
      <c r="BZ81">
        <f>IF($BU81="","",IFERROR(VALUE(RIGHT($BU81,3)),""))</f>
        <v/>
      </c>
      <c r="CA81">
        <f>IF($X81="","",IFERROR(IF(ISNUMBER($X81),$X81,DATEVALUE(TRIM($X81))),""))</f>
        <v/>
      </c>
      <c r="CB81">
        <f>IF($CA81="","",IF(MONTH($CA81)&gt;=12,"Cold Winter",IF(MONTH($CA81)&gt;=10,"Post-Monsoon",IF(MONTH($CA81)&gt;=6,"Hot Humid",IF(MONTH($CA81)&gt;=3,"Hot Dry","Cold Winter")))))</f>
        <v/>
      </c>
      <c r="CC81">
        <f>IF($BV81="","",IFERROR(VLOOKUP($BV81,DECODE!$A$3:$C$8,2,FALSE),"?"))</f>
        <v/>
      </c>
      <c r="CD81">
        <f>IF($S81="","",UPPER(TRIM(LEFT($S81&amp;",",FIND(",",$S81&amp;",")-1))))</f>
        <v/>
      </c>
      <c r="CE81">
        <f>IF($CD81="","",MID($CD81,4,FIND("~",SUBSTITUTE($CD81,"-","~",2))-4))</f>
        <v/>
      </c>
      <c r="CF81">
        <f>IF($CD81="","",MID($CD81,FIND("~",SUBSTITUTE($CD81,"-","~",2))+1,FIND("~",SUBSTITUTE($CD81,"-","~",3))-FIND("~",SUBSTITUTE($CD81,"-","~",2))-1))</f>
        <v/>
      </c>
      <c r="CG81">
        <f>IF($CE81="","",IFERROR(VLOOKUP($CE81,DECODE!$A$3:$C$8,3,FALSE),"?"))</f>
        <v/>
      </c>
      <c r="CH81">
        <f>IF($CF81="","",IFERROR(VLOOKUP($CE81&amp;"-"&amp;$CF81,DECODE!$E$3:$F$21,2,FALSE),"?"))</f>
        <v/>
      </c>
      <c r="CI81">
        <f>IF($CD81="","",IFERROR(VALUE(RIGHT($CD81,3)),""))</f>
        <v/>
      </c>
      <c r="CJ81">
        <f>IF($Y81="","",IFERROR(IF(ISNUMBER($Y81),$Y81,DATEVALUE(TRIM($Y81))),""))</f>
        <v/>
      </c>
      <c r="CK81">
        <f>IF($CJ81="","",IF(MONTH($CJ81)&gt;=12,"Cold Winter",IF(MONTH($CJ81)&gt;=10,"Post-Monsoon",IF(MONTH($CJ81)&gt;=6,"Hot Humid",IF(MONTH($CJ81)&gt;=3,"Hot Dry","Cold Winter")))))</f>
        <v/>
      </c>
      <c r="CL81">
        <f>IF($CE81="","",IFERROR(VLOOKUP($CE81,DECODE!$A$3:$C$8,2,FALSE),"?"))</f>
        <v/>
      </c>
      <c r="CM81">
        <f>IF($AN81="","",AN81)</f>
        <v/>
      </c>
      <c r="CN81">
        <f>IF($AO81="","",AO81)</f>
        <v/>
      </c>
      <c r="CO81">
        <f>IF($AP81="","",AP81)</f>
        <v/>
      </c>
      <c r="CP81">
        <f>IF($CM81="","",IF($CM81="Aloe Vera Gel","Aloe Vera Gel "&amp;$CO81&amp;"g",CN81&amp;" "&amp;$CO81&amp;"g"))</f>
        <v/>
      </c>
      <c r="CQ81">
        <f>IF($AT81="",0,1)</f>
        <v/>
      </c>
      <c r="CR81">
        <f>IF($CQ81=0,"",AW81)</f>
        <v/>
      </c>
      <c r="CS81">
        <f>IF($CQ81=0,"",AX81)</f>
        <v/>
      </c>
      <c r="CT81">
        <f>IF($CQ81=0,"",AY81)</f>
        <v/>
      </c>
      <c r="CU81">
        <f>IF($CR81="","",IF($CR81="Aloe Vera Gel","Aloe Vera Gel "&amp;$CT81&amp;"g",CS81&amp;" "&amp;$CT81&amp;"g"))</f>
        <v/>
      </c>
      <c r="CV81">
        <f>IF($CQ81=0,"",IF($CP81=$CU81,"Repeat Exact",IF($CT81&gt;$CO81,"Upsized",IF($CT81&lt;$CO81,"Downsized",IF($CM81&lt;&gt;$CR81,"Lateral","Same Size Diff Variant")))))</f>
        <v/>
      </c>
      <c r="CW81">
        <f>IF($CQ81=0,"",AZ81-AQ81)</f>
        <v/>
      </c>
      <c r="CX81">
        <f>IF($CQ81=0,0,IF(CS81=CN81,1,0))</f>
        <v/>
      </c>
      <c r="CY81">
        <f>IF($CQ81=0,0,IF(CR81=CM81,1,0))</f>
        <v/>
      </c>
      <c r="CZ81">
        <f>IF($A81="","",IF(AND(IF(DASHBOARD!$C$4="All",TRUE,$CM81=DASHBOARD!$C$4),IF(DASHBOARD!$C$6="All",TRUE,$CP81=DASHBOARD!$C$6),IF(DASHBOARD!$C$8="All",TRUE,$AF81&gt;=DASHBOARD!$C$8),IF(DASHBOARD!$C$10="All",TRUE,$AF81&lt;=DASHBOARD!$C$10),IF(DASHBOARD!$C$12="All",TRUE,$AH81=VALUE(DASHBOARD!$C$12)),IF(DASHBOARD!$C$14="All",TRUE,$AJ81=DASHBOARD!$C$14)),1,0))</f>
        <v/>
      </c>
    </row>
    <row r="82">
      <c r="A82" t="n">
        <v>49321</v>
      </c>
      <c r="B82" t="inlineStr">
        <is>
          <t>Face Malai</t>
        </is>
      </c>
      <c r="H82" t="inlineStr">
        <is>
          <t>Pomegranate Tulsi (Hot Dry) 13 - 19 Yrs Face Malai</t>
        </is>
      </c>
      <c r="N82" t="inlineStr">
        <is>
          <t>FC-HDDM-PT-030</t>
        </is>
      </c>
      <c r="T82" t="inlineStr">
        <is>
          <t>Jun 13, 2025</t>
        </is>
      </c>
      <c r="AE82" t="inlineStr">
        <is>
          <t>Ghaziabad</t>
        </is>
      </c>
      <c r="AF82" t="inlineStr">
        <is>
          <t>2025-06</t>
        </is>
      </c>
      <c r="AG82" t="n">
        <v>6</v>
      </c>
      <c r="AH82" t="n">
        <v>1</v>
      </c>
      <c r="AI82" t="n">
        <v>0</v>
      </c>
      <c r="AJ82">
        <f>IF($AE82="","",IFERROR(VLOOKUP(TRIM($AE82),DECODE!$H$3:$I$60,2,FALSE),"Rest of India"))</f>
        <v/>
      </c>
      <c r="AK82">
        <f>IF($N82="","",UPPER(TRIM(LEFT($N82&amp;",",FIND(",",$N82&amp;",")-1))))</f>
        <v/>
      </c>
      <c r="AL82">
        <f>IF($AK82="","",MID($AK82,4,FIND("~",SUBSTITUTE($AK82,"-","~",2))-4))</f>
        <v/>
      </c>
      <c r="AM82">
        <f>IF($AK82="","",MID($AK82,FIND("~",SUBSTITUTE($AK82,"-","~",2))+1,FIND("~",SUBSTITUTE($AK82,"-","~",3))-FIND("~",SUBSTITUTE($AK82,"-","~",2))-1))</f>
        <v/>
      </c>
      <c r="AN82">
        <f>IF($AL82="","",IFERROR(VLOOKUP($AL82,DECODE!$A$3:$C$8,3,FALSE),"?"))</f>
        <v/>
      </c>
      <c r="AO82">
        <f>IF($AM82="","",IFERROR(VLOOKUP($AL82&amp;"-"&amp;$AM82,DECODE!$E$3:$F$21,2,FALSE),"?"))</f>
        <v/>
      </c>
      <c r="AP82">
        <f>IF($AK82="","",IFERROR(VALUE(RIGHT($AK82,3)),""))</f>
        <v/>
      </c>
      <c r="AQ82">
        <f>IF($T82="","",IFERROR(IF(ISNUMBER($T82),$T82,DATEVALUE(TRIM($T82))),""))</f>
        <v/>
      </c>
      <c r="AR82">
        <f>IF($AQ82="","",IF(MONTH($AQ82)&gt;=12,"Cold Winter",IF(MONTH($AQ82)&gt;=10,"Post-Monsoon",IF(MONTH($AQ82)&gt;=6,"Hot Humid",IF(MONTH($AQ82)&gt;=3,"Hot Dry","Cold Winter")))))</f>
        <v/>
      </c>
      <c r="AS82">
        <f>IF($AL82="","",IFERROR(VLOOKUP($AL82,DECODE!$A$3:$C$8,2,FALSE),"?"))</f>
        <v/>
      </c>
      <c r="AT82">
        <f>IF($O82="","",UPPER(TRIM(LEFT($O82&amp;",",FIND(",",$O82&amp;",")-1))))</f>
        <v/>
      </c>
      <c r="AU82">
        <f>IF($AT82="","",MID($AT82,4,FIND("~",SUBSTITUTE($AT82,"-","~",2))-4))</f>
        <v/>
      </c>
      <c r="AV82">
        <f>IF($AT82="","",MID($AT82,FIND("~",SUBSTITUTE($AT82,"-","~",2))+1,FIND("~",SUBSTITUTE($AT82,"-","~",3))-FIND("~",SUBSTITUTE($AT82,"-","~",2))-1))</f>
        <v/>
      </c>
      <c r="AW82">
        <f>IF($AU82="","",IFERROR(VLOOKUP($AU82,DECODE!$A$3:$C$8,3,FALSE),"?"))</f>
        <v/>
      </c>
      <c r="AX82">
        <f>IF($AV82="","",IFERROR(VLOOKUP($AU82&amp;"-"&amp;$AV82,DECODE!$E$3:$F$21,2,FALSE),"?"))</f>
        <v/>
      </c>
      <c r="AY82">
        <f>IF($AT82="","",IFERROR(VALUE(RIGHT($AT82,3)),""))</f>
        <v/>
      </c>
      <c r="AZ82">
        <f>IF($U82="","",IFERROR(IF(ISNUMBER($U82),$U82,DATEVALUE(TRIM($U82))),""))</f>
        <v/>
      </c>
      <c r="BA82">
        <f>IF($AZ82="","",IF(MONTH($AZ82)&gt;=12,"Cold Winter",IF(MONTH($AZ82)&gt;=10,"Post-Monsoon",IF(MONTH($AZ82)&gt;=6,"Hot Humid",IF(MONTH($AZ82)&gt;=3,"Hot Dry","Cold Winter")))))</f>
        <v/>
      </c>
      <c r="BB82">
        <f>IF($AU82="","",IFERROR(VLOOKUP($AU82,DECODE!$A$3:$C$8,2,FALSE),"?"))</f>
        <v/>
      </c>
      <c r="BC82">
        <f>IF($P82="","",UPPER(TRIM(LEFT($P82&amp;",",FIND(",",$P82&amp;",")-1))))</f>
        <v/>
      </c>
      <c r="BD82">
        <f>IF($BC82="","",MID($BC82,4,FIND("~",SUBSTITUTE($BC82,"-","~",2))-4))</f>
        <v/>
      </c>
      <c r="BE82">
        <f>IF($BC82="","",MID($BC82,FIND("~",SUBSTITUTE($BC82,"-","~",2))+1,FIND("~",SUBSTITUTE($BC82,"-","~",3))-FIND("~",SUBSTITUTE($BC82,"-","~",2))-1))</f>
        <v/>
      </c>
      <c r="BF82">
        <f>IF($BD82="","",IFERROR(VLOOKUP($BD82,DECODE!$A$3:$C$8,3,FALSE),"?"))</f>
        <v/>
      </c>
      <c r="BG82">
        <f>IF($BE82="","",IFERROR(VLOOKUP($BD82&amp;"-"&amp;$BE82,DECODE!$E$3:$F$21,2,FALSE),"?"))</f>
        <v/>
      </c>
      <c r="BH82">
        <f>IF($BC82="","",IFERROR(VALUE(RIGHT($BC82,3)),""))</f>
        <v/>
      </c>
      <c r="BI82">
        <f>IF($V82="","",IFERROR(IF(ISNUMBER($V82),$V82,DATEVALUE(TRIM($V82))),""))</f>
        <v/>
      </c>
      <c r="BJ82">
        <f>IF($BI82="","",IF(MONTH($BI82)&gt;=12,"Cold Winter",IF(MONTH($BI82)&gt;=10,"Post-Monsoon",IF(MONTH($BI82)&gt;=6,"Hot Humid",IF(MONTH($BI82)&gt;=3,"Hot Dry","Cold Winter")))))</f>
        <v/>
      </c>
      <c r="BK82">
        <f>IF($BD82="","",IFERROR(VLOOKUP($BD82,DECODE!$A$3:$C$8,2,FALSE),"?"))</f>
        <v/>
      </c>
      <c r="BL82">
        <f>IF($Q82="","",UPPER(TRIM(LEFT($Q82&amp;",",FIND(",",$Q82&amp;",")-1))))</f>
        <v/>
      </c>
      <c r="BM82">
        <f>IF($BL82="","",MID($BL82,4,FIND("~",SUBSTITUTE($BL82,"-","~",2))-4))</f>
        <v/>
      </c>
      <c r="BN82">
        <f>IF($BL82="","",MID($BL82,FIND("~",SUBSTITUTE($BL82,"-","~",2))+1,FIND("~",SUBSTITUTE($BL82,"-","~",3))-FIND("~",SUBSTITUTE($BL82,"-","~",2))-1))</f>
        <v/>
      </c>
      <c r="BO82">
        <f>IF($BM82="","",IFERROR(VLOOKUP($BM82,DECODE!$A$3:$C$8,3,FALSE),"?"))</f>
        <v/>
      </c>
      <c r="BP82">
        <f>IF($BN82="","",IFERROR(VLOOKUP($BM82&amp;"-"&amp;$BN82,DECODE!$E$3:$F$21,2,FALSE),"?"))</f>
        <v/>
      </c>
      <c r="BQ82">
        <f>IF($BL82="","",IFERROR(VALUE(RIGHT($BL82,3)),""))</f>
        <v/>
      </c>
      <c r="BR82">
        <f>IF($W82="","",IFERROR(IF(ISNUMBER($W82),$W82,DATEVALUE(TRIM($W82))),""))</f>
        <v/>
      </c>
      <c r="BS82">
        <f>IF($BR82="","",IF(MONTH($BR82)&gt;=12,"Cold Winter",IF(MONTH($BR82)&gt;=10,"Post-Monsoon",IF(MONTH($BR82)&gt;=6,"Hot Humid",IF(MONTH($BR82)&gt;=3,"Hot Dry","Cold Winter")))))</f>
        <v/>
      </c>
      <c r="BT82">
        <f>IF($BM82="","",IFERROR(VLOOKUP($BM82,DECODE!$A$3:$C$8,2,FALSE),"?"))</f>
        <v/>
      </c>
      <c r="BU82">
        <f>IF($R82="","",UPPER(TRIM(LEFT($R82&amp;",",FIND(",",$R82&amp;",")-1))))</f>
        <v/>
      </c>
      <c r="BV82">
        <f>IF($BU82="","",MID($BU82,4,FIND("~",SUBSTITUTE($BU82,"-","~",2))-4))</f>
        <v/>
      </c>
      <c r="BW82">
        <f>IF($BU82="","",MID($BU82,FIND("~",SUBSTITUTE($BU82,"-","~",2))+1,FIND("~",SUBSTITUTE($BU82,"-","~",3))-FIND("~",SUBSTITUTE($BU82,"-","~",2))-1))</f>
        <v/>
      </c>
      <c r="BX82">
        <f>IF($BV82="","",IFERROR(VLOOKUP($BV82,DECODE!$A$3:$C$8,3,FALSE),"?"))</f>
        <v/>
      </c>
      <c r="BY82">
        <f>IF($BW82="","",IFERROR(VLOOKUP($BV82&amp;"-"&amp;$BW82,DECODE!$E$3:$F$21,2,FALSE),"?"))</f>
        <v/>
      </c>
      <c r="BZ82">
        <f>IF($BU82="","",IFERROR(VALUE(RIGHT($BU82,3)),""))</f>
        <v/>
      </c>
      <c r="CA82">
        <f>IF($X82="","",IFERROR(IF(ISNUMBER($X82),$X82,DATEVALUE(TRIM($X82))),""))</f>
        <v/>
      </c>
      <c r="CB82">
        <f>IF($CA82="","",IF(MONTH($CA82)&gt;=12,"Cold Winter",IF(MONTH($CA82)&gt;=10,"Post-Monsoon",IF(MONTH($CA82)&gt;=6,"Hot Humid",IF(MONTH($CA82)&gt;=3,"Hot Dry","Cold Winter")))))</f>
        <v/>
      </c>
      <c r="CC82">
        <f>IF($BV82="","",IFERROR(VLOOKUP($BV82,DECODE!$A$3:$C$8,2,FALSE),"?"))</f>
        <v/>
      </c>
      <c r="CD82">
        <f>IF($S82="","",UPPER(TRIM(LEFT($S82&amp;",",FIND(",",$S82&amp;",")-1))))</f>
        <v/>
      </c>
      <c r="CE82">
        <f>IF($CD82="","",MID($CD82,4,FIND("~",SUBSTITUTE($CD82,"-","~",2))-4))</f>
        <v/>
      </c>
      <c r="CF82">
        <f>IF($CD82="","",MID($CD82,FIND("~",SUBSTITUTE($CD82,"-","~",2))+1,FIND("~",SUBSTITUTE($CD82,"-","~",3))-FIND("~",SUBSTITUTE($CD82,"-","~",2))-1))</f>
        <v/>
      </c>
      <c r="CG82">
        <f>IF($CE82="","",IFERROR(VLOOKUP($CE82,DECODE!$A$3:$C$8,3,FALSE),"?"))</f>
        <v/>
      </c>
      <c r="CH82">
        <f>IF($CF82="","",IFERROR(VLOOKUP($CE82&amp;"-"&amp;$CF82,DECODE!$E$3:$F$21,2,FALSE),"?"))</f>
        <v/>
      </c>
      <c r="CI82">
        <f>IF($CD82="","",IFERROR(VALUE(RIGHT($CD82,3)),""))</f>
        <v/>
      </c>
      <c r="CJ82">
        <f>IF($Y82="","",IFERROR(IF(ISNUMBER($Y82),$Y82,DATEVALUE(TRIM($Y82))),""))</f>
        <v/>
      </c>
      <c r="CK82">
        <f>IF($CJ82="","",IF(MONTH($CJ82)&gt;=12,"Cold Winter",IF(MONTH($CJ82)&gt;=10,"Post-Monsoon",IF(MONTH($CJ82)&gt;=6,"Hot Humid",IF(MONTH($CJ82)&gt;=3,"Hot Dry","Cold Winter")))))</f>
        <v/>
      </c>
      <c r="CL82">
        <f>IF($CE82="","",IFERROR(VLOOKUP($CE82,DECODE!$A$3:$C$8,2,FALSE),"?"))</f>
        <v/>
      </c>
      <c r="CM82">
        <f>IF($AN82="","",AN82)</f>
        <v/>
      </c>
      <c r="CN82">
        <f>IF($AO82="","",AO82)</f>
        <v/>
      </c>
      <c r="CO82">
        <f>IF($AP82="","",AP82)</f>
        <v/>
      </c>
      <c r="CP82">
        <f>IF($CM82="","",IF($CM82="Aloe Vera Gel","Aloe Vera Gel "&amp;$CO82&amp;"g",CN82&amp;" "&amp;$CO82&amp;"g"))</f>
        <v/>
      </c>
      <c r="CQ82">
        <f>IF($AT82="",0,1)</f>
        <v/>
      </c>
      <c r="CR82">
        <f>IF($CQ82=0,"",AW82)</f>
        <v/>
      </c>
      <c r="CS82">
        <f>IF($CQ82=0,"",AX82)</f>
        <v/>
      </c>
      <c r="CT82">
        <f>IF($CQ82=0,"",AY82)</f>
        <v/>
      </c>
      <c r="CU82">
        <f>IF($CR82="","",IF($CR82="Aloe Vera Gel","Aloe Vera Gel "&amp;$CT82&amp;"g",CS82&amp;" "&amp;$CT82&amp;"g"))</f>
        <v/>
      </c>
      <c r="CV82">
        <f>IF($CQ82=0,"",IF($CP82=$CU82,"Repeat Exact",IF($CT82&gt;$CO82,"Upsized",IF($CT82&lt;$CO82,"Downsized",IF($CM82&lt;&gt;$CR82,"Lateral","Same Size Diff Variant")))))</f>
        <v/>
      </c>
      <c r="CW82">
        <f>IF($CQ82=0,"",AZ82-AQ82)</f>
        <v/>
      </c>
      <c r="CX82">
        <f>IF($CQ82=0,0,IF(CS82=CN82,1,0))</f>
        <v/>
      </c>
      <c r="CY82">
        <f>IF($CQ82=0,0,IF(CR82=CM82,1,0))</f>
        <v/>
      </c>
      <c r="CZ82">
        <f>IF($A82="","",IF(AND(IF(DASHBOARD!$C$4="All",TRUE,$CM82=DASHBOARD!$C$4),IF(DASHBOARD!$C$6="All",TRUE,$CP82=DASHBOARD!$C$6),IF(DASHBOARD!$C$8="All",TRUE,$AF82&gt;=DASHBOARD!$C$8),IF(DASHBOARD!$C$10="All",TRUE,$AF82&lt;=DASHBOARD!$C$10),IF(DASHBOARD!$C$12="All",TRUE,$AH82=VALUE(DASHBOARD!$C$12)),IF(DASHBOARD!$C$14="All",TRUE,$AJ82=DASHBOARD!$C$14)),1,0))</f>
        <v/>
      </c>
    </row>
    <row r="83">
      <c r="A83" t="n">
        <v>49388</v>
      </c>
      <c r="B83" t="inlineStr">
        <is>
          <t>Face Malai</t>
        </is>
      </c>
      <c r="H83" t="inlineStr">
        <is>
          <t>Tomato Rosehip (Hot Dry) 20 - 35 Yrs Face Malai - 30g, Turmeric Nutmeg (Pigmentation)  Face Malai - 30g</t>
        </is>
      </c>
      <c r="N83" t="inlineStr">
        <is>
          <t>FC-HDDM-TR-030, FC-DM-PG-030</t>
        </is>
      </c>
      <c r="T83" t="inlineStr">
        <is>
          <t>Dec 26, 2024</t>
        </is>
      </c>
      <c r="AE83" t="inlineStr">
        <is>
          <t>Coimbatore</t>
        </is>
      </c>
      <c r="AF83" t="inlineStr">
        <is>
          <t>2024-12</t>
        </is>
      </c>
      <c r="AG83" t="n">
        <v>12</v>
      </c>
      <c r="AH83" t="n">
        <v>1</v>
      </c>
      <c r="AI83" t="n">
        <v>0</v>
      </c>
      <c r="AJ83">
        <f>IF($AE83="","",IFERROR(VLOOKUP(TRIM($AE83),DECODE!$H$3:$I$60,2,FALSE),"Rest of India"))</f>
        <v/>
      </c>
      <c r="AK83">
        <f>IF($N83="","",UPPER(TRIM(LEFT($N83&amp;",",FIND(",",$N83&amp;",")-1))))</f>
        <v/>
      </c>
      <c r="AL83">
        <f>IF($AK83="","",MID($AK83,4,FIND("~",SUBSTITUTE($AK83,"-","~",2))-4))</f>
        <v/>
      </c>
      <c r="AM83">
        <f>IF($AK83="","",MID($AK83,FIND("~",SUBSTITUTE($AK83,"-","~",2))+1,FIND("~",SUBSTITUTE($AK83,"-","~",3))-FIND("~",SUBSTITUTE($AK83,"-","~",2))-1))</f>
        <v/>
      </c>
      <c r="AN83">
        <f>IF($AL83="","",IFERROR(VLOOKUP($AL83,DECODE!$A$3:$C$8,3,FALSE),"?"))</f>
        <v/>
      </c>
      <c r="AO83">
        <f>IF($AM83="","",IFERROR(VLOOKUP($AL83&amp;"-"&amp;$AM83,DECODE!$E$3:$F$21,2,FALSE),"?"))</f>
        <v/>
      </c>
      <c r="AP83">
        <f>IF($AK83="","",IFERROR(VALUE(RIGHT($AK83,3)),""))</f>
        <v/>
      </c>
      <c r="AQ83">
        <f>IF($T83="","",IFERROR(IF(ISNUMBER($T83),$T83,DATEVALUE(TRIM($T83))),""))</f>
        <v/>
      </c>
      <c r="AR83">
        <f>IF($AQ83="","",IF(MONTH($AQ83)&gt;=12,"Cold Winter",IF(MONTH($AQ83)&gt;=10,"Post-Monsoon",IF(MONTH($AQ83)&gt;=6,"Hot Humid",IF(MONTH($AQ83)&gt;=3,"Hot Dry","Cold Winter")))))</f>
        <v/>
      </c>
      <c r="AS83">
        <f>IF($AL83="","",IFERROR(VLOOKUP($AL83,DECODE!$A$3:$C$8,2,FALSE),"?"))</f>
        <v/>
      </c>
      <c r="AT83">
        <f>IF($O83="","",UPPER(TRIM(LEFT($O83&amp;",",FIND(",",$O83&amp;",")-1))))</f>
        <v/>
      </c>
      <c r="AU83">
        <f>IF($AT83="","",MID($AT83,4,FIND("~",SUBSTITUTE($AT83,"-","~",2))-4))</f>
        <v/>
      </c>
      <c r="AV83">
        <f>IF($AT83="","",MID($AT83,FIND("~",SUBSTITUTE($AT83,"-","~",2))+1,FIND("~",SUBSTITUTE($AT83,"-","~",3))-FIND("~",SUBSTITUTE($AT83,"-","~",2))-1))</f>
        <v/>
      </c>
      <c r="AW83">
        <f>IF($AU83="","",IFERROR(VLOOKUP($AU83,DECODE!$A$3:$C$8,3,FALSE),"?"))</f>
        <v/>
      </c>
      <c r="AX83">
        <f>IF($AV83="","",IFERROR(VLOOKUP($AU83&amp;"-"&amp;$AV83,DECODE!$E$3:$F$21,2,FALSE),"?"))</f>
        <v/>
      </c>
      <c r="AY83">
        <f>IF($AT83="","",IFERROR(VALUE(RIGHT($AT83,3)),""))</f>
        <v/>
      </c>
      <c r="AZ83">
        <f>IF($U83="","",IFERROR(IF(ISNUMBER($U83),$U83,DATEVALUE(TRIM($U83))),""))</f>
        <v/>
      </c>
      <c r="BA83">
        <f>IF($AZ83="","",IF(MONTH($AZ83)&gt;=12,"Cold Winter",IF(MONTH($AZ83)&gt;=10,"Post-Monsoon",IF(MONTH($AZ83)&gt;=6,"Hot Humid",IF(MONTH($AZ83)&gt;=3,"Hot Dry","Cold Winter")))))</f>
        <v/>
      </c>
      <c r="BB83">
        <f>IF($AU83="","",IFERROR(VLOOKUP($AU83,DECODE!$A$3:$C$8,2,FALSE),"?"))</f>
        <v/>
      </c>
      <c r="BC83">
        <f>IF($P83="","",UPPER(TRIM(LEFT($P83&amp;",",FIND(",",$P83&amp;",")-1))))</f>
        <v/>
      </c>
      <c r="BD83">
        <f>IF($BC83="","",MID($BC83,4,FIND("~",SUBSTITUTE($BC83,"-","~",2))-4))</f>
        <v/>
      </c>
      <c r="BE83">
        <f>IF($BC83="","",MID($BC83,FIND("~",SUBSTITUTE($BC83,"-","~",2))+1,FIND("~",SUBSTITUTE($BC83,"-","~",3))-FIND("~",SUBSTITUTE($BC83,"-","~",2))-1))</f>
        <v/>
      </c>
      <c r="BF83">
        <f>IF($BD83="","",IFERROR(VLOOKUP($BD83,DECODE!$A$3:$C$8,3,FALSE),"?"))</f>
        <v/>
      </c>
      <c r="BG83">
        <f>IF($BE83="","",IFERROR(VLOOKUP($BD83&amp;"-"&amp;$BE83,DECODE!$E$3:$F$21,2,FALSE),"?"))</f>
        <v/>
      </c>
      <c r="BH83">
        <f>IF($BC83="","",IFERROR(VALUE(RIGHT($BC83,3)),""))</f>
        <v/>
      </c>
      <c r="BI83">
        <f>IF($V83="","",IFERROR(IF(ISNUMBER($V83),$V83,DATEVALUE(TRIM($V83))),""))</f>
        <v/>
      </c>
      <c r="BJ83">
        <f>IF($BI83="","",IF(MONTH($BI83)&gt;=12,"Cold Winter",IF(MONTH($BI83)&gt;=10,"Post-Monsoon",IF(MONTH($BI83)&gt;=6,"Hot Humid",IF(MONTH($BI83)&gt;=3,"Hot Dry","Cold Winter")))))</f>
        <v/>
      </c>
      <c r="BK83">
        <f>IF($BD83="","",IFERROR(VLOOKUP($BD83,DECODE!$A$3:$C$8,2,FALSE),"?"))</f>
        <v/>
      </c>
      <c r="BL83">
        <f>IF($Q83="","",UPPER(TRIM(LEFT($Q83&amp;",",FIND(",",$Q83&amp;",")-1))))</f>
        <v/>
      </c>
      <c r="BM83">
        <f>IF($BL83="","",MID($BL83,4,FIND("~",SUBSTITUTE($BL83,"-","~",2))-4))</f>
        <v/>
      </c>
      <c r="BN83">
        <f>IF($BL83="","",MID($BL83,FIND("~",SUBSTITUTE($BL83,"-","~",2))+1,FIND("~",SUBSTITUTE($BL83,"-","~",3))-FIND("~",SUBSTITUTE($BL83,"-","~",2))-1))</f>
        <v/>
      </c>
      <c r="BO83">
        <f>IF($BM83="","",IFERROR(VLOOKUP($BM83,DECODE!$A$3:$C$8,3,FALSE),"?"))</f>
        <v/>
      </c>
      <c r="BP83">
        <f>IF($BN83="","",IFERROR(VLOOKUP($BM83&amp;"-"&amp;$BN83,DECODE!$E$3:$F$21,2,FALSE),"?"))</f>
        <v/>
      </c>
      <c r="BQ83">
        <f>IF($BL83="","",IFERROR(VALUE(RIGHT($BL83,3)),""))</f>
        <v/>
      </c>
      <c r="BR83">
        <f>IF($W83="","",IFERROR(IF(ISNUMBER($W83),$W83,DATEVALUE(TRIM($W83))),""))</f>
        <v/>
      </c>
      <c r="BS83">
        <f>IF($BR83="","",IF(MONTH($BR83)&gt;=12,"Cold Winter",IF(MONTH($BR83)&gt;=10,"Post-Monsoon",IF(MONTH($BR83)&gt;=6,"Hot Humid",IF(MONTH($BR83)&gt;=3,"Hot Dry","Cold Winter")))))</f>
        <v/>
      </c>
      <c r="BT83">
        <f>IF($BM83="","",IFERROR(VLOOKUP($BM83,DECODE!$A$3:$C$8,2,FALSE),"?"))</f>
        <v/>
      </c>
      <c r="BU83">
        <f>IF($R83="","",UPPER(TRIM(LEFT($R83&amp;",",FIND(",",$R83&amp;",")-1))))</f>
        <v/>
      </c>
      <c r="BV83">
        <f>IF($BU83="","",MID($BU83,4,FIND("~",SUBSTITUTE($BU83,"-","~",2))-4))</f>
        <v/>
      </c>
      <c r="BW83">
        <f>IF($BU83="","",MID($BU83,FIND("~",SUBSTITUTE($BU83,"-","~",2))+1,FIND("~",SUBSTITUTE($BU83,"-","~",3))-FIND("~",SUBSTITUTE($BU83,"-","~",2))-1))</f>
        <v/>
      </c>
      <c r="BX83">
        <f>IF($BV83="","",IFERROR(VLOOKUP($BV83,DECODE!$A$3:$C$8,3,FALSE),"?"))</f>
        <v/>
      </c>
      <c r="BY83">
        <f>IF($BW83="","",IFERROR(VLOOKUP($BV83&amp;"-"&amp;$BW83,DECODE!$E$3:$F$21,2,FALSE),"?"))</f>
        <v/>
      </c>
      <c r="BZ83">
        <f>IF($BU83="","",IFERROR(VALUE(RIGHT($BU83,3)),""))</f>
        <v/>
      </c>
      <c r="CA83">
        <f>IF($X83="","",IFERROR(IF(ISNUMBER($X83),$X83,DATEVALUE(TRIM($X83))),""))</f>
        <v/>
      </c>
      <c r="CB83">
        <f>IF($CA83="","",IF(MONTH($CA83)&gt;=12,"Cold Winter",IF(MONTH($CA83)&gt;=10,"Post-Monsoon",IF(MONTH($CA83)&gt;=6,"Hot Humid",IF(MONTH($CA83)&gt;=3,"Hot Dry","Cold Winter")))))</f>
        <v/>
      </c>
      <c r="CC83">
        <f>IF($BV83="","",IFERROR(VLOOKUP($BV83,DECODE!$A$3:$C$8,2,FALSE),"?"))</f>
        <v/>
      </c>
      <c r="CD83">
        <f>IF($S83="","",UPPER(TRIM(LEFT($S83&amp;",",FIND(",",$S83&amp;",")-1))))</f>
        <v/>
      </c>
      <c r="CE83">
        <f>IF($CD83="","",MID($CD83,4,FIND("~",SUBSTITUTE($CD83,"-","~",2))-4))</f>
        <v/>
      </c>
      <c r="CF83">
        <f>IF($CD83="","",MID($CD83,FIND("~",SUBSTITUTE($CD83,"-","~",2))+1,FIND("~",SUBSTITUTE($CD83,"-","~",3))-FIND("~",SUBSTITUTE($CD83,"-","~",2))-1))</f>
        <v/>
      </c>
      <c r="CG83">
        <f>IF($CE83="","",IFERROR(VLOOKUP($CE83,DECODE!$A$3:$C$8,3,FALSE),"?"))</f>
        <v/>
      </c>
      <c r="CH83">
        <f>IF($CF83="","",IFERROR(VLOOKUP($CE83&amp;"-"&amp;$CF83,DECODE!$E$3:$F$21,2,FALSE),"?"))</f>
        <v/>
      </c>
      <c r="CI83">
        <f>IF($CD83="","",IFERROR(VALUE(RIGHT($CD83,3)),""))</f>
        <v/>
      </c>
      <c r="CJ83">
        <f>IF($Y83="","",IFERROR(IF(ISNUMBER($Y83),$Y83,DATEVALUE(TRIM($Y83))),""))</f>
        <v/>
      </c>
      <c r="CK83">
        <f>IF($CJ83="","",IF(MONTH($CJ83)&gt;=12,"Cold Winter",IF(MONTH($CJ83)&gt;=10,"Post-Monsoon",IF(MONTH($CJ83)&gt;=6,"Hot Humid",IF(MONTH($CJ83)&gt;=3,"Hot Dry","Cold Winter")))))</f>
        <v/>
      </c>
      <c r="CL83">
        <f>IF($CE83="","",IFERROR(VLOOKUP($CE83,DECODE!$A$3:$C$8,2,FALSE),"?"))</f>
        <v/>
      </c>
      <c r="CM83">
        <f>IF($AN83="","",AN83)</f>
        <v/>
      </c>
      <c r="CN83">
        <f>IF($AO83="","",AO83)</f>
        <v/>
      </c>
      <c r="CO83">
        <f>IF($AP83="","",AP83)</f>
        <v/>
      </c>
      <c r="CP83">
        <f>IF($CM83="","",IF($CM83="Aloe Vera Gel","Aloe Vera Gel "&amp;$CO83&amp;"g",CN83&amp;" "&amp;$CO83&amp;"g"))</f>
        <v/>
      </c>
      <c r="CQ83">
        <f>IF($AT83="",0,1)</f>
        <v/>
      </c>
      <c r="CR83">
        <f>IF($CQ83=0,"",AW83)</f>
        <v/>
      </c>
      <c r="CS83">
        <f>IF($CQ83=0,"",AX83)</f>
        <v/>
      </c>
      <c r="CT83">
        <f>IF($CQ83=0,"",AY83)</f>
        <v/>
      </c>
      <c r="CU83">
        <f>IF($CR83="","",IF($CR83="Aloe Vera Gel","Aloe Vera Gel "&amp;$CT83&amp;"g",CS83&amp;" "&amp;$CT83&amp;"g"))</f>
        <v/>
      </c>
      <c r="CV83">
        <f>IF($CQ83=0,"",IF($CP83=$CU83,"Repeat Exact",IF($CT83&gt;$CO83,"Upsized",IF($CT83&lt;$CO83,"Downsized",IF($CM83&lt;&gt;$CR83,"Lateral","Same Size Diff Variant")))))</f>
        <v/>
      </c>
      <c r="CW83">
        <f>IF($CQ83=0,"",AZ83-AQ83)</f>
        <v/>
      </c>
      <c r="CX83">
        <f>IF($CQ83=0,0,IF(CS83=CN83,1,0))</f>
        <v/>
      </c>
      <c r="CY83">
        <f>IF($CQ83=0,0,IF(CR83=CM83,1,0))</f>
        <v/>
      </c>
      <c r="CZ83">
        <f>IF($A83="","",IF(AND(IF(DASHBOARD!$C$4="All",TRUE,$CM83=DASHBOARD!$C$4),IF(DASHBOARD!$C$6="All",TRUE,$CP83=DASHBOARD!$C$6),IF(DASHBOARD!$C$8="All",TRUE,$AF83&gt;=DASHBOARD!$C$8),IF(DASHBOARD!$C$10="All",TRUE,$AF83&lt;=DASHBOARD!$C$10),IF(DASHBOARD!$C$12="All",TRUE,$AH83=VALUE(DASHBOARD!$C$12)),IF(DASHBOARD!$C$14="All",TRUE,$AJ83=DASHBOARD!$C$14)),1,0))</f>
        <v/>
      </c>
    </row>
    <row r="84">
      <c r="A84" t="n">
        <v>49389</v>
      </c>
      <c r="B84" t="inlineStr">
        <is>
          <t>Face Malai</t>
        </is>
      </c>
      <c r="H84" t="inlineStr">
        <is>
          <t>GreenApple Tulsi (Hot Humid) 13 - 19 Yrs Face Malai</t>
        </is>
      </c>
      <c r="N84" t="inlineStr">
        <is>
          <t>FC-HHDM-GAT-030</t>
        </is>
      </c>
      <c r="T84" t="inlineStr">
        <is>
          <t>Feb 28, 2024</t>
        </is>
      </c>
      <c r="AE84" t="inlineStr">
        <is>
          <t>Ghaziabad</t>
        </is>
      </c>
      <c r="AF84" t="inlineStr">
        <is>
          <t>2024-02</t>
        </is>
      </c>
      <c r="AG84" t="n">
        <v>2</v>
      </c>
      <c r="AH84" t="n">
        <v>1</v>
      </c>
      <c r="AI84" t="n">
        <v>0</v>
      </c>
      <c r="AJ84">
        <f>IF($AE84="","",IFERROR(VLOOKUP(TRIM($AE84),DECODE!$H$3:$I$60,2,FALSE),"Rest of India"))</f>
        <v/>
      </c>
      <c r="AK84">
        <f>IF($N84="","",UPPER(TRIM(LEFT($N84&amp;",",FIND(",",$N84&amp;",")-1))))</f>
        <v/>
      </c>
      <c r="AL84">
        <f>IF($AK84="","",MID($AK84,4,FIND("~",SUBSTITUTE($AK84,"-","~",2))-4))</f>
        <v/>
      </c>
      <c r="AM84">
        <f>IF($AK84="","",MID($AK84,FIND("~",SUBSTITUTE($AK84,"-","~",2))+1,FIND("~",SUBSTITUTE($AK84,"-","~",3))-FIND("~",SUBSTITUTE($AK84,"-","~",2))-1))</f>
        <v/>
      </c>
      <c r="AN84">
        <f>IF($AL84="","",IFERROR(VLOOKUP($AL84,DECODE!$A$3:$C$8,3,FALSE),"?"))</f>
        <v/>
      </c>
      <c r="AO84">
        <f>IF($AM84="","",IFERROR(VLOOKUP($AL84&amp;"-"&amp;$AM84,DECODE!$E$3:$F$21,2,FALSE),"?"))</f>
        <v/>
      </c>
      <c r="AP84">
        <f>IF($AK84="","",IFERROR(VALUE(RIGHT($AK84,3)),""))</f>
        <v/>
      </c>
      <c r="AQ84">
        <f>IF($T84="","",IFERROR(IF(ISNUMBER($T84),$T84,DATEVALUE(TRIM($T84))),""))</f>
        <v/>
      </c>
      <c r="AR84">
        <f>IF($AQ84="","",IF(MONTH($AQ84)&gt;=12,"Cold Winter",IF(MONTH($AQ84)&gt;=10,"Post-Monsoon",IF(MONTH($AQ84)&gt;=6,"Hot Humid",IF(MONTH($AQ84)&gt;=3,"Hot Dry","Cold Winter")))))</f>
        <v/>
      </c>
      <c r="AS84">
        <f>IF($AL84="","",IFERROR(VLOOKUP($AL84,DECODE!$A$3:$C$8,2,FALSE),"?"))</f>
        <v/>
      </c>
      <c r="AT84">
        <f>IF($O84="","",UPPER(TRIM(LEFT($O84&amp;",",FIND(",",$O84&amp;",")-1))))</f>
        <v/>
      </c>
      <c r="AU84">
        <f>IF($AT84="","",MID($AT84,4,FIND("~",SUBSTITUTE($AT84,"-","~",2))-4))</f>
        <v/>
      </c>
      <c r="AV84">
        <f>IF($AT84="","",MID($AT84,FIND("~",SUBSTITUTE($AT84,"-","~",2))+1,FIND("~",SUBSTITUTE($AT84,"-","~",3))-FIND("~",SUBSTITUTE($AT84,"-","~",2))-1))</f>
        <v/>
      </c>
      <c r="AW84">
        <f>IF($AU84="","",IFERROR(VLOOKUP($AU84,DECODE!$A$3:$C$8,3,FALSE),"?"))</f>
        <v/>
      </c>
      <c r="AX84">
        <f>IF($AV84="","",IFERROR(VLOOKUP($AU84&amp;"-"&amp;$AV84,DECODE!$E$3:$F$21,2,FALSE),"?"))</f>
        <v/>
      </c>
      <c r="AY84">
        <f>IF($AT84="","",IFERROR(VALUE(RIGHT($AT84,3)),""))</f>
        <v/>
      </c>
      <c r="AZ84">
        <f>IF($U84="","",IFERROR(IF(ISNUMBER($U84),$U84,DATEVALUE(TRIM($U84))),""))</f>
        <v/>
      </c>
      <c r="BA84">
        <f>IF($AZ84="","",IF(MONTH($AZ84)&gt;=12,"Cold Winter",IF(MONTH($AZ84)&gt;=10,"Post-Monsoon",IF(MONTH($AZ84)&gt;=6,"Hot Humid",IF(MONTH($AZ84)&gt;=3,"Hot Dry","Cold Winter")))))</f>
        <v/>
      </c>
      <c r="BB84">
        <f>IF($AU84="","",IFERROR(VLOOKUP($AU84,DECODE!$A$3:$C$8,2,FALSE),"?"))</f>
        <v/>
      </c>
      <c r="BC84">
        <f>IF($P84="","",UPPER(TRIM(LEFT($P84&amp;",",FIND(",",$P84&amp;",")-1))))</f>
        <v/>
      </c>
      <c r="BD84">
        <f>IF($BC84="","",MID($BC84,4,FIND("~",SUBSTITUTE($BC84,"-","~",2))-4))</f>
        <v/>
      </c>
      <c r="BE84">
        <f>IF($BC84="","",MID($BC84,FIND("~",SUBSTITUTE($BC84,"-","~",2))+1,FIND("~",SUBSTITUTE($BC84,"-","~",3))-FIND("~",SUBSTITUTE($BC84,"-","~",2))-1))</f>
        <v/>
      </c>
      <c r="BF84">
        <f>IF($BD84="","",IFERROR(VLOOKUP($BD84,DECODE!$A$3:$C$8,3,FALSE),"?"))</f>
        <v/>
      </c>
      <c r="BG84">
        <f>IF($BE84="","",IFERROR(VLOOKUP($BD84&amp;"-"&amp;$BE84,DECODE!$E$3:$F$21,2,FALSE),"?"))</f>
        <v/>
      </c>
      <c r="BH84">
        <f>IF($BC84="","",IFERROR(VALUE(RIGHT($BC84,3)),""))</f>
        <v/>
      </c>
      <c r="BI84">
        <f>IF($V84="","",IFERROR(IF(ISNUMBER($V84),$V84,DATEVALUE(TRIM($V84))),""))</f>
        <v/>
      </c>
      <c r="BJ84">
        <f>IF($BI84="","",IF(MONTH($BI84)&gt;=12,"Cold Winter",IF(MONTH($BI84)&gt;=10,"Post-Monsoon",IF(MONTH($BI84)&gt;=6,"Hot Humid",IF(MONTH($BI84)&gt;=3,"Hot Dry","Cold Winter")))))</f>
        <v/>
      </c>
      <c r="BK84">
        <f>IF($BD84="","",IFERROR(VLOOKUP($BD84,DECODE!$A$3:$C$8,2,FALSE),"?"))</f>
        <v/>
      </c>
      <c r="BL84">
        <f>IF($Q84="","",UPPER(TRIM(LEFT($Q84&amp;",",FIND(",",$Q84&amp;",")-1))))</f>
        <v/>
      </c>
      <c r="BM84">
        <f>IF($BL84="","",MID($BL84,4,FIND("~",SUBSTITUTE($BL84,"-","~",2))-4))</f>
        <v/>
      </c>
      <c r="BN84">
        <f>IF($BL84="","",MID($BL84,FIND("~",SUBSTITUTE($BL84,"-","~",2))+1,FIND("~",SUBSTITUTE($BL84,"-","~",3))-FIND("~",SUBSTITUTE($BL84,"-","~",2))-1))</f>
        <v/>
      </c>
      <c r="BO84">
        <f>IF($BM84="","",IFERROR(VLOOKUP($BM84,DECODE!$A$3:$C$8,3,FALSE),"?"))</f>
        <v/>
      </c>
      <c r="BP84">
        <f>IF($BN84="","",IFERROR(VLOOKUP($BM84&amp;"-"&amp;$BN84,DECODE!$E$3:$F$21,2,FALSE),"?"))</f>
        <v/>
      </c>
      <c r="BQ84">
        <f>IF($BL84="","",IFERROR(VALUE(RIGHT($BL84,3)),""))</f>
        <v/>
      </c>
      <c r="BR84">
        <f>IF($W84="","",IFERROR(IF(ISNUMBER($W84),$W84,DATEVALUE(TRIM($W84))),""))</f>
        <v/>
      </c>
      <c r="BS84">
        <f>IF($BR84="","",IF(MONTH($BR84)&gt;=12,"Cold Winter",IF(MONTH($BR84)&gt;=10,"Post-Monsoon",IF(MONTH($BR84)&gt;=6,"Hot Humid",IF(MONTH($BR84)&gt;=3,"Hot Dry","Cold Winter")))))</f>
        <v/>
      </c>
      <c r="BT84">
        <f>IF($BM84="","",IFERROR(VLOOKUP($BM84,DECODE!$A$3:$C$8,2,FALSE),"?"))</f>
        <v/>
      </c>
      <c r="BU84">
        <f>IF($R84="","",UPPER(TRIM(LEFT($R84&amp;",",FIND(",",$R84&amp;",")-1))))</f>
        <v/>
      </c>
      <c r="BV84">
        <f>IF($BU84="","",MID($BU84,4,FIND("~",SUBSTITUTE($BU84,"-","~",2))-4))</f>
        <v/>
      </c>
      <c r="BW84">
        <f>IF($BU84="","",MID($BU84,FIND("~",SUBSTITUTE($BU84,"-","~",2))+1,FIND("~",SUBSTITUTE($BU84,"-","~",3))-FIND("~",SUBSTITUTE($BU84,"-","~",2))-1))</f>
        <v/>
      </c>
      <c r="BX84">
        <f>IF($BV84="","",IFERROR(VLOOKUP($BV84,DECODE!$A$3:$C$8,3,FALSE),"?"))</f>
        <v/>
      </c>
      <c r="BY84">
        <f>IF($BW84="","",IFERROR(VLOOKUP($BV84&amp;"-"&amp;$BW84,DECODE!$E$3:$F$21,2,FALSE),"?"))</f>
        <v/>
      </c>
      <c r="BZ84">
        <f>IF($BU84="","",IFERROR(VALUE(RIGHT($BU84,3)),""))</f>
        <v/>
      </c>
      <c r="CA84">
        <f>IF($X84="","",IFERROR(IF(ISNUMBER($X84),$X84,DATEVALUE(TRIM($X84))),""))</f>
        <v/>
      </c>
      <c r="CB84">
        <f>IF($CA84="","",IF(MONTH($CA84)&gt;=12,"Cold Winter",IF(MONTH($CA84)&gt;=10,"Post-Monsoon",IF(MONTH($CA84)&gt;=6,"Hot Humid",IF(MONTH($CA84)&gt;=3,"Hot Dry","Cold Winter")))))</f>
        <v/>
      </c>
      <c r="CC84">
        <f>IF($BV84="","",IFERROR(VLOOKUP($BV84,DECODE!$A$3:$C$8,2,FALSE),"?"))</f>
        <v/>
      </c>
      <c r="CD84">
        <f>IF($S84="","",UPPER(TRIM(LEFT($S84&amp;",",FIND(",",$S84&amp;",")-1))))</f>
        <v/>
      </c>
      <c r="CE84">
        <f>IF($CD84="","",MID($CD84,4,FIND("~",SUBSTITUTE($CD84,"-","~",2))-4))</f>
        <v/>
      </c>
      <c r="CF84">
        <f>IF($CD84="","",MID($CD84,FIND("~",SUBSTITUTE($CD84,"-","~",2))+1,FIND("~",SUBSTITUTE($CD84,"-","~",3))-FIND("~",SUBSTITUTE($CD84,"-","~",2))-1))</f>
        <v/>
      </c>
      <c r="CG84">
        <f>IF($CE84="","",IFERROR(VLOOKUP($CE84,DECODE!$A$3:$C$8,3,FALSE),"?"))</f>
        <v/>
      </c>
      <c r="CH84">
        <f>IF($CF84="","",IFERROR(VLOOKUP($CE84&amp;"-"&amp;$CF84,DECODE!$E$3:$F$21,2,FALSE),"?"))</f>
        <v/>
      </c>
      <c r="CI84">
        <f>IF($CD84="","",IFERROR(VALUE(RIGHT($CD84,3)),""))</f>
        <v/>
      </c>
      <c r="CJ84">
        <f>IF($Y84="","",IFERROR(IF(ISNUMBER($Y84),$Y84,DATEVALUE(TRIM($Y84))),""))</f>
        <v/>
      </c>
      <c r="CK84">
        <f>IF($CJ84="","",IF(MONTH($CJ84)&gt;=12,"Cold Winter",IF(MONTH($CJ84)&gt;=10,"Post-Monsoon",IF(MONTH($CJ84)&gt;=6,"Hot Humid",IF(MONTH($CJ84)&gt;=3,"Hot Dry","Cold Winter")))))</f>
        <v/>
      </c>
      <c r="CL84">
        <f>IF($CE84="","",IFERROR(VLOOKUP($CE84,DECODE!$A$3:$C$8,2,FALSE),"?"))</f>
        <v/>
      </c>
      <c r="CM84">
        <f>IF($AN84="","",AN84)</f>
        <v/>
      </c>
      <c r="CN84">
        <f>IF($AO84="","",AO84)</f>
        <v/>
      </c>
      <c r="CO84">
        <f>IF($AP84="","",AP84)</f>
        <v/>
      </c>
      <c r="CP84">
        <f>IF($CM84="","",IF($CM84="Aloe Vera Gel","Aloe Vera Gel "&amp;$CO84&amp;"g",CN84&amp;" "&amp;$CO84&amp;"g"))</f>
        <v/>
      </c>
      <c r="CQ84">
        <f>IF($AT84="",0,1)</f>
        <v/>
      </c>
      <c r="CR84">
        <f>IF($CQ84=0,"",AW84)</f>
        <v/>
      </c>
      <c r="CS84">
        <f>IF($CQ84=0,"",AX84)</f>
        <v/>
      </c>
      <c r="CT84">
        <f>IF($CQ84=0,"",AY84)</f>
        <v/>
      </c>
      <c r="CU84">
        <f>IF($CR84="","",IF($CR84="Aloe Vera Gel","Aloe Vera Gel "&amp;$CT84&amp;"g",CS84&amp;" "&amp;$CT84&amp;"g"))</f>
        <v/>
      </c>
      <c r="CV84">
        <f>IF($CQ84=0,"",IF($CP84=$CU84,"Repeat Exact",IF($CT84&gt;$CO84,"Upsized",IF($CT84&lt;$CO84,"Downsized",IF($CM84&lt;&gt;$CR84,"Lateral","Same Size Diff Variant")))))</f>
        <v/>
      </c>
      <c r="CW84">
        <f>IF($CQ84=0,"",AZ84-AQ84)</f>
        <v/>
      </c>
      <c r="CX84">
        <f>IF($CQ84=0,0,IF(CS84=CN84,1,0))</f>
        <v/>
      </c>
      <c r="CY84">
        <f>IF($CQ84=0,0,IF(CR84=CM84,1,0))</f>
        <v/>
      </c>
      <c r="CZ84">
        <f>IF($A84="","",IF(AND(IF(DASHBOARD!$C$4="All",TRUE,$CM84=DASHBOARD!$C$4),IF(DASHBOARD!$C$6="All",TRUE,$CP84=DASHBOARD!$C$6),IF(DASHBOARD!$C$8="All",TRUE,$AF84&gt;=DASHBOARD!$C$8),IF(DASHBOARD!$C$10="All",TRUE,$AF84&lt;=DASHBOARD!$C$10),IF(DASHBOARD!$C$12="All",TRUE,$AH84=VALUE(DASHBOARD!$C$12)),IF(DASHBOARD!$C$14="All",TRUE,$AJ84=DASHBOARD!$C$14)),1,0))</f>
        <v/>
      </c>
    </row>
    <row r="85">
      <c r="A85" t="n">
        <v>49407</v>
      </c>
      <c r="B85" t="inlineStr">
        <is>
          <t>Face Malai</t>
        </is>
      </c>
      <c r="H85" t="inlineStr">
        <is>
          <t>Honey Multi-Nut (Dry &amp; Peeling Skin) Face Malai, Flax Carrot (Hot Humid) 35+ Face Malai - 30g</t>
        </is>
      </c>
      <c r="N85" t="inlineStr">
        <is>
          <t>FC-DM-DP-030, FC-HHDM-FC-030</t>
        </is>
      </c>
      <c r="T85" t="inlineStr">
        <is>
          <t>Jun 15, 2025</t>
        </is>
      </c>
      <c r="AE85" t="inlineStr">
        <is>
          <t>New Delhi</t>
        </is>
      </c>
      <c r="AF85" t="inlineStr">
        <is>
          <t>2025-06</t>
        </is>
      </c>
      <c r="AG85" t="n">
        <v>6</v>
      </c>
      <c r="AH85" t="n">
        <v>1</v>
      </c>
      <c r="AI85" t="n">
        <v>0</v>
      </c>
      <c r="AJ85">
        <f>IF($AE85="","",IFERROR(VLOOKUP(TRIM($AE85),DECODE!$H$3:$I$60,2,FALSE),"Rest of India"))</f>
        <v/>
      </c>
      <c r="AK85">
        <f>IF($N85="","",UPPER(TRIM(LEFT($N85&amp;",",FIND(",",$N85&amp;",")-1))))</f>
        <v/>
      </c>
      <c r="AL85">
        <f>IF($AK85="","",MID($AK85,4,FIND("~",SUBSTITUTE($AK85,"-","~",2))-4))</f>
        <v/>
      </c>
      <c r="AM85">
        <f>IF($AK85="","",MID($AK85,FIND("~",SUBSTITUTE($AK85,"-","~",2))+1,FIND("~",SUBSTITUTE($AK85,"-","~",3))-FIND("~",SUBSTITUTE($AK85,"-","~",2))-1))</f>
        <v/>
      </c>
      <c r="AN85">
        <f>IF($AL85="","",IFERROR(VLOOKUP($AL85,DECODE!$A$3:$C$8,3,FALSE),"?"))</f>
        <v/>
      </c>
      <c r="AO85">
        <f>IF($AM85="","",IFERROR(VLOOKUP($AL85&amp;"-"&amp;$AM85,DECODE!$E$3:$F$21,2,FALSE),"?"))</f>
        <v/>
      </c>
      <c r="AP85">
        <f>IF($AK85="","",IFERROR(VALUE(RIGHT($AK85,3)),""))</f>
        <v/>
      </c>
      <c r="AQ85">
        <f>IF($T85="","",IFERROR(IF(ISNUMBER($T85),$T85,DATEVALUE(TRIM($T85))),""))</f>
        <v/>
      </c>
      <c r="AR85">
        <f>IF($AQ85="","",IF(MONTH($AQ85)&gt;=12,"Cold Winter",IF(MONTH($AQ85)&gt;=10,"Post-Monsoon",IF(MONTH($AQ85)&gt;=6,"Hot Humid",IF(MONTH($AQ85)&gt;=3,"Hot Dry","Cold Winter")))))</f>
        <v/>
      </c>
      <c r="AS85">
        <f>IF($AL85="","",IFERROR(VLOOKUP($AL85,DECODE!$A$3:$C$8,2,FALSE),"?"))</f>
        <v/>
      </c>
      <c r="AT85">
        <f>IF($O85="","",UPPER(TRIM(LEFT($O85&amp;",",FIND(",",$O85&amp;",")-1))))</f>
        <v/>
      </c>
      <c r="AU85">
        <f>IF($AT85="","",MID($AT85,4,FIND("~",SUBSTITUTE($AT85,"-","~",2))-4))</f>
        <v/>
      </c>
      <c r="AV85">
        <f>IF($AT85="","",MID($AT85,FIND("~",SUBSTITUTE($AT85,"-","~",2))+1,FIND("~",SUBSTITUTE($AT85,"-","~",3))-FIND("~",SUBSTITUTE($AT85,"-","~",2))-1))</f>
        <v/>
      </c>
      <c r="AW85">
        <f>IF($AU85="","",IFERROR(VLOOKUP($AU85,DECODE!$A$3:$C$8,3,FALSE),"?"))</f>
        <v/>
      </c>
      <c r="AX85">
        <f>IF($AV85="","",IFERROR(VLOOKUP($AU85&amp;"-"&amp;$AV85,DECODE!$E$3:$F$21,2,FALSE),"?"))</f>
        <v/>
      </c>
      <c r="AY85">
        <f>IF($AT85="","",IFERROR(VALUE(RIGHT($AT85,3)),""))</f>
        <v/>
      </c>
      <c r="AZ85">
        <f>IF($U85="","",IFERROR(IF(ISNUMBER($U85),$U85,DATEVALUE(TRIM($U85))),""))</f>
        <v/>
      </c>
      <c r="BA85">
        <f>IF($AZ85="","",IF(MONTH($AZ85)&gt;=12,"Cold Winter",IF(MONTH($AZ85)&gt;=10,"Post-Monsoon",IF(MONTH($AZ85)&gt;=6,"Hot Humid",IF(MONTH($AZ85)&gt;=3,"Hot Dry","Cold Winter")))))</f>
        <v/>
      </c>
      <c r="BB85">
        <f>IF($AU85="","",IFERROR(VLOOKUP($AU85,DECODE!$A$3:$C$8,2,FALSE),"?"))</f>
        <v/>
      </c>
      <c r="BC85">
        <f>IF($P85="","",UPPER(TRIM(LEFT($P85&amp;",",FIND(",",$P85&amp;",")-1))))</f>
        <v/>
      </c>
      <c r="BD85">
        <f>IF($BC85="","",MID($BC85,4,FIND("~",SUBSTITUTE($BC85,"-","~",2))-4))</f>
        <v/>
      </c>
      <c r="BE85">
        <f>IF($BC85="","",MID($BC85,FIND("~",SUBSTITUTE($BC85,"-","~",2))+1,FIND("~",SUBSTITUTE($BC85,"-","~",3))-FIND("~",SUBSTITUTE($BC85,"-","~",2))-1))</f>
        <v/>
      </c>
      <c r="BF85">
        <f>IF($BD85="","",IFERROR(VLOOKUP($BD85,DECODE!$A$3:$C$8,3,FALSE),"?"))</f>
        <v/>
      </c>
      <c r="BG85">
        <f>IF($BE85="","",IFERROR(VLOOKUP($BD85&amp;"-"&amp;$BE85,DECODE!$E$3:$F$21,2,FALSE),"?"))</f>
        <v/>
      </c>
      <c r="BH85">
        <f>IF($BC85="","",IFERROR(VALUE(RIGHT($BC85,3)),""))</f>
        <v/>
      </c>
      <c r="BI85">
        <f>IF($V85="","",IFERROR(IF(ISNUMBER($V85),$V85,DATEVALUE(TRIM($V85))),""))</f>
        <v/>
      </c>
      <c r="BJ85">
        <f>IF($BI85="","",IF(MONTH($BI85)&gt;=12,"Cold Winter",IF(MONTH($BI85)&gt;=10,"Post-Monsoon",IF(MONTH($BI85)&gt;=6,"Hot Humid",IF(MONTH($BI85)&gt;=3,"Hot Dry","Cold Winter")))))</f>
        <v/>
      </c>
      <c r="BK85">
        <f>IF($BD85="","",IFERROR(VLOOKUP($BD85,DECODE!$A$3:$C$8,2,FALSE),"?"))</f>
        <v/>
      </c>
      <c r="BL85">
        <f>IF($Q85="","",UPPER(TRIM(LEFT($Q85&amp;",",FIND(",",$Q85&amp;",")-1))))</f>
        <v/>
      </c>
      <c r="BM85">
        <f>IF($BL85="","",MID($BL85,4,FIND("~",SUBSTITUTE($BL85,"-","~",2))-4))</f>
        <v/>
      </c>
      <c r="BN85">
        <f>IF($BL85="","",MID($BL85,FIND("~",SUBSTITUTE($BL85,"-","~",2))+1,FIND("~",SUBSTITUTE($BL85,"-","~",3))-FIND("~",SUBSTITUTE($BL85,"-","~",2))-1))</f>
        <v/>
      </c>
      <c r="BO85">
        <f>IF($BM85="","",IFERROR(VLOOKUP($BM85,DECODE!$A$3:$C$8,3,FALSE),"?"))</f>
        <v/>
      </c>
      <c r="BP85">
        <f>IF($BN85="","",IFERROR(VLOOKUP($BM85&amp;"-"&amp;$BN85,DECODE!$E$3:$F$21,2,FALSE),"?"))</f>
        <v/>
      </c>
      <c r="BQ85">
        <f>IF($BL85="","",IFERROR(VALUE(RIGHT($BL85,3)),""))</f>
        <v/>
      </c>
      <c r="BR85">
        <f>IF($W85="","",IFERROR(IF(ISNUMBER($W85),$W85,DATEVALUE(TRIM($W85))),""))</f>
        <v/>
      </c>
      <c r="BS85">
        <f>IF($BR85="","",IF(MONTH($BR85)&gt;=12,"Cold Winter",IF(MONTH($BR85)&gt;=10,"Post-Monsoon",IF(MONTH($BR85)&gt;=6,"Hot Humid",IF(MONTH($BR85)&gt;=3,"Hot Dry","Cold Winter")))))</f>
        <v/>
      </c>
      <c r="BT85">
        <f>IF($BM85="","",IFERROR(VLOOKUP($BM85,DECODE!$A$3:$C$8,2,FALSE),"?"))</f>
        <v/>
      </c>
      <c r="BU85">
        <f>IF($R85="","",UPPER(TRIM(LEFT($R85&amp;",",FIND(",",$R85&amp;",")-1))))</f>
        <v/>
      </c>
      <c r="BV85">
        <f>IF($BU85="","",MID($BU85,4,FIND("~",SUBSTITUTE($BU85,"-","~",2))-4))</f>
        <v/>
      </c>
      <c r="BW85">
        <f>IF($BU85="","",MID($BU85,FIND("~",SUBSTITUTE($BU85,"-","~",2))+1,FIND("~",SUBSTITUTE($BU85,"-","~",3))-FIND("~",SUBSTITUTE($BU85,"-","~",2))-1))</f>
        <v/>
      </c>
      <c r="BX85">
        <f>IF($BV85="","",IFERROR(VLOOKUP($BV85,DECODE!$A$3:$C$8,3,FALSE),"?"))</f>
        <v/>
      </c>
      <c r="BY85">
        <f>IF($BW85="","",IFERROR(VLOOKUP($BV85&amp;"-"&amp;$BW85,DECODE!$E$3:$F$21,2,FALSE),"?"))</f>
        <v/>
      </c>
      <c r="BZ85">
        <f>IF($BU85="","",IFERROR(VALUE(RIGHT($BU85,3)),""))</f>
        <v/>
      </c>
      <c r="CA85">
        <f>IF($X85="","",IFERROR(IF(ISNUMBER($X85),$X85,DATEVALUE(TRIM($X85))),""))</f>
        <v/>
      </c>
      <c r="CB85">
        <f>IF($CA85="","",IF(MONTH($CA85)&gt;=12,"Cold Winter",IF(MONTH($CA85)&gt;=10,"Post-Monsoon",IF(MONTH($CA85)&gt;=6,"Hot Humid",IF(MONTH($CA85)&gt;=3,"Hot Dry","Cold Winter")))))</f>
        <v/>
      </c>
      <c r="CC85">
        <f>IF($BV85="","",IFERROR(VLOOKUP($BV85,DECODE!$A$3:$C$8,2,FALSE),"?"))</f>
        <v/>
      </c>
      <c r="CD85">
        <f>IF($S85="","",UPPER(TRIM(LEFT($S85&amp;",",FIND(",",$S85&amp;",")-1))))</f>
        <v/>
      </c>
      <c r="CE85">
        <f>IF($CD85="","",MID($CD85,4,FIND("~",SUBSTITUTE($CD85,"-","~",2))-4))</f>
        <v/>
      </c>
      <c r="CF85">
        <f>IF($CD85="","",MID($CD85,FIND("~",SUBSTITUTE($CD85,"-","~",2))+1,FIND("~",SUBSTITUTE($CD85,"-","~",3))-FIND("~",SUBSTITUTE($CD85,"-","~",2))-1))</f>
        <v/>
      </c>
      <c r="CG85">
        <f>IF($CE85="","",IFERROR(VLOOKUP($CE85,DECODE!$A$3:$C$8,3,FALSE),"?"))</f>
        <v/>
      </c>
      <c r="CH85">
        <f>IF($CF85="","",IFERROR(VLOOKUP($CE85&amp;"-"&amp;$CF85,DECODE!$E$3:$F$21,2,FALSE),"?"))</f>
        <v/>
      </c>
      <c r="CI85">
        <f>IF($CD85="","",IFERROR(VALUE(RIGHT($CD85,3)),""))</f>
        <v/>
      </c>
      <c r="CJ85">
        <f>IF($Y85="","",IFERROR(IF(ISNUMBER($Y85),$Y85,DATEVALUE(TRIM($Y85))),""))</f>
        <v/>
      </c>
      <c r="CK85">
        <f>IF($CJ85="","",IF(MONTH($CJ85)&gt;=12,"Cold Winter",IF(MONTH($CJ85)&gt;=10,"Post-Monsoon",IF(MONTH($CJ85)&gt;=6,"Hot Humid",IF(MONTH($CJ85)&gt;=3,"Hot Dry","Cold Winter")))))</f>
        <v/>
      </c>
      <c r="CL85">
        <f>IF($CE85="","",IFERROR(VLOOKUP($CE85,DECODE!$A$3:$C$8,2,FALSE),"?"))</f>
        <v/>
      </c>
      <c r="CM85">
        <f>IF($AN85="","",AN85)</f>
        <v/>
      </c>
      <c r="CN85">
        <f>IF($AO85="","",AO85)</f>
        <v/>
      </c>
      <c r="CO85">
        <f>IF($AP85="","",AP85)</f>
        <v/>
      </c>
      <c r="CP85">
        <f>IF($CM85="","",IF($CM85="Aloe Vera Gel","Aloe Vera Gel "&amp;$CO85&amp;"g",CN85&amp;" "&amp;$CO85&amp;"g"))</f>
        <v/>
      </c>
      <c r="CQ85">
        <f>IF($AT85="",0,1)</f>
        <v/>
      </c>
      <c r="CR85">
        <f>IF($CQ85=0,"",AW85)</f>
        <v/>
      </c>
      <c r="CS85">
        <f>IF($CQ85=0,"",AX85)</f>
        <v/>
      </c>
      <c r="CT85">
        <f>IF($CQ85=0,"",AY85)</f>
        <v/>
      </c>
      <c r="CU85">
        <f>IF($CR85="","",IF($CR85="Aloe Vera Gel","Aloe Vera Gel "&amp;$CT85&amp;"g",CS85&amp;" "&amp;$CT85&amp;"g"))</f>
        <v/>
      </c>
      <c r="CV85">
        <f>IF($CQ85=0,"",IF($CP85=$CU85,"Repeat Exact",IF($CT85&gt;$CO85,"Upsized",IF($CT85&lt;$CO85,"Downsized",IF($CM85&lt;&gt;$CR85,"Lateral","Same Size Diff Variant")))))</f>
        <v/>
      </c>
      <c r="CW85">
        <f>IF($CQ85=0,"",AZ85-AQ85)</f>
        <v/>
      </c>
      <c r="CX85">
        <f>IF($CQ85=0,0,IF(CS85=CN85,1,0))</f>
        <v/>
      </c>
      <c r="CY85">
        <f>IF($CQ85=0,0,IF(CR85=CM85,1,0))</f>
        <v/>
      </c>
      <c r="CZ85">
        <f>IF($A85="","",IF(AND(IF(DASHBOARD!$C$4="All",TRUE,$CM85=DASHBOARD!$C$4),IF(DASHBOARD!$C$6="All",TRUE,$CP85=DASHBOARD!$C$6),IF(DASHBOARD!$C$8="All",TRUE,$AF85&gt;=DASHBOARD!$C$8),IF(DASHBOARD!$C$10="All",TRUE,$AF85&lt;=DASHBOARD!$C$10),IF(DASHBOARD!$C$12="All",TRUE,$AH85=VALUE(DASHBOARD!$C$12)),IF(DASHBOARD!$C$14="All",TRUE,$AJ85=DASHBOARD!$C$14)),1,0))</f>
        <v/>
      </c>
    </row>
    <row r="86">
      <c r="A86" t="n">
        <v>49419</v>
      </c>
      <c r="B86" t="inlineStr">
        <is>
          <t>Active Gel</t>
        </is>
      </c>
      <c r="H86" t="inlineStr">
        <is>
          <t>Active Orange Kiwi Vit-C Gel</t>
        </is>
      </c>
      <c r="N86" t="inlineStr">
        <is>
          <t>FC-AC-OK-050</t>
        </is>
      </c>
      <c r="T86" t="inlineStr">
        <is>
          <t>Jul 29, 2024</t>
        </is>
      </c>
      <c r="AE86" t="inlineStr">
        <is>
          <t>Pali</t>
        </is>
      </c>
      <c r="AF86" t="inlineStr">
        <is>
          <t>2024-07</t>
        </is>
      </c>
      <c r="AG86" t="n">
        <v>7</v>
      </c>
      <c r="AH86" t="n">
        <v>1</v>
      </c>
      <c r="AI86" t="n">
        <v>0</v>
      </c>
      <c r="AJ86">
        <f>IF($AE86="","",IFERROR(VLOOKUP(TRIM($AE86),DECODE!$H$3:$I$60,2,FALSE),"Rest of India"))</f>
        <v/>
      </c>
      <c r="AK86">
        <f>IF($N86="","",UPPER(TRIM(LEFT($N86&amp;",",FIND(",",$N86&amp;",")-1))))</f>
        <v/>
      </c>
      <c r="AL86">
        <f>IF($AK86="","",MID($AK86,4,FIND("~",SUBSTITUTE($AK86,"-","~",2))-4))</f>
        <v/>
      </c>
      <c r="AM86">
        <f>IF($AK86="","",MID($AK86,FIND("~",SUBSTITUTE($AK86,"-","~",2))+1,FIND("~",SUBSTITUTE($AK86,"-","~",3))-FIND("~",SUBSTITUTE($AK86,"-","~",2))-1))</f>
        <v/>
      </c>
      <c r="AN86">
        <f>IF($AL86="","",IFERROR(VLOOKUP($AL86,DECODE!$A$3:$C$8,3,FALSE),"?"))</f>
        <v/>
      </c>
      <c r="AO86">
        <f>IF($AM86="","",IFERROR(VLOOKUP($AL86&amp;"-"&amp;$AM86,DECODE!$E$3:$F$21,2,FALSE),"?"))</f>
        <v/>
      </c>
      <c r="AP86">
        <f>IF($AK86="","",IFERROR(VALUE(RIGHT($AK86,3)),""))</f>
        <v/>
      </c>
      <c r="AQ86">
        <f>IF($T86="","",IFERROR(IF(ISNUMBER($T86),$T86,DATEVALUE(TRIM($T86))),""))</f>
        <v/>
      </c>
      <c r="AR86">
        <f>IF($AQ86="","",IF(MONTH($AQ86)&gt;=12,"Cold Winter",IF(MONTH($AQ86)&gt;=10,"Post-Monsoon",IF(MONTH($AQ86)&gt;=6,"Hot Humid",IF(MONTH($AQ86)&gt;=3,"Hot Dry","Cold Winter")))))</f>
        <v/>
      </c>
      <c r="AS86">
        <f>IF($AL86="","",IFERROR(VLOOKUP($AL86,DECODE!$A$3:$C$8,2,FALSE),"?"))</f>
        <v/>
      </c>
      <c r="AT86">
        <f>IF($O86="","",UPPER(TRIM(LEFT($O86&amp;",",FIND(",",$O86&amp;",")-1))))</f>
        <v/>
      </c>
      <c r="AU86">
        <f>IF($AT86="","",MID($AT86,4,FIND("~",SUBSTITUTE($AT86,"-","~",2))-4))</f>
        <v/>
      </c>
      <c r="AV86">
        <f>IF($AT86="","",MID($AT86,FIND("~",SUBSTITUTE($AT86,"-","~",2))+1,FIND("~",SUBSTITUTE($AT86,"-","~",3))-FIND("~",SUBSTITUTE($AT86,"-","~",2))-1))</f>
        <v/>
      </c>
      <c r="AW86">
        <f>IF($AU86="","",IFERROR(VLOOKUP($AU86,DECODE!$A$3:$C$8,3,FALSE),"?"))</f>
        <v/>
      </c>
      <c r="AX86">
        <f>IF($AV86="","",IFERROR(VLOOKUP($AU86&amp;"-"&amp;$AV86,DECODE!$E$3:$F$21,2,FALSE),"?"))</f>
        <v/>
      </c>
      <c r="AY86">
        <f>IF($AT86="","",IFERROR(VALUE(RIGHT($AT86,3)),""))</f>
        <v/>
      </c>
      <c r="AZ86">
        <f>IF($U86="","",IFERROR(IF(ISNUMBER($U86),$U86,DATEVALUE(TRIM($U86))),""))</f>
        <v/>
      </c>
      <c r="BA86">
        <f>IF($AZ86="","",IF(MONTH($AZ86)&gt;=12,"Cold Winter",IF(MONTH($AZ86)&gt;=10,"Post-Monsoon",IF(MONTH($AZ86)&gt;=6,"Hot Humid",IF(MONTH($AZ86)&gt;=3,"Hot Dry","Cold Winter")))))</f>
        <v/>
      </c>
      <c r="BB86">
        <f>IF($AU86="","",IFERROR(VLOOKUP($AU86,DECODE!$A$3:$C$8,2,FALSE),"?"))</f>
        <v/>
      </c>
      <c r="BC86">
        <f>IF($P86="","",UPPER(TRIM(LEFT($P86&amp;",",FIND(",",$P86&amp;",")-1))))</f>
        <v/>
      </c>
      <c r="BD86">
        <f>IF($BC86="","",MID($BC86,4,FIND("~",SUBSTITUTE($BC86,"-","~",2))-4))</f>
        <v/>
      </c>
      <c r="BE86">
        <f>IF($BC86="","",MID($BC86,FIND("~",SUBSTITUTE($BC86,"-","~",2))+1,FIND("~",SUBSTITUTE($BC86,"-","~",3))-FIND("~",SUBSTITUTE($BC86,"-","~",2))-1))</f>
        <v/>
      </c>
      <c r="BF86">
        <f>IF($BD86="","",IFERROR(VLOOKUP($BD86,DECODE!$A$3:$C$8,3,FALSE),"?"))</f>
        <v/>
      </c>
      <c r="BG86">
        <f>IF($BE86="","",IFERROR(VLOOKUP($BD86&amp;"-"&amp;$BE86,DECODE!$E$3:$F$21,2,FALSE),"?"))</f>
        <v/>
      </c>
      <c r="BH86">
        <f>IF($BC86="","",IFERROR(VALUE(RIGHT($BC86,3)),""))</f>
        <v/>
      </c>
      <c r="BI86">
        <f>IF($V86="","",IFERROR(IF(ISNUMBER($V86),$V86,DATEVALUE(TRIM($V86))),""))</f>
        <v/>
      </c>
      <c r="BJ86">
        <f>IF($BI86="","",IF(MONTH($BI86)&gt;=12,"Cold Winter",IF(MONTH($BI86)&gt;=10,"Post-Monsoon",IF(MONTH($BI86)&gt;=6,"Hot Humid",IF(MONTH($BI86)&gt;=3,"Hot Dry","Cold Winter")))))</f>
        <v/>
      </c>
      <c r="BK86">
        <f>IF($BD86="","",IFERROR(VLOOKUP($BD86,DECODE!$A$3:$C$8,2,FALSE),"?"))</f>
        <v/>
      </c>
      <c r="BL86">
        <f>IF($Q86="","",UPPER(TRIM(LEFT($Q86&amp;",",FIND(",",$Q86&amp;",")-1))))</f>
        <v/>
      </c>
      <c r="BM86">
        <f>IF($BL86="","",MID($BL86,4,FIND("~",SUBSTITUTE($BL86,"-","~",2))-4))</f>
        <v/>
      </c>
      <c r="BN86">
        <f>IF($BL86="","",MID($BL86,FIND("~",SUBSTITUTE($BL86,"-","~",2))+1,FIND("~",SUBSTITUTE($BL86,"-","~",3))-FIND("~",SUBSTITUTE($BL86,"-","~",2))-1))</f>
        <v/>
      </c>
      <c r="BO86">
        <f>IF($BM86="","",IFERROR(VLOOKUP($BM86,DECODE!$A$3:$C$8,3,FALSE),"?"))</f>
        <v/>
      </c>
      <c r="BP86">
        <f>IF($BN86="","",IFERROR(VLOOKUP($BM86&amp;"-"&amp;$BN86,DECODE!$E$3:$F$21,2,FALSE),"?"))</f>
        <v/>
      </c>
      <c r="BQ86">
        <f>IF($BL86="","",IFERROR(VALUE(RIGHT($BL86,3)),""))</f>
        <v/>
      </c>
      <c r="BR86">
        <f>IF($W86="","",IFERROR(IF(ISNUMBER($W86),$W86,DATEVALUE(TRIM($W86))),""))</f>
        <v/>
      </c>
      <c r="BS86">
        <f>IF($BR86="","",IF(MONTH($BR86)&gt;=12,"Cold Winter",IF(MONTH($BR86)&gt;=10,"Post-Monsoon",IF(MONTH($BR86)&gt;=6,"Hot Humid",IF(MONTH($BR86)&gt;=3,"Hot Dry","Cold Winter")))))</f>
        <v/>
      </c>
      <c r="BT86">
        <f>IF($BM86="","",IFERROR(VLOOKUP($BM86,DECODE!$A$3:$C$8,2,FALSE),"?"))</f>
        <v/>
      </c>
      <c r="BU86">
        <f>IF($R86="","",UPPER(TRIM(LEFT($R86&amp;",",FIND(",",$R86&amp;",")-1))))</f>
        <v/>
      </c>
      <c r="BV86">
        <f>IF($BU86="","",MID($BU86,4,FIND("~",SUBSTITUTE($BU86,"-","~",2))-4))</f>
        <v/>
      </c>
      <c r="BW86">
        <f>IF($BU86="","",MID($BU86,FIND("~",SUBSTITUTE($BU86,"-","~",2))+1,FIND("~",SUBSTITUTE($BU86,"-","~",3))-FIND("~",SUBSTITUTE($BU86,"-","~",2))-1))</f>
        <v/>
      </c>
      <c r="BX86">
        <f>IF($BV86="","",IFERROR(VLOOKUP($BV86,DECODE!$A$3:$C$8,3,FALSE),"?"))</f>
        <v/>
      </c>
      <c r="BY86">
        <f>IF($BW86="","",IFERROR(VLOOKUP($BV86&amp;"-"&amp;$BW86,DECODE!$E$3:$F$21,2,FALSE),"?"))</f>
        <v/>
      </c>
      <c r="BZ86">
        <f>IF($BU86="","",IFERROR(VALUE(RIGHT($BU86,3)),""))</f>
        <v/>
      </c>
      <c r="CA86">
        <f>IF($X86="","",IFERROR(IF(ISNUMBER($X86),$X86,DATEVALUE(TRIM($X86))),""))</f>
        <v/>
      </c>
      <c r="CB86">
        <f>IF($CA86="","",IF(MONTH($CA86)&gt;=12,"Cold Winter",IF(MONTH($CA86)&gt;=10,"Post-Monsoon",IF(MONTH($CA86)&gt;=6,"Hot Humid",IF(MONTH($CA86)&gt;=3,"Hot Dry","Cold Winter")))))</f>
        <v/>
      </c>
      <c r="CC86">
        <f>IF($BV86="","",IFERROR(VLOOKUP($BV86,DECODE!$A$3:$C$8,2,FALSE),"?"))</f>
        <v/>
      </c>
      <c r="CD86">
        <f>IF($S86="","",UPPER(TRIM(LEFT($S86&amp;",",FIND(",",$S86&amp;",")-1))))</f>
        <v/>
      </c>
      <c r="CE86">
        <f>IF($CD86="","",MID($CD86,4,FIND("~",SUBSTITUTE($CD86,"-","~",2))-4))</f>
        <v/>
      </c>
      <c r="CF86">
        <f>IF($CD86="","",MID($CD86,FIND("~",SUBSTITUTE($CD86,"-","~",2))+1,FIND("~",SUBSTITUTE($CD86,"-","~",3))-FIND("~",SUBSTITUTE($CD86,"-","~",2))-1))</f>
        <v/>
      </c>
      <c r="CG86">
        <f>IF($CE86="","",IFERROR(VLOOKUP($CE86,DECODE!$A$3:$C$8,3,FALSE),"?"))</f>
        <v/>
      </c>
      <c r="CH86">
        <f>IF($CF86="","",IFERROR(VLOOKUP($CE86&amp;"-"&amp;$CF86,DECODE!$E$3:$F$21,2,FALSE),"?"))</f>
        <v/>
      </c>
      <c r="CI86">
        <f>IF($CD86="","",IFERROR(VALUE(RIGHT($CD86,3)),""))</f>
        <v/>
      </c>
      <c r="CJ86">
        <f>IF($Y86="","",IFERROR(IF(ISNUMBER($Y86),$Y86,DATEVALUE(TRIM($Y86))),""))</f>
        <v/>
      </c>
      <c r="CK86">
        <f>IF($CJ86="","",IF(MONTH($CJ86)&gt;=12,"Cold Winter",IF(MONTH($CJ86)&gt;=10,"Post-Monsoon",IF(MONTH($CJ86)&gt;=6,"Hot Humid",IF(MONTH($CJ86)&gt;=3,"Hot Dry","Cold Winter")))))</f>
        <v/>
      </c>
      <c r="CL86">
        <f>IF($CE86="","",IFERROR(VLOOKUP($CE86,DECODE!$A$3:$C$8,2,FALSE),"?"))</f>
        <v/>
      </c>
      <c r="CM86">
        <f>IF($AN86="","",AN86)</f>
        <v/>
      </c>
      <c r="CN86">
        <f>IF($AO86="","",AO86)</f>
        <v/>
      </c>
      <c r="CO86">
        <f>IF($AP86="","",AP86)</f>
        <v/>
      </c>
      <c r="CP86">
        <f>IF($CM86="","",IF($CM86="Aloe Vera Gel","Aloe Vera Gel "&amp;$CO86&amp;"g",CN86&amp;" "&amp;$CO86&amp;"g"))</f>
        <v/>
      </c>
      <c r="CQ86">
        <f>IF($AT86="",0,1)</f>
        <v/>
      </c>
      <c r="CR86">
        <f>IF($CQ86=0,"",AW86)</f>
        <v/>
      </c>
      <c r="CS86">
        <f>IF($CQ86=0,"",AX86)</f>
        <v/>
      </c>
      <c r="CT86">
        <f>IF($CQ86=0,"",AY86)</f>
        <v/>
      </c>
      <c r="CU86">
        <f>IF($CR86="","",IF($CR86="Aloe Vera Gel","Aloe Vera Gel "&amp;$CT86&amp;"g",CS86&amp;" "&amp;$CT86&amp;"g"))</f>
        <v/>
      </c>
      <c r="CV86">
        <f>IF($CQ86=0,"",IF($CP86=$CU86,"Repeat Exact",IF($CT86&gt;$CO86,"Upsized",IF($CT86&lt;$CO86,"Downsized",IF($CM86&lt;&gt;$CR86,"Lateral","Same Size Diff Variant")))))</f>
        <v/>
      </c>
      <c r="CW86">
        <f>IF($CQ86=0,"",AZ86-AQ86)</f>
        <v/>
      </c>
      <c r="CX86">
        <f>IF($CQ86=0,0,IF(CS86=CN86,1,0))</f>
        <v/>
      </c>
      <c r="CY86">
        <f>IF($CQ86=0,0,IF(CR86=CM86,1,0))</f>
        <v/>
      </c>
      <c r="CZ86">
        <f>IF($A86="","",IF(AND(IF(DASHBOARD!$C$4="All",TRUE,$CM86=DASHBOARD!$C$4),IF(DASHBOARD!$C$6="All",TRUE,$CP86=DASHBOARD!$C$6),IF(DASHBOARD!$C$8="All",TRUE,$AF86&gt;=DASHBOARD!$C$8),IF(DASHBOARD!$C$10="All",TRUE,$AF86&lt;=DASHBOARD!$C$10),IF(DASHBOARD!$C$12="All",TRUE,$AH86=VALUE(DASHBOARD!$C$12)),IF(DASHBOARD!$C$14="All",TRUE,$AJ86=DASHBOARD!$C$14)),1,0))</f>
        <v/>
      </c>
    </row>
    <row r="87">
      <c r="A87" t="n">
        <v>49466</v>
      </c>
      <c r="B87" t="inlineStr">
        <is>
          <t>Aloe Vera Gel</t>
        </is>
      </c>
      <c r="H87" t="inlineStr">
        <is>
          <t>Aloe Vera Gel - 40 gms</t>
        </is>
      </c>
      <c r="N87" t="inlineStr">
        <is>
          <t>FC-HG-PA-040</t>
        </is>
      </c>
      <c r="T87" t="inlineStr">
        <is>
          <t>May 20, 2024</t>
        </is>
      </c>
      <c r="AE87" t="inlineStr">
        <is>
          <t>Bijnor</t>
        </is>
      </c>
      <c r="AF87" t="inlineStr">
        <is>
          <t>2024-05</t>
        </is>
      </c>
      <c r="AG87" t="n">
        <v>5</v>
      </c>
      <c r="AH87" t="n">
        <v>1</v>
      </c>
      <c r="AI87" t="n">
        <v>0</v>
      </c>
      <c r="AJ87">
        <f>IF($AE87="","",IFERROR(VLOOKUP(TRIM($AE87),DECODE!$H$3:$I$60,2,FALSE),"Rest of India"))</f>
        <v/>
      </c>
      <c r="AK87">
        <f>IF($N87="","",UPPER(TRIM(LEFT($N87&amp;",",FIND(",",$N87&amp;",")-1))))</f>
        <v/>
      </c>
      <c r="AL87">
        <f>IF($AK87="","",MID($AK87,4,FIND("~",SUBSTITUTE($AK87,"-","~",2))-4))</f>
        <v/>
      </c>
      <c r="AM87">
        <f>IF($AK87="","",MID($AK87,FIND("~",SUBSTITUTE($AK87,"-","~",2))+1,FIND("~",SUBSTITUTE($AK87,"-","~",3))-FIND("~",SUBSTITUTE($AK87,"-","~",2))-1))</f>
        <v/>
      </c>
      <c r="AN87">
        <f>IF($AL87="","",IFERROR(VLOOKUP($AL87,DECODE!$A$3:$C$8,3,FALSE),"?"))</f>
        <v/>
      </c>
      <c r="AO87">
        <f>IF($AM87="","",IFERROR(VLOOKUP($AL87&amp;"-"&amp;$AM87,DECODE!$E$3:$F$21,2,FALSE),"?"))</f>
        <v/>
      </c>
      <c r="AP87">
        <f>IF($AK87="","",IFERROR(VALUE(RIGHT($AK87,3)),""))</f>
        <v/>
      </c>
      <c r="AQ87">
        <f>IF($T87="","",IFERROR(IF(ISNUMBER($T87),$T87,DATEVALUE(TRIM($T87))),""))</f>
        <v/>
      </c>
      <c r="AR87">
        <f>IF($AQ87="","",IF(MONTH($AQ87)&gt;=12,"Cold Winter",IF(MONTH($AQ87)&gt;=10,"Post-Monsoon",IF(MONTH($AQ87)&gt;=6,"Hot Humid",IF(MONTH($AQ87)&gt;=3,"Hot Dry","Cold Winter")))))</f>
        <v/>
      </c>
      <c r="AS87">
        <f>IF($AL87="","",IFERROR(VLOOKUP($AL87,DECODE!$A$3:$C$8,2,FALSE),"?"))</f>
        <v/>
      </c>
      <c r="AT87">
        <f>IF($O87="","",UPPER(TRIM(LEFT($O87&amp;",",FIND(",",$O87&amp;",")-1))))</f>
        <v/>
      </c>
      <c r="AU87">
        <f>IF($AT87="","",MID($AT87,4,FIND("~",SUBSTITUTE($AT87,"-","~",2))-4))</f>
        <v/>
      </c>
      <c r="AV87">
        <f>IF($AT87="","",MID($AT87,FIND("~",SUBSTITUTE($AT87,"-","~",2))+1,FIND("~",SUBSTITUTE($AT87,"-","~",3))-FIND("~",SUBSTITUTE($AT87,"-","~",2))-1))</f>
        <v/>
      </c>
      <c r="AW87">
        <f>IF($AU87="","",IFERROR(VLOOKUP($AU87,DECODE!$A$3:$C$8,3,FALSE),"?"))</f>
        <v/>
      </c>
      <c r="AX87">
        <f>IF($AV87="","",IFERROR(VLOOKUP($AU87&amp;"-"&amp;$AV87,DECODE!$E$3:$F$21,2,FALSE),"?"))</f>
        <v/>
      </c>
      <c r="AY87">
        <f>IF($AT87="","",IFERROR(VALUE(RIGHT($AT87,3)),""))</f>
        <v/>
      </c>
      <c r="AZ87">
        <f>IF($U87="","",IFERROR(IF(ISNUMBER($U87),$U87,DATEVALUE(TRIM($U87))),""))</f>
        <v/>
      </c>
      <c r="BA87">
        <f>IF($AZ87="","",IF(MONTH($AZ87)&gt;=12,"Cold Winter",IF(MONTH($AZ87)&gt;=10,"Post-Monsoon",IF(MONTH($AZ87)&gt;=6,"Hot Humid",IF(MONTH($AZ87)&gt;=3,"Hot Dry","Cold Winter")))))</f>
        <v/>
      </c>
      <c r="BB87">
        <f>IF($AU87="","",IFERROR(VLOOKUP($AU87,DECODE!$A$3:$C$8,2,FALSE),"?"))</f>
        <v/>
      </c>
      <c r="BC87">
        <f>IF($P87="","",UPPER(TRIM(LEFT($P87&amp;",",FIND(",",$P87&amp;",")-1))))</f>
        <v/>
      </c>
      <c r="BD87">
        <f>IF($BC87="","",MID($BC87,4,FIND("~",SUBSTITUTE($BC87,"-","~",2))-4))</f>
        <v/>
      </c>
      <c r="BE87">
        <f>IF($BC87="","",MID($BC87,FIND("~",SUBSTITUTE($BC87,"-","~",2))+1,FIND("~",SUBSTITUTE($BC87,"-","~",3))-FIND("~",SUBSTITUTE($BC87,"-","~",2))-1))</f>
        <v/>
      </c>
      <c r="BF87">
        <f>IF($BD87="","",IFERROR(VLOOKUP($BD87,DECODE!$A$3:$C$8,3,FALSE),"?"))</f>
        <v/>
      </c>
      <c r="BG87">
        <f>IF($BE87="","",IFERROR(VLOOKUP($BD87&amp;"-"&amp;$BE87,DECODE!$E$3:$F$21,2,FALSE),"?"))</f>
        <v/>
      </c>
      <c r="BH87">
        <f>IF($BC87="","",IFERROR(VALUE(RIGHT($BC87,3)),""))</f>
        <v/>
      </c>
      <c r="BI87">
        <f>IF($V87="","",IFERROR(IF(ISNUMBER($V87),$V87,DATEVALUE(TRIM($V87))),""))</f>
        <v/>
      </c>
      <c r="BJ87">
        <f>IF($BI87="","",IF(MONTH($BI87)&gt;=12,"Cold Winter",IF(MONTH($BI87)&gt;=10,"Post-Monsoon",IF(MONTH($BI87)&gt;=6,"Hot Humid",IF(MONTH($BI87)&gt;=3,"Hot Dry","Cold Winter")))))</f>
        <v/>
      </c>
      <c r="BK87">
        <f>IF($BD87="","",IFERROR(VLOOKUP($BD87,DECODE!$A$3:$C$8,2,FALSE),"?"))</f>
        <v/>
      </c>
      <c r="BL87">
        <f>IF($Q87="","",UPPER(TRIM(LEFT($Q87&amp;",",FIND(",",$Q87&amp;",")-1))))</f>
        <v/>
      </c>
      <c r="BM87">
        <f>IF($BL87="","",MID($BL87,4,FIND("~",SUBSTITUTE($BL87,"-","~",2))-4))</f>
        <v/>
      </c>
      <c r="BN87">
        <f>IF($BL87="","",MID($BL87,FIND("~",SUBSTITUTE($BL87,"-","~",2))+1,FIND("~",SUBSTITUTE($BL87,"-","~",3))-FIND("~",SUBSTITUTE($BL87,"-","~",2))-1))</f>
        <v/>
      </c>
      <c r="BO87">
        <f>IF($BM87="","",IFERROR(VLOOKUP($BM87,DECODE!$A$3:$C$8,3,FALSE),"?"))</f>
        <v/>
      </c>
      <c r="BP87">
        <f>IF($BN87="","",IFERROR(VLOOKUP($BM87&amp;"-"&amp;$BN87,DECODE!$E$3:$F$21,2,FALSE),"?"))</f>
        <v/>
      </c>
      <c r="BQ87">
        <f>IF($BL87="","",IFERROR(VALUE(RIGHT($BL87,3)),""))</f>
        <v/>
      </c>
      <c r="BR87">
        <f>IF($W87="","",IFERROR(IF(ISNUMBER($W87),$W87,DATEVALUE(TRIM($W87))),""))</f>
        <v/>
      </c>
      <c r="BS87">
        <f>IF($BR87="","",IF(MONTH($BR87)&gt;=12,"Cold Winter",IF(MONTH($BR87)&gt;=10,"Post-Monsoon",IF(MONTH($BR87)&gt;=6,"Hot Humid",IF(MONTH($BR87)&gt;=3,"Hot Dry","Cold Winter")))))</f>
        <v/>
      </c>
      <c r="BT87">
        <f>IF($BM87="","",IFERROR(VLOOKUP($BM87,DECODE!$A$3:$C$8,2,FALSE),"?"))</f>
        <v/>
      </c>
      <c r="BU87">
        <f>IF($R87="","",UPPER(TRIM(LEFT($R87&amp;",",FIND(",",$R87&amp;",")-1))))</f>
        <v/>
      </c>
      <c r="BV87">
        <f>IF($BU87="","",MID($BU87,4,FIND("~",SUBSTITUTE($BU87,"-","~",2))-4))</f>
        <v/>
      </c>
      <c r="BW87">
        <f>IF($BU87="","",MID($BU87,FIND("~",SUBSTITUTE($BU87,"-","~",2))+1,FIND("~",SUBSTITUTE($BU87,"-","~",3))-FIND("~",SUBSTITUTE($BU87,"-","~",2))-1))</f>
        <v/>
      </c>
      <c r="BX87">
        <f>IF($BV87="","",IFERROR(VLOOKUP($BV87,DECODE!$A$3:$C$8,3,FALSE),"?"))</f>
        <v/>
      </c>
      <c r="BY87">
        <f>IF($BW87="","",IFERROR(VLOOKUP($BV87&amp;"-"&amp;$BW87,DECODE!$E$3:$F$21,2,FALSE),"?"))</f>
        <v/>
      </c>
      <c r="BZ87">
        <f>IF($BU87="","",IFERROR(VALUE(RIGHT($BU87,3)),""))</f>
        <v/>
      </c>
      <c r="CA87">
        <f>IF($X87="","",IFERROR(IF(ISNUMBER($X87),$X87,DATEVALUE(TRIM($X87))),""))</f>
        <v/>
      </c>
      <c r="CB87">
        <f>IF($CA87="","",IF(MONTH($CA87)&gt;=12,"Cold Winter",IF(MONTH($CA87)&gt;=10,"Post-Monsoon",IF(MONTH($CA87)&gt;=6,"Hot Humid",IF(MONTH($CA87)&gt;=3,"Hot Dry","Cold Winter")))))</f>
        <v/>
      </c>
      <c r="CC87">
        <f>IF($BV87="","",IFERROR(VLOOKUP($BV87,DECODE!$A$3:$C$8,2,FALSE),"?"))</f>
        <v/>
      </c>
      <c r="CD87">
        <f>IF($S87="","",UPPER(TRIM(LEFT($S87&amp;",",FIND(",",$S87&amp;",")-1))))</f>
        <v/>
      </c>
      <c r="CE87">
        <f>IF($CD87="","",MID($CD87,4,FIND("~",SUBSTITUTE($CD87,"-","~",2))-4))</f>
        <v/>
      </c>
      <c r="CF87">
        <f>IF($CD87="","",MID($CD87,FIND("~",SUBSTITUTE($CD87,"-","~",2))+1,FIND("~",SUBSTITUTE($CD87,"-","~",3))-FIND("~",SUBSTITUTE($CD87,"-","~",2))-1))</f>
        <v/>
      </c>
      <c r="CG87">
        <f>IF($CE87="","",IFERROR(VLOOKUP($CE87,DECODE!$A$3:$C$8,3,FALSE),"?"))</f>
        <v/>
      </c>
      <c r="CH87">
        <f>IF($CF87="","",IFERROR(VLOOKUP($CE87&amp;"-"&amp;$CF87,DECODE!$E$3:$F$21,2,FALSE),"?"))</f>
        <v/>
      </c>
      <c r="CI87">
        <f>IF($CD87="","",IFERROR(VALUE(RIGHT($CD87,3)),""))</f>
        <v/>
      </c>
      <c r="CJ87">
        <f>IF($Y87="","",IFERROR(IF(ISNUMBER($Y87),$Y87,DATEVALUE(TRIM($Y87))),""))</f>
        <v/>
      </c>
      <c r="CK87">
        <f>IF($CJ87="","",IF(MONTH($CJ87)&gt;=12,"Cold Winter",IF(MONTH($CJ87)&gt;=10,"Post-Monsoon",IF(MONTH($CJ87)&gt;=6,"Hot Humid",IF(MONTH($CJ87)&gt;=3,"Hot Dry","Cold Winter")))))</f>
        <v/>
      </c>
      <c r="CL87">
        <f>IF($CE87="","",IFERROR(VLOOKUP($CE87,DECODE!$A$3:$C$8,2,FALSE),"?"))</f>
        <v/>
      </c>
      <c r="CM87">
        <f>IF($AN87="","",AN87)</f>
        <v/>
      </c>
      <c r="CN87">
        <f>IF($AO87="","",AO87)</f>
        <v/>
      </c>
      <c r="CO87">
        <f>IF($AP87="","",AP87)</f>
        <v/>
      </c>
      <c r="CP87">
        <f>IF($CM87="","",IF($CM87="Aloe Vera Gel","Aloe Vera Gel "&amp;$CO87&amp;"g",CN87&amp;" "&amp;$CO87&amp;"g"))</f>
        <v/>
      </c>
      <c r="CQ87">
        <f>IF($AT87="",0,1)</f>
        <v/>
      </c>
      <c r="CR87">
        <f>IF($CQ87=0,"",AW87)</f>
        <v/>
      </c>
      <c r="CS87">
        <f>IF($CQ87=0,"",AX87)</f>
        <v/>
      </c>
      <c r="CT87">
        <f>IF($CQ87=0,"",AY87)</f>
        <v/>
      </c>
      <c r="CU87">
        <f>IF($CR87="","",IF($CR87="Aloe Vera Gel","Aloe Vera Gel "&amp;$CT87&amp;"g",CS87&amp;" "&amp;$CT87&amp;"g"))</f>
        <v/>
      </c>
      <c r="CV87">
        <f>IF($CQ87=0,"",IF($CP87=$CU87,"Repeat Exact",IF($CT87&gt;$CO87,"Upsized",IF($CT87&lt;$CO87,"Downsized",IF($CM87&lt;&gt;$CR87,"Lateral","Same Size Diff Variant")))))</f>
        <v/>
      </c>
      <c r="CW87">
        <f>IF($CQ87=0,"",AZ87-AQ87)</f>
        <v/>
      </c>
      <c r="CX87">
        <f>IF($CQ87=0,0,IF(CS87=CN87,1,0))</f>
        <v/>
      </c>
      <c r="CY87">
        <f>IF($CQ87=0,0,IF(CR87=CM87,1,0))</f>
        <v/>
      </c>
      <c r="CZ87">
        <f>IF($A87="","",IF(AND(IF(DASHBOARD!$C$4="All",TRUE,$CM87=DASHBOARD!$C$4),IF(DASHBOARD!$C$6="All",TRUE,$CP87=DASHBOARD!$C$6),IF(DASHBOARD!$C$8="All",TRUE,$AF87&gt;=DASHBOARD!$C$8),IF(DASHBOARD!$C$10="All",TRUE,$AF87&lt;=DASHBOARD!$C$10),IF(DASHBOARD!$C$12="All",TRUE,$AH87=VALUE(DASHBOARD!$C$12)),IF(DASHBOARD!$C$14="All",TRUE,$AJ87=DASHBOARD!$C$14)),1,0))</f>
        <v/>
      </c>
    </row>
    <row r="88">
      <c r="A88" t="n">
        <v>49492</v>
      </c>
      <c r="B88" t="inlineStr">
        <is>
          <t>Face Malai</t>
        </is>
      </c>
      <c r="H88" t="inlineStr">
        <is>
          <t>Turmeric Nutmeg (Pigmentation)  Face Malai - 30g</t>
        </is>
      </c>
      <c r="N88" t="inlineStr">
        <is>
          <t>FC-DM-PG-030</t>
        </is>
      </c>
      <c r="T88" t="inlineStr">
        <is>
          <t>Jan 8, 2025</t>
        </is>
      </c>
      <c r="AE88" t="inlineStr">
        <is>
          <t>Gautam Buddha Nagar</t>
        </is>
      </c>
      <c r="AF88" t="inlineStr">
        <is>
          <t>2025-01</t>
        </is>
      </c>
      <c r="AG88" t="n">
        <v>1</v>
      </c>
      <c r="AH88" t="n">
        <v>1</v>
      </c>
      <c r="AI88" t="n">
        <v>0</v>
      </c>
      <c r="AJ88">
        <f>IF($AE88="","",IFERROR(VLOOKUP(TRIM($AE88),DECODE!$H$3:$I$60,2,FALSE),"Rest of India"))</f>
        <v/>
      </c>
      <c r="AK88">
        <f>IF($N88="","",UPPER(TRIM(LEFT($N88&amp;",",FIND(",",$N88&amp;",")-1))))</f>
        <v/>
      </c>
      <c r="AL88">
        <f>IF($AK88="","",MID($AK88,4,FIND("~",SUBSTITUTE($AK88,"-","~",2))-4))</f>
        <v/>
      </c>
      <c r="AM88">
        <f>IF($AK88="","",MID($AK88,FIND("~",SUBSTITUTE($AK88,"-","~",2))+1,FIND("~",SUBSTITUTE($AK88,"-","~",3))-FIND("~",SUBSTITUTE($AK88,"-","~",2))-1))</f>
        <v/>
      </c>
      <c r="AN88">
        <f>IF($AL88="","",IFERROR(VLOOKUP($AL88,DECODE!$A$3:$C$8,3,FALSE),"?"))</f>
        <v/>
      </c>
      <c r="AO88">
        <f>IF($AM88="","",IFERROR(VLOOKUP($AL88&amp;"-"&amp;$AM88,DECODE!$E$3:$F$21,2,FALSE),"?"))</f>
        <v/>
      </c>
      <c r="AP88">
        <f>IF($AK88="","",IFERROR(VALUE(RIGHT($AK88,3)),""))</f>
        <v/>
      </c>
      <c r="AQ88">
        <f>IF($T88="","",IFERROR(IF(ISNUMBER($T88),$T88,DATEVALUE(TRIM($T88))),""))</f>
        <v/>
      </c>
      <c r="AR88">
        <f>IF($AQ88="","",IF(MONTH($AQ88)&gt;=12,"Cold Winter",IF(MONTH($AQ88)&gt;=10,"Post-Monsoon",IF(MONTH($AQ88)&gt;=6,"Hot Humid",IF(MONTH($AQ88)&gt;=3,"Hot Dry","Cold Winter")))))</f>
        <v/>
      </c>
      <c r="AS88">
        <f>IF($AL88="","",IFERROR(VLOOKUP($AL88,DECODE!$A$3:$C$8,2,FALSE),"?"))</f>
        <v/>
      </c>
      <c r="AT88">
        <f>IF($O88="","",UPPER(TRIM(LEFT($O88&amp;",",FIND(",",$O88&amp;",")-1))))</f>
        <v/>
      </c>
      <c r="AU88">
        <f>IF($AT88="","",MID($AT88,4,FIND("~",SUBSTITUTE($AT88,"-","~",2))-4))</f>
        <v/>
      </c>
      <c r="AV88">
        <f>IF($AT88="","",MID($AT88,FIND("~",SUBSTITUTE($AT88,"-","~",2))+1,FIND("~",SUBSTITUTE($AT88,"-","~",3))-FIND("~",SUBSTITUTE($AT88,"-","~",2))-1))</f>
        <v/>
      </c>
      <c r="AW88">
        <f>IF($AU88="","",IFERROR(VLOOKUP($AU88,DECODE!$A$3:$C$8,3,FALSE),"?"))</f>
        <v/>
      </c>
      <c r="AX88">
        <f>IF($AV88="","",IFERROR(VLOOKUP($AU88&amp;"-"&amp;$AV88,DECODE!$E$3:$F$21,2,FALSE),"?"))</f>
        <v/>
      </c>
      <c r="AY88">
        <f>IF($AT88="","",IFERROR(VALUE(RIGHT($AT88,3)),""))</f>
        <v/>
      </c>
      <c r="AZ88">
        <f>IF($U88="","",IFERROR(IF(ISNUMBER($U88),$U88,DATEVALUE(TRIM($U88))),""))</f>
        <v/>
      </c>
      <c r="BA88">
        <f>IF($AZ88="","",IF(MONTH($AZ88)&gt;=12,"Cold Winter",IF(MONTH($AZ88)&gt;=10,"Post-Monsoon",IF(MONTH($AZ88)&gt;=6,"Hot Humid",IF(MONTH($AZ88)&gt;=3,"Hot Dry","Cold Winter")))))</f>
        <v/>
      </c>
      <c r="BB88">
        <f>IF($AU88="","",IFERROR(VLOOKUP($AU88,DECODE!$A$3:$C$8,2,FALSE),"?"))</f>
        <v/>
      </c>
      <c r="BC88">
        <f>IF($P88="","",UPPER(TRIM(LEFT($P88&amp;",",FIND(",",$P88&amp;",")-1))))</f>
        <v/>
      </c>
      <c r="BD88">
        <f>IF($BC88="","",MID($BC88,4,FIND("~",SUBSTITUTE($BC88,"-","~",2))-4))</f>
        <v/>
      </c>
      <c r="BE88">
        <f>IF($BC88="","",MID($BC88,FIND("~",SUBSTITUTE($BC88,"-","~",2))+1,FIND("~",SUBSTITUTE($BC88,"-","~",3))-FIND("~",SUBSTITUTE($BC88,"-","~",2))-1))</f>
        <v/>
      </c>
      <c r="BF88">
        <f>IF($BD88="","",IFERROR(VLOOKUP($BD88,DECODE!$A$3:$C$8,3,FALSE),"?"))</f>
        <v/>
      </c>
      <c r="BG88">
        <f>IF($BE88="","",IFERROR(VLOOKUP($BD88&amp;"-"&amp;$BE88,DECODE!$E$3:$F$21,2,FALSE),"?"))</f>
        <v/>
      </c>
      <c r="BH88">
        <f>IF($BC88="","",IFERROR(VALUE(RIGHT($BC88,3)),""))</f>
        <v/>
      </c>
      <c r="BI88">
        <f>IF($V88="","",IFERROR(IF(ISNUMBER($V88),$V88,DATEVALUE(TRIM($V88))),""))</f>
        <v/>
      </c>
      <c r="BJ88">
        <f>IF($BI88="","",IF(MONTH($BI88)&gt;=12,"Cold Winter",IF(MONTH($BI88)&gt;=10,"Post-Monsoon",IF(MONTH($BI88)&gt;=6,"Hot Humid",IF(MONTH($BI88)&gt;=3,"Hot Dry","Cold Winter")))))</f>
        <v/>
      </c>
      <c r="BK88">
        <f>IF($BD88="","",IFERROR(VLOOKUP($BD88,DECODE!$A$3:$C$8,2,FALSE),"?"))</f>
        <v/>
      </c>
      <c r="BL88">
        <f>IF($Q88="","",UPPER(TRIM(LEFT($Q88&amp;",",FIND(",",$Q88&amp;",")-1))))</f>
        <v/>
      </c>
      <c r="BM88">
        <f>IF($BL88="","",MID($BL88,4,FIND("~",SUBSTITUTE($BL88,"-","~",2))-4))</f>
        <v/>
      </c>
      <c r="BN88">
        <f>IF($BL88="","",MID($BL88,FIND("~",SUBSTITUTE($BL88,"-","~",2))+1,FIND("~",SUBSTITUTE($BL88,"-","~",3))-FIND("~",SUBSTITUTE($BL88,"-","~",2))-1))</f>
        <v/>
      </c>
      <c r="BO88">
        <f>IF($BM88="","",IFERROR(VLOOKUP($BM88,DECODE!$A$3:$C$8,3,FALSE),"?"))</f>
        <v/>
      </c>
      <c r="BP88">
        <f>IF($BN88="","",IFERROR(VLOOKUP($BM88&amp;"-"&amp;$BN88,DECODE!$E$3:$F$21,2,FALSE),"?"))</f>
        <v/>
      </c>
      <c r="BQ88">
        <f>IF($BL88="","",IFERROR(VALUE(RIGHT($BL88,3)),""))</f>
        <v/>
      </c>
      <c r="BR88">
        <f>IF($W88="","",IFERROR(IF(ISNUMBER($W88),$W88,DATEVALUE(TRIM($W88))),""))</f>
        <v/>
      </c>
      <c r="BS88">
        <f>IF($BR88="","",IF(MONTH($BR88)&gt;=12,"Cold Winter",IF(MONTH($BR88)&gt;=10,"Post-Monsoon",IF(MONTH($BR88)&gt;=6,"Hot Humid",IF(MONTH($BR88)&gt;=3,"Hot Dry","Cold Winter")))))</f>
        <v/>
      </c>
      <c r="BT88">
        <f>IF($BM88="","",IFERROR(VLOOKUP($BM88,DECODE!$A$3:$C$8,2,FALSE),"?"))</f>
        <v/>
      </c>
      <c r="BU88">
        <f>IF($R88="","",UPPER(TRIM(LEFT($R88&amp;",",FIND(",",$R88&amp;",")-1))))</f>
        <v/>
      </c>
      <c r="BV88">
        <f>IF($BU88="","",MID($BU88,4,FIND("~",SUBSTITUTE($BU88,"-","~",2))-4))</f>
        <v/>
      </c>
      <c r="BW88">
        <f>IF($BU88="","",MID($BU88,FIND("~",SUBSTITUTE($BU88,"-","~",2))+1,FIND("~",SUBSTITUTE($BU88,"-","~",3))-FIND("~",SUBSTITUTE($BU88,"-","~",2))-1))</f>
        <v/>
      </c>
      <c r="BX88">
        <f>IF($BV88="","",IFERROR(VLOOKUP($BV88,DECODE!$A$3:$C$8,3,FALSE),"?"))</f>
        <v/>
      </c>
      <c r="BY88">
        <f>IF($BW88="","",IFERROR(VLOOKUP($BV88&amp;"-"&amp;$BW88,DECODE!$E$3:$F$21,2,FALSE),"?"))</f>
        <v/>
      </c>
      <c r="BZ88">
        <f>IF($BU88="","",IFERROR(VALUE(RIGHT($BU88,3)),""))</f>
        <v/>
      </c>
      <c r="CA88">
        <f>IF($X88="","",IFERROR(IF(ISNUMBER($X88),$X88,DATEVALUE(TRIM($X88))),""))</f>
        <v/>
      </c>
      <c r="CB88">
        <f>IF($CA88="","",IF(MONTH($CA88)&gt;=12,"Cold Winter",IF(MONTH($CA88)&gt;=10,"Post-Monsoon",IF(MONTH($CA88)&gt;=6,"Hot Humid",IF(MONTH($CA88)&gt;=3,"Hot Dry","Cold Winter")))))</f>
        <v/>
      </c>
      <c r="CC88">
        <f>IF($BV88="","",IFERROR(VLOOKUP($BV88,DECODE!$A$3:$C$8,2,FALSE),"?"))</f>
        <v/>
      </c>
      <c r="CD88">
        <f>IF($S88="","",UPPER(TRIM(LEFT($S88&amp;",",FIND(",",$S88&amp;",")-1))))</f>
        <v/>
      </c>
      <c r="CE88">
        <f>IF($CD88="","",MID($CD88,4,FIND("~",SUBSTITUTE($CD88,"-","~",2))-4))</f>
        <v/>
      </c>
      <c r="CF88">
        <f>IF($CD88="","",MID($CD88,FIND("~",SUBSTITUTE($CD88,"-","~",2))+1,FIND("~",SUBSTITUTE($CD88,"-","~",3))-FIND("~",SUBSTITUTE($CD88,"-","~",2))-1))</f>
        <v/>
      </c>
      <c r="CG88">
        <f>IF($CE88="","",IFERROR(VLOOKUP($CE88,DECODE!$A$3:$C$8,3,FALSE),"?"))</f>
        <v/>
      </c>
      <c r="CH88">
        <f>IF($CF88="","",IFERROR(VLOOKUP($CE88&amp;"-"&amp;$CF88,DECODE!$E$3:$F$21,2,FALSE),"?"))</f>
        <v/>
      </c>
      <c r="CI88">
        <f>IF($CD88="","",IFERROR(VALUE(RIGHT($CD88,3)),""))</f>
        <v/>
      </c>
      <c r="CJ88">
        <f>IF($Y88="","",IFERROR(IF(ISNUMBER($Y88),$Y88,DATEVALUE(TRIM($Y88))),""))</f>
        <v/>
      </c>
      <c r="CK88">
        <f>IF($CJ88="","",IF(MONTH($CJ88)&gt;=12,"Cold Winter",IF(MONTH($CJ88)&gt;=10,"Post-Monsoon",IF(MONTH($CJ88)&gt;=6,"Hot Humid",IF(MONTH($CJ88)&gt;=3,"Hot Dry","Cold Winter")))))</f>
        <v/>
      </c>
      <c r="CL88">
        <f>IF($CE88="","",IFERROR(VLOOKUP($CE88,DECODE!$A$3:$C$8,2,FALSE),"?"))</f>
        <v/>
      </c>
      <c r="CM88">
        <f>IF($AN88="","",AN88)</f>
        <v/>
      </c>
      <c r="CN88">
        <f>IF($AO88="","",AO88)</f>
        <v/>
      </c>
      <c r="CO88">
        <f>IF($AP88="","",AP88)</f>
        <v/>
      </c>
      <c r="CP88">
        <f>IF($CM88="","",IF($CM88="Aloe Vera Gel","Aloe Vera Gel "&amp;$CO88&amp;"g",CN88&amp;" "&amp;$CO88&amp;"g"))</f>
        <v/>
      </c>
      <c r="CQ88">
        <f>IF($AT88="",0,1)</f>
        <v/>
      </c>
      <c r="CR88">
        <f>IF($CQ88=0,"",AW88)</f>
        <v/>
      </c>
      <c r="CS88">
        <f>IF($CQ88=0,"",AX88)</f>
        <v/>
      </c>
      <c r="CT88">
        <f>IF($CQ88=0,"",AY88)</f>
        <v/>
      </c>
      <c r="CU88">
        <f>IF($CR88="","",IF($CR88="Aloe Vera Gel","Aloe Vera Gel "&amp;$CT88&amp;"g",CS88&amp;" "&amp;$CT88&amp;"g"))</f>
        <v/>
      </c>
      <c r="CV88">
        <f>IF($CQ88=0,"",IF($CP88=$CU88,"Repeat Exact",IF($CT88&gt;$CO88,"Upsized",IF($CT88&lt;$CO88,"Downsized",IF($CM88&lt;&gt;$CR88,"Lateral","Same Size Diff Variant")))))</f>
        <v/>
      </c>
      <c r="CW88">
        <f>IF($CQ88=0,"",AZ88-AQ88)</f>
        <v/>
      </c>
      <c r="CX88">
        <f>IF($CQ88=0,0,IF(CS88=CN88,1,0))</f>
        <v/>
      </c>
      <c r="CY88">
        <f>IF($CQ88=0,0,IF(CR88=CM88,1,0))</f>
        <v/>
      </c>
      <c r="CZ88">
        <f>IF($A88="","",IF(AND(IF(DASHBOARD!$C$4="All",TRUE,$CM88=DASHBOARD!$C$4),IF(DASHBOARD!$C$6="All",TRUE,$CP88=DASHBOARD!$C$6),IF(DASHBOARD!$C$8="All",TRUE,$AF88&gt;=DASHBOARD!$C$8),IF(DASHBOARD!$C$10="All",TRUE,$AF88&lt;=DASHBOARD!$C$10),IF(DASHBOARD!$C$12="All",TRUE,$AH88=VALUE(DASHBOARD!$C$12)),IF(DASHBOARD!$C$14="All",TRUE,$AJ88=DASHBOARD!$C$14)),1,0))</f>
        <v/>
      </c>
    </row>
    <row r="89">
      <c r="A89" t="n">
        <v>49555</v>
      </c>
      <c r="B89" t="inlineStr">
        <is>
          <t>Face Malai</t>
        </is>
      </c>
      <c r="C89" t="inlineStr">
        <is>
          <t>Face Malai</t>
        </is>
      </c>
      <c r="H89" t="inlineStr">
        <is>
          <t>Cocoa Mogra (Overnight) Face Malai - 30g</t>
        </is>
      </c>
      <c r="I89" t="inlineStr">
        <is>
          <t>Tomato Rosehip (Hot Dry) 20 - 35 Yrs Face Malai - 50g</t>
        </is>
      </c>
      <c r="N89" t="inlineStr">
        <is>
          <t>FC-DM-NR-030</t>
        </is>
      </c>
      <c r="O89" t="inlineStr">
        <is>
          <t>FC-HDDM-TR-050</t>
        </is>
      </c>
      <c r="T89" t="inlineStr">
        <is>
          <t>Nov 10, 2025</t>
        </is>
      </c>
      <c r="U89" t="inlineStr">
        <is>
          <t>Dec 8, 2025</t>
        </is>
      </c>
      <c r="Z89" t="n">
        <v>28</v>
      </c>
      <c r="AE89" t="inlineStr">
        <is>
          <t>Ghaziabad</t>
        </is>
      </c>
      <c r="AF89" t="inlineStr">
        <is>
          <t>2025-11</t>
        </is>
      </c>
      <c r="AG89" t="n">
        <v>11</v>
      </c>
      <c r="AH89" t="n">
        <v>2</v>
      </c>
      <c r="AI89" t="n">
        <v>1</v>
      </c>
      <c r="AJ89">
        <f>IF($AE89="","",IFERROR(VLOOKUP(TRIM($AE89),DECODE!$H$3:$I$60,2,FALSE),"Rest of India"))</f>
        <v/>
      </c>
      <c r="AK89">
        <f>IF($N89="","",UPPER(TRIM(LEFT($N89&amp;",",FIND(",",$N89&amp;",")-1))))</f>
        <v/>
      </c>
      <c r="AL89">
        <f>IF($AK89="","",MID($AK89,4,FIND("~",SUBSTITUTE($AK89,"-","~",2))-4))</f>
        <v/>
      </c>
      <c r="AM89">
        <f>IF($AK89="","",MID($AK89,FIND("~",SUBSTITUTE($AK89,"-","~",2))+1,FIND("~",SUBSTITUTE($AK89,"-","~",3))-FIND("~",SUBSTITUTE($AK89,"-","~",2))-1))</f>
        <v/>
      </c>
      <c r="AN89">
        <f>IF($AL89="","",IFERROR(VLOOKUP($AL89,DECODE!$A$3:$C$8,3,FALSE),"?"))</f>
        <v/>
      </c>
      <c r="AO89">
        <f>IF($AM89="","",IFERROR(VLOOKUP($AL89&amp;"-"&amp;$AM89,DECODE!$E$3:$F$21,2,FALSE),"?"))</f>
        <v/>
      </c>
      <c r="AP89">
        <f>IF($AK89="","",IFERROR(VALUE(RIGHT($AK89,3)),""))</f>
        <v/>
      </c>
      <c r="AQ89">
        <f>IF($T89="","",IFERROR(IF(ISNUMBER($T89),$T89,DATEVALUE(TRIM($T89))),""))</f>
        <v/>
      </c>
      <c r="AR89">
        <f>IF($AQ89="","",IF(MONTH($AQ89)&gt;=12,"Cold Winter",IF(MONTH($AQ89)&gt;=10,"Post-Monsoon",IF(MONTH($AQ89)&gt;=6,"Hot Humid",IF(MONTH($AQ89)&gt;=3,"Hot Dry","Cold Winter")))))</f>
        <v/>
      </c>
      <c r="AS89">
        <f>IF($AL89="","",IFERROR(VLOOKUP($AL89,DECODE!$A$3:$C$8,2,FALSE),"?"))</f>
        <v/>
      </c>
      <c r="AT89">
        <f>IF($O89="","",UPPER(TRIM(LEFT($O89&amp;",",FIND(",",$O89&amp;",")-1))))</f>
        <v/>
      </c>
      <c r="AU89">
        <f>IF($AT89="","",MID($AT89,4,FIND("~",SUBSTITUTE($AT89,"-","~",2))-4))</f>
        <v/>
      </c>
      <c r="AV89">
        <f>IF($AT89="","",MID($AT89,FIND("~",SUBSTITUTE($AT89,"-","~",2))+1,FIND("~",SUBSTITUTE($AT89,"-","~",3))-FIND("~",SUBSTITUTE($AT89,"-","~",2))-1))</f>
        <v/>
      </c>
      <c r="AW89">
        <f>IF($AU89="","",IFERROR(VLOOKUP($AU89,DECODE!$A$3:$C$8,3,FALSE),"?"))</f>
        <v/>
      </c>
      <c r="AX89">
        <f>IF($AV89="","",IFERROR(VLOOKUP($AU89&amp;"-"&amp;$AV89,DECODE!$E$3:$F$21,2,FALSE),"?"))</f>
        <v/>
      </c>
      <c r="AY89">
        <f>IF($AT89="","",IFERROR(VALUE(RIGHT($AT89,3)),""))</f>
        <v/>
      </c>
      <c r="AZ89">
        <f>IF($U89="","",IFERROR(IF(ISNUMBER($U89),$U89,DATEVALUE(TRIM($U89))),""))</f>
        <v/>
      </c>
      <c r="BA89">
        <f>IF($AZ89="","",IF(MONTH($AZ89)&gt;=12,"Cold Winter",IF(MONTH($AZ89)&gt;=10,"Post-Monsoon",IF(MONTH($AZ89)&gt;=6,"Hot Humid",IF(MONTH($AZ89)&gt;=3,"Hot Dry","Cold Winter")))))</f>
        <v/>
      </c>
      <c r="BB89">
        <f>IF($AU89="","",IFERROR(VLOOKUP($AU89,DECODE!$A$3:$C$8,2,FALSE),"?"))</f>
        <v/>
      </c>
      <c r="BC89">
        <f>IF($P89="","",UPPER(TRIM(LEFT($P89&amp;",",FIND(",",$P89&amp;",")-1))))</f>
        <v/>
      </c>
      <c r="BD89">
        <f>IF($BC89="","",MID($BC89,4,FIND("~",SUBSTITUTE($BC89,"-","~",2))-4))</f>
        <v/>
      </c>
      <c r="BE89">
        <f>IF($BC89="","",MID($BC89,FIND("~",SUBSTITUTE($BC89,"-","~",2))+1,FIND("~",SUBSTITUTE($BC89,"-","~",3))-FIND("~",SUBSTITUTE($BC89,"-","~",2))-1))</f>
        <v/>
      </c>
      <c r="BF89">
        <f>IF($BD89="","",IFERROR(VLOOKUP($BD89,DECODE!$A$3:$C$8,3,FALSE),"?"))</f>
        <v/>
      </c>
      <c r="BG89">
        <f>IF($BE89="","",IFERROR(VLOOKUP($BD89&amp;"-"&amp;$BE89,DECODE!$E$3:$F$21,2,FALSE),"?"))</f>
        <v/>
      </c>
      <c r="BH89">
        <f>IF($BC89="","",IFERROR(VALUE(RIGHT($BC89,3)),""))</f>
        <v/>
      </c>
      <c r="BI89">
        <f>IF($V89="","",IFERROR(IF(ISNUMBER($V89),$V89,DATEVALUE(TRIM($V89))),""))</f>
        <v/>
      </c>
      <c r="BJ89">
        <f>IF($BI89="","",IF(MONTH($BI89)&gt;=12,"Cold Winter",IF(MONTH($BI89)&gt;=10,"Post-Monsoon",IF(MONTH($BI89)&gt;=6,"Hot Humid",IF(MONTH($BI89)&gt;=3,"Hot Dry","Cold Winter")))))</f>
        <v/>
      </c>
      <c r="BK89">
        <f>IF($BD89="","",IFERROR(VLOOKUP($BD89,DECODE!$A$3:$C$8,2,FALSE),"?"))</f>
        <v/>
      </c>
      <c r="BL89">
        <f>IF($Q89="","",UPPER(TRIM(LEFT($Q89&amp;",",FIND(",",$Q89&amp;",")-1))))</f>
        <v/>
      </c>
      <c r="BM89">
        <f>IF($BL89="","",MID($BL89,4,FIND("~",SUBSTITUTE($BL89,"-","~",2))-4))</f>
        <v/>
      </c>
      <c r="BN89">
        <f>IF($BL89="","",MID($BL89,FIND("~",SUBSTITUTE($BL89,"-","~",2))+1,FIND("~",SUBSTITUTE($BL89,"-","~",3))-FIND("~",SUBSTITUTE($BL89,"-","~",2))-1))</f>
        <v/>
      </c>
      <c r="BO89">
        <f>IF($BM89="","",IFERROR(VLOOKUP($BM89,DECODE!$A$3:$C$8,3,FALSE),"?"))</f>
        <v/>
      </c>
      <c r="BP89">
        <f>IF($BN89="","",IFERROR(VLOOKUP($BM89&amp;"-"&amp;$BN89,DECODE!$E$3:$F$21,2,FALSE),"?"))</f>
        <v/>
      </c>
      <c r="BQ89">
        <f>IF($BL89="","",IFERROR(VALUE(RIGHT($BL89,3)),""))</f>
        <v/>
      </c>
      <c r="BR89">
        <f>IF($W89="","",IFERROR(IF(ISNUMBER($W89),$W89,DATEVALUE(TRIM($W89))),""))</f>
        <v/>
      </c>
      <c r="BS89">
        <f>IF($BR89="","",IF(MONTH($BR89)&gt;=12,"Cold Winter",IF(MONTH($BR89)&gt;=10,"Post-Monsoon",IF(MONTH($BR89)&gt;=6,"Hot Humid",IF(MONTH($BR89)&gt;=3,"Hot Dry","Cold Winter")))))</f>
        <v/>
      </c>
      <c r="BT89">
        <f>IF($BM89="","",IFERROR(VLOOKUP($BM89,DECODE!$A$3:$C$8,2,FALSE),"?"))</f>
        <v/>
      </c>
      <c r="BU89">
        <f>IF($R89="","",UPPER(TRIM(LEFT($R89&amp;",",FIND(",",$R89&amp;",")-1))))</f>
        <v/>
      </c>
      <c r="BV89">
        <f>IF($BU89="","",MID($BU89,4,FIND("~",SUBSTITUTE($BU89,"-","~",2))-4))</f>
        <v/>
      </c>
      <c r="BW89">
        <f>IF($BU89="","",MID($BU89,FIND("~",SUBSTITUTE($BU89,"-","~",2))+1,FIND("~",SUBSTITUTE($BU89,"-","~",3))-FIND("~",SUBSTITUTE($BU89,"-","~",2))-1))</f>
        <v/>
      </c>
      <c r="BX89">
        <f>IF($BV89="","",IFERROR(VLOOKUP($BV89,DECODE!$A$3:$C$8,3,FALSE),"?"))</f>
        <v/>
      </c>
      <c r="BY89">
        <f>IF($BW89="","",IFERROR(VLOOKUP($BV89&amp;"-"&amp;$BW89,DECODE!$E$3:$F$21,2,FALSE),"?"))</f>
        <v/>
      </c>
      <c r="BZ89">
        <f>IF($BU89="","",IFERROR(VALUE(RIGHT($BU89,3)),""))</f>
        <v/>
      </c>
      <c r="CA89">
        <f>IF($X89="","",IFERROR(IF(ISNUMBER($X89),$X89,DATEVALUE(TRIM($X89))),""))</f>
        <v/>
      </c>
      <c r="CB89">
        <f>IF($CA89="","",IF(MONTH($CA89)&gt;=12,"Cold Winter",IF(MONTH($CA89)&gt;=10,"Post-Monsoon",IF(MONTH($CA89)&gt;=6,"Hot Humid",IF(MONTH($CA89)&gt;=3,"Hot Dry","Cold Winter")))))</f>
        <v/>
      </c>
      <c r="CC89">
        <f>IF($BV89="","",IFERROR(VLOOKUP($BV89,DECODE!$A$3:$C$8,2,FALSE),"?"))</f>
        <v/>
      </c>
      <c r="CD89">
        <f>IF($S89="","",UPPER(TRIM(LEFT($S89&amp;",",FIND(",",$S89&amp;",")-1))))</f>
        <v/>
      </c>
      <c r="CE89">
        <f>IF($CD89="","",MID($CD89,4,FIND("~",SUBSTITUTE($CD89,"-","~",2))-4))</f>
        <v/>
      </c>
      <c r="CF89">
        <f>IF($CD89="","",MID($CD89,FIND("~",SUBSTITUTE($CD89,"-","~",2))+1,FIND("~",SUBSTITUTE($CD89,"-","~",3))-FIND("~",SUBSTITUTE($CD89,"-","~",2))-1))</f>
        <v/>
      </c>
      <c r="CG89">
        <f>IF($CE89="","",IFERROR(VLOOKUP($CE89,DECODE!$A$3:$C$8,3,FALSE),"?"))</f>
        <v/>
      </c>
      <c r="CH89">
        <f>IF($CF89="","",IFERROR(VLOOKUP($CE89&amp;"-"&amp;$CF89,DECODE!$E$3:$F$21,2,FALSE),"?"))</f>
        <v/>
      </c>
      <c r="CI89">
        <f>IF($CD89="","",IFERROR(VALUE(RIGHT($CD89,3)),""))</f>
        <v/>
      </c>
      <c r="CJ89">
        <f>IF($Y89="","",IFERROR(IF(ISNUMBER($Y89),$Y89,DATEVALUE(TRIM($Y89))),""))</f>
        <v/>
      </c>
      <c r="CK89">
        <f>IF($CJ89="","",IF(MONTH($CJ89)&gt;=12,"Cold Winter",IF(MONTH($CJ89)&gt;=10,"Post-Monsoon",IF(MONTH($CJ89)&gt;=6,"Hot Humid",IF(MONTH($CJ89)&gt;=3,"Hot Dry","Cold Winter")))))</f>
        <v/>
      </c>
      <c r="CL89">
        <f>IF($CE89="","",IFERROR(VLOOKUP($CE89,DECODE!$A$3:$C$8,2,FALSE),"?"))</f>
        <v/>
      </c>
      <c r="CM89">
        <f>IF($AN89="","",AN89)</f>
        <v/>
      </c>
      <c r="CN89">
        <f>IF($AO89="","",AO89)</f>
        <v/>
      </c>
      <c r="CO89">
        <f>IF($AP89="","",AP89)</f>
        <v/>
      </c>
      <c r="CP89">
        <f>IF($CM89="","",IF($CM89="Aloe Vera Gel","Aloe Vera Gel "&amp;$CO89&amp;"g",CN89&amp;" "&amp;$CO89&amp;"g"))</f>
        <v/>
      </c>
      <c r="CQ89">
        <f>IF($AT89="",0,1)</f>
        <v/>
      </c>
      <c r="CR89">
        <f>IF($CQ89=0,"",AW89)</f>
        <v/>
      </c>
      <c r="CS89">
        <f>IF($CQ89=0,"",AX89)</f>
        <v/>
      </c>
      <c r="CT89">
        <f>IF($CQ89=0,"",AY89)</f>
        <v/>
      </c>
      <c r="CU89">
        <f>IF($CR89="","",IF($CR89="Aloe Vera Gel","Aloe Vera Gel "&amp;$CT89&amp;"g",CS89&amp;" "&amp;$CT89&amp;"g"))</f>
        <v/>
      </c>
      <c r="CV89">
        <f>IF($CQ89=0,"",IF($CP89=$CU89,"Repeat Exact",IF($CT89&gt;$CO89,"Upsized",IF($CT89&lt;$CO89,"Downsized",IF($CM89&lt;&gt;$CR89,"Lateral","Same Size Diff Variant")))))</f>
        <v/>
      </c>
      <c r="CW89">
        <f>IF($CQ89=0,"",AZ89-AQ89)</f>
        <v/>
      </c>
      <c r="CX89">
        <f>IF($CQ89=0,0,IF(CS89=CN89,1,0))</f>
        <v/>
      </c>
      <c r="CY89">
        <f>IF($CQ89=0,0,IF(CR89=CM89,1,0))</f>
        <v/>
      </c>
      <c r="CZ89">
        <f>IF($A89="","",IF(AND(IF(DASHBOARD!$C$4="All",TRUE,$CM89=DASHBOARD!$C$4),IF(DASHBOARD!$C$6="All",TRUE,$CP89=DASHBOARD!$C$6),IF(DASHBOARD!$C$8="All",TRUE,$AF89&gt;=DASHBOARD!$C$8),IF(DASHBOARD!$C$10="All",TRUE,$AF89&lt;=DASHBOARD!$C$10),IF(DASHBOARD!$C$12="All",TRUE,$AH89=VALUE(DASHBOARD!$C$12)),IF(DASHBOARD!$C$14="All",TRUE,$AJ89=DASHBOARD!$C$14)),1,0))</f>
        <v/>
      </c>
    </row>
    <row r="90">
      <c r="A90" t="n">
        <v>49767</v>
      </c>
      <c r="B90" t="inlineStr">
        <is>
          <t>Face Malai</t>
        </is>
      </c>
      <c r="H90" t="inlineStr">
        <is>
          <t>Flax Bakuchi (Hot Dry) 35+ Face Malai - 30g</t>
        </is>
      </c>
      <c r="N90" t="inlineStr">
        <is>
          <t>FC-HDDM-FB-030</t>
        </is>
      </c>
      <c r="T90" t="inlineStr">
        <is>
          <t>Apr 2, 2025</t>
        </is>
      </c>
      <c r="AE90" t="inlineStr">
        <is>
          <t>Gautam Buddha Nagar</t>
        </is>
      </c>
      <c r="AF90" t="inlineStr">
        <is>
          <t>2025-04</t>
        </is>
      </c>
      <c r="AG90" t="n">
        <v>4</v>
      </c>
      <c r="AH90" t="n">
        <v>1</v>
      </c>
      <c r="AI90" t="n">
        <v>0</v>
      </c>
      <c r="AJ90">
        <f>IF($AE90="","",IFERROR(VLOOKUP(TRIM($AE90),DECODE!$H$3:$I$60,2,FALSE),"Rest of India"))</f>
        <v/>
      </c>
      <c r="AK90">
        <f>IF($N90="","",UPPER(TRIM(LEFT($N90&amp;",",FIND(",",$N90&amp;",")-1))))</f>
        <v/>
      </c>
      <c r="AL90">
        <f>IF($AK90="","",MID($AK90,4,FIND("~",SUBSTITUTE($AK90,"-","~",2))-4))</f>
        <v/>
      </c>
      <c r="AM90">
        <f>IF($AK90="","",MID($AK90,FIND("~",SUBSTITUTE($AK90,"-","~",2))+1,FIND("~",SUBSTITUTE($AK90,"-","~",3))-FIND("~",SUBSTITUTE($AK90,"-","~",2))-1))</f>
        <v/>
      </c>
      <c r="AN90">
        <f>IF($AL90="","",IFERROR(VLOOKUP($AL90,DECODE!$A$3:$C$8,3,FALSE),"?"))</f>
        <v/>
      </c>
      <c r="AO90">
        <f>IF($AM90="","",IFERROR(VLOOKUP($AL90&amp;"-"&amp;$AM90,DECODE!$E$3:$F$21,2,FALSE),"?"))</f>
        <v/>
      </c>
      <c r="AP90">
        <f>IF($AK90="","",IFERROR(VALUE(RIGHT($AK90,3)),""))</f>
        <v/>
      </c>
      <c r="AQ90">
        <f>IF($T90="","",IFERROR(IF(ISNUMBER($T90),$T90,DATEVALUE(TRIM($T90))),""))</f>
        <v/>
      </c>
      <c r="AR90">
        <f>IF($AQ90="","",IF(MONTH($AQ90)&gt;=12,"Cold Winter",IF(MONTH($AQ90)&gt;=10,"Post-Monsoon",IF(MONTH($AQ90)&gt;=6,"Hot Humid",IF(MONTH($AQ90)&gt;=3,"Hot Dry","Cold Winter")))))</f>
        <v/>
      </c>
      <c r="AS90">
        <f>IF($AL90="","",IFERROR(VLOOKUP($AL90,DECODE!$A$3:$C$8,2,FALSE),"?"))</f>
        <v/>
      </c>
      <c r="AT90">
        <f>IF($O90="","",UPPER(TRIM(LEFT($O90&amp;",",FIND(",",$O90&amp;",")-1))))</f>
        <v/>
      </c>
      <c r="AU90">
        <f>IF($AT90="","",MID($AT90,4,FIND("~",SUBSTITUTE($AT90,"-","~",2))-4))</f>
        <v/>
      </c>
      <c r="AV90">
        <f>IF($AT90="","",MID($AT90,FIND("~",SUBSTITUTE($AT90,"-","~",2))+1,FIND("~",SUBSTITUTE($AT90,"-","~",3))-FIND("~",SUBSTITUTE($AT90,"-","~",2))-1))</f>
        <v/>
      </c>
      <c r="AW90">
        <f>IF($AU90="","",IFERROR(VLOOKUP($AU90,DECODE!$A$3:$C$8,3,FALSE),"?"))</f>
        <v/>
      </c>
      <c r="AX90">
        <f>IF($AV90="","",IFERROR(VLOOKUP($AU90&amp;"-"&amp;$AV90,DECODE!$E$3:$F$21,2,FALSE),"?"))</f>
        <v/>
      </c>
      <c r="AY90">
        <f>IF($AT90="","",IFERROR(VALUE(RIGHT($AT90,3)),""))</f>
        <v/>
      </c>
      <c r="AZ90">
        <f>IF($U90="","",IFERROR(IF(ISNUMBER($U90),$U90,DATEVALUE(TRIM($U90))),""))</f>
        <v/>
      </c>
      <c r="BA90">
        <f>IF($AZ90="","",IF(MONTH($AZ90)&gt;=12,"Cold Winter",IF(MONTH($AZ90)&gt;=10,"Post-Monsoon",IF(MONTH($AZ90)&gt;=6,"Hot Humid",IF(MONTH($AZ90)&gt;=3,"Hot Dry","Cold Winter")))))</f>
        <v/>
      </c>
      <c r="BB90">
        <f>IF($AU90="","",IFERROR(VLOOKUP($AU90,DECODE!$A$3:$C$8,2,FALSE),"?"))</f>
        <v/>
      </c>
      <c r="BC90">
        <f>IF($P90="","",UPPER(TRIM(LEFT($P90&amp;",",FIND(",",$P90&amp;",")-1))))</f>
        <v/>
      </c>
      <c r="BD90">
        <f>IF($BC90="","",MID($BC90,4,FIND("~",SUBSTITUTE($BC90,"-","~",2))-4))</f>
        <v/>
      </c>
      <c r="BE90">
        <f>IF($BC90="","",MID($BC90,FIND("~",SUBSTITUTE($BC90,"-","~",2))+1,FIND("~",SUBSTITUTE($BC90,"-","~",3))-FIND("~",SUBSTITUTE($BC90,"-","~",2))-1))</f>
        <v/>
      </c>
      <c r="BF90">
        <f>IF($BD90="","",IFERROR(VLOOKUP($BD90,DECODE!$A$3:$C$8,3,FALSE),"?"))</f>
        <v/>
      </c>
      <c r="BG90">
        <f>IF($BE90="","",IFERROR(VLOOKUP($BD90&amp;"-"&amp;$BE90,DECODE!$E$3:$F$21,2,FALSE),"?"))</f>
        <v/>
      </c>
      <c r="BH90">
        <f>IF($BC90="","",IFERROR(VALUE(RIGHT($BC90,3)),""))</f>
        <v/>
      </c>
      <c r="BI90">
        <f>IF($V90="","",IFERROR(IF(ISNUMBER($V90),$V90,DATEVALUE(TRIM($V90))),""))</f>
        <v/>
      </c>
      <c r="BJ90">
        <f>IF($BI90="","",IF(MONTH($BI90)&gt;=12,"Cold Winter",IF(MONTH($BI90)&gt;=10,"Post-Monsoon",IF(MONTH($BI90)&gt;=6,"Hot Humid",IF(MONTH($BI90)&gt;=3,"Hot Dry","Cold Winter")))))</f>
        <v/>
      </c>
      <c r="BK90">
        <f>IF($BD90="","",IFERROR(VLOOKUP($BD90,DECODE!$A$3:$C$8,2,FALSE),"?"))</f>
        <v/>
      </c>
      <c r="BL90">
        <f>IF($Q90="","",UPPER(TRIM(LEFT($Q90&amp;",",FIND(",",$Q90&amp;",")-1))))</f>
        <v/>
      </c>
      <c r="BM90">
        <f>IF($BL90="","",MID($BL90,4,FIND("~",SUBSTITUTE($BL90,"-","~",2))-4))</f>
        <v/>
      </c>
      <c r="BN90">
        <f>IF($BL90="","",MID($BL90,FIND("~",SUBSTITUTE($BL90,"-","~",2))+1,FIND("~",SUBSTITUTE($BL90,"-","~",3))-FIND("~",SUBSTITUTE($BL90,"-","~",2))-1))</f>
        <v/>
      </c>
      <c r="BO90">
        <f>IF($BM90="","",IFERROR(VLOOKUP($BM90,DECODE!$A$3:$C$8,3,FALSE),"?"))</f>
        <v/>
      </c>
      <c r="BP90">
        <f>IF($BN90="","",IFERROR(VLOOKUP($BM90&amp;"-"&amp;$BN90,DECODE!$E$3:$F$21,2,FALSE),"?"))</f>
        <v/>
      </c>
      <c r="BQ90">
        <f>IF($BL90="","",IFERROR(VALUE(RIGHT($BL90,3)),""))</f>
        <v/>
      </c>
      <c r="BR90">
        <f>IF($W90="","",IFERROR(IF(ISNUMBER($W90),$W90,DATEVALUE(TRIM($W90))),""))</f>
        <v/>
      </c>
      <c r="BS90">
        <f>IF($BR90="","",IF(MONTH($BR90)&gt;=12,"Cold Winter",IF(MONTH($BR90)&gt;=10,"Post-Monsoon",IF(MONTH($BR90)&gt;=6,"Hot Humid",IF(MONTH($BR90)&gt;=3,"Hot Dry","Cold Winter")))))</f>
        <v/>
      </c>
      <c r="BT90">
        <f>IF($BM90="","",IFERROR(VLOOKUP($BM90,DECODE!$A$3:$C$8,2,FALSE),"?"))</f>
        <v/>
      </c>
      <c r="BU90">
        <f>IF($R90="","",UPPER(TRIM(LEFT($R90&amp;",",FIND(",",$R90&amp;",")-1))))</f>
        <v/>
      </c>
      <c r="BV90">
        <f>IF($BU90="","",MID($BU90,4,FIND("~",SUBSTITUTE($BU90,"-","~",2))-4))</f>
        <v/>
      </c>
      <c r="BW90">
        <f>IF($BU90="","",MID($BU90,FIND("~",SUBSTITUTE($BU90,"-","~",2))+1,FIND("~",SUBSTITUTE($BU90,"-","~",3))-FIND("~",SUBSTITUTE($BU90,"-","~",2))-1))</f>
        <v/>
      </c>
      <c r="BX90">
        <f>IF($BV90="","",IFERROR(VLOOKUP($BV90,DECODE!$A$3:$C$8,3,FALSE),"?"))</f>
        <v/>
      </c>
      <c r="BY90">
        <f>IF($BW90="","",IFERROR(VLOOKUP($BV90&amp;"-"&amp;$BW90,DECODE!$E$3:$F$21,2,FALSE),"?"))</f>
        <v/>
      </c>
      <c r="BZ90">
        <f>IF($BU90="","",IFERROR(VALUE(RIGHT($BU90,3)),""))</f>
        <v/>
      </c>
      <c r="CA90">
        <f>IF($X90="","",IFERROR(IF(ISNUMBER($X90),$X90,DATEVALUE(TRIM($X90))),""))</f>
        <v/>
      </c>
      <c r="CB90">
        <f>IF($CA90="","",IF(MONTH($CA90)&gt;=12,"Cold Winter",IF(MONTH($CA90)&gt;=10,"Post-Monsoon",IF(MONTH($CA90)&gt;=6,"Hot Humid",IF(MONTH($CA90)&gt;=3,"Hot Dry","Cold Winter")))))</f>
        <v/>
      </c>
      <c r="CC90">
        <f>IF($BV90="","",IFERROR(VLOOKUP($BV90,DECODE!$A$3:$C$8,2,FALSE),"?"))</f>
        <v/>
      </c>
      <c r="CD90">
        <f>IF($S90="","",UPPER(TRIM(LEFT($S90&amp;",",FIND(",",$S90&amp;",")-1))))</f>
        <v/>
      </c>
      <c r="CE90">
        <f>IF($CD90="","",MID($CD90,4,FIND("~",SUBSTITUTE($CD90,"-","~",2))-4))</f>
        <v/>
      </c>
      <c r="CF90">
        <f>IF($CD90="","",MID($CD90,FIND("~",SUBSTITUTE($CD90,"-","~",2))+1,FIND("~",SUBSTITUTE($CD90,"-","~",3))-FIND("~",SUBSTITUTE($CD90,"-","~",2))-1))</f>
        <v/>
      </c>
      <c r="CG90">
        <f>IF($CE90="","",IFERROR(VLOOKUP($CE90,DECODE!$A$3:$C$8,3,FALSE),"?"))</f>
        <v/>
      </c>
      <c r="CH90">
        <f>IF($CF90="","",IFERROR(VLOOKUP($CE90&amp;"-"&amp;$CF90,DECODE!$E$3:$F$21,2,FALSE),"?"))</f>
        <v/>
      </c>
      <c r="CI90">
        <f>IF($CD90="","",IFERROR(VALUE(RIGHT($CD90,3)),""))</f>
        <v/>
      </c>
      <c r="CJ90">
        <f>IF($Y90="","",IFERROR(IF(ISNUMBER($Y90),$Y90,DATEVALUE(TRIM($Y90))),""))</f>
        <v/>
      </c>
      <c r="CK90">
        <f>IF($CJ90="","",IF(MONTH($CJ90)&gt;=12,"Cold Winter",IF(MONTH($CJ90)&gt;=10,"Post-Monsoon",IF(MONTH($CJ90)&gt;=6,"Hot Humid",IF(MONTH($CJ90)&gt;=3,"Hot Dry","Cold Winter")))))</f>
        <v/>
      </c>
      <c r="CL90">
        <f>IF($CE90="","",IFERROR(VLOOKUP($CE90,DECODE!$A$3:$C$8,2,FALSE),"?"))</f>
        <v/>
      </c>
      <c r="CM90">
        <f>IF($AN90="","",AN90)</f>
        <v/>
      </c>
      <c r="CN90">
        <f>IF($AO90="","",AO90)</f>
        <v/>
      </c>
      <c r="CO90">
        <f>IF($AP90="","",AP90)</f>
        <v/>
      </c>
      <c r="CP90">
        <f>IF($CM90="","",IF($CM90="Aloe Vera Gel","Aloe Vera Gel "&amp;$CO90&amp;"g",CN90&amp;" "&amp;$CO90&amp;"g"))</f>
        <v/>
      </c>
      <c r="CQ90">
        <f>IF($AT90="",0,1)</f>
        <v/>
      </c>
      <c r="CR90">
        <f>IF($CQ90=0,"",AW90)</f>
        <v/>
      </c>
      <c r="CS90">
        <f>IF($CQ90=0,"",AX90)</f>
        <v/>
      </c>
      <c r="CT90">
        <f>IF($CQ90=0,"",AY90)</f>
        <v/>
      </c>
      <c r="CU90">
        <f>IF($CR90="","",IF($CR90="Aloe Vera Gel","Aloe Vera Gel "&amp;$CT90&amp;"g",CS90&amp;" "&amp;$CT90&amp;"g"))</f>
        <v/>
      </c>
      <c r="CV90">
        <f>IF($CQ90=0,"",IF($CP90=$CU90,"Repeat Exact",IF($CT90&gt;$CO90,"Upsized",IF($CT90&lt;$CO90,"Downsized",IF($CM90&lt;&gt;$CR90,"Lateral","Same Size Diff Variant")))))</f>
        <v/>
      </c>
      <c r="CW90">
        <f>IF($CQ90=0,"",AZ90-AQ90)</f>
        <v/>
      </c>
      <c r="CX90">
        <f>IF($CQ90=0,0,IF(CS90=CN90,1,0))</f>
        <v/>
      </c>
      <c r="CY90">
        <f>IF($CQ90=0,0,IF(CR90=CM90,1,0))</f>
        <v/>
      </c>
      <c r="CZ90">
        <f>IF($A90="","",IF(AND(IF(DASHBOARD!$C$4="All",TRUE,$CM90=DASHBOARD!$C$4),IF(DASHBOARD!$C$6="All",TRUE,$CP90=DASHBOARD!$C$6),IF(DASHBOARD!$C$8="All",TRUE,$AF90&gt;=DASHBOARD!$C$8),IF(DASHBOARD!$C$10="All",TRUE,$AF90&lt;=DASHBOARD!$C$10),IF(DASHBOARD!$C$12="All",TRUE,$AH90=VALUE(DASHBOARD!$C$12)),IF(DASHBOARD!$C$14="All",TRUE,$AJ90=DASHBOARD!$C$14)),1,0))</f>
        <v/>
      </c>
    </row>
    <row r="91">
      <c r="A91" t="n">
        <v>49839</v>
      </c>
      <c r="B91" t="inlineStr">
        <is>
          <t>Face Malai</t>
        </is>
      </c>
      <c r="H91" t="inlineStr">
        <is>
          <t>Tomato Patchouli (Cold) 20 - 35 Yrs Face Malai</t>
        </is>
      </c>
      <c r="N91" t="inlineStr">
        <is>
          <t>FC-CWDM-TP-030</t>
        </is>
      </c>
      <c r="T91" t="inlineStr">
        <is>
          <t>Dec 5, 2024</t>
        </is>
      </c>
      <c r="AE91" t="inlineStr">
        <is>
          <t>New Delhi</t>
        </is>
      </c>
      <c r="AF91" t="inlineStr">
        <is>
          <t>2024-12</t>
        </is>
      </c>
      <c r="AG91" t="n">
        <v>12</v>
      </c>
      <c r="AH91" t="n">
        <v>1</v>
      </c>
      <c r="AI91" t="n">
        <v>0</v>
      </c>
      <c r="AJ91">
        <f>IF($AE91="","",IFERROR(VLOOKUP(TRIM($AE91),DECODE!$H$3:$I$60,2,FALSE),"Rest of India"))</f>
        <v/>
      </c>
      <c r="AK91">
        <f>IF($N91="","",UPPER(TRIM(LEFT($N91&amp;",",FIND(",",$N91&amp;",")-1))))</f>
        <v/>
      </c>
      <c r="AL91">
        <f>IF($AK91="","",MID($AK91,4,FIND("~",SUBSTITUTE($AK91,"-","~",2))-4))</f>
        <v/>
      </c>
      <c r="AM91">
        <f>IF($AK91="","",MID($AK91,FIND("~",SUBSTITUTE($AK91,"-","~",2))+1,FIND("~",SUBSTITUTE($AK91,"-","~",3))-FIND("~",SUBSTITUTE($AK91,"-","~",2))-1))</f>
        <v/>
      </c>
      <c r="AN91">
        <f>IF($AL91="","",IFERROR(VLOOKUP($AL91,DECODE!$A$3:$C$8,3,FALSE),"?"))</f>
        <v/>
      </c>
      <c r="AO91">
        <f>IF($AM91="","",IFERROR(VLOOKUP($AL91&amp;"-"&amp;$AM91,DECODE!$E$3:$F$21,2,FALSE),"?"))</f>
        <v/>
      </c>
      <c r="AP91">
        <f>IF($AK91="","",IFERROR(VALUE(RIGHT($AK91,3)),""))</f>
        <v/>
      </c>
      <c r="AQ91">
        <f>IF($T91="","",IFERROR(IF(ISNUMBER($T91),$T91,DATEVALUE(TRIM($T91))),""))</f>
        <v/>
      </c>
      <c r="AR91">
        <f>IF($AQ91="","",IF(MONTH($AQ91)&gt;=12,"Cold Winter",IF(MONTH($AQ91)&gt;=10,"Post-Monsoon",IF(MONTH($AQ91)&gt;=6,"Hot Humid",IF(MONTH($AQ91)&gt;=3,"Hot Dry","Cold Winter")))))</f>
        <v/>
      </c>
      <c r="AS91">
        <f>IF($AL91="","",IFERROR(VLOOKUP($AL91,DECODE!$A$3:$C$8,2,FALSE),"?"))</f>
        <v/>
      </c>
      <c r="AT91">
        <f>IF($O91="","",UPPER(TRIM(LEFT($O91&amp;",",FIND(",",$O91&amp;",")-1))))</f>
        <v/>
      </c>
      <c r="AU91">
        <f>IF($AT91="","",MID($AT91,4,FIND("~",SUBSTITUTE($AT91,"-","~",2))-4))</f>
        <v/>
      </c>
      <c r="AV91">
        <f>IF($AT91="","",MID($AT91,FIND("~",SUBSTITUTE($AT91,"-","~",2))+1,FIND("~",SUBSTITUTE($AT91,"-","~",3))-FIND("~",SUBSTITUTE($AT91,"-","~",2))-1))</f>
        <v/>
      </c>
      <c r="AW91">
        <f>IF($AU91="","",IFERROR(VLOOKUP($AU91,DECODE!$A$3:$C$8,3,FALSE),"?"))</f>
        <v/>
      </c>
      <c r="AX91">
        <f>IF($AV91="","",IFERROR(VLOOKUP($AU91&amp;"-"&amp;$AV91,DECODE!$E$3:$F$21,2,FALSE),"?"))</f>
        <v/>
      </c>
      <c r="AY91">
        <f>IF($AT91="","",IFERROR(VALUE(RIGHT($AT91,3)),""))</f>
        <v/>
      </c>
      <c r="AZ91">
        <f>IF($U91="","",IFERROR(IF(ISNUMBER($U91),$U91,DATEVALUE(TRIM($U91))),""))</f>
        <v/>
      </c>
      <c r="BA91">
        <f>IF($AZ91="","",IF(MONTH($AZ91)&gt;=12,"Cold Winter",IF(MONTH($AZ91)&gt;=10,"Post-Monsoon",IF(MONTH($AZ91)&gt;=6,"Hot Humid",IF(MONTH($AZ91)&gt;=3,"Hot Dry","Cold Winter")))))</f>
        <v/>
      </c>
      <c r="BB91">
        <f>IF($AU91="","",IFERROR(VLOOKUP($AU91,DECODE!$A$3:$C$8,2,FALSE),"?"))</f>
        <v/>
      </c>
      <c r="BC91">
        <f>IF($P91="","",UPPER(TRIM(LEFT($P91&amp;",",FIND(",",$P91&amp;",")-1))))</f>
        <v/>
      </c>
      <c r="BD91">
        <f>IF($BC91="","",MID($BC91,4,FIND("~",SUBSTITUTE($BC91,"-","~",2))-4))</f>
        <v/>
      </c>
      <c r="BE91">
        <f>IF($BC91="","",MID($BC91,FIND("~",SUBSTITUTE($BC91,"-","~",2))+1,FIND("~",SUBSTITUTE($BC91,"-","~",3))-FIND("~",SUBSTITUTE($BC91,"-","~",2))-1))</f>
        <v/>
      </c>
      <c r="BF91">
        <f>IF($BD91="","",IFERROR(VLOOKUP($BD91,DECODE!$A$3:$C$8,3,FALSE),"?"))</f>
        <v/>
      </c>
      <c r="BG91">
        <f>IF($BE91="","",IFERROR(VLOOKUP($BD91&amp;"-"&amp;$BE91,DECODE!$E$3:$F$21,2,FALSE),"?"))</f>
        <v/>
      </c>
      <c r="BH91">
        <f>IF($BC91="","",IFERROR(VALUE(RIGHT($BC91,3)),""))</f>
        <v/>
      </c>
      <c r="BI91">
        <f>IF($V91="","",IFERROR(IF(ISNUMBER($V91),$V91,DATEVALUE(TRIM($V91))),""))</f>
        <v/>
      </c>
      <c r="BJ91">
        <f>IF($BI91="","",IF(MONTH($BI91)&gt;=12,"Cold Winter",IF(MONTH($BI91)&gt;=10,"Post-Monsoon",IF(MONTH($BI91)&gt;=6,"Hot Humid",IF(MONTH($BI91)&gt;=3,"Hot Dry","Cold Winter")))))</f>
        <v/>
      </c>
      <c r="BK91">
        <f>IF($BD91="","",IFERROR(VLOOKUP($BD91,DECODE!$A$3:$C$8,2,FALSE),"?"))</f>
        <v/>
      </c>
      <c r="BL91">
        <f>IF($Q91="","",UPPER(TRIM(LEFT($Q91&amp;",",FIND(",",$Q91&amp;",")-1))))</f>
        <v/>
      </c>
      <c r="BM91">
        <f>IF($BL91="","",MID($BL91,4,FIND("~",SUBSTITUTE($BL91,"-","~",2))-4))</f>
        <v/>
      </c>
      <c r="BN91">
        <f>IF($BL91="","",MID($BL91,FIND("~",SUBSTITUTE($BL91,"-","~",2))+1,FIND("~",SUBSTITUTE($BL91,"-","~",3))-FIND("~",SUBSTITUTE($BL91,"-","~",2))-1))</f>
        <v/>
      </c>
      <c r="BO91">
        <f>IF($BM91="","",IFERROR(VLOOKUP($BM91,DECODE!$A$3:$C$8,3,FALSE),"?"))</f>
        <v/>
      </c>
      <c r="BP91">
        <f>IF($BN91="","",IFERROR(VLOOKUP($BM91&amp;"-"&amp;$BN91,DECODE!$E$3:$F$21,2,FALSE),"?"))</f>
        <v/>
      </c>
      <c r="BQ91">
        <f>IF($BL91="","",IFERROR(VALUE(RIGHT($BL91,3)),""))</f>
        <v/>
      </c>
      <c r="BR91">
        <f>IF($W91="","",IFERROR(IF(ISNUMBER($W91),$W91,DATEVALUE(TRIM($W91))),""))</f>
        <v/>
      </c>
      <c r="BS91">
        <f>IF($BR91="","",IF(MONTH($BR91)&gt;=12,"Cold Winter",IF(MONTH($BR91)&gt;=10,"Post-Monsoon",IF(MONTH($BR91)&gt;=6,"Hot Humid",IF(MONTH($BR91)&gt;=3,"Hot Dry","Cold Winter")))))</f>
        <v/>
      </c>
      <c r="BT91">
        <f>IF($BM91="","",IFERROR(VLOOKUP($BM91,DECODE!$A$3:$C$8,2,FALSE),"?"))</f>
        <v/>
      </c>
      <c r="BU91">
        <f>IF($R91="","",UPPER(TRIM(LEFT($R91&amp;",",FIND(",",$R91&amp;",")-1))))</f>
        <v/>
      </c>
      <c r="BV91">
        <f>IF($BU91="","",MID($BU91,4,FIND("~",SUBSTITUTE($BU91,"-","~",2))-4))</f>
        <v/>
      </c>
      <c r="BW91">
        <f>IF($BU91="","",MID($BU91,FIND("~",SUBSTITUTE($BU91,"-","~",2))+1,FIND("~",SUBSTITUTE($BU91,"-","~",3))-FIND("~",SUBSTITUTE($BU91,"-","~",2))-1))</f>
        <v/>
      </c>
      <c r="BX91">
        <f>IF($BV91="","",IFERROR(VLOOKUP($BV91,DECODE!$A$3:$C$8,3,FALSE),"?"))</f>
        <v/>
      </c>
      <c r="BY91">
        <f>IF($BW91="","",IFERROR(VLOOKUP($BV91&amp;"-"&amp;$BW91,DECODE!$E$3:$F$21,2,FALSE),"?"))</f>
        <v/>
      </c>
      <c r="BZ91">
        <f>IF($BU91="","",IFERROR(VALUE(RIGHT($BU91,3)),""))</f>
        <v/>
      </c>
      <c r="CA91">
        <f>IF($X91="","",IFERROR(IF(ISNUMBER($X91),$X91,DATEVALUE(TRIM($X91))),""))</f>
        <v/>
      </c>
      <c r="CB91">
        <f>IF($CA91="","",IF(MONTH($CA91)&gt;=12,"Cold Winter",IF(MONTH($CA91)&gt;=10,"Post-Monsoon",IF(MONTH($CA91)&gt;=6,"Hot Humid",IF(MONTH($CA91)&gt;=3,"Hot Dry","Cold Winter")))))</f>
        <v/>
      </c>
      <c r="CC91">
        <f>IF($BV91="","",IFERROR(VLOOKUP($BV91,DECODE!$A$3:$C$8,2,FALSE),"?"))</f>
        <v/>
      </c>
      <c r="CD91">
        <f>IF($S91="","",UPPER(TRIM(LEFT($S91&amp;",",FIND(",",$S91&amp;",")-1))))</f>
        <v/>
      </c>
      <c r="CE91">
        <f>IF($CD91="","",MID($CD91,4,FIND("~",SUBSTITUTE($CD91,"-","~",2))-4))</f>
        <v/>
      </c>
      <c r="CF91">
        <f>IF($CD91="","",MID($CD91,FIND("~",SUBSTITUTE($CD91,"-","~",2))+1,FIND("~",SUBSTITUTE($CD91,"-","~",3))-FIND("~",SUBSTITUTE($CD91,"-","~",2))-1))</f>
        <v/>
      </c>
      <c r="CG91">
        <f>IF($CE91="","",IFERROR(VLOOKUP($CE91,DECODE!$A$3:$C$8,3,FALSE),"?"))</f>
        <v/>
      </c>
      <c r="CH91">
        <f>IF($CF91="","",IFERROR(VLOOKUP($CE91&amp;"-"&amp;$CF91,DECODE!$E$3:$F$21,2,FALSE),"?"))</f>
        <v/>
      </c>
      <c r="CI91">
        <f>IF($CD91="","",IFERROR(VALUE(RIGHT($CD91,3)),""))</f>
        <v/>
      </c>
      <c r="CJ91">
        <f>IF($Y91="","",IFERROR(IF(ISNUMBER($Y91),$Y91,DATEVALUE(TRIM($Y91))),""))</f>
        <v/>
      </c>
      <c r="CK91">
        <f>IF($CJ91="","",IF(MONTH($CJ91)&gt;=12,"Cold Winter",IF(MONTH($CJ91)&gt;=10,"Post-Monsoon",IF(MONTH($CJ91)&gt;=6,"Hot Humid",IF(MONTH($CJ91)&gt;=3,"Hot Dry","Cold Winter")))))</f>
        <v/>
      </c>
      <c r="CL91">
        <f>IF($CE91="","",IFERROR(VLOOKUP($CE91,DECODE!$A$3:$C$8,2,FALSE),"?"))</f>
        <v/>
      </c>
      <c r="CM91">
        <f>IF($AN91="","",AN91)</f>
        <v/>
      </c>
      <c r="CN91">
        <f>IF($AO91="","",AO91)</f>
        <v/>
      </c>
      <c r="CO91">
        <f>IF($AP91="","",AP91)</f>
        <v/>
      </c>
      <c r="CP91">
        <f>IF($CM91="","",IF($CM91="Aloe Vera Gel","Aloe Vera Gel "&amp;$CO91&amp;"g",CN91&amp;" "&amp;$CO91&amp;"g"))</f>
        <v/>
      </c>
      <c r="CQ91">
        <f>IF($AT91="",0,1)</f>
        <v/>
      </c>
      <c r="CR91">
        <f>IF($CQ91=0,"",AW91)</f>
        <v/>
      </c>
      <c r="CS91">
        <f>IF($CQ91=0,"",AX91)</f>
        <v/>
      </c>
      <c r="CT91">
        <f>IF($CQ91=0,"",AY91)</f>
        <v/>
      </c>
      <c r="CU91">
        <f>IF($CR91="","",IF($CR91="Aloe Vera Gel","Aloe Vera Gel "&amp;$CT91&amp;"g",CS91&amp;" "&amp;$CT91&amp;"g"))</f>
        <v/>
      </c>
      <c r="CV91">
        <f>IF($CQ91=0,"",IF($CP91=$CU91,"Repeat Exact",IF($CT91&gt;$CO91,"Upsized",IF($CT91&lt;$CO91,"Downsized",IF($CM91&lt;&gt;$CR91,"Lateral","Same Size Diff Variant")))))</f>
        <v/>
      </c>
      <c r="CW91">
        <f>IF($CQ91=0,"",AZ91-AQ91)</f>
        <v/>
      </c>
      <c r="CX91">
        <f>IF($CQ91=0,0,IF(CS91=CN91,1,0))</f>
        <v/>
      </c>
      <c r="CY91">
        <f>IF($CQ91=0,0,IF(CR91=CM91,1,0))</f>
        <v/>
      </c>
      <c r="CZ91">
        <f>IF($A91="","",IF(AND(IF(DASHBOARD!$C$4="All",TRUE,$CM91=DASHBOARD!$C$4),IF(DASHBOARD!$C$6="All",TRUE,$CP91=DASHBOARD!$C$6),IF(DASHBOARD!$C$8="All",TRUE,$AF91&gt;=DASHBOARD!$C$8),IF(DASHBOARD!$C$10="All",TRUE,$AF91&lt;=DASHBOARD!$C$10),IF(DASHBOARD!$C$12="All",TRUE,$AH91=VALUE(DASHBOARD!$C$12)),IF(DASHBOARD!$C$14="All",TRUE,$AJ91=DASHBOARD!$C$14)),1,0))</f>
        <v/>
      </c>
    </row>
    <row r="92">
      <c r="A92" t="n">
        <v>49978</v>
      </c>
      <c r="B92" t="inlineStr">
        <is>
          <t>Face Malai</t>
        </is>
      </c>
      <c r="H92" t="inlineStr">
        <is>
          <t>Flax Carrot (Hot Humid) 35+ Face Malai - 30g</t>
        </is>
      </c>
      <c r="N92" t="inlineStr">
        <is>
          <t>FC-HHDM-FC-030</t>
        </is>
      </c>
      <c r="T92" t="inlineStr">
        <is>
          <t>Jan 25, 2025</t>
        </is>
      </c>
      <c r="AE92" t="inlineStr">
        <is>
          <t>Thane</t>
        </is>
      </c>
      <c r="AF92" t="inlineStr">
        <is>
          <t>2025-01</t>
        </is>
      </c>
      <c r="AG92" t="n">
        <v>1</v>
      </c>
      <c r="AH92" t="n">
        <v>1</v>
      </c>
      <c r="AI92" t="n">
        <v>0</v>
      </c>
      <c r="AJ92">
        <f>IF($AE92="","",IFERROR(VLOOKUP(TRIM($AE92),DECODE!$H$3:$I$60,2,FALSE),"Rest of India"))</f>
        <v/>
      </c>
      <c r="AK92">
        <f>IF($N92="","",UPPER(TRIM(LEFT($N92&amp;",",FIND(",",$N92&amp;",")-1))))</f>
        <v/>
      </c>
      <c r="AL92">
        <f>IF($AK92="","",MID($AK92,4,FIND("~",SUBSTITUTE($AK92,"-","~",2))-4))</f>
        <v/>
      </c>
      <c r="AM92">
        <f>IF($AK92="","",MID($AK92,FIND("~",SUBSTITUTE($AK92,"-","~",2))+1,FIND("~",SUBSTITUTE($AK92,"-","~",3))-FIND("~",SUBSTITUTE($AK92,"-","~",2))-1))</f>
        <v/>
      </c>
      <c r="AN92">
        <f>IF($AL92="","",IFERROR(VLOOKUP($AL92,DECODE!$A$3:$C$8,3,FALSE),"?"))</f>
        <v/>
      </c>
      <c r="AO92">
        <f>IF($AM92="","",IFERROR(VLOOKUP($AL92&amp;"-"&amp;$AM92,DECODE!$E$3:$F$21,2,FALSE),"?"))</f>
        <v/>
      </c>
      <c r="AP92">
        <f>IF($AK92="","",IFERROR(VALUE(RIGHT($AK92,3)),""))</f>
        <v/>
      </c>
      <c r="AQ92">
        <f>IF($T92="","",IFERROR(IF(ISNUMBER($T92),$T92,DATEVALUE(TRIM($T92))),""))</f>
        <v/>
      </c>
      <c r="AR92">
        <f>IF($AQ92="","",IF(MONTH($AQ92)&gt;=12,"Cold Winter",IF(MONTH($AQ92)&gt;=10,"Post-Monsoon",IF(MONTH($AQ92)&gt;=6,"Hot Humid",IF(MONTH($AQ92)&gt;=3,"Hot Dry","Cold Winter")))))</f>
        <v/>
      </c>
      <c r="AS92">
        <f>IF($AL92="","",IFERROR(VLOOKUP($AL92,DECODE!$A$3:$C$8,2,FALSE),"?"))</f>
        <v/>
      </c>
      <c r="AT92">
        <f>IF($O92="","",UPPER(TRIM(LEFT($O92&amp;",",FIND(",",$O92&amp;",")-1))))</f>
        <v/>
      </c>
      <c r="AU92">
        <f>IF($AT92="","",MID($AT92,4,FIND("~",SUBSTITUTE($AT92,"-","~",2))-4))</f>
        <v/>
      </c>
      <c r="AV92">
        <f>IF($AT92="","",MID($AT92,FIND("~",SUBSTITUTE($AT92,"-","~",2))+1,FIND("~",SUBSTITUTE($AT92,"-","~",3))-FIND("~",SUBSTITUTE($AT92,"-","~",2))-1))</f>
        <v/>
      </c>
      <c r="AW92">
        <f>IF($AU92="","",IFERROR(VLOOKUP($AU92,DECODE!$A$3:$C$8,3,FALSE),"?"))</f>
        <v/>
      </c>
      <c r="AX92">
        <f>IF($AV92="","",IFERROR(VLOOKUP($AU92&amp;"-"&amp;$AV92,DECODE!$E$3:$F$21,2,FALSE),"?"))</f>
        <v/>
      </c>
      <c r="AY92">
        <f>IF($AT92="","",IFERROR(VALUE(RIGHT($AT92,3)),""))</f>
        <v/>
      </c>
      <c r="AZ92">
        <f>IF($U92="","",IFERROR(IF(ISNUMBER($U92),$U92,DATEVALUE(TRIM($U92))),""))</f>
        <v/>
      </c>
      <c r="BA92">
        <f>IF($AZ92="","",IF(MONTH($AZ92)&gt;=12,"Cold Winter",IF(MONTH($AZ92)&gt;=10,"Post-Monsoon",IF(MONTH($AZ92)&gt;=6,"Hot Humid",IF(MONTH($AZ92)&gt;=3,"Hot Dry","Cold Winter")))))</f>
        <v/>
      </c>
      <c r="BB92">
        <f>IF($AU92="","",IFERROR(VLOOKUP($AU92,DECODE!$A$3:$C$8,2,FALSE),"?"))</f>
        <v/>
      </c>
      <c r="BC92">
        <f>IF($P92="","",UPPER(TRIM(LEFT($P92&amp;",",FIND(",",$P92&amp;",")-1))))</f>
        <v/>
      </c>
      <c r="BD92">
        <f>IF($BC92="","",MID($BC92,4,FIND("~",SUBSTITUTE($BC92,"-","~",2))-4))</f>
        <v/>
      </c>
      <c r="BE92">
        <f>IF($BC92="","",MID($BC92,FIND("~",SUBSTITUTE($BC92,"-","~",2))+1,FIND("~",SUBSTITUTE($BC92,"-","~",3))-FIND("~",SUBSTITUTE($BC92,"-","~",2))-1))</f>
        <v/>
      </c>
      <c r="BF92">
        <f>IF($BD92="","",IFERROR(VLOOKUP($BD92,DECODE!$A$3:$C$8,3,FALSE),"?"))</f>
        <v/>
      </c>
      <c r="BG92">
        <f>IF($BE92="","",IFERROR(VLOOKUP($BD92&amp;"-"&amp;$BE92,DECODE!$E$3:$F$21,2,FALSE),"?"))</f>
        <v/>
      </c>
      <c r="BH92">
        <f>IF($BC92="","",IFERROR(VALUE(RIGHT($BC92,3)),""))</f>
        <v/>
      </c>
      <c r="BI92">
        <f>IF($V92="","",IFERROR(IF(ISNUMBER($V92),$V92,DATEVALUE(TRIM($V92))),""))</f>
        <v/>
      </c>
      <c r="BJ92">
        <f>IF($BI92="","",IF(MONTH($BI92)&gt;=12,"Cold Winter",IF(MONTH($BI92)&gt;=10,"Post-Monsoon",IF(MONTH($BI92)&gt;=6,"Hot Humid",IF(MONTH($BI92)&gt;=3,"Hot Dry","Cold Winter")))))</f>
        <v/>
      </c>
      <c r="BK92">
        <f>IF($BD92="","",IFERROR(VLOOKUP($BD92,DECODE!$A$3:$C$8,2,FALSE),"?"))</f>
        <v/>
      </c>
      <c r="BL92">
        <f>IF($Q92="","",UPPER(TRIM(LEFT($Q92&amp;",",FIND(",",$Q92&amp;",")-1))))</f>
        <v/>
      </c>
      <c r="BM92">
        <f>IF($BL92="","",MID($BL92,4,FIND("~",SUBSTITUTE($BL92,"-","~",2))-4))</f>
        <v/>
      </c>
      <c r="BN92">
        <f>IF($BL92="","",MID($BL92,FIND("~",SUBSTITUTE($BL92,"-","~",2))+1,FIND("~",SUBSTITUTE($BL92,"-","~",3))-FIND("~",SUBSTITUTE($BL92,"-","~",2))-1))</f>
        <v/>
      </c>
      <c r="BO92">
        <f>IF($BM92="","",IFERROR(VLOOKUP($BM92,DECODE!$A$3:$C$8,3,FALSE),"?"))</f>
        <v/>
      </c>
      <c r="BP92">
        <f>IF($BN92="","",IFERROR(VLOOKUP($BM92&amp;"-"&amp;$BN92,DECODE!$E$3:$F$21,2,FALSE),"?"))</f>
        <v/>
      </c>
      <c r="BQ92">
        <f>IF($BL92="","",IFERROR(VALUE(RIGHT($BL92,3)),""))</f>
        <v/>
      </c>
      <c r="BR92">
        <f>IF($W92="","",IFERROR(IF(ISNUMBER($W92),$W92,DATEVALUE(TRIM($W92))),""))</f>
        <v/>
      </c>
      <c r="BS92">
        <f>IF($BR92="","",IF(MONTH($BR92)&gt;=12,"Cold Winter",IF(MONTH($BR92)&gt;=10,"Post-Monsoon",IF(MONTH($BR92)&gt;=6,"Hot Humid",IF(MONTH($BR92)&gt;=3,"Hot Dry","Cold Winter")))))</f>
        <v/>
      </c>
      <c r="BT92">
        <f>IF($BM92="","",IFERROR(VLOOKUP($BM92,DECODE!$A$3:$C$8,2,FALSE),"?"))</f>
        <v/>
      </c>
      <c r="BU92">
        <f>IF($R92="","",UPPER(TRIM(LEFT($R92&amp;",",FIND(",",$R92&amp;",")-1))))</f>
        <v/>
      </c>
      <c r="BV92">
        <f>IF($BU92="","",MID($BU92,4,FIND("~",SUBSTITUTE($BU92,"-","~",2))-4))</f>
        <v/>
      </c>
      <c r="BW92">
        <f>IF($BU92="","",MID($BU92,FIND("~",SUBSTITUTE($BU92,"-","~",2))+1,FIND("~",SUBSTITUTE($BU92,"-","~",3))-FIND("~",SUBSTITUTE($BU92,"-","~",2))-1))</f>
        <v/>
      </c>
      <c r="BX92">
        <f>IF($BV92="","",IFERROR(VLOOKUP($BV92,DECODE!$A$3:$C$8,3,FALSE),"?"))</f>
        <v/>
      </c>
      <c r="BY92">
        <f>IF($BW92="","",IFERROR(VLOOKUP($BV92&amp;"-"&amp;$BW92,DECODE!$E$3:$F$21,2,FALSE),"?"))</f>
        <v/>
      </c>
      <c r="BZ92">
        <f>IF($BU92="","",IFERROR(VALUE(RIGHT($BU92,3)),""))</f>
        <v/>
      </c>
      <c r="CA92">
        <f>IF($X92="","",IFERROR(IF(ISNUMBER($X92),$X92,DATEVALUE(TRIM($X92))),""))</f>
        <v/>
      </c>
      <c r="CB92">
        <f>IF($CA92="","",IF(MONTH($CA92)&gt;=12,"Cold Winter",IF(MONTH($CA92)&gt;=10,"Post-Monsoon",IF(MONTH($CA92)&gt;=6,"Hot Humid",IF(MONTH($CA92)&gt;=3,"Hot Dry","Cold Winter")))))</f>
        <v/>
      </c>
      <c r="CC92">
        <f>IF($BV92="","",IFERROR(VLOOKUP($BV92,DECODE!$A$3:$C$8,2,FALSE),"?"))</f>
        <v/>
      </c>
      <c r="CD92">
        <f>IF($S92="","",UPPER(TRIM(LEFT($S92&amp;",",FIND(",",$S92&amp;",")-1))))</f>
        <v/>
      </c>
      <c r="CE92">
        <f>IF($CD92="","",MID($CD92,4,FIND("~",SUBSTITUTE($CD92,"-","~",2))-4))</f>
        <v/>
      </c>
      <c r="CF92">
        <f>IF($CD92="","",MID($CD92,FIND("~",SUBSTITUTE($CD92,"-","~",2))+1,FIND("~",SUBSTITUTE($CD92,"-","~",3))-FIND("~",SUBSTITUTE($CD92,"-","~",2))-1))</f>
        <v/>
      </c>
      <c r="CG92">
        <f>IF($CE92="","",IFERROR(VLOOKUP($CE92,DECODE!$A$3:$C$8,3,FALSE),"?"))</f>
        <v/>
      </c>
      <c r="CH92">
        <f>IF($CF92="","",IFERROR(VLOOKUP($CE92&amp;"-"&amp;$CF92,DECODE!$E$3:$F$21,2,FALSE),"?"))</f>
        <v/>
      </c>
      <c r="CI92">
        <f>IF($CD92="","",IFERROR(VALUE(RIGHT($CD92,3)),""))</f>
        <v/>
      </c>
      <c r="CJ92">
        <f>IF($Y92="","",IFERROR(IF(ISNUMBER($Y92),$Y92,DATEVALUE(TRIM($Y92))),""))</f>
        <v/>
      </c>
      <c r="CK92">
        <f>IF($CJ92="","",IF(MONTH($CJ92)&gt;=12,"Cold Winter",IF(MONTH($CJ92)&gt;=10,"Post-Monsoon",IF(MONTH($CJ92)&gt;=6,"Hot Humid",IF(MONTH($CJ92)&gt;=3,"Hot Dry","Cold Winter")))))</f>
        <v/>
      </c>
      <c r="CL92">
        <f>IF($CE92="","",IFERROR(VLOOKUP($CE92,DECODE!$A$3:$C$8,2,FALSE),"?"))</f>
        <v/>
      </c>
      <c r="CM92">
        <f>IF($AN92="","",AN92)</f>
        <v/>
      </c>
      <c r="CN92">
        <f>IF($AO92="","",AO92)</f>
        <v/>
      </c>
      <c r="CO92">
        <f>IF($AP92="","",AP92)</f>
        <v/>
      </c>
      <c r="CP92">
        <f>IF($CM92="","",IF($CM92="Aloe Vera Gel","Aloe Vera Gel "&amp;$CO92&amp;"g",CN92&amp;" "&amp;$CO92&amp;"g"))</f>
        <v/>
      </c>
      <c r="CQ92">
        <f>IF($AT92="",0,1)</f>
        <v/>
      </c>
      <c r="CR92">
        <f>IF($CQ92=0,"",AW92)</f>
        <v/>
      </c>
      <c r="CS92">
        <f>IF($CQ92=0,"",AX92)</f>
        <v/>
      </c>
      <c r="CT92">
        <f>IF($CQ92=0,"",AY92)</f>
        <v/>
      </c>
      <c r="CU92">
        <f>IF($CR92="","",IF($CR92="Aloe Vera Gel","Aloe Vera Gel "&amp;$CT92&amp;"g",CS92&amp;" "&amp;$CT92&amp;"g"))</f>
        <v/>
      </c>
      <c r="CV92">
        <f>IF($CQ92=0,"",IF($CP92=$CU92,"Repeat Exact",IF($CT92&gt;$CO92,"Upsized",IF($CT92&lt;$CO92,"Downsized",IF($CM92&lt;&gt;$CR92,"Lateral","Same Size Diff Variant")))))</f>
        <v/>
      </c>
      <c r="CW92">
        <f>IF($CQ92=0,"",AZ92-AQ92)</f>
        <v/>
      </c>
      <c r="CX92">
        <f>IF($CQ92=0,0,IF(CS92=CN92,1,0))</f>
        <v/>
      </c>
      <c r="CY92">
        <f>IF($CQ92=0,0,IF(CR92=CM92,1,0))</f>
        <v/>
      </c>
      <c r="CZ92">
        <f>IF($A92="","",IF(AND(IF(DASHBOARD!$C$4="All",TRUE,$CM92=DASHBOARD!$C$4),IF(DASHBOARD!$C$6="All",TRUE,$CP92=DASHBOARD!$C$6),IF(DASHBOARD!$C$8="All",TRUE,$AF92&gt;=DASHBOARD!$C$8),IF(DASHBOARD!$C$10="All",TRUE,$AF92&lt;=DASHBOARD!$C$10),IF(DASHBOARD!$C$12="All",TRUE,$AH92=VALUE(DASHBOARD!$C$12)),IF(DASHBOARD!$C$14="All",TRUE,$AJ92=DASHBOARD!$C$14)),1,0))</f>
        <v/>
      </c>
    </row>
    <row r="93">
      <c r="A93" t="n">
        <v>50327</v>
      </c>
      <c r="B93" t="inlineStr">
        <is>
          <t>Face Malai</t>
        </is>
      </c>
      <c r="C93" t="inlineStr">
        <is>
          <t>Aloe Vera Gel</t>
        </is>
      </c>
      <c r="H93" t="inlineStr">
        <is>
          <t>Turmeric Nutmeg (Pigmentation)  Face Malai - 30g</t>
        </is>
      </c>
      <c r="I93" t="inlineStr">
        <is>
          <t>Aloe Vera Gel - 40 gms</t>
        </is>
      </c>
      <c r="N93" t="inlineStr">
        <is>
          <t>FC-DM-PG-030</t>
        </is>
      </c>
      <c r="O93" t="inlineStr">
        <is>
          <t>FC-HG-PA-040</t>
        </is>
      </c>
      <c r="T93" t="inlineStr">
        <is>
          <t>Jan 14, 2024</t>
        </is>
      </c>
      <c r="U93" t="inlineStr">
        <is>
          <t>Jun 26, 2024</t>
        </is>
      </c>
      <c r="Z93" t="n">
        <v>164</v>
      </c>
      <c r="AE93" t="inlineStr">
        <is>
          <t>Gautam Buddha Nagar</t>
        </is>
      </c>
      <c r="AF93" t="inlineStr">
        <is>
          <t>2024-01</t>
        </is>
      </c>
      <c r="AG93" t="n">
        <v>1</v>
      </c>
      <c r="AH93" t="n">
        <v>2</v>
      </c>
      <c r="AI93" t="n">
        <v>1</v>
      </c>
      <c r="AJ93">
        <f>IF($AE93="","",IFERROR(VLOOKUP(TRIM($AE93),DECODE!$H$3:$I$60,2,FALSE),"Rest of India"))</f>
        <v/>
      </c>
      <c r="AK93">
        <f>IF($N93="","",UPPER(TRIM(LEFT($N93&amp;",",FIND(",",$N93&amp;",")-1))))</f>
        <v/>
      </c>
      <c r="AL93">
        <f>IF($AK93="","",MID($AK93,4,FIND("~",SUBSTITUTE($AK93,"-","~",2))-4))</f>
        <v/>
      </c>
      <c r="AM93">
        <f>IF($AK93="","",MID($AK93,FIND("~",SUBSTITUTE($AK93,"-","~",2))+1,FIND("~",SUBSTITUTE($AK93,"-","~",3))-FIND("~",SUBSTITUTE($AK93,"-","~",2))-1))</f>
        <v/>
      </c>
      <c r="AN93">
        <f>IF($AL93="","",IFERROR(VLOOKUP($AL93,DECODE!$A$3:$C$8,3,FALSE),"?"))</f>
        <v/>
      </c>
      <c r="AO93">
        <f>IF($AM93="","",IFERROR(VLOOKUP($AL93&amp;"-"&amp;$AM93,DECODE!$E$3:$F$21,2,FALSE),"?"))</f>
        <v/>
      </c>
      <c r="AP93">
        <f>IF($AK93="","",IFERROR(VALUE(RIGHT($AK93,3)),""))</f>
        <v/>
      </c>
      <c r="AQ93">
        <f>IF($T93="","",IFERROR(IF(ISNUMBER($T93),$T93,DATEVALUE(TRIM($T93))),""))</f>
        <v/>
      </c>
      <c r="AR93">
        <f>IF($AQ93="","",IF(MONTH($AQ93)&gt;=12,"Cold Winter",IF(MONTH($AQ93)&gt;=10,"Post-Monsoon",IF(MONTH($AQ93)&gt;=6,"Hot Humid",IF(MONTH($AQ93)&gt;=3,"Hot Dry","Cold Winter")))))</f>
        <v/>
      </c>
      <c r="AS93">
        <f>IF($AL93="","",IFERROR(VLOOKUP($AL93,DECODE!$A$3:$C$8,2,FALSE),"?"))</f>
        <v/>
      </c>
      <c r="AT93">
        <f>IF($O93="","",UPPER(TRIM(LEFT($O93&amp;",",FIND(",",$O93&amp;",")-1))))</f>
        <v/>
      </c>
      <c r="AU93">
        <f>IF($AT93="","",MID($AT93,4,FIND("~",SUBSTITUTE($AT93,"-","~",2))-4))</f>
        <v/>
      </c>
      <c r="AV93">
        <f>IF($AT93="","",MID($AT93,FIND("~",SUBSTITUTE($AT93,"-","~",2))+1,FIND("~",SUBSTITUTE($AT93,"-","~",3))-FIND("~",SUBSTITUTE($AT93,"-","~",2))-1))</f>
        <v/>
      </c>
      <c r="AW93">
        <f>IF($AU93="","",IFERROR(VLOOKUP($AU93,DECODE!$A$3:$C$8,3,FALSE),"?"))</f>
        <v/>
      </c>
      <c r="AX93">
        <f>IF($AV93="","",IFERROR(VLOOKUP($AU93&amp;"-"&amp;$AV93,DECODE!$E$3:$F$21,2,FALSE),"?"))</f>
        <v/>
      </c>
      <c r="AY93">
        <f>IF($AT93="","",IFERROR(VALUE(RIGHT($AT93,3)),""))</f>
        <v/>
      </c>
      <c r="AZ93">
        <f>IF($U93="","",IFERROR(IF(ISNUMBER($U93),$U93,DATEVALUE(TRIM($U93))),""))</f>
        <v/>
      </c>
      <c r="BA93">
        <f>IF($AZ93="","",IF(MONTH($AZ93)&gt;=12,"Cold Winter",IF(MONTH($AZ93)&gt;=10,"Post-Monsoon",IF(MONTH($AZ93)&gt;=6,"Hot Humid",IF(MONTH($AZ93)&gt;=3,"Hot Dry","Cold Winter")))))</f>
        <v/>
      </c>
      <c r="BB93">
        <f>IF($AU93="","",IFERROR(VLOOKUP($AU93,DECODE!$A$3:$C$8,2,FALSE),"?"))</f>
        <v/>
      </c>
      <c r="BC93">
        <f>IF($P93="","",UPPER(TRIM(LEFT($P93&amp;",",FIND(",",$P93&amp;",")-1))))</f>
        <v/>
      </c>
      <c r="BD93">
        <f>IF($BC93="","",MID($BC93,4,FIND("~",SUBSTITUTE($BC93,"-","~",2))-4))</f>
        <v/>
      </c>
      <c r="BE93">
        <f>IF($BC93="","",MID($BC93,FIND("~",SUBSTITUTE($BC93,"-","~",2))+1,FIND("~",SUBSTITUTE($BC93,"-","~",3))-FIND("~",SUBSTITUTE($BC93,"-","~",2))-1))</f>
        <v/>
      </c>
      <c r="BF93">
        <f>IF($BD93="","",IFERROR(VLOOKUP($BD93,DECODE!$A$3:$C$8,3,FALSE),"?"))</f>
        <v/>
      </c>
      <c r="BG93">
        <f>IF($BE93="","",IFERROR(VLOOKUP($BD93&amp;"-"&amp;$BE93,DECODE!$E$3:$F$21,2,FALSE),"?"))</f>
        <v/>
      </c>
      <c r="BH93">
        <f>IF($BC93="","",IFERROR(VALUE(RIGHT($BC93,3)),""))</f>
        <v/>
      </c>
      <c r="BI93">
        <f>IF($V93="","",IFERROR(IF(ISNUMBER($V93),$V93,DATEVALUE(TRIM($V93))),""))</f>
        <v/>
      </c>
      <c r="BJ93">
        <f>IF($BI93="","",IF(MONTH($BI93)&gt;=12,"Cold Winter",IF(MONTH($BI93)&gt;=10,"Post-Monsoon",IF(MONTH($BI93)&gt;=6,"Hot Humid",IF(MONTH($BI93)&gt;=3,"Hot Dry","Cold Winter")))))</f>
        <v/>
      </c>
      <c r="BK93">
        <f>IF($BD93="","",IFERROR(VLOOKUP($BD93,DECODE!$A$3:$C$8,2,FALSE),"?"))</f>
        <v/>
      </c>
      <c r="BL93">
        <f>IF($Q93="","",UPPER(TRIM(LEFT($Q93&amp;",",FIND(",",$Q93&amp;",")-1))))</f>
        <v/>
      </c>
      <c r="BM93">
        <f>IF($BL93="","",MID($BL93,4,FIND("~",SUBSTITUTE($BL93,"-","~",2))-4))</f>
        <v/>
      </c>
      <c r="BN93">
        <f>IF($BL93="","",MID($BL93,FIND("~",SUBSTITUTE($BL93,"-","~",2))+1,FIND("~",SUBSTITUTE($BL93,"-","~",3))-FIND("~",SUBSTITUTE($BL93,"-","~",2))-1))</f>
        <v/>
      </c>
      <c r="BO93">
        <f>IF($BM93="","",IFERROR(VLOOKUP($BM93,DECODE!$A$3:$C$8,3,FALSE),"?"))</f>
        <v/>
      </c>
      <c r="BP93">
        <f>IF($BN93="","",IFERROR(VLOOKUP($BM93&amp;"-"&amp;$BN93,DECODE!$E$3:$F$21,2,FALSE),"?"))</f>
        <v/>
      </c>
      <c r="BQ93">
        <f>IF($BL93="","",IFERROR(VALUE(RIGHT($BL93,3)),""))</f>
        <v/>
      </c>
      <c r="BR93">
        <f>IF($W93="","",IFERROR(IF(ISNUMBER($W93),$W93,DATEVALUE(TRIM($W93))),""))</f>
        <v/>
      </c>
      <c r="BS93">
        <f>IF($BR93="","",IF(MONTH($BR93)&gt;=12,"Cold Winter",IF(MONTH($BR93)&gt;=10,"Post-Monsoon",IF(MONTH($BR93)&gt;=6,"Hot Humid",IF(MONTH($BR93)&gt;=3,"Hot Dry","Cold Winter")))))</f>
        <v/>
      </c>
      <c r="BT93">
        <f>IF($BM93="","",IFERROR(VLOOKUP($BM93,DECODE!$A$3:$C$8,2,FALSE),"?"))</f>
        <v/>
      </c>
      <c r="BU93">
        <f>IF($R93="","",UPPER(TRIM(LEFT($R93&amp;",",FIND(",",$R93&amp;",")-1))))</f>
        <v/>
      </c>
      <c r="BV93">
        <f>IF($BU93="","",MID($BU93,4,FIND("~",SUBSTITUTE($BU93,"-","~",2))-4))</f>
        <v/>
      </c>
      <c r="BW93">
        <f>IF($BU93="","",MID($BU93,FIND("~",SUBSTITUTE($BU93,"-","~",2))+1,FIND("~",SUBSTITUTE($BU93,"-","~",3))-FIND("~",SUBSTITUTE($BU93,"-","~",2))-1))</f>
        <v/>
      </c>
      <c r="BX93">
        <f>IF($BV93="","",IFERROR(VLOOKUP($BV93,DECODE!$A$3:$C$8,3,FALSE),"?"))</f>
        <v/>
      </c>
      <c r="BY93">
        <f>IF($BW93="","",IFERROR(VLOOKUP($BV93&amp;"-"&amp;$BW93,DECODE!$E$3:$F$21,2,FALSE),"?"))</f>
        <v/>
      </c>
      <c r="BZ93">
        <f>IF($BU93="","",IFERROR(VALUE(RIGHT($BU93,3)),""))</f>
        <v/>
      </c>
      <c r="CA93">
        <f>IF($X93="","",IFERROR(IF(ISNUMBER($X93),$X93,DATEVALUE(TRIM($X93))),""))</f>
        <v/>
      </c>
      <c r="CB93">
        <f>IF($CA93="","",IF(MONTH($CA93)&gt;=12,"Cold Winter",IF(MONTH($CA93)&gt;=10,"Post-Monsoon",IF(MONTH($CA93)&gt;=6,"Hot Humid",IF(MONTH($CA93)&gt;=3,"Hot Dry","Cold Winter")))))</f>
        <v/>
      </c>
      <c r="CC93">
        <f>IF($BV93="","",IFERROR(VLOOKUP($BV93,DECODE!$A$3:$C$8,2,FALSE),"?"))</f>
        <v/>
      </c>
      <c r="CD93">
        <f>IF($S93="","",UPPER(TRIM(LEFT($S93&amp;",",FIND(",",$S93&amp;",")-1))))</f>
        <v/>
      </c>
      <c r="CE93">
        <f>IF($CD93="","",MID($CD93,4,FIND("~",SUBSTITUTE($CD93,"-","~",2))-4))</f>
        <v/>
      </c>
      <c r="CF93">
        <f>IF($CD93="","",MID($CD93,FIND("~",SUBSTITUTE($CD93,"-","~",2))+1,FIND("~",SUBSTITUTE($CD93,"-","~",3))-FIND("~",SUBSTITUTE($CD93,"-","~",2))-1))</f>
        <v/>
      </c>
      <c r="CG93">
        <f>IF($CE93="","",IFERROR(VLOOKUP($CE93,DECODE!$A$3:$C$8,3,FALSE),"?"))</f>
        <v/>
      </c>
      <c r="CH93">
        <f>IF($CF93="","",IFERROR(VLOOKUP($CE93&amp;"-"&amp;$CF93,DECODE!$E$3:$F$21,2,FALSE),"?"))</f>
        <v/>
      </c>
      <c r="CI93">
        <f>IF($CD93="","",IFERROR(VALUE(RIGHT($CD93,3)),""))</f>
        <v/>
      </c>
      <c r="CJ93">
        <f>IF($Y93="","",IFERROR(IF(ISNUMBER($Y93),$Y93,DATEVALUE(TRIM($Y93))),""))</f>
        <v/>
      </c>
      <c r="CK93">
        <f>IF($CJ93="","",IF(MONTH($CJ93)&gt;=12,"Cold Winter",IF(MONTH($CJ93)&gt;=10,"Post-Monsoon",IF(MONTH($CJ93)&gt;=6,"Hot Humid",IF(MONTH($CJ93)&gt;=3,"Hot Dry","Cold Winter")))))</f>
        <v/>
      </c>
      <c r="CL93">
        <f>IF($CE93="","",IFERROR(VLOOKUP($CE93,DECODE!$A$3:$C$8,2,FALSE),"?"))</f>
        <v/>
      </c>
      <c r="CM93">
        <f>IF($AN93="","",AN93)</f>
        <v/>
      </c>
      <c r="CN93">
        <f>IF($AO93="","",AO93)</f>
        <v/>
      </c>
      <c r="CO93">
        <f>IF($AP93="","",AP93)</f>
        <v/>
      </c>
      <c r="CP93">
        <f>IF($CM93="","",IF($CM93="Aloe Vera Gel","Aloe Vera Gel "&amp;$CO93&amp;"g",CN93&amp;" "&amp;$CO93&amp;"g"))</f>
        <v/>
      </c>
      <c r="CQ93">
        <f>IF($AT93="",0,1)</f>
        <v/>
      </c>
      <c r="CR93">
        <f>IF($CQ93=0,"",AW93)</f>
        <v/>
      </c>
      <c r="CS93">
        <f>IF($CQ93=0,"",AX93)</f>
        <v/>
      </c>
      <c r="CT93">
        <f>IF($CQ93=0,"",AY93)</f>
        <v/>
      </c>
      <c r="CU93">
        <f>IF($CR93="","",IF($CR93="Aloe Vera Gel","Aloe Vera Gel "&amp;$CT93&amp;"g",CS93&amp;" "&amp;$CT93&amp;"g"))</f>
        <v/>
      </c>
      <c r="CV93">
        <f>IF($CQ93=0,"",IF($CP93=$CU93,"Repeat Exact",IF($CT93&gt;$CO93,"Upsized",IF($CT93&lt;$CO93,"Downsized",IF($CM93&lt;&gt;$CR93,"Lateral","Same Size Diff Variant")))))</f>
        <v/>
      </c>
      <c r="CW93">
        <f>IF($CQ93=0,"",AZ93-AQ93)</f>
        <v/>
      </c>
      <c r="CX93">
        <f>IF($CQ93=0,0,IF(CS93=CN93,1,0))</f>
        <v/>
      </c>
      <c r="CY93">
        <f>IF($CQ93=0,0,IF(CR93=CM93,1,0))</f>
        <v/>
      </c>
      <c r="CZ93">
        <f>IF($A93="","",IF(AND(IF(DASHBOARD!$C$4="All",TRUE,$CM93=DASHBOARD!$C$4),IF(DASHBOARD!$C$6="All",TRUE,$CP93=DASHBOARD!$C$6),IF(DASHBOARD!$C$8="All",TRUE,$AF93&gt;=DASHBOARD!$C$8),IF(DASHBOARD!$C$10="All",TRUE,$AF93&lt;=DASHBOARD!$C$10),IF(DASHBOARD!$C$12="All",TRUE,$AH93=VALUE(DASHBOARD!$C$12)),IF(DASHBOARD!$C$14="All",TRUE,$AJ93=DASHBOARD!$C$14)),1,0))</f>
        <v/>
      </c>
    </row>
    <row r="94">
      <c r="A94" t="n">
        <v>50765</v>
      </c>
      <c r="B94" t="inlineStr">
        <is>
          <t>Face Malai</t>
        </is>
      </c>
      <c r="H94" t="inlineStr">
        <is>
          <t>Cocoa Mogra (Overnight) Face Malai - 50g</t>
        </is>
      </c>
      <c r="N94" t="inlineStr">
        <is>
          <t>FC-DM-NR-050</t>
        </is>
      </c>
      <c r="T94" t="inlineStr">
        <is>
          <t>Nov 3, 2025</t>
        </is>
      </c>
      <c r="AE94" t="inlineStr">
        <is>
          <t>Varanasi</t>
        </is>
      </c>
      <c r="AF94" t="inlineStr">
        <is>
          <t>2025-11</t>
        </is>
      </c>
      <c r="AG94" t="n">
        <v>11</v>
      </c>
      <c r="AH94" t="n">
        <v>1</v>
      </c>
      <c r="AI94" t="n">
        <v>0</v>
      </c>
      <c r="AJ94">
        <f>IF($AE94="","",IFERROR(VLOOKUP(TRIM($AE94),DECODE!$H$3:$I$60,2,FALSE),"Rest of India"))</f>
        <v/>
      </c>
      <c r="AK94">
        <f>IF($N94="","",UPPER(TRIM(LEFT($N94&amp;",",FIND(",",$N94&amp;",")-1))))</f>
        <v/>
      </c>
      <c r="AL94">
        <f>IF($AK94="","",MID($AK94,4,FIND("~",SUBSTITUTE($AK94,"-","~",2))-4))</f>
        <v/>
      </c>
      <c r="AM94">
        <f>IF($AK94="","",MID($AK94,FIND("~",SUBSTITUTE($AK94,"-","~",2))+1,FIND("~",SUBSTITUTE($AK94,"-","~",3))-FIND("~",SUBSTITUTE($AK94,"-","~",2))-1))</f>
        <v/>
      </c>
      <c r="AN94">
        <f>IF($AL94="","",IFERROR(VLOOKUP($AL94,DECODE!$A$3:$C$8,3,FALSE),"?"))</f>
        <v/>
      </c>
      <c r="AO94">
        <f>IF($AM94="","",IFERROR(VLOOKUP($AL94&amp;"-"&amp;$AM94,DECODE!$E$3:$F$21,2,FALSE),"?"))</f>
        <v/>
      </c>
      <c r="AP94">
        <f>IF($AK94="","",IFERROR(VALUE(RIGHT($AK94,3)),""))</f>
        <v/>
      </c>
      <c r="AQ94">
        <f>IF($T94="","",IFERROR(IF(ISNUMBER($T94),$T94,DATEVALUE(TRIM($T94))),""))</f>
        <v/>
      </c>
      <c r="AR94">
        <f>IF($AQ94="","",IF(MONTH($AQ94)&gt;=12,"Cold Winter",IF(MONTH($AQ94)&gt;=10,"Post-Monsoon",IF(MONTH($AQ94)&gt;=6,"Hot Humid",IF(MONTH($AQ94)&gt;=3,"Hot Dry","Cold Winter")))))</f>
        <v/>
      </c>
      <c r="AS94">
        <f>IF($AL94="","",IFERROR(VLOOKUP($AL94,DECODE!$A$3:$C$8,2,FALSE),"?"))</f>
        <v/>
      </c>
      <c r="AT94">
        <f>IF($O94="","",UPPER(TRIM(LEFT($O94&amp;",",FIND(",",$O94&amp;",")-1))))</f>
        <v/>
      </c>
      <c r="AU94">
        <f>IF($AT94="","",MID($AT94,4,FIND("~",SUBSTITUTE($AT94,"-","~",2))-4))</f>
        <v/>
      </c>
      <c r="AV94">
        <f>IF($AT94="","",MID($AT94,FIND("~",SUBSTITUTE($AT94,"-","~",2))+1,FIND("~",SUBSTITUTE($AT94,"-","~",3))-FIND("~",SUBSTITUTE($AT94,"-","~",2))-1))</f>
        <v/>
      </c>
      <c r="AW94">
        <f>IF($AU94="","",IFERROR(VLOOKUP($AU94,DECODE!$A$3:$C$8,3,FALSE),"?"))</f>
        <v/>
      </c>
      <c r="AX94">
        <f>IF($AV94="","",IFERROR(VLOOKUP($AU94&amp;"-"&amp;$AV94,DECODE!$E$3:$F$21,2,FALSE),"?"))</f>
        <v/>
      </c>
      <c r="AY94">
        <f>IF($AT94="","",IFERROR(VALUE(RIGHT($AT94,3)),""))</f>
        <v/>
      </c>
      <c r="AZ94">
        <f>IF($U94="","",IFERROR(IF(ISNUMBER($U94),$U94,DATEVALUE(TRIM($U94))),""))</f>
        <v/>
      </c>
      <c r="BA94">
        <f>IF($AZ94="","",IF(MONTH($AZ94)&gt;=12,"Cold Winter",IF(MONTH($AZ94)&gt;=10,"Post-Monsoon",IF(MONTH($AZ94)&gt;=6,"Hot Humid",IF(MONTH($AZ94)&gt;=3,"Hot Dry","Cold Winter")))))</f>
        <v/>
      </c>
      <c r="BB94">
        <f>IF($AU94="","",IFERROR(VLOOKUP($AU94,DECODE!$A$3:$C$8,2,FALSE),"?"))</f>
        <v/>
      </c>
      <c r="BC94">
        <f>IF($P94="","",UPPER(TRIM(LEFT($P94&amp;",",FIND(",",$P94&amp;",")-1))))</f>
        <v/>
      </c>
      <c r="BD94">
        <f>IF($BC94="","",MID($BC94,4,FIND("~",SUBSTITUTE($BC94,"-","~",2))-4))</f>
        <v/>
      </c>
      <c r="BE94">
        <f>IF($BC94="","",MID($BC94,FIND("~",SUBSTITUTE($BC94,"-","~",2))+1,FIND("~",SUBSTITUTE($BC94,"-","~",3))-FIND("~",SUBSTITUTE($BC94,"-","~",2))-1))</f>
        <v/>
      </c>
      <c r="BF94">
        <f>IF($BD94="","",IFERROR(VLOOKUP($BD94,DECODE!$A$3:$C$8,3,FALSE),"?"))</f>
        <v/>
      </c>
      <c r="BG94">
        <f>IF($BE94="","",IFERROR(VLOOKUP($BD94&amp;"-"&amp;$BE94,DECODE!$E$3:$F$21,2,FALSE),"?"))</f>
        <v/>
      </c>
      <c r="BH94">
        <f>IF($BC94="","",IFERROR(VALUE(RIGHT($BC94,3)),""))</f>
        <v/>
      </c>
      <c r="BI94">
        <f>IF($V94="","",IFERROR(IF(ISNUMBER($V94),$V94,DATEVALUE(TRIM($V94))),""))</f>
        <v/>
      </c>
      <c r="BJ94">
        <f>IF($BI94="","",IF(MONTH($BI94)&gt;=12,"Cold Winter",IF(MONTH($BI94)&gt;=10,"Post-Monsoon",IF(MONTH($BI94)&gt;=6,"Hot Humid",IF(MONTH($BI94)&gt;=3,"Hot Dry","Cold Winter")))))</f>
        <v/>
      </c>
      <c r="BK94">
        <f>IF($BD94="","",IFERROR(VLOOKUP($BD94,DECODE!$A$3:$C$8,2,FALSE),"?"))</f>
        <v/>
      </c>
      <c r="BL94">
        <f>IF($Q94="","",UPPER(TRIM(LEFT($Q94&amp;",",FIND(",",$Q94&amp;",")-1))))</f>
        <v/>
      </c>
      <c r="BM94">
        <f>IF($BL94="","",MID($BL94,4,FIND("~",SUBSTITUTE($BL94,"-","~",2))-4))</f>
        <v/>
      </c>
      <c r="BN94">
        <f>IF($BL94="","",MID($BL94,FIND("~",SUBSTITUTE($BL94,"-","~",2))+1,FIND("~",SUBSTITUTE($BL94,"-","~",3))-FIND("~",SUBSTITUTE($BL94,"-","~",2))-1))</f>
        <v/>
      </c>
      <c r="BO94">
        <f>IF($BM94="","",IFERROR(VLOOKUP($BM94,DECODE!$A$3:$C$8,3,FALSE),"?"))</f>
        <v/>
      </c>
      <c r="BP94">
        <f>IF($BN94="","",IFERROR(VLOOKUP($BM94&amp;"-"&amp;$BN94,DECODE!$E$3:$F$21,2,FALSE),"?"))</f>
        <v/>
      </c>
      <c r="BQ94">
        <f>IF($BL94="","",IFERROR(VALUE(RIGHT($BL94,3)),""))</f>
        <v/>
      </c>
      <c r="BR94">
        <f>IF($W94="","",IFERROR(IF(ISNUMBER($W94),$W94,DATEVALUE(TRIM($W94))),""))</f>
        <v/>
      </c>
      <c r="BS94">
        <f>IF($BR94="","",IF(MONTH($BR94)&gt;=12,"Cold Winter",IF(MONTH($BR94)&gt;=10,"Post-Monsoon",IF(MONTH($BR94)&gt;=6,"Hot Humid",IF(MONTH($BR94)&gt;=3,"Hot Dry","Cold Winter")))))</f>
        <v/>
      </c>
      <c r="BT94">
        <f>IF($BM94="","",IFERROR(VLOOKUP($BM94,DECODE!$A$3:$C$8,2,FALSE),"?"))</f>
        <v/>
      </c>
      <c r="BU94">
        <f>IF($R94="","",UPPER(TRIM(LEFT($R94&amp;",",FIND(",",$R94&amp;",")-1))))</f>
        <v/>
      </c>
      <c r="BV94">
        <f>IF($BU94="","",MID($BU94,4,FIND("~",SUBSTITUTE($BU94,"-","~",2))-4))</f>
        <v/>
      </c>
      <c r="BW94">
        <f>IF($BU94="","",MID($BU94,FIND("~",SUBSTITUTE($BU94,"-","~",2))+1,FIND("~",SUBSTITUTE($BU94,"-","~",3))-FIND("~",SUBSTITUTE($BU94,"-","~",2))-1))</f>
        <v/>
      </c>
      <c r="BX94">
        <f>IF($BV94="","",IFERROR(VLOOKUP($BV94,DECODE!$A$3:$C$8,3,FALSE),"?"))</f>
        <v/>
      </c>
      <c r="BY94">
        <f>IF($BW94="","",IFERROR(VLOOKUP($BV94&amp;"-"&amp;$BW94,DECODE!$E$3:$F$21,2,FALSE),"?"))</f>
        <v/>
      </c>
      <c r="BZ94">
        <f>IF($BU94="","",IFERROR(VALUE(RIGHT($BU94,3)),""))</f>
        <v/>
      </c>
      <c r="CA94">
        <f>IF($X94="","",IFERROR(IF(ISNUMBER($X94),$X94,DATEVALUE(TRIM($X94))),""))</f>
        <v/>
      </c>
      <c r="CB94">
        <f>IF($CA94="","",IF(MONTH($CA94)&gt;=12,"Cold Winter",IF(MONTH($CA94)&gt;=10,"Post-Monsoon",IF(MONTH($CA94)&gt;=6,"Hot Humid",IF(MONTH($CA94)&gt;=3,"Hot Dry","Cold Winter")))))</f>
        <v/>
      </c>
      <c r="CC94">
        <f>IF($BV94="","",IFERROR(VLOOKUP($BV94,DECODE!$A$3:$C$8,2,FALSE),"?"))</f>
        <v/>
      </c>
      <c r="CD94">
        <f>IF($S94="","",UPPER(TRIM(LEFT($S94&amp;",",FIND(",",$S94&amp;",")-1))))</f>
        <v/>
      </c>
      <c r="CE94">
        <f>IF($CD94="","",MID($CD94,4,FIND("~",SUBSTITUTE($CD94,"-","~",2))-4))</f>
        <v/>
      </c>
      <c r="CF94">
        <f>IF($CD94="","",MID($CD94,FIND("~",SUBSTITUTE($CD94,"-","~",2))+1,FIND("~",SUBSTITUTE($CD94,"-","~",3))-FIND("~",SUBSTITUTE($CD94,"-","~",2))-1))</f>
        <v/>
      </c>
      <c r="CG94">
        <f>IF($CE94="","",IFERROR(VLOOKUP($CE94,DECODE!$A$3:$C$8,3,FALSE),"?"))</f>
        <v/>
      </c>
      <c r="CH94">
        <f>IF($CF94="","",IFERROR(VLOOKUP($CE94&amp;"-"&amp;$CF94,DECODE!$E$3:$F$21,2,FALSE),"?"))</f>
        <v/>
      </c>
      <c r="CI94">
        <f>IF($CD94="","",IFERROR(VALUE(RIGHT($CD94,3)),""))</f>
        <v/>
      </c>
      <c r="CJ94">
        <f>IF($Y94="","",IFERROR(IF(ISNUMBER($Y94),$Y94,DATEVALUE(TRIM($Y94))),""))</f>
        <v/>
      </c>
      <c r="CK94">
        <f>IF($CJ94="","",IF(MONTH($CJ94)&gt;=12,"Cold Winter",IF(MONTH($CJ94)&gt;=10,"Post-Monsoon",IF(MONTH($CJ94)&gt;=6,"Hot Humid",IF(MONTH($CJ94)&gt;=3,"Hot Dry","Cold Winter")))))</f>
        <v/>
      </c>
      <c r="CL94">
        <f>IF($CE94="","",IFERROR(VLOOKUP($CE94,DECODE!$A$3:$C$8,2,FALSE),"?"))</f>
        <v/>
      </c>
      <c r="CM94">
        <f>IF($AN94="","",AN94)</f>
        <v/>
      </c>
      <c r="CN94">
        <f>IF($AO94="","",AO94)</f>
        <v/>
      </c>
      <c r="CO94">
        <f>IF($AP94="","",AP94)</f>
        <v/>
      </c>
      <c r="CP94">
        <f>IF($CM94="","",IF($CM94="Aloe Vera Gel","Aloe Vera Gel "&amp;$CO94&amp;"g",CN94&amp;" "&amp;$CO94&amp;"g"))</f>
        <v/>
      </c>
      <c r="CQ94">
        <f>IF($AT94="",0,1)</f>
        <v/>
      </c>
      <c r="CR94">
        <f>IF($CQ94=0,"",AW94)</f>
        <v/>
      </c>
      <c r="CS94">
        <f>IF($CQ94=0,"",AX94)</f>
        <v/>
      </c>
      <c r="CT94">
        <f>IF($CQ94=0,"",AY94)</f>
        <v/>
      </c>
      <c r="CU94">
        <f>IF($CR94="","",IF($CR94="Aloe Vera Gel","Aloe Vera Gel "&amp;$CT94&amp;"g",CS94&amp;" "&amp;$CT94&amp;"g"))</f>
        <v/>
      </c>
      <c r="CV94">
        <f>IF($CQ94=0,"",IF($CP94=$CU94,"Repeat Exact",IF($CT94&gt;$CO94,"Upsized",IF($CT94&lt;$CO94,"Downsized",IF($CM94&lt;&gt;$CR94,"Lateral","Same Size Diff Variant")))))</f>
        <v/>
      </c>
      <c r="CW94">
        <f>IF($CQ94=0,"",AZ94-AQ94)</f>
        <v/>
      </c>
      <c r="CX94">
        <f>IF($CQ94=0,0,IF(CS94=CN94,1,0))</f>
        <v/>
      </c>
      <c r="CY94">
        <f>IF($CQ94=0,0,IF(CR94=CM94,1,0))</f>
        <v/>
      </c>
      <c r="CZ94">
        <f>IF($A94="","",IF(AND(IF(DASHBOARD!$C$4="All",TRUE,$CM94=DASHBOARD!$C$4),IF(DASHBOARD!$C$6="All",TRUE,$CP94=DASHBOARD!$C$6),IF(DASHBOARD!$C$8="All",TRUE,$AF94&gt;=DASHBOARD!$C$8),IF(DASHBOARD!$C$10="All",TRUE,$AF94&lt;=DASHBOARD!$C$10),IF(DASHBOARD!$C$12="All",TRUE,$AH94=VALUE(DASHBOARD!$C$12)),IF(DASHBOARD!$C$14="All",TRUE,$AJ94=DASHBOARD!$C$14)),1,0))</f>
        <v/>
      </c>
    </row>
    <row r="95">
      <c r="A95" t="n">
        <v>50816</v>
      </c>
      <c r="B95" t="inlineStr">
        <is>
          <t>Aloe Vera Gel, Face Malai</t>
        </is>
      </c>
      <c r="H95" t="inlineStr">
        <is>
          <t>Aloe Vera Gel - 40 gms, Turmeric Nutmeg (Pigmentation)  Face Malai - 30g</t>
        </is>
      </c>
      <c r="N95" t="inlineStr">
        <is>
          <t>FC-HG-PA-040, FC-DM-PG-030</t>
        </is>
      </c>
      <c r="T95" t="inlineStr">
        <is>
          <t>Oct 31, 2024</t>
        </is>
      </c>
      <c r="AE95" t="inlineStr">
        <is>
          <t>Rohtak</t>
        </is>
      </c>
      <c r="AF95" t="inlineStr">
        <is>
          <t>2024-10</t>
        </is>
      </c>
      <c r="AG95" t="n">
        <v>10</v>
      </c>
      <c r="AH95" t="n">
        <v>1</v>
      </c>
      <c r="AI95" t="n">
        <v>0</v>
      </c>
      <c r="AJ95">
        <f>IF($AE95="","",IFERROR(VLOOKUP(TRIM($AE95),DECODE!$H$3:$I$60,2,FALSE),"Rest of India"))</f>
        <v/>
      </c>
      <c r="AK95">
        <f>IF($N95="","",UPPER(TRIM(LEFT($N95&amp;",",FIND(",",$N95&amp;",")-1))))</f>
        <v/>
      </c>
      <c r="AL95">
        <f>IF($AK95="","",MID($AK95,4,FIND("~",SUBSTITUTE($AK95,"-","~",2))-4))</f>
        <v/>
      </c>
      <c r="AM95">
        <f>IF($AK95="","",MID($AK95,FIND("~",SUBSTITUTE($AK95,"-","~",2))+1,FIND("~",SUBSTITUTE($AK95,"-","~",3))-FIND("~",SUBSTITUTE($AK95,"-","~",2))-1))</f>
        <v/>
      </c>
      <c r="AN95">
        <f>IF($AL95="","",IFERROR(VLOOKUP($AL95,DECODE!$A$3:$C$8,3,FALSE),"?"))</f>
        <v/>
      </c>
      <c r="AO95">
        <f>IF($AM95="","",IFERROR(VLOOKUP($AL95&amp;"-"&amp;$AM95,DECODE!$E$3:$F$21,2,FALSE),"?"))</f>
        <v/>
      </c>
      <c r="AP95">
        <f>IF($AK95="","",IFERROR(VALUE(RIGHT($AK95,3)),""))</f>
        <v/>
      </c>
      <c r="AQ95">
        <f>IF($T95="","",IFERROR(IF(ISNUMBER($T95),$T95,DATEVALUE(TRIM($T95))),""))</f>
        <v/>
      </c>
      <c r="AR95">
        <f>IF($AQ95="","",IF(MONTH($AQ95)&gt;=12,"Cold Winter",IF(MONTH($AQ95)&gt;=10,"Post-Monsoon",IF(MONTH($AQ95)&gt;=6,"Hot Humid",IF(MONTH($AQ95)&gt;=3,"Hot Dry","Cold Winter")))))</f>
        <v/>
      </c>
      <c r="AS95">
        <f>IF($AL95="","",IFERROR(VLOOKUP($AL95,DECODE!$A$3:$C$8,2,FALSE),"?"))</f>
        <v/>
      </c>
      <c r="AT95">
        <f>IF($O95="","",UPPER(TRIM(LEFT($O95&amp;",",FIND(",",$O95&amp;",")-1))))</f>
        <v/>
      </c>
      <c r="AU95">
        <f>IF($AT95="","",MID($AT95,4,FIND("~",SUBSTITUTE($AT95,"-","~",2))-4))</f>
        <v/>
      </c>
      <c r="AV95">
        <f>IF($AT95="","",MID($AT95,FIND("~",SUBSTITUTE($AT95,"-","~",2))+1,FIND("~",SUBSTITUTE($AT95,"-","~",3))-FIND("~",SUBSTITUTE($AT95,"-","~",2))-1))</f>
        <v/>
      </c>
      <c r="AW95">
        <f>IF($AU95="","",IFERROR(VLOOKUP($AU95,DECODE!$A$3:$C$8,3,FALSE),"?"))</f>
        <v/>
      </c>
      <c r="AX95">
        <f>IF($AV95="","",IFERROR(VLOOKUP($AU95&amp;"-"&amp;$AV95,DECODE!$E$3:$F$21,2,FALSE),"?"))</f>
        <v/>
      </c>
      <c r="AY95">
        <f>IF($AT95="","",IFERROR(VALUE(RIGHT($AT95,3)),""))</f>
        <v/>
      </c>
      <c r="AZ95">
        <f>IF($U95="","",IFERROR(IF(ISNUMBER($U95),$U95,DATEVALUE(TRIM($U95))),""))</f>
        <v/>
      </c>
      <c r="BA95">
        <f>IF($AZ95="","",IF(MONTH($AZ95)&gt;=12,"Cold Winter",IF(MONTH($AZ95)&gt;=10,"Post-Monsoon",IF(MONTH($AZ95)&gt;=6,"Hot Humid",IF(MONTH($AZ95)&gt;=3,"Hot Dry","Cold Winter")))))</f>
        <v/>
      </c>
      <c r="BB95">
        <f>IF($AU95="","",IFERROR(VLOOKUP($AU95,DECODE!$A$3:$C$8,2,FALSE),"?"))</f>
        <v/>
      </c>
      <c r="BC95">
        <f>IF($P95="","",UPPER(TRIM(LEFT($P95&amp;",",FIND(",",$P95&amp;",")-1))))</f>
        <v/>
      </c>
      <c r="BD95">
        <f>IF($BC95="","",MID($BC95,4,FIND("~",SUBSTITUTE($BC95,"-","~",2))-4))</f>
        <v/>
      </c>
      <c r="BE95">
        <f>IF($BC95="","",MID($BC95,FIND("~",SUBSTITUTE($BC95,"-","~",2))+1,FIND("~",SUBSTITUTE($BC95,"-","~",3))-FIND("~",SUBSTITUTE($BC95,"-","~",2))-1))</f>
        <v/>
      </c>
      <c r="BF95">
        <f>IF($BD95="","",IFERROR(VLOOKUP($BD95,DECODE!$A$3:$C$8,3,FALSE),"?"))</f>
        <v/>
      </c>
      <c r="BG95">
        <f>IF($BE95="","",IFERROR(VLOOKUP($BD95&amp;"-"&amp;$BE95,DECODE!$E$3:$F$21,2,FALSE),"?"))</f>
        <v/>
      </c>
      <c r="BH95">
        <f>IF($BC95="","",IFERROR(VALUE(RIGHT($BC95,3)),""))</f>
        <v/>
      </c>
      <c r="BI95">
        <f>IF($V95="","",IFERROR(IF(ISNUMBER($V95),$V95,DATEVALUE(TRIM($V95))),""))</f>
        <v/>
      </c>
      <c r="BJ95">
        <f>IF($BI95="","",IF(MONTH($BI95)&gt;=12,"Cold Winter",IF(MONTH($BI95)&gt;=10,"Post-Monsoon",IF(MONTH($BI95)&gt;=6,"Hot Humid",IF(MONTH($BI95)&gt;=3,"Hot Dry","Cold Winter")))))</f>
        <v/>
      </c>
      <c r="BK95">
        <f>IF($BD95="","",IFERROR(VLOOKUP($BD95,DECODE!$A$3:$C$8,2,FALSE),"?"))</f>
        <v/>
      </c>
      <c r="BL95">
        <f>IF($Q95="","",UPPER(TRIM(LEFT($Q95&amp;",",FIND(",",$Q95&amp;",")-1))))</f>
        <v/>
      </c>
      <c r="BM95">
        <f>IF($BL95="","",MID($BL95,4,FIND("~",SUBSTITUTE($BL95,"-","~",2))-4))</f>
        <v/>
      </c>
      <c r="BN95">
        <f>IF($BL95="","",MID($BL95,FIND("~",SUBSTITUTE($BL95,"-","~",2))+1,FIND("~",SUBSTITUTE($BL95,"-","~",3))-FIND("~",SUBSTITUTE($BL95,"-","~",2))-1))</f>
        <v/>
      </c>
      <c r="BO95">
        <f>IF($BM95="","",IFERROR(VLOOKUP($BM95,DECODE!$A$3:$C$8,3,FALSE),"?"))</f>
        <v/>
      </c>
      <c r="BP95">
        <f>IF($BN95="","",IFERROR(VLOOKUP($BM95&amp;"-"&amp;$BN95,DECODE!$E$3:$F$21,2,FALSE),"?"))</f>
        <v/>
      </c>
      <c r="BQ95">
        <f>IF($BL95="","",IFERROR(VALUE(RIGHT($BL95,3)),""))</f>
        <v/>
      </c>
      <c r="BR95">
        <f>IF($W95="","",IFERROR(IF(ISNUMBER($W95),$W95,DATEVALUE(TRIM($W95))),""))</f>
        <v/>
      </c>
      <c r="BS95">
        <f>IF($BR95="","",IF(MONTH($BR95)&gt;=12,"Cold Winter",IF(MONTH($BR95)&gt;=10,"Post-Monsoon",IF(MONTH($BR95)&gt;=6,"Hot Humid",IF(MONTH($BR95)&gt;=3,"Hot Dry","Cold Winter")))))</f>
        <v/>
      </c>
      <c r="BT95">
        <f>IF($BM95="","",IFERROR(VLOOKUP($BM95,DECODE!$A$3:$C$8,2,FALSE),"?"))</f>
        <v/>
      </c>
      <c r="BU95">
        <f>IF($R95="","",UPPER(TRIM(LEFT($R95&amp;",",FIND(",",$R95&amp;",")-1))))</f>
        <v/>
      </c>
      <c r="BV95">
        <f>IF($BU95="","",MID($BU95,4,FIND("~",SUBSTITUTE($BU95,"-","~",2))-4))</f>
        <v/>
      </c>
      <c r="BW95">
        <f>IF($BU95="","",MID($BU95,FIND("~",SUBSTITUTE($BU95,"-","~",2))+1,FIND("~",SUBSTITUTE($BU95,"-","~",3))-FIND("~",SUBSTITUTE($BU95,"-","~",2))-1))</f>
        <v/>
      </c>
      <c r="BX95">
        <f>IF($BV95="","",IFERROR(VLOOKUP($BV95,DECODE!$A$3:$C$8,3,FALSE),"?"))</f>
        <v/>
      </c>
      <c r="BY95">
        <f>IF($BW95="","",IFERROR(VLOOKUP($BV95&amp;"-"&amp;$BW95,DECODE!$E$3:$F$21,2,FALSE),"?"))</f>
        <v/>
      </c>
      <c r="BZ95">
        <f>IF($BU95="","",IFERROR(VALUE(RIGHT($BU95,3)),""))</f>
        <v/>
      </c>
      <c r="CA95">
        <f>IF($X95="","",IFERROR(IF(ISNUMBER($X95),$X95,DATEVALUE(TRIM($X95))),""))</f>
        <v/>
      </c>
      <c r="CB95">
        <f>IF($CA95="","",IF(MONTH($CA95)&gt;=12,"Cold Winter",IF(MONTH($CA95)&gt;=10,"Post-Monsoon",IF(MONTH($CA95)&gt;=6,"Hot Humid",IF(MONTH($CA95)&gt;=3,"Hot Dry","Cold Winter")))))</f>
        <v/>
      </c>
      <c r="CC95">
        <f>IF($BV95="","",IFERROR(VLOOKUP($BV95,DECODE!$A$3:$C$8,2,FALSE),"?"))</f>
        <v/>
      </c>
      <c r="CD95">
        <f>IF($S95="","",UPPER(TRIM(LEFT($S95&amp;",",FIND(",",$S95&amp;",")-1))))</f>
        <v/>
      </c>
      <c r="CE95">
        <f>IF($CD95="","",MID($CD95,4,FIND("~",SUBSTITUTE($CD95,"-","~",2))-4))</f>
        <v/>
      </c>
      <c r="CF95">
        <f>IF($CD95="","",MID($CD95,FIND("~",SUBSTITUTE($CD95,"-","~",2))+1,FIND("~",SUBSTITUTE($CD95,"-","~",3))-FIND("~",SUBSTITUTE($CD95,"-","~",2))-1))</f>
        <v/>
      </c>
      <c r="CG95">
        <f>IF($CE95="","",IFERROR(VLOOKUP($CE95,DECODE!$A$3:$C$8,3,FALSE),"?"))</f>
        <v/>
      </c>
      <c r="CH95">
        <f>IF($CF95="","",IFERROR(VLOOKUP($CE95&amp;"-"&amp;$CF95,DECODE!$E$3:$F$21,2,FALSE),"?"))</f>
        <v/>
      </c>
      <c r="CI95">
        <f>IF($CD95="","",IFERROR(VALUE(RIGHT($CD95,3)),""))</f>
        <v/>
      </c>
      <c r="CJ95">
        <f>IF($Y95="","",IFERROR(IF(ISNUMBER($Y95),$Y95,DATEVALUE(TRIM($Y95))),""))</f>
        <v/>
      </c>
      <c r="CK95">
        <f>IF($CJ95="","",IF(MONTH($CJ95)&gt;=12,"Cold Winter",IF(MONTH($CJ95)&gt;=10,"Post-Monsoon",IF(MONTH($CJ95)&gt;=6,"Hot Humid",IF(MONTH($CJ95)&gt;=3,"Hot Dry","Cold Winter")))))</f>
        <v/>
      </c>
      <c r="CL95">
        <f>IF($CE95="","",IFERROR(VLOOKUP($CE95,DECODE!$A$3:$C$8,2,FALSE),"?"))</f>
        <v/>
      </c>
      <c r="CM95">
        <f>IF($AN95="","",AN95)</f>
        <v/>
      </c>
      <c r="CN95">
        <f>IF($AO95="","",AO95)</f>
        <v/>
      </c>
      <c r="CO95">
        <f>IF($AP95="","",AP95)</f>
        <v/>
      </c>
      <c r="CP95">
        <f>IF($CM95="","",IF($CM95="Aloe Vera Gel","Aloe Vera Gel "&amp;$CO95&amp;"g",CN95&amp;" "&amp;$CO95&amp;"g"))</f>
        <v/>
      </c>
      <c r="CQ95">
        <f>IF($AT95="",0,1)</f>
        <v/>
      </c>
      <c r="CR95">
        <f>IF($CQ95=0,"",AW95)</f>
        <v/>
      </c>
      <c r="CS95">
        <f>IF($CQ95=0,"",AX95)</f>
        <v/>
      </c>
      <c r="CT95">
        <f>IF($CQ95=0,"",AY95)</f>
        <v/>
      </c>
      <c r="CU95">
        <f>IF($CR95="","",IF($CR95="Aloe Vera Gel","Aloe Vera Gel "&amp;$CT95&amp;"g",CS95&amp;" "&amp;$CT95&amp;"g"))</f>
        <v/>
      </c>
      <c r="CV95">
        <f>IF($CQ95=0,"",IF($CP95=$CU95,"Repeat Exact",IF($CT95&gt;$CO95,"Upsized",IF($CT95&lt;$CO95,"Downsized",IF($CM95&lt;&gt;$CR95,"Lateral","Same Size Diff Variant")))))</f>
        <v/>
      </c>
      <c r="CW95">
        <f>IF($CQ95=0,"",AZ95-AQ95)</f>
        <v/>
      </c>
      <c r="CX95">
        <f>IF($CQ95=0,0,IF(CS95=CN95,1,0))</f>
        <v/>
      </c>
      <c r="CY95">
        <f>IF($CQ95=0,0,IF(CR95=CM95,1,0))</f>
        <v/>
      </c>
      <c r="CZ95">
        <f>IF($A95="","",IF(AND(IF(DASHBOARD!$C$4="All",TRUE,$CM95=DASHBOARD!$C$4),IF(DASHBOARD!$C$6="All",TRUE,$CP95=DASHBOARD!$C$6),IF(DASHBOARD!$C$8="All",TRUE,$AF95&gt;=DASHBOARD!$C$8),IF(DASHBOARD!$C$10="All",TRUE,$AF95&lt;=DASHBOARD!$C$10),IF(DASHBOARD!$C$12="All",TRUE,$AH95=VALUE(DASHBOARD!$C$12)),IF(DASHBOARD!$C$14="All",TRUE,$AJ95=DASHBOARD!$C$14)),1,0))</f>
        <v/>
      </c>
    </row>
    <row r="96">
      <c r="A96" t="n">
        <v>50883</v>
      </c>
      <c r="B96" t="inlineStr">
        <is>
          <t>Aloe Vera Gel</t>
        </is>
      </c>
      <c r="H96" t="inlineStr">
        <is>
          <t>Aloe Vera Gel - 40 gms</t>
        </is>
      </c>
      <c r="N96" t="inlineStr">
        <is>
          <t>FC-HG-PA-040</t>
        </is>
      </c>
      <c r="T96" t="inlineStr">
        <is>
          <t>Jan 19, 2024</t>
        </is>
      </c>
      <c r="AE96" t="inlineStr">
        <is>
          <t>Gautam Buddha Nagar</t>
        </is>
      </c>
      <c r="AF96" t="inlineStr">
        <is>
          <t>2024-01</t>
        </is>
      </c>
      <c r="AG96" t="n">
        <v>1</v>
      </c>
      <c r="AH96" t="n">
        <v>1</v>
      </c>
      <c r="AI96" t="n">
        <v>0</v>
      </c>
      <c r="AJ96">
        <f>IF($AE96="","",IFERROR(VLOOKUP(TRIM($AE96),DECODE!$H$3:$I$60,2,FALSE),"Rest of India"))</f>
        <v/>
      </c>
      <c r="AK96">
        <f>IF($N96="","",UPPER(TRIM(LEFT($N96&amp;",",FIND(",",$N96&amp;",")-1))))</f>
        <v/>
      </c>
      <c r="AL96">
        <f>IF($AK96="","",MID($AK96,4,FIND("~",SUBSTITUTE($AK96,"-","~",2))-4))</f>
        <v/>
      </c>
      <c r="AM96">
        <f>IF($AK96="","",MID($AK96,FIND("~",SUBSTITUTE($AK96,"-","~",2))+1,FIND("~",SUBSTITUTE($AK96,"-","~",3))-FIND("~",SUBSTITUTE($AK96,"-","~",2))-1))</f>
        <v/>
      </c>
      <c r="AN96">
        <f>IF($AL96="","",IFERROR(VLOOKUP($AL96,DECODE!$A$3:$C$8,3,FALSE),"?"))</f>
        <v/>
      </c>
      <c r="AO96">
        <f>IF($AM96="","",IFERROR(VLOOKUP($AL96&amp;"-"&amp;$AM96,DECODE!$E$3:$F$21,2,FALSE),"?"))</f>
        <v/>
      </c>
      <c r="AP96">
        <f>IF($AK96="","",IFERROR(VALUE(RIGHT($AK96,3)),""))</f>
        <v/>
      </c>
      <c r="AQ96">
        <f>IF($T96="","",IFERROR(IF(ISNUMBER($T96),$T96,DATEVALUE(TRIM($T96))),""))</f>
        <v/>
      </c>
      <c r="AR96">
        <f>IF($AQ96="","",IF(MONTH($AQ96)&gt;=12,"Cold Winter",IF(MONTH($AQ96)&gt;=10,"Post-Monsoon",IF(MONTH($AQ96)&gt;=6,"Hot Humid",IF(MONTH($AQ96)&gt;=3,"Hot Dry","Cold Winter")))))</f>
        <v/>
      </c>
      <c r="AS96">
        <f>IF($AL96="","",IFERROR(VLOOKUP($AL96,DECODE!$A$3:$C$8,2,FALSE),"?"))</f>
        <v/>
      </c>
      <c r="AT96">
        <f>IF($O96="","",UPPER(TRIM(LEFT($O96&amp;",",FIND(",",$O96&amp;",")-1))))</f>
        <v/>
      </c>
      <c r="AU96">
        <f>IF($AT96="","",MID($AT96,4,FIND("~",SUBSTITUTE($AT96,"-","~",2))-4))</f>
        <v/>
      </c>
      <c r="AV96">
        <f>IF($AT96="","",MID($AT96,FIND("~",SUBSTITUTE($AT96,"-","~",2))+1,FIND("~",SUBSTITUTE($AT96,"-","~",3))-FIND("~",SUBSTITUTE($AT96,"-","~",2))-1))</f>
        <v/>
      </c>
      <c r="AW96">
        <f>IF($AU96="","",IFERROR(VLOOKUP($AU96,DECODE!$A$3:$C$8,3,FALSE),"?"))</f>
        <v/>
      </c>
      <c r="AX96">
        <f>IF($AV96="","",IFERROR(VLOOKUP($AU96&amp;"-"&amp;$AV96,DECODE!$E$3:$F$21,2,FALSE),"?"))</f>
        <v/>
      </c>
      <c r="AY96">
        <f>IF($AT96="","",IFERROR(VALUE(RIGHT($AT96,3)),""))</f>
        <v/>
      </c>
      <c r="AZ96">
        <f>IF($U96="","",IFERROR(IF(ISNUMBER($U96),$U96,DATEVALUE(TRIM($U96))),""))</f>
        <v/>
      </c>
      <c r="BA96">
        <f>IF($AZ96="","",IF(MONTH($AZ96)&gt;=12,"Cold Winter",IF(MONTH($AZ96)&gt;=10,"Post-Monsoon",IF(MONTH($AZ96)&gt;=6,"Hot Humid",IF(MONTH($AZ96)&gt;=3,"Hot Dry","Cold Winter")))))</f>
        <v/>
      </c>
      <c r="BB96">
        <f>IF($AU96="","",IFERROR(VLOOKUP($AU96,DECODE!$A$3:$C$8,2,FALSE),"?"))</f>
        <v/>
      </c>
      <c r="BC96">
        <f>IF($P96="","",UPPER(TRIM(LEFT($P96&amp;",",FIND(",",$P96&amp;",")-1))))</f>
        <v/>
      </c>
      <c r="BD96">
        <f>IF($BC96="","",MID($BC96,4,FIND("~",SUBSTITUTE($BC96,"-","~",2))-4))</f>
        <v/>
      </c>
      <c r="BE96">
        <f>IF($BC96="","",MID($BC96,FIND("~",SUBSTITUTE($BC96,"-","~",2))+1,FIND("~",SUBSTITUTE($BC96,"-","~",3))-FIND("~",SUBSTITUTE($BC96,"-","~",2))-1))</f>
        <v/>
      </c>
      <c r="BF96">
        <f>IF($BD96="","",IFERROR(VLOOKUP($BD96,DECODE!$A$3:$C$8,3,FALSE),"?"))</f>
        <v/>
      </c>
      <c r="BG96">
        <f>IF($BE96="","",IFERROR(VLOOKUP($BD96&amp;"-"&amp;$BE96,DECODE!$E$3:$F$21,2,FALSE),"?"))</f>
        <v/>
      </c>
      <c r="BH96">
        <f>IF($BC96="","",IFERROR(VALUE(RIGHT($BC96,3)),""))</f>
        <v/>
      </c>
      <c r="BI96">
        <f>IF($V96="","",IFERROR(IF(ISNUMBER($V96),$V96,DATEVALUE(TRIM($V96))),""))</f>
        <v/>
      </c>
      <c r="BJ96">
        <f>IF($BI96="","",IF(MONTH($BI96)&gt;=12,"Cold Winter",IF(MONTH($BI96)&gt;=10,"Post-Monsoon",IF(MONTH($BI96)&gt;=6,"Hot Humid",IF(MONTH($BI96)&gt;=3,"Hot Dry","Cold Winter")))))</f>
        <v/>
      </c>
      <c r="BK96">
        <f>IF($BD96="","",IFERROR(VLOOKUP($BD96,DECODE!$A$3:$C$8,2,FALSE),"?"))</f>
        <v/>
      </c>
      <c r="BL96">
        <f>IF($Q96="","",UPPER(TRIM(LEFT($Q96&amp;",",FIND(",",$Q96&amp;",")-1))))</f>
        <v/>
      </c>
      <c r="BM96">
        <f>IF($BL96="","",MID($BL96,4,FIND("~",SUBSTITUTE($BL96,"-","~",2))-4))</f>
        <v/>
      </c>
      <c r="BN96">
        <f>IF($BL96="","",MID($BL96,FIND("~",SUBSTITUTE($BL96,"-","~",2))+1,FIND("~",SUBSTITUTE($BL96,"-","~",3))-FIND("~",SUBSTITUTE($BL96,"-","~",2))-1))</f>
        <v/>
      </c>
      <c r="BO96">
        <f>IF($BM96="","",IFERROR(VLOOKUP($BM96,DECODE!$A$3:$C$8,3,FALSE),"?"))</f>
        <v/>
      </c>
      <c r="BP96">
        <f>IF($BN96="","",IFERROR(VLOOKUP($BM96&amp;"-"&amp;$BN96,DECODE!$E$3:$F$21,2,FALSE),"?"))</f>
        <v/>
      </c>
      <c r="BQ96">
        <f>IF($BL96="","",IFERROR(VALUE(RIGHT($BL96,3)),""))</f>
        <v/>
      </c>
      <c r="BR96">
        <f>IF($W96="","",IFERROR(IF(ISNUMBER($W96),$W96,DATEVALUE(TRIM($W96))),""))</f>
        <v/>
      </c>
      <c r="BS96">
        <f>IF($BR96="","",IF(MONTH($BR96)&gt;=12,"Cold Winter",IF(MONTH($BR96)&gt;=10,"Post-Monsoon",IF(MONTH($BR96)&gt;=6,"Hot Humid",IF(MONTH($BR96)&gt;=3,"Hot Dry","Cold Winter")))))</f>
        <v/>
      </c>
      <c r="BT96">
        <f>IF($BM96="","",IFERROR(VLOOKUP($BM96,DECODE!$A$3:$C$8,2,FALSE),"?"))</f>
        <v/>
      </c>
      <c r="BU96">
        <f>IF($R96="","",UPPER(TRIM(LEFT($R96&amp;",",FIND(",",$R96&amp;",")-1))))</f>
        <v/>
      </c>
      <c r="BV96">
        <f>IF($BU96="","",MID($BU96,4,FIND("~",SUBSTITUTE($BU96,"-","~",2))-4))</f>
        <v/>
      </c>
      <c r="BW96">
        <f>IF($BU96="","",MID($BU96,FIND("~",SUBSTITUTE($BU96,"-","~",2))+1,FIND("~",SUBSTITUTE($BU96,"-","~",3))-FIND("~",SUBSTITUTE($BU96,"-","~",2))-1))</f>
        <v/>
      </c>
      <c r="BX96">
        <f>IF($BV96="","",IFERROR(VLOOKUP($BV96,DECODE!$A$3:$C$8,3,FALSE),"?"))</f>
        <v/>
      </c>
      <c r="BY96">
        <f>IF($BW96="","",IFERROR(VLOOKUP($BV96&amp;"-"&amp;$BW96,DECODE!$E$3:$F$21,2,FALSE),"?"))</f>
        <v/>
      </c>
      <c r="BZ96">
        <f>IF($BU96="","",IFERROR(VALUE(RIGHT($BU96,3)),""))</f>
        <v/>
      </c>
      <c r="CA96">
        <f>IF($X96="","",IFERROR(IF(ISNUMBER($X96),$X96,DATEVALUE(TRIM($X96))),""))</f>
        <v/>
      </c>
      <c r="CB96">
        <f>IF($CA96="","",IF(MONTH($CA96)&gt;=12,"Cold Winter",IF(MONTH($CA96)&gt;=10,"Post-Monsoon",IF(MONTH($CA96)&gt;=6,"Hot Humid",IF(MONTH($CA96)&gt;=3,"Hot Dry","Cold Winter")))))</f>
        <v/>
      </c>
      <c r="CC96">
        <f>IF($BV96="","",IFERROR(VLOOKUP($BV96,DECODE!$A$3:$C$8,2,FALSE),"?"))</f>
        <v/>
      </c>
      <c r="CD96">
        <f>IF($S96="","",UPPER(TRIM(LEFT($S96&amp;",",FIND(",",$S96&amp;",")-1))))</f>
        <v/>
      </c>
      <c r="CE96">
        <f>IF($CD96="","",MID($CD96,4,FIND("~",SUBSTITUTE($CD96,"-","~",2))-4))</f>
        <v/>
      </c>
      <c r="CF96">
        <f>IF($CD96="","",MID($CD96,FIND("~",SUBSTITUTE($CD96,"-","~",2))+1,FIND("~",SUBSTITUTE($CD96,"-","~",3))-FIND("~",SUBSTITUTE($CD96,"-","~",2))-1))</f>
        <v/>
      </c>
      <c r="CG96">
        <f>IF($CE96="","",IFERROR(VLOOKUP($CE96,DECODE!$A$3:$C$8,3,FALSE),"?"))</f>
        <v/>
      </c>
      <c r="CH96">
        <f>IF($CF96="","",IFERROR(VLOOKUP($CE96&amp;"-"&amp;$CF96,DECODE!$E$3:$F$21,2,FALSE),"?"))</f>
        <v/>
      </c>
      <c r="CI96">
        <f>IF($CD96="","",IFERROR(VALUE(RIGHT($CD96,3)),""))</f>
        <v/>
      </c>
      <c r="CJ96">
        <f>IF($Y96="","",IFERROR(IF(ISNUMBER($Y96),$Y96,DATEVALUE(TRIM($Y96))),""))</f>
        <v/>
      </c>
      <c r="CK96">
        <f>IF($CJ96="","",IF(MONTH($CJ96)&gt;=12,"Cold Winter",IF(MONTH($CJ96)&gt;=10,"Post-Monsoon",IF(MONTH($CJ96)&gt;=6,"Hot Humid",IF(MONTH($CJ96)&gt;=3,"Hot Dry","Cold Winter")))))</f>
        <v/>
      </c>
      <c r="CL96">
        <f>IF($CE96="","",IFERROR(VLOOKUP($CE96,DECODE!$A$3:$C$8,2,FALSE),"?"))</f>
        <v/>
      </c>
      <c r="CM96">
        <f>IF($AN96="","",AN96)</f>
        <v/>
      </c>
      <c r="CN96">
        <f>IF($AO96="","",AO96)</f>
        <v/>
      </c>
      <c r="CO96">
        <f>IF($AP96="","",AP96)</f>
        <v/>
      </c>
      <c r="CP96">
        <f>IF($CM96="","",IF($CM96="Aloe Vera Gel","Aloe Vera Gel "&amp;$CO96&amp;"g",CN96&amp;" "&amp;$CO96&amp;"g"))</f>
        <v/>
      </c>
      <c r="CQ96">
        <f>IF($AT96="",0,1)</f>
        <v/>
      </c>
      <c r="CR96">
        <f>IF($CQ96=0,"",AW96)</f>
        <v/>
      </c>
      <c r="CS96">
        <f>IF($CQ96=0,"",AX96)</f>
        <v/>
      </c>
      <c r="CT96">
        <f>IF($CQ96=0,"",AY96)</f>
        <v/>
      </c>
      <c r="CU96">
        <f>IF($CR96="","",IF($CR96="Aloe Vera Gel","Aloe Vera Gel "&amp;$CT96&amp;"g",CS96&amp;" "&amp;$CT96&amp;"g"))</f>
        <v/>
      </c>
      <c r="CV96">
        <f>IF($CQ96=0,"",IF($CP96=$CU96,"Repeat Exact",IF($CT96&gt;$CO96,"Upsized",IF($CT96&lt;$CO96,"Downsized",IF($CM96&lt;&gt;$CR96,"Lateral","Same Size Diff Variant")))))</f>
        <v/>
      </c>
      <c r="CW96">
        <f>IF($CQ96=0,"",AZ96-AQ96)</f>
        <v/>
      </c>
      <c r="CX96">
        <f>IF($CQ96=0,0,IF(CS96=CN96,1,0))</f>
        <v/>
      </c>
      <c r="CY96">
        <f>IF($CQ96=0,0,IF(CR96=CM96,1,0))</f>
        <v/>
      </c>
      <c r="CZ96">
        <f>IF($A96="","",IF(AND(IF(DASHBOARD!$C$4="All",TRUE,$CM96=DASHBOARD!$C$4),IF(DASHBOARD!$C$6="All",TRUE,$CP96=DASHBOARD!$C$6),IF(DASHBOARD!$C$8="All",TRUE,$AF96&gt;=DASHBOARD!$C$8),IF(DASHBOARD!$C$10="All",TRUE,$AF96&lt;=DASHBOARD!$C$10),IF(DASHBOARD!$C$12="All",TRUE,$AH96=VALUE(DASHBOARD!$C$12)),IF(DASHBOARD!$C$14="All",TRUE,$AJ96=DASHBOARD!$C$14)),1,0))</f>
        <v/>
      </c>
    </row>
    <row r="97">
      <c r="A97" t="n">
        <v>50964</v>
      </c>
      <c r="B97" t="inlineStr">
        <is>
          <t>Face Malai</t>
        </is>
      </c>
      <c r="C97" t="inlineStr">
        <is>
          <t>Face Malai</t>
        </is>
      </c>
      <c r="H97" t="inlineStr">
        <is>
          <t>Tomato Patchouli (Cold) 20 - 35 Yrs Face Malai</t>
        </is>
      </c>
      <c r="I97" t="inlineStr">
        <is>
          <t>Tomato Patchouli (Cold) 20 - 35 Yrs Face Malai</t>
        </is>
      </c>
      <c r="N97" t="inlineStr">
        <is>
          <t>FC-CWDM-TP-030</t>
        </is>
      </c>
      <c r="O97" t="inlineStr">
        <is>
          <t>FC-CWDM-TP-030</t>
        </is>
      </c>
      <c r="T97" t="inlineStr">
        <is>
          <t>Jan 5, 2026</t>
        </is>
      </c>
      <c r="U97" t="inlineStr">
        <is>
          <t>Mar 24, 2026</t>
        </is>
      </c>
      <c r="Z97" t="n">
        <v>78</v>
      </c>
      <c r="AE97" t="inlineStr">
        <is>
          <t>Meerut</t>
        </is>
      </c>
      <c r="AF97" t="inlineStr">
        <is>
          <t>2026-01</t>
        </is>
      </c>
      <c r="AG97" t="n">
        <v>1</v>
      </c>
      <c r="AH97" t="n">
        <v>2</v>
      </c>
      <c r="AI97" t="n">
        <v>1</v>
      </c>
      <c r="AJ97">
        <f>IF($AE97="","",IFERROR(VLOOKUP(TRIM($AE97),DECODE!$H$3:$I$60,2,FALSE),"Rest of India"))</f>
        <v/>
      </c>
      <c r="AK97">
        <f>IF($N97="","",UPPER(TRIM(LEFT($N97&amp;",",FIND(",",$N97&amp;",")-1))))</f>
        <v/>
      </c>
      <c r="AL97">
        <f>IF($AK97="","",MID($AK97,4,FIND("~",SUBSTITUTE($AK97,"-","~",2))-4))</f>
        <v/>
      </c>
      <c r="AM97">
        <f>IF($AK97="","",MID($AK97,FIND("~",SUBSTITUTE($AK97,"-","~",2))+1,FIND("~",SUBSTITUTE($AK97,"-","~",3))-FIND("~",SUBSTITUTE($AK97,"-","~",2))-1))</f>
        <v/>
      </c>
      <c r="AN97">
        <f>IF($AL97="","",IFERROR(VLOOKUP($AL97,DECODE!$A$3:$C$8,3,FALSE),"?"))</f>
        <v/>
      </c>
      <c r="AO97">
        <f>IF($AM97="","",IFERROR(VLOOKUP($AL97&amp;"-"&amp;$AM97,DECODE!$E$3:$F$21,2,FALSE),"?"))</f>
        <v/>
      </c>
      <c r="AP97">
        <f>IF($AK97="","",IFERROR(VALUE(RIGHT($AK97,3)),""))</f>
        <v/>
      </c>
      <c r="AQ97">
        <f>IF($T97="","",IFERROR(IF(ISNUMBER($T97),$T97,DATEVALUE(TRIM($T97))),""))</f>
        <v/>
      </c>
      <c r="AR97">
        <f>IF($AQ97="","",IF(MONTH($AQ97)&gt;=12,"Cold Winter",IF(MONTH($AQ97)&gt;=10,"Post-Monsoon",IF(MONTH($AQ97)&gt;=6,"Hot Humid",IF(MONTH($AQ97)&gt;=3,"Hot Dry","Cold Winter")))))</f>
        <v/>
      </c>
      <c r="AS97">
        <f>IF($AL97="","",IFERROR(VLOOKUP($AL97,DECODE!$A$3:$C$8,2,FALSE),"?"))</f>
        <v/>
      </c>
      <c r="AT97">
        <f>IF($O97="","",UPPER(TRIM(LEFT($O97&amp;",",FIND(",",$O97&amp;",")-1))))</f>
        <v/>
      </c>
      <c r="AU97">
        <f>IF($AT97="","",MID($AT97,4,FIND("~",SUBSTITUTE($AT97,"-","~",2))-4))</f>
        <v/>
      </c>
      <c r="AV97">
        <f>IF($AT97="","",MID($AT97,FIND("~",SUBSTITUTE($AT97,"-","~",2))+1,FIND("~",SUBSTITUTE($AT97,"-","~",3))-FIND("~",SUBSTITUTE($AT97,"-","~",2))-1))</f>
        <v/>
      </c>
      <c r="AW97">
        <f>IF($AU97="","",IFERROR(VLOOKUP($AU97,DECODE!$A$3:$C$8,3,FALSE),"?"))</f>
        <v/>
      </c>
      <c r="AX97">
        <f>IF($AV97="","",IFERROR(VLOOKUP($AU97&amp;"-"&amp;$AV97,DECODE!$E$3:$F$21,2,FALSE),"?"))</f>
        <v/>
      </c>
      <c r="AY97">
        <f>IF($AT97="","",IFERROR(VALUE(RIGHT($AT97,3)),""))</f>
        <v/>
      </c>
      <c r="AZ97">
        <f>IF($U97="","",IFERROR(IF(ISNUMBER($U97),$U97,DATEVALUE(TRIM($U97))),""))</f>
        <v/>
      </c>
      <c r="BA97">
        <f>IF($AZ97="","",IF(MONTH($AZ97)&gt;=12,"Cold Winter",IF(MONTH($AZ97)&gt;=10,"Post-Monsoon",IF(MONTH($AZ97)&gt;=6,"Hot Humid",IF(MONTH($AZ97)&gt;=3,"Hot Dry","Cold Winter")))))</f>
        <v/>
      </c>
      <c r="BB97">
        <f>IF($AU97="","",IFERROR(VLOOKUP($AU97,DECODE!$A$3:$C$8,2,FALSE),"?"))</f>
        <v/>
      </c>
      <c r="BC97">
        <f>IF($P97="","",UPPER(TRIM(LEFT($P97&amp;",",FIND(",",$P97&amp;",")-1))))</f>
        <v/>
      </c>
      <c r="BD97">
        <f>IF($BC97="","",MID($BC97,4,FIND("~",SUBSTITUTE($BC97,"-","~",2))-4))</f>
        <v/>
      </c>
      <c r="BE97">
        <f>IF($BC97="","",MID($BC97,FIND("~",SUBSTITUTE($BC97,"-","~",2))+1,FIND("~",SUBSTITUTE($BC97,"-","~",3))-FIND("~",SUBSTITUTE($BC97,"-","~",2))-1))</f>
        <v/>
      </c>
      <c r="BF97">
        <f>IF($BD97="","",IFERROR(VLOOKUP($BD97,DECODE!$A$3:$C$8,3,FALSE),"?"))</f>
        <v/>
      </c>
      <c r="BG97">
        <f>IF($BE97="","",IFERROR(VLOOKUP($BD97&amp;"-"&amp;$BE97,DECODE!$E$3:$F$21,2,FALSE),"?"))</f>
        <v/>
      </c>
      <c r="BH97">
        <f>IF($BC97="","",IFERROR(VALUE(RIGHT($BC97,3)),""))</f>
        <v/>
      </c>
      <c r="BI97">
        <f>IF($V97="","",IFERROR(IF(ISNUMBER($V97),$V97,DATEVALUE(TRIM($V97))),""))</f>
        <v/>
      </c>
      <c r="BJ97">
        <f>IF($BI97="","",IF(MONTH($BI97)&gt;=12,"Cold Winter",IF(MONTH($BI97)&gt;=10,"Post-Monsoon",IF(MONTH($BI97)&gt;=6,"Hot Humid",IF(MONTH($BI97)&gt;=3,"Hot Dry","Cold Winter")))))</f>
        <v/>
      </c>
      <c r="BK97">
        <f>IF($BD97="","",IFERROR(VLOOKUP($BD97,DECODE!$A$3:$C$8,2,FALSE),"?"))</f>
        <v/>
      </c>
      <c r="BL97">
        <f>IF($Q97="","",UPPER(TRIM(LEFT($Q97&amp;",",FIND(",",$Q97&amp;",")-1))))</f>
        <v/>
      </c>
      <c r="BM97">
        <f>IF($BL97="","",MID($BL97,4,FIND("~",SUBSTITUTE($BL97,"-","~",2))-4))</f>
        <v/>
      </c>
      <c r="BN97">
        <f>IF($BL97="","",MID($BL97,FIND("~",SUBSTITUTE($BL97,"-","~",2))+1,FIND("~",SUBSTITUTE($BL97,"-","~",3))-FIND("~",SUBSTITUTE($BL97,"-","~",2))-1))</f>
        <v/>
      </c>
      <c r="BO97">
        <f>IF($BM97="","",IFERROR(VLOOKUP($BM97,DECODE!$A$3:$C$8,3,FALSE),"?"))</f>
        <v/>
      </c>
      <c r="BP97">
        <f>IF($BN97="","",IFERROR(VLOOKUP($BM97&amp;"-"&amp;$BN97,DECODE!$E$3:$F$21,2,FALSE),"?"))</f>
        <v/>
      </c>
      <c r="BQ97">
        <f>IF($BL97="","",IFERROR(VALUE(RIGHT($BL97,3)),""))</f>
        <v/>
      </c>
      <c r="BR97">
        <f>IF($W97="","",IFERROR(IF(ISNUMBER($W97),$W97,DATEVALUE(TRIM($W97))),""))</f>
        <v/>
      </c>
      <c r="BS97">
        <f>IF($BR97="","",IF(MONTH($BR97)&gt;=12,"Cold Winter",IF(MONTH($BR97)&gt;=10,"Post-Monsoon",IF(MONTH($BR97)&gt;=6,"Hot Humid",IF(MONTH($BR97)&gt;=3,"Hot Dry","Cold Winter")))))</f>
        <v/>
      </c>
      <c r="BT97">
        <f>IF($BM97="","",IFERROR(VLOOKUP($BM97,DECODE!$A$3:$C$8,2,FALSE),"?"))</f>
        <v/>
      </c>
      <c r="BU97">
        <f>IF($R97="","",UPPER(TRIM(LEFT($R97&amp;",",FIND(",",$R97&amp;",")-1))))</f>
        <v/>
      </c>
      <c r="BV97">
        <f>IF($BU97="","",MID($BU97,4,FIND("~",SUBSTITUTE($BU97,"-","~",2))-4))</f>
        <v/>
      </c>
      <c r="BW97">
        <f>IF($BU97="","",MID($BU97,FIND("~",SUBSTITUTE($BU97,"-","~",2))+1,FIND("~",SUBSTITUTE($BU97,"-","~",3))-FIND("~",SUBSTITUTE($BU97,"-","~",2))-1))</f>
        <v/>
      </c>
      <c r="BX97">
        <f>IF($BV97="","",IFERROR(VLOOKUP($BV97,DECODE!$A$3:$C$8,3,FALSE),"?"))</f>
        <v/>
      </c>
      <c r="BY97">
        <f>IF($BW97="","",IFERROR(VLOOKUP($BV97&amp;"-"&amp;$BW97,DECODE!$E$3:$F$21,2,FALSE),"?"))</f>
        <v/>
      </c>
      <c r="BZ97">
        <f>IF($BU97="","",IFERROR(VALUE(RIGHT($BU97,3)),""))</f>
        <v/>
      </c>
      <c r="CA97">
        <f>IF($X97="","",IFERROR(IF(ISNUMBER($X97),$X97,DATEVALUE(TRIM($X97))),""))</f>
        <v/>
      </c>
      <c r="CB97">
        <f>IF($CA97="","",IF(MONTH($CA97)&gt;=12,"Cold Winter",IF(MONTH($CA97)&gt;=10,"Post-Monsoon",IF(MONTH($CA97)&gt;=6,"Hot Humid",IF(MONTH($CA97)&gt;=3,"Hot Dry","Cold Winter")))))</f>
        <v/>
      </c>
      <c r="CC97">
        <f>IF($BV97="","",IFERROR(VLOOKUP($BV97,DECODE!$A$3:$C$8,2,FALSE),"?"))</f>
        <v/>
      </c>
      <c r="CD97">
        <f>IF($S97="","",UPPER(TRIM(LEFT($S97&amp;",",FIND(",",$S97&amp;",")-1))))</f>
        <v/>
      </c>
      <c r="CE97">
        <f>IF($CD97="","",MID($CD97,4,FIND("~",SUBSTITUTE($CD97,"-","~",2))-4))</f>
        <v/>
      </c>
      <c r="CF97">
        <f>IF($CD97="","",MID($CD97,FIND("~",SUBSTITUTE($CD97,"-","~",2))+1,FIND("~",SUBSTITUTE($CD97,"-","~",3))-FIND("~",SUBSTITUTE($CD97,"-","~",2))-1))</f>
        <v/>
      </c>
      <c r="CG97">
        <f>IF($CE97="","",IFERROR(VLOOKUP($CE97,DECODE!$A$3:$C$8,3,FALSE),"?"))</f>
        <v/>
      </c>
      <c r="CH97">
        <f>IF($CF97="","",IFERROR(VLOOKUP($CE97&amp;"-"&amp;$CF97,DECODE!$E$3:$F$21,2,FALSE),"?"))</f>
        <v/>
      </c>
      <c r="CI97">
        <f>IF($CD97="","",IFERROR(VALUE(RIGHT($CD97,3)),""))</f>
        <v/>
      </c>
      <c r="CJ97">
        <f>IF($Y97="","",IFERROR(IF(ISNUMBER($Y97),$Y97,DATEVALUE(TRIM($Y97))),""))</f>
        <v/>
      </c>
      <c r="CK97">
        <f>IF($CJ97="","",IF(MONTH($CJ97)&gt;=12,"Cold Winter",IF(MONTH($CJ97)&gt;=10,"Post-Monsoon",IF(MONTH($CJ97)&gt;=6,"Hot Humid",IF(MONTH($CJ97)&gt;=3,"Hot Dry","Cold Winter")))))</f>
        <v/>
      </c>
      <c r="CL97">
        <f>IF($CE97="","",IFERROR(VLOOKUP($CE97,DECODE!$A$3:$C$8,2,FALSE),"?"))</f>
        <v/>
      </c>
      <c r="CM97">
        <f>IF($AN97="","",AN97)</f>
        <v/>
      </c>
      <c r="CN97">
        <f>IF($AO97="","",AO97)</f>
        <v/>
      </c>
      <c r="CO97">
        <f>IF($AP97="","",AP97)</f>
        <v/>
      </c>
      <c r="CP97">
        <f>IF($CM97="","",IF($CM97="Aloe Vera Gel","Aloe Vera Gel "&amp;$CO97&amp;"g",CN97&amp;" "&amp;$CO97&amp;"g"))</f>
        <v/>
      </c>
      <c r="CQ97">
        <f>IF($AT97="",0,1)</f>
        <v/>
      </c>
      <c r="CR97">
        <f>IF($CQ97=0,"",AW97)</f>
        <v/>
      </c>
      <c r="CS97">
        <f>IF($CQ97=0,"",AX97)</f>
        <v/>
      </c>
      <c r="CT97">
        <f>IF($CQ97=0,"",AY97)</f>
        <v/>
      </c>
      <c r="CU97">
        <f>IF($CR97="","",IF($CR97="Aloe Vera Gel","Aloe Vera Gel "&amp;$CT97&amp;"g",CS97&amp;" "&amp;$CT97&amp;"g"))</f>
        <v/>
      </c>
      <c r="CV97">
        <f>IF($CQ97=0,"",IF($CP97=$CU97,"Repeat Exact",IF($CT97&gt;$CO97,"Upsized",IF($CT97&lt;$CO97,"Downsized",IF($CM97&lt;&gt;$CR97,"Lateral","Same Size Diff Variant")))))</f>
        <v/>
      </c>
      <c r="CW97">
        <f>IF($CQ97=0,"",AZ97-AQ97)</f>
        <v/>
      </c>
      <c r="CX97">
        <f>IF($CQ97=0,0,IF(CS97=CN97,1,0))</f>
        <v/>
      </c>
      <c r="CY97">
        <f>IF($CQ97=0,0,IF(CR97=CM97,1,0))</f>
        <v/>
      </c>
      <c r="CZ97">
        <f>IF($A97="","",IF(AND(IF(DASHBOARD!$C$4="All",TRUE,$CM97=DASHBOARD!$C$4),IF(DASHBOARD!$C$6="All",TRUE,$CP97=DASHBOARD!$C$6),IF(DASHBOARD!$C$8="All",TRUE,$AF97&gt;=DASHBOARD!$C$8),IF(DASHBOARD!$C$10="All",TRUE,$AF97&lt;=DASHBOARD!$C$10),IF(DASHBOARD!$C$12="All",TRUE,$AH97=VALUE(DASHBOARD!$C$12)),IF(DASHBOARD!$C$14="All",TRUE,$AJ97=DASHBOARD!$C$14)),1,0))</f>
        <v/>
      </c>
    </row>
    <row r="98">
      <c r="A98" t="n">
        <v>54072</v>
      </c>
      <c r="B98" t="inlineStr">
        <is>
          <t>Active Gel</t>
        </is>
      </c>
      <c r="H98" t="inlineStr">
        <is>
          <t>Active Orange Kiwi Vit-C Gel</t>
        </is>
      </c>
      <c r="N98" t="inlineStr">
        <is>
          <t>FC-AC-OK-050</t>
        </is>
      </c>
      <c r="T98" t="inlineStr">
        <is>
          <t>Dec 29, 2025</t>
        </is>
      </c>
      <c r="AE98" t="inlineStr">
        <is>
          <t>New Delhi</t>
        </is>
      </c>
      <c r="AF98" t="inlineStr">
        <is>
          <t>2025-12</t>
        </is>
      </c>
      <c r="AG98" t="n">
        <v>12</v>
      </c>
      <c r="AH98" t="n">
        <v>1</v>
      </c>
      <c r="AI98" t="n">
        <v>0</v>
      </c>
      <c r="AJ98">
        <f>IF($AE98="","",IFERROR(VLOOKUP(TRIM($AE98),DECODE!$H$3:$I$60,2,FALSE),"Rest of India"))</f>
        <v/>
      </c>
      <c r="AK98">
        <f>IF($N98="","",UPPER(TRIM(LEFT($N98&amp;",",FIND(",",$N98&amp;",")-1))))</f>
        <v/>
      </c>
      <c r="AL98">
        <f>IF($AK98="","",MID($AK98,4,FIND("~",SUBSTITUTE($AK98,"-","~",2))-4))</f>
        <v/>
      </c>
      <c r="AM98">
        <f>IF($AK98="","",MID($AK98,FIND("~",SUBSTITUTE($AK98,"-","~",2))+1,FIND("~",SUBSTITUTE($AK98,"-","~",3))-FIND("~",SUBSTITUTE($AK98,"-","~",2))-1))</f>
        <v/>
      </c>
      <c r="AN98">
        <f>IF($AL98="","",IFERROR(VLOOKUP($AL98,DECODE!$A$3:$C$8,3,FALSE),"?"))</f>
        <v/>
      </c>
      <c r="AO98">
        <f>IF($AM98="","",IFERROR(VLOOKUP($AL98&amp;"-"&amp;$AM98,DECODE!$E$3:$F$21,2,FALSE),"?"))</f>
        <v/>
      </c>
      <c r="AP98">
        <f>IF($AK98="","",IFERROR(VALUE(RIGHT($AK98,3)),""))</f>
        <v/>
      </c>
      <c r="AQ98">
        <f>IF($T98="","",IFERROR(IF(ISNUMBER($T98),$T98,DATEVALUE(TRIM($T98))),""))</f>
        <v/>
      </c>
      <c r="AR98">
        <f>IF($AQ98="","",IF(MONTH($AQ98)&gt;=12,"Cold Winter",IF(MONTH($AQ98)&gt;=10,"Post-Monsoon",IF(MONTH($AQ98)&gt;=6,"Hot Humid",IF(MONTH($AQ98)&gt;=3,"Hot Dry","Cold Winter")))))</f>
        <v/>
      </c>
      <c r="AS98">
        <f>IF($AL98="","",IFERROR(VLOOKUP($AL98,DECODE!$A$3:$C$8,2,FALSE),"?"))</f>
        <v/>
      </c>
      <c r="AT98">
        <f>IF($O98="","",UPPER(TRIM(LEFT($O98&amp;",",FIND(",",$O98&amp;",")-1))))</f>
        <v/>
      </c>
      <c r="AU98">
        <f>IF($AT98="","",MID($AT98,4,FIND("~",SUBSTITUTE($AT98,"-","~",2))-4))</f>
        <v/>
      </c>
      <c r="AV98">
        <f>IF($AT98="","",MID($AT98,FIND("~",SUBSTITUTE($AT98,"-","~",2))+1,FIND("~",SUBSTITUTE($AT98,"-","~",3))-FIND("~",SUBSTITUTE($AT98,"-","~",2))-1))</f>
        <v/>
      </c>
      <c r="AW98">
        <f>IF($AU98="","",IFERROR(VLOOKUP($AU98,DECODE!$A$3:$C$8,3,FALSE),"?"))</f>
        <v/>
      </c>
      <c r="AX98">
        <f>IF($AV98="","",IFERROR(VLOOKUP($AU98&amp;"-"&amp;$AV98,DECODE!$E$3:$F$21,2,FALSE),"?"))</f>
        <v/>
      </c>
      <c r="AY98">
        <f>IF($AT98="","",IFERROR(VALUE(RIGHT($AT98,3)),""))</f>
        <v/>
      </c>
      <c r="AZ98">
        <f>IF($U98="","",IFERROR(IF(ISNUMBER($U98),$U98,DATEVALUE(TRIM($U98))),""))</f>
        <v/>
      </c>
      <c r="BA98">
        <f>IF($AZ98="","",IF(MONTH($AZ98)&gt;=12,"Cold Winter",IF(MONTH($AZ98)&gt;=10,"Post-Monsoon",IF(MONTH($AZ98)&gt;=6,"Hot Humid",IF(MONTH($AZ98)&gt;=3,"Hot Dry","Cold Winter")))))</f>
        <v/>
      </c>
      <c r="BB98">
        <f>IF($AU98="","",IFERROR(VLOOKUP($AU98,DECODE!$A$3:$C$8,2,FALSE),"?"))</f>
        <v/>
      </c>
      <c r="BC98">
        <f>IF($P98="","",UPPER(TRIM(LEFT($P98&amp;",",FIND(",",$P98&amp;",")-1))))</f>
        <v/>
      </c>
      <c r="BD98">
        <f>IF($BC98="","",MID($BC98,4,FIND("~",SUBSTITUTE($BC98,"-","~",2))-4))</f>
        <v/>
      </c>
      <c r="BE98">
        <f>IF($BC98="","",MID($BC98,FIND("~",SUBSTITUTE($BC98,"-","~",2))+1,FIND("~",SUBSTITUTE($BC98,"-","~",3))-FIND("~",SUBSTITUTE($BC98,"-","~",2))-1))</f>
        <v/>
      </c>
      <c r="BF98">
        <f>IF($BD98="","",IFERROR(VLOOKUP($BD98,DECODE!$A$3:$C$8,3,FALSE),"?"))</f>
        <v/>
      </c>
      <c r="BG98">
        <f>IF($BE98="","",IFERROR(VLOOKUP($BD98&amp;"-"&amp;$BE98,DECODE!$E$3:$F$21,2,FALSE),"?"))</f>
        <v/>
      </c>
      <c r="BH98">
        <f>IF($BC98="","",IFERROR(VALUE(RIGHT($BC98,3)),""))</f>
        <v/>
      </c>
      <c r="BI98">
        <f>IF($V98="","",IFERROR(IF(ISNUMBER($V98),$V98,DATEVALUE(TRIM($V98))),""))</f>
        <v/>
      </c>
      <c r="BJ98">
        <f>IF($BI98="","",IF(MONTH($BI98)&gt;=12,"Cold Winter",IF(MONTH($BI98)&gt;=10,"Post-Monsoon",IF(MONTH($BI98)&gt;=6,"Hot Humid",IF(MONTH($BI98)&gt;=3,"Hot Dry","Cold Winter")))))</f>
        <v/>
      </c>
      <c r="BK98">
        <f>IF($BD98="","",IFERROR(VLOOKUP($BD98,DECODE!$A$3:$C$8,2,FALSE),"?"))</f>
        <v/>
      </c>
      <c r="BL98">
        <f>IF($Q98="","",UPPER(TRIM(LEFT($Q98&amp;",",FIND(",",$Q98&amp;",")-1))))</f>
        <v/>
      </c>
      <c r="BM98">
        <f>IF($BL98="","",MID($BL98,4,FIND("~",SUBSTITUTE($BL98,"-","~",2))-4))</f>
        <v/>
      </c>
      <c r="BN98">
        <f>IF($BL98="","",MID($BL98,FIND("~",SUBSTITUTE($BL98,"-","~",2))+1,FIND("~",SUBSTITUTE($BL98,"-","~",3))-FIND("~",SUBSTITUTE($BL98,"-","~",2))-1))</f>
        <v/>
      </c>
      <c r="BO98">
        <f>IF($BM98="","",IFERROR(VLOOKUP($BM98,DECODE!$A$3:$C$8,3,FALSE),"?"))</f>
        <v/>
      </c>
      <c r="BP98">
        <f>IF($BN98="","",IFERROR(VLOOKUP($BM98&amp;"-"&amp;$BN98,DECODE!$E$3:$F$21,2,FALSE),"?"))</f>
        <v/>
      </c>
      <c r="BQ98">
        <f>IF($BL98="","",IFERROR(VALUE(RIGHT($BL98,3)),""))</f>
        <v/>
      </c>
      <c r="BR98">
        <f>IF($W98="","",IFERROR(IF(ISNUMBER($W98),$W98,DATEVALUE(TRIM($W98))),""))</f>
        <v/>
      </c>
      <c r="BS98">
        <f>IF($BR98="","",IF(MONTH($BR98)&gt;=12,"Cold Winter",IF(MONTH($BR98)&gt;=10,"Post-Monsoon",IF(MONTH($BR98)&gt;=6,"Hot Humid",IF(MONTH($BR98)&gt;=3,"Hot Dry","Cold Winter")))))</f>
        <v/>
      </c>
      <c r="BT98">
        <f>IF($BM98="","",IFERROR(VLOOKUP($BM98,DECODE!$A$3:$C$8,2,FALSE),"?"))</f>
        <v/>
      </c>
      <c r="BU98">
        <f>IF($R98="","",UPPER(TRIM(LEFT($R98&amp;",",FIND(",",$R98&amp;",")-1))))</f>
        <v/>
      </c>
      <c r="BV98">
        <f>IF($BU98="","",MID($BU98,4,FIND("~",SUBSTITUTE($BU98,"-","~",2))-4))</f>
        <v/>
      </c>
      <c r="BW98">
        <f>IF($BU98="","",MID($BU98,FIND("~",SUBSTITUTE($BU98,"-","~",2))+1,FIND("~",SUBSTITUTE($BU98,"-","~",3))-FIND("~",SUBSTITUTE($BU98,"-","~",2))-1))</f>
        <v/>
      </c>
      <c r="BX98">
        <f>IF($BV98="","",IFERROR(VLOOKUP($BV98,DECODE!$A$3:$C$8,3,FALSE),"?"))</f>
        <v/>
      </c>
      <c r="BY98">
        <f>IF($BW98="","",IFERROR(VLOOKUP($BV98&amp;"-"&amp;$BW98,DECODE!$E$3:$F$21,2,FALSE),"?"))</f>
        <v/>
      </c>
      <c r="BZ98">
        <f>IF($BU98="","",IFERROR(VALUE(RIGHT($BU98,3)),""))</f>
        <v/>
      </c>
      <c r="CA98">
        <f>IF($X98="","",IFERROR(IF(ISNUMBER($X98),$X98,DATEVALUE(TRIM($X98))),""))</f>
        <v/>
      </c>
      <c r="CB98">
        <f>IF($CA98="","",IF(MONTH($CA98)&gt;=12,"Cold Winter",IF(MONTH($CA98)&gt;=10,"Post-Monsoon",IF(MONTH($CA98)&gt;=6,"Hot Humid",IF(MONTH($CA98)&gt;=3,"Hot Dry","Cold Winter")))))</f>
        <v/>
      </c>
      <c r="CC98">
        <f>IF($BV98="","",IFERROR(VLOOKUP($BV98,DECODE!$A$3:$C$8,2,FALSE),"?"))</f>
        <v/>
      </c>
      <c r="CD98">
        <f>IF($S98="","",UPPER(TRIM(LEFT($S98&amp;",",FIND(",",$S98&amp;",")-1))))</f>
        <v/>
      </c>
      <c r="CE98">
        <f>IF($CD98="","",MID($CD98,4,FIND("~",SUBSTITUTE($CD98,"-","~",2))-4))</f>
        <v/>
      </c>
      <c r="CF98">
        <f>IF($CD98="","",MID($CD98,FIND("~",SUBSTITUTE($CD98,"-","~",2))+1,FIND("~",SUBSTITUTE($CD98,"-","~",3))-FIND("~",SUBSTITUTE($CD98,"-","~",2))-1))</f>
        <v/>
      </c>
      <c r="CG98">
        <f>IF($CE98="","",IFERROR(VLOOKUP($CE98,DECODE!$A$3:$C$8,3,FALSE),"?"))</f>
        <v/>
      </c>
      <c r="CH98">
        <f>IF($CF98="","",IFERROR(VLOOKUP($CE98&amp;"-"&amp;$CF98,DECODE!$E$3:$F$21,2,FALSE),"?"))</f>
        <v/>
      </c>
      <c r="CI98">
        <f>IF($CD98="","",IFERROR(VALUE(RIGHT($CD98,3)),""))</f>
        <v/>
      </c>
      <c r="CJ98">
        <f>IF($Y98="","",IFERROR(IF(ISNUMBER($Y98),$Y98,DATEVALUE(TRIM($Y98))),""))</f>
        <v/>
      </c>
      <c r="CK98">
        <f>IF($CJ98="","",IF(MONTH($CJ98)&gt;=12,"Cold Winter",IF(MONTH($CJ98)&gt;=10,"Post-Monsoon",IF(MONTH($CJ98)&gt;=6,"Hot Humid",IF(MONTH($CJ98)&gt;=3,"Hot Dry","Cold Winter")))))</f>
        <v/>
      </c>
      <c r="CL98">
        <f>IF($CE98="","",IFERROR(VLOOKUP($CE98,DECODE!$A$3:$C$8,2,FALSE),"?"))</f>
        <v/>
      </c>
      <c r="CM98">
        <f>IF($AN98="","",AN98)</f>
        <v/>
      </c>
      <c r="CN98">
        <f>IF($AO98="","",AO98)</f>
        <v/>
      </c>
      <c r="CO98">
        <f>IF($AP98="","",AP98)</f>
        <v/>
      </c>
      <c r="CP98">
        <f>IF($CM98="","",IF($CM98="Aloe Vera Gel","Aloe Vera Gel "&amp;$CO98&amp;"g",CN98&amp;" "&amp;$CO98&amp;"g"))</f>
        <v/>
      </c>
      <c r="CQ98">
        <f>IF($AT98="",0,1)</f>
        <v/>
      </c>
      <c r="CR98">
        <f>IF($CQ98=0,"",AW98)</f>
        <v/>
      </c>
      <c r="CS98">
        <f>IF($CQ98=0,"",AX98)</f>
        <v/>
      </c>
      <c r="CT98">
        <f>IF($CQ98=0,"",AY98)</f>
        <v/>
      </c>
      <c r="CU98">
        <f>IF($CR98="","",IF($CR98="Aloe Vera Gel","Aloe Vera Gel "&amp;$CT98&amp;"g",CS98&amp;" "&amp;$CT98&amp;"g"))</f>
        <v/>
      </c>
      <c r="CV98">
        <f>IF($CQ98=0,"",IF($CP98=$CU98,"Repeat Exact",IF($CT98&gt;$CO98,"Upsized",IF($CT98&lt;$CO98,"Downsized",IF($CM98&lt;&gt;$CR98,"Lateral","Same Size Diff Variant")))))</f>
        <v/>
      </c>
      <c r="CW98">
        <f>IF($CQ98=0,"",AZ98-AQ98)</f>
        <v/>
      </c>
      <c r="CX98">
        <f>IF($CQ98=0,0,IF(CS98=CN98,1,0))</f>
        <v/>
      </c>
      <c r="CY98">
        <f>IF($CQ98=0,0,IF(CR98=CM98,1,0))</f>
        <v/>
      </c>
      <c r="CZ98">
        <f>IF($A98="","",IF(AND(IF(DASHBOARD!$C$4="All",TRUE,$CM98=DASHBOARD!$C$4),IF(DASHBOARD!$C$6="All",TRUE,$CP98=DASHBOARD!$C$6),IF(DASHBOARD!$C$8="All",TRUE,$AF98&gt;=DASHBOARD!$C$8),IF(DASHBOARD!$C$10="All",TRUE,$AF98&lt;=DASHBOARD!$C$10),IF(DASHBOARD!$C$12="All",TRUE,$AH98=VALUE(DASHBOARD!$C$12)),IF(DASHBOARD!$C$14="All",TRUE,$AJ98=DASHBOARD!$C$14)),1,0))</f>
        <v/>
      </c>
    </row>
    <row r="99">
      <c r="A99" t="n">
        <v>54249</v>
      </c>
      <c r="B99" t="inlineStr">
        <is>
          <t>Face Malai</t>
        </is>
      </c>
      <c r="H99" t="inlineStr">
        <is>
          <t>Tomato Vetiver (Hot Humid) 20 - 35 Yrs Face Malai</t>
        </is>
      </c>
      <c r="N99" t="inlineStr">
        <is>
          <t>FC-HHDM-TV-030</t>
        </is>
      </c>
      <c r="T99" t="inlineStr">
        <is>
          <t>Apr 22, 2024</t>
        </is>
      </c>
      <c r="AE99" t="inlineStr">
        <is>
          <t>Gurgaon</t>
        </is>
      </c>
      <c r="AF99" t="inlineStr">
        <is>
          <t>2024-04</t>
        </is>
      </c>
      <c r="AG99" t="n">
        <v>4</v>
      </c>
      <c r="AH99" t="n">
        <v>1</v>
      </c>
      <c r="AI99" t="n">
        <v>0</v>
      </c>
      <c r="AJ99">
        <f>IF($AE99="","",IFERROR(VLOOKUP(TRIM($AE99),DECODE!$H$3:$I$60,2,FALSE),"Rest of India"))</f>
        <v/>
      </c>
      <c r="AK99">
        <f>IF($N99="","",UPPER(TRIM(LEFT($N99&amp;",",FIND(",",$N99&amp;",")-1))))</f>
        <v/>
      </c>
      <c r="AL99">
        <f>IF($AK99="","",MID($AK99,4,FIND("~",SUBSTITUTE($AK99,"-","~",2))-4))</f>
        <v/>
      </c>
      <c r="AM99">
        <f>IF($AK99="","",MID($AK99,FIND("~",SUBSTITUTE($AK99,"-","~",2))+1,FIND("~",SUBSTITUTE($AK99,"-","~",3))-FIND("~",SUBSTITUTE($AK99,"-","~",2))-1))</f>
        <v/>
      </c>
      <c r="AN99">
        <f>IF($AL99="","",IFERROR(VLOOKUP($AL99,DECODE!$A$3:$C$8,3,FALSE),"?"))</f>
        <v/>
      </c>
      <c r="AO99">
        <f>IF($AM99="","",IFERROR(VLOOKUP($AL99&amp;"-"&amp;$AM99,DECODE!$E$3:$F$21,2,FALSE),"?"))</f>
        <v/>
      </c>
      <c r="AP99">
        <f>IF($AK99="","",IFERROR(VALUE(RIGHT($AK99,3)),""))</f>
        <v/>
      </c>
      <c r="AQ99">
        <f>IF($T99="","",IFERROR(IF(ISNUMBER($T99),$T99,DATEVALUE(TRIM($T99))),""))</f>
        <v/>
      </c>
      <c r="AR99">
        <f>IF($AQ99="","",IF(MONTH($AQ99)&gt;=12,"Cold Winter",IF(MONTH($AQ99)&gt;=10,"Post-Monsoon",IF(MONTH($AQ99)&gt;=6,"Hot Humid",IF(MONTH($AQ99)&gt;=3,"Hot Dry","Cold Winter")))))</f>
        <v/>
      </c>
      <c r="AS99">
        <f>IF($AL99="","",IFERROR(VLOOKUP($AL99,DECODE!$A$3:$C$8,2,FALSE),"?"))</f>
        <v/>
      </c>
      <c r="AT99">
        <f>IF($O99="","",UPPER(TRIM(LEFT($O99&amp;",",FIND(",",$O99&amp;",")-1))))</f>
        <v/>
      </c>
      <c r="AU99">
        <f>IF($AT99="","",MID($AT99,4,FIND("~",SUBSTITUTE($AT99,"-","~",2))-4))</f>
        <v/>
      </c>
      <c r="AV99">
        <f>IF($AT99="","",MID($AT99,FIND("~",SUBSTITUTE($AT99,"-","~",2))+1,FIND("~",SUBSTITUTE($AT99,"-","~",3))-FIND("~",SUBSTITUTE($AT99,"-","~",2))-1))</f>
        <v/>
      </c>
      <c r="AW99">
        <f>IF($AU99="","",IFERROR(VLOOKUP($AU99,DECODE!$A$3:$C$8,3,FALSE),"?"))</f>
        <v/>
      </c>
      <c r="AX99">
        <f>IF($AV99="","",IFERROR(VLOOKUP($AU99&amp;"-"&amp;$AV99,DECODE!$E$3:$F$21,2,FALSE),"?"))</f>
        <v/>
      </c>
      <c r="AY99">
        <f>IF($AT99="","",IFERROR(VALUE(RIGHT($AT99,3)),""))</f>
        <v/>
      </c>
      <c r="AZ99">
        <f>IF($U99="","",IFERROR(IF(ISNUMBER($U99),$U99,DATEVALUE(TRIM($U99))),""))</f>
        <v/>
      </c>
      <c r="BA99">
        <f>IF($AZ99="","",IF(MONTH($AZ99)&gt;=12,"Cold Winter",IF(MONTH($AZ99)&gt;=10,"Post-Monsoon",IF(MONTH($AZ99)&gt;=6,"Hot Humid",IF(MONTH($AZ99)&gt;=3,"Hot Dry","Cold Winter")))))</f>
        <v/>
      </c>
      <c r="BB99">
        <f>IF($AU99="","",IFERROR(VLOOKUP($AU99,DECODE!$A$3:$C$8,2,FALSE),"?"))</f>
        <v/>
      </c>
      <c r="BC99">
        <f>IF($P99="","",UPPER(TRIM(LEFT($P99&amp;",",FIND(",",$P99&amp;",")-1))))</f>
        <v/>
      </c>
      <c r="BD99">
        <f>IF($BC99="","",MID($BC99,4,FIND("~",SUBSTITUTE($BC99,"-","~",2))-4))</f>
        <v/>
      </c>
      <c r="BE99">
        <f>IF($BC99="","",MID($BC99,FIND("~",SUBSTITUTE($BC99,"-","~",2))+1,FIND("~",SUBSTITUTE($BC99,"-","~",3))-FIND("~",SUBSTITUTE($BC99,"-","~",2))-1))</f>
        <v/>
      </c>
      <c r="BF99">
        <f>IF($BD99="","",IFERROR(VLOOKUP($BD99,DECODE!$A$3:$C$8,3,FALSE),"?"))</f>
        <v/>
      </c>
      <c r="BG99">
        <f>IF($BE99="","",IFERROR(VLOOKUP($BD99&amp;"-"&amp;$BE99,DECODE!$E$3:$F$21,2,FALSE),"?"))</f>
        <v/>
      </c>
      <c r="BH99">
        <f>IF($BC99="","",IFERROR(VALUE(RIGHT($BC99,3)),""))</f>
        <v/>
      </c>
      <c r="BI99">
        <f>IF($V99="","",IFERROR(IF(ISNUMBER($V99),$V99,DATEVALUE(TRIM($V99))),""))</f>
        <v/>
      </c>
      <c r="BJ99">
        <f>IF($BI99="","",IF(MONTH($BI99)&gt;=12,"Cold Winter",IF(MONTH($BI99)&gt;=10,"Post-Monsoon",IF(MONTH($BI99)&gt;=6,"Hot Humid",IF(MONTH($BI99)&gt;=3,"Hot Dry","Cold Winter")))))</f>
        <v/>
      </c>
      <c r="BK99">
        <f>IF($BD99="","",IFERROR(VLOOKUP($BD99,DECODE!$A$3:$C$8,2,FALSE),"?"))</f>
        <v/>
      </c>
      <c r="BL99">
        <f>IF($Q99="","",UPPER(TRIM(LEFT($Q99&amp;",",FIND(",",$Q99&amp;",")-1))))</f>
        <v/>
      </c>
      <c r="BM99">
        <f>IF($BL99="","",MID($BL99,4,FIND("~",SUBSTITUTE($BL99,"-","~",2))-4))</f>
        <v/>
      </c>
      <c r="BN99">
        <f>IF($BL99="","",MID($BL99,FIND("~",SUBSTITUTE($BL99,"-","~",2))+1,FIND("~",SUBSTITUTE($BL99,"-","~",3))-FIND("~",SUBSTITUTE($BL99,"-","~",2))-1))</f>
        <v/>
      </c>
      <c r="BO99">
        <f>IF($BM99="","",IFERROR(VLOOKUP($BM99,DECODE!$A$3:$C$8,3,FALSE),"?"))</f>
        <v/>
      </c>
      <c r="BP99">
        <f>IF($BN99="","",IFERROR(VLOOKUP($BM99&amp;"-"&amp;$BN99,DECODE!$E$3:$F$21,2,FALSE),"?"))</f>
        <v/>
      </c>
      <c r="BQ99">
        <f>IF($BL99="","",IFERROR(VALUE(RIGHT($BL99,3)),""))</f>
        <v/>
      </c>
      <c r="BR99">
        <f>IF($W99="","",IFERROR(IF(ISNUMBER($W99),$W99,DATEVALUE(TRIM($W99))),""))</f>
        <v/>
      </c>
      <c r="BS99">
        <f>IF($BR99="","",IF(MONTH($BR99)&gt;=12,"Cold Winter",IF(MONTH($BR99)&gt;=10,"Post-Monsoon",IF(MONTH($BR99)&gt;=6,"Hot Humid",IF(MONTH($BR99)&gt;=3,"Hot Dry","Cold Winter")))))</f>
        <v/>
      </c>
      <c r="BT99">
        <f>IF($BM99="","",IFERROR(VLOOKUP($BM99,DECODE!$A$3:$C$8,2,FALSE),"?"))</f>
        <v/>
      </c>
      <c r="BU99">
        <f>IF($R99="","",UPPER(TRIM(LEFT($R99&amp;",",FIND(",",$R99&amp;",")-1))))</f>
        <v/>
      </c>
      <c r="BV99">
        <f>IF($BU99="","",MID($BU99,4,FIND("~",SUBSTITUTE($BU99,"-","~",2))-4))</f>
        <v/>
      </c>
      <c r="BW99">
        <f>IF($BU99="","",MID($BU99,FIND("~",SUBSTITUTE($BU99,"-","~",2))+1,FIND("~",SUBSTITUTE($BU99,"-","~",3))-FIND("~",SUBSTITUTE($BU99,"-","~",2))-1))</f>
        <v/>
      </c>
      <c r="BX99">
        <f>IF($BV99="","",IFERROR(VLOOKUP($BV99,DECODE!$A$3:$C$8,3,FALSE),"?"))</f>
        <v/>
      </c>
      <c r="BY99">
        <f>IF($BW99="","",IFERROR(VLOOKUP($BV99&amp;"-"&amp;$BW99,DECODE!$E$3:$F$21,2,FALSE),"?"))</f>
        <v/>
      </c>
      <c r="BZ99">
        <f>IF($BU99="","",IFERROR(VALUE(RIGHT($BU99,3)),""))</f>
        <v/>
      </c>
      <c r="CA99">
        <f>IF($X99="","",IFERROR(IF(ISNUMBER($X99),$X99,DATEVALUE(TRIM($X99))),""))</f>
        <v/>
      </c>
      <c r="CB99">
        <f>IF($CA99="","",IF(MONTH($CA99)&gt;=12,"Cold Winter",IF(MONTH($CA99)&gt;=10,"Post-Monsoon",IF(MONTH($CA99)&gt;=6,"Hot Humid",IF(MONTH($CA99)&gt;=3,"Hot Dry","Cold Winter")))))</f>
        <v/>
      </c>
      <c r="CC99">
        <f>IF($BV99="","",IFERROR(VLOOKUP($BV99,DECODE!$A$3:$C$8,2,FALSE),"?"))</f>
        <v/>
      </c>
      <c r="CD99">
        <f>IF($S99="","",UPPER(TRIM(LEFT($S99&amp;",",FIND(",",$S99&amp;",")-1))))</f>
        <v/>
      </c>
      <c r="CE99">
        <f>IF($CD99="","",MID($CD99,4,FIND("~",SUBSTITUTE($CD99,"-","~",2))-4))</f>
        <v/>
      </c>
      <c r="CF99">
        <f>IF($CD99="","",MID($CD99,FIND("~",SUBSTITUTE($CD99,"-","~",2))+1,FIND("~",SUBSTITUTE($CD99,"-","~",3))-FIND("~",SUBSTITUTE($CD99,"-","~",2))-1))</f>
        <v/>
      </c>
      <c r="CG99">
        <f>IF($CE99="","",IFERROR(VLOOKUP($CE99,DECODE!$A$3:$C$8,3,FALSE),"?"))</f>
        <v/>
      </c>
      <c r="CH99">
        <f>IF($CF99="","",IFERROR(VLOOKUP($CE99&amp;"-"&amp;$CF99,DECODE!$E$3:$F$21,2,FALSE),"?"))</f>
        <v/>
      </c>
      <c r="CI99">
        <f>IF($CD99="","",IFERROR(VALUE(RIGHT($CD99,3)),""))</f>
        <v/>
      </c>
      <c r="CJ99">
        <f>IF($Y99="","",IFERROR(IF(ISNUMBER($Y99),$Y99,DATEVALUE(TRIM($Y99))),""))</f>
        <v/>
      </c>
      <c r="CK99">
        <f>IF($CJ99="","",IF(MONTH($CJ99)&gt;=12,"Cold Winter",IF(MONTH($CJ99)&gt;=10,"Post-Monsoon",IF(MONTH($CJ99)&gt;=6,"Hot Humid",IF(MONTH($CJ99)&gt;=3,"Hot Dry","Cold Winter")))))</f>
        <v/>
      </c>
      <c r="CL99">
        <f>IF($CE99="","",IFERROR(VLOOKUP($CE99,DECODE!$A$3:$C$8,2,FALSE),"?"))</f>
        <v/>
      </c>
      <c r="CM99">
        <f>IF($AN99="","",AN99)</f>
        <v/>
      </c>
      <c r="CN99">
        <f>IF($AO99="","",AO99)</f>
        <v/>
      </c>
      <c r="CO99">
        <f>IF($AP99="","",AP99)</f>
        <v/>
      </c>
      <c r="CP99">
        <f>IF($CM99="","",IF($CM99="Aloe Vera Gel","Aloe Vera Gel "&amp;$CO99&amp;"g",CN99&amp;" "&amp;$CO99&amp;"g"))</f>
        <v/>
      </c>
      <c r="CQ99">
        <f>IF($AT99="",0,1)</f>
        <v/>
      </c>
      <c r="CR99">
        <f>IF($CQ99=0,"",AW99)</f>
        <v/>
      </c>
      <c r="CS99">
        <f>IF($CQ99=0,"",AX99)</f>
        <v/>
      </c>
      <c r="CT99">
        <f>IF($CQ99=0,"",AY99)</f>
        <v/>
      </c>
      <c r="CU99">
        <f>IF($CR99="","",IF($CR99="Aloe Vera Gel","Aloe Vera Gel "&amp;$CT99&amp;"g",CS99&amp;" "&amp;$CT99&amp;"g"))</f>
        <v/>
      </c>
      <c r="CV99">
        <f>IF($CQ99=0,"",IF($CP99=$CU99,"Repeat Exact",IF($CT99&gt;$CO99,"Upsized",IF($CT99&lt;$CO99,"Downsized",IF($CM99&lt;&gt;$CR99,"Lateral","Same Size Diff Variant")))))</f>
        <v/>
      </c>
      <c r="CW99">
        <f>IF($CQ99=0,"",AZ99-AQ99)</f>
        <v/>
      </c>
      <c r="CX99">
        <f>IF($CQ99=0,0,IF(CS99=CN99,1,0))</f>
        <v/>
      </c>
      <c r="CY99">
        <f>IF($CQ99=0,0,IF(CR99=CM99,1,0))</f>
        <v/>
      </c>
      <c r="CZ99">
        <f>IF($A99="","",IF(AND(IF(DASHBOARD!$C$4="All",TRUE,$CM99=DASHBOARD!$C$4),IF(DASHBOARD!$C$6="All",TRUE,$CP99=DASHBOARD!$C$6),IF(DASHBOARD!$C$8="All",TRUE,$AF99&gt;=DASHBOARD!$C$8),IF(DASHBOARD!$C$10="All",TRUE,$AF99&lt;=DASHBOARD!$C$10),IF(DASHBOARD!$C$12="All",TRUE,$AH99=VALUE(DASHBOARD!$C$12)),IF(DASHBOARD!$C$14="All",TRUE,$AJ99=DASHBOARD!$C$14)),1,0))</f>
        <v/>
      </c>
    </row>
    <row r="100">
      <c r="A100" t="n">
        <v>58045</v>
      </c>
      <c r="B100" t="inlineStr">
        <is>
          <t>Face Malai</t>
        </is>
      </c>
      <c r="H100" t="inlineStr">
        <is>
          <t>Turmeric Nutmeg (Pigmentation)  Face Malai - 30g</t>
        </is>
      </c>
      <c r="N100" t="inlineStr">
        <is>
          <t>FC-DM-PG-030</t>
        </is>
      </c>
      <c r="T100" t="inlineStr">
        <is>
          <t>Feb 17, 2025</t>
        </is>
      </c>
      <c r="AE100" t="inlineStr">
        <is>
          <t>Gurgaon</t>
        </is>
      </c>
      <c r="AF100" t="inlineStr">
        <is>
          <t>2025-02</t>
        </is>
      </c>
      <c r="AG100" t="n">
        <v>2</v>
      </c>
      <c r="AH100" t="n">
        <v>1</v>
      </c>
      <c r="AI100" t="n">
        <v>0</v>
      </c>
      <c r="AJ100">
        <f>IF($AE100="","",IFERROR(VLOOKUP(TRIM($AE100),DECODE!$H$3:$I$60,2,FALSE),"Rest of India"))</f>
        <v/>
      </c>
      <c r="AK100">
        <f>IF($N100="","",UPPER(TRIM(LEFT($N100&amp;",",FIND(",",$N100&amp;",")-1))))</f>
        <v/>
      </c>
      <c r="AL100">
        <f>IF($AK100="","",MID($AK100,4,FIND("~",SUBSTITUTE($AK100,"-","~",2))-4))</f>
        <v/>
      </c>
      <c r="AM100">
        <f>IF($AK100="","",MID($AK100,FIND("~",SUBSTITUTE($AK100,"-","~",2))+1,FIND("~",SUBSTITUTE($AK100,"-","~",3))-FIND("~",SUBSTITUTE($AK100,"-","~",2))-1))</f>
        <v/>
      </c>
      <c r="AN100">
        <f>IF($AL100="","",IFERROR(VLOOKUP($AL100,DECODE!$A$3:$C$8,3,FALSE),"?"))</f>
        <v/>
      </c>
      <c r="AO100">
        <f>IF($AM100="","",IFERROR(VLOOKUP($AL100&amp;"-"&amp;$AM100,DECODE!$E$3:$F$21,2,FALSE),"?"))</f>
        <v/>
      </c>
      <c r="AP100">
        <f>IF($AK100="","",IFERROR(VALUE(RIGHT($AK100,3)),""))</f>
        <v/>
      </c>
      <c r="AQ100">
        <f>IF($T100="","",IFERROR(IF(ISNUMBER($T100),$T100,DATEVALUE(TRIM($T100))),""))</f>
        <v/>
      </c>
      <c r="AR100">
        <f>IF($AQ100="","",IF(MONTH($AQ100)&gt;=12,"Cold Winter",IF(MONTH($AQ100)&gt;=10,"Post-Monsoon",IF(MONTH($AQ100)&gt;=6,"Hot Humid",IF(MONTH($AQ100)&gt;=3,"Hot Dry","Cold Winter")))))</f>
        <v/>
      </c>
      <c r="AS100">
        <f>IF($AL100="","",IFERROR(VLOOKUP($AL100,DECODE!$A$3:$C$8,2,FALSE),"?"))</f>
        <v/>
      </c>
      <c r="AT100">
        <f>IF($O100="","",UPPER(TRIM(LEFT($O100&amp;",",FIND(",",$O100&amp;",")-1))))</f>
        <v/>
      </c>
      <c r="AU100">
        <f>IF($AT100="","",MID($AT100,4,FIND("~",SUBSTITUTE($AT100,"-","~",2))-4))</f>
        <v/>
      </c>
      <c r="AV100">
        <f>IF($AT100="","",MID($AT100,FIND("~",SUBSTITUTE($AT100,"-","~",2))+1,FIND("~",SUBSTITUTE($AT100,"-","~",3))-FIND("~",SUBSTITUTE($AT100,"-","~",2))-1))</f>
        <v/>
      </c>
      <c r="AW100">
        <f>IF($AU100="","",IFERROR(VLOOKUP($AU100,DECODE!$A$3:$C$8,3,FALSE),"?"))</f>
        <v/>
      </c>
      <c r="AX100">
        <f>IF($AV100="","",IFERROR(VLOOKUP($AU100&amp;"-"&amp;$AV100,DECODE!$E$3:$F$21,2,FALSE),"?"))</f>
        <v/>
      </c>
      <c r="AY100">
        <f>IF($AT100="","",IFERROR(VALUE(RIGHT($AT100,3)),""))</f>
        <v/>
      </c>
      <c r="AZ100">
        <f>IF($U100="","",IFERROR(IF(ISNUMBER($U100),$U100,DATEVALUE(TRIM($U100))),""))</f>
        <v/>
      </c>
      <c r="BA100">
        <f>IF($AZ100="","",IF(MONTH($AZ100)&gt;=12,"Cold Winter",IF(MONTH($AZ100)&gt;=10,"Post-Monsoon",IF(MONTH($AZ100)&gt;=6,"Hot Humid",IF(MONTH($AZ100)&gt;=3,"Hot Dry","Cold Winter")))))</f>
        <v/>
      </c>
      <c r="BB100">
        <f>IF($AU100="","",IFERROR(VLOOKUP($AU100,DECODE!$A$3:$C$8,2,FALSE),"?"))</f>
        <v/>
      </c>
      <c r="BC100">
        <f>IF($P100="","",UPPER(TRIM(LEFT($P100&amp;",",FIND(",",$P100&amp;",")-1))))</f>
        <v/>
      </c>
      <c r="BD100">
        <f>IF($BC100="","",MID($BC100,4,FIND("~",SUBSTITUTE($BC100,"-","~",2))-4))</f>
        <v/>
      </c>
      <c r="BE100">
        <f>IF($BC100="","",MID($BC100,FIND("~",SUBSTITUTE($BC100,"-","~",2))+1,FIND("~",SUBSTITUTE($BC100,"-","~",3))-FIND("~",SUBSTITUTE($BC100,"-","~",2))-1))</f>
        <v/>
      </c>
      <c r="BF100">
        <f>IF($BD100="","",IFERROR(VLOOKUP($BD100,DECODE!$A$3:$C$8,3,FALSE),"?"))</f>
        <v/>
      </c>
      <c r="BG100">
        <f>IF($BE100="","",IFERROR(VLOOKUP($BD100&amp;"-"&amp;$BE100,DECODE!$E$3:$F$21,2,FALSE),"?"))</f>
        <v/>
      </c>
      <c r="BH100">
        <f>IF($BC100="","",IFERROR(VALUE(RIGHT($BC100,3)),""))</f>
        <v/>
      </c>
      <c r="BI100">
        <f>IF($V100="","",IFERROR(IF(ISNUMBER($V100),$V100,DATEVALUE(TRIM($V100))),""))</f>
        <v/>
      </c>
      <c r="BJ100">
        <f>IF($BI100="","",IF(MONTH($BI100)&gt;=12,"Cold Winter",IF(MONTH($BI100)&gt;=10,"Post-Monsoon",IF(MONTH($BI100)&gt;=6,"Hot Humid",IF(MONTH($BI100)&gt;=3,"Hot Dry","Cold Winter")))))</f>
        <v/>
      </c>
      <c r="BK100">
        <f>IF($BD100="","",IFERROR(VLOOKUP($BD100,DECODE!$A$3:$C$8,2,FALSE),"?"))</f>
        <v/>
      </c>
      <c r="BL100">
        <f>IF($Q100="","",UPPER(TRIM(LEFT($Q100&amp;",",FIND(",",$Q100&amp;",")-1))))</f>
        <v/>
      </c>
      <c r="BM100">
        <f>IF($BL100="","",MID($BL100,4,FIND("~",SUBSTITUTE($BL100,"-","~",2))-4))</f>
        <v/>
      </c>
      <c r="BN100">
        <f>IF($BL100="","",MID($BL100,FIND("~",SUBSTITUTE($BL100,"-","~",2))+1,FIND("~",SUBSTITUTE($BL100,"-","~",3))-FIND("~",SUBSTITUTE($BL100,"-","~",2))-1))</f>
        <v/>
      </c>
      <c r="BO100">
        <f>IF($BM100="","",IFERROR(VLOOKUP($BM100,DECODE!$A$3:$C$8,3,FALSE),"?"))</f>
        <v/>
      </c>
      <c r="BP100">
        <f>IF($BN100="","",IFERROR(VLOOKUP($BM100&amp;"-"&amp;$BN100,DECODE!$E$3:$F$21,2,FALSE),"?"))</f>
        <v/>
      </c>
      <c r="BQ100">
        <f>IF($BL100="","",IFERROR(VALUE(RIGHT($BL100,3)),""))</f>
        <v/>
      </c>
      <c r="BR100">
        <f>IF($W100="","",IFERROR(IF(ISNUMBER($W100),$W100,DATEVALUE(TRIM($W100))),""))</f>
        <v/>
      </c>
      <c r="BS100">
        <f>IF($BR100="","",IF(MONTH($BR100)&gt;=12,"Cold Winter",IF(MONTH($BR100)&gt;=10,"Post-Monsoon",IF(MONTH($BR100)&gt;=6,"Hot Humid",IF(MONTH($BR100)&gt;=3,"Hot Dry","Cold Winter")))))</f>
        <v/>
      </c>
      <c r="BT100">
        <f>IF($BM100="","",IFERROR(VLOOKUP($BM100,DECODE!$A$3:$C$8,2,FALSE),"?"))</f>
        <v/>
      </c>
      <c r="BU100">
        <f>IF($R100="","",UPPER(TRIM(LEFT($R100&amp;",",FIND(",",$R100&amp;",")-1))))</f>
        <v/>
      </c>
      <c r="BV100">
        <f>IF($BU100="","",MID($BU100,4,FIND("~",SUBSTITUTE($BU100,"-","~",2))-4))</f>
        <v/>
      </c>
      <c r="BW100">
        <f>IF($BU100="","",MID($BU100,FIND("~",SUBSTITUTE($BU100,"-","~",2))+1,FIND("~",SUBSTITUTE($BU100,"-","~",3))-FIND("~",SUBSTITUTE($BU100,"-","~",2))-1))</f>
        <v/>
      </c>
      <c r="BX100">
        <f>IF($BV100="","",IFERROR(VLOOKUP($BV100,DECODE!$A$3:$C$8,3,FALSE),"?"))</f>
        <v/>
      </c>
      <c r="BY100">
        <f>IF($BW100="","",IFERROR(VLOOKUP($BV100&amp;"-"&amp;$BW100,DECODE!$E$3:$F$21,2,FALSE),"?"))</f>
        <v/>
      </c>
      <c r="BZ100">
        <f>IF($BU100="","",IFERROR(VALUE(RIGHT($BU100,3)),""))</f>
        <v/>
      </c>
      <c r="CA100">
        <f>IF($X100="","",IFERROR(IF(ISNUMBER($X100),$X100,DATEVALUE(TRIM($X100))),""))</f>
        <v/>
      </c>
      <c r="CB100">
        <f>IF($CA100="","",IF(MONTH($CA100)&gt;=12,"Cold Winter",IF(MONTH($CA100)&gt;=10,"Post-Monsoon",IF(MONTH($CA100)&gt;=6,"Hot Humid",IF(MONTH($CA100)&gt;=3,"Hot Dry","Cold Winter")))))</f>
        <v/>
      </c>
      <c r="CC100">
        <f>IF($BV100="","",IFERROR(VLOOKUP($BV100,DECODE!$A$3:$C$8,2,FALSE),"?"))</f>
        <v/>
      </c>
      <c r="CD100">
        <f>IF($S100="","",UPPER(TRIM(LEFT($S100&amp;",",FIND(",",$S100&amp;",")-1))))</f>
        <v/>
      </c>
      <c r="CE100">
        <f>IF($CD100="","",MID($CD100,4,FIND("~",SUBSTITUTE($CD100,"-","~",2))-4))</f>
        <v/>
      </c>
      <c r="CF100">
        <f>IF($CD100="","",MID($CD100,FIND("~",SUBSTITUTE($CD100,"-","~",2))+1,FIND("~",SUBSTITUTE($CD100,"-","~",3))-FIND("~",SUBSTITUTE($CD100,"-","~",2))-1))</f>
        <v/>
      </c>
      <c r="CG100">
        <f>IF($CE100="","",IFERROR(VLOOKUP($CE100,DECODE!$A$3:$C$8,3,FALSE),"?"))</f>
        <v/>
      </c>
      <c r="CH100">
        <f>IF($CF100="","",IFERROR(VLOOKUP($CE100&amp;"-"&amp;$CF100,DECODE!$E$3:$F$21,2,FALSE),"?"))</f>
        <v/>
      </c>
      <c r="CI100">
        <f>IF($CD100="","",IFERROR(VALUE(RIGHT($CD100,3)),""))</f>
        <v/>
      </c>
      <c r="CJ100">
        <f>IF($Y100="","",IFERROR(IF(ISNUMBER($Y100),$Y100,DATEVALUE(TRIM($Y100))),""))</f>
        <v/>
      </c>
      <c r="CK100">
        <f>IF($CJ100="","",IF(MONTH($CJ100)&gt;=12,"Cold Winter",IF(MONTH($CJ100)&gt;=10,"Post-Monsoon",IF(MONTH($CJ100)&gt;=6,"Hot Humid",IF(MONTH($CJ100)&gt;=3,"Hot Dry","Cold Winter")))))</f>
        <v/>
      </c>
      <c r="CL100">
        <f>IF($CE100="","",IFERROR(VLOOKUP($CE100,DECODE!$A$3:$C$8,2,FALSE),"?"))</f>
        <v/>
      </c>
      <c r="CM100">
        <f>IF($AN100="","",AN100)</f>
        <v/>
      </c>
      <c r="CN100">
        <f>IF($AO100="","",AO100)</f>
        <v/>
      </c>
      <c r="CO100">
        <f>IF($AP100="","",AP100)</f>
        <v/>
      </c>
      <c r="CP100">
        <f>IF($CM100="","",IF($CM100="Aloe Vera Gel","Aloe Vera Gel "&amp;$CO100&amp;"g",CN100&amp;" "&amp;$CO100&amp;"g"))</f>
        <v/>
      </c>
      <c r="CQ100">
        <f>IF($AT100="",0,1)</f>
        <v/>
      </c>
      <c r="CR100">
        <f>IF($CQ100=0,"",AW100)</f>
        <v/>
      </c>
      <c r="CS100">
        <f>IF($CQ100=0,"",AX100)</f>
        <v/>
      </c>
      <c r="CT100">
        <f>IF($CQ100=0,"",AY100)</f>
        <v/>
      </c>
      <c r="CU100">
        <f>IF($CR100="","",IF($CR100="Aloe Vera Gel","Aloe Vera Gel "&amp;$CT100&amp;"g",CS100&amp;" "&amp;$CT100&amp;"g"))</f>
        <v/>
      </c>
      <c r="CV100">
        <f>IF($CQ100=0,"",IF($CP100=$CU100,"Repeat Exact",IF($CT100&gt;$CO100,"Upsized",IF($CT100&lt;$CO100,"Downsized",IF($CM100&lt;&gt;$CR100,"Lateral","Same Size Diff Variant")))))</f>
        <v/>
      </c>
      <c r="CW100">
        <f>IF($CQ100=0,"",AZ100-AQ100)</f>
        <v/>
      </c>
      <c r="CX100">
        <f>IF($CQ100=0,0,IF(CS100=CN100,1,0))</f>
        <v/>
      </c>
      <c r="CY100">
        <f>IF($CQ100=0,0,IF(CR100=CM100,1,0))</f>
        <v/>
      </c>
      <c r="CZ100">
        <f>IF($A100="","",IF(AND(IF(DASHBOARD!$C$4="All",TRUE,$CM100=DASHBOARD!$C$4),IF(DASHBOARD!$C$6="All",TRUE,$CP100=DASHBOARD!$C$6),IF(DASHBOARD!$C$8="All",TRUE,$AF100&gt;=DASHBOARD!$C$8),IF(DASHBOARD!$C$10="All",TRUE,$AF100&lt;=DASHBOARD!$C$10),IF(DASHBOARD!$C$12="All",TRUE,$AH100=VALUE(DASHBOARD!$C$12)),IF(DASHBOARD!$C$14="All",TRUE,$AJ100=DASHBOARD!$C$14)),1,0))</f>
        <v/>
      </c>
    </row>
    <row r="101">
      <c r="A101" t="n">
        <v>59291</v>
      </c>
      <c r="B101" t="inlineStr">
        <is>
          <t>Face Malai</t>
        </is>
      </c>
      <c r="H101" t="inlineStr">
        <is>
          <t>Turmeric Nutmeg (Pigmentation)  Face Malai - 50g</t>
        </is>
      </c>
      <c r="N101" t="inlineStr">
        <is>
          <t>FC-DM-PG-050</t>
        </is>
      </c>
      <c r="T101" t="inlineStr">
        <is>
          <t>Jul 6, 2025</t>
        </is>
      </c>
      <c r="AE101" t="inlineStr">
        <is>
          <t>Ghaziabad</t>
        </is>
      </c>
      <c r="AF101" t="inlineStr">
        <is>
          <t>2025-07</t>
        </is>
      </c>
      <c r="AG101" t="n">
        <v>7</v>
      </c>
      <c r="AH101" t="n">
        <v>1</v>
      </c>
      <c r="AI101" t="n">
        <v>0</v>
      </c>
      <c r="AJ101">
        <f>IF($AE101="","",IFERROR(VLOOKUP(TRIM($AE101),DECODE!$H$3:$I$60,2,FALSE),"Rest of India"))</f>
        <v/>
      </c>
      <c r="AK101">
        <f>IF($N101="","",UPPER(TRIM(LEFT($N101&amp;",",FIND(",",$N101&amp;",")-1))))</f>
        <v/>
      </c>
      <c r="AL101">
        <f>IF($AK101="","",MID($AK101,4,FIND("~",SUBSTITUTE($AK101,"-","~",2))-4))</f>
        <v/>
      </c>
      <c r="AM101">
        <f>IF($AK101="","",MID($AK101,FIND("~",SUBSTITUTE($AK101,"-","~",2))+1,FIND("~",SUBSTITUTE($AK101,"-","~",3))-FIND("~",SUBSTITUTE($AK101,"-","~",2))-1))</f>
        <v/>
      </c>
      <c r="AN101">
        <f>IF($AL101="","",IFERROR(VLOOKUP($AL101,DECODE!$A$3:$C$8,3,FALSE),"?"))</f>
        <v/>
      </c>
      <c r="AO101">
        <f>IF($AM101="","",IFERROR(VLOOKUP($AL101&amp;"-"&amp;$AM101,DECODE!$E$3:$F$21,2,FALSE),"?"))</f>
        <v/>
      </c>
      <c r="AP101">
        <f>IF($AK101="","",IFERROR(VALUE(RIGHT($AK101,3)),""))</f>
        <v/>
      </c>
      <c r="AQ101">
        <f>IF($T101="","",IFERROR(IF(ISNUMBER($T101),$T101,DATEVALUE(TRIM($T101))),""))</f>
        <v/>
      </c>
      <c r="AR101">
        <f>IF($AQ101="","",IF(MONTH($AQ101)&gt;=12,"Cold Winter",IF(MONTH($AQ101)&gt;=10,"Post-Monsoon",IF(MONTH($AQ101)&gt;=6,"Hot Humid",IF(MONTH($AQ101)&gt;=3,"Hot Dry","Cold Winter")))))</f>
        <v/>
      </c>
      <c r="AS101">
        <f>IF($AL101="","",IFERROR(VLOOKUP($AL101,DECODE!$A$3:$C$8,2,FALSE),"?"))</f>
        <v/>
      </c>
      <c r="AT101">
        <f>IF($O101="","",UPPER(TRIM(LEFT($O101&amp;",",FIND(",",$O101&amp;",")-1))))</f>
        <v/>
      </c>
      <c r="AU101">
        <f>IF($AT101="","",MID($AT101,4,FIND("~",SUBSTITUTE($AT101,"-","~",2))-4))</f>
        <v/>
      </c>
      <c r="AV101">
        <f>IF($AT101="","",MID($AT101,FIND("~",SUBSTITUTE($AT101,"-","~",2))+1,FIND("~",SUBSTITUTE($AT101,"-","~",3))-FIND("~",SUBSTITUTE($AT101,"-","~",2))-1))</f>
        <v/>
      </c>
      <c r="AW101">
        <f>IF($AU101="","",IFERROR(VLOOKUP($AU101,DECODE!$A$3:$C$8,3,FALSE),"?"))</f>
        <v/>
      </c>
      <c r="AX101">
        <f>IF($AV101="","",IFERROR(VLOOKUP($AU101&amp;"-"&amp;$AV101,DECODE!$E$3:$F$21,2,FALSE),"?"))</f>
        <v/>
      </c>
      <c r="AY101">
        <f>IF($AT101="","",IFERROR(VALUE(RIGHT($AT101,3)),""))</f>
        <v/>
      </c>
      <c r="AZ101">
        <f>IF($U101="","",IFERROR(IF(ISNUMBER($U101),$U101,DATEVALUE(TRIM($U101))),""))</f>
        <v/>
      </c>
      <c r="BA101">
        <f>IF($AZ101="","",IF(MONTH($AZ101)&gt;=12,"Cold Winter",IF(MONTH($AZ101)&gt;=10,"Post-Monsoon",IF(MONTH($AZ101)&gt;=6,"Hot Humid",IF(MONTH($AZ101)&gt;=3,"Hot Dry","Cold Winter")))))</f>
        <v/>
      </c>
      <c r="BB101">
        <f>IF($AU101="","",IFERROR(VLOOKUP($AU101,DECODE!$A$3:$C$8,2,FALSE),"?"))</f>
        <v/>
      </c>
      <c r="BC101">
        <f>IF($P101="","",UPPER(TRIM(LEFT($P101&amp;",",FIND(",",$P101&amp;",")-1))))</f>
        <v/>
      </c>
      <c r="BD101">
        <f>IF($BC101="","",MID($BC101,4,FIND("~",SUBSTITUTE($BC101,"-","~",2))-4))</f>
        <v/>
      </c>
      <c r="BE101">
        <f>IF($BC101="","",MID($BC101,FIND("~",SUBSTITUTE($BC101,"-","~",2))+1,FIND("~",SUBSTITUTE($BC101,"-","~",3))-FIND("~",SUBSTITUTE($BC101,"-","~",2))-1))</f>
        <v/>
      </c>
      <c r="BF101">
        <f>IF($BD101="","",IFERROR(VLOOKUP($BD101,DECODE!$A$3:$C$8,3,FALSE),"?"))</f>
        <v/>
      </c>
      <c r="BG101">
        <f>IF($BE101="","",IFERROR(VLOOKUP($BD101&amp;"-"&amp;$BE101,DECODE!$E$3:$F$21,2,FALSE),"?"))</f>
        <v/>
      </c>
      <c r="BH101">
        <f>IF($BC101="","",IFERROR(VALUE(RIGHT($BC101,3)),""))</f>
        <v/>
      </c>
      <c r="BI101">
        <f>IF($V101="","",IFERROR(IF(ISNUMBER($V101),$V101,DATEVALUE(TRIM($V101))),""))</f>
        <v/>
      </c>
      <c r="BJ101">
        <f>IF($BI101="","",IF(MONTH($BI101)&gt;=12,"Cold Winter",IF(MONTH($BI101)&gt;=10,"Post-Monsoon",IF(MONTH($BI101)&gt;=6,"Hot Humid",IF(MONTH($BI101)&gt;=3,"Hot Dry","Cold Winter")))))</f>
        <v/>
      </c>
      <c r="BK101">
        <f>IF($BD101="","",IFERROR(VLOOKUP($BD101,DECODE!$A$3:$C$8,2,FALSE),"?"))</f>
        <v/>
      </c>
      <c r="BL101">
        <f>IF($Q101="","",UPPER(TRIM(LEFT($Q101&amp;",",FIND(",",$Q101&amp;",")-1))))</f>
        <v/>
      </c>
      <c r="BM101">
        <f>IF($BL101="","",MID($BL101,4,FIND("~",SUBSTITUTE($BL101,"-","~",2))-4))</f>
        <v/>
      </c>
      <c r="BN101">
        <f>IF($BL101="","",MID($BL101,FIND("~",SUBSTITUTE($BL101,"-","~",2))+1,FIND("~",SUBSTITUTE($BL101,"-","~",3))-FIND("~",SUBSTITUTE($BL101,"-","~",2))-1))</f>
        <v/>
      </c>
      <c r="BO101">
        <f>IF($BM101="","",IFERROR(VLOOKUP($BM101,DECODE!$A$3:$C$8,3,FALSE),"?"))</f>
        <v/>
      </c>
      <c r="BP101">
        <f>IF($BN101="","",IFERROR(VLOOKUP($BM101&amp;"-"&amp;$BN101,DECODE!$E$3:$F$21,2,FALSE),"?"))</f>
        <v/>
      </c>
      <c r="BQ101">
        <f>IF($BL101="","",IFERROR(VALUE(RIGHT($BL101,3)),""))</f>
        <v/>
      </c>
      <c r="BR101">
        <f>IF($W101="","",IFERROR(IF(ISNUMBER($W101),$W101,DATEVALUE(TRIM($W101))),""))</f>
        <v/>
      </c>
      <c r="BS101">
        <f>IF($BR101="","",IF(MONTH($BR101)&gt;=12,"Cold Winter",IF(MONTH($BR101)&gt;=10,"Post-Monsoon",IF(MONTH($BR101)&gt;=6,"Hot Humid",IF(MONTH($BR101)&gt;=3,"Hot Dry","Cold Winter")))))</f>
        <v/>
      </c>
      <c r="BT101">
        <f>IF($BM101="","",IFERROR(VLOOKUP($BM101,DECODE!$A$3:$C$8,2,FALSE),"?"))</f>
        <v/>
      </c>
      <c r="BU101">
        <f>IF($R101="","",UPPER(TRIM(LEFT($R101&amp;",",FIND(",",$R101&amp;",")-1))))</f>
        <v/>
      </c>
      <c r="BV101">
        <f>IF($BU101="","",MID($BU101,4,FIND("~",SUBSTITUTE($BU101,"-","~",2))-4))</f>
        <v/>
      </c>
      <c r="BW101">
        <f>IF($BU101="","",MID($BU101,FIND("~",SUBSTITUTE($BU101,"-","~",2))+1,FIND("~",SUBSTITUTE($BU101,"-","~",3))-FIND("~",SUBSTITUTE($BU101,"-","~",2))-1))</f>
        <v/>
      </c>
      <c r="BX101">
        <f>IF($BV101="","",IFERROR(VLOOKUP($BV101,DECODE!$A$3:$C$8,3,FALSE),"?"))</f>
        <v/>
      </c>
      <c r="BY101">
        <f>IF($BW101="","",IFERROR(VLOOKUP($BV101&amp;"-"&amp;$BW101,DECODE!$E$3:$F$21,2,FALSE),"?"))</f>
        <v/>
      </c>
      <c r="BZ101">
        <f>IF($BU101="","",IFERROR(VALUE(RIGHT($BU101,3)),""))</f>
        <v/>
      </c>
      <c r="CA101">
        <f>IF($X101="","",IFERROR(IF(ISNUMBER($X101),$X101,DATEVALUE(TRIM($X101))),""))</f>
        <v/>
      </c>
      <c r="CB101">
        <f>IF($CA101="","",IF(MONTH($CA101)&gt;=12,"Cold Winter",IF(MONTH($CA101)&gt;=10,"Post-Monsoon",IF(MONTH($CA101)&gt;=6,"Hot Humid",IF(MONTH($CA101)&gt;=3,"Hot Dry","Cold Winter")))))</f>
        <v/>
      </c>
      <c r="CC101">
        <f>IF($BV101="","",IFERROR(VLOOKUP($BV101,DECODE!$A$3:$C$8,2,FALSE),"?"))</f>
        <v/>
      </c>
      <c r="CD101">
        <f>IF($S101="","",UPPER(TRIM(LEFT($S101&amp;",",FIND(",",$S101&amp;",")-1))))</f>
        <v/>
      </c>
      <c r="CE101">
        <f>IF($CD101="","",MID($CD101,4,FIND("~",SUBSTITUTE($CD101,"-","~",2))-4))</f>
        <v/>
      </c>
      <c r="CF101">
        <f>IF($CD101="","",MID($CD101,FIND("~",SUBSTITUTE($CD101,"-","~",2))+1,FIND("~",SUBSTITUTE($CD101,"-","~",3))-FIND("~",SUBSTITUTE($CD101,"-","~",2))-1))</f>
        <v/>
      </c>
      <c r="CG101">
        <f>IF($CE101="","",IFERROR(VLOOKUP($CE101,DECODE!$A$3:$C$8,3,FALSE),"?"))</f>
        <v/>
      </c>
      <c r="CH101">
        <f>IF($CF101="","",IFERROR(VLOOKUP($CE101&amp;"-"&amp;$CF101,DECODE!$E$3:$F$21,2,FALSE),"?"))</f>
        <v/>
      </c>
      <c r="CI101">
        <f>IF($CD101="","",IFERROR(VALUE(RIGHT($CD101,3)),""))</f>
        <v/>
      </c>
      <c r="CJ101">
        <f>IF($Y101="","",IFERROR(IF(ISNUMBER($Y101),$Y101,DATEVALUE(TRIM($Y101))),""))</f>
        <v/>
      </c>
      <c r="CK101">
        <f>IF($CJ101="","",IF(MONTH($CJ101)&gt;=12,"Cold Winter",IF(MONTH($CJ101)&gt;=10,"Post-Monsoon",IF(MONTH($CJ101)&gt;=6,"Hot Humid",IF(MONTH($CJ101)&gt;=3,"Hot Dry","Cold Winter")))))</f>
        <v/>
      </c>
      <c r="CL101">
        <f>IF($CE101="","",IFERROR(VLOOKUP($CE101,DECODE!$A$3:$C$8,2,FALSE),"?"))</f>
        <v/>
      </c>
      <c r="CM101">
        <f>IF($AN101="","",AN101)</f>
        <v/>
      </c>
      <c r="CN101">
        <f>IF($AO101="","",AO101)</f>
        <v/>
      </c>
      <c r="CO101">
        <f>IF($AP101="","",AP101)</f>
        <v/>
      </c>
      <c r="CP101">
        <f>IF($CM101="","",IF($CM101="Aloe Vera Gel","Aloe Vera Gel "&amp;$CO101&amp;"g",CN101&amp;" "&amp;$CO101&amp;"g"))</f>
        <v/>
      </c>
      <c r="CQ101">
        <f>IF($AT101="",0,1)</f>
        <v/>
      </c>
      <c r="CR101">
        <f>IF($CQ101=0,"",AW101)</f>
        <v/>
      </c>
      <c r="CS101">
        <f>IF($CQ101=0,"",AX101)</f>
        <v/>
      </c>
      <c r="CT101">
        <f>IF($CQ101=0,"",AY101)</f>
        <v/>
      </c>
      <c r="CU101">
        <f>IF($CR101="","",IF($CR101="Aloe Vera Gel","Aloe Vera Gel "&amp;$CT101&amp;"g",CS101&amp;" "&amp;$CT101&amp;"g"))</f>
        <v/>
      </c>
      <c r="CV101">
        <f>IF($CQ101=0,"",IF($CP101=$CU101,"Repeat Exact",IF($CT101&gt;$CO101,"Upsized",IF($CT101&lt;$CO101,"Downsized",IF($CM101&lt;&gt;$CR101,"Lateral","Same Size Diff Variant")))))</f>
        <v/>
      </c>
      <c r="CW101">
        <f>IF($CQ101=0,"",AZ101-AQ101)</f>
        <v/>
      </c>
      <c r="CX101">
        <f>IF($CQ101=0,0,IF(CS101=CN101,1,0))</f>
        <v/>
      </c>
      <c r="CY101">
        <f>IF($CQ101=0,0,IF(CR101=CM101,1,0))</f>
        <v/>
      </c>
      <c r="CZ101">
        <f>IF($A101="","",IF(AND(IF(DASHBOARD!$C$4="All",TRUE,$CM101=DASHBOARD!$C$4),IF(DASHBOARD!$C$6="All",TRUE,$CP101=DASHBOARD!$C$6),IF(DASHBOARD!$C$8="All",TRUE,$AF101&gt;=DASHBOARD!$C$8),IF(DASHBOARD!$C$10="All",TRUE,$AF101&lt;=DASHBOARD!$C$10),IF(DASHBOARD!$C$12="All",TRUE,$AH101=VALUE(DASHBOARD!$C$12)),IF(DASHBOARD!$C$14="All",TRUE,$AJ101=DASHBOARD!$C$14)),1,0))</f>
        <v/>
      </c>
    </row>
    <row r="102">
      <c r="A102" t="n">
        <v>61321</v>
      </c>
      <c r="B102" t="inlineStr">
        <is>
          <t>Active Gel</t>
        </is>
      </c>
      <c r="H102" t="inlineStr">
        <is>
          <t>Active Olive Vit-E Night Gel</t>
        </is>
      </c>
      <c r="N102" t="inlineStr">
        <is>
          <t>FC-AC-OV-050</t>
        </is>
      </c>
      <c r="T102" t="inlineStr">
        <is>
          <t>Feb 3, 2024</t>
        </is>
      </c>
      <c r="AE102" t="inlineStr">
        <is>
          <t>Faridabad</t>
        </is>
      </c>
      <c r="AF102" t="inlineStr">
        <is>
          <t>2024-02</t>
        </is>
      </c>
      <c r="AG102" t="n">
        <v>2</v>
      </c>
      <c r="AH102" t="n">
        <v>1</v>
      </c>
      <c r="AI102" t="n">
        <v>0</v>
      </c>
      <c r="AJ102">
        <f>IF($AE102="","",IFERROR(VLOOKUP(TRIM($AE102),DECODE!$H$3:$I$60,2,FALSE),"Rest of India"))</f>
        <v/>
      </c>
      <c r="AK102">
        <f>IF($N102="","",UPPER(TRIM(LEFT($N102&amp;",",FIND(",",$N102&amp;",")-1))))</f>
        <v/>
      </c>
      <c r="AL102">
        <f>IF($AK102="","",MID($AK102,4,FIND("~",SUBSTITUTE($AK102,"-","~",2))-4))</f>
        <v/>
      </c>
      <c r="AM102">
        <f>IF($AK102="","",MID($AK102,FIND("~",SUBSTITUTE($AK102,"-","~",2))+1,FIND("~",SUBSTITUTE($AK102,"-","~",3))-FIND("~",SUBSTITUTE($AK102,"-","~",2))-1))</f>
        <v/>
      </c>
      <c r="AN102">
        <f>IF($AL102="","",IFERROR(VLOOKUP($AL102,DECODE!$A$3:$C$8,3,FALSE),"?"))</f>
        <v/>
      </c>
      <c r="AO102">
        <f>IF($AM102="","",IFERROR(VLOOKUP($AL102&amp;"-"&amp;$AM102,DECODE!$E$3:$F$21,2,FALSE),"?"))</f>
        <v/>
      </c>
      <c r="AP102">
        <f>IF($AK102="","",IFERROR(VALUE(RIGHT($AK102,3)),""))</f>
        <v/>
      </c>
      <c r="AQ102">
        <f>IF($T102="","",IFERROR(IF(ISNUMBER($T102),$T102,DATEVALUE(TRIM($T102))),""))</f>
        <v/>
      </c>
      <c r="AR102">
        <f>IF($AQ102="","",IF(MONTH($AQ102)&gt;=12,"Cold Winter",IF(MONTH($AQ102)&gt;=10,"Post-Monsoon",IF(MONTH($AQ102)&gt;=6,"Hot Humid",IF(MONTH($AQ102)&gt;=3,"Hot Dry","Cold Winter")))))</f>
        <v/>
      </c>
      <c r="AS102">
        <f>IF($AL102="","",IFERROR(VLOOKUP($AL102,DECODE!$A$3:$C$8,2,FALSE),"?"))</f>
        <v/>
      </c>
      <c r="AT102">
        <f>IF($O102="","",UPPER(TRIM(LEFT($O102&amp;",",FIND(",",$O102&amp;",")-1))))</f>
        <v/>
      </c>
      <c r="AU102">
        <f>IF($AT102="","",MID($AT102,4,FIND("~",SUBSTITUTE($AT102,"-","~",2))-4))</f>
        <v/>
      </c>
      <c r="AV102">
        <f>IF($AT102="","",MID($AT102,FIND("~",SUBSTITUTE($AT102,"-","~",2))+1,FIND("~",SUBSTITUTE($AT102,"-","~",3))-FIND("~",SUBSTITUTE($AT102,"-","~",2))-1))</f>
        <v/>
      </c>
      <c r="AW102">
        <f>IF($AU102="","",IFERROR(VLOOKUP($AU102,DECODE!$A$3:$C$8,3,FALSE),"?"))</f>
        <v/>
      </c>
      <c r="AX102">
        <f>IF($AV102="","",IFERROR(VLOOKUP($AU102&amp;"-"&amp;$AV102,DECODE!$E$3:$F$21,2,FALSE),"?"))</f>
        <v/>
      </c>
      <c r="AY102">
        <f>IF($AT102="","",IFERROR(VALUE(RIGHT($AT102,3)),""))</f>
        <v/>
      </c>
      <c r="AZ102">
        <f>IF($U102="","",IFERROR(IF(ISNUMBER($U102),$U102,DATEVALUE(TRIM($U102))),""))</f>
        <v/>
      </c>
      <c r="BA102">
        <f>IF($AZ102="","",IF(MONTH($AZ102)&gt;=12,"Cold Winter",IF(MONTH($AZ102)&gt;=10,"Post-Monsoon",IF(MONTH($AZ102)&gt;=6,"Hot Humid",IF(MONTH($AZ102)&gt;=3,"Hot Dry","Cold Winter")))))</f>
        <v/>
      </c>
      <c r="BB102">
        <f>IF($AU102="","",IFERROR(VLOOKUP($AU102,DECODE!$A$3:$C$8,2,FALSE),"?"))</f>
        <v/>
      </c>
      <c r="BC102">
        <f>IF($P102="","",UPPER(TRIM(LEFT($P102&amp;",",FIND(",",$P102&amp;",")-1))))</f>
        <v/>
      </c>
      <c r="BD102">
        <f>IF($BC102="","",MID($BC102,4,FIND("~",SUBSTITUTE($BC102,"-","~",2))-4))</f>
        <v/>
      </c>
      <c r="BE102">
        <f>IF($BC102="","",MID($BC102,FIND("~",SUBSTITUTE($BC102,"-","~",2))+1,FIND("~",SUBSTITUTE($BC102,"-","~",3))-FIND("~",SUBSTITUTE($BC102,"-","~",2))-1))</f>
        <v/>
      </c>
      <c r="BF102">
        <f>IF($BD102="","",IFERROR(VLOOKUP($BD102,DECODE!$A$3:$C$8,3,FALSE),"?"))</f>
        <v/>
      </c>
      <c r="BG102">
        <f>IF($BE102="","",IFERROR(VLOOKUP($BD102&amp;"-"&amp;$BE102,DECODE!$E$3:$F$21,2,FALSE),"?"))</f>
        <v/>
      </c>
      <c r="BH102">
        <f>IF($BC102="","",IFERROR(VALUE(RIGHT($BC102,3)),""))</f>
        <v/>
      </c>
      <c r="BI102">
        <f>IF($V102="","",IFERROR(IF(ISNUMBER($V102),$V102,DATEVALUE(TRIM($V102))),""))</f>
        <v/>
      </c>
      <c r="BJ102">
        <f>IF($BI102="","",IF(MONTH($BI102)&gt;=12,"Cold Winter",IF(MONTH($BI102)&gt;=10,"Post-Monsoon",IF(MONTH($BI102)&gt;=6,"Hot Humid",IF(MONTH($BI102)&gt;=3,"Hot Dry","Cold Winter")))))</f>
        <v/>
      </c>
      <c r="BK102">
        <f>IF($BD102="","",IFERROR(VLOOKUP($BD102,DECODE!$A$3:$C$8,2,FALSE),"?"))</f>
        <v/>
      </c>
      <c r="BL102">
        <f>IF($Q102="","",UPPER(TRIM(LEFT($Q102&amp;",",FIND(",",$Q102&amp;",")-1))))</f>
        <v/>
      </c>
      <c r="BM102">
        <f>IF($BL102="","",MID($BL102,4,FIND("~",SUBSTITUTE($BL102,"-","~",2))-4))</f>
        <v/>
      </c>
      <c r="BN102">
        <f>IF($BL102="","",MID($BL102,FIND("~",SUBSTITUTE($BL102,"-","~",2))+1,FIND("~",SUBSTITUTE($BL102,"-","~",3))-FIND("~",SUBSTITUTE($BL102,"-","~",2))-1))</f>
        <v/>
      </c>
      <c r="BO102">
        <f>IF($BM102="","",IFERROR(VLOOKUP($BM102,DECODE!$A$3:$C$8,3,FALSE),"?"))</f>
        <v/>
      </c>
      <c r="BP102">
        <f>IF($BN102="","",IFERROR(VLOOKUP($BM102&amp;"-"&amp;$BN102,DECODE!$E$3:$F$21,2,FALSE),"?"))</f>
        <v/>
      </c>
      <c r="BQ102">
        <f>IF($BL102="","",IFERROR(VALUE(RIGHT($BL102,3)),""))</f>
        <v/>
      </c>
      <c r="BR102">
        <f>IF($W102="","",IFERROR(IF(ISNUMBER($W102),$W102,DATEVALUE(TRIM($W102))),""))</f>
        <v/>
      </c>
      <c r="BS102">
        <f>IF($BR102="","",IF(MONTH($BR102)&gt;=12,"Cold Winter",IF(MONTH($BR102)&gt;=10,"Post-Monsoon",IF(MONTH($BR102)&gt;=6,"Hot Humid",IF(MONTH($BR102)&gt;=3,"Hot Dry","Cold Winter")))))</f>
        <v/>
      </c>
      <c r="BT102">
        <f>IF($BM102="","",IFERROR(VLOOKUP($BM102,DECODE!$A$3:$C$8,2,FALSE),"?"))</f>
        <v/>
      </c>
      <c r="BU102">
        <f>IF($R102="","",UPPER(TRIM(LEFT($R102&amp;",",FIND(",",$R102&amp;",")-1))))</f>
        <v/>
      </c>
      <c r="BV102">
        <f>IF($BU102="","",MID($BU102,4,FIND("~",SUBSTITUTE($BU102,"-","~",2))-4))</f>
        <v/>
      </c>
      <c r="BW102">
        <f>IF($BU102="","",MID($BU102,FIND("~",SUBSTITUTE($BU102,"-","~",2))+1,FIND("~",SUBSTITUTE($BU102,"-","~",3))-FIND("~",SUBSTITUTE($BU102,"-","~",2))-1))</f>
        <v/>
      </c>
      <c r="BX102">
        <f>IF($BV102="","",IFERROR(VLOOKUP($BV102,DECODE!$A$3:$C$8,3,FALSE),"?"))</f>
        <v/>
      </c>
      <c r="BY102">
        <f>IF($BW102="","",IFERROR(VLOOKUP($BV102&amp;"-"&amp;$BW102,DECODE!$E$3:$F$21,2,FALSE),"?"))</f>
        <v/>
      </c>
      <c r="BZ102">
        <f>IF($BU102="","",IFERROR(VALUE(RIGHT($BU102,3)),""))</f>
        <v/>
      </c>
      <c r="CA102">
        <f>IF($X102="","",IFERROR(IF(ISNUMBER($X102),$X102,DATEVALUE(TRIM($X102))),""))</f>
        <v/>
      </c>
      <c r="CB102">
        <f>IF($CA102="","",IF(MONTH($CA102)&gt;=12,"Cold Winter",IF(MONTH($CA102)&gt;=10,"Post-Monsoon",IF(MONTH($CA102)&gt;=6,"Hot Humid",IF(MONTH($CA102)&gt;=3,"Hot Dry","Cold Winter")))))</f>
        <v/>
      </c>
      <c r="CC102">
        <f>IF($BV102="","",IFERROR(VLOOKUP($BV102,DECODE!$A$3:$C$8,2,FALSE),"?"))</f>
        <v/>
      </c>
      <c r="CD102">
        <f>IF($S102="","",UPPER(TRIM(LEFT($S102&amp;",",FIND(",",$S102&amp;",")-1))))</f>
        <v/>
      </c>
      <c r="CE102">
        <f>IF($CD102="","",MID($CD102,4,FIND("~",SUBSTITUTE($CD102,"-","~",2))-4))</f>
        <v/>
      </c>
      <c r="CF102">
        <f>IF($CD102="","",MID($CD102,FIND("~",SUBSTITUTE($CD102,"-","~",2))+1,FIND("~",SUBSTITUTE($CD102,"-","~",3))-FIND("~",SUBSTITUTE($CD102,"-","~",2))-1))</f>
        <v/>
      </c>
      <c r="CG102">
        <f>IF($CE102="","",IFERROR(VLOOKUP($CE102,DECODE!$A$3:$C$8,3,FALSE),"?"))</f>
        <v/>
      </c>
      <c r="CH102">
        <f>IF($CF102="","",IFERROR(VLOOKUP($CE102&amp;"-"&amp;$CF102,DECODE!$E$3:$F$21,2,FALSE),"?"))</f>
        <v/>
      </c>
      <c r="CI102">
        <f>IF($CD102="","",IFERROR(VALUE(RIGHT($CD102,3)),""))</f>
        <v/>
      </c>
      <c r="CJ102">
        <f>IF($Y102="","",IFERROR(IF(ISNUMBER($Y102),$Y102,DATEVALUE(TRIM($Y102))),""))</f>
        <v/>
      </c>
      <c r="CK102">
        <f>IF($CJ102="","",IF(MONTH($CJ102)&gt;=12,"Cold Winter",IF(MONTH($CJ102)&gt;=10,"Post-Monsoon",IF(MONTH($CJ102)&gt;=6,"Hot Humid",IF(MONTH($CJ102)&gt;=3,"Hot Dry","Cold Winter")))))</f>
        <v/>
      </c>
      <c r="CL102">
        <f>IF($CE102="","",IFERROR(VLOOKUP($CE102,DECODE!$A$3:$C$8,2,FALSE),"?"))</f>
        <v/>
      </c>
      <c r="CM102">
        <f>IF($AN102="","",AN102)</f>
        <v/>
      </c>
      <c r="CN102">
        <f>IF($AO102="","",AO102)</f>
        <v/>
      </c>
      <c r="CO102">
        <f>IF($AP102="","",AP102)</f>
        <v/>
      </c>
      <c r="CP102">
        <f>IF($CM102="","",IF($CM102="Aloe Vera Gel","Aloe Vera Gel "&amp;$CO102&amp;"g",CN102&amp;" "&amp;$CO102&amp;"g"))</f>
        <v/>
      </c>
      <c r="CQ102">
        <f>IF($AT102="",0,1)</f>
        <v/>
      </c>
      <c r="CR102">
        <f>IF($CQ102=0,"",AW102)</f>
        <v/>
      </c>
      <c r="CS102">
        <f>IF($CQ102=0,"",AX102)</f>
        <v/>
      </c>
      <c r="CT102">
        <f>IF($CQ102=0,"",AY102)</f>
        <v/>
      </c>
      <c r="CU102">
        <f>IF($CR102="","",IF($CR102="Aloe Vera Gel","Aloe Vera Gel "&amp;$CT102&amp;"g",CS102&amp;" "&amp;$CT102&amp;"g"))</f>
        <v/>
      </c>
      <c r="CV102">
        <f>IF($CQ102=0,"",IF($CP102=$CU102,"Repeat Exact",IF($CT102&gt;$CO102,"Upsized",IF($CT102&lt;$CO102,"Downsized",IF($CM102&lt;&gt;$CR102,"Lateral","Same Size Diff Variant")))))</f>
        <v/>
      </c>
      <c r="CW102">
        <f>IF($CQ102=0,"",AZ102-AQ102)</f>
        <v/>
      </c>
      <c r="CX102">
        <f>IF($CQ102=0,0,IF(CS102=CN102,1,0))</f>
        <v/>
      </c>
      <c r="CY102">
        <f>IF($CQ102=0,0,IF(CR102=CM102,1,0))</f>
        <v/>
      </c>
      <c r="CZ102">
        <f>IF($A102="","",IF(AND(IF(DASHBOARD!$C$4="All",TRUE,$CM102=DASHBOARD!$C$4),IF(DASHBOARD!$C$6="All",TRUE,$CP102=DASHBOARD!$C$6),IF(DASHBOARD!$C$8="All",TRUE,$AF102&gt;=DASHBOARD!$C$8),IF(DASHBOARD!$C$10="All",TRUE,$AF102&lt;=DASHBOARD!$C$10),IF(DASHBOARD!$C$12="All",TRUE,$AH102=VALUE(DASHBOARD!$C$12)),IF(DASHBOARD!$C$14="All",TRUE,$AJ102=DASHBOARD!$C$14)),1,0))</f>
        <v/>
      </c>
    </row>
    <row r="103">
      <c r="A103" t="n">
        <v>63129</v>
      </c>
      <c r="B103" t="inlineStr">
        <is>
          <t>Aloe Vera Gel</t>
        </is>
      </c>
      <c r="H103" t="inlineStr">
        <is>
          <t>Aloe Vera Gel - 40 gms</t>
        </is>
      </c>
      <c r="N103" t="inlineStr">
        <is>
          <t>FC-HG-PA-040</t>
        </is>
      </c>
      <c r="T103" t="inlineStr">
        <is>
          <t>Jun 20, 2024</t>
        </is>
      </c>
      <c r="AE103" t="inlineStr">
        <is>
          <t>Gautam Buddha Nagar</t>
        </is>
      </c>
      <c r="AF103" t="inlineStr">
        <is>
          <t>2024-06</t>
        </is>
      </c>
      <c r="AG103" t="n">
        <v>6</v>
      </c>
      <c r="AH103" t="n">
        <v>1</v>
      </c>
      <c r="AI103" t="n">
        <v>0</v>
      </c>
      <c r="AJ103">
        <f>IF($AE103="","",IFERROR(VLOOKUP(TRIM($AE103),DECODE!$H$3:$I$60,2,FALSE),"Rest of India"))</f>
        <v/>
      </c>
      <c r="AK103">
        <f>IF($N103="","",UPPER(TRIM(LEFT($N103&amp;",",FIND(",",$N103&amp;",")-1))))</f>
        <v/>
      </c>
      <c r="AL103">
        <f>IF($AK103="","",MID($AK103,4,FIND("~",SUBSTITUTE($AK103,"-","~",2))-4))</f>
        <v/>
      </c>
      <c r="AM103">
        <f>IF($AK103="","",MID($AK103,FIND("~",SUBSTITUTE($AK103,"-","~",2))+1,FIND("~",SUBSTITUTE($AK103,"-","~",3))-FIND("~",SUBSTITUTE($AK103,"-","~",2))-1))</f>
        <v/>
      </c>
      <c r="AN103">
        <f>IF($AL103="","",IFERROR(VLOOKUP($AL103,DECODE!$A$3:$C$8,3,FALSE),"?"))</f>
        <v/>
      </c>
      <c r="AO103">
        <f>IF($AM103="","",IFERROR(VLOOKUP($AL103&amp;"-"&amp;$AM103,DECODE!$E$3:$F$21,2,FALSE),"?"))</f>
        <v/>
      </c>
      <c r="AP103">
        <f>IF($AK103="","",IFERROR(VALUE(RIGHT($AK103,3)),""))</f>
        <v/>
      </c>
      <c r="AQ103">
        <f>IF($T103="","",IFERROR(IF(ISNUMBER($T103),$T103,DATEVALUE(TRIM($T103))),""))</f>
        <v/>
      </c>
      <c r="AR103">
        <f>IF($AQ103="","",IF(MONTH($AQ103)&gt;=12,"Cold Winter",IF(MONTH($AQ103)&gt;=10,"Post-Monsoon",IF(MONTH($AQ103)&gt;=6,"Hot Humid",IF(MONTH($AQ103)&gt;=3,"Hot Dry","Cold Winter")))))</f>
        <v/>
      </c>
      <c r="AS103">
        <f>IF($AL103="","",IFERROR(VLOOKUP($AL103,DECODE!$A$3:$C$8,2,FALSE),"?"))</f>
        <v/>
      </c>
      <c r="AT103">
        <f>IF($O103="","",UPPER(TRIM(LEFT($O103&amp;",",FIND(",",$O103&amp;",")-1))))</f>
        <v/>
      </c>
      <c r="AU103">
        <f>IF($AT103="","",MID($AT103,4,FIND("~",SUBSTITUTE($AT103,"-","~",2))-4))</f>
        <v/>
      </c>
      <c r="AV103">
        <f>IF($AT103="","",MID($AT103,FIND("~",SUBSTITUTE($AT103,"-","~",2))+1,FIND("~",SUBSTITUTE($AT103,"-","~",3))-FIND("~",SUBSTITUTE($AT103,"-","~",2))-1))</f>
        <v/>
      </c>
      <c r="AW103">
        <f>IF($AU103="","",IFERROR(VLOOKUP($AU103,DECODE!$A$3:$C$8,3,FALSE),"?"))</f>
        <v/>
      </c>
      <c r="AX103">
        <f>IF($AV103="","",IFERROR(VLOOKUP($AU103&amp;"-"&amp;$AV103,DECODE!$E$3:$F$21,2,FALSE),"?"))</f>
        <v/>
      </c>
      <c r="AY103">
        <f>IF($AT103="","",IFERROR(VALUE(RIGHT($AT103,3)),""))</f>
        <v/>
      </c>
      <c r="AZ103">
        <f>IF($U103="","",IFERROR(IF(ISNUMBER($U103),$U103,DATEVALUE(TRIM($U103))),""))</f>
        <v/>
      </c>
      <c r="BA103">
        <f>IF($AZ103="","",IF(MONTH($AZ103)&gt;=12,"Cold Winter",IF(MONTH($AZ103)&gt;=10,"Post-Monsoon",IF(MONTH($AZ103)&gt;=6,"Hot Humid",IF(MONTH($AZ103)&gt;=3,"Hot Dry","Cold Winter")))))</f>
        <v/>
      </c>
      <c r="BB103">
        <f>IF($AU103="","",IFERROR(VLOOKUP($AU103,DECODE!$A$3:$C$8,2,FALSE),"?"))</f>
        <v/>
      </c>
      <c r="BC103">
        <f>IF($P103="","",UPPER(TRIM(LEFT($P103&amp;",",FIND(",",$P103&amp;",")-1))))</f>
        <v/>
      </c>
      <c r="BD103">
        <f>IF($BC103="","",MID($BC103,4,FIND("~",SUBSTITUTE($BC103,"-","~",2))-4))</f>
        <v/>
      </c>
      <c r="BE103">
        <f>IF($BC103="","",MID($BC103,FIND("~",SUBSTITUTE($BC103,"-","~",2))+1,FIND("~",SUBSTITUTE($BC103,"-","~",3))-FIND("~",SUBSTITUTE($BC103,"-","~",2))-1))</f>
        <v/>
      </c>
      <c r="BF103">
        <f>IF($BD103="","",IFERROR(VLOOKUP($BD103,DECODE!$A$3:$C$8,3,FALSE),"?"))</f>
        <v/>
      </c>
      <c r="BG103">
        <f>IF($BE103="","",IFERROR(VLOOKUP($BD103&amp;"-"&amp;$BE103,DECODE!$E$3:$F$21,2,FALSE),"?"))</f>
        <v/>
      </c>
      <c r="BH103">
        <f>IF($BC103="","",IFERROR(VALUE(RIGHT($BC103,3)),""))</f>
        <v/>
      </c>
      <c r="BI103">
        <f>IF($V103="","",IFERROR(IF(ISNUMBER($V103),$V103,DATEVALUE(TRIM($V103))),""))</f>
        <v/>
      </c>
      <c r="BJ103">
        <f>IF($BI103="","",IF(MONTH($BI103)&gt;=12,"Cold Winter",IF(MONTH($BI103)&gt;=10,"Post-Monsoon",IF(MONTH($BI103)&gt;=6,"Hot Humid",IF(MONTH($BI103)&gt;=3,"Hot Dry","Cold Winter")))))</f>
        <v/>
      </c>
      <c r="BK103">
        <f>IF($BD103="","",IFERROR(VLOOKUP($BD103,DECODE!$A$3:$C$8,2,FALSE),"?"))</f>
        <v/>
      </c>
      <c r="BL103">
        <f>IF($Q103="","",UPPER(TRIM(LEFT($Q103&amp;",",FIND(",",$Q103&amp;",")-1))))</f>
        <v/>
      </c>
      <c r="BM103">
        <f>IF($BL103="","",MID($BL103,4,FIND("~",SUBSTITUTE($BL103,"-","~",2))-4))</f>
        <v/>
      </c>
      <c r="BN103">
        <f>IF($BL103="","",MID($BL103,FIND("~",SUBSTITUTE($BL103,"-","~",2))+1,FIND("~",SUBSTITUTE($BL103,"-","~",3))-FIND("~",SUBSTITUTE($BL103,"-","~",2))-1))</f>
        <v/>
      </c>
      <c r="BO103">
        <f>IF($BM103="","",IFERROR(VLOOKUP($BM103,DECODE!$A$3:$C$8,3,FALSE),"?"))</f>
        <v/>
      </c>
      <c r="BP103">
        <f>IF($BN103="","",IFERROR(VLOOKUP($BM103&amp;"-"&amp;$BN103,DECODE!$E$3:$F$21,2,FALSE),"?"))</f>
        <v/>
      </c>
      <c r="BQ103">
        <f>IF($BL103="","",IFERROR(VALUE(RIGHT($BL103,3)),""))</f>
        <v/>
      </c>
      <c r="BR103">
        <f>IF($W103="","",IFERROR(IF(ISNUMBER($W103),$W103,DATEVALUE(TRIM($W103))),""))</f>
        <v/>
      </c>
      <c r="BS103">
        <f>IF($BR103="","",IF(MONTH($BR103)&gt;=12,"Cold Winter",IF(MONTH($BR103)&gt;=10,"Post-Monsoon",IF(MONTH($BR103)&gt;=6,"Hot Humid",IF(MONTH($BR103)&gt;=3,"Hot Dry","Cold Winter")))))</f>
        <v/>
      </c>
      <c r="BT103">
        <f>IF($BM103="","",IFERROR(VLOOKUP($BM103,DECODE!$A$3:$C$8,2,FALSE),"?"))</f>
        <v/>
      </c>
      <c r="BU103">
        <f>IF($R103="","",UPPER(TRIM(LEFT($R103&amp;",",FIND(",",$R103&amp;",")-1))))</f>
        <v/>
      </c>
      <c r="BV103">
        <f>IF($BU103="","",MID($BU103,4,FIND("~",SUBSTITUTE($BU103,"-","~",2))-4))</f>
        <v/>
      </c>
      <c r="BW103">
        <f>IF($BU103="","",MID($BU103,FIND("~",SUBSTITUTE($BU103,"-","~",2))+1,FIND("~",SUBSTITUTE($BU103,"-","~",3))-FIND("~",SUBSTITUTE($BU103,"-","~",2))-1))</f>
        <v/>
      </c>
      <c r="BX103">
        <f>IF($BV103="","",IFERROR(VLOOKUP($BV103,DECODE!$A$3:$C$8,3,FALSE),"?"))</f>
        <v/>
      </c>
      <c r="BY103">
        <f>IF($BW103="","",IFERROR(VLOOKUP($BV103&amp;"-"&amp;$BW103,DECODE!$E$3:$F$21,2,FALSE),"?"))</f>
        <v/>
      </c>
      <c r="BZ103">
        <f>IF($BU103="","",IFERROR(VALUE(RIGHT($BU103,3)),""))</f>
        <v/>
      </c>
      <c r="CA103">
        <f>IF($X103="","",IFERROR(IF(ISNUMBER($X103),$X103,DATEVALUE(TRIM($X103))),""))</f>
        <v/>
      </c>
      <c r="CB103">
        <f>IF($CA103="","",IF(MONTH($CA103)&gt;=12,"Cold Winter",IF(MONTH($CA103)&gt;=10,"Post-Monsoon",IF(MONTH($CA103)&gt;=6,"Hot Humid",IF(MONTH($CA103)&gt;=3,"Hot Dry","Cold Winter")))))</f>
        <v/>
      </c>
      <c r="CC103">
        <f>IF($BV103="","",IFERROR(VLOOKUP($BV103,DECODE!$A$3:$C$8,2,FALSE),"?"))</f>
        <v/>
      </c>
      <c r="CD103">
        <f>IF($S103="","",UPPER(TRIM(LEFT($S103&amp;",",FIND(",",$S103&amp;",")-1))))</f>
        <v/>
      </c>
      <c r="CE103">
        <f>IF($CD103="","",MID($CD103,4,FIND("~",SUBSTITUTE($CD103,"-","~",2))-4))</f>
        <v/>
      </c>
      <c r="CF103">
        <f>IF($CD103="","",MID($CD103,FIND("~",SUBSTITUTE($CD103,"-","~",2))+1,FIND("~",SUBSTITUTE($CD103,"-","~",3))-FIND("~",SUBSTITUTE($CD103,"-","~",2))-1))</f>
        <v/>
      </c>
      <c r="CG103">
        <f>IF($CE103="","",IFERROR(VLOOKUP($CE103,DECODE!$A$3:$C$8,3,FALSE),"?"))</f>
        <v/>
      </c>
      <c r="CH103">
        <f>IF($CF103="","",IFERROR(VLOOKUP($CE103&amp;"-"&amp;$CF103,DECODE!$E$3:$F$21,2,FALSE),"?"))</f>
        <v/>
      </c>
      <c r="CI103">
        <f>IF($CD103="","",IFERROR(VALUE(RIGHT($CD103,3)),""))</f>
        <v/>
      </c>
      <c r="CJ103">
        <f>IF($Y103="","",IFERROR(IF(ISNUMBER($Y103),$Y103,DATEVALUE(TRIM($Y103))),""))</f>
        <v/>
      </c>
      <c r="CK103">
        <f>IF($CJ103="","",IF(MONTH($CJ103)&gt;=12,"Cold Winter",IF(MONTH($CJ103)&gt;=10,"Post-Monsoon",IF(MONTH($CJ103)&gt;=6,"Hot Humid",IF(MONTH($CJ103)&gt;=3,"Hot Dry","Cold Winter")))))</f>
        <v/>
      </c>
      <c r="CL103">
        <f>IF($CE103="","",IFERROR(VLOOKUP($CE103,DECODE!$A$3:$C$8,2,FALSE),"?"))</f>
        <v/>
      </c>
      <c r="CM103">
        <f>IF($AN103="","",AN103)</f>
        <v/>
      </c>
      <c r="CN103">
        <f>IF($AO103="","",AO103)</f>
        <v/>
      </c>
      <c r="CO103">
        <f>IF($AP103="","",AP103)</f>
        <v/>
      </c>
      <c r="CP103">
        <f>IF($CM103="","",IF($CM103="Aloe Vera Gel","Aloe Vera Gel "&amp;$CO103&amp;"g",CN103&amp;" "&amp;$CO103&amp;"g"))</f>
        <v/>
      </c>
      <c r="CQ103">
        <f>IF($AT103="",0,1)</f>
        <v/>
      </c>
      <c r="CR103">
        <f>IF($CQ103=0,"",AW103)</f>
        <v/>
      </c>
      <c r="CS103">
        <f>IF($CQ103=0,"",AX103)</f>
        <v/>
      </c>
      <c r="CT103">
        <f>IF($CQ103=0,"",AY103)</f>
        <v/>
      </c>
      <c r="CU103">
        <f>IF($CR103="","",IF($CR103="Aloe Vera Gel","Aloe Vera Gel "&amp;$CT103&amp;"g",CS103&amp;" "&amp;$CT103&amp;"g"))</f>
        <v/>
      </c>
      <c r="CV103">
        <f>IF($CQ103=0,"",IF($CP103=$CU103,"Repeat Exact",IF($CT103&gt;$CO103,"Upsized",IF($CT103&lt;$CO103,"Downsized",IF($CM103&lt;&gt;$CR103,"Lateral","Same Size Diff Variant")))))</f>
        <v/>
      </c>
      <c r="CW103">
        <f>IF($CQ103=0,"",AZ103-AQ103)</f>
        <v/>
      </c>
      <c r="CX103">
        <f>IF($CQ103=0,0,IF(CS103=CN103,1,0))</f>
        <v/>
      </c>
      <c r="CY103">
        <f>IF($CQ103=0,0,IF(CR103=CM103,1,0))</f>
        <v/>
      </c>
      <c r="CZ103">
        <f>IF($A103="","",IF(AND(IF(DASHBOARD!$C$4="All",TRUE,$CM103=DASHBOARD!$C$4),IF(DASHBOARD!$C$6="All",TRUE,$CP103=DASHBOARD!$C$6),IF(DASHBOARD!$C$8="All",TRUE,$AF103&gt;=DASHBOARD!$C$8),IF(DASHBOARD!$C$10="All",TRUE,$AF103&lt;=DASHBOARD!$C$10),IF(DASHBOARD!$C$12="All",TRUE,$AH103=VALUE(DASHBOARD!$C$12)),IF(DASHBOARD!$C$14="All",TRUE,$AJ103=DASHBOARD!$C$14)),1,0))</f>
        <v/>
      </c>
    </row>
    <row r="104">
      <c r="A104" t="n">
        <v>63989</v>
      </c>
      <c r="B104" t="inlineStr">
        <is>
          <t>Aloe Vera Gel</t>
        </is>
      </c>
      <c r="H104" t="inlineStr">
        <is>
          <t>Aloe Vera Gel - 80 gms</t>
        </is>
      </c>
      <c r="N104" t="inlineStr">
        <is>
          <t>FC-HG-PA-080</t>
        </is>
      </c>
      <c r="T104" t="inlineStr">
        <is>
          <t>Oct 27, 2025</t>
        </is>
      </c>
      <c r="AE104" t="inlineStr">
        <is>
          <t>Ghaziabad</t>
        </is>
      </c>
      <c r="AF104" t="inlineStr">
        <is>
          <t>2025-10</t>
        </is>
      </c>
      <c r="AG104" t="n">
        <v>10</v>
      </c>
      <c r="AH104" t="n">
        <v>1</v>
      </c>
      <c r="AI104" t="n">
        <v>0</v>
      </c>
      <c r="AJ104">
        <f>IF($AE104="","",IFERROR(VLOOKUP(TRIM($AE104),DECODE!$H$3:$I$60,2,FALSE),"Rest of India"))</f>
        <v/>
      </c>
      <c r="AK104">
        <f>IF($N104="","",UPPER(TRIM(LEFT($N104&amp;",",FIND(",",$N104&amp;",")-1))))</f>
        <v/>
      </c>
      <c r="AL104">
        <f>IF($AK104="","",MID($AK104,4,FIND("~",SUBSTITUTE($AK104,"-","~",2))-4))</f>
        <v/>
      </c>
      <c r="AM104">
        <f>IF($AK104="","",MID($AK104,FIND("~",SUBSTITUTE($AK104,"-","~",2))+1,FIND("~",SUBSTITUTE($AK104,"-","~",3))-FIND("~",SUBSTITUTE($AK104,"-","~",2))-1))</f>
        <v/>
      </c>
      <c r="AN104">
        <f>IF($AL104="","",IFERROR(VLOOKUP($AL104,DECODE!$A$3:$C$8,3,FALSE),"?"))</f>
        <v/>
      </c>
      <c r="AO104">
        <f>IF($AM104="","",IFERROR(VLOOKUP($AL104&amp;"-"&amp;$AM104,DECODE!$E$3:$F$21,2,FALSE),"?"))</f>
        <v/>
      </c>
      <c r="AP104">
        <f>IF($AK104="","",IFERROR(VALUE(RIGHT($AK104,3)),""))</f>
        <v/>
      </c>
      <c r="AQ104">
        <f>IF($T104="","",IFERROR(IF(ISNUMBER($T104),$T104,DATEVALUE(TRIM($T104))),""))</f>
        <v/>
      </c>
      <c r="AR104">
        <f>IF($AQ104="","",IF(MONTH($AQ104)&gt;=12,"Cold Winter",IF(MONTH($AQ104)&gt;=10,"Post-Monsoon",IF(MONTH($AQ104)&gt;=6,"Hot Humid",IF(MONTH($AQ104)&gt;=3,"Hot Dry","Cold Winter")))))</f>
        <v/>
      </c>
      <c r="AS104">
        <f>IF($AL104="","",IFERROR(VLOOKUP($AL104,DECODE!$A$3:$C$8,2,FALSE),"?"))</f>
        <v/>
      </c>
      <c r="AT104">
        <f>IF($O104="","",UPPER(TRIM(LEFT($O104&amp;",",FIND(",",$O104&amp;",")-1))))</f>
        <v/>
      </c>
      <c r="AU104">
        <f>IF($AT104="","",MID($AT104,4,FIND("~",SUBSTITUTE($AT104,"-","~",2))-4))</f>
        <v/>
      </c>
      <c r="AV104">
        <f>IF($AT104="","",MID($AT104,FIND("~",SUBSTITUTE($AT104,"-","~",2))+1,FIND("~",SUBSTITUTE($AT104,"-","~",3))-FIND("~",SUBSTITUTE($AT104,"-","~",2))-1))</f>
        <v/>
      </c>
      <c r="AW104">
        <f>IF($AU104="","",IFERROR(VLOOKUP($AU104,DECODE!$A$3:$C$8,3,FALSE),"?"))</f>
        <v/>
      </c>
      <c r="AX104">
        <f>IF($AV104="","",IFERROR(VLOOKUP($AU104&amp;"-"&amp;$AV104,DECODE!$E$3:$F$21,2,FALSE),"?"))</f>
        <v/>
      </c>
      <c r="AY104">
        <f>IF($AT104="","",IFERROR(VALUE(RIGHT($AT104,3)),""))</f>
        <v/>
      </c>
      <c r="AZ104">
        <f>IF($U104="","",IFERROR(IF(ISNUMBER($U104),$U104,DATEVALUE(TRIM($U104))),""))</f>
        <v/>
      </c>
      <c r="BA104">
        <f>IF($AZ104="","",IF(MONTH($AZ104)&gt;=12,"Cold Winter",IF(MONTH($AZ104)&gt;=10,"Post-Monsoon",IF(MONTH($AZ104)&gt;=6,"Hot Humid",IF(MONTH($AZ104)&gt;=3,"Hot Dry","Cold Winter")))))</f>
        <v/>
      </c>
      <c r="BB104">
        <f>IF($AU104="","",IFERROR(VLOOKUP($AU104,DECODE!$A$3:$C$8,2,FALSE),"?"))</f>
        <v/>
      </c>
      <c r="BC104">
        <f>IF($P104="","",UPPER(TRIM(LEFT($P104&amp;",",FIND(",",$P104&amp;",")-1))))</f>
        <v/>
      </c>
      <c r="BD104">
        <f>IF($BC104="","",MID($BC104,4,FIND("~",SUBSTITUTE($BC104,"-","~",2))-4))</f>
        <v/>
      </c>
      <c r="BE104">
        <f>IF($BC104="","",MID($BC104,FIND("~",SUBSTITUTE($BC104,"-","~",2))+1,FIND("~",SUBSTITUTE($BC104,"-","~",3))-FIND("~",SUBSTITUTE($BC104,"-","~",2))-1))</f>
        <v/>
      </c>
      <c r="BF104">
        <f>IF($BD104="","",IFERROR(VLOOKUP($BD104,DECODE!$A$3:$C$8,3,FALSE),"?"))</f>
        <v/>
      </c>
      <c r="BG104">
        <f>IF($BE104="","",IFERROR(VLOOKUP($BD104&amp;"-"&amp;$BE104,DECODE!$E$3:$F$21,2,FALSE),"?"))</f>
        <v/>
      </c>
      <c r="BH104">
        <f>IF($BC104="","",IFERROR(VALUE(RIGHT($BC104,3)),""))</f>
        <v/>
      </c>
      <c r="BI104">
        <f>IF($V104="","",IFERROR(IF(ISNUMBER($V104),$V104,DATEVALUE(TRIM($V104))),""))</f>
        <v/>
      </c>
      <c r="BJ104">
        <f>IF($BI104="","",IF(MONTH($BI104)&gt;=12,"Cold Winter",IF(MONTH($BI104)&gt;=10,"Post-Monsoon",IF(MONTH($BI104)&gt;=6,"Hot Humid",IF(MONTH($BI104)&gt;=3,"Hot Dry","Cold Winter")))))</f>
        <v/>
      </c>
      <c r="BK104">
        <f>IF($BD104="","",IFERROR(VLOOKUP($BD104,DECODE!$A$3:$C$8,2,FALSE),"?"))</f>
        <v/>
      </c>
      <c r="BL104">
        <f>IF($Q104="","",UPPER(TRIM(LEFT($Q104&amp;",",FIND(",",$Q104&amp;",")-1))))</f>
        <v/>
      </c>
      <c r="BM104">
        <f>IF($BL104="","",MID($BL104,4,FIND("~",SUBSTITUTE($BL104,"-","~",2))-4))</f>
        <v/>
      </c>
      <c r="BN104">
        <f>IF($BL104="","",MID($BL104,FIND("~",SUBSTITUTE($BL104,"-","~",2))+1,FIND("~",SUBSTITUTE($BL104,"-","~",3))-FIND("~",SUBSTITUTE($BL104,"-","~",2))-1))</f>
        <v/>
      </c>
      <c r="BO104">
        <f>IF($BM104="","",IFERROR(VLOOKUP($BM104,DECODE!$A$3:$C$8,3,FALSE),"?"))</f>
        <v/>
      </c>
      <c r="BP104">
        <f>IF($BN104="","",IFERROR(VLOOKUP($BM104&amp;"-"&amp;$BN104,DECODE!$E$3:$F$21,2,FALSE),"?"))</f>
        <v/>
      </c>
      <c r="BQ104">
        <f>IF($BL104="","",IFERROR(VALUE(RIGHT($BL104,3)),""))</f>
        <v/>
      </c>
      <c r="BR104">
        <f>IF($W104="","",IFERROR(IF(ISNUMBER($W104),$W104,DATEVALUE(TRIM($W104))),""))</f>
        <v/>
      </c>
      <c r="BS104">
        <f>IF($BR104="","",IF(MONTH($BR104)&gt;=12,"Cold Winter",IF(MONTH($BR104)&gt;=10,"Post-Monsoon",IF(MONTH($BR104)&gt;=6,"Hot Humid",IF(MONTH($BR104)&gt;=3,"Hot Dry","Cold Winter")))))</f>
        <v/>
      </c>
      <c r="BT104">
        <f>IF($BM104="","",IFERROR(VLOOKUP($BM104,DECODE!$A$3:$C$8,2,FALSE),"?"))</f>
        <v/>
      </c>
      <c r="BU104">
        <f>IF($R104="","",UPPER(TRIM(LEFT($R104&amp;",",FIND(",",$R104&amp;",")-1))))</f>
        <v/>
      </c>
      <c r="BV104">
        <f>IF($BU104="","",MID($BU104,4,FIND("~",SUBSTITUTE($BU104,"-","~",2))-4))</f>
        <v/>
      </c>
      <c r="BW104">
        <f>IF($BU104="","",MID($BU104,FIND("~",SUBSTITUTE($BU104,"-","~",2))+1,FIND("~",SUBSTITUTE($BU104,"-","~",3))-FIND("~",SUBSTITUTE($BU104,"-","~",2))-1))</f>
        <v/>
      </c>
      <c r="BX104">
        <f>IF($BV104="","",IFERROR(VLOOKUP($BV104,DECODE!$A$3:$C$8,3,FALSE),"?"))</f>
        <v/>
      </c>
      <c r="BY104">
        <f>IF($BW104="","",IFERROR(VLOOKUP($BV104&amp;"-"&amp;$BW104,DECODE!$E$3:$F$21,2,FALSE),"?"))</f>
        <v/>
      </c>
      <c r="BZ104">
        <f>IF($BU104="","",IFERROR(VALUE(RIGHT($BU104,3)),""))</f>
        <v/>
      </c>
      <c r="CA104">
        <f>IF($X104="","",IFERROR(IF(ISNUMBER($X104),$X104,DATEVALUE(TRIM($X104))),""))</f>
        <v/>
      </c>
      <c r="CB104">
        <f>IF($CA104="","",IF(MONTH($CA104)&gt;=12,"Cold Winter",IF(MONTH($CA104)&gt;=10,"Post-Monsoon",IF(MONTH($CA104)&gt;=6,"Hot Humid",IF(MONTH($CA104)&gt;=3,"Hot Dry","Cold Winter")))))</f>
        <v/>
      </c>
      <c r="CC104">
        <f>IF($BV104="","",IFERROR(VLOOKUP($BV104,DECODE!$A$3:$C$8,2,FALSE),"?"))</f>
        <v/>
      </c>
      <c r="CD104">
        <f>IF($S104="","",UPPER(TRIM(LEFT($S104&amp;",",FIND(",",$S104&amp;",")-1))))</f>
        <v/>
      </c>
      <c r="CE104">
        <f>IF($CD104="","",MID($CD104,4,FIND("~",SUBSTITUTE($CD104,"-","~",2))-4))</f>
        <v/>
      </c>
      <c r="CF104">
        <f>IF($CD104="","",MID($CD104,FIND("~",SUBSTITUTE($CD104,"-","~",2))+1,FIND("~",SUBSTITUTE($CD104,"-","~",3))-FIND("~",SUBSTITUTE($CD104,"-","~",2))-1))</f>
        <v/>
      </c>
      <c r="CG104">
        <f>IF($CE104="","",IFERROR(VLOOKUP($CE104,DECODE!$A$3:$C$8,3,FALSE),"?"))</f>
        <v/>
      </c>
      <c r="CH104">
        <f>IF($CF104="","",IFERROR(VLOOKUP($CE104&amp;"-"&amp;$CF104,DECODE!$E$3:$F$21,2,FALSE),"?"))</f>
        <v/>
      </c>
      <c r="CI104">
        <f>IF($CD104="","",IFERROR(VALUE(RIGHT($CD104,3)),""))</f>
        <v/>
      </c>
      <c r="CJ104">
        <f>IF($Y104="","",IFERROR(IF(ISNUMBER($Y104),$Y104,DATEVALUE(TRIM($Y104))),""))</f>
        <v/>
      </c>
      <c r="CK104">
        <f>IF($CJ104="","",IF(MONTH($CJ104)&gt;=12,"Cold Winter",IF(MONTH($CJ104)&gt;=10,"Post-Monsoon",IF(MONTH($CJ104)&gt;=6,"Hot Humid",IF(MONTH($CJ104)&gt;=3,"Hot Dry","Cold Winter")))))</f>
        <v/>
      </c>
      <c r="CL104">
        <f>IF($CE104="","",IFERROR(VLOOKUP($CE104,DECODE!$A$3:$C$8,2,FALSE),"?"))</f>
        <v/>
      </c>
      <c r="CM104">
        <f>IF($AN104="","",AN104)</f>
        <v/>
      </c>
      <c r="CN104">
        <f>IF($AO104="","",AO104)</f>
        <v/>
      </c>
      <c r="CO104">
        <f>IF($AP104="","",AP104)</f>
        <v/>
      </c>
      <c r="CP104">
        <f>IF($CM104="","",IF($CM104="Aloe Vera Gel","Aloe Vera Gel "&amp;$CO104&amp;"g",CN104&amp;" "&amp;$CO104&amp;"g"))</f>
        <v/>
      </c>
      <c r="CQ104">
        <f>IF($AT104="",0,1)</f>
        <v/>
      </c>
      <c r="CR104">
        <f>IF($CQ104=0,"",AW104)</f>
        <v/>
      </c>
      <c r="CS104">
        <f>IF($CQ104=0,"",AX104)</f>
        <v/>
      </c>
      <c r="CT104">
        <f>IF($CQ104=0,"",AY104)</f>
        <v/>
      </c>
      <c r="CU104">
        <f>IF($CR104="","",IF($CR104="Aloe Vera Gel","Aloe Vera Gel "&amp;$CT104&amp;"g",CS104&amp;" "&amp;$CT104&amp;"g"))</f>
        <v/>
      </c>
      <c r="CV104">
        <f>IF($CQ104=0,"",IF($CP104=$CU104,"Repeat Exact",IF($CT104&gt;$CO104,"Upsized",IF($CT104&lt;$CO104,"Downsized",IF($CM104&lt;&gt;$CR104,"Lateral","Same Size Diff Variant")))))</f>
        <v/>
      </c>
      <c r="CW104">
        <f>IF($CQ104=0,"",AZ104-AQ104)</f>
        <v/>
      </c>
      <c r="CX104">
        <f>IF($CQ104=0,0,IF(CS104=CN104,1,0))</f>
        <v/>
      </c>
      <c r="CY104">
        <f>IF($CQ104=0,0,IF(CR104=CM104,1,0))</f>
        <v/>
      </c>
      <c r="CZ104">
        <f>IF($A104="","",IF(AND(IF(DASHBOARD!$C$4="All",TRUE,$CM104=DASHBOARD!$C$4),IF(DASHBOARD!$C$6="All",TRUE,$CP104=DASHBOARD!$C$6),IF(DASHBOARD!$C$8="All",TRUE,$AF104&gt;=DASHBOARD!$C$8),IF(DASHBOARD!$C$10="All",TRUE,$AF104&lt;=DASHBOARD!$C$10),IF(DASHBOARD!$C$12="All",TRUE,$AH104=VALUE(DASHBOARD!$C$12)),IF(DASHBOARD!$C$14="All",TRUE,$AJ104=DASHBOARD!$C$14)),1,0))</f>
        <v/>
      </c>
    </row>
    <row r="105">
      <c r="A105" t="n">
        <v>65629</v>
      </c>
      <c r="B105" t="inlineStr">
        <is>
          <t>Aloe Vera Gel</t>
        </is>
      </c>
      <c r="H105" t="inlineStr">
        <is>
          <t>Aloe Vera Gel - 40 gms</t>
        </is>
      </c>
      <c r="N105" t="inlineStr">
        <is>
          <t>FC-HG-PA-040</t>
        </is>
      </c>
      <c r="T105" t="inlineStr">
        <is>
          <t>Jul 4, 2024</t>
        </is>
      </c>
      <c r="AE105" t="inlineStr">
        <is>
          <t>Faizabad</t>
        </is>
      </c>
      <c r="AF105" t="inlineStr">
        <is>
          <t>2024-07</t>
        </is>
      </c>
      <c r="AG105" t="n">
        <v>7</v>
      </c>
      <c r="AH105" t="n">
        <v>1</v>
      </c>
      <c r="AI105" t="n">
        <v>0</v>
      </c>
      <c r="AJ105">
        <f>IF($AE105="","",IFERROR(VLOOKUP(TRIM($AE105),DECODE!$H$3:$I$60,2,FALSE),"Rest of India"))</f>
        <v/>
      </c>
      <c r="AK105">
        <f>IF($N105="","",UPPER(TRIM(LEFT($N105&amp;",",FIND(",",$N105&amp;",")-1))))</f>
        <v/>
      </c>
      <c r="AL105">
        <f>IF($AK105="","",MID($AK105,4,FIND("~",SUBSTITUTE($AK105,"-","~",2))-4))</f>
        <v/>
      </c>
      <c r="AM105">
        <f>IF($AK105="","",MID($AK105,FIND("~",SUBSTITUTE($AK105,"-","~",2))+1,FIND("~",SUBSTITUTE($AK105,"-","~",3))-FIND("~",SUBSTITUTE($AK105,"-","~",2))-1))</f>
        <v/>
      </c>
      <c r="AN105">
        <f>IF($AL105="","",IFERROR(VLOOKUP($AL105,DECODE!$A$3:$C$8,3,FALSE),"?"))</f>
        <v/>
      </c>
      <c r="AO105">
        <f>IF($AM105="","",IFERROR(VLOOKUP($AL105&amp;"-"&amp;$AM105,DECODE!$E$3:$F$21,2,FALSE),"?"))</f>
        <v/>
      </c>
      <c r="AP105">
        <f>IF($AK105="","",IFERROR(VALUE(RIGHT($AK105,3)),""))</f>
        <v/>
      </c>
      <c r="AQ105">
        <f>IF($T105="","",IFERROR(IF(ISNUMBER($T105),$T105,DATEVALUE(TRIM($T105))),""))</f>
        <v/>
      </c>
      <c r="AR105">
        <f>IF($AQ105="","",IF(MONTH($AQ105)&gt;=12,"Cold Winter",IF(MONTH($AQ105)&gt;=10,"Post-Monsoon",IF(MONTH($AQ105)&gt;=6,"Hot Humid",IF(MONTH($AQ105)&gt;=3,"Hot Dry","Cold Winter")))))</f>
        <v/>
      </c>
      <c r="AS105">
        <f>IF($AL105="","",IFERROR(VLOOKUP($AL105,DECODE!$A$3:$C$8,2,FALSE),"?"))</f>
        <v/>
      </c>
      <c r="AT105">
        <f>IF($O105="","",UPPER(TRIM(LEFT($O105&amp;",",FIND(",",$O105&amp;",")-1))))</f>
        <v/>
      </c>
      <c r="AU105">
        <f>IF($AT105="","",MID($AT105,4,FIND("~",SUBSTITUTE($AT105,"-","~",2))-4))</f>
        <v/>
      </c>
      <c r="AV105">
        <f>IF($AT105="","",MID($AT105,FIND("~",SUBSTITUTE($AT105,"-","~",2))+1,FIND("~",SUBSTITUTE($AT105,"-","~",3))-FIND("~",SUBSTITUTE($AT105,"-","~",2))-1))</f>
        <v/>
      </c>
      <c r="AW105">
        <f>IF($AU105="","",IFERROR(VLOOKUP($AU105,DECODE!$A$3:$C$8,3,FALSE),"?"))</f>
        <v/>
      </c>
      <c r="AX105">
        <f>IF($AV105="","",IFERROR(VLOOKUP($AU105&amp;"-"&amp;$AV105,DECODE!$E$3:$F$21,2,FALSE),"?"))</f>
        <v/>
      </c>
      <c r="AY105">
        <f>IF($AT105="","",IFERROR(VALUE(RIGHT($AT105,3)),""))</f>
        <v/>
      </c>
      <c r="AZ105">
        <f>IF($U105="","",IFERROR(IF(ISNUMBER($U105),$U105,DATEVALUE(TRIM($U105))),""))</f>
        <v/>
      </c>
      <c r="BA105">
        <f>IF($AZ105="","",IF(MONTH($AZ105)&gt;=12,"Cold Winter",IF(MONTH($AZ105)&gt;=10,"Post-Monsoon",IF(MONTH($AZ105)&gt;=6,"Hot Humid",IF(MONTH($AZ105)&gt;=3,"Hot Dry","Cold Winter")))))</f>
        <v/>
      </c>
      <c r="BB105">
        <f>IF($AU105="","",IFERROR(VLOOKUP($AU105,DECODE!$A$3:$C$8,2,FALSE),"?"))</f>
        <v/>
      </c>
      <c r="BC105">
        <f>IF($P105="","",UPPER(TRIM(LEFT($P105&amp;",",FIND(",",$P105&amp;",")-1))))</f>
        <v/>
      </c>
      <c r="BD105">
        <f>IF($BC105="","",MID($BC105,4,FIND("~",SUBSTITUTE($BC105,"-","~",2))-4))</f>
        <v/>
      </c>
      <c r="BE105">
        <f>IF($BC105="","",MID($BC105,FIND("~",SUBSTITUTE($BC105,"-","~",2))+1,FIND("~",SUBSTITUTE($BC105,"-","~",3))-FIND("~",SUBSTITUTE($BC105,"-","~",2))-1))</f>
        <v/>
      </c>
      <c r="BF105">
        <f>IF($BD105="","",IFERROR(VLOOKUP($BD105,DECODE!$A$3:$C$8,3,FALSE),"?"))</f>
        <v/>
      </c>
      <c r="BG105">
        <f>IF($BE105="","",IFERROR(VLOOKUP($BD105&amp;"-"&amp;$BE105,DECODE!$E$3:$F$21,2,FALSE),"?"))</f>
        <v/>
      </c>
      <c r="BH105">
        <f>IF($BC105="","",IFERROR(VALUE(RIGHT($BC105,3)),""))</f>
        <v/>
      </c>
      <c r="BI105">
        <f>IF($V105="","",IFERROR(IF(ISNUMBER($V105),$V105,DATEVALUE(TRIM($V105))),""))</f>
        <v/>
      </c>
      <c r="BJ105">
        <f>IF($BI105="","",IF(MONTH($BI105)&gt;=12,"Cold Winter",IF(MONTH($BI105)&gt;=10,"Post-Monsoon",IF(MONTH($BI105)&gt;=6,"Hot Humid",IF(MONTH($BI105)&gt;=3,"Hot Dry","Cold Winter")))))</f>
        <v/>
      </c>
      <c r="BK105">
        <f>IF($BD105="","",IFERROR(VLOOKUP($BD105,DECODE!$A$3:$C$8,2,FALSE),"?"))</f>
        <v/>
      </c>
      <c r="BL105">
        <f>IF($Q105="","",UPPER(TRIM(LEFT($Q105&amp;",",FIND(",",$Q105&amp;",")-1))))</f>
        <v/>
      </c>
      <c r="BM105">
        <f>IF($BL105="","",MID($BL105,4,FIND("~",SUBSTITUTE($BL105,"-","~",2))-4))</f>
        <v/>
      </c>
      <c r="BN105">
        <f>IF($BL105="","",MID($BL105,FIND("~",SUBSTITUTE($BL105,"-","~",2))+1,FIND("~",SUBSTITUTE($BL105,"-","~",3))-FIND("~",SUBSTITUTE($BL105,"-","~",2))-1))</f>
        <v/>
      </c>
      <c r="BO105">
        <f>IF($BM105="","",IFERROR(VLOOKUP($BM105,DECODE!$A$3:$C$8,3,FALSE),"?"))</f>
        <v/>
      </c>
      <c r="BP105">
        <f>IF($BN105="","",IFERROR(VLOOKUP($BM105&amp;"-"&amp;$BN105,DECODE!$E$3:$F$21,2,FALSE),"?"))</f>
        <v/>
      </c>
      <c r="BQ105">
        <f>IF($BL105="","",IFERROR(VALUE(RIGHT($BL105,3)),""))</f>
        <v/>
      </c>
      <c r="BR105">
        <f>IF($W105="","",IFERROR(IF(ISNUMBER($W105),$W105,DATEVALUE(TRIM($W105))),""))</f>
        <v/>
      </c>
      <c r="BS105">
        <f>IF($BR105="","",IF(MONTH($BR105)&gt;=12,"Cold Winter",IF(MONTH($BR105)&gt;=10,"Post-Monsoon",IF(MONTH($BR105)&gt;=6,"Hot Humid",IF(MONTH($BR105)&gt;=3,"Hot Dry","Cold Winter")))))</f>
        <v/>
      </c>
      <c r="BT105">
        <f>IF($BM105="","",IFERROR(VLOOKUP($BM105,DECODE!$A$3:$C$8,2,FALSE),"?"))</f>
        <v/>
      </c>
      <c r="BU105">
        <f>IF($R105="","",UPPER(TRIM(LEFT($R105&amp;",",FIND(",",$R105&amp;",")-1))))</f>
        <v/>
      </c>
      <c r="BV105">
        <f>IF($BU105="","",MID($BU105,4,FIND("~",SUBSTITUTE($BU105,"-","~",2))-4))</f>
        <v/>
      </c>
      <c r="BW105">
        <f>IF($BU105="","",MID($BU105,FIND("~",SUBSTITUTE($BU105,"-","~",2))+1,FIND("~",SUBSTITUTE($BU105,"-","~",3))-FIND("~",SUBSTITUTE($BU105,"-","~",2))-1))</f>
        <v/>
      </c>
      <c r="BX105">
        <f>IF($BV105="","",IFERROR(VLOOKUP($BV105,DECODE!$A$3:$C$8,3,FALSE),"?"))</f>
        <v/>
      </c>
      <c r="BY105">
        <f>IF($BW105="","",IFERROR(VLOOKUP($BV105&amp;"-"&amp;$BW105,DECODE!$E$3:$F$21,2,FALSE),"?"))</f>
        <v/>
      </c>
      <c r="BZ105">
        <f>IF($BU105="","",IFERROR(VALUE(RIGHT($BU105,3)),""))</f>
        <v/>
      </c>
      <c r="CA105">
        <f>IF($X105="","",IFERROR(IF(ISNUMBER($X105),$X105,DATEVALUE(TRIM($X105))),""))</f>
        <v/>
      </c>
      <c r="CB105">
        <f>IF($CA105="","",IF(MONTH($CA105)&gt;=12,"Cold Winter",IF(MONTH($CA105)&gt;=10,"Post-Monsoon",IF(MONTH($CA105)&gt;=6,"Hot Humid",IF(MONTH($CA105)&gt;=3,"Hot Dry","Cold Winter")))))</f>
        <v/>
      </c>
      <c r="CC105">
        <f>IF($BV105="","",IFERROR(VLOOKUP($BV105,DECODE!$A$3:$C$8,2,FALSE),"?"))</f>
        <v/>
      </c>
      <c r="CD105">
        <f>IF($S105="","",UPPER(TRIM(LEFT($S105&amp;",",FIND(",",$S105&amp;",")-1))))</f>
        <v/>
      </c>
      <c r="CE105">
        <f>IF($CD105="","",MID($CD105,4,FIND("~",SUBSTITUTE($CD105,"-","~",2))-4))</f>
        <v/>
      </c>
      <c r="CF105">
        <f>IF($CD105="","",MID($CD105,FIND("~",SUBSTITUTE($CD105,"-","~",2))+1,FIND("~",SUBSTITUTE($CD105,"-","~",3))-FIND("~",SUBSTITUTE($CD105,"-","~",2))-1))</f>
        <v/>
      </c>
      <c r="CG105">
        <f>IF($CE105="","",IFERROR(VLOOKUP($CE105,DECODE!$A$3:$C$8,3,FALSE),"?"))</f>
        <v/>
      </c>
      <c r="CH105">
        <f>IF($CF105="","",IFERROR(VLOOKUP($CE105&amp;"-"&amp;$CF105,DECODE!$E$3:$F$21,2,FALSE),"?"))</f>
        <v/>
      </c>
      <c r="CI105">
        <f>IF($CD105="","",IFERROR(VALUE(RIGHT($CD105,3)),""))</f>
        <v/>
      </c>
      <c r="CJ105">
        <f>IF($Y105="","",IFERROR(IF(ISNUMBER($Y105),$Y105,DATEVALUE(TRIM($Y105))),""))</f>
        <v/>
      </c>
      <c r="CK105">
        <f>IF($CJ105="","",IF(MONTH($CJ105)&gt;=12,"Cold Winter",IF(MONTH($CJ105)&gt;=10,"Post-Monsoon",IF(MONTH($CJ105)&gt;=6,"Hot Humid",IF(MONTH($CJ105)&gt;=3,"Hot Dry","Cold Winter")))))</f>
        <v/>
      </c>
      <c r="CL105">
        <f>IF($CE105="","",IFERROR(VLOOKUP($CE105,DECODE!$A$3:$C$8,2,FALSE),"?"))</f>
        <v/>
      </c>
      <c r="CM105">
        <f>IF($AN105="","",AN105)</f>
        <v/>
      </c>
      <c r="CN105">
        <f>IF($AO105="","",AO105)</f>
        <v/>
      </c>
      <c r="CO105">
        <f>IF($AP105="","",AP105)</f>
        <v/>
      </c>
      <c r="CP105">
        <f>IF($CM105="","",IF($CM105="Aloe Vera Gel","Aloe Vera Gel "&amp;$CO105&amp;"g",CN105&amp;" "&amp;$CO105&amp;"g"))</f>
        <v/>
      </c>
      <c r="CQ105">
        <f>IF($AT105="",0,1)</f>
        <v/>
      </c>
      <c r="CR105">
        <f>IF($CQ105=0,"",AW105)</f>
        <v/>
      </c>
      <c r="CS105">
        <f>IF($CQ105=0,"",AX105)</f>
        <v/>
      </c>
      <c r="CT105">
        <f>IF($CQ105=0,"",AY105)</f>
        <v/>
      </c>
      <c r="CU105">
        <f>IF($CR105="","",IF($CR105="Aloe Vera Gel","Aloe Vera Gel "&amp;$CT105&amp;"g",CS105&amp;" "&amp;$CT105&amp;"g"))</f>
        <v/>
      </c>
      <c r="CV105">
        <f>IF($CQ105=0,"",IF($CP105=$CU105,"Repeat Exact",IF($CT105&gt;$CO105,"Upsized",IF($CT105&lt;$CO105,"Downsized",IF($CM105&lt;&gt;$CR105,"Lateral","Same Size Diff Variant")))))</f>
        <v/>
      </c>
      <c r="CW105">
        <f>IF($CQ105=0,"",AZ105-AQ105)</f>
        <v/>
      </c>
      <c r="CX105">
        <f>IF($CQ105=0,0,IF(CS105=CN105,1,0))</f>
        <v/>
      </c>
      <c r="CY105">
        <f>IF($CQ105=0,0,IF(CR105=CM105,1,0))</f>
        <v/>
      </c>
      <c r="CZ105">
        <f>IF($A105="","",IF(AND(IF(DASHBOARD!$C$4="All",TRUE,$CM105=DASHBOARD!$C$4),IF(DASHBOARD!$C$6="All",TRUE,$CP105=DASHBOARD!$C$6),IF(DASHBOARD!$C$8="All",TRUE,$AF105&gt;=DASHBOARD!$C$8),IF(DASHBOARD!$C$10="All",TRUE,$AF105&lt;=DASHBOARD!$C$10),IF(DASHBOARD!$C$12="All",TRUE,$AH105=VALUE(DASHBOARD!$C$12)),IF(DASHBOARD!$C$14="All",TRUE,$AJ105=DASHBOARD!$C$14)),1,0))</f>
        <v/>
      </c>
    </row>
    <row r="106">
      <c r="A106" t="n">
        <v>67049</v>
      </c>
      <c r="B106" t="inlineStr">
        <is>
          <t>Aloe Vera Gel</t>
        </is>
      </c>
      <c r="H106" t="inlineStr">
        <is>
          <t>Aloe Vera Gel - 40 gms</t>
        </is>
      </c>
      <c r="N106" t="inlineStr">
        <is>
          <t>FC-HG-PA-040</t>
        </is>
      </c>
      <c r="T106" t="inlineStr">
        <is>
          <t>Jul 28, 2024</t>
        </is>
      </c>
      <c r="AE106" t="inlineStr">
        <is>
          <t>Faridabad</t>
        </is>
      </c>
      <c r="AF106" t="inlineStr">
        <is>
          <t>2024-07</t>
        </is>
      </c>
      <c r="AG106" t="n">
        <v>7</v>
      </c>
      <c r="AH106" t="n">
        <v>1</v>
      </c>
      <c r="AI106" t="n">
        <v>0</v>
      </c>
      <c r="AJ106">
        <f>IF($AE106="","",IFERROR(VLOOKUP(TRIM($AE106),DECODE!$H$3:$I$60,2,FALSE),"Rest of India"))</f>
        <v/>
      </c>
      <c r="AK106">
        <f>IF($N106="","",UPPER(TRIM(LEFT($N106&amp;",",FIND(",",$N106&amp;",")-1))))</f>
        <v/>
      </c>
      <c r="AL106">
        <f>IF($AK106="","",MID($AK106,4,FIND("~",SUBSTITUTE($AK106,"-","~",2))-4))</f>
        <v/>
      </c>
      <c r="AM106">
        <f>IF($AK106="","",MID($AK106,FIND("~",SUBSTITUTE($AK106,"-","~",2))+1,FIND("~",SUBSTITUTE($AK106,"-","~",3))-FIND("~",SUBSTITUTE($AK106,"-","~",2))-1))</f>
        <v/>
      </c>
      <c r="AN106">
        <f>IF($AL106="","",IFERROR(VLOOKUP($AL106,DECODE!$A$3:$C$8,3,FALSE),"?"))</f>
        <v/>
      </c>
      <c r="AO106">
        <f>IF($AM106="","",IFERROR(VLOOKUP($AL106&amp;"-"&amp;$AM106,DECODE!$E$3:$F$21,2,FALSE),"?"))</f>
        <v/>
      </c>
      <c r="AP106">
        <f>IF($AK106="","",IFERROR(VALUE(RIGHT($AK106,3)),""))</f>
        <v/>
      </c>
      <c r="AQ106">
        <f>IF($T106="","",IFERROR(IF(ISNUMBER($T106),$T106,DATEVALUE(TRIM($T106))),""))</f>
        <v/>
      </c>
      <c r="AR106">
        <f>IF($AQ106="","",IF(MONTH($AQ106)&gt;=12,"Cold Winter",IF(MONTH($AQ106)&gt;=10,"Post-Monsoon",IF(MONTH($AQ106)&gt;=6,"Hot Humid",IF(MONTH($AQ106)&gt;=3,"Hot Dry","Cold Winter")))))</f>
        <v/>
      </c>
      <c r="AS106">
        <f>IF($AL106="","",IFERROR(VLOOKUP($AL106,DECODE!$A$3:$C$8,2,FALSE),"?"))</f>
        <v/>
      </c>
      <c r="AT106">
        <f>IF($O106="","",UPPER(TRIM(LEFT($O106&amp;",",FIND(",",$O106&amp;",")-1))))</f>
        <v/>
      </c>
      <c r="AU106">
        <f>IF($AT106="","",MID($AT106,4,FIND("~",SUBSTITUTE($AT106,"-","~",2))-4))</f>
        <v/>
      </c>
      <c r="AV106">
        <f>IF($AT106="","",MID($AT106,FIND("~",SUBSTITUTE($AT106,"-","~",2))+1,FIND("~",SUBSTITUTE($AT106,"-","~",3))-FIND("~",SUBSTITUTE($AT106,"-","~",2))-1))</f>
        <v/>
      </c>
      <c r="AW106">
        <f>IF($AU106="","",IFERROR(VLOOKUP($AU106,DECODE!$A$3:$C$8,3,FALSE),"?"))</f>
        <v/>
      </c>
      <c r="AX106">
        <f>IF($AV106="","",IFERROR(VLOOKUP($AU106&amp;"-"&amp;$AV106,DECODE!$E$3:$F$21,2,FALSE),"?"))</f>
        <v/>
      </c>
      <c r="AY106">
        <f>IF($AT106="","",IFERROR(VALUE(RIGHT($AT106,3)),""))</f>
        <v/>
      </c>
      <c r="AZ106">
        <f>IF($U106="","",IFERROR(IF(ISNUMBER($U106),$U106,DATEVALUE(TRIM($U106))),""))</f>
        <v/>
      </c>
      <c r="BA106">
        <f>IF($AZ106="","",IF(MONTH($AZ106)&gt;=12,"Cold Winter",IF(MONTH($AZ106)&gt;=10,"Post-Monsoon",IF(MONTH($AZ106)&gt;=6,"Hot Humid",IF(MONTH($AZ106)&gt;=3,"Hot Dry","Cold Winter")))))</f>
        <v/>
      </c>
      <c r="BB106">
        <f>IF($AU106="","",IFERROR(VLOOKUP($AU106,DECODE!$A$3:$C$8,2,FALSE),"?"))</f>
        <v/>
      </c>
      <c r="BC106">
        <f>IF($P106="","",UPPER(TRIM(LEFT($P106&amp;",",FIND(",",$P106&amp;",")-1))))</f>
        <v/>
      </c>
      <c r="BD106">
        <f>IF($BC106="","",MID($BC106,4,FIND("~",SUBSTITUTE($BC106,"-","~",2))-4))</f>
        <v/>
      </c>
      <c r="BE106">
        <f>IF($BC106="","",MID($BC106,FIND("~",SUBSTITUTE($BC106,"-","~",2))+1,FIND("~",SUBSTITUTE($BC106,"-","~",3))-FIND("~",SUBSTITUTE($BC106,"-","~",2))-1))</f>
        <v/>
      </c>
      <c r="BF106">
        <f>IF($BD106="","",IFERROR(VLOOKUP($BD106,DECODE!$A$3:$C$8,3,FALSE),"?"))</f>
        <v/>
      </c>
      <c r="BG106">
        <f>IF($BE106="","",IFERROR(VLOOKUP($BD106&amp;"-"&amp;$BE106,DECODE!$E$3:$F$21,2,FALSE),"?"))</f>
        <v/>
      </c>
      <c r="BH106">
        <f>IF($BC106="","",IFERROR(VALUE(RIGHT($BC106,3)),""))</f>
        <v/>
      </c>
      <c r="BI106">
        <f>IF($V106="","",IFERROR(IF(ISNUMBER($V106),$V106,DATEVALUE(TRIM($V106))),""))</f>
        <v/>
      </c>
      <c r="BJ106">
        <f>IF($BI106="","",IF(MONTH($BI106)&gt;=12,"Cold Winter",IF(MONTH($BI106)&gt;=10,"Post-Monsoon",IF(MONTH($BI106)&gt;=6,"Hot Humid",IF(MONTH($BI106)&gt;=3,"Hot Dry","Cold Winter")))))</f>
        <v/>
      </c>
      <c r="BK106">
        <f>IF($BD106="","",IFERROR(VLOOKUP($BD106,DECODE!$A$3:$C$8,2,FALSE),"?"))</f>
        <v/>
      </c>
      <c r="BL106">
        <f>IF($Q106="","",UPPER(TRIM(LEFT($Q106&amp;",",FIND(",",$Q106&amp;",")-1))))</f>
        <v/>
      </c>
      <c r="BM106">
        <f>IF($BL106="","",MID($BL106,4,FIND("~",SUBSTITUTE($BL106,"-","~",2))-4))</f>
        <v/>
      </c>
      <c r="BN106">
        <f>IF($BL106="","",MID($BL106,FIND("~",SUBSTITUTE($BL106,"-","~",2))+1,FIND("~",SUBSTITUTE($BL106,"-","~",3))-FIND("~",SUBSTITUTE($BL106,"-","~",2))-1))</f>
        <v/>
      </c>
      <c r="BO106">
        <f>IF($BM106="","",IFERROR(VLOOKUP($BM106,DECODE!$A$3:$C$8,3,FALSE),"?"))</f>
        <v/>
      </c>
      <c r="BP106">
        <f>IF($BN106="","",IFERROR(VLOOKUP($BM106&amp;"-"&amp;$BN106,DECODE!$E$3:$F$21,2,FALSE),"?"))</f>
        <v/>
      </c>
      <c r="BQ106">
        <f>IF($BL106="","",IFERROR(VALUE(RIGHT($BL106,3)),""))</f>
        <v/>
      </c>
      <c r="BR106">
        <f>IF($W106="","",IFERROR(IF(ISNUMBER($W106),$W106,DATEVALUE(TRIM($W106))),""))</f>
        <v/>
      </c>
      <c r="BS106">
        <f>IF($BR106="","",IF(MONTH($BR106)&gt;=12,"Cold Winter",IF(MONTH($BR106)&gt;=10,"Post-Monsoon",IF(MONTH($BR106)&gt;=6,"Hot Humid",IF(MONTH($BR106)&gt;=3,"Hot Dry","Cold Winter")))))</f>
        <v/>
      </c>
      <c r="BT106">
        <f>IF($BM106="","",IFERROR(VLOOKUP($BM106,DECODE!$A$3:$C$8,2,FALSE),"?"))</f>
        <v/>
      </c>
      <c r="BU106">
        <f>IF($R106="","",UPPER(TRIM(LEFT($R106&amp;",",FIND(",",$R106&amp;",")-1))))</f>
        <v/>
      </c>
      <c r="BV106">
        <f>IF($BU106="","",MID($BU106,4,FIND("~",SUBSTITUTE($BU106,"-","~",2))-4))</f>
        <v/>
      </c>
      <c r="BW106">
        <f>IF($BU106="","",MID($BU106,FIND("~",SUBSTITUTE($BU106,"-","~",2))+1,FIND("~",SUBSTITUTE($BU106,"-","~",3))-FIND("~",SUBSTITUTE($BU106,"-","~",2))-1))</f>
        <v/>
      </c>
      <c r="BX106">
        <f>IF($BV106="","",IFERROR(VLOOKUP($BV106,DECODE!$A$3:$C$8,3,FALSE),"?"))</f>
        <v/>
      </c>
      <c r="BY106">
        <f>IF($BW106="","",IFERROR(VLOOKUP($BV106&amp;"-"&amp;$BW106,DECODE!$E$3:$F$21,2,FALSE),"?"))</f>
        <v/>
      </c>
      <c r="BZ106">
        <f>IF($BU106="","",IFERROR(VALUE(RIGHT($BU106,3)),""))</f>
        <v/>
      </c>
      <c r="CA106">
        <f>IF($X106="","",IFERROR(IF(ISNUMBER($X106),$X106,DATEVALUE(TRIM($X106))),""))</f>
        <v/>
      </c>
      <c r="CB106">
        <f>IF($CA106="","",IF(MONTH($CA106)&gt;=12,"Cold Winter",IF(MONTH($CA106)&gt;=10,"Post-Monsoon",IF(MONTH($CA106)&gt;=6,"Hot Humid",IF(MONTH($CA106)&gt;=3,"Hot Dry","Cold Winter")))))</f>
        <v/>
      </c>
      <c r="CC106">
        <f>IF($BV106="","",IFERROR(VLOOKUP($BV106,DECODE!$A$3:$C$8,2,FALSE),"?"))</f>
        <v/>
      </c>
      <c r="CD106">
        <f>IF($S106="","",UPPER(TRIM(LEFT($S106&amp;",",FIND(",",$S106&amp;",")-1))))</f>
        <v/>
      </c>
      <c r="CE106">
        <f>IF($CD106="","",MID($CD106,4,FIND("~",SUBSTITUTE($CD106,"-","~",2))-4))</f>
        <v/>
      </c>
      <c r="CF106">
        <f>IF($CD106="","",MID($CD106,FIND("~",SUBSTITUTE($CD106,"-","~",2))+1,FIND("~",SUBSTITUTE($CD106,"-","~",3))-FIND("~",SUBSTITUTE($CD106,"-","~",2))-1))</f>
        <v/>
      </c>
      <c r="CG106">
        <f>IF($CE106="","",IFERROR(VLOOKUP($CE106,DECODE!$A$3:$C$8,3,FALSE),"?"))</f>
        <v/>
      </c>
      <c r="CH106">
        <f>IF($CF106="","",IFERROR(VLOOKUP($CE106&amp;"-"&amp;$CF106,DECODE!$E$3:$F$21,2,FALSE),"?"))</f>
        <v/>
      </c>
      <c r="CI106">
        <f>IF($CD106="","",IFERROR(VALUE(RIGHT($CD106,3)),""))</f>
        <v/>
      </c>
      <c r="CJ106">
        <f>IF($Y106="","",IFERROR(IF(ISNUMBER($Y106),$Y106,DATEVALUE(TRIM($Y106))),""))</f>
        <v/>
      </c>
      <c r="CK106">
        <f>IF($CJ106="","",IF(MONTH($CJ106)&gt;=12,"Cold Winter",IF(MONTH($CJ106)&gt;=10,"Post-Monsoon",IF(MONTH($CJ106)&gt;=6,"Hot Humid",IF(MONTH($CJ106)&gt;=3,"Hot Dry","Cold Winter")))))</f>
        <v/>
      </c>
      <c r="CL106">
        <f>IF($CE106="","",IFERROR(VLOOKUP($CE106,DECODE!$A$3:$C$8,2,FALSE),"?"))</f>
        <v/>
      </c>
      <c r="CM106">
        <f>IF($AN106="","",AN106)</f>
        <v/>
      </c>
      <c r="CN106">
        <f>IF($AO106="","",AO106)</f>
        <v/>
      </c>
      <c r="CO106">
        <f>IF($AP106="","",AP106)</f>
        <v/>
      </c>
      <c r="CP106">
        <f>IF($CM106="","",IF($CM106="Aloe Vera Gel","Aloe Vera Gel "&amp;$CO106&amp;"g",CN106&amp;" "&amp;$CO106&amp;"g"))</f>
        <v/>
      </c>
      <c r="CQ106">
        <f>IF($AT106="",0,1)</f>
        <v/>
      </c>
      <c r="CR106">
        <f>IF($CQ106=0,"",AW106)</f>
        <v/>
      </c>
      <c r="CS106">
        <f>IF($CQ106=0,"",AX106)</f>
        <v/>
      </c>
      <c r="CT106">
        <f>IF($CQ106=0,"",AY106)</f>
        <v/>
      </c>
      <c r="CU106">
        <f>IF($CR106="","",IF($CR106="Aloe Vera Gel","Aloe Vera Gel "&amp;$CT106&amp;"g",CS106&amp;" "&amp;$CT106&amp;"g"))</f>
        <v/>
      </c>
      <c r="CV106">
        <f>IF($CQ106=0,"",IF($CP106=$CU106,"Repeat Exact",IF($CT106&gt;$CO106,"Upsized",IF($CT106&lt;$CO106,"Downsized",IF($CM106&lt;&gt;$CR106,"Lateral","Same Size Diff Variant")))))</f>
        <v/>
      </c>
      <c r="CW106">
        <f>IF($CQ106=0,"",AZ106-AQ106)</f>
        <v/>
      </c>
      <c r="CX106">
        <f>IF($CQ106=0,0,IF(CS106=CN106,1,0))</f>
        <v/>
      </c>
      <c r="CY106">
        <f>IF($CQ106=0,0,IF(CR106=CM106,1,0))</f>
        <v/>
      </c>
      <c r="CZ106">
        <f>IF($A106="","",IF(AND(IF(DASHBOARD!$C$4="All",TRUE,$CM106=DASHBOARD!$C$4),IF(DASHBOARD!$C$6="All",TRUE,$CP106=DASHBOARD!$C$6),IF(DASHBOARD!$C$8="All",TRUE,$AF106&gt;=DASHBOARD!$C$8),IF(DASHBOARD!$C$10="All",TRUE,$AF106&lt;=DASHBOARD!$C$10),IF(DASHBOARD!$C$12="All",TRUE,$AH106=VALUE(DASHBOARD!$C$12)),IF(DASHBOARD!$C$14="All",TRUE,$AJ106=DASHBOARD!$C$14)),1,0))</f>
        <v/>
      </c>
    </row>
    <row r="107">
      <c r="A107" t="n">
        <v>72189</v>
      </c>
      <c r="B107" t="inlineStr">
        <is>
          <t>Face Malai</t>
        </is>
      </c>
      <c r="C107" t="inlineStr">
        <is>
          <t>Face Malai</t>
        </is>
      </c>
      <c r="D107" t="inlineStr">
        <is>
          <t>Face Malai</t>
        </is>
      </c>
      <c r="E107" t="inlineStr">
        <is>
          <t>Face Malai</t>
        </is>
      </c>
      <c r="F107" t="inlineStr">
        <is>
          <t>Face Malai</t>
        </is>
      </c>
      <c r="H107" t="inlineStr">
        <is>
          <t>Flax Walnut (Cold) 35+ Face Malai</t>
        </is>
      </c>
      <c r="I107" t="inlineStr">
        <is>
          <t>Turmeric Nutmeg (Pigmentation)  Face Malai - 30g</t>
        </is>
      </c>
      <c r="J107" t="inlineStr">
        <is>
          <t>Turmeric Nutmeg (Pigmentation)  Face Malai - 50g</t>
        </is>
      </c>
      <c r="K107" t="inlineStr">
        <is>
          <t>Honey Multi-Nut (Dry &amp; Peeling Skin) Face Malai</t>
        </is>
      </c>
      <c r="L107" t="inlineStr">
        <is>
          <t>Honey Multi-Nut (Dry &amp; Peeling Skin) Face Malai</t>
        </is>
      </c>
      <c r="N107" t="inlineStr">
        <is>
          <t>FC-CWDM-FW-030</t>
        </is>
      </c>
      <c r="O107" t="inlineStr">
        <is>
          <t>FC-DM-PG-030</t>
        </is>
      </c>
      <c r="P107" t="inlineStr">
        <is>
          <t>FC-DM-PG-050</t>
        </is>
      </c>
      <c r="Q107" t="inlineStr">
        <is>
          <t>FC-DM-DP-030</t>
        </is>
      </c>
      <c r="R107" t="inlineStr">
        <is>
          <t>FC-DM-DP-030</t>
        </is>
      </c>
      <c r="T107" t="inlineStr">
        <is>
          <t>Dec 1, 2024</t>
        </is>
      </c>
      <c r="U107" t="inlineStr">
        <is>
          <t>May 18, 2025</t>
        </is>
      </c>
      <c r="V107" t="inlineStr">
        <is>
          <t>Aug 19, 2025</t>
        </is>
      </c>
      <c r="W107" t="inlineStr">
        <is>
          <t>Dec 8, 2025</t>
        </is>
      </c>
      <c r="X107" t="inlineStr">
        <is>
          <t>Feb 9, 2026</t>
        </is>
      </c>
      <c r="Z107" t="n">
        <v>168</v>
      </c>
      <c r="AA107" t="n">
        <v>93</v>
      </c>
      <c r="AB107" t="n">
        <v>111</v>
      </c>
      <c r="AC107" t="n">
        <v>63</v>
      </c>
      <c r="AE107" t="inlineStr">
        <is>
          <t>New Delhi</t>
        </is>
      </c>
      <c r="AF107" t="inlineStr">
        <is>
          <t>2024-12</t>
        </is>
      </c>
      <c r="AG107" t="n">
        <v>12</v>
      </c>
      <c r="AH107" t="n">
        <v>5</v>
      </c>
      <c r="AI107" t="n">
        <v>1</v>
      </c>
      <c r="AJ107">
        <f>IF($AE107="","",IFERROR(VLOOKUP(TRIM($AE107),DECODE!$H$3:$I$60,2,FALSE),"Rest of India"))</f>
        <v/>
      </c>
      <c r="AK107">
        <f>IF($N107="","",UPPER(TRIM(LEFT($N107&amp;",",FIND(",",$N107&amp;",")-1))))</f>
        <v/>
      </c>
      <c r="AL107">
        <f>IF($AK107="","",MID($AK107,4,FIND("~",SUBSTITUTE($AK107,"-","~",2))-4))</f>
        <v/>
      </c>
      <c r="AM107">
        <f>IF($AK107="","",MID($AK107,FIND("~",SUBSTITUTE($AK107,"-","~",2))+1,FIND("~",SUBSTITUTE($AK107,"-","~",3))-FIND("~",SUBSTITUTE($AK107,"-","~",2))-1))</f>
        <v/>
      </c>
      <c r="AN107">
        <f>IF($AL107="","",IFERROR(VLOOKUP($AL107,DECODE!$A$3:$C$8,3,FALSE),"?"))</f>
        <v/>
      </c>
      <c r="AO107">
        <f>IF($AM107="","",IFERROR(VLOOKUP($AL107&amp;"-"&amp;$AM107,DECODE!$E$3:$F$21,2,FALSE),"?"))</f>
        <v/>
      </c>
      <c r="AP107">
        <f>IF($AK107="","",IFERROR(VALUE(RIGHT($AK107,3)),""))</f>
        <v/>
      </c>
      <c r="AQ107">
        <f>IF($T107="","",IFERROR(IF(ISNUMBER($T107),$T107,DATEVALUE(TRIM($T107))),""))</f>
        <v/>
      </c>
      <c r="AR107">
        <f>IF($AQ107="","",IF(MONTH($AQ107)&gt;=12,"Cold Winter",IF(MONTH($AQ107)&gt;=10,"Post-Monsoon",IF(MONTH($AQ107)&gt;=6,"Hot Humid",IF(MONTH($AQ107)&gt;=3,"Hot Dry","Cold Winter")))))</f>
        <v/>
      </c>
      <c r="AS107">
        <f>IF($AL107="","",IFERROR(VLOOKUP($AL107,DECODE!$A$3:$C$8,2,FALSE),"?"))</f>
        <v/>
      </c>
      <c r="AT107">
        <f>IF($O107="","",UPPER(TRIM(LEFT($O107&amp;",",FIND(",",$O107&amp;",")-1))))</f>
        <v/>
      </c>
      <c r="AU107">
        <f>IF($AT107="","",MID($AT107,4,FIND("~",SUBSTITUTE($AT107,"-","~",2))-4))</f>
        <v/>
      </c>
      <c r="AV107">
        <f>IF($AT107="","",MID($AT107,FIND("~",SUBSTITUTE($AT107,"-","~",2))+1,FIND("~",SUBSTITUTE($AT107,"-","~",3))-FIND("~",SUBSTITUTE($AT107,"-","~",2))-1))</f>
        <v/>
      </c>
      <c r="AW107">
        <f>IF($AU107="","",IFERROR(VLOOKUP($AU107,DECODE!$A$3:$C$8,3,FALSE),"?"))</f>
        <v/>
      </c>
      <c r="AX107">
        <f>IF($AV107="","",IFERROR(VLOOKUP($AU107&amp;"-"&amp;$AV107,DECODE!$E$3:$F$21,2,FALSE),"?"))</f>
        <v/>
      </c>
      <c r="AY107">
        <f>IF($AT107="","",IFERROR(VALUE(RIGHT($AT107,3)),""))</f>
        <v/>
      </c>
      <c r="AZ107">
        <f>IF($U107="","",IFERROR(IF(ISNUMBER($U107),$U107,DATEVALUE(TRIM($U107))),""))</f>
        <v/>
      </c>
      <c r="BA107">
        <f>IF($AZ107="","",IF(MONTH($AZ107)&gt;=12,"Cold Winter",IF(MONTH($AZ107)&gt;=10,"Post-Monsoon",IF(MONTH($AZ107)&gt;=6,"Hot Humid",IF(MONTH($AZ107)&gt;=3,"Hot Dry","Cold Winter")))))</f>
        <v/>
      </c>
      <c r="BB107">
        <f>IF($AU107="","",IFERROR(VLOOKUP($AU107,DECODE!$A$3:$C$8,2,FALSE),"?"))</f>
        <v/>
      </c>
      <c r="BC107">
        <f>IF($P107="","",UPPER(TRIM(LEFT($P107&amp;",",FIND(",",$P107&amp;",")-1))))</f>
        <v/>
      </c>
      <c r="BD107">
        <f>IF($BC107="","",MID($BC107,4,FIND("~",SUBSTITUTE($BC107,"-","~",2))-4))</f>
        <v/>
      </c>
      <c r="BE107">
        <f>IF($BC107="","",MID($BC107,FIND("~",SUBSTITUTE($BC107,"-","~",2))+1,FIND("~",SUBSTITUTE($BC107,"-","~",3))-FIND("~",SUBSTITUTE($BC107,"-","~",2))-1))</f>
        <v/>
      </c>
      <c r="BF107">
        <f>IF($BD107="","",IFERROR(VLOOKUP($BD107,DECODE!$A$3:$C$8,3,FALSE),"?"))</f>
        <v/>
      </c>
      <c r="BG107">
        <f>IF($BE107="","",IFERROR(VLOOKUP($BD107&amp;"-"&amp;$BE107,DECODE!$E$3:$F$21,2,FALSE),"?"))</f>
        <v/>
      </c>
      <c r="BH107">
        <f>IF($BC107="","",IFERROR(VALUE(RIGHT($BC107,3)),""))</f>
        <v/>
      </c>
      <c r="BI107">
        <f>IF($V107="","",IFERROR(IF(ISNUMBER($V107),$V107,DATEVALUE(TRIM($V107))),""))</f>
        <v/>
      </c>
      <c r="BJ107">
        <f>IF($BI107="","",IF(MONTH($BI107)&gt;=12,"Cold Winter",IF(MONTH($BI107)&gt;=10,"Post-Monsoon",IF(MONTH($BI107)&gt;=6,"Hot Humid",IF(MONTH($BI107)&gt;=3,"Hot Dry","Cold Winter")))))</f>
        <v/>
      </c>
      <c r="BK107">
        <f>IF($BD107="","",IFERROR(VLOOKUP($BD107,DECODE!$A$3:$C$8,2,FALSE),"?"))</f>
        <v/>
      </c>
      <c r="BL107">
        <f>IF($Q107="","",UPPER(TRIM(LEFT($Q107&amp;",",FIND(",",$Q107&amp;",")-1))))</f>
        <v/>
      </c>
      <c r="BM107">
        <f>IF($BL107="","",MID($BL107,4,FIND("~",SUBSTITUTE($BL107,"-","~",2))-4))</f>
        <v/>
      </c>
      <c r="BN107">
        <f>IF($BL107="","",MID($BL107,FIND("~",SUBSTITUTE($BL107,"-","~",2))+1,FIND("~",SUBSTITUTE($BL107,"-","~",3))-FIND("~",SUBSTITUTE($BL107,"-","~",2))-1))</f>
        <v/>
      </c>
      <c r="BO107">
        <f>IF($BM107="","",IFERROR(VLOOKUP($BM107,DECODE!$A$3:$C$8,3,FALSE),"?"))</f>
        <v/>
      </c>
      <c r="BP107">
        <f>IF($BN107="","",IFERROR(VLOOKUP($BM107&amp;"-"&amp;$BN107,DECODE!$E$3:$F$21,2,FALSE),"?"))</f>
        <v/>
      </c>
      <c r="BQ107">
        <f>IF($BL107="","",IFERROR(VALUE(RIGHT($BL107,3)),""))</f>
        <v/>
      </c>
      <c r="BR107">
        <f>IF($W107="","",IFERROR(IF(ISNUMBER($W107),$W107,DATEVALUE(TRIM($W107))),""))</f>
        <v/>
      </c>
      <c r="BS107">
        <f>IF($BR107="","",IF(MONTH($BR107)&gt;=12,"Cold Winter",IF(MONTH($BR107)&gt;=10,"Post-Monsoon",IF(MONTH($BR107)&gt;=6,"Hot Humid",IF(MONTH($BR107)&gt;=3,"Hot Dry","Cold Winter")))))</f>
        <v/>
      </c>
      <c r="BT107">
        <f>IF($BM107="","",IFERROR(VLOOKUP($BM107,DECODE!$A$3:$C$8,2,FALSE),"?"))</f>
        <v/>
      </c>
      <c r="BU107">
        <f>IF($R107="","",UPPER(TRIM(LEFT($R107&amp;",",FIND(",",$R107&amp;",")-1))))</f>
        <v/>
      </c>
      <c r="BV107">
        <f>IF($BU107="","",MID($BU107,4,FIND("~",SUBSTITUTE($BU107,"-","~",2))-4))</f>
        <v/>
      </c>
      <c r="BW107">
        <f>IF($BU107="","",MID($BU107,FIND("~",SUBSTITUTE($BU107,"-","~",2))+1,FIND("~",SUBSTITUTE($BU107,"-","~",3))-FIND("~",SUBSTITUTE($BU107,"-","~",2))-1))</f>
        <v/>
      </c>
      <c r="BX107">
        <f>IF($BV107="","",IFERROR(VLOOKUP($BV107,DECODE!$A$3:$C$8,3,FALSE),"?"))</f>
        <v/>
      </c>
      <c r="BY107">
        <f>IF($BW107="","",IFERROR(VLOOKUP($BV107&amp;"-"&amp;$BW107,DECODE!$E$3:$F$21,2,FALSE),"?"))</f>
        <v/>
      </c>
      <c r="BZ107">
        <f>IF($BU107="","",IFERROR(VALUE(RIGHT($BU107,3)),""))</f>
        <v/>
      </c>
      <c r="CA107">
        <f>IF($X107="","",IFERROR(IF(ISNUMBER($X107),$X107,DATEVALUE(TRIM($X107))),""))</f>
        <v/>
      </c>
      <c r="CB107">
        <f>IF($CA107="","",IF(MONTH($CA107)&gt;=12,"Cold Winter",IF(MONTH($CA107)&gt;=10,"Post-Monsoon",IF(MONTH($CA107)&gt;=6,"Hot Humid",IF(MONTH($CA107)&gt;=3,"Hot Dry","Cold Winter")))))</f>
        <v/>
      </c>
      <c r="CC107">
        <f>IF($BV107="","",IFERROR(VLOOKUP($BV107,DECODE!$A$3:$C$8,2,FALSE),"?"))</f>
        <v/>
      </c>
      <c r="CD107">
        <f>IF($S107="","",UPPER(TRIM(LEFT($S107&amp;",",FIND(",",$S107&amp;",")-1))))</f>
        <v/>
      </c>
      <c r="CE107">
        <f>IF($CD107="","",MID($CD107,4,FIND("~",SUBSTITUTE($CD107,"-","~",2))-4))</f>
        <v/>
      </c>
      <c r="CF107">
        <f>IF($CD107="","",MID($CD107,FIND("~",SUBSTITUTE($CD107,"-","~",2))+1,FIND("~",SUBSTITUTE($CD107,"-","~",3))-FIND("~",SUBSTITUTE($CD107,"-","~",2))-1))</f>
        <v/>
      </c>
      <c r="CG107">
        <f>IF($CE107="","",IFERROR(VLOOKUP($CE107,DECODE!$A$3:$C$8,3,FALSE),"?"))</f>
        <v/>
      </c>
      <c r="CH107">
        <f>IF($CF107="","",IFERROR(VLOOKUP($CE107&amp;"-"&amp;$CF107,DECODE!$E$3:$F$21,2,FALSE),"?"))</f>
        <v/>
      </c>
      <c r="CI107">
        <f>IF($CD107="","",IFERROR(VALUE(RIGHT($CD107,3)),""))</f>
        <v/>
      </c>
      <c r="CJ107">
        <f>IF($Y107="","",IFERROR(IF(ISNUMBER($Y107),$Y107,DATEVALUE(TRIM($Y107))),""))</f>
        <v/>
      </c>
      <c r="CK107">
        <f>IF($CJ107="","",IF(MONTH($CJ107)&gt;=12,"Cold Winter",IF(MONTH($CJ107)&gt;=10,"Post-Monsoon",IF(MONTH($CJ107)&gt;=6,"Hot Humid",IF(MONTH($CJ107)&gt;=3,"Hot Dry","Cold Winter")))))</f>
        <v/>
      </c>
      <c r="CL107">
        <f>IF($CE107="","",IFERROR(VLOOKUP($CE107,DECODE!$A$3:$C$8,2,FALSE),"?"))</f>
        <v/>
      </c>
      <c r="CM107">
        <f>IF($AN107="","",AN107)</f>
        <v/>
      </c>
      <c r="CN107">
        <f>IF($AO107="","",AO107)</f>
        <v/>
      </c>
      <c r="CO107">
        <f>IF($AP107="","",AP107)</f>
        <v/>
      </c>
      <c r="CP107">
        <f>IF($CM107="","",IF($CM107="Aloe Vera Gel","Aloe Vera Gel "&amp;$CO107&amp;"g",CN107&amp;" "&amp;$CO107&amp;"g"))</f>
        <v/>
      </c>
      <c r="CQ107">
        <f>IF($AT107="",0,1)</f>
        <v/>
      </c>
      <c r="CR107">
        <f>IF($CQ107=0,"",AW107)</f>
        <v/>
      </c>
      <c r="CS107">
        <f>IF($CQ107=0,"",AX107)</f>
        <v/>
      </c>
      <c r="CT107">
        <f>IF($CQ107=0,"",AY107)</f>
        <v/>
      </c>
      <c r="CU107">
        <f>IF($CR107="","",IF($CR107="Aloe Vera Gel","Aloe Vera Gel "&amp;$CT107&amp;"g",CS107&amp;" "&amp;$CT107&amp;"g"))</f>
        <v/>
      </c>
      <c r="CV107">
        <f>IF($CQ107=0,"",IF($CP107=$CU107,"Repeat Exact",IF($CT107&gt;$CO107,"Upsized",IF($CT107&lt;$CO107,"Downsized",IF($CM107&lt;&gt;$CR107,"Lateral","Same Size Diff Variant")))))</f>
        <v/>
      </c>
      <c r="CW107">
        <f>IF($CQ107=0,"",AZ107-AQ107)</f>
        <v/>
      </c>
      <c r="CX107">
        <f>IF($CQ107=0,0,IF(CS107=CN107,1,0))</f>
        <v/>
      </c>
      <c r="CY107">
        <f>IF($CQ107=0,0,IF(CR107=CM107,1,0))</f>
        <v/>
      </c>
      <c r="CZ107">
        <f>IF($A107="","",IF(AND(IF(DASHBOARD!$C$4="All",TRUE,$CM107=DASHBOARD!$C$4),IF(DASHBOARD!$C$6="All",TRUE,$CP107=DASHBOARD!$C$6),IF(DASHBOARD!$C$8="All",TRUE,$AF107&gt;=DASHBOARD!$C$8),IF(DASHBOARD!$C$10="All",TRUE,$AF107&lt;=DASHBOARD!$C$10),IF(DASHBOARD!$C$12="All",TRUE,$AH107=VALUE(DASHBOARD!$C$12)),IF(DASHBOARD!$C$14="All",TRUE,$AJ107=DASHBOARD!$C$14)),1,0))</f>
        <v/>
      </c>
    </row>
    <row r="108">
      <c r="A108" t="n">
        <v>73980</v>
      </c>
      <c r="B108" t="inlineStr">
        <is>
          <t>Face Malai</t>
        </is>
      </c>
      <c r="H108" t="inlineStr">
        <is>
          <t>Flax Walnut (Cold) 35+ Face Malai</t>
        </is>
      </c>
      <c r="N108" t="inlineStr">
        <is>
          <t>FC-CWDM-FW-030</t>
        </is>
      </c>
      <c r="T108" t="inlineStr">
        <is>
          <t>Feb 10, 2024</t>
        </is>
      </c>
      <c r="AF108" t="inlineStr">
        <is>
          <t>2024-02</t>
        </is>
      </c>
      <c r="AG108" t="n">
        <v>2</v>
      </c>
      <c r="AH108" t="n">
        <v>1</v>
      </c>
      <c r="AI108" t="n">
        <v>0</v>
      </c>
      <c r="AJ108">
        <f>IF($AE108="","",IFERROR(VLOOKUP(TRIM($AE108),DECODE!$H$3:$I$60,2,FALSE),"Rest of India"))</f>
        <v/>
      </c>
      <c r="AK108">
        <f>IF($N108="","",UPPER(TRIM(LEFT($N108&amp;",",FIND(",",$N108&amp;",")-1))))</f>
        <v/>
      </c>
      <c r="AL108">
        <f>IF($AK108="","",MID($AK108,4,FIND("~",SUBSTITUTE($AK108,"-","~",2))-4))</f>
        <v/>
      </c>
      <c r="AM108">
        <f>IF($AK108="","",MID($AK108,FIND("~",SUBSTITUTE($AK108,"-","~",2))+1,FIND("~",SUBSTITUTE($AK108,"-","~",3))-FIND("~",SUBSTITUTE($AK108,"-","~",2))-1))</f>
        <v/>
      </c>
      <c r="AN108">
        <f>IF($AL108="","",IFERROR(VLOOKUP($AL108,DECODE!$A$3:$C$8,3,FALSE),"?"))</f>
        <v/>
      </c>
      <c r="AO108">
        <f>IF($AM108="","",IFERROR(VLOOKUP($AL108&amp;"-"&amp;$AM108,DECODE!$E$3:$F$21,2,FALSE),"?"))</f>
        <v/>
      </c>
      <c r="AP108">
        <f>IF($AK108="","",IFERROR(VALUE(RIGHT($AK108,3)),""))</f>
        <v/>
      </c>
      <c r="AQ108">
        <f>IF($T108="","",IFERROR(IF(ISNUMBER($T108),$T108,DATEVALUE(TRIM($T108))),""))</f>
        <v/>
      </c>
      <c r="AR108">
        <f>IF($AQ108="","",IF(MONTH($AQ108)&gt;=12,"Cold Winter",IF(MONTH($AQ108)&gt;=10,"Post-Monsoon",IF(MONTH($AQ108)&gt;=6,"Hot Humid",IF(MONTH($AQ108)&gt;=3,"Hot Dry","Cold Winter")))))</f>
        <v/>
      </c>
      <c r="AS108">
        <f>IF($AL108="","",IFERROR(VLOOKUP($AL108,DECODE!$A$3:$C$8,2,FALSE),"?"))</f>
        <v/>
      </c>
      <c r="AT108">
        <f>IF($O108="","",UPPER(TRIM(LEFT($O108&amp;",",FIND(",",$O108&amp;",")-1))))</f>
        <v/>
      </c>
      <c r="AU108">
        <f>IF($AT108="","",MID($AT108,4,FIND("~",SUBSTITUTE($AT108,"-","~",2))-4))</f>
        <v/>
      </c>
      <c r="AV108">
        <f>IF($AT108="","",MID($AT108,FIND("~",SUBSTITUTE($AT108,"-","~",2))+1,FIND("~",SUBSTITUTE($AT108,"-","~",3))-FIND("~",SUBSTITUTE($AT108,"-","~",2))-1))</f>
        <v/>
      </c>
      <c r="AW108">
        <f>IF($AU108="","",IFERROR(VLOOKUP($AU108,DECODE!$A$3:$C$8,3,FALSE),"?"))</f>
        <v/>
      </c>
      <c r="AX108">
        <f>IF($AV108="","",IFERROR(VLOOKUP($AU108&amp;"-"&amp;$AV108,DECODE!$E$3:$F$21,2,FALSE),"?"))</f>
        <v/>
      </c>
      <c r="AY108">
        <f>IF($AT108="","",IFERROR(VALUE(RIGHT($AT108,3)),""))</f>
        <v/>
      </c>
      <c r="AZ108">
        <f>IF($U108="","",IFERROR(IF(ISNUMBER($U108),$U108,DATEVALUE(TRIM($U108))),""))</f>
        <v/>
      </c>
      <c r="BA108">
        <f>IF($AZ108="","",IF(MONTH($AZ108)&gt;=12,"Cold Winter",IF(MONTH($AZ108)&gt;=10,"Post-Monsoon",IF(MONTH($AZ108)&gt;=6,"Hot Humid",IF(MONTH($AZ108)&gt;=3,"Hot Dry","Cold Winter")))))</f>
        <v/>
      </c>
      <c r="BB108">
        <f>IF($AU108="","",IFERROR(VLOOKUP($AU108,DECODE!$A$3:$C$8,2,FALSE),"?"))</f>
        <v/>
      </c>
      <c r="BC108">
        <f>IF($P108="","",UPPER(TRIM(LEFT($P108&amp;",",FIND(",",$P108&amp;",")-1))))</f>
        <v/>
      </c>
      <c r="BD108">
        <f>IF($BC108="","",MID($BC108,4,FIND("~",SUBSTITUTE($BC108,"-","~",2))-4))</f>
        <v/>
      </c>
      <c r="BE108">
        <f>IF($BC108="","",MID($BC108,FIND("~",SUBSTITUTE($BC108,"-","~",2))+1,FIND("~",SUBSTITUTE($BC108,"-","~",3))-FIND("~",SUBSTITUTE($BC108,"-","~",2))-1))</f>
        <v/>
      </c>
      <c r="BF108">
        <f>IF($BD108="","",IFERROR(VLOOKUP($BD108,DECODE!$A$3:$C$8,3,FALSE),"?"))</f>
        <v/>
      </c>
      <c r="BG108">
        <f>IF($BE108="","",IFERROR(VLOOKUP($BD108&amp;"-"&amp;$BE108,DECODE!$E$3:$F$21,2,FALSE),"?"))</f>
        <v/>
      </c>
      <c r="BH108">
        <f>IF($BC108="","",IFERROR(VALUE(RIGHT($BC108,3)),""))</f>
        <v/>
      </c>
      <c r="BI108">
        <f>IF($V108="","",IFERROR(IF(ISNUMBER($V108),$V108,DATEVALUE(TRIM($V108))),""))</f>
        <v/>
      </c>
      <c r="BJ108">
        <f>IF($BI108="","",IF(MONTH($BI108)&gt;=12,"Cold Winter",IF(MONTH($BI108)&gt;=10,"Post-Monsoon",IF(MONTH($BI108)&gt;=6,"Hot Humid",IF(MONTH($BI108)&gt;=3,"Hot Dry","Cold Winter")))))</f>
        <v/>
      </c>
      <c r="BK108">
        <f>IF($BD108="","",IFERROR(VLOOKUP($BD108,DECODE!$A$3:$C$8,2,FALSE),"?"))</f>
        <v/>
      </c>
      <c r="BL108">
        <f>IF($Q108="","",UPPER(TRIM(LEFT($Q108&amp;",",FIND(",",$Q108&amp;",")-1))))</f>
        <v/>
      </c>
      <c r="BM108">
        <f>IF($BL108="","",MID($BL108,4,FIND("~",SUBSTITUTE($BL108,"-","~",2))-4))</f>
        <v/>
      </c>
      <c r="BN108">
        <f>IF($BL108="","",MID($BL108,FIND("~",SUBSTITUTE($BL108,"-","~",2))+1,FIND("~",SUBSTITUTE($BL108,"-","~",3))-FIND("~",SUBSTITUTE($BL108,"-","~",2))-1))</f>
        <v/>
      </c>
      <c r="BO108">
        <f>IF($BM108="","",IFERROR(VLOOKUP($BM108,DECODE!$A$3:$C$8,3,FALSE),"?"))</f>
        <v/>
      </c>
      <c r="BP108">
        <f>IF($BN108="","",IFERROR(VLOOKUP($BM108&amp;"-"&amp;$BN108,DECODE!$E$3:$F$21,2,FALSE),"?"))</f>
        <v/>
      </c>
      <c r="BQ108">
        <f>IF($BL108="","",IFERROR(VALUE(RIGHT($BL108,3)),""))</f>
        <v/>
      </c>
      <c r="BR108">
        <f>IF($W108="","",IFERROR(IF(ISNUMBER($W108),$W108,DATEVALUE(TRIM($W108))),""))</f>
        <v/>
      </c>
      <c r="BS108">
        <f>IF($BR108="","",IF(MONTH($BR108)&gt;=12,"Cold Winter",IF(MONTH($BR108)&gt;=10,"Post-Monsoon",IF(MONTH($BR108)&gt;=6,"Hot Humid",IF(MONTH($BR108)&gt;=3,"Hot Dry","Cold Winter")))))</f>
        <v/>
      </c>
      <c r="BT108">
        <f>IF($BM108="","",IFERROR(VLOOKUP($BM108,DECODE!$A$3:$C$8,2,FALSE),"?"))</f>
        <v/>
      </c>
      <c r="BU108">
        <f>IF($R108="","",UPPER(TRIM(LEFT($R108&amp;",",FIND(",",$R108&amp;",")-1))))</f>
        <v/>
      </c>
      <c r="BV108">
        <f>IF($BU108="","",MID($BU108,4,FIND("~",SUBSTITUTE($BU108,"-","~",2))-4))</f>
        <v/>
      </c>
      <c r="BW108">
        <f>IF($BU108="","",MID($BU108,FIND("~",SUBSTITUTE($BU108,"-","~",2))+1,FIND("~",SUBSTITUTE($BU108,"-","~",3))-FIND("~",SUBSTITUTE($BU108,"-","~",2))-1))</f>
        <v/>
      </c>
      <c r="BX108">
        <f>IF($BV108="","",IFERROR(VLOOKUP($BV108,DECODE!$A$3:$C$8,3,FALSE),"?"))</f>
        <v/>
      </c>
      <c r="BY108">
        <f>IF($BW108="","",IFERROR(VLOOKUP($BV108&amp;"-"&amp;$BW108,DECODE!$E$3:$F$21,2,FALSE),"?"))</f>
        <v/>
      </c>
      <c r="BZ108">
        <f>IF($BU108="","",IFERROR(VALUE(RIGHT($BU108,3)),""))</f>
        <v/>
      </c>
      <c r="CA108">
        <f>IF($X108="","",IFERROR(IF(ISNUMBER($X108),$X108,DATEVALUE(TRIM($X108))),""))</f>
        <v/>
      </c>
      <c r="CB108">
        <f>IF($CA108="","",IF(MONTH($CA108)&gt;=12,"Cold Winter",IF(MONTH($CA108)&gt;=10,"Post-Monsoon",IF(MONTH($CA108)&gt;=6,"Hot Humid",IF(MONTH($CA108)&gt;=3,"Hot Dry","Cold Winter")))))</f>
        <v/>
      </c>
      <c r="CC108">
        <f>IF($BV108="","",IFERROR(VLOOKUP($BV108,DECODE!$A$3:$C$8,2,FALSE),"?"))</f>
        <v/>
      </c>
      <c r="CD108">
        <f>IF($S108="","",UPPER(TRIM(LEFT($S108&amp;",",FIND(",",$S108&amp;",")-1))))</f>
        <v/>
      </c>
      <c r="CE108">
        <f>IF($CD108="","",MID($CD108,4,FIND("~",SUBSTITUTE($CD108,"-","~",2))-4))</f>
        <v/>
      </c>
      <c r="CF108">
        <f>IF($CD108="","",MID($CD108,FIND("~",SUBSTITUTE($CD108,"-","~",2))+1,FIND("~",SUBSTITUTE($CD108,"-","~",3))-FIND("~",SUBSTITUTE($CD108,"-","~",2))-1))</f>
        <v/>
      </c>
      <c r="CG108">
        <f>IF($CE108="","",IFERROR(VLOOKUP($CE108,DECODE!$A$3:$C$8,3,FALSE),"?"))</f>
        <v/>
      </c>
      <c r="CH108">
        <f>IF($CF108="","",IFERROR(VLOOKUP($CE108&amp;"-"&amp;$CF108,DECODE!$E$3:$F$21,2,FALSE),"?"))</f>
        <v/>
      </c>
      <c r="CI108">
        <f>IF($CD108="","",IFERROR(VALUE(RIGHT($CD108,3)),""))</f>
        <v/>
      </c>
      <c r="CJ108">
        <f>IF($Y108="","",IFERROR(IF(ISNUMBER($Y108),$Y108,DATEVALUE(TRIM($Y108))),""))</f>
        <v/>
      </c>
      <c r="CK108">
        <f>IF($CJ108="","",IF(MONTH($CJ108)&gt;=12,"Cold Winter",IF(MONTH($CJ108)&gt;=10,"Post-Monsoon",IF(MONTH($CJ108)&gt;=6,"Hot Humid",IF(MONTH($CJ108)&gt;=3,"Hot Dry","Cold Winter")))))</f>
        <v/>
      </c>
      <c r="CL108">
        <f>IF($CE108="","",IFERROR(VLOOKUP($CE108,DECODE!$A$3:$C$8,2,FALSE),"?"))</f>
        <v/>
      </c>
      <c r="CM108">
        <f>IF($AN108="","",AN108)</f>
        <v/>
      </c>
      <c r="CN108">
        <f>IF($AO108="","",AO108)</f>
        <v/>
      </c>
      <c r="CO108">
        <f>IF($AP108="","",AP108)</f>
        <v/>
      </c>
      <c r="CP108">
        <f>IF($CM108="","",IF($CM108="Aloe Vera Gel","Aloe Vera Gel "&amp;$CO108&amp;"g",CN108&amp;" "&amp;$CO108&amp;"g"))</f>
        <v/>
      </c>
      <c r="CQ108">
        <f>IF($AT108="",0,1)</f>
        <v/>
      </c>
      <c r="CR108">
        <f>IF($CQ108=0,"",AW108)</f>
        <v/>
      </c>
      <c r="CS108">
        <f>IF($CQ108=0,"",AX108)</f>
        <v/>
      </c>
      <c r="CT108">
        <f>IF($CQ108=0,"",AY108)</f>
        <v/>
      </c>
      <c r="CU108">
        <f>IF($CR108="","",IF($CR108="Aloe Vera Gel","Aloe Vera Gel "&amp;$CT108&amp;"g",CS108&amp;" "&amp;$CT108&amp;"g"))</f>
        <v/>
      </c>
      <c r="CV108">
        <f>IF($CQ108=0,"",IF($CP108=$CU108,"Repeat Exact",IF($CT108&gt;$CO108,"Upsized",IF($CT108&lt;$CO108,"Downsized",IF($CM108&lt;&gt;$CR108,"Lateral","Same Size Diff Variant")))))</f>
        <v/>
      </c>
      <c r="CW108">
        <f>IF($CQ108=0,"",AZ108-AQ108)</f>
        <v/>
      </c>
      <c r="CX108">
        <f>IF($CQ108=0,0,IF(CS108=CN108,1,0))</f>
        <v/>
      </c>
      <c r="CY108">
        <f>IF($CQ108=0,0,IF(CR108=CM108,1,0))</f>
        <v/>
      </c>
      <c r="CZ108">
        <f>IF($A108="","",IF(AND(IF(DASHBOARD!$C$4="All",TRUE,$CM108=DASHBOARD!$C$4),IF(DASHBOARD!$C$6="All",TRUE,$CP108=DASHBOARD!$C$6),IF(DASHBOARD!$C$8="All",TRUE,$AF108&gt;=DASHBOARD!$C$8),IF(DASHBOARD!$C$10="All",TRUE,$AF108&lt;=DASHBOARD!$C$10),IF(DASHBOARD!$C$12="All",TRUE,$AH108=VALUE(DASHBOARD!$C$12)),IF(DASHBOARD!$C$14="All",TRUE,$AJ108=DASHBOARD!$C$14)),1,0))</f>
        <v/>
      </c>
    </row>
    <row r="109">
      <c r="A109" t="n">
        <v>75723</v>
      </c>
      <c r="B109" t="inlineStr">
        <is>
          <t>Face Malai</t>
        </is>
      </c>
      <c r="H109" t="inlineStr">
        <is>
          <t>Tomato Patchouli (Cold) 20 - 35 Yrs Face Malai</t>
        </is>
      </c>
      <c r="N109" t="inlineStr">
        <is>
          <t>FC-CWDM-TP-030</t>
        </is>
      </c>
      <c r="T109" t="inlineStr">
        <is>
          <t>Nov 18, 2024</t>
        </is>
      </c>
      <c r="AE109" t="inlineStr">
        <is>
          <t>Gurgaon</t>
        </is>
      </c>
      <c r="AF109" t="inlineStr">
        <is>
          <t>2024-11</t>
        </is>
      </c>
      <c r="AG109" t="n">
        <v>11</v>
      </c>
      <c r="AH109" t="n">
        <v>1</v>
      </c>
      <c r="AI109" t="n">
        <v>0</v>
      </c>
      <c r="AJ109">
        <f>IF($AE109="","",IFERROR(VLOOKUP(TRIM($AE109),DECODE!$H$3:$I$60,2,FALSE),"Rest of India"))</f>
        <v/>
      </c>
      <c r="AK109">
        <f>IF($N109="","",UPPER(TRIM(LEFT($N109&amp;",",FIND(",",$N109&amp;",")-1))))</f>
        <v/>
      </c>
      <c r="AL109">
        <f>IF($AK109="","",MID($AK109,4,FIND("~",SUBSTITUTE($AK109,"-","~",2))-4))</f>
        <v/>
      </c>
      <c r="AM109">
        <f>IF($AK109="","",MID($AK109,FIND("~",SUBSTITUTE($AK109,"-","~",2))+1,FIND("~",SUBSTITUTE($AK109,"-","~",3))-FIND("~",SUBSTITUTE($AK109,"-","~",2))-1))</f>
        <v/>
      </c>
      <c r="AN109">
        <f>IF($AL109="","",IFERROR(VLOOKUP($AL109,DECODE!$A$3:$C$8,3,FALSE),"?"))</f>
        <v/>
      </c>
      <c r="AO109">
        <f>IF($AM109="","",IFERROR(VLOOKUP($AL109&amp;"-"&amp;$AM109,DECODE!$E$3:$F$21,2,FALSE),"?"))</f>
        <v/>
      </c>
      <c r="AP109">
        <f>IF($AK109="","",IFERROR(VALUE(RIGHT($AK109,3)),""))</f>
        <v/>
      </c>
      <c r="AQ109">
        <f>IF($T109="","",IFERROR(IF(ISNUMBER($T109),$T109,DATEVALUE(TRIM($T109))),""))</f>
        <v/>
      </c>
      <c r="AR109">
        <f>IF($AQ109="","",IF(MONTH($AQ109)&gt;=12,"Cold Winter",IF(MONTH($AQ109)&gt;=10,"Post-Monsoon",IF(MONTH($AQ109)&gt;=6,"Hot Humid",IF(MONTH($AQ109)&gt;=3,"Hot Dry","Cold Winter")))))</f>
        <v/>
      </c>
      <c r="AS109">
        <f>IF($AL109="","",IFERROR(VLOOKUP($AL109,DECODE!$A$3:$C$8,2,FALSE),"?"))</f>
        <v/>
      </c>
      <c r="AT109">
        <f>IF($O109="","",UPPER(TRIM(LEFT($O109&amp;",",FIND(",",$O109&amp;",")-1))))</f>
        <v/>
      </c>
      <c r="AU109">
        <f>IF($AT109="","",MID($AT109,4,FIND("~",SUBSTITUTE($AT109,"-","~",2))-4))</f>
        <v/>
      </c>
      <c r="AV109">
        <f>IF($AT109="","",MID($AT109,FIND("~",SUBSTITUTE($AT109,"-","~",2))+1,FIND("~",SUBSTITUTE($AT109,"-","~",3))-FIND("~",SUBSTITUTE($AT109,"-","~",2))-1))</f>
        <v/>
      </c>
      <c r="AW109">
        <f>IF($AU109="","",IFERROR(VLOOKUP($AU109,DECODE!$A$3:$C$8,3,FALSE),"?"))</f>
        <v/>
      </c>
      <c r="AX109">
        <f>IF($AV109="","",IFERROR(VLOOKUP($AU109&amp;"-"&amp;$AV109,DECODE!$E$3:$F$21,2,FALSE),"?"))</f>
        <v/>
      </c>
      <c r="AY109">
        <f>IF($AT109="","",IFERROR(VALUE(RIGHT($AT109,3)),""))</f>
        <v/>
      </c>
      <c r="AZ109">
        <f>IF($U109="","",IFERROR(IF(ISNUMBER($U109),$U109,DATEVALUE(TRIM($U109))),""))</f>
        <v/>
      </c>
      <c r="BA109">
        <f>IF($AZ109="","",IF(MONTH($AZ109)&gt;=12,"Cold Winter",IF(MONTH($AZ109)&gt;=10,"Post-Monsoon",IF(MONTH($AZ109)&gt;=6,"Hot Humid",IF(MONTH($AZ109)&gt;=3,"Hot Dry","Cold Winter")))))</f>
        <v/>
      </c>
      <c r="BB109">
        <f>IF($AU109="","",IFERROR(VLOOKUP($AU109,DECODE!$A$3:$C$8,2,FALSE),"?"))</f>
        <v/>
      </c>
      <c r="BC109">
        <f>IF($P109="","",UPPER(TRIM(LEFT($P109&amp;",",FIND(",",$P109&amp;",")-1))))</f>
        <v/>
      </c>
      <c r="BD109">
        <f>IF($BC109="","",MID($BC109,4,FIND("~",SUBSTITUTE($BC109,"-","~",2))-4))</f>
        <v/>
      </c>
      <c r="BE109">
        <f>IF($BC109="","",MID($BC109,FIND("~",SUBSTITUTE($BC109,"-","~",2))+1,FIND("~",SUBSTITUTE($BC109,"-","~",3))-FIND("~",SUBSTITUTE($BC109,"-","~",2))-1))</f>
        <v/>
      </c>
      <c r="BF109">
        <f>IF($BD109="","",IFERROR(VLOOKUP($BD109,DECODE!$A$3:$C$8,3,FALSE),"?"))</f>
        <v/>
      </c>
      <c r="BG109">
        <f>IF($BE109="","",IFERROR(VLOOKUP($BD109&amp;"-"&amp;$BE109,DECODE!$E$3:$F$21,2,FALSE),"?"))</f>
        <v/>
      </c>
      <c r="BH109">
        <f>IF($BC109="","",IFERROR(VALUE(RIGHT($BC109,3)),""))</f>
        <v/>
      </c>
      <c r="BI109">
        <f>IF($V109="","",IFERROR(IF(ISNUMBER($V109),$V109,DATEVALUE(TRIM($V109))),""))</f>
        <v/>
      </c>
      <c r="BJ109">
        <f>IF($BI109="","",IF(MONTH($BI109)&gt;=12,"Cold Winter",IF(MONTH($BI109)&gt;=10,"Post-Monsoon",IF(MONTH($BI109)&gt;=6,"Hot Humid",IF(MONTH($BI109)&gt;=3,"Hot Dry","Cold Winter")))))</f>
        <v/>
      </c>
      <c r="BK109">
        <f>IF($BD109="","",IFERROR(VLOOKUP($BD109,DECODE!$A$3:$C$8,2,FALSE),"?"))</f>
        <v/>
      </c>
      <c r="BL109">
        <f>IF($Q109="","",UPPER(TRIM(LEFT($Q109&amp;",",FIND(",",$Q109&amp;",")-1))))</f>
        <v/>
      </c>
      <c r="BM109">
        <f>IF($BL109="","",MID($BL109,4,FIND("~",SUBSTITUTE($BL109,"-","~",2))-4))</f>
        <v/>
      </c>
      <c r="BN109">
        <f>IF($BL109="","",MID($BL109,FIND("~",SUBSTITUTE($BL109,"-","~",2))+1,FIND("~",SUBSTITUTE($BL109,"-","~",3))-FIND("~",SUBSTITUTE($BL109,"-","~",2))-1))</f>
        <v/>
      </c>
      <c r="BO109">
        <f>IF($BM109="","",IFERROR(VLOOKUP($BM109,DECODE!$A$3:$C$8,3,FALSE),"?"))</f>
        <v/>
      </c>
      <c r="BP109">
        <f>IF($BN109="","",IFERROR(VLOOKUP($BM109&amp;"-"&amp;$BN109,DECODE!$E$3:$F$21,2,FALSE),"?"))</f>
        <v/>
      </c>
      <c r="BQ109">
        <f>IF($BL109="","",IFERROR(VALUE(RIGHT($BL109,3)),""))</f>
        <v/>
      </c>
      <c r="BR109">
        <f>IF($W109="","",IFERROR(IF(ISNUMBER($W109),$W109,DATEVALUE(TRIM($W109))),""))</f>
        <v/>
      </c>
      <c r="BS109">
        <f>IF($BR109="","",IF(MONTH($BR109)&gt;=12,"Cold Winter",IF(MONTH($BR109)&gt;=10,"Post-Monsoon",IF(MONTH($BR109)&gt;=6,"Hot Humid",IF(MONTH($BR109)&gt;=3,"Hot Dry","Cold Winter")))))</f>
        <v/>
      </c>
      <c r="BT109">
        <f>IF($BM109="","",IFERROR(VLOOKUP($BM109,DECODE!$A$3:$C$8,2,FALSE),"?"))</f>
        <v/>
      </c>
      <c r="BU109">
        <f>IF($R109="","",UPPER(TRIM(LEFT($R109&amp;",",FIND(",",$R109&amp;",")-1))))</f>
        <v/>
      </c>
      <c r="BV109">
        <f>IF($BU109="","",MID($BU109,4,FIND("~",SUBSTITUTE($BU109,"-","~",2))-4))</f>
        <v/>
      </c>
      <c r="BW109">
        <f>IF($BU109="","",MID($BU109,FIND("~",SUBSTITUTE($BU109,"-","~",2))+1,FIND("~",SUBSTITUTE($BU109,"-","~",3))-FIND("~",SUBSTITUTE($BU109,"-","~",2))-1))</f>
        <v/>
      </c>
      <c r="BX109">
        <f>IF($BV109="","",IFERROR(VLOOKUP($BV109,DECODE!$A$3:$C$8,3,FALSE),"?"))</f>
        <v/>
      </c>
      <c r="BY109">
        <f>IF($BW109="","",IFERROR(VLOOKUP($BV109&amp;"-"&amp;$BW109,DECODE!$E$3:$F$21,2,FALSE),"?"))</f>
        <v/>
      </c>
      <c r="BZ109">
        <f>IF($BU109="","",IFERROR(VALUE(RIGHT($BU109,3)),""))</f>
        <v/>
      </c>
      <c r="CA109">
        <f>IF($X109="","",IFERROR(IF(ISNUMBER($X109),$X109,DATEVALUE(TRIM($X109))),""))</f>
        <v/>
      </c>
      <c r="CB109">
        <f>IF($CA109="","",IF(MONTH($CA109)&gt;=12,"Cold Winter",IF(MONTH($CA109)&gt;=10,"Post-Monsoon",IF(MONTH($CA109)&gt;=6,"Hot Humid",IF(MONTH($CA109)&gt;=3,"Hot Dry","Cold Winter")))))</f>
        <v/>
      </c>
      <c r="CC109">
        <f>IF($BV109="","",IFERROR(VLOOKUP($BV109,DECODE!$A$3:$C$8,2,FALSE),"?"))</f>
        <v/>
      </c>
      <c r="CD109">
        <f>IF($S109="","",UPPER(TRIM(LEFT($S109&amp;",",FIND(",",$S109&amp;",")-1))))</f>
        <v/>
      </c>
      <c r="CE109">
        <f>IF($CD109="","",MID($CD109,4,FIND("~",SUBSTITUTE($CD109,"-","~",2))-4))</f>
        <v/>
      </c>
      <c r="CF109">
        <f>IF($CD109="","",MID($CD109,FIND("~",SUBSTITUTE($CD109,"-","~",2))+1,FIND("~",SUBSTITUTE($CD109,"-","~",3))-FIND("~",SUBSTITUTE($CD109,"-","~",2))-1))</f>
        <v/>
      </c>
      <c r="CG109">
        <f>IF($CE109="","",IFERROR(VLOOKUP($CE109,DECODE!$A$3:$C$8,3,FALSE),"?"))</f>
        <v/>
      </c>
      <c r="CH109">
        <f>IF($CF109="","",IFERROR(VLOOKUP($CE109&amp;"-"&amp;$CF109,DECODE!$E$3:$F$21,2,FALSE),"?"))</f>
        <v/>
      </c>
      <c r="CI109">
        <f>IF($CD109="","",IFERROR(VALUE(RIGHT($CD109,3)),""))</f>
        <v/>
      </c>
      <c r="CJ109">
        <f>IF($Y109="","",IFERROR(IF(ISNUMBER($Y109),$Y109,DATEVALUE(TRIM($Y109))),""))</f>
        <v/>
      </c>
      <c r="CK109">
        <f>IF($CJ109="","",IF(MONTH($CJ109)&gt;=12,"Cold Winter",IF(MONTH($CJ109)&gt;=10,"Post-Monsoon",IF(MONTH($CJ109)&gt;=6,"Hot Humid",IF(MONTH($CJ109)&gt;=3,"Hot Dry","Cold Winter")))))</f>
        <v/>
      </c>
      <c r="CL109">
        <f>IF($CE109="","",IFERROR(VLOOKUP($CE109,DECODE!$A$3:$C$8,2,FALSE),"?"))</f>
        <v/>
      </c>
      <c r="CM109">
        <f>IF($AN109="","",AN109)</f>
        <v/>
      </c>
      <c r="CN109">
        <f>IF($AO109="","",AO109)</f>
        <v/>
      </c>
      <c r="CO109">
        <f>IF($AP109="","",AP109)</f>
        <v/>
      </c>
      <c r="CP109">
        <f>IF($CM109="","",IF($CM109="Aloe Vera Gel","Aloe Vera Gel "&amp;$CO109&amp;"g",CN109&amp;" "&amp;$CO109&amp;"g"))</f>
        <v/>
      </c>
      <c r="CQ109">
        <f>IF($AT109="",0,1)</f>
        <v/>
      </c>
      <c r="CR109">
        <f>IF($CQ109=0,"",AW109)</f>
        <v/>
      </c>
      <c r="CS109">
        <f>IF($CQ109=0,"",AX109)</f>
        <v/>
      </c>
      <c r="CT109">
        <f>IF($CQ109=0,"",AY109)</f>
        <v/>
      </c>
      <c r="CU109">
        <f>IF($CR109="","",IF($CR109="Aloe Vera Gel","Aloe Vera Gel "&amp;$CT109&amp;"g",CS109&amp;" "&amp;$CT109&amp;"g"))</f>
        <v/>
      </c>
      <c r="CV109">
        <f>IF($CQ109=0,"",IF($CP109=$CU109,"Repeat Exact",IF($CT109&gt;$CO109,"Upsized",IF($CT109&lt;$CO109,"Downsized",IF($CM109&lt;&gt;$CR109,"Lateral","Same Size Diff Variant")))))</f>
        <v/>
      </c>
      <c r="CW109">
        <f>IF($CQ109=0,"",AZ109-AQ109)</f>
        <v/>
      </c>
      <c r="CX109">
        <f>IF($CQ109=0,0,IF(CS109=CN109,1,0))</f>
        <v/>
      </c>
      <c r="CY109">
        <f>IF($CQ109=0,0,IF(CR109=CM109,1,0))</f>
        <v/>
      </c>
      <c r="CZ109">
        <f>IF($A109="","",IF(AND(IF(DASHBOARD!$C$4="All",TRUE,$CM109=DASHBOARD!$C$4),IF(DASHBOARD!$C$6="All",TRUE,$CP109=DASHBOARD!$C$6),IF(DASHBOARD!$C$8="All",TRUE,$AF109&gt;=DASHBOARD!$C$8),IF(DASHBOARD!$C$10="All",TRUE,$AF109&lt;=DASHBOARD!$C$10),IF(DASHBOARD!$C$12="All",TRUE,$AH109=VALUE(DASHBOARD!$C$12)),IF(DASHBOARD!$C$14="All",TRUE,$AJ109=DASHBOARD!$C$14)),1,0))</f>
        <v/>
      </c>
    </row>
    <row r="110">
      <c r="A110" t="n">
        <v>76088</v>
      </c>
      <c r="B110" t="inlineStr">
        <is>
          <t>Aloe Vera Gel</t>
        </is>
      </c>
      <c r="H110" t="inlineStr">
        <is>
          <t>Aloe Vera Gel - 80 gms</t>
        </is>
      </c>
      <c r="N110" t="inlineStr">
        <is>
          <t>FC-HG-PA-080</t>
        </is>
      </c>
      <c r="T110" t="inlineStr">
        <is>
          <t>Oct 10, 2025</t>
        </is>
      </c>
      <c r="AE110" t="inlineStr">
        <is>
          <t>Faridabad</t>
        </is>
      </c>
      <c r="AF110" t="inlineStr">
        <is>
          <t>2025-10</t>
        </is>
      </c>
      <c r="AG110" t="n">
        <v>10</v>
      </c>
      <c r="AH110" t="n">
        <v>1</v>
      </c>
      <c r="AI110" t="n">
        <v>0</v>
      </c>
      <c r="AJ110">
        <f>IF($AE110="","",IFERROR(VLOOKUP(TRIM($AE110),DECODE!$H$3:$I$60,2,FALSE),"Rest of India"))</f>
        <v/>
      </c>
      <c r="AK110">
        <f>IF($N110="","",UPPER(TRIM(LEFT($N110&amp;",",FIND(",",$N110&amp;",")-1))))</f>
        <v/>
      </c>
      <c r="AL110">
        <f>IF($AK110="","",MID($AK110,4,FIND("~",SUBSTITUTE($AK110,"-","~",2))-4))</f>
        <v/>
      </c>
      <c r="AM110">
        <f>IF($AK110="","",MID($AK110,FIND("~",SUBSTITUTE($AK110,"-","~",2))+1,FIND("~",SUBSTITUTE($AK110,"-","~",3))-FIND("~",SUBSTITUTE($AK110,"-","~",2))-1))</f>
        <v/>
      </c>
      <c r="AN110">
        <f>IF($AL110="","",IFERROR(VLOOKUP($AL110,DECODE!$A$3:$C$8,3,FALSE),"?"))</f>
        <v/>
      </c>
      <c r="AO110">
        <f>IF($AM110="","",IFERROR(VLOOKUP($AL110&amp;"-"&amp;$AM110,DECODE!$E$3:$F$21,2,FALSE),"?"))</f>
        <v/>
      </c>
      <c r="AP110">
        <f>IF($AK110="","",IFERROR(VALUE(RIGHT($AK110,3)),""))</f>
        <v/>
      </c>
      <c r="AQ110">
        <f>IF($T110="","",IFERROR(IF(ISNUMBER($T110),$T110,DATEVALUE(TRIM($T110))),""))</f>
        <v/>
      </c>
      <c r="AR110">
        <f>IF($AQ110="","",IF(MONTH($AQ110)&gt;=12,"Cold Winter",IF(MONTH($AQ110)&gt;=10,"Post-Monsoon",IF(MONTH($AQ110)&gt;=6,"Hot Humid",IF(MONTH($AQ110)&gt;=3,"Hot Dry","Cold Winter")))))</f>
        <v/>
      </c>
      <c r="AS110">
        <f>IF($AL110="","",IFERROR(VLOOKUP($AL110,DECODE!$A$3:$C$8,2,FALSE),"?"))</f>
        <v/>
      </c>
      <c r="AT110">
        <f>IF($O110="","",UPPER(TRIM(LEFT($O110&amp;",",FIND(",",$O110&amp;",")-1))))</f>
        <v/>
      </c>
      <c r="AU110">
        <f>IF($AT110="","",MID($AT110,4,FIND("~",SUBSTITUTE($AT110,"-","~",2))-4))</f>
        <v/>
      </c>
      <c r="AV110">
        <f>IF($AT110="","",MID($AT110,FIND("~",SUBSTITUTE($AT110,"-","~",2))+1,FIND("~",SUBSTITUTE($AT110,"-","~",3))-FIND("~",SUBSTITUTE($AT110,"-","~",2))-1))</f>
        <v/>
      </c>
      <c r="AW110">
        <f>IF($AU110="","",IFERROR(VLOOKUP($AU110,DECODE!$A$3:$C$8,3,FALSE),"?"))</f>
        <v/>
      </c>
      <c r="AX110">
        <f>IF($AV110="","",IFERROR(VLOOKUP($AU110&amp;"-"&amp;$AV110,DECODE!$E$3:$F$21,2,FALSE),"?"))</f>
        <v/>
      </c>
      <c r="AY110">
        <f>IF($AT110="","",IFERROR(VALUE(RIGHT($AT110,3)),""))</f>
        <v/>
      </c>
      <c r="AZ110">
        <f>IF($U110="","",IFERROR(IF(ISNUMBER($U110),$U110,DATEVALUE(TRIM($U110))),""))</f>
        <v/>
      </c>
      <c r="BA110">
        <f>IF($AZ110="","",IF(MONTH($AZ110)&gt;=12,"Cold Winter",IF(MONTH($AZ110)&gt;=10,"Post-Monsoon",IF(MONTH($AZ110)&gt;=6,"Hot Humid",IF(MONTH($AZ110)&gt;=3,"Hot Dry","Cold Winter")))))</f>
        <v/>
      </c>
      <c r="BB110">
        <f>IF($AU110="","",IFERROR(VLOOKUP($AU110,DECODE!$A$3:$C$8,2,FALSE),"?"))</f>
        <v/>
      </c>
      <c r="BC110">
        <f>IF($P110="","",UPPER(TRIM(LEFT($P110&amp;",",FIND(",",$P110&amp;",")-1))))</f>
        <v/>
      </c>
      <c r="BD110">
        <f>IF($BC110="","",MID($BC110,4,FIND("~",SUBSTITUTE($BC110,"-","~",2))-4))</f>
        <v/>
      </c>
      <c r="BE110">
        <f>IF($BC110="","",MID($BC110,FIND("~",SUBSTITUTE($BC110,"-","~",2))+1,FIND("~",SUBSTITUTE($BC110,"-","~",3))-FIND("~",SUBSTITUTE($BC110,"-","~",2))-1))</f>
        <v/>
      </c>
      <c r="BF110">
        <f>IF($BD110="","",IFERROR(VLOOKUP($BD110,DECODE!$A$3:$C$8,3,FALSE),"?"))</f>
        <v/>
      </c>
      <c r="BG110">
        <f>IF($BE110="","",IFERROR(VLOOKUP($BD110&amp;"-"&amp;$BE110,DECODE!$E$3:$F$21,2,FALSE),"?"))</f>
        <v/>
      </c>
      <c r="BH110">
        <f>IF($BC110="","",IFERROR(VALUE(RIGHT($BC110,3)),""))</f>
        <v/>
      </c>
      <c r="BI110">
        <f>IF($V110="","",IFERROR(IF(ISNUMBER($V110),$V110,DATEVALUE(TRIM($V110))),""))</f>
        <v/>
      </c>
      <c r="BJ110">
        <f>IF($BI110="","",IF(MONTH($BI110)&gt;=12,"Cold Winter",IF(MONTH($BI110)&gt;=10,"Post-Monsoon",IF(MONTH($BI110)&gt;=6,"Hot Humid",IF(MONTH($BI110)&gt;=3,"Hot Dry","Cold Winter")))))</f>
        <v/>
      </c>
      <c r="BK110">
        <f>IF($BD110="","",IFERROR(VLOOKUP($BD110,DECODE!$A$3:$C$8,2,FALSE),"?"))</f>
        <v/>
      </c>
      <c r="BL110">
        <f>IF($Q110="","",UPPER(TRIM(LEFT($Q110&amp;",",FIND(",",$Q110&amp;",")-1))))</f>
        <v/>
      </c>
      <c r="BM110">
        <f>IF($BL110="","",MID($BL110,4,FIND("~",SUBSTITUTE($BL110,"-","~",2))-4))</f>
        <v/>
      </c>
      <c r="BN110">
        <f>IF($BL110="","",MID($BL110,FIND("~",SUBSTITUTE($BL110,"-","~",2))+1,FIND("~",SUBSTITUTE($BL110,"-","~",3))-FIND("~",SUBSTITUTE($BL110,"-","~",2))-1))</f>
        <v/>
      </c>
      <c r="BO110">
        <f>IF($BM110="","",IFERROR(VLOOKUP($BM110,DECODE!$A$3:$C$8,3,FALSE),"?"))</f>
        <v/>
      </c>
      <c r="BP110">
        <f>IF($BN110="","",IFERROR(VLOOKUP($BM110&amp;"-"&amp;$BN110,DECODE!$E$3:$F$21,2,FALSE),"?"))</f>
        <v/>
      </c>
      <c r="BQ110">
        <f>IF($BL110="","",IFERROR(VALUE(RIGHT($BL110,3)),""))</f>
        <v/>
      </c>
      <c r="BR110">
        <f>IF($W110="","",IFERROR(IF(ISNUMBER($W110),$W110,DATEVALUE(TRIM($W110))),""))</f>
        <v/>
      </c>
      <c r="BS110">
        <f>IF($BR110="","",IF(MONTH($BR110)&gt;=12,"Cold Winter",IF(MONTH($BR110)&gt;=10,"Post-Monsoon",IF(MONTH($BR110)&gt;=6,"Hot Humid",IF(MONTH($BR110)&gt;=3,"Hot Dry","Cold Winter")))))</f>
        <v/>
      </c>
      <c r="BT110">
        <f>IF($BM110="","",IFERROR(VLOOKUP($BM110,DECODE!$A$3:$C$8,2,FALSE),"?"))</f>
        <v/>
      </c>
      <c r="BU110">
        <f>IF($R110="","",UPPER(TRIM(LEFT($R110&amp;",",FIND(",",$R110&amp;",")-1))))</f>
        <v/>
      </c>
      <c r="BV110">
        <f>IF($BU110="","",MID($BU110,4,FIND("~",SUBSTITUTE($BU110,"-","~",2))-4))</f>
        <v/>
      </c>
      <c r="BW110">
        <f>IF($BU110="","",MID($BU110,FIND("~",SUBSTITUTE($BU110,"-","~",2))+1,FIND("~",SUBSTITUTE($BU110,"-","~",3))-FIND("~",SUBSTITUTE($BU110,"-","~",2))-1))</f>
        <v/>
      </c>
      <c r="BX110">
        <f>IF($BV110="","",IFERROR(VLOOKUP($BV110,DECODE!$A$3:$C$8,3,FALSE),"?"))</f>
        <v/>
      </c>
      <c r="BY110">
        <f>IF($BW110="","",IFERROR(VLOOKUP($BV110&amp;"-"&amp;$BW110,DECODE!$E$3:$F$21,2,FALSE),"?"))</f>
        <v/>
      </c>
      <c r="BZ110">
        <f>IF($BU110="","",IFERROR(VALUE(RIGHT($BU110,3)),""))</f>
        <v/>
      </c>
      <c r="CA110">
        <f>IF($X110="","",IFERROR(IF(ISNUMBER($X110),$X110,DATEVALUE(TRIM($X110))),""))</f>
        <v/>
      </c>
      <c r="CB110">
        <f>IF($CA110="","",IF(MONTH($CA110)&gt;=12,"Cold Winter",IF(MONTH($CA110)&gt;=10,"Post-Monsoon",IF(MONTH($CA110)&gt;=6,"Hot Humid",IF(MONTH($CA110)&gt;=3,"Hot Dry","Cold Winter")))))</f>
        <v/>
      </c>
      <c r="CC110">
        <f>IF($BV110="","",IFERROR(VLOOKUP($BV110,DECODE!$A$3:$C$8,2,FALSE),"?"))</f>
        <v/>
      </c>
      <c r="CD110">
        <f>IF($S110="","",UPPER(TRIM(LEFT($S110&amp;",",FIND(",",$S110&amp;",")-1))))</f>
        <v/>
      </c>
      <c r="CE110">
        <f>IF($CD110="","",MID($CD110,4,FIND("~",SUBSTITUTE($CD110,"-","~",2))-4))</f>
        <v/>
      </c>
      <c r="CF110">
        <f>IF($CD110="","",MID($CD110,FIND("~",SUBSTITUTE($CD110,"-","~",2))+1,FIND("~",SUBSTITUTE($CD110,"-","~",3))-FIND("~",SUBSTITUTE($CD110,"-","~",2))-1))</f>
        <v/>
      </c>
      <c r="CG110">
        <f>IF($CE110="","",IFERROR(VLOOKUP($CE110,DECODE!$A$3:$C$8,3,FALSE),"?"))</f>
        <v/>
      </c>
      <c r="CH110">
        <f>IF($CF110="","",IFERROR(VLOOKUP($CE110&amp;"-"&amp;$CF110,DECODE!$E$3:$F$21,2,FALSE),"?"))</f>
        <v/>
      </c>
      <c r="CI110">
        <f>IF($CD110="","",IFERROR(VALUE(RIGHT($CD110,3)),""))</f>
        <v/>
      </c>
      <c r="CJ110">
        <f>IF($Y110="","",IFERROR(IF(ISNUMBER($Y110),$Y110,DATEVALUE(TRIM($Y110))),""))</f>
        <v/>
      </c>
      <c r="CK110">
        <f>IF($CJ110="","",IF(MONTH($CJ110)&gt;=12,"Cold Winter",IF(MONTH($CJ110)&gt;=10,"Post-Monsoon",IF(MONTH($CJ110)&gt;=6,"Hot Humid",IF(MONTH($CJ110)&gt;=3,"Hot Dry","Cold Winter")))))</f>
        <v/>
      </c>
      <c r="CL110">
        <f>IF($CE110="","",IFERROR(VLOOKUP($CE110,DECODE!$A$3:$C$8,2,FALSE),"?"))</f>
        <v/>
      </c>
      <c r="CM110">
        <f>IF($AN110="","",AN110)</f>
        <v/>
      </c>
      <c r="CN110">
        <f>IF($AO110="","",AO110)</f>
        <v/>
      </c>
      <c r="CO110">
        <f>IF($AP110="","",AP110)</f>
        <v/>
      </c>
      <c r="CP110">
        <f>IF($CM110="","",IF($CM110="Aloe Vera Gel","Aloe Vera Gel "&amp;$CO110&amp;"g",CN110&amp;" "&amp;$CO110&amp;"g"))</f>
        <v/>
      </c>
      <c r="CQ110">
        <f>IF($AT110="",0,1)</f>
        <v/>
      </c>
      <c r="CR110">
        <f>IF($CQ110=0,"",AW110)</f>
        <v/>
      </c>
      <c r="CS110">
        <f>IF($CQ110=0,"",AX110)</f>
        <v/>
      </c>
      <c r="CT110">
        <f>IF($CQ110=0,"",AY110)</f>
        <v/>
      </c>
      <c r="CU110">
        <f>IF($CR110="","",IF($CR110="Aloe Vera Gel","Aloe Vera Gel "&amp;$CT110&amp;"g",CS110&amp;" "&amp;$CT110&amp;"g"))</f>
        <v/>
      </c>
      <c r="CV110">
        <f>IF($CQ110=0,"",IF($CP110=$CU110,"Repeat Exact",IF($CT110&gt;$CO110,"Upsized",IF($CT110&lt;$CO110,"Downsized",IF($CM110&lt;&gt;$CR110,"Lateral","Same Size Diff Variant")))))</f>
        <v/>
      </c>
      <c r="CW110">
        <f>IF($CQ110=0,"",AZ110-AQ110)</f>
        <v/>
      </c>
      <c r="CX110">
        <f>IF($CQ110=0,0,IF(CS110=CN110,1,0))</f>
        <v/>
      </c>
      <c r="CY110">
        <f>IF($CQ110=0,0,IF(CR110=CM110,1,0))</f>
        <v/>
      </c>
      <c r="CZ110">
        <f>IF($A110="","",IF(AND(IF(DASHBOARD!$C$4="All",TRUE,$CM110=DASHBOARD!$C$4),IF(DASHBOARD!$C$6="All",TRUE,$CP110=DASHBOARD!$C$6),IF(DASHBOARD!$C$8="All",TRUE,$AF110&gt;=DASHBOARD!$C$8),IF(DASHBOARD!$C$10="All",TRUE,$AF110&lt;=DASHBOARD!$C$10),IF(DASHBOARD!$C$12="All",TRUE,$AH110=VALUE(DASHBOARD!$C$12)),IF(DASHBOARD!$C$14="All",TRUE,$AJ110=DASHBOARD!$C$14)),1,0))</f>
        <v/>
      </c>
    </row>
    <row r="111">
      <c r="A111" t="n">
        <v>76355</v>
      </c>
      <c r="B111" t="inlineStr">
        <is>
          <t>Active Gel, Face Malai</t>
        </is>
      </c>
      <c r="H111" t="inlineStr">
        <is>
          <t>Honey Multi-Nut (Dry &amp; Peeling Skin) Face Malai, Cocoa Mogra (Overnight) Face Malai - 30g, Active Beetroot Tomato Vit-A Gel</t>
        </is>
      </c>
      <c r="N111" t="inlineStr">
        <is>
          <t>FC-DM-DP-030, FC-AC-BT-050, FC-DM-NR-030</t>
        </is>
      </c>
      <c r="T111" t="inlineStr">
        <is>
          <t>Mar 20, 2025</t>
        </is>
      </c>
      <c r="AE111" t="inlineStr">
        <is>
          <t>Hissar</t>
        </is>
      </c>
      <c r="AF111" t="inlineStr">
        <is>
          <t>2025-03</t>
        </is>
      </c>
      <c r="AG111" t="n">
        <v>3</v>
      </c>
      <c r="AH111" t="n">
        <v>1</v>
      </c>
      <c r="AI111" t="n">
        <v>0</v>
      </c>
      <c r="AJ111">
        <f>IF($AE111="","",IFERROR(VLOOKUP(TRIM($AE111),DECODE!$H$3:$I$60,2,FALSE),"Rest of India"))</f>
        <v/>
      </c>
      <c r="AK111">
        <f>IF($N111="","",UPPER(TRIM(LEFT($N111&amp;",",FIND(",",$N111&amp;",")-1))))</f>
        <v/>
      </c>
      <c r="AL111">
        <f>IF($AK111="","",MID($AK111,4,FIND("~",SUBSTITUTE($AK111,"-","~",2))-4))</f>
        <v/>
      </c>
      <c r="AM111">
        <f>IF($AK111="","",MID($AK111,FIND("~",SUBSTITUTE($AK111,"-","~",2))+1,FIND("~",SUBSTITUTE($AK111,"-","~",3))-FIND("~",SUBSTITUTE($AK111,"-","~",2))-1))</f>
        <v/>
      </c>
      <c r="AN111">
        <f>IF($AL111="","",IFERROR(VLOOKUP($AL111,DECODE!$A$3:$C$8,3,FALSE),"?"))</f>
        <v/>
      </c>
      <c r="AO111">
        <f>IF($AM111="","",IFERROR(VLOOKUP($AL111&amp;"-"&amp;$AM111,DECODE!$E$3:$F$21,2,FALSE),"?"))</f>
        <v/>
      </c>
      <c r="AP111">
        <f>IF($AK111="","",IFERROR(VALUE(RIGHT($AK111,3)),""))</f>
        <v/>
      </c>
      <c r="AQ111">
        <f>IF($T111="","",IFERROR(IF(ISNUMBER($T111),$T111,DATEVALUE(TRIM($T111))),""))</f>
        <v/>
      </c>
      <c r="AR111">
        <f>IF($AQ111="","",IF(MONTH($AQ111)&gt;=12,"Cold Winter",IF(MONTH($AQ111)&gt;=10,"Post-Monsoon",IF(MONTH($AQ111)&gt;=6,"Hot Humid",IF(MONTH($AQ111)&gt;=3,"Hot Dry","Cold Winter")))))</f>
        <v/>
      </c>
      <c r="AS111">
        <f>IF($AL111="","",IFERROR(VLOOKUP($AL111,DECODE!$A$3:$C$8,2,FALSE),"?"))</f>
        <v/>
      </c>
      <c r="AT111">
        <f>IF($O111="","",UPPER(TRIM(LEFT($O111&amp;",",FIND(",",$O111&amp;",")-1))))</f>
        <v/>
      </c>
      <c r="AU111">
        <f>IF($AT111="","",MID($AT111,4,FIND("~",SUBSTITUTE($AT111,"-","~",2))-4))</f>
        <v/>
      </c>
      <c r="AV111">
        <f>IF($AT111="","",MID($AT111,FIND("~",SUBSTITUTE($AT111,"-","~",2))+1,FIND("~",SUBSTITUTE($AT111,"-","~",3))-FIND("~",SUBSTITUTE($AT111,"-","~",2))-1))</f>
        <v/>
      </c>
      <c r="AW111">
        <f>IF($AU111="","",IFERROR(VLOOKUP($AU111,DECODE!$A$3:$C$8,3,FALSE),"?"))</f>
        <v/>
      </c>
      <c r="AX111">
        <f>IF($AV111="","",IFERROR(VLOOKUP($AU111&amp;"-"&amp;$AV111,DECODE!$E$3:$F$21,2,FALSE),"?"))</f>
        <v/>
      </c>
      <c r="AY111">
        <f>IF($AT111="","",IFERROR(VALUE(RIGHT($AT111,3)),""))</f>
        <v/>
      </c>
      <c r="AZ111">
        <f>IF($U111="","",IFERROR(IF(ISNUMBER($U111),$U111,DATEVALUE(TRIM($U111))),""))</f>
        <v/>
      </c>
      <c r="BA111">
        <f>IF($AZ111="","",IF(MONTH($AZ111)&gt;=12,"Cold Winter",IF(MONTH($AZ111)&gt;=10,"Post-Monsoon",IF(MONTH($AZ111)&gt;=6,"Hot Humid",IF(MONTH($AZ111)&gt;=3,"Hot Dry","Cold Winter")))))</f>
        <v/>
      </c>
      <c r="BB111">
        <f>IF($AU111="","",IFERROR(VLOOKUP($AU111,DECODE!$A$3:$C$8,2,FALSE),"?"))</f>
        <v/>
      </c>
      <c r="BC111">
        <f>IF($P111="","",UPPER(TRIM(LEFT($P111&amp;",",FIND(",",$P111&amp;",")-1))))</f>
        <v/>
      </c>
      <c r="BD111">
        <f>IF($BC111="","",MID($BC111,4,FIND("~",SUBSTITUTE($BC111,"-","~",2))-4))</f>
        <v/>
      </c>
      <c r="BE111">
        <f>IF($BC111="","",MID($BC111,FIND("~",SUBSTITUTE($BC111,"-","~",2))+1,FIND("~",SUBSTITUTE($BC111,"-","~",3))-FIND("~",SUBSTITUTE($BC111,"-","~",2))-1))</f>
        <v/>
      </c>
      <c r="BF111">
        <f>IF($BD111="","",IFERROR(VLOOKUP($BD111,DECODE!$A$3:$C$8,3,FALSE),"?"))</f>
        <v/>
      </c>
      <c r="BG111">
        <f>IF($BE111="","",IFERROR(VLOOKUP($BD111&amp;"-"&amp;$BE111,DECODE!$E$3:$F$21,2,FALSE),"?"))</f>
        <v/>
      </c>
      <c r="BH111">
        <f>IF($BC111="","",IFERROR(VALUE(RIGHT($BC111,3)),""))</f>
        <v/>
      </c>
      <c r="BI111">
        <f>IF($V111="","",IFERROR(IF(ISNUMBER($V111),$V111,DATEVALUE(TRIM($V111))),""))</f>
        <v/>
      </c>
      <c r="BJ111">
        <f>IF($BI111="","",IF(MONTH($BI111)&gt;=12,"Cold Winter",IF(MONTH($BI111)&gt;=10,"Post-Monsoon",IF(MONTH($BI111)&gt;=6,"Hot Humid",IF(MONTH($BI111)&gt;=3,"Hot Dry","Cold Winter")))))</f>
        <v/>
      </c>
      <c r="BK111">
        <f>IF($BD111="","",IFERROR(VLOOKUP($BD111,DECODE!$A$3:$C$8,2,FALSE),"?"))</f>
        <v/>
      </c>
      <c r="BL111">
        <f>IF($Q111="","",UPPER(TRIM(LEFT($Q111&amp;",",FIND(",",$Q111&amp;",")-1))))</f>
        <v/>
      </c>
      <c r="BM111">
        <f>IF($BL111="","",MID($BL111,4,FIND("~",SUBSTITUTE($BL111,"-","~",2))-4))</f>
        <v/>
      </c>
      <c r="BN111">
        <f>IF($BL111="","",MID($BL111,FIND("~",SUBSTITUTE($BL111,"-","~",2))+1,FIND("~",SUBSTITUTE($BL111,"-","~",3))-FIND("~",SUBSTITUTE($BL111,"-","~",2))-1))</f>
        <v/>
      </c>
      <c r="BO111">
        <f>IF($BM111="","",IFERROR(VLOOKUP($BM111,DECODE!$A$3:$C$8,3,FALSE),"?"))</f>
        <v/>
      </c>
      <c r="BP111">
        <f>IF($BN111="","",IFERROR(VLOOKUP($BM111&amp;"-"&amp;$BN111,DECODE!$E$3:$F$21,2,FALSE),"?"))</f>
        <v/>
      </c>
      <c r="BQ111">
        <f>IF($BL111="","",IFERROR(VALUE(RIGHT($BL111,3)),""))</f>
        <v/>
      </c>
      <c r="BR111">
        <f>IF($W111="","",IFERROR(IF(ISNUMBER($W111),$W111,DATEVALUE(TRIM($W111))),""))</f>
        <v/>
      </c>
      <c r="BS111">
        <f>IF($BR111="","",IF(MONTH($BR111)&gt;=12,"Cold Winter",IF(MONTH($BR111)&gt;=10,"Post-Monsoon",IF(MONTH($BR111)&gt;=6,"Hot Humid",IF(MONTH($BR111)&gt;=3,"Hot Dry","Cold Winter")))))</f>
        <v/>
      </c>
      <c r="BT111">
        <f>IF($BM111="","",IFERROR(VLOOKUP($BM111,DECODE!$A$3:$C$8,2,FALSE),"?"))</f>
        <v/>
      </c>
      <c r="BU111">
        <f>IF($R111="","",UPPER(TRIM(LEFT($R111&amp;",",FIND(",",$R111&amp;",")-1))))</f>
        <v/>
      </c>
      <c r="BV111">
        <f>IF($BU111="","",MID($BU111,4,FIND("~",SUBSTITUTE($BU111,"-","~",2))-4))</f>
        <v/>
      </c>
      <c r="BW111">
        <f>IF($BU111="","",MID($BU111,FIND("~",SUBSTITUTE($BU111,"-","~",2))+1,FIND("~",SUBSTITUTE($BU111,"-","~",3))-FIND("~",SUBSTITUTE($BU111,"-","~",2))-1))</f>
        <v/>
      </c>
      <c r="BX111">
        <f>IF($BV111="","",IFERROR(VLOOKUP($BV111,DECODE!$A$3:$C$8,3,FALSE),"?"))</f>
        <v/>
      </c>
      <c r="BY111">
        <f>IF($BW111="","",IFERROR(VLOOKUP($BV111&amp;"-"&amp;$BW111,DECODE!$E$3:$F$21,2,FALSE),"?"))</f>
        <v/>
      </c>
      <c r="BZ111">
        <f>IF($BU111="","",IFERROR(VALUE(RIGHT($BU111,3)),""))</f>
        <v/>
      </c>
      <c r="CA111">
        <f>IF($X111="","",IFERROR(IF(ISNUMBER($X111),$X111,DATEVALUE(TRIM($X111))),""))</f>
        <v/>
      </c>
      <c r="CB111">
        <f>IF($CA111="","",IF(MONTH($CA111)&gt;=12,"Cold Winter",IF(MONTH($CA111)&gt;=10,"Post-Monsoon",IF(MONTH($CA111)&gt;=6,"Hot Humid",IF(MONTH($CA111)&gt;=3,"Hot Dry","Cold Winter")))))</f>
        <v/>
      </c>
      <c r="CC111">
        <f>IF($BV111="","",IFERROR(VLOOKUP($BV111,DECODE!$A$3:$C$8,2,FALSE),"?"))</f>
        <v/>
      </c>
      <c r="CD111">
        <f>IF($S111="","",UPPER(TRIM(LEFT($S111&amp;",",FIND(",",$S111&amp;",")-1))))</f>
        <v/>
      </c>
      <c r="CE111">
        <f>IF($CD111="","",MID($CD111,4,FIND("~",SUBSTITUTE($CD111,"-","~",2))-4))</f>
        <v/>
      </c>
      <c r="CF111">
        <f>IF($CD111="","",MID($CD111,FIND("~",SUBSTITUTE($CD111,"-","~",2))+1,FIND("~",SUBSTITUTE($CD111,"-","~",3))-FIND("~",SUBSTITUTE($CD111,"-","~",2))-1))</f>
        <v/>
      </c>
      <c r="CG111">
        <f>IF($CE111="","",IFERROR(VLOOKUP($CE111,DECODE!$A$3:$C$8,3,FALSE),"?"))</f>
        <v/>
      </c>
      <c r="CH111">
        <f>IF($CF111="","",IFERROR(VLOOKUP($CE111&amp;"-"&amp;$CF111,DECODE!$E$3:$F$21,2,FALSE),"?"))</f>
        <v/>
      </c>
      <c r="CI111">
        <f>IF($CD111="","",IFERROR(VALUE(RIGHT($CD111,3)),""))</f>
        <v/>
      </c>
      <c r="CJ111">
        <f>IF($Y111="","",IFERROR(IF(ISNUMBER($Y111),$Y111,DATEVALUE(TRIM($Y111))),""))</f>
        <v/>
      </c>
      <c r="CK111">
        <f>IF($CJ111="","",IF(MONTH($CJ111)&gt;=12,"Cold Winter",IF(MONTH($CJ111)&gt;=10,"Post-Monsoon",IF(MONTH($CJ111)&gt;=6,"Hot Humid",IF(MONTH($CJ111)&gt;=3,"Hot Dry","Cold Winter")))))</f>
        <v/>
      </c>
      <c r="CL111">
        <f>IF($CE111="","",IFERROR(VLOOKUP($CE111,DECODE!$A$3:$C$8,2,FALSE),"?"))</f>
        <v/>
      </c>
      <c r="CM111">
        <f>IF($AN111="","",AN111)</f>
        <v/>
      </c>
      <c r="CN111">
        <f>IF($AO111="","",AO111)</f>
        <v/>
      </c>
      <c r="CO111">
        <f>IF($AP111="","",AP111)</f>
        <v/>
      </c>
      <c r="CP111">
        <f>IF($CM111="","",IF($CM111="Aloe Vera Gel","Aloe Vera Gel "&amp;$CO111&amp;"g",CN111&amp;" "&amp;$CO111&amp;"g"))</f>
        <v/>
      </c>
      <c r="CQ111">
        <f>IF($AT111="",0,1)</f>
        <v/>
      </c>
      <c r="CR111">
        <f>IF($CQ111=0,"",AW111)</f>
        <v/>
      </c>
      <c r="CS111">
        <f>IF($CQ111=0,"",AX111)</f>
        <v/>
      </c>
      <c r="CT111">
        <f>IF($CQ111=0,"",AY111)</f>
        <v/>
      </c>
      <c r="CU111">
        <f>IF($CR111="","",IF($CR111="Aloe Vera Gel","Aloe Vera Gel "&amp;$CT111&amp;"g",CS111&amp;" "&amp;$CT111&amp;"g"))</f>
        <v/>
      </c>
      <c r="CV111">
        <f>IF($CQ111=0,"",IF($CP111=$CU111,"Repeat Exact",IF($CT111&gt;$CO111,"Upsized",IF($CT111&lt;$CO111,"Downsized",IF($CM111&lt;&gt;$CR111,"Lateral","Same Size Diff Variant")))))</f>
        <v/>
      </c>
      <c r="CW111">
        <f>IF($CQ111=0,"",AZ111-AQ111)</f>
        <v/>
      </c>
      <c r="CX111">
        <f>IF($CQ111=0,0,IF(CS111=CN111,1,0))</f>
        <v/>
      </c>
      <c r="CY111">
        <f>IF($CQ111=0,0,IF(CR111=CM111,1,0))</f>
        <v/>
      </c>
      <c r="CZ111">
        <f>IF($A111="","",IF(AND(IF(DASHBOARD!$C$4="All",TRUE,$CM111=DASHBOARD!$C$4),IF(DASHBOARD!$C$6="All",TRUE,$CP111=DASHBOARD!$C$6),IF(DASHBOARD!$C$8="All",TRUE,$AF111&gt;=DASHBOARD!$C$8),IF(DASHBOARD!$C$10="All",TRUE,$AF111&lt;=DASHBOARD!$C$10),IF(DASHBOARD!$C$12="All",TRUE,$AH111=VALUE(DASHBOARD!$C$12)),IF(DASHBOARD!$C$14="All",TRUE,$AJ111=DASHBOARD!$C$14)),1,0))</f>
        <v/>
      </c>
    </row>
    <row r="112">
      <c r="A112" t="n">
        <v>77751</v>
      </c>
      <c r="B112" t="inlineStr">
        <is>
          <t>Face Malai</t>
        </is>
      </c>
      <c r="H112" t="inlineStr">
        <is>
          <t>Cocoa Mogra (Overnight) Face Malai - 50g</t>
        </is>
      </c>
      <c r="N112" t="inlineStr">
        <is>
          <t>FC-DM-NR-050</t>
        </is>
      </c>
      <c r="T112" t="inlineStr">
        <is>
          <t>Nov 4, 2025</t>
        </is>
      </c>
      <c r="AE112" t="inlineStr">
        <is>
          <t>New Delhi</t>
        </is>
      </c>
      <c r="AF112" t="inlineStr">
        <is>
          <t>2025-11</t>
        </is>
      </c>
      <c r="AG112" t="n">
        <v>11</v>
      </c>
      <c r="AH112" t="n">
        <v>1</v>
      </c>
      <c r="AI112" t="n">
        <v>0</v>
      </c>
      <c r="AJ112">
        <f>IF($AE112="","",IFERROR(VLOOKUP(TRIM($AE112),DECODE!$H$3:$I$60,2,FALSE),"Rest of India"))</f>
        <v/>
      </c>
      <c r="AK112">
        <f>IF($N112="","",UPPER(TRIM(LEFT($N112&amp;",",FIND(",",$N112&amp;",")-1))))</f>
        <v/>
      </c>
      <c r="AL112">
        <f>IF($AK112="","",MID($AK112,4,FIND("~",SUBSTITUTE($AK112,"-","~",2))-4))</f>
        <v/>
      </c>
      <c r="AM112">
        <f>IF($AK112="","",MID($AK112,FIND("~",SUBSTITUTE($AK112,"-","~",2))+1,FIND("~",SUBSTITUTE($AK112,"-","~",3))-FIND("~",SUBSTITUTE($AK112,"-","~",2))-1))</f>
        <v/>
      </c>
      <c r="AN112">
        <f>IF($AL112="","",IFERROR(VLOOKUP($AL112,DECODE!$A$3:$C$8,3,FALSE),"?"))</f>
        <v/>
      </c>
      <c r="AO112">
        <f>IF($AM112="","",IFERROR(VLOOKUP($AL112&amp;"-"&amp;$AM112,DECODE!$E$3:$F$21,2,FALSE),"?"))</f>
        <v/>
      </c>
      <c r="AP112">
        <f>IF($AK112="","",IFERROR(VALUE(RIGHT($AK112,3)),""))</f>
        <v/>
      </c>
      <c r="AQ112">
        <f>IF($T112="","",IFERROR(IF(ISNUMBER($T112),$T112,DATEVALUE(TRIM($T112))),""))</f>
        <v/>
      </c>
      <c r="AR112">
        <f>IF($AQ112="","",IF(MONTH($AQ112)&gt;=12,"Cold Winter",IF(MONTH($AQ112)&gt;=10,"Post-Monsoon",IF(MONTH($AQ112)&gt;=6,"Hot Humid",IF(MONTH($AQ112)&gt;=3,"Hot Dry","Cold Winter")))))</f>
        <v/>
      </c>
      <c r="AS112">
        <f>IF($AL112="","",IFERROR(VLOOKUP($AL112,DECODE!$A$3:$C$8,2,FALSE),"?"))</f>
        <v/>
      </c>
      <c r="AT112">
        <f>IF($O112="","",UPPER(TRIM(LEFT($O112&amp;",",FIND(",",$O112&amp;",")-1))))</f>
        <v/>
      </c>
      <c r="AU112">
        <f>IF($AT112="","",MID($AT112,4,FIND("~",SUBSTITUTE($AT112,"-","~",2))-4))</f>
        <v/>
      </c>
      <c r="AV112">
        <f>IF($AT112="","",MID($AT112,FIND("~",SUBSTITUTE($AT112,"-","~",2))+1,FIND("~",SUBSTITUTE($AT112,"-","~",3))-FIND("~",SUBSTITUTE($AT112,"-","~",2))-1))</f>
        <v/>
      </c>
      <c r="AW112">
        <f>IF($AU112="","",IFERROR(VLOOKUP($AU112,DECODE!$A$3:$C$8,3,FALSE),"?"))</f>
        <v/>
      </c>
      <c r="AX112">
        <f>IF($AV112="","",IFERROR(VLOOKUP($AU112&amp;"-"&amp;$AV112,DECODE!$E$3:$F$21,2,FALSE),"?"))</f>
        <v/>
      </c>
      <c r="AY112">
        <f>IF($AT112="","",IFERROR(VALUE(RIGHT($AT112,3)),""))</f>
        <v/>
      </c>
      <c r="AZ112">
        <f>IF($U112="","",IFERROR(IF(ISNUMBER($U112),$U112,DATEVALUE(TRIM($U112))),""))</f>
        <v/>
      </c>
      <c r="BA112">
        <f>IF($AZ112="","",IF(MONTH($AZ112)&gt;=12,"Cold Winter",IF(MONTH($AZ112)&gt;=10,"Post-Monsoon",IF(MONTH($AZ112)&gt;=6,"Hot Humid",IF(MONTH($AZ112)&gt;=3,"Hot Dry","Cold Winter")))))</f>
        <v/>
      </c>
      <c r="BB112">
        <f>IF($AU112="","",IFERROR(VLOOKUP($AU112,DECODE!$A$3:$C$8,2,FALSE),"?"))</f>
        <v/>
      </c>
      <c r="BC112">
        <f>IF($P112="","",UPPER(TRIM(LEFT($P112&amp;",",FIND(",",$P112&amp;",")-1))))</f>
        <v/>
      </c>
      <c r="BD112">
        <f>IF($BC112="","",MID($BC112,4,FIND("~",SUBSTITUTE($BC112,"-","~",2))-4))</f>
        <v/>
      </c>
      <c r="BE112">
        <f>IF($BC112="","",MID($BC112,FIND("~",SUBSTITUTE($BC112,"-","~",2))+1,FIND("~",SUBSTITUTE($BC112,"-","~",3))-FIND("~",SUBSTITUTE($BC112,"-","~",2))-1))</f>
        <v/>
      </c>
      <c r="BF112">
        <f>IF($BD112="","",IFERROR(VLOOKUP($BD112,DECODE!$A$3:$C$8,3,FALSE),"?"))</f>
        <v/>
      </c>
      <c r="BG112">
        <f>IF($BE112="","",IFERROR(VLOOKUP($BD112&amp;"-"&amp;$BE112,DECODE!$E$3:$F$21,2,FALSE),"?"))</f>
        <v/>
      </c>
      <c r="BH112">
        <f>IF($BC112="","",IFERROR(VALUE(RIGHT($BC112,3)),""))</f>
        <v/>
      </c>
      <c r="BI112">
        <f>IF($V112="","",IFERROR(IF(ISNUMBER($V112),$V112,DATEVALUE(TRIM($V112))),""))</f>
        <v/>
      </c>
      <c r="BJ112">
        <f>IF($BI112="","",IF(MONTH($BI112)&gt;=12,"Cold Winter",IF(MONTH($BI112)&gt;=10,"Post-Monsoon",IF(MONTH($BI112)&gt;=6,"Hot Humid",IF(MONTH($BI112)&gt;=3,"Hot Dry","Cold Winter")))))</f>
        <v/>
      </c>
      <c r="BK112">
        <f>IF($BD112="","",IFERROR(VLOOKUP($BD112,DECODE!$A$3:$C$8,2,FALSE),"?"))</f>
        <v/>
      </c>
      <c r="BL112">
        <f>IF($Q112="","",UPPER(TRIM(LEFT($Q112&amp;",",FIND(",",$Q112&amp;",")-1))))</f>
        <v/>
      </c>
      <c r="BM112">
        <f>IF($BL112="","",MID($BL112,4,FIND("~",SUBSTITUTE($BL112,"-","~",2))-4))</f>
        <v/>
      </c>
      <c r="BN112">
        <f>IF($BL112="","",MID($BL112,FIND("~",SUBSTITUTE($BL112,"-","~",2))+1,FIND("~",SUBSTITUTE($BL112,"-","~",3))-FIND("~",SUBSTITUTE($BL112,"-","~",2))-1))</f>
        <v/>
      </c>
      <c r="BO112">
        <f>IF($BM112="","",IFERROR(VLOOKUP($BM112,DECODE!$A$3:$C$8,3,FALSE),"?"))</f>
        <v/>
      </c>
      <c r="BP112">
        <f>IF($BN112="","",IFERROR(VLOOKUP($BM112&amp;"-"&amp;$BN112,DECODE!$E$3:$F$21,2,FALSE),"?"))</f>
        <v/>
      </c>
      <c r="BQ112">
        <f>IF($BL112="","",IFERROR(VALUE(RIGHT($BL112,3)),""))</f>
        <v/>
      </c>
      <c r="BR112">
        <f>IF($W112="","",IFERROR(IF(ISNUMBER($W112),$W112,DATEVALUE(TRIM($W112))),""))</f>
        <v/>
      </c>
      <c r="BS112">
        <f>IF($BR112="","",IF(MONTH($BR112)&gt;=12,"Cold Winter",IF(MONTH($BR112)&gt;=10,"Post-Monsoon",IF(MONTH($BR112)&gt;=6,"Hot Humid",IF(MONTH($BR112)&gt;=3,"Hot Dry","Cold Winter")))))</f>
        <v/>
      </c>
      <c r="BT112">
        <f>IF($BM112="","",IFERROR(VLOOKUP($BM112,DECODE!$A$3:$C$8,2,FALSE),"?"))</f>
        <v/>
      </c>
      <c r="BU112">
        <f>IF($R112="","",UPPER(TRIM(LEFT($R112&amp;",",FIND(",",$R112&amp;",")-1))))</f>
        <v/>
      </c>
      <c r="BV112">
        <f>IF($BU112="","",MID($BU112,4,FIND("~",SUBSTITUTE($BU112,"-","~",2))-4))</f>
        <v/>
      </c>
      <c r="BW112">
        <f>IF($BU112="","",MID($BU112,FIND("~",SUBSTITUTE($BU112,"-","~",2))+1,FIND("~",SUBSTITUTE($BU112,"-","~",3))-FIND("~",SUBSTITUTE($BU112,"-","~",2))-1))</f>
        <v/>
      </c>
      <c r="BX112">
        <f>IF($BV112="","",IFERROR(VLOOKUP($BV112,DECODE!$A$3:$C$8,3,FALSE),"?"))</f>
        <v/>
      </c>
      <c r="BY112">
        <f>IF($BW112="","",IFERROR(VLOOKUP($BV112&amp;"-"&amp;$BW112,DECODE!$E$3:$F$21,2,FALSE),"?"))</f>
        <v/>
      </c>
      <c r="BZ112">
        <f>IF($BU112="","",IFERROR(VALUE(RIGHT($BU112,3)),""))</f>
        <v/>
      </c>
      <c r="CA112">
        <f>IF($X112="","",IFERROR(IF(ISNUMBER($X112),$X112,DATEVALUE(TRIM($X112))),""))</f>
        <v/>
      </c>
      <c r="CB112">
        <f>IF($CA112="","",IF(MONTH($CA112)&gt;=12,"Cold Winter",IF(MONTH($CA112)&gt;=10,"Post-Monsoon",IF(MONTH($CA112)&gt;=6,"Hot Humid",IF(MONTH($CA112)&gt;=3,"Hot Dry","Cold Winter")))))</f>
        <v/>
      </c>
      <c r="CC112">
        <f>IF($BV112="","",IFERROR(VLOOKUP($BV112,DECODE!$A$3:$C$8,2,FALSE),"?"))</f>
        <v/>
      </c>
      <c r="CD112">
        <f>IF($S112="","",UPPER(TRIM(LEFT($S112&amp;",",FIND(",",$S112&amp;",")-1))))</f>
        <v/>
      </c>
      <c r="CE112">
        <f>IF($CD112="","",MID($CD112,4,FIND("~",SUBSTITUTE($CD112,"-","~",2))-4))</f>
        <v/>
      </c>
      <c r="CF112">
        <f>IF($CD112="","",MID($CD112,FIND("~",SUBSTITUTE($CD112,"-","~",2))+1,FIND("~",SUBSTITUTE($CD112,"-","~",3))-FIND("~",SUBSTITUTE($CD112,"-","~",2))-1))</f>
        <v/>
      </c>
      <c r="CG112">
        <f>IF($CE112="","",IFERROR(VLOOKUP($CE112,DECODE!$A$3:$C$8,3,FALSE),"?"))</f>
        <v/>
      </c>
      <c r="CH112">
        <f>IF($CF112="","",IFERROR(VLOOKUP($CE112&amp;"-"&amp;$CF112,DECODE!$E$3:$F$21,2,FALSE),"?"))</f>
        <v/>
      </c>
      <c r="CI112">
        <f>IF($CD112="","",IFERROR(VALUE(RIGHT($CD112,3)),""))</f>
        <v/>
      </c>
      <c r="CJ112">
        <f>IF($Y112="","",IFERROR(IF(ISNUMBER($Y112),$Y112,DATEVALUE(TRIM($Y112))),""))</f>
        <v/>
      </c>
      <c r="CK112">
        <f>IF($CJ112="","",IF(MONTH($CJ112)&gt;=12,"Cold Winter",IF(MONTH($CJ112)&gt;=10,"Post-Monsoon",IF(MONTH($CJ112)&gt;=6,"Hot Humid",IF(MONTH($CJ112)&gt;=3,"Hot Dry","Cold Winter")))))</f>
        <v/>
      </c>
      <c r="CL112">
        <f>IF($CE112="","",IFERROR(VLOOKUP($CE112,DECODE!$A$3:$C$8,2,FALSE),"?"))</f>
        <v/>
      </c>
      <c r="CM112">
        <f>IF($AN112="","",AN112)</f>
        <v/>
      </c>
      <c r="CN112">
        <f>IF($AO112="","",AO112)</f>
        <v/>
      </c>
      <c r="CO112">
        <f>IF($AP112="","",AP112)</f>
        <v/>
      </c>
      <c r="CP112">
        <f>IF($CM112="","",IF($CM112="Aloe Vera Gel","Aloe Vera Gel "&amp;$CO112&amp;"g",CN112&amp;" "&amp;$CO112&amp;"g"))</f>
        <v/>
      </c>
      <c r="CQ112">
        <f>IF($AT112="",0,1)</f>
        <v/>
      </c>
      <c r="CR112">
        <f>IF($CQ112=0,"",AW112)</f>
        <v/>
      </c>
      <c r="CS112">
        <f>IF($CQ112=0,"",AX112)</f>
        <v/>
      </c>
      <c r="CT112">
        <f>IF($CQ112=0,"",AY112)</f>
        <v/>
      </c>
      <c r="CU112">
        <f>IF($CR112="","",IF($CR112="Aloe Vera Gel","Aloe Vera Gel "&amp;$CT112&amp;"g",CS112&amp;" "&amp;$CT112&amp;"g"))</f>
        <v/>
      </c>
      <c r="CV112">
        <f>IF($CQ112=0,"",IF($CP112=$CU112,"Repeat Exact",IF($CT112&gt;$CO112,"Upsized",IF($CT112&lt;$CO112,"Downsized",IF($CM112&lt;&gt;$CR112,"Lateral","Same Size Diff Variant")))))</f>
        <v/>
      </c>
      <c r="CW112">
        <f>IF($CQ112=0,"",AZ112-AQ112)</f>
        <v/>
      </c>
      <c r="CX112">
        <f>IF($CQ112=0,0,IF(CS112=CN112,1,0))</f>
        <v/>
      </c>
      <c r="CY112">
        <f>IF($CQ112=0,0,IF(CR112=CM112,1,0))</f>
        <v/>
      </c>
      <c r="CZ112">
        <f>IF($A112="","",IF(AND(IF(DASHBOARD!$C$4="All",TRUE,$CM112=DASHBOARD!$C$4),IF(DASHBOARD!$C$6="All",TRUE,$CP112=DASHBOARD!$C$6),IF(DASHBOARD!$C$8="All",TRUE,$AF112&gt;=DASHBOARD!$C$8),IF(DASHBOARD!$C$10="All",TRUE,$AF112&lt;=DASHBOARD!$C$10),IF(DASHBOARD!$C$12="All",TRUE,$AH112=VALUE(DASHBOARD!$C$12)),IF(DASHBOARD!$C$14="All",TRUE,$AJ112=DASHBOARD!$C$14)),1,0))</f>
        <v/>
      </c>
    </row>
    <row r="113">
      <c r="A113" t="n">
        <v>79105</v>
      </c>
      <c r="B113" t="inlineStr">
        <is>
          <t>Active Gel, Face Malai</t>
        </is>
      </c>
      <c r="H113" t="inlineStr">
        <is>
          <t>Honey Multi-Nut (Dry &amp; Peeling Skin) Face Malai, Flax Bakuchi (Hot Dry) 35+ Face Malai - 50g, Cocoa Mogra (Overnight) Face Malai - 30g, Active Orange Kiwi Vit-C Gel</t>
        </is>
      </c>
      <c r="N113" t="inlineStr">
        <is>
          <t>FC-DM-DP-030, FC-HDDM-FB-050, FC-DM-NR-030, FC-AC-OK-050</t>
        </is>
      </c>
      <c r="T113" t="inlineStr">
        <is>
          <t>May 25, 2024</t>
        </is>
      </c>
      <c r="AE113" t="inlineStr">
        <is>
          <t>New Delhi</t>
        </is>
      </c>
      <c r="AF113" t="inlineStr">
        <is>
          <t>2024-05</t>
        </is>
      </c>
      <c r="AG113" t="n">
        <v>5</v>
      </c>
      <c r="AH113" t="n">
        <v>1</v>
      </c>
      <c r="AI113" t="n">
        <v>0</v>
      </c>
      <c r="AJ113">
        <f>IF($AE113="","",IFERROR(VLOOKUP(TRIM($AE113),DECODE!$H$3:$I$60,2,FALSE),"Rest of India"))</f>
        <v/>
      </c>
      <c r="AK113">
        <f>IF($N113="","",UPPER(TRIM(LEFT($N113&amp;",",FIND(",",$N113&amp;",")-1))))</f>
        <v/>
      </c>
      <c r="AL113">
        <f>IF($AK113="","",MID($AK113,4,FIND("~",SUBSTITUTE($AK113,"-","~",2))-4))</f>
        <v/>
      </c>
      <c r="AM113">
        <f>IF($AK113="","",MID($AK113,FIND("~",SUBSTITUTE($AK113,"-","~",2))+1,FIND("~",SUBSTITUTE($AK113,"-","~",3))-FIND("~",SUBSTITUTE($AK113,"-","~",2))-1))</f>
        <v/>
      </c>
      <c r="AN113">
        <f>IF($AL113="","",IFERROR(VLOOKUP($AL113,DECODE!$A$3:$C$8,3,FALSE),"?"))</f>
        <v/>
      </c>
      <c r="AO113">
        <f>IF($AM113="","",IFERROR(VLOOKUP($AL113&amp;"-"&amp;$AM113,DECODE!$E$3:$F$21,2,FALSE),"?"))</f>
        <v/>
      </c>
      <c r="AP113">
        <f>IF($AK113="","",IFERROR(VALUE(RIGHT($AK113,3)),""))</f>
        <v/>
      </c>
      <c r="AQ113">
        <f>IF($T113="","",IFERROR(IF(ISNUMBER($T113),$T113,DATEVALUE(TRIM($T113))),""))</f>
        <v/>
      </c>
      <c r="AR113">
        <f>IF($AQ113="","",IF(MONTH($AQ113)&gt;=12,"Cold Winter",IF(MONTH($AQ113)&gt;=10,"Post-Monsoon",IF(MONTH($AQ113)&gt;=6,"Hot Humid",IF(MONTH($AQ113)&gt;=3,"Hot Dry","Cold Winter")))))</f>
        <v/>
      </c>
      <c r="AS113">
        <f>IF($AL113="","",IFERROR(VLOOKUP($AL113,DECODE!$A$3:$C$8,2,FALSE),"?"))</f>
        <v/>
      </c>
      <c r="AT113">
        <f>IF($O113="","",UPPER(TRIM(LEFT($O113&amp;",",FIND(",",$O113&amp;",")-1))))</f>
        <v/>
      </c>
      <c r="AU113">
        <f>IF($AT113="","",MID($AT113,4,FIND("~",SUBSTITUTE($AT113,"-","~",2))-4))</f>
        <v/>
      </c>
      <c r="AV113">
        <f>IF($AT113="","",MID($AT113,FIND("~",SUBSTITUTE($AT113,"-","~",2))+1,FIND("~",SUBSTITUTE($AT113,"-","~",3))-FIND("~",SUBSTITUTE($AT113,"-","~",2))-1))</f>
        <v/>
      </c>
      <c r="AW113">
        <f>IF($AU113="","",IFERROR(VLOOKUP($AU113,DECODE!$A$3:$C$8,3,FALSE),"?"))</f>
        <v/>
      </c>
      <c r="AX113">
        <f>IF($AV113="","",IFERROR(VLOOKUP($AU113&amp;"-"&amp;$AV113,DECODE!$E$3:$F$21,2,FALSE),"?"))</f>
        <v/>
      </c>
      <c r="AY113">
        <f>IF($AT113="","",IFERROR(VALUE(RIGHT($AT113,3)),""))</f>
        <v/>
      </c>
      <c r="AZ113">
        <f>IF($U113="","",IFERROR(IF(ISNUMBER($U113),$U113,DATEVALUE(TRIM($U113))),""))</f>
        <v/>
      </c>
      <c r="BA113">
        <f>IF($AZ113="","",IF(MONTH($AZ113)&gt;=12,"Cold Winter",IF(MONTH($AZ113)&gt;=10,"Post-Monsoon",IF(MONTH($AZ113)&gt;=6,"Hot Humid",IF(MONTH($AZ113)&gt;=3,"Hot Dry","Cold Winter")))))</f>
        <v/>
      </c>
      <c r="BB113">
        <f>IF($AU113="","",IFERROR(VLOOKUP($AU113,DECODE!$A$3:$C$8,2,FALSE),"?"))</f>
        <v/>
      </c>
      <c r="BC113">
        <f>IF($P113="","",UPPER(TRIM(LEFT($P113&amp;",",FIND(",",$P113&amp;",")-1))))</f>
        <v/>
      </c>
      <c r="BD113">
        <f>IF($BC113="","",MID($BC113,4,FIND("~",SUBSTITUTE($BC113,"-","~",2))-4))</f>
        <v/>
      </c>
      <c r="BE113">
        <f>IF($BC113="","",MID($BC113,FIND("~",SUBSTITUTE($BC113,"-","~",2))+1,FIND("~",SUBSTITUTE($BC113,"-","~",3))-FIND("~",SUBSTITUTE($BC113,"-","~",2))-1))</f>
        <v/>
      </c>
      <c r="BF113">
        <f>IF($BD113="","",IFERROR(VLOOKUP($BD113,DECODE!$A$3:$C$8,3,FALSE),"?"))</f>
        <v/>
      </c>
      <c r="BG113">
        <f>IF($BE113="","",IFERROR(VLOOKUP($BD113&amp;"-"&amp;$BE113,DECODE!$E$3:$F$21,2,FALSE),"?"))</f>
        <v/>
      </c>
      <c r="BH113">
        <f>IF($BC113="","",IFERROR(VALUE(RIGHT($BC113,3)),""))</f>
        <v/>
      </c>
      <c r="BI113">
        <f>IF($V113="","",IFERROR(IF(ISNUMBER($V113),$V113,DATEVALUE(TRIM($V113))),""))</f>
        <v/>
      </c>
      <c r="BJ113">
        <f>IF($BI113="","",IF(MONTH($BI113)&gt;=12,"Cold Winter",IF(MONTH($BI113)&gt;=10,"Post-Monsoon",IF(MONTH($BI113)&gt;=6,"Hot Humid",IF(MONTH($BI113)&gt;=3,"Hot Dry","Cold Winter")))))</f>
        <v/>
      </c>
      <c r="BK113">
        <f>IF($BD113="","",IFERROR(VLOOKUP($BD113,DECODE!$A$3:$C$8,2,FALSE),"?"))</f>
        <v/>
      </c>
      <c r="BL113">
        <f>IF($Q113="","",UPPER(TRIM(LEFT($Q113&amp;",",FIND(",",$Q113&amp;",")-1))))</f>
        <v/>
      </c>
      <c r="BM113">
        <f>IF($BL113="","",MID($BL113,4,FIND("~",SUBSTITUTE($BL113,"-","~",2))-4))</f>
        <v/>
      </c>
      <c r="BN113">
        <f>IF($BL113="","",MID($BL113,FIND("~",SUBSTITUTE($BL113,"-","~",2))+1,FIND("~",SUBSTITUTE($BL113,"-","~",3))-FIND("~",SUBSTITUTE($BL113,"-","~",2))-1))</f>
        <v/>
      </c>
      <c r="BO113">
        <f>IF($BM113="","",IFERROR(VLOOKUP($BM113,DECODE!$A$3:$C$8,3,FALSE),"?"))</f>
        <v/>
      </c>
      <c r="BP113">
        <f>IF($BN113="","",IFERROR(VLOOKUP($BM113&amp;"-"&amp;$BN113,DECODE!$E$3:$F$21,2,FALSE),"?"))</f>
        <v/>
      </c>
      <c r="BQ113">
        <f>IF($BL113="","",IFERROR(VALUE(RIGHT($BL113,3)),""))</f>
        <v/>
      </c>
      <c r="BR113">
        <f>IF($W113="","",IFERROR(IF(ISNUMBER($W113),$W113,DATEVALUE(TRIM($W113))),""))</f>
        <v/>
      </c>
      <c r="BS113">
        <f>IF($BR113="","",IF(MONTH($BR113)&gt;=12,"Cold Winter",IF(MONTH($BR113)&gt;=10,"Post-Monsoon",IF(MONTH($BR113)&gt;=6,"Hot Humid",IF(MONTH($BR113)&gt;=3,"Hot Dry","Cold Winter")))))</f>
        <v/>
      </c>
      <c r="BT113">
        <f>IF($BM113="","",IFERROR(VLOOKUP($BM113,DECODE!$A$3:$C$8,2,FALSE),"?"))</f>
        <v/>
      </c>
      <c r="BU113">
        <f>IF($R113="","",UPPER(TRIM(LEFT($R113&amp;",",FIND(",",$R113&amp;",")-1))))</f>
        <v/>
      </c>
      <c r="BV113">
        <f>IF($BU113="","",MID($BU113,4,FIND("~",SUBSTITUTE($BU113,"-","~",2))-4))</f>
        <v/>
      </c>
      <c r="BW113">
        <f>IF($BU113="","",MID($BU113,FIND("~",SUBSTITUTE($BU113,"-","~",2))+1,FIND("~",SUBSTITUTE($BU113,"-","~",3))-FIND("~",SUBSTITUTE($BU113,"-","~",2))-1))</f>
        <v/>
      </c>
      <c r="BX113">
        <f>IF($BV113="","",IFERROR(VLOOKUP($BV113,DECODE!$A$3:$C$8,3,FALSE),"?"))</f>
        <v/>
      </c>
      <c r="BY113">
        <f>IF($BW113="","",IFERROR(VLOOKUP($BV113&amp;"-"&amp;$BW113,DECODE!$E$3:$F$21,2,FALSE),"?"))</f>
        <v/>
      </c>
      <c r="BZ113">
        <f>IF($BU113="","",IFERROR(VALUE(RIGHT($BU113,3)),""))</f>
        <v/>
      </c>
      <c r="CA113">
        <f>IF($X113="","",IFERROR(IF(ISNUMBER($X113),$X113,DATEVALUE(TRIM($X113))),""))</f>
        <v/>
      </c>
      <c r="CB113">
        <f>IF($CA113="","",IF(MONTH($CA113)&gt;=12,"Cold Winter",IF(MONTH($CA113)&gt;=10,"Post-Monsoon",IF(MONTH($CA113)&gt;=6,"Hot Humid",IF(MONTH($CA113)&gt;=3,"Hot Dry","Cold Winter")))))</f>
        <v/>
      </c>
      <c r="CC113">
        <f>IF($BV113="","",IFERROR(VLOOKUP($BV113,DECODE!$A$3:$C$8,2,FALSE),"?"))</f>
        <v/>
      </c>
      <c r="CD113">
        <f>IF($S113="","",UPPER(TRIM(LEFT($S113&amp;",",FIND(",",$S113&amp;",")-1))))</f>
        <v/>
      </c>
      <c r="CE113">
        <f>IF($CD113="","",MID($CD113,4,FIND("~",SUBSTITUTE($CD113,"-","~",2))-4))</f>
        <v/>
      </c>
      <c r="CF113">
        <f>IF($CD113="","",MID($CD113,FIND("~",SUBSTITUTE($CD113,"-","~",2))+1,FIND("~",SUBSTITUTE($CD113,"-","~",3))-FIND("~",SUBSTITUTE($CD113,"-","~",2))-1))</f>
        <v/>
      </c>
      <c r="CG113">
        <f>IF($CE113="","",IFERROR(VLOOKUP($CE113,DECODE!$A$3:$C$8,3,FALSE),"?"))</f>
        <v/>
      </c>
      <c r="CH113">
        <f>IF($CF113="","",IFERROR(VLOOKUP($CE113&amp;"-"&amp;$CF113,DECODE!$E$3:$F$21,2,FALSE),"?"))</f>
        <v/>
      </c>
      <c r="CI113">
        <f>IF($CD113="","",IFERROR(VALUE(RIGHT($CD113,3)),""))</f>
        <v/>
      </c>
      <c r="CJ113">
        <f>IF($Y113="","",IFERROR(IF(ISNUMBER($Y113),$Y113,DATEVALUE(TRIM($Y113))),""))</f>
        <v/>
      </c>
      <c r="CK113">
        <f>IF($CJ113="","",IF(MONTH($CJ113)&gt;=12,"Cold Winter",IF(MONTH($CJ113)&gt;=10,"Post-Monsoon",IF(MONTH($CJ113)&gt;=6,"Hot Humid",IF(MONTH($CJ113)&gt;=3,"Hot Dry","Cold Winter")))))</f>
        <v/>
      </c>
      <c r="CL113">
        <f>IF($CE113="","",IFERROR(VLOOKUP($CE113,DECODE!$A$3:$C$8,2,FALSE),"?"))</f>
        <v/>
      </c>
      <c r="CM113">
        <f>IF($AN113="","",AN113)</f>
        <v/>
      </c>
      <c r="CN113">
        <f>IF($AO113="","",AO113)</f>
        <v/>
      </c>
      <c r="CO113">
        <f>IF($AP113="","",AP113)</f>
        <v/>
      </c>
      <c r="CP113">
        <f>IF($CM113="","",IF($CM113="Aloe Vera Gel","Aloe Vera Gel "&amp;$CO113&amp;"g",CN113&amp;" "&amp;$CO113&amp;"g"))</f>
        <v/>
      </c>
      <c r="CQ113">
        <f>IF($AT113="",0,1)</f>
        <v/>
      </c>
      <c r="CR113">
        <f>IF($CQ113=0,"",AW113)</f>
        <v/>
      </c>
      <c r="CS113">
        <f>IF($CQ113=0,"",AX113)</f>
        <v/>
      </c>
      <c r="CT113">
        <f>IF($CQ113=0,"",AY113)</f>
        <v/>
      </c>
      <c r="CU113">
        <f>IF($CR113="","",IF($CR113="Aloe Vera Gel","Aloe Vera Gel "&amp;$CT113&amp;"g",CS113&amp;" "&amp;$CT113&amp;"g"))</f>
        <v/>
      </c>
      <c r="CV113">
        <f>IF($CQ113=0,"",IF($CP113=$CU113,"Repeat Exact",IF($CT113&gt;$CO113,"Upsized",IF($CT113&lt;$CO113,"Downsized",IF($CM113&lt;&gt;$CR113,"Lateral","Same Size Diff Variant")))))</f>
        <v/>
      </c>
      <c r="CW113">
        <f>IF($CQ113=0,"",AZ113-AQ113)</f>
        <v/>
      </c>
      <c r="CX113">
        <f>IF($CQ113=0,0,IF(CS113=CN113,1,0))</f>
        <v/>
      </c>
      <c r="CY113">
        <f>IF($CQ113=0,0,IF(CR113=CM113,1,0))</f>
        <v/>
      </c>
      <c r="CZ113">
        <f>IF($A113="","",IF(AND(IF(DASHBOARD!$C$4="All",TRUE,$CM113=DASHBOARD!$C$4),IF(DASHBOARD!$C$6="All",TRUE,$CP113=DASHBOARD!$C$6),IF(DASHBOARD!$C$8="All",TRUE,$AF113&gt;=DASHBOARD!$C$8),IF(DASHBOARD!$C$10="All",TRUE,$AF113&lt;=DASHBOARD!$C$10),IF(DASHBOARD!$C$12="All",TRUE,$AH113=VALUE(DASHBOARD!$C$12)),IF(DASHBOARD!$C$14="All",TRUE,$AJ113=DASHBOARD!$C$14)),1,0))</f>
        <v/>
      </c>
    </row>
    <row r="114">
      <c r="A114" t="n">
        <v>81775</v>
      </c>
      <c r="B114" t="inlineStr">
        <is>
          <t>Face Malai</t>
        </is>
      </c>
      <c r="C114" t="inlineStr">
        <is>
          <t>Face Malai</t>
        </is>
      </c>
      <c r="H114" t="inlineStr">
        <is>
          <t>Cocoa Mogra (Overnight) Face Malai - 30g</t>
        </is>
      </c>
      <c r="I114" t="inlineStr">
        <is>
          <t>Turmeric Nutmeg (Pigmentation)  Face Malai - 30g</t>
        </is>
      </c>
      <c r="N114" t="inlineStr">
        <is>
          <t>FC-DM-NR-030</t>
        </is>
      </c>
      <c r="O114" t="inlineStr">
        <is>
          <t>FC-DM-PG-030</t>
        </is>
      </c>
      <c r="T114" t="inlineStr">
        <is>
          <t>Apr 5, 2024</t>
        </is>
      </c>
      <c r="U114" t="inlineStr">
        <is>
          <t>Apr 1, 2025</t>
        </is>
      </c>
      <c r="Z114" t="n">
        <v>361</v>
      </c>
      <c r="AE114" t="inlineStr">
        <is>
          <t>Gautam Buddha Nagar</t>
        </is>
      </c>
      <c r="AF114" t="inlineStr">
        <is>
          <t>2024-04</t>
        </is>
      </c>
      <c r="AG114" t="n">
        <v>4</v>
      </c>
      <c r="AH114" t="n">
        <v>2</v>
      </c>
      <c r="AI114" t="n">
        <v>1</v>
      </c>
      <c r="AJ114">
        <f>IF($AE114="","",IFERROR(VLOOKUP(TRIM($AE114),DECODE!$H$3:$I$60,2,FALSE),"Rest of India"))</f>
        <v/>
      </c>
      <c r="AK114">
        <f>IF($N114="","",UPPER(TRIM(LEFT($N114&amp;",",FIND(",",$N114&amp;",")-1))))</f>
        <v/>
      </c>
      <c r="AL114">
        <f>IF($AK114="","",MID($AK114,4,FIND("~",SUBSTITUTE($AK114,"-","~",2))-4))</f>
        <v/>
      </c>
      <c r="AM114">
        <f>IF($AK114="","",MID($AK114,FIND("~",SUBSTITUTE($AK114,"-","~",2))+1,FIND("~",SUBSTITUTE($AK114,"-","~",3))-FIND("~",SUBSTITUTE($AK114,"-","~",2))-1))</f>
        <v/>
      </c>
      <c r="AN114">
        <f>IF($AL114="","",IFERROR(VLOOKUP($AL114,DECODE!$A$3:$C$8,3,FALSE),"?"))</f>
        <v/>
      </c>
      <c r="AO114">
        <f>IF($AM114="","",IFERROR(VLOOKUP($AL114&amp;"-"&amp;$AM114,DECODE!$E$3:$F$21,2,FALSE),"?"))</f>
        <v/>
      </c>
      <c r="AP114">
        <f>IF($AK114="","",IFERROR(VALUE(RIGHT($AK114,3)),""))</f>
        <v/>
      </c>
      <c r="AQ114">
        <f>IF($T114="","",IFERROR(IF(ISNUMBER($T114),$T114,DATEVALUE(TRIM($T114))),""))</f>
        <v/>
      </c>
      <c r="AR114">
        <f>IF($AQ114="","",IF(MONTH($AQ114)&gt;=12,"Cold Winter",IF(MONTH($AQ114)&gt;=10,"Post-Monsoon",IF(MONTH($AQ114)&gt;=6,"Hot Humid",IF(MONTH($AQ114)&gt;=3,"Hot Dry","Cold Winter")))))</f>
        <v/>
      </c>
      <c r="AS114">
        <f>IF($AL114="","",IFERROR(VLOOKUP($AL114,DECODE!$A$3:$C$8,2,FALSE),"?"))</f>
        <v/>
      </c>
      <c r="AT114">
        <f>IF($O114="","",UPPER(TRIM(LEFT($O114&amp;",",FIND(",",$O114&amp;",")-1))))</f>
        <v/>
      </c>
      <c r="AU114">
        <f>IF($AT114="","",MID($AT114,4,FIND("~",SUBSTITUTE($AT114,"-","~",2))-4))</f>
        <v/>
      </c>
      <c r="AV114">
        <f>IF($AT114="","",MID($AT114,FIND("~",SUBSTITUTE($AT114,"-","~",2))+1,FIND("~",SUBSTITUTE($AT114,"-","~",3))-FIND("~",SUBSTITUTE($AT114,"-","~",2))-1))</f>
        <v/>
      </c>
      <c r="AW114">
        <f>IF($AU114="","",IFERROR(VLOOKUP($AU114,DECODE!$A$3:$C$8,3,FALSE),"?"))</f>
        <v/>
      </c>
      <c r="AX114">
        <f>IF($AV114="","",IFERROR(VLOOKUP($AU114&amp;"-"&amp;$AV114,DECODE!$E$3:$F$21,2,FALSE),"?"))</f>
        <v/>
      </c>
      <c r="AY114">
        <f>IF($AT114="","",IFERROR(VALUE(RIGHT($AT114,3)),""))</f>
        <v/>
      </c>
      <c r="AZ114">
        <f>IF($U114="","",IFERROR(IF(ISNUMBER($U114),$U114,DATEVALUE(TRIM($U114))),""))</f>
        <v/>
      </c>
      <c r="BA114">
        <f>IF($AZ114="","",IF(MONTH($AZ114)&gt;=12,"Cold Winter",IF(MONTH($AZ114)&gt;=10,"Post-Monsoon",IF(MONTH($AZ114)&gt;=6,"Hot Humid",IF(MONTH($AZ114)&gt;=3,"Hot Dry","Cold Winter")))))</f>
        <v/>
      </c>
      <c r="BB114">
        <f>IF($AU114="","",IFERROR(VLOOKUP($AU114,DECODE!$A$3:$C$8,2,FALSE),"?"))</f>
        <v/>
      </c>
      <c r="BC114">
        <f>IF($P114="","",UPPER(TRIM(LEFT($P114&amp;",",FIND(",",$P114&amp;",")-1))))</f>
        <v/>
      </c>
      <c r="BD114">
        <f>IF($BC114="","",MID($BC114,4,FIND("~",SUBSTITUTE($BC114,"-","~",2))-4))</f>
        <v/>
      </c>
      <c r="BE114">
        <f>IF($BC114="","",MID($BC114,FIND("~",SUBSTITUTE($BC114,"-","~",2))+1,FIND("~",SUBSTITUTE($BC114,"-","~",3))-FIND("~",SUBSTITUTE($BC114,"-","~",2))-1))</f>
        <v/>
      </c>
      <c r="BF114">
        <f>IF($BD114="","",IFERROR(VLOOKUP($BD114,DECODE!$A$3:$C$8,3,FALSE),"?"))</f>
        <v/>
      </c>
      <c r="BG114">
        <f>IF($BE114="","",IFERROR(VLOOKUP($BD114&amp;"-"&amp;$BE114,DECODE!$E$3:$F$21,2,FALSE),"?"))</f>
        <v/>
      </c>
      <c r="BH114">
        <f>IF($BC114="","",IFERROR(VALUE(RIGHT($BC114,3)),""))</f>
        <v/>
      </c>
      <c r="BI114">
        <f>IF($V114="","",IFERROR(IF(ISNUMBER($V114),$V114,DATEVALUE(TRIM($V114))),""))</f>
        <v/>
      </c>
      <c r="BJ114">
        <f>IF($BI114="","",IF(MONTH($BI114)&gt;=12,"Cold Winter",IF(MONTH($BI114)&gt;=10,"Post-Monsoon",IF(MONTH($BI114)&gt;=6,"Hot Humid",IF(MONTH($BI114)&gt;=3,"Hot Dry","Cold Winter")))))</f>
        <v/>
      </c>
      <c r="BK114">
        <f>IF($BD114="","",IFERROR(VLOOKUP($BD114,DECODE!$A$3:$C$8,2,FALSE),"?"))</f>
        <v/>
      </c>
      <c r="BL114">
        <f>IF($Q114="","",UPPER(TRIM(LEFT($Q114&amp;",",FIND(",",$Q114&amp;",")-1))))</f>
        <v/>
      </c>
      <c r="BM114">
        <f>IF($BL114="","",MID($BL114,4,FIND("~",SUBSTITUTE($BL114,"-","~",2))-4))</f>
        <v/>
      </c>
      <c r="BN114">
        <f>IF($BL114="","",MID($BL114,FIND("~",SUBSTITUTE($BL114,"-","~",2))+1,FIND("~",SUBSTITUTE($BL114,"-","~",3))-FIND("~",SUBSTITUTE($BL114,"-","~",2))-1))</f>
        <v/>
      </c>
      <c r="BO114">
        <f>IF($BM114="","",IFERROR(VLOOKUP($BM114,DECODE!$A$3:$C$8,3,FALSE),"?"))</f>
        <v/>
      </c>
      <c r="BP114">
        <f>IF($BN114="","",IFERROR(VLOOKUP($BM114&amp;"-"&amp;$BN114,DECODE!$E$3:$F$21,2,FALSE),"?"))</f>
        <v/>
      </c>
      <c r="BQ114">
        <f>IF($BL114="","",IFERROR(VALUE(RIGHT($BL114,3)),""))</f>
        <v/>
      </c>
      <c r="BR114">
        <f>IF($W114="","",IFERROR(IF(ISNUMBER($W114),$W114,DATEVALUE(TRIM($W114))),""))</f>
        <v/>
      </c>
      <c r="BS114">
        <f>IF($BR114="","",IF(MONTH($BR114)&gt;=12,"Cold Winter",IF(MONTH($BR114)&gt;=10,"Post-Monsoon",IF(MONTH($BR114)&gt;=6,"Hot Humid",IF(MONTH($BR114)&gt;=3,"Hot Dry","Cold Winter")))))</f>
        <v/>
      </c>
      <c r="BT114">
        <f>IF($BM114="","",IFERROR(VLOOKUP($BM114,DECODE!$A$3:$C$8,2,FALSE),"?"))</f>
        <v/>
      </c>
      <c r="BU114">
        <f>IF($R114="","",UPPER(TRIM(LEFT($R114&amp;",",FIND(",",$R114&amp;",")-1))))</f>
        <v/>
      </c>
      <c r="BV114">
        <f>IF($BU114="","",MID($BU114,4,FIND("~",SUBSTITUTE($BU114,"-","~",2))-4))</f>
        <v/>
      </c>
      <c r="BW114">
        <f>IF($BU114="","",MID($BU114,FIND("~",SUBSTITUTE($BU114,"-","~",2))+1,FIND("~",SUBSTITUTE($BU114,"-","~",3))-FIND("~",SUBSTITUTE($BU114,"-","~",2))-1))</f>
        <v/>
      </c>
      <c r="BX114">
        <f>IF($BV114="","",IFERROR(VLOOKUP($BV114,DECODE!$A$3:$C$8,3,FALSE),"?"))</f>
        <v/>
      </c>
      <c r="BY114">
        <f>IF($BW114="","",IFERROR(VLOOKUP($BV114&amp;"-"&amp;$BW114,DECODE!$E$3:$F$21,2,FALSE),"?"))</f>
        <v/>
      </c>
      <c r="BZ114">
        <f>IF($BU114="","",IFERROR(VALUE(RIGHT($BU114,3)),""))</f>
        <v/>
      </c>
      <c r="CA114">
        <f>IF($X114="","",IFERROR(IF(ISNUMBER($X114),$X114,DATEVALUE(TRIM($X114))),""))</f>
        <v/>
      </c>
      <c r="CB114">
        <f>IF($CA114="","",IF(MONTH($CA114)&gt;=12,"Cold Winter",IF(MONTH($CA114)&gt;=10,"Post-Monsoon",IF(MONTH($CA114)&gt;=6,"Hot Humid",IF(MONTH($CA114)&gt;=3,"Hot Dry","Cold Winter")))))</f>
        <v/>
      </c>
      <c r="CC114">
        <f>IF($BV114="","",IFERROR(VLOOKUP($BV114,DECODE!$A$3:$C$8,2,FALSE),"?"))</f>
        <v/>
      </c>
      <c r="CD114">
        <f>IF($S114="","",UPPER(TRIM(LEFT($S114&amp;",",FIND(",",$S114&amp;",")-1))))</f>
        <v/>
      </c>
      <c r="CE114">
        <f>IF($CD114="","",MID($CD114,4,FIND("~",SUBSTITUTE($CD114,"-","~",2))-4))</f>
        <v/>
      </c>
      <c r="CF114">
        <f>IF($CD114="","",MID($CD114,FIND("~",SUBSTITUTE($CD114,"-","~",2))+1,FIND("~",SUBSTITUTE($CD114,"-","~",3))-FIND("~",SUBSTITUTE($CD114,"-","~",2))-1))</f>
        <v/>
      </c>
      <c r="CG114">
        <f>IF($CE114="","",IFERROR(VLOOKUP($CE114,DECODE!$A$3:$C$8,3,FALSE),"?"))</f>
        <v/>
      </c>
      <c r="CH114">
        <f>IF($CF114="","",IFERROR(VLOOKUP($CE114&amp;"-"&amp;$CF114,DECODE!$E$3:$F$21,2,FALSE),"?"))</f>
        <v/>
      </c>
      <c r="CI114">
        <f>IF($CD114="","",IFERROR(VALUE(RIGHT($CD114,3)),""))</f>
        <v/>
      </c>
      <c r="CJ114">
        <f>IF($Y114="","",IFERROR(IF(ISNUMBER($Y114),$Y114,DATEVALUE(TRIM($Y114))),""))</f>
        <v/>
      </c>
      <c r="CK114">
        <f>IF($CJ114="","",IF(MONTH($CJ114)&gt;=12,"Cold Winter",IF(MONTH($CJ114)&gt;=10,"Post-Monsoon",IF(MONTH($CJ114)&gt;=6,"Hot Humid",IF(MONTH($CJ114)&gt;=3,"Hot Dry","Cold Winter")))))</f>
        <v/>
      </c>
      <c r="CL114">
        <f>IF($CE114="","",IFERROR(VLOOKUP($CE114,DECODE!$A$3:$C$8,2,FALSE),"?"))</f>
        <v/>
      </c>
      <c r="CM114">
        <f>IF($AN114="","",AN114)</f>
        <v/>
      </c>
      <c r="CN114">
        <f>IF($AO114="","",AO114)</f>
        <v/>
      </c>
      <c r="CO114">
        <f>IF($AP114="","",AP114)</f>
        <v/>
      </c>
      <c r="CP114">
        <f>IF($CM114="","",IF($CM114="Aloe Vera Gel","Aloe Vera Gel "&amp;$CO114&amp;"g",CN114&amp;" "&amp;$CO114&amp;"g"))</f>
        <v/>
      </c>
      <c r="CQ114">
        <f>IF($AT114="",0,1)</f>
        <v/>
      </c>
      <c r="CR114">
        <f>IF($CQ114=0,"",AW114)</f>
        <v/>
      </c>
      <c r="CS114">
        <f>IF($CQ114=0,"",AX114)</f>
        <v/>
      </c>
      <c r="CT114">
        <f>IF($CQ114=0,"",AY114)</f>
        <v/>
      </c>
      <c r="CU114">
        <f>IF($CR114="","",IF($CR114="Aloe Vera Gel","Aloe Vera Gel "&amp;$CT114&amp;"g",CS114&amp;" "&amp;$CT114&amp;"g"))</f>
        <v/>
      </c>
      <c r="CV114">
        <f>IF($CQ114=0,"",IF($CP114=$CU114,"Repeat Exact",IF($CT114&gt;$CO114,"Upsized",IF($CT114&lt;$CO114,"Downsized",IF($CM114&lt;&gt;$CR114,"Lateral","Same Size Diff Variant")))))</f>
        <v/>
      </c>
      <c r="CW114">
        <f>IF($CQ114=0,"",AZ114-AQ114)</f>
        <v/>
      </c>
      <c r="CX114">
        <f>IF($CQ114=0,0,IF(CS114=CN114,1,0))</f>
        <v/>
      </c>
      <c r="CY114">
        <f>IF($CQ114=0,0,IF(CR114=CM114,1,0))</f>
        <v/>
      </c>
      <c r="CZ114">
        <f>IF($A114="","",IF(AND(IF(DASHBOARD!$C$4="All",TRUE,$CM114=DASHBOARD!$C$4),IF(DASHBOARD!$C$6="All",TRUE,$CP114=DASHBOARD!$C$6),IF(DASHBOARD!$C$8="All",TRUE,$AF114&gt;=DASHBOARD!$C$8),IF(DASHBOARD!$C$10="All",TRUE,$AF114&lt;=DASHBOARD!$C$10),IF(DASHBOARD!$C$12="All",TRUE,$AH114=VALUE(DASHBOARD!$C$12)),IF(DASHBOARD!$C$14="All",TRUE,$AJ114=DASHBOARD!$C$14)),1,0))</f>
        <v/>
      </c>
    </row>
    <row r="115">
      <c r="A115" t="n">
        <v>86903</v>
      </c>
      <c r="B115" t="inlineStr">
        <is>
          <t>Face Malai</t>
        </is>
      </c>
      <c r="H115" t="inlineStr">
        <is>
          <t>Cocoa Mogra (Overnight) Face Malai - 30g</t>
        </is>
      </c>
      <c r="N115" t="inlineStr">
        <is>
          <t>FC-DM-NR-030</t>
        </is>
      </c>
      <c r="T115" t="inlineStr">
        <is>
          <t>Oct 24, 2025</t>
        </is>
      </c>
      <c r="AE115" t="inlineStr">
        <is>
          <t>Bengaluru</t>
        </is>
      </c>
      <c r="AF115" t="inlineStr">
        <is>
          <t>2025-10</t>
        </is>
      </c>
      <c r="AG115" t="n">
        <v>10</v>
      </c>
      <c r="AH115" t="n">
        <v>1</v>
      </c>
      <c r="AI115" t="n">
        <v>0</v>
      </c>
      <c r="AJ115">
        <f>IF($AE115="","",IFERROR(VLOOKUP(TRIM($AE115),DECODE!$H$3:$I$60,2,FALSE),"Rest of India"))</f>
        <v/>
      </c>
      <c r="AK115">
        <f>IF($N115="","",UPPER(TRIM(LEFT($N115&amp;",",FIND(",",$N115&amp;",")-1))))</f>
        <v/>
      </c>
      <c r="AL115">
        <f>IF($AK115="","",MID($AK115,4,FIND("~",SUBSTITUTE($AK115,"-","~",2))-4))</f>
        <v/>
      </c>
      <c r="AM115">
        <f>IF($AK115="","",MID($AK115,FIND("~",SUBSTITUTE($AK115,"-","~",2))+1,FIND("~",SUBSTITUTE($AK115,"-","~",3))-FIND("~",SUBSTITUTE($AK115,"-","~",2))-1))</f>
        <v/>
      </c>
      <c r="AN115">
        <f>IF($AL115="","",IFERROR(VLOOKUP($AL115,DECODE!$A$3:$C$8,3,FALSE),"?"))</f>
        <v/>
      </c>
      <c r="AO115">
        <f>IF($AM115="","",IFERROR(VLOOKUP($AL115&amp;"-"&amp;$AM115,DECODE!$E$3:$F$21,2,FALSE),"?"))</f>
        <v/>
      </c>
      <c r="AP115">
        <f>IF($AK115="","",IFERROR(VALUE(RIGHT($AK115,3)),""))</f>
        <v/>
      </c>
      <c r="AQ115">
        <f>IF($T115="","",IFERROR(IF(ISNUMBER($T115),$T115,DATEVALUE(TRIM($T115))),""))</f>
        <v/>
      </c>
      <c r="AR115">
        <f>IF($AQ115="","",IF(MONTH($AQ115)&gt;=12,"Cold Winter",IF(MONTH($AQ115)&gt;=10,"Post-Monsoon",IF(MONTH($AQ115)&gt;=6,"Hot Humid",IF(MONTH($AQ115)&gt;=3,"Hot Dry","Cold Winter")))))</f>
        <v/>
      </c>
      <c r="AS115">
        <f>IF($AL115="","",IFERROR(VLOOKUP($AL115,DECODE!$A$3:$C$8,2,FALSE),"?"))</f>
        <v/>
      </c>
      <c r="AT115">
        <f>IF($O115="","",UPPER(TRIM(LEFT($O115&amp;",",FIND(",",$O115&amp;",")-1))))</f>
        <v/>
      </c>
      <c r="AU115">
        <f>IF($AT115="","",MID($AT115,4,FIND("~",SUBSTITUTE($AT115,"-","~",2))-4))</f>
        <v/>
      </c>
      <c r="AV115">
        <f>IF($AT115="","",MID($AT115,FIND("~",SUBSTITUTE($AT115,"-","~",2))+1,FIND("~",SUBSTITUTE($AT115,"-","~",3))-FIND("~",SUBSTITUTE($AT115,"-","~",2))-1))</f>
        <v/>
      </c>
      <c r="AW115">
        <f>IF($AU115="","",IFERROR(VLOOKUP($AU115,DECODE!$A$3:$C$8,3,FALSE),"?"))</f>
        <v/>
      </c>
      <c r="AX115">
        <f>IF($AV115="","",IFERROR(VLOOKUP($AU115&amp;"-"&amp;$AV115,DECODE!$E$3:$F$21,2,FALSE),"?"))</f>
        <v/>
      </c>
      <c r="AY115">
        <f>IF($AT115="","",IFERROR(VALUE(RIGHT($AT115,3)),""))</f>
        <v/>
      </c>
      <c r="AZ115">
        <f>IF($U115="","",IFERROR(IF(ISNUMBER($U115),$U115,DATEVALUE(TRIM($U115))),""))</f>
        <v/>
      </c>
      <c r="BA115">
        <f>IF($AZ115="","",IF(MONTH($AZ115)&gt;=12,"Cold Winter",IF(MONTH($AZ115)&gt;=10,"Post-Monsoon",IF(MONTH($AZ115)&gt;=6,"Hot Humid",IF(MONTH($AZ115)&gt;=3,"Hot Dry","Cold Winter")))))</f>
        <v/>
      </c>
      <c r="BB115">
        <f>IF($AU115="","",IFERROR(VLOOKUP($AU115,DECODE!$A$3:$C$8,2,FALSE),"?"))</f>
        <v/>
      </c>
      <c r="BC115">
        <f>IF($P115="","",UPPER(TRIM(LEFT($P115&amp;",",FIND(",",$P115&amp;",")-1))))</f>
        <v/>
      </c>
      <c r="BD115">
        <f>IF($BC115="","",MID($BC115,4,FIND("~",SUBSTITUTE($BC115,"-","~",2))-4))</f>
        <v/>
      </c>
      <c r="BE115">
        <f>IF($BC115="","",MID($BC115,FIND("~",SUBSTITUTE($BC115,"-","~",2))+1,FIND("~",SUBSTITUTE($BC115,"-","~",3))-FIND("~",SUBSTITUTE($BC115,"-","~",2))-1))</f>
        <v/>
      </c>
      <c r="BF115">
        <f>IF($BD115="","",IFERROR(VLOOKUP($BD115,DECODE!$A$3:$C$8,3,FALSE),"?"))</f>
        <v/>
      </c>
      <c r="BG115">
        <f>IF($BE115="","",IFERROR(VLOOKUP($BD115&amp;"-"&amp;$BE115,DECODE!$E$3:$F$21,2,FALSE),"?"))</f>
        <v/>
      </c>
      <c r="BH115">
        <f>IF($BC115="","",IFERROR(VALUE(RIGHT($BC115,3)),""))</f>
        <v/>
      </c>
      <c r="BI115">
        <f>IF($V115="","",IFERROR(IF(ISNUMBER($V115),$V115,DATEVALUE(TRIM($V115))),""))</f>
        <v/>
      </c>
      <c r="BJ115">
        <f>IF($BI115="","",IF(MONTH($BI115)&gt;=12,"Cold Winter",IF(MONTH($BI115)&gt;=10,"Post-Monsoon",IF(MONTH($BI115)&gt;=6,"Hot Humid",IF(MONTH($BI115)&gt;=3,"Hot Dry","Cold Winter")))))</f>
        <v/>
      </c>
      <c r="BK115">
        <f>IF($BD115="","",IFERROR(VLOOKUP($BD115,DECODE!$A$3:$C$8,2,FALSE),"?"))</f>
        <v/>
      </c>
      <c r="BL115">
        <f>IF($Q115="","",UPPER(TRIM(LEFT($Q115&amp;",",FIND(",",$Q115&amp;",")-1))))</f>
        <v/>
      </c>
      <c r="BM115">
        <f>IF($BL115="","",MID($BL115,4,FIND("~",SUBSTITUTE($BL115,"-","~",2))-4))</f>
        <v/>
      </c>
      <c r="BN115">
        <f>IF($BL115="","",MID($BL115,FIND("~",SUBSTITUTE($BL115,"-","~",2))+1,FIND("~",SUBSTITUTE($BL115,"-","~",3))-FIND("~",SUBSTITUTE($BL115,"-","~",2))-1))</f>
        <v/>
      </c>
      <c r="BO115">
        <f>IF($BM115="","",IFERROR(VLOOKUP($BM115,DECODE!$A$3:$C$8,3,FALSE),"?"))</f>
        <v/>
      </c>
      <c r="BP115">
        <f>IF($BN115="","",IFERROR(VLOOKUP($BM115&amp;"-"&amp;$BN115,DECODE!$E$3:$F$21,2,FALSE),"?"))</f>
        <v/>
      </c>
      <c r="BQ115">
        <f>IF($BL115="","",IFERROR(VALUE(RIGHT($BL115,3)),""))</f>
        <v/>
      </c>
      <c r="BR115">
        <f>IF($W115="","",IFERROR(IF(ISNUMBER($W115),$W115,DATEVALUE(TRIM($W115))),""))</f>
        <v/>
      </c>
      <c r="BS115">
        <f>IF($BR115="","",IF(MONTH($BR115)&gt;=12,"Cold Winter",IF(MONTH($BR115)&gt;=10,"Post-Monsoon",IF(MONTH($BR115)&gt;=6,"Hot Humid",IF(MONTH($BR115)&gt;=3,"Hot Dry","Cold Winter")))))</f>
        <v/>
      </c>
      <c r="BT115">
        <f>IF($BM115="","",IFERROR(VLOOKUP($BM115,DECODE!$A$3:$C$8,2,FALSE),"?"))</f>
        <v/>
      </c>
      <c r="BU115">
        <f>IF($R115="","",UPPER(TRIM(LEFT($R115&amp;",",FIND(",",$R115&amp;",")-1))))</f>
        <v/>
      </c>
      <c r="BV115">
        <f>IF($BU115="","",MID($BU115,4,FIND("~",SUBSTITUTE($BU115,"-","~",2))-4))</f>
        <v/>
      </c>
      <c r="BW115">
        <f>IF($BU115="","",MID($BU115,FIND("~",SUBSTITUTE($BU115,"-","~",2))+1,FIND("~",SUBSTITUTE($BU115,"-","~",3))-FIND("~",SUBSTITUTE($BU115,"-","~",2))-1))</f>
        <v/>
      </c>
      <c r="BX115">
        <f>IF($BV115="","",IFERROR(VLOOKUP($BV115,DECODE!$A$3:$C$8,3,FALSE),"?"))</f>
        <v/>
      </c>
      <c r="BY115">
        <f>IF($BW115="","",IFERROR(VLOOKUP($BV115&amp;"-"&amp;$BW115,DECODE!$E$3:$F$21,2,FALSE),"?"))</f>
        <v/>
      </c>
      <c r="BZ115">
        <f>IF($BU115="","",IFERROR(VALUE(RIGHT($BU115,3)),""))</f>
        <v/>
      </c>
      <c r="CA115">
        <f>IF($X115="","",IFERROR(IF(ISNUMBER($X115),$X115,DATEVALUE(TRIM($X115))),""))</f>
        <v/>
      </c>
      <c r="CB115">
        <f>IF($CA115="","",IF(MONTH($CA115)&gt;=12,"Cold Winter",IF(MONTH($CA115)&gt;=10,"Post-Monsoon",IF(MONTH($CA115)&gt;=6,"Hot Humid",IF(MONTH($CA115)&gt;=3,"Hot Dry","Cold Winter")))))</f>
        <v/>
      </c>
      <c r="CC115">
        <f>IF($BV115="","",IFERROR(VLOOKUP($BV115,DECODE!$A$3:$C$8,2,FALSE),"?"))</f>
        <v/>
      </c>
      <c r="CD115">
        <f>IF($S115="","",UPPER(TRIM(LEFT($S115&amp;",",FIND(",",$S115&amp;",")-1))))</f>
        <v/>
      </c>
      <c r="CE115">
        <f>IF($CD115="","",MID($CD115,4,FIND("~",SUBSTITUTE($CD115,"-","~",2))-4))</f>
        <v/>
      </c>
      <c r="CF115">
        <f>IF($CD115="","",MID($CD115,FIND("~",SUBSTITUTE($CD115,"-","~",2))+1,FIND("~",SUBSTITUTE($CD115,"-","~",3))-FIND("~",SUBSTITUTE($CD115,"-","~",2))-1))</f>
        <v/>
      </c>
      <c r="CG115">
        <f>IF($CE115="","",IFERROR(VLOOKUP($CE115,DECODE!$A$3:$C$8,3,FALSE),"?"))</f>
        <v/>
      </c>
      <c r="CH115">
        <f>IF($CF115="","",IFERROR(VLOOKUP($CE115&amp;"-"&amp;$CF115,DECODE!$E$3:$F$21,2,FALSE),"?"))</f>
        <v/>
      </c>
      <c r="CI115">
        <f>IF($CD115="","",IFERROR(VALUE(RIGHT($CD115,3)),""))</f>
        <v/>
      </c>
      <c r="CJ115">
        <f>IF($Y115="","",IFERROR(IF(ISNUMBER($Y115),$Y115,DATEVALUE(TRIM($Y115))),""))</f>
        <v/>
      </c>
      <c r="CK115">
        <f>IF($CJ115="","",IF(MONTH($CJ115)&gt;=12,"Cold Winter",IF(MONTH($CJ115)&gt;=10,"Post-Monsoon",IF(MONTH($CJ115)&gt;=6,"Hot Humid",IF(MONTH($CJ115)&gt;=3,"Hot Dry","Cold Winter")))))</f>
        <v/>
      </c>
      <c r="CL115">
        <f>IF($CE115="","",IFERROR(VLOOKUP($CE115,DECODE!$A$3:$C$8,2,FALSE),"?"))</f>
        <v/>
      </c>
      <c r="CM115">
        <f>IF($AN115="","",AN115)</f>
        <v/>
      </c>
      <c r="CN115">
        <f>IF($AO115="","",AO115)</f>
        <v/>
      </c>
      <c r="CO115">
        <f>IF($AP115="","",AP115)</f>
        <v/>
      </c>
      <c r="CP115">
        <f>IF($CM115="","",IF($CM115="Aloe Vera Gel","Aloe Vera Gel "&amp;$CO115&amp;"g",CN115&amp;" "&amp;$CO115&amp;"g"))</f>
        <v/>
      </c>
      <c r="CQ115">
        <f>IF($AT115="",0,1)</f>
        <v/>
      </c>
      <c r="CR115">
        <f>IF($CQ115=0,"",AW115)</f>
        <v/>
      </c>
      <c r="CS115">
        <f>IF($CQ115=0,"",AX115)</f>
        <v/>
      </c>
      <c r="CT115">
        <f>IF($CQ115=0,"",AY115)</f>
        <v/>
      </c>
      <c r="CU115">
        <f>IF($CR115="","",IF($CR115="Aloe Vera Gel","Aloe Vera Gel "&amp;$CT115&amp;"g",CS115&amp;" "&amp;$CT115&amp;"g"))</f>
        <v/>
      </c>
      <c r="CV115">
        <f>IF($CQ115=0,"",IF($CP115=$CU115,"Repeat Exact",IF($CT115&gt;$CO115,"Upsized",IF($CT115&lt;$CO115,"Downsized",IF($CM115&lt;&gt;$CR115,"Lateral","Same Size Diff Variant")))))</f>
        <v/>
      </c>
      <c r="CW115">
        <f>IF($CQ115=0,"",AZ115-AQ115)</f>
        <v/>
      </c>
      <c r="CX115">
        <f>IF($CQ115=0,0,IF(CS115=CN115,1,0))</f>
        <v/>
      </c>
      <c r="CY115">
        <f>IF($CQ115=0,0,IF(CR115=CM115,1,0))</f>
        <v/>
      </c>
      <c r="CZ115">
        <f>IF($A115="","",IF(AND(IF(DASHBOARD!$C$4="All",TRUE,$CM115=DASHBOARD!$C$4),IF(DASHBOARD!$C$6="All",TRUE,$CP115=DASHBOARD!$C$6),IF(DASHBOARD!$C$8="All",TRUE,$AF115&gt;=DASHBOARD!$C$8),IF(DASHBOARD!$C$10="All",TRUE,$AF115&lt;=DASHBOARD!$C$10),IF(DASHBOARD!$C$12="All",TRUE,$AH115=VALUE(DASHBOARD!$C$12)),IF(DASHBOARD!$C$14="All",TRUE,$AJ115=DASHBOARD!$C$14)),1,0))</f>
        <v/>
      </c>
    </row>
    <row r="116">
      <c r="A116" t="n">
        <v>95286</v>
      </c>
      <c r="B116" t="inlineStr">
        <is>
          <t>Face Malai</t>
        </is>
      </c>
      <c r="H116" t="inlineStr">
        <is>
          <t>Turmeric Nutmeg (Pigmentation)  Face Malai - 30g</t>
        </is>
      </c>
      <c r="N116" t="inlineStr">
        <is>
          <t>FC-DM-PG-030</t>
        </is>
      </c>
      <c r="T116" t="inlineStr">
        <is>
          <t>May 14, 2025</t>
        </is>
      </c>
      <c r="AE116" t="inlineStr">
        <is>
          <t>New Delhi</t>
        </is>
      </c>
      <c r="AF116" t="inlineStr">
        <is>
          <t>2025-05</t>
        </is>
      </c>
      <c r="AG116" t="n">
        <v>5</v>
      </c>
      <c r="AH116" t="n">
        <v>1</v>
      </c>
      <c r="AI116" t="n">
        <v>0</v>
      </c>
      <c r="AJ116">
        <f>IF($AE116="","",IFERROR(VLOOKUP(TRIM($AE116),DECODE!$H$3:$I$60,2,FALSE),"Rest of India"))</f>
        <v/>
      </c>
      <c r="AK116">
        <f>IF($N116="","",UPPER(TRIM(LEFT($N116&amp;",",FIND(",",$N116&amp;",")-1))))</f>
        <v/>
      </c>
      <c r="AL116">
        <f>IF($AK116="","",MID($AK116,4,FIND("~",SUBSTITUTE($AK116,"-","~",2))-4))</f>
        <v/>
      </c>
      <c r="AM116">
        <f>IF($AK116="","",MID($AK116,FIND("~",SUBSTITUTE($AK116,"-","~",2))+1,FIND("~",SUBSTITUTE($AK116,"-","~",3))-FIND("~",SUBSTITUTE($AK116,"-","~",2))-1))</f>
        <v/>
      </c>
      <c r="AN116">
        <f>IF($AL116="","",IFERROR(VLOOKUP($AL116,DECODE!$A$3:$C$8,3,FALSE),"?"))</f>
        <v/>
      </c>
      <c r="AO116">
        <f>IF($AM116="","",IFERROR(VLOOKUP($AL116&amp;"-"&amp;$AM116,DECODE!$E$3:$F$21,2,FALSE),"?"))</f>
        <v/>
      </c>
      <c r="AP116">
        <f>IF($AK116="","",IFERROR(VALUE(RIGHT($AK116,3)),""))</f>
        <v/>
      </c>
      <c r="AQ116">
        <f>IF($T116="","",IFERROR(IF(ISNUMBER($T116),$T116,DATEVALUE(TRIM($T116))),""))</f>
        <v/>
      </c>
      <c r="AR116">
        <f>IF($AQ116="","",IF(MONTH($AQ116)&gt;=12,"Cold Winter",IF(MONTH($AQ116)&gt;=10,"Post-Monsoon",IF(MONTH($AQ116)&gt;=6,"Hot Humid",IF(MONTH($AQ116)&gt;=3,"Hot Dry","Cold Winter")))))</f>
        <v/>
      </c>
      <c r="AS116">
        <f>IF($AL116="","",IFERROR(VLOOKUP($AL116,DECODE!$A$3:$C$8,2,FALSE),"?"))</f>
        <v/>
      </c>
      <c r="AT116">
        <f>IF($O116="","",UPPER(TRIM(LEFT($O116&amp;",",FIND(",",$O116&amp;",")-1))))</f>
        <v/>
      </c>
      <c r="AU116">
        <f>IF($AT116="","",MID($AT116,4,FIND("~",SUBSTITUTE($AT116,"-","~",2))-4))</f>
        <v/>
      </c>
      <c r="AV116">
        <f>IF($AT116="","",MID($AT116,FIND("~",SUBSTITUTE($AT116,"-","~",2))+1,FIND("~",SUBSTITUTE($AT116,"-","~",3))-FIND("~",SUBSTITUTE($AT116,"-","~",2))-1))</f>
        <v/>
      </c>
      <c r="AW116">
        <f>IF($AU116="","",IFERROR(VLOOKUP($AU116,DECODE!$A$3:$C$8,3,FALSE),"?"))</f>
        <v/>
      </c>
      <c r="AX116">
        <f>IF($AV116="","",IFERROR(VLOOKUP($AU116&amp;"-"&amp;$AV116,DECODE!$E$3:$F$21,2,FALSE),"?"))</f>
        <v/>
      </c>
      <c r="AY116">
        <f>IF($AT116="","",IFERROR(VALUE(RIGHT($AT116,3)),""))</f>
        <v/>
      </c>
      <c r="AZ116">
        <f>IF($U116="","",IFERROR(IF(ISNUMBER($U116),$U116,DATEVALUE(TRIM($U116))),""))</f>
        <v/>
      </c>
      <c r="BA116">
        <f>IF($AZ116="","",IF(MONTH($AZ116)&gt;=12,"Cold Winter",IF(MONTH($AZ116)&gt;=10,"Post-Monsoon",IF(MONTH($AZ116)&gt;=6,"Hot Humid",IF(MONTH($AZ116)&gt;=3,"Hot Dry","Cold Winter")))))</f>
        <v/>
      </c>
      <c r="BB116">
        <f>IF($AU116="","",IFERROR(VLOOKUP($AU116,DECODE!$A$3:$C$8,2,FALSE),"?"))</f>
        <v/>
      </c>
      <c r="BC116">
        <f>IF($P116="","",UPPER(TRIM(LEFT($P116&amp;",",FIND(",",$P116&amp;",")-1))))</f>
        <v/>
      </c>
      <c r="BD116">
        <f>IF($BC116="","",MID($BC116,4,FIND("~",SUBSTITUTE($BC116,"-","~",2))-4))</f>
        <v/>
      </c>
      <c r="BE116">
        <f>IF($BC116="","",MID($BC116,FIND("~",SUBSTITUTE($BC116,"-","~",2))+1,FIND("~",SUBSTITUTE($BC116,"-","~",3))-FIND("~",SUBSTITUTE($BC116,"-","~",2))-1))</f>
        <v/>
      </c>
      <c r="BF116">
        <f>IF($BD116="","",IFERROR(VLOOKUP($BD116,DECODE!$A$3:$C$8,3,FALSE),"?"))</f>
        <v/>
      </c>
      <c r="BG116">
        <f>IF($BE116="","",IFERROR(VLOOKUP($BD116&amp;"-"&amp;$BE116,DECODE!$E$3:$F$21,2,FALSE),"?"))</f>
        <v/>
      </c>
      <c r="BH116">
        <f>IF($BC116="","",IFERROR(VALUE(RIGHT($BC116,3)),""))</f>
        <v/>
      </c>
      <c r="BI116">
        <f>IF($V116="","",IFERROR(IF(ISNUMBER($V116),$V116,DATEVALUE(TRIM($V116))),""))</f>
        <v/>
      </c>
      <c r="BJ116">
        <f>IF($BI116="","",IF(MONTH($BI116)&gt;=12,"Cold Winter",IF(MONTH($BI116)&gt;=10,"Post-Monsoon",IF(MONTH($BI116)&gt;=6,"Hot Humid",IF(MONTH($BI116)&gt;=3,"Hot Dry","Cold Winter")))))</f>
        <v/>
      </c>
      <c r="BK116">
        <f>IF($BD116="","",IFERROR(VLOOKUP($BD116,DECODE!$A$3:$C$8,2,FALSE),"?"))</f>
        <v/>
      </c>
      <c r="BL116">
        <f>IF($Q116="","",UPPER(TRIM(LEFT($Q116&amp;",",FIND(",",$Q116&amp;",")-1))))</f>
        <v/>
      </c>
      <c r="BM116">
        <f>IF($BL116="","",MID($BL116,4,FIND("~",SUBSTITUTE($BL116,"-","~",2))-4))</f>
        <v/>
      </c>
      <c r="BN116">
        <f>IF($BL116="","",MID($BL116,FIND("~",SUBSTITUTE($BL116,"-","~",2))+1,FIND("~",SUBSTITUTE($BL116,"-","~",3))-FIND("~",SUBSTITUTE($BL116,"-","~",2))-1))</f>
        <v/>
      </c>
      <c r="BO116">
        <f>IF($BM116="","",IFERROR(VLOOKUP($BM116,DECODE!$A$3:$C$8,3,FALSE),"?"))</f>
        <v/>
      </c>
      <c r="BP116">
        <f>IF($BN116="","",IFERROR(VLOOKUP($BM116&amp;"-"&amp;$BN116,DECODE!$E$3:$F$21,2,FALSE),"?"))</f>
        <v/>
      </c>
      <c r="BQ116">
        <f>IF($BL116="","",IFERROR(VALUE(RIGHT($BL116,3)),""))</f>
        <v/>
      </c>
      <c r="BR116">
        <f>IF($W116="","",IFERROR(IF(ISNUMBER($W116),$W116,DATEVALUE(TRIM($W116))),""))</f>
        <v/>
      </c>
      <c r="BS116">
        <f>IF($BR116="","",IF(MONTH($BR116)&gt;=12,"Cold Winter",IF(MONTH($BR116)&gt;=10,"Post-Monsoon",IF(MONTH($BR116)&gt;=6,"Hot Humid",IF(MONTH($BR116)&gt;=3,"Hot Dry","Cold Winter")))))</f>
        <v/>
      </c>
      <c r="BT116">
        <f>IF($BM116="","",IFERROR(VLOOKUP($BM116,DECODE!$A$3:$C$8,2,FALSE),"?"))</f>
        <v/>
      </c>
      <c r="BU116">
        <f>IF($R116="","",UPPER(TRIM(LEFT($R116&amp;",",FIND(",",$R116&amp;",")-1))))</f>
        <v/>
      </c>
      <c r="BV116">
        <f>IF($BU116="","",MID($BU116,4,FIND("~",SUBSTITUTE($BU116,"-","~",2))-4))</f>
        <v/>
      </c>
      <c r="BW116">
        <f>IF($BU116="","",MID($BU116,FIND("~",SUBSTITUTE($BU116,"-","~",2))+1,FIND("~",SUBSTITUTE($BU116,"-","~",3))-FIND("~",SUBSTITUTE($BU116,"-","~",2))-1))</f>
        <v/>
      </c>
      <c r="BX116">
        <f>IF($BV116="","",IFERROR(VLOOKUP($BV116,DECODE!$A$3:$C$8,3,FALSE),"?"))</f>
        <v/>
      </c>
      <c r="BY116">
        <f>IF($BW116="","",IFERROR(VLOOKUP($BV116&amp;"-"&amp;$BW116,DECODE!$E$3:$F$21,2,FALSE),"?"))</f>
        <v/>
      </c>
      <c r="BZ116">
        <f>IF($BU116="","",IFERROR(VALUE(RIGHT($BU116,3)),""))</f>
        <v/>
      </c>
      <c r="CA116">
        <f>IF($X116="","",IFERROR(IF(ISNUMBER($X116),$X116,DATEVALUE(TRIM($X116))),""))</f>
        <v/>
      </c>
      <c r="CB116">
        <f>IF($CA116="","",IF(MONTH($CA116)&gt;=12,"Cold Winter",IF(MONTH($CA116)&gt;=10,"Post-Monsoon",IF(MONTH($CA116)&gt;=6,"Hot Humid",IF(MONTH($CA116)&gt;=3,"Hot Dry","Cold Winter")))))</f>
        <v/>
      </c>
      <c r="CC116">
        <f>IF($BV116="","",IFERROR(VLOOKUP($BV116,DECODE!$A$3:$C$8,2,FALSE),"?"))</f>
        <v/>
      </c>
      <c r="CD116">
        <f>IF($S116="","",UPPER(TRIM(LEFT($S116&amp;",",FIND(",",$S116&amp;",")-1))))</f>
        <v/>
      </c>
      <c r="CE116">
        <f>IF($CD116="","",MID($CD116,4,FIND("~",SUBSTITUTE($CD116,"-","~",2))-4))</f>
        <v/>
      </c>
      <c r="CF116">
        <f>IF($CD116="","",MID($CD116,FIND("~",SUBSTITUTE($CD116,"-","~",2))+1,FIND("~",SUBSTITUTE($CD116,"-","~",3))-FIND("~",SUBSTITUTE($CD116,"-","~",2))-1))</f>
        <v/>
      </c>
      <c r="CG116">
        <f>IF($CE116="","",IFERROR(VLOOKUP($CE116,DECODE!$A$3:$C$8,3,FALSE),"?"))</f>
        <v/>
      </c>
      <c r="CH116">
        <f>IF($CF116="","",IFERROR(VLOOKUP($CE116&amp;"-"&amp;$CF116,DECODE!$E$3:$F$21,2,FALSE),"?"))</f>
        <v/>
      </c>
      <c r="CI116">
        <f>IF($CD116="","",IFERROR(VALUE(RIGHT($CD116,3)),""))</f>
        <v/>
      </c>
      <c r="CJ116">
        <f>IF($Y116="","",IFERROR(IF(ISNUMBER($Y116),$Y116,DATEVALUE(TRIM($Y116))),""))</f>
        <v/>
      </c>
      <c r="CK116">
        <f>IF($CJ116="","",IF(MONTH($CJ116)&gt;=12,"Cold Winter",IF(MONTH($CJ116)&gt;=10,"Post-Monsoon",IF(MONTH($CJ116)&gt;=6,"Hot Humid",IF(MONTH($CJ116)&gt;=3,"Hot Dry","Cold Winter")))))</f>
        <v/>
      </c>
      <c r="CL116">
        <f>IF($CE116="","",IFERROR(VLOOKUP($CE116,DECODE!$A$3:$C$8,2,FALSE),"?"))</f>
        <v/>
      </c>
      <c r="CM116">
        <f>IF($AN116="","",AN116)</f>
        <v/>
      </c>
      <c r="CN116">
        <f>IF($AO116="","",AO116)</f>
        <v/>
      </c>
      <c r="CO116">
        <f>IF($AP116="","",AP116)</f>
        <v/>
      </c>
      <c r="CP116">
        <f>IF($CM116="","",IF($CM116="Aloe Vera Gel","Aloe Vera Gel "&amp;$CO116&amp;"g",CN116&amp;" "&amp;$CO116&amp;"g"))</f>
        <v/>
      </c>
      <c r="CQ116">
        <f>IF($AT116="",0,1)</f>
        <v/>
      </c>
      <c r="CR116">
        <f>IF($CQ116=0,"",AW116)</f>
        <v/>
      </c>
      <c r="CS116">
        <f>IF($CQ116=0,"",AX116)</f>
        <v/>
      </c>
      <c r="CT116">
        <f>IF($CQ116=0,"",AY116)</f>
        <v/>
      </c>
      <c r="CU116">
        <f>IF($CR116="","",IF($CR116="Aloe Vera Gel","Aloe Vera Gel "&amp;$CT116&amp;"g",CS116&amp;" "&amp;$CT116&amp;"g"))</f>
        <v/>
      </c>
      <c r="CV116">
        <f>IF($CQ116=0,"",IF($CP116=$CU116,"Repeat Exact",IF($CT116&gt;$CO116,"Upsized",IF($CT116&lt;$CO116,"Downsized",IF($CM116&lt;&gt;$CR116,"Lateral","Same Size Diff Variant")))))</f>
        <v/>
      </c>
      <c r="CW116">
        <f>IF($CQ116=0,"",AZ116-AQ116)</f>
        <v/>
      </c>
      <c r="CX116">
        <f>IF($CQ116=0,0,IF(CS116=CN116,1,0))</f>
        <v/>
      </c>
      <c r="CY116">
        <f>IF($CQ116=0,0,IF(CR116=CM116,1,0))</f>
        <v/>
      </c>
      <c r="CZ116">
        <f>IF($A116="","",IF(AND(IF(DASHBOARD!$C$4="All",TRUE,$CM116=DASHBOARD!$C$4),IF(DASHBOARD!$C$6="All",TRUE,$CP116=DASHBOARD!$C$6),IF(DASHBOARD!$C$8="All",TRUE,$AF116&gt;=DASHBOARD!$C$8),IF(DASHBOARD!$C$10="All",TRUE,$AF116&lt;=DASHBOARD!$C$10),IF(DASHBOARD!$C$12="All",TRUE,$AH116=VALUE(DASHBOARD!$C$12)),IF(DASHBOARD!$C$14="All",TRUE,$AJ116=DASHBOARD!$C$14)),1,0))</f>
        <v/>
      </c>
    </row>
    <row r="117">
      <c r="A117" t="n">
        <v>95383</v>
      </c>
      <c r="B117" t="inlineStr">
        <is>
          <t>Face Malai</t>
        </is>
      </c>
      <c r="H117" t="inlineStr">
        <is>
          <t>Flax Walnut (Cold) 35+ Face Malai</t>
        </is>
      </c>
      <c r="N117" t="inlineStr">
        <is>
          <t>FC-CWDM-FW-030</t>
        </is>
      </c>
      <c r="T117" t="inlineStr">
        <is>
          <t>Jun 18, 2025</t>
        </is>
      </c>
      <c r="AE117" t="inlineStr">
        <is>
          <t>Thane</t>
        </is>
      </c>
      <c r="AF117" t="inlineStr">
        <is>
          <t>2025-06</t>
        </is>
      </c>
      <c r="AG117" t="n">
        <v>6</v>
      </c>
      <c r="AH117" t="n">
        <v>1</v>
      </c>
      <c r="AI117" t="n">
        <v>0</v>
      </c>
      <c r="AJ117">
        <f>IF($AE117="","",IFERROR(VLOOKUP(TRIM($AE117),DECODE!$H$3:$I$60,2,FALSE),"Rest of India"))</f>
        <v/>
      </c>
      <c r="AK117">
        <f>IF($N117="","",UPPER(TRIM(LEFT($N117&amp;",",FIND(",",$N117&amp;",")-1))))</f>
        <v/>
      </c>
      <c r="AL117">
        <f>IF($AK117="","",MID($AK117,4,FIND("~",SUBSTITUTE($AK117,"-","~",2))-4))</f>
        <v/>
      </c>
      <c r="AM117">
        <f>IF($AK117="","",MID($AK117,FIND("~",SUBSTITUTE($AK117,"-","~",2))+1,FIND("~",SUBSTITUTE($AK117,"-","~",3))-FIND("~",SUBSTITUTE($AK117,"-","~",2))-1))</f>
        <v/>
      </c>
      <c r="AN117">
        <f>IF($AL117="","",IFERROR(VLOOKUP($AL117,DECODE!$A$3:$C$8,3,FALSE),"?"))</f>
        <v/>
      </c>
      <c r="AO117">
        <f>IF($AM117="","",IFERROR(VLOOKUP($AL117&amp;"-"&amp;$AM117,DECODE!$E$3:$F$21,2,FALSE),"?"))</f>
        <v/>
      </c>
      <c r="AP117">
        <f>IF($AK117="","",IFERROR(VALUE(RIGHT($AK117,3)),""))</f>
        <v/>
      </c>
      <c r="AQ117">
        <f>IF($T117="","",IFERROR(IF(ISNUMBER($T117),$T117,DATEVALUE(TRIM($T117))),""))</f>
        <v/>
      </c>
      <c r="AR117">
        <f>IF($AQ117="","",IF(MONTH($AQ117)&gt;=12,"Cold Winter",IF(MONTH($AQ117)&gt;=10,"Post-Monsoon",IF(MONTH($AQ117)&gt;=6,"Hot Humid",IF(MONTH($AQ117)&gt;=3,"Hot Dry","Cold Winter")))))</f>
        <v/>
      </c>
      <c r="AS117">
        <f>IF($AL117="","",IFERROR(VLOOKUP($AL117,DECODE!$A$3:$C$8,2,FALSE),"?"))</f>
        <v/>
      </c>
      <c r="AT117">
        <f>IF($O117="","",UPPER(TRIM(LEFT($O117&amp;",",FIND(",",$O117&amp;",")-1))))</f>
        <v/>
      </c>
      <c r="AU117">
        <f>IF($AT117="","",MID($AT117,4,FIND("~",SUBSTITUTE($AT117,"-","~",2))-4))</f>
        <v/>
      </c>
      <c r="AV117">
        <f>IF($AT117="","",MID($AT117,FIND("~",SUBSTITUTE($AT117,"-","~",2))+1,FIND("~",SUBSTITUTE($AT117,"-","~",3))-FIND("~",SUBSTITUTE($AT117,"-","~",2))-1))</f>
        <v/>
      </c>
      <c r="AW117">
        <f>IF($AU117="","",IFERROR(VLOOKUP($AU117,DECODE!$A$3:$C$8,3,FALSE),"?"))</f>
        <v/>
      </c>
      <c r="AX117">
        <f>IF($AV117="","",IFERROR(VLOOKUP($AU117&amp;"-"&amp;$AV117,DECODE!$E$3:$F$21,2,FALSE),"?"))</f>
        <v/>
      </c>
      <c r="AY117">
        <f>IF($AT117="","",IFERROR(VALUE(RIGHT($AT117,3)),""))</f>
        <v/>
      </c>
      <c r="AZ117">
        <f>IF($U117="","",IFERROR(IF(ISNUMBER($U117),$U117,DATEVALUE(TRIM($U117))),""))</f>
        <v/>
      </c>
      <c r="BA117">
        <f>IF($AZ117="","",IF(MONTH($AZ117)&gt;=12,"Cold Winter",IF(MONTH($AZ117)&gt;=10,"Post-Monsoon",IF(MONTH($AZ117)&gt;=6,"Hot Humid",IF(MONTH($AZ117)&gt;=3,"Hot Dry","Cold Winter")))))</f>
        <v/>
      </c>
      <c r="BB117">
        <f>IF($AU117="","",IFERROR(VLOOKUP($AU117,DECODE!$A$3:$C$8,2,FALSE),"?"))</f>
        <v/>
      </c>
      <c r="BC117">
        <f>IF($P117="","",UPPER(TRIM(LEFT($P117&amp;",",FIND(",",$P117&amp;",")-1))))</f>
        <v/>
      </c>
      <c r="BD117">
        <f>IF($BC117="","",MID($BC117,4,FIND("~",SUBSTITUTE($BC117,"-","~",2))-4))</f>
        <v/>
      </c>
      <c r="BE117">
        <f>IF($BC117="","",MID($BC117,FIND("~",SUBSTITUTE($BC117,"-","~",2))+1,FIND("~",SUBSTITUTE($BC117,"-","~",3))-FIND("~",SUBSTITUTE($BC117,"-","~",2))-1))</f>
        <v/>
      </c>
      <c r="BF117">
        <f>IF($BD117="","",IFERROR(VLOOKUP($BD117,DECODE!$A$3:$C$8,3,FALSE),"?"))</f>
        <v/>
      </c>
      <c r="BG117">
        <f>IF($BE117="","",IFERROR(VLOOKUP($BD117&amp;"-"&amp;$BE117,DECODE!$E$3:$F$21,2,FALSE),"?"))</f>
        <v/>
      </c>
      <c r="BH117">
        <f>IF($BC117="","",IFERROR(VALUE(RIGHT($BC117,3)),""))</f>
        <v/>
      </c>
      <c r="BI117">
        <f>IF($V117="","",IFERROR(IF(ISNUMBER($V117),$V117,DATEVALUE(TRIM($V117))),""))</f>
        <v/>
      </c>
      <c r="BJ117">
        <f>IF($BI117="","",IF(MONTH($BI117)&gt;=12,"Cold Winter",IF(MONTH($BI117)&gt;=10,"Post-Monsoon",IF(MONTH($BI117)&gt;=6,"Hot Humid",IF(MONTH($BI117)&gt;=3,"Hot Dry","Cold Winter")))))</f>
        <v/>
      </c>
      <c r="BK117">
        <f>IF($BD117="","",IFERROR(VLOOKUP($BD117,DECODE!$A$3:$C$8,2,FALSE),"?"))</f>
        <v/>
      </c>
      <c r="BL117">
        <f>IF($Q117="","",UPPER(TRIM(LEFT($Q117&amp;",",FIND(",",$Q117&amp;",")-1))))</f>
        <v/>
      </c>
      <c r="BM117">
        <f>IF($BL117="","",MID($BL117,4,FIND("~",SUBSTITUTE($BL117,"-","~",2))-4))</f>
        <v/>
      </c>
      <c r="BN117">
        <f>IF($BL117="","",MID($BL117,FIND("~",SUBSTITUTE($BL117,"-","~",2))+1,FIND("~",SUBSTITUTE($BL117,"-","~",3))-FIND("~",SUBSTITUTE($BL117,"-","~",2))-1))</f>
        <v/>
      </c>
      <c r="BO117">
        <f>IF($BM117="","",IFERROR(VLOOKUP($BM117,DECODE!$A$3:$C$8,3,FALSE),"?"))</f>
        <v/>
      </c>
      <c r="BP117">
        <f>IF($BN117="","",IFERROR(VLOOKUP($BM117&amp;"-"&amp;$BN117,DECODE!$E$3:$F$21,2,FALSE),"?"))</f>
        <v/>
      </c>
      <c r="BQ117">
        <f>IF($BL117="","",IFERROR(VALUE(RIGHT($BL117,3)),""))</f>
        <v/>
      </c>
      <c r="BR117">
        <f>IF($W117="","",IFERROR(IF(ISNUMBER($W117),$W117,DATEVALUE(TRIM($W117))),""))</f>
        <v/>
      </c>
      <c r="BS117">
        <f>IF($BR117="","",IF(MONTH($BR117)&gt;=12,"Cold Winter",IF(MONTH($BR117)&gt;=10,"Post-Monsoon",IF(MONTH($BR117)&gt;=6,"Hot Humid",IF(MONTH($BR117)&gt;=3,"Hot Dry","Cold Winter")))))</f>
        <v/>
      </c>
      <c r="BT117">
        <f>IF($BM117="","",IFERROR(VLOOKUP($BM117,DECODE!$A$3:$C$8,2,FALSE),"?"))</f>
        <v/>
      </c>
      <c r="BU117">
        <f>IF($R117="","",UPPER(TRIM(LEFT($R117&amp;",",FIND(",",$R117&amp;",")-1))))</f>
        <v/>
      </c>
      <c r="BV117">
        <f>IF($BU117="","",MID($BU117,4,FIND("~",SUBSTITUTE($BU117,"-","~",2))-4))</f>
        <v/>
      </c>
      <c r="BW117">
        <f>IF($BU117="","",MID($BU117,FIND("~",SUBSTITUTE($BU117,"-","~",2))+1,FIND("~",SUBSTITUTE($BU117,"-","~",3))-FIND("~",SUBSTITUTE($BU117,"-","~",2))-1))</f>
        <v/>
      </c>
      <c r="BX117">
        <f>IF($BV117="","",IFERROR(VLOOKUP($BV117,DECODE!$A$3:$C$8,3,FALSE),"?"))</f>
        <v/>
      </c>
      <c r="BY117">
        <f>IF($BW117="","",IFERROR(VLOOKUP($BV117&amp;"-"&amp;$BW117,DECODE!$E$3:$F$21,2,FALSE),"?"))</f>
        <v/>
      </c>
      <c r="BZ117">
        <f>IF($BU117="","",IFERROR(VALUE(RIGHT($BU117,3)),""))</f>
        <v/>
      </c>
      <c r="CA117">
        <f>IF($X117="","",IFERROR(IF(ISNUMBER($X117),$X117,DATEVALUE(TRIM($X117))),""))</f>
        <v/>
      </c>
      <c r="CB117">
        <f>IF($CA117="","",IF(MONTH($CA117)&gt;=12,"Cold Winter",IF(MONTH($CA117)&gt;=10,"Post-Monsoon",IF(MONTH($CA117)&gt;=6,"Hot Humid",IF(MONTH($CA117)&gt;=3,"Hot Dry","Cold Winter")))))</f>
        <v/>
      </c>
      <c r="CC117">
        <f>IF($BV117="","",IFERROR(VLOOKUP($BV117,DECODE!$A$3:$C$8,2,FALSE),"?"))</f>
        <v/>
      </c>
      <c r="CD117">
        <f>IF($S117="","",UPPER(TRIM(LEFT($S117&amp;",",FIND(",",$S117&amp;",")-1))))</f>
        <v/>
      </c>
      <c r="CE117">
        <f>IF($CD117="","",MID($CD117,4,FIND("~",SUBSTITUTE($CD117,"-","~",2))-4))</f>
        <v/>
      </c>
      <c r="CF117">
        <f>IF($CD117="","",MID($CD117,FIND("~",SUBSTITUTE($CD117,"-","~",2))+1,FIND("~",SUBSTITUTE($CD117,"-","~",3))-FIND("~",SUBSTITUTE($CD117,"-","~",2))-1))</f>
        <v/>
      </c>
      <c r="CG117">
        <f>IF($CE117="","",IFERROR(VLOOKUP($CE117,DECODE!$A$3:$C$8,3,FALSE),"?"))</f>
        <v/>
      </c>
      <c r="CH117">
        <f>IF($CF117="","",IFERROR(VLOOKUP($CE117&amp;"-"&amp;$CF117,DECODE!$E$3:$F$21,2,FALSE),"?"))</f>
        <v/>
      </c>
      <c r="CI117">
        <f>IF($CD117="","",IFERROR(VALUE(RIGHT($CD117,3)),""))</f>
        <v/>
      </c>
      <c r="CJ117">
        <f>IF($Y117="","",IFERROR(IF(ISNUMBER($Y117),$Y117,DATEVALUE(TRIM($Y117))),""))</f>
        <v/>
      </c>
      <c r="CK117">
        <f>IF($CJ117="","",IF(MONTH($CJ117)&gt;=12,"Cold Winter",IF(MONTH($CJ117)&gt;=10,"Post-Monsoon",IF(MONTH($CJ117)&gt;=6,"Hot Humid",IF(MONTH($CJ117)&gt;=3,"Hot Dry","Cold Winter")))))</f>
        <v/>
      </c>
      <c r="CL117">
        <f>IF($CE117="","",IFERROR(VLOOKUP($CE117,DECODE!$A$3:$C$8,2,FALSE),"?"))</f>
        <v/>
      </c>
      <c r="CM117">
        <f>IF($AN117="","",AN117)</f>
        <v/>
      </c>
      <c r="CN117">
        <f>IF($AO117="","",AO117)</f>
        <v/>
      </c>
      <c r="CO117">
        <f>IF($AP117="","",AP117)</f>
        <v/>
      </c>
      <c r="CP117">
        <f>IF($CM117="","",IF($CM117="Aloe Vera Gel","Aloe Vera Gel "&amp;$CO117&amp;"g",CN117&amp;" "&amp;$CO117&amp;"g"))</f>
        <v/>
      </c>
      <c r="CQ117">
        <f>IF($AT117="",0,1)</f>
        <v/>
      </c>
      <c r="CR117">
        <f>IF($CQ117=0,"",AW117)</f>
        <v/>
      </c>
      <c r="CS117">
        <f>IF($CQ117=0,"",AX117)</f>
        <v/>
      </c>
      <c r="CT117">
        <f>IF($CQ117=0,"",AY117)</f>
        <v/>
      </c>
      <c r="CU117">
        <f>IF($CR117="","",IF($CR117="Aloe Vera Gel","Aloe Vera Gel "&amp;$CT117&amp;"g",CS117&amp;" "&amp;$CT117&amp;"g"))</f>
        <v/>
      </c>
      <c r="CV117">
        <f>IF($CQ117=0,"",IF($CP117=$CU117,"Repeat Exact",IF($CT117&gt;$CO117,"Upsized",IF($CT117&lt;$CO117,"Downsized",IF($CM117&lt;&gt;$CR117,"Lateral","Same Size Diff Variant")))))</f>
        <v/>
      </c>
      <c r="CW117">
        <f>IF($CQ117=0,"",AZ117-AQ117)</f>
        <v/>
      </c>
      <c r="CX117">
        <f>IF($CQ117=0,0,IF(CS117=CN117,1,0))</f>
        <v/>
      </c>
      <c r="CY117">
        <f>IF($CQ117=0,0,IF(CR117=CM117,1,0))</f>
        <v/>
      </c>
      <c r="CZ117">
        <f>IF($A117="","",IF(AND(IF(DASHBOARD!$C$4="All",TRUE,$CM117=DASHBOARD!$C$4),IF(DASHBOARD!$C$6="All",TRUE,$CP117=DASHBOARD!$C$6),IF(DASHBOARD!$C$8="All",TRUE,$AF117&gt;=DASHBOARD!$C$8),IF(DASHBOARD!$C$10="All",TRUE,$AF117&lt;=DASHBOARD!$C$10),IF(DASHBOARD!$C$12="All",TRUE,$AH117=VALUE(DASHBOARD!$C$12)),IF(DASHBOARD!$C$14="All",TRUE,$AJ117=DASHBOARD!$C$14)),1,0))</f>
        <v/>
      </c>
    </row>
    <row r="118">
      <c r="A118" t="n">
        <v>96335</v>
      </c>
      <c r="B118" t="inlineStr">
        <is>
          <t>Active Gel</t>
        </is>
      </c>
      <c r="H118" t="inlineStr">
        <is>
          <t>Active Olive Vit-E Night Gel</t>
        </is>
      </c>
      <c r="N118" t="inlineStr">
        <is>
          <t>FC-AC-OV-050</t>
        </is>
      </c>
      <c r="T118" t="inlineStr">
        <is>
          <t>Mar 21, 2025</t>
        </is>
      </c>
      <c r="AE118" t="inlineStr">
        <is>
          <t>Jaipur</t>
        </is>
      </c>
      <c r="AF118" t="inlineStr">
        <is>
          <t>2025-03</t>
        </is>
      </c>
      <c r="AG118" t="n">
        <v>3</v>
      </c>
      <c r="AH118" t="n">
        <v>1</v>
      </c>
      <c r="AI118" t="n">
        <v>0</v>
      </c>
      <c r="AJ118">
        <f>IF($AE118="","",IFERROR(VLOOKUP(TRIM($AE118),DECODE!$H$3:$I$60,2,FALSE),"Rest of India"))</f>
        <v/>
      </c>
      <c r="AK118">
        <f>IF($N118="","",UPPER(TRIM(LEFT($N118&amp;",",FIND(",",$N118&amp;",")-1))))</f>
        <v/>
      </c>
      <c r="AL118">
        <f>IF($AK118="","",MID($AK118,4,FIND("~",SUBSTITUTE($AK118,"-","~",2))-4))</f>
        <v/>
      </c>
      <c r="AM118">
        <f>IF($AK118="","",MID($AK118,FIND("~",SUBSTITUTE($AK118,"-","~",2))+1,FIND("~",SUBSTITUTE($AK118,"-","~",3))-FIND("~",SUBSTITUTE($AK118,"-","~",2))-1))</f>
        <v/>
      </c>
      <c r="AN118">
        <f>IF($AL118="","",IFERROR(VLOOKUP($AL118,DECODE!$A$3:$C$8,3,FALSE),"?"))</f>
        <v/>
      </c>
      <c r="AO118">
        <f>IF($AM118="","",IFERROR(VLOOKUP($AL118&amp;"-"&amp;$AM118,DECODE!$E$3:$F$21,2,FALSE),"?"))</f>
        <v/>
      </c>
      <c r="AP118">
        <f>IF($AK118="","",IFERROR(VALUE(RIGHT($AK118,3)),""))</f>
        <v/>
      </c>
      <c r="AQ118">
        <f>IF($T118="","",IFERROR(IF(ISNUMBER($T118),$T118,DATEVALUE(TRIM($T118))),""))</f>
        <v/>
      </c>
      <c r="AR118">
        <f>IF($AQ118="","",IF(MONTH($AQ118)&gt;=12,"Cold Winter",IF(MONTH($AQ118)&gt;=10,"Post-Monsoon",IF(MONTH($AQ118)&gt;=6,"Hot Humid",IF(MONTH($AQ118)&gt;=3,"Hot Dry","Cold Winter")))))</f>
        <v/>
      </c>
      <c r="AS118">
        <f>IF($AL118="","",IFERROR(VLOOKUP($AL118,DECODE!$A$3:$C$8,2,FALSE),"?"))</f>
        <v/>
      </c>
      <c r="AT118">
        <f>IF($O118="","",UPPER(TRIM(LEFT($O118&amp;",",FIND(",",$O118&amp;",")-1))))</f>
        <v/>
      </c>
      <c r="AU118">
        <f>IF($AT118="","",MID($AT118,4,FIND("~",SUBSTITUTE($AT118,"-","~",2))-4))</f>
        <v/>
      </c>
      <c r="AV118">
        <f>IF($AT118="","",MID($AT118,FIND("~",SUBSTITUTE($AT118,"-","~",2))+1,FIND("~",SUBSTITUTE($AT118,"-","~",3))-FIND("~",SUBSTITUTE($AT118,"-","~",2))-1))</f>
        <v/>
      </c>
      <c r="AW118">
        <f>IF($AU118="","",IFERROR(VLOOKUP($AU118,DECODE!$A$3:$C$8,3,FALSE),"?"))</f>
        <v/>
      </c>
      <c r="AX118">
        <f>IF($AV118="","",IFERROR(VLOOKUP($AU118&amp;"-"&amp;$AV118,DECODE!$E$3:$F$21,2,FALSE),"?"))</f>
        <v/>
      </c>
      <c r="AY118">
        <f>IF($AT118="","",IFERROR(VALUE(RIGHT($AT118,3)),""))</f>
        <v/>
      </c>
      <c r="AZ118">
        <f>IF($U118="","",IFERROR(IF(ISNUMBER($U118),$U118,DATEVALUE(TRIM($U118))),""))</f>
        <v/>
      </c>
      <c r="BA118">
        <f>IF($AZ118="","",IF(MONTH($AZ118)&gt;=12,"Cold Winter",IF(MONTH($AZ118)&gt;=10,"Post-Monsoon",IF(MONTH($AZ118)&gt;=6,"Hot Humid",IF(MONTH($AZ118)&gt;=3,"Hot Dry","Cold Winter")))))</f>
        <v/>
      </c>
      <c r="BB118">
        <f>IF($AU118="","",IFERROR(VLOOKUP($AU118,DECODE!$A$3:$C$8,2,FALSE),"?"))</f>
        <v/>
      </c>
      <c r="BC118">
        <f>IF($P118="","",UPPER(TRIM(LEFT($P118&amp;",",FIND(",",$P118&amp;",")-1))))</f>
        <v/>
      </c>
      <c r="BD118">
        <f>IF($BC118="","",MID($BC118,4,FIND("~",SUBSTITUTE($BC118,"-","~",2))-4))</f>
        <v/>
      </c>
      <c r="BE118">
        <f>IF($BC118="","",MID($BC118,FIND("~",SUBSTITUTE($BC118,"-","~",2))+1,FIND("~",SUBSTITUTE($BC118,"-","~",3))-FIND("~",SUBSTITUTE($BC118,"-","~",2))-1))</f>
        <v/>
      </c>
      <c r="BF118">
        <f>IF($BD118="","",IFERROR(VLOOKUP($BD118,DECODE!$A$3:$C$8,3,FALSE),"?"))</f>
        <v/>
      </c>
      <c r="BG118">
        <f>IF($BE118="","",IFERROR(VLOOKUP($BD118&amp;"-"&amp;$BE118,DECODE!$E$3:$F$21,2,FALSE),"?"))</f>
        <v/>
      </c>
      <c r="BH118">
        <f>IF($BC118="","",IFERROR(VALUE(RIGHT($BC118,3)),""))</f>
        <v/>
      </c>
      <c r="BI118">
        <f>IF($V118="","",IFERROR(IF(ISNUMBER($V118),$V118,DATEVALUE(TRIM($V118))),""))</f>
        <v/>
      </c>
      <c r="BJ118">
        <f>IF($BI118="","",IF(MONTH($BI118)&gt;=12,"Cold Winter",IF(MONTH($BI118)&gt;=10,"Post-Monsoon",IF(MONTH($BI118)&gt;=6,"Hot Humid",IF(MONTH($BI118)&gt;=3,"Hot Dry","Cold Winter")))))</f>
        <v/>
      </c>
      <c r="BK118">
        <f>IF($BD118="","",IFERROR(VLOOKUP($BD118,DECODE!$A$3:$C$8,2,FALSE),"?"))</f>
        <v/>
      </c>
      <c r="BL118">
        <f>IF($Q118="","",UPPER(TRIM(LEFT($Q118&amp;",",FIND(",",$Q118&amp;",")-1))))</f>
        <v/>
      </c>
      <c r="BM118">
        <f>IF($BL118="","",MID($BL118,4,FIND("~",SUBSTITUTE($BL118,"-","~",2))-4))</f>
        <v/>
      </c>
      <c r="BN118">
        <f>IF($BL118="","",MID($BL118,FIND("~",SUBSTITUTE($BL118,"-","~",2))+1,FIND("~",SUBSTITUTE($BL118,"-","~",3))-FIND("~",SUBSTITUTE($BL118,"-","~",2))-1))</f>
        <v/>
      </c>
      <c r="BO118">
        <f>IF($BM118="","",IFERROR(VLOOKUP($BM118,DECODE!$A$3:$C$8,3,FALSE),"?"))</f>
        <v/>
      </c>
      <c r="BP118">
        <f>IF($BN118="","",IFERROR(VLOOKUP($BM118&amp;"-"&amp;$BN118,DECODE!$E$3:$F$21,2,FALSE),"?"))</f>
        <v/>
      </c>
      <c r="BQ118">
        <f>IF($BL118="","",IFERROR(VALUE(RIGHT($BL118,3)),""))</f>
        <v/>
      </c>
      <c r="BR118">
        <f>IF($W118="","",IFERROR(IF(ISNUMBER($W118),$W118,DATEVALUE(TRIM($W118))),""))</f>
        <v/>
      </c>
      <c r="BS118">
        <f>IF($BR118="","",IF(MONTH($BR118)&gt;=12,"Cold Winter",IF(MONTH($BR118)&gt;=10,"Post-Monsoon",IF(MONTH($BR118)&gt;=6,"Hot Humid",IF(MONTH($BR118)&gt;=3,"Hot Dry","Cold Winter")))))</f>
        <v/>
      </c>
      <c r="BT118">
        <f>IF($BM118="","",IFERROR(VLOOKUP($BM118,DECODE!$A$3:$C$8,2,FALSE),"?"))</f>
        <v/>
      </c>
      <c r="BU118">
        <f>IF($R118="","",UPPER(TRIM(LEFT($R118&amp;",",FIND(",",$R118&amp;",")-1))))</f>
        <v/>
      </c>
      <c r="BV118">
        <f>IF($BU118="","",MID($BU118,4,FIND("~",SUBSTITUTE($BU118,"-","~",2))-4))</f>
        <v/>
      </c>
      <c r="BW118">
        <f>IF($BU118="","",MID($BU118,FIND("~",SUBSTITUTE($BU118,"-","~",2))+1,FIND("~",SUBSTITUTE($BU118,"-","~",3))-FIND("~",SUBSTITUTE($BU118,"-","~",2))-1))</f>
        <v/>
      </c>
      <c r="BX118">
        <f>IF($BV118="","",IFERROR(VLOOKUP($BV118,DECODE!$A$3:$C$8,3,FALSE),"?"))</f>
        <v/>
      </c>
      <c r="BY118">
        <f>IF($BW118="","",IFERROR(VLOOKUP($BV118&amp;"-"&amp;$BW118,DECODE!$E$3:$F$21,2,FALSE),"?"))</f>
        <v/>
      </c>
      <c r="BZ118">
        <f>IF($BU118="","",IFERROR(VALUE(RIGHT($BU118,3)),""))</f>
        <v/>
      </c>
      <c r="CA118">
        <f>IF($X118="","",IFERROR(IF(ISNUMBER($X118),$X118,DATEVALUE(TRIM($X118))),""))</f>
        <v/>
      </c>
      <c r="CB118">
        <f>IF($CA118="","",IF(MONTH($CA118)&gt;=12,"Cold Winter",IF(MONTH($CA118)&gt;=10,"Post-Monsoon",IF(MONTH($CA118)&gt;=6,"Hot Humid",IF(MONTH($CA118)&gt;=3,"Hot Dry","Cold Winter")))))</f>
        <v/>
      </c>
      <c r="CC118">
        <f>IF($BV118="","",IFERROR(VLOOKUP($BV118,DECODE!$A$3:$C$8,2,FALSE),"?"))</f>
        <v/>
      </c>
      <c r="CD118">
        <f>IF($S118="","",UPPER(TRIM(LEFT($S118&amp;",",FIND(",",$S118&amp;",")-1))))</f>
        <v/>
      </c>
      <c r="CE118">
        <f>IF($CD118="","",MID($CD118,4,FIND("~",SUBSTITUTE($CD118,"-","~",2))-4))</f>
        <v/>
      </c>
      <c r="CF118">
        <f>IF($CD118="","",MID($CD118,FIND("~",SUBSTITUTE($CD118,"-","~",2))+1,FIND("~",SUBSTITUTE($CD118,"-","~",3))-FIND("~",SUBSTITUTE($CD118,"-","~",2))-1))</f>
        <v/>
      </c>
      <c r="CG118">
        <f>IF($CE118="","",IFERROR(VLOOKUP($CE118,DECODE!$A$3:$C$8,3,FALSE),"?"))</f>
        <v/>
      </c>
      <c r="CH118">
        <f>IF($CF118="","",IFERROR(VLOOKUP($CE118&amp;"-"&amp;$CF118,DECODE!$E$3:$F$21,2,FALSE),"?"))</f>
        <v/>
      </c>
      <c r="CI118">
        <f>IF($CD118="","",IFERROR(VALUE(RIGHT($CD118,3)),""))</f>
        <v/>
      </c>
      <c r="CJ118">
        <f>IF($Y118="","",IFERROR(IF(ISNUMBER($Y118),$Y118,DATEVALUE(TRIM($Y118))),""))</f>
        <v/>
      </c>
      <c r="CK118">
        <f>IF($CJ118="","",IF(MONTH($CJ118)&gt;=12,"Cold Winter",IF(MONTH($CJ118)&gt;=10,"Post-Monsoon",IF(MONTH($CJ118)&gt;=6,"Hot Humid",IF(MONTH($CJ118)&gt;=3,"Hot Dry","Cold Winter")))))</f>
        <v/>
      </c>
      <c r="CL118">
        <f>IF($CE118="","",IFERROR(VLOOKUP($CE118,DECODE!$A$3:$C$8,2,FALSE),"?"))</f>
        <v/>
      </c>
      <c r="CM118">
        <f>IF($AN118="","",AN118)</f>
        <v/>
      </c>
      <c r="CN118">
        <f>IF($AO118="","",AO118)</f>
        <v/>
      </c>
      <c r="CO118">
        <f>IF($AP118="","",AP118)</f>
        <v/>
      </c>
      <c r="CP118">
        <f>IF($CM118="","",IF($CM118="Aloe Vera Gel","Aloe Vera Gel "&amp;$CO118&amp;"g",CN118&amp;" "&amp;$CO118&amp;"g"))</f>
        <v/>
      </c>
      <c r="CQ118">
        <f>IF($AT118="",0,1)</f>
        <v/>
      </c>
      <c r="CR118">
        <f>IF($CQ118=0,"",AW118)</f>
        <v/>
      </c>
      <c r="CS118">
        <f>IF($CQ118=0,"",AX118)</f>
        <v/>
      </c>
      <c r="CT118">
        <f>IF($CQ118=0,"",AY118)</f>
        <v/>
      </c>
      <c r="CU118">
        <f>IF($CR118="","",IF($CR118="Aloe Vera Gel","Aloe Vera Gel "&amp;$CT118&amp;"g",CS118&amp;" "&amp;$CT118&amp;"g"))</f>
        <v/>
      </c>
      <c r="CV118">
        <f>IF($CQ118=0,"",IF($CP118=$CU118,"Repeat Exact",IF($CT118&gt;$CO118,"Upsized",IF($CT118&lt;$CO118,"Downsized",IF($CM118&lt;&gt;$CR118,"Lateral","Same Size Diff Variant")))))</f>
        <v/>
      </c>
      <c r="CW118">
        <f>IF($CQ118=0,"",AZ118-AQ118)</f>
        <v/>
      </c>
      <c r="CX118">
        <f>IF($CQ118=0,0,IF(CS118=CN118,1,0))</f>
        <v/>
      </c>
      <c r="CY118">
        <f>IF($CQ118=0,0,IF(CR118=CM118,1,0))</f>
        <v/>
      </c>
      <c r="CZ118">
        <f>IF($A118="","",IF(AND(IF(DASHBOARD!$C$4="All",TRUE,$CM118=DASHBOARD!$C$4),IF(DASHBOARD!$C$6="All",TRUE,$CP118=DASHBOARD!$C$6),IF(DASHBOARD!$C$8="All",TRUE,$AF118&gt;=DASHBOARD!$C$8),IF(DASHBOARD!$C$10="All",TRUE,$AF118&lt;=DASHBOARD!$C$10),IF(DASHBOARD!$C$12="All",TRUE,$AH118=VALUE(DASHBOARD!$C$12)),IF(DASHBOARD!$C$14="All",TRUE,$AJ118=DASHBOARD!$C$14)),1,0))</f>
        <v/>
      </c>
    </row>
    <row r="119">
      <c r="A119" t="n">
        <v>100216</v>
      </c>
      <c r="B119" t="inlineStr">
        <is>
          <t>Face Malai</t>
        </is>
      </c>
      <c r="H119" t="inlineStr">
        <is>
          <t>Tomato Rosehip (Hot Dry) 20 - 35 Yrs Face Malai - 30g, Cocoa Mogra (Overnight) Face Malai - 30g</t>
        </is>
      </c>
      <c r="N119" t="inlineStr">
        <is>
          <t>FC-HDDM-TR-030, FC-DM-NR-030</t>
        </is>
      </c>
      <c r="T119" t="inlineStr">
        <is>
          <t>Jul 3, 2026</t>
        </is>
      </c>
      <c r="AE119" t="inlineStr">
        <is>
          <t>Kolkata</t>
        </is>
      </c>
      <c r="AF119" t="inlineStr">
        <is>
          <t>2026-07</t>
        </is>
      </c>
      <c r="AG119" t="n">
        <v>7</v>
      </c>
      <c r="AH119" t="n">
        <v>1</v>
      </c>
      <c r="AI119" t="n">
        <v>0</v>
      </c>
      <c r="AJ119">
        <f>IF($AE119="","",IFERROR(VLOOKUP(TRIM($AE119),DECODE!$H$3:$I$60,2,FALSE),"Rest of India"))</f>
        <v/>
      </c>
      <c r="AK119">
        <f>IF($N119="","",UPPER(TRIM(LEFT($N119&amp;",",FIND(",",$N119&amp;",")-1))))</f>
        <v/>
      </c>
      <c r="AL119">
        <f>IF($AK119="","",MID($AK119,4,FIND("~",SUBSTITUTE($AK119,"-","~",2))-4))</f>
        <v/>
      </c>
      <c r="AM119">
        <f>IF($AK119="","",MID($AK119,FIND("~",SUBSTITUTE($AK119,"-","~",2))+1,FIND("~",SUBSTITUTE($AK119,"-","~",3))-FIND("~",SUBSTITUTE($AK119,"-","~",2))-1))</f>
        <v/>
      </c>
      <c r="AN119">
        <f>IF($AL119="","",IFERROR(VLOOKUP($AL119,DECODE!$A$3:$C$8,3,FALSE),"?"))</f>
        <v/>
      </c>
      <c r="AO119">
        <f>IF($AM119="","",IFERROR(VLOOKUP($AL119&amp;"-"&amp;$AM119,DECODE!$E$3:$F$21,2,FALSE),"?"))</f>
        <v/>
      </c>
      <c r="AP119">
        <f>IF($AK119="","",IFERROR(VALUE(RIGHT($AK119,3)),""))</f>
        <v/>
      </c>
      <c r="AQ119">
        <f>IF($T119="","",IFERROR(IF(ISNUMBER($T119),$T119,DATEVALUE(TRIM($T119))),""))</f>
        <v/>
      </c>
      <c r="AR119">
        <f>IF($AQ119="","",IF(MONTH($AQ119)&gt;=12,"Cold Winter",IF(MONTH($AQ119)&gt;=10,"Post-Monsoon",IF(MONTH($AQ119)&gt;=6,"Hot Humid",IF(MONTH($AQ119)&gt;=3,"Hot Dry","Cold Winter")))))</f>
        <v/>
      </c>
      <c r="AS119">
        <f>IF($AL119="","",IFERROR(VLOOKUP($AL119,DECODE!$A$3:$C$8,2,FALSE),"?"))</f>
        <v/>
      </c>
      <c r="AT119">
        <f>IF($O119="","",UPPER(TRIM(LEFT($O119&amp;",",FIND(",",$O119&amp;",")-1))))</f>
        <v/>
      </c>
      <c r="AU119">
        <f>IF($AT119="","",MID($AT119,4,FIND("~",SUBSTITUTE($AT119,"-","~",2))-4))</f>
        <v/>
      </c>
      <c r="AV119">
        <f>IF($AT119="","",MID($AT119,FIND("~",SUBSTITUTE($AT119,"-","~",2))+1,FIND("~",SUBSTITUTE($AT119,"-","~",3))-FIND("~",SUBSTITUTE($AT119,"-","~",2))-1))</f>
        <v/>
      </c>
      <c r="AW119">
        <f>IF($AU119="","",IFERROR(VLOOKUP($AU119,DECODE!$A$3:$C$8,3,FALSE),"?"))</f>
        <v/>
      </c>
      <c r="AX119">
        <f>IF($AV119="","",IFERROR(VLOOKUP($AU119&amp;"-"&amp;$AV119,DECODE!$E$3:$F$21,2,FALSE),"?"))</f>
        <v/>
      </c>
      <c r="AY119">
        <f>IF($AT119="","",IFERROR(VALUE(RIGHT($AT119,3)),""))</f>
        <v/>
      </c>
      <c r="AZ119">
        <f>IF($U119="","",IFERROR(IF(ISNUMBER($U119),$U119,DATEVALUE(TRIM($U119))),""))</f>
        <v/>
      </c>
      <c r="BA119">
        <f>IF($AZ119="","",IF(MONTH($AZ119)&gt;=12,"Cold Winter",IF(MONTH($AZ119)&gt;=10,"Post-Monsoon",IF(MONTH($AZ119)&gt;=6,"Hot Humid",IF(MONTH($AZ119)&gt;=3,"Hot Dry","Cold Winter")))))</f>
        <v/>
      </c>
      <c r="BB119">
        <f>IF($AU119="","",IFERROR(VLOOKUP($AU119,DECODE!$A$3:$C$8,2,FALSE),"?"))</f>
        <v/>
      </c>
      <c r="BC119">
        <f>IF($P119="","",UPPER(TRIM(LEFT($P119&amp;",",FIND(",",$P119&amp;",")-1))))</f>
        <v/>
      </c>
      <c r="BD119">
        <f>IF($BC119="","",MID($BC119,4,FIND("~",SUBSTITUTE($BC119,"-","~",2))-4))</f>
        <v/>
      </c>
      <c r="BE119">
        <f>IF($BC119="","",MID($BC119,FIND("~",SUBSTITUTE($BC119,"-","~",2))+1,FIND("~",SUBSTITUTE($BC119,"-","~",3))-FIND("~",SUBSTITUTE($BC119,"-","~",2))-1))</f>
        <v/>
      </c>
      <c r="BF119">
        <f>IF($BD119="","",IFERROR(VLOOKUP($BD119,DECODE!$A$3:$C$8,3,FALSE),"?"))</f>
        <v/>
      </c>
      <c r="BG119">
        <f>IF($BE119="","",IFERROR(VLOOKUP($BD119&amp;"-"&amp;$BE119,DECODE!$E$3:$F$21,2,FALSE),"?"))</f>
        <v/>
      </c>
      <c r="BH119">
        <f>IF($BC119="","",IFERROR(VALUE(RIGHT($BC119,3)),""))</f>
        <v/>
      </c>
      <c r="BI119">
        <f>IF($V119="","",IFERROR(IF(ISNUMBER($V119),$V119,DATEVALUE(TRIM($V119))),""))</f>
        <v/>
      </c>
      <c r="BJ119">
        <f>IF($BI119="","",IF(MONTH($BI119)&gt;=12,"Cold Winter",IF(MONTH($BI119)&gt;=10,"Post-Monsoon",IF(MONTH($BI119)&gt;=6,"Hot Humid",IF(MONTH($BI119)&gt;=3,"Hot Dry","Cold Winter")))))</f>
        <v/>
      </c>
      <c r="BK119">
        <f>IF($BD119="","",IFERROR(VLOOKUP($BD119,DECODE!$A$3:$C$8,2,FALSE),"?"))</f>
        <v/>
      </c>
      <c r="BL119">
        <f>IF($Q119="","",UPPER(TRIM(LEFT($Q119&amp;",",FIND(",",$Q119&amp;",")-1))))</f>
        <v/>
      </c>
      <c r="BM119">
        <f>IF($BL119="","",MID($BL119,4,FIND("~",SUBSTITUTE($BL119,"-","~",2))-4))</f>
        <v/>
      </c>
      <c r="BN119">
        <f>IF($BL119="","",MID($BL119,FIND("~",SUBSTITUTE($BL119,"-","~",2))+1,FIND("~",SUBSTITUTE($BL119,"-","~",3))-FIND("~",SUBSTITUTE($BL119,"-","~",2))-1))</f>
        <v/>
      </c>
      <c r="BO119">
        <f>IF($BM119="","",IFERROR(VLOOKUP($BM119,DECODE!$A$3:$C$8,3,FALSE),"?"))</f>
        <v/>
      </c>
      <c r="BP119">
        <f>IF($BN119="","",IFERROR(VLOOKUP($BM119&amp;"-"&amp;$BN119,DECODE!$E$3:$F$21,2,FALSE),"?"))</f>
        <v/>
      </c>
      <c r="BQ119">
        <f>IF($BL119="","",IFERROR(VALUE(RIGHT($BL119,3)),""))</f>
        <v/>
      </c>
      <c r="BR119">
        <f>IF($W119="","",IFERROR(IF(ISNUMBER($W119),$W119,DATEVALUE(TRIM($W119))),""))</f>
        <v/>
      </c>
      <c r="BS119">
        <f>IF($BR119="","",IF(MONTH($BR119)&gt;=12,"Cold Winter",IF(MONTH($BR119)&gt;=10,"Post-Monsoon",IF(MONTH($BR119)&gt;=6,"Hot Humid",IF(MONTH($BR119)&gt;=3,"Hot Dry","Cold Winter")))))</f>
        <v/>
      </c>
      <c r="BT119">
        <f>IF($BM119="","",IFERROR(VLOOKUP($BM119,DECODE!$A$3:$C$8,2,FALSE),"?"))</f>
        <v/>
      </c>
      <c r="BU119">
        <f>IF($R119="","",UPPER(TRIM(LEFT($R119&amp;",",FIND(",",$R119&amp;",")-1))))</f>
        <v/>
      </c>
      <c r="BV119">
        <f>IF($BU119="","",MID($BU119,4,FIND("~",SUBSTITUTE($BU119,"-","~",2))-4))</f>
        <v/>
      </c>
      <c r="BW119">
        <f>IF($BU119="","",MID($BU119,FIND("~",SUBSTITUTE($BU119,"-","~",2))+1,FIND("~",SUBSTITUTE($BU119,"-","~",3))-FIND("~",SUBSTITUTE($BU119,"-","~",2))-1))</f>
        <v/>
      </c>
      <c r="BX119">
        <f>IF($BV119="","",IFERROR(VLOOKUP($BV119,DECODE!$A$3:$C$8,3,FALSE),"?"))</f>
        <v/>
      </c>
      <c r="BY119">
        <f>IF($BW119="","",IFERROR(VLOOKUP($BV119&amp;"-"&amp;$BW119,DECODE!$E$3:$F$21,2,FALSE),"?"))</f>
        <v/>
      </c>
      <c r="BZ119">
        <f>IF($BU119="","",IFERROR(VALUE(RIGHT($BU119,3)),""))</f>
        <v/>
      </c>
      <c r="CA119">
        <f>IF($X119="","",IFERROR(IF(ISNUMBER($X119),$X119,DATEVALUE(TRIM($X119))),""))</f>
        <v/>
      </c>
      <c r="CB119">
        <f>IF($CA119="","",IF(MONTH($CA119)&gt;=12,"Cold Winter",IF(MONTH($CA119)&gt;=10,"Post-Monsoon",IF(MONTH($CA119)&gt;=6,"Hot Humid",IF(MONTH($CA119)&gt;=3,"Hot Dry","Cold Winter")))))</f>
        <v/>
      </c>
      <c r="CC119">
        <f>IF($BV119="","",IFERROR(VLOOKUP($BV119,DECODE!$A$3:$C$8,2,FALSE),"?"))</f>
        <v/>
      </c>
      <c r="CD119">
        <f>IF($S119="","",UPPER(TRIM(LEFT($S119&amp;",",FIND(",",$S119&amp;",")-1))))</f>
        <v/>
      </c>
      <c r="CE119">
        <f>IF($CD119="","",MID($CD119,4,FIND("~",SUBSTITUTE($CD119,"-","~",2))-4))</f>
        <v/>
      </c>
      <c r="CF119">
        <f>IF($CD119="","",MID($CD119,FIND("~",SUBSTITUTE($CD119,"-","~",2))+1,FIND("~",SUBSTITUTE($CD119,"-","~",3))-FIND("~",SUBSTITUTE($CD119,"-","~",2))-1))</f>
        <v/>
      </c>
      <c r="CG119">
        <f>IF($CE119="","",IFERROR(VLOOKUP($CE119,DECODE!$A$3:$C$8,3,FALSE),"?"))</f>
        <v/>
      </c>
      <c r="CH119">
        <f>IF($CF119="","",IFERROR(VLOOKUP($CE119&amp;"-"&amp;$CF119,DECODE!$E$3:$F$21,2,FALSE),"?"))</f>
        <v/>
      </c>
      <c r="CI119">
        <f>IF($CD119="","",IFERROR(VALUE(RIGHT($CD119,3)),""))</f>
        <v/>
      </c>
      <c r="CJ119">
        <f>IF($Y119="","",IFERROR(IF(ISNUMBER($Y119),$Y119,DATEVALUE(TRIM($Y119))),""))</f>
        <v/>
      </c>
      <c r="CK119">
        <f>IF($CJ119="","",IF(MONTH($CJ119)&gt;=12,"Cold Winter",IF(MONTH($CJ119)&gt;=10,"Post-Monsoon",IF(MONTH($CJ119)&gt;=6,"Hot Humid",IF(MONTH($CJ119)&gt;=3,"Hot Dry","Cold Winter")))))</f>
        <v/>
      </c>
      <c r="CL119">
        <f>IF($CE119="","",IFERROR(VLOOKUP($CE119,DECODE!$A$3:$C$8,2,FALSE),"?"))</f>
        <v/>
      </c>
      <c r="CM119">
        <f>IF($AN119="","",AN119)</f>
        <v/>
      </c>
      <c r="CN119">
        <f>IF($AO119="","",AO119)</f>
        <v/>
      </c>
      <c r="CO119">
        <f>IF($AP119="","",AP119)</f>
        <v/>
      </c>
      <c r="CP119">
        <f>IF($CM119="","",IF($CM119="Aloe Vera Gel","Aloe Vera Gel "&amp;$CO119&amp;"g",CN119&amp;" "&amp;$CO119&amp;"g"))</f>
        <v/>
      </c>
      <c r="CQ119">
        <f>IF($AT119="",0,1)</f>
        <v/>
      </c>
      <c r="CR119">
        <f>IF($CQ119=0,"",AW119)</f>
        <v/>
      </c>
      <c r="CS119">
        <f>IF($CQ119=0,"",AX119)</f>
        <v/>
      </c>
      <c r="CT119">
        <f>IF($CQ119=0,"",AY119)</f>
        <v/>
      </c>
      <c r="CU119">
        <f>IF($CR119="","",IF($CR119="Aloe Vera Gel","Aloe Vera Gel "&amp;$CT119&amp;"g",CS119&amp;" "&amp;$CT119&amp;"g"))</f>
        <v/>
      </c>
      <c r="CV119">
        <f>IF($CQ119=0,"",IF($CP119=$CU119,"Repeat Exact",IF($CT119&gt;$CO119,"Upsized",IF($CT119&lt;$CO119,"Downsized",IF($CM119&lt;&gt;$CR119,"Lateral","Same Size Diff Variant")))))</f>
        <v/>
      </c>
      <c r="CW119">
        <f>IF($CQ119=0,"",AZ119-AQ119)</f>
        <v/>
      </c>
      <c r="CX119">
        <f>IF($CQ119=0,0,IF(CS119=CN119,1,0))</f>
        <v/>
      </c>
      <c r="CY119">
        <f>IF($CQ119=0,0,IF(CR119=CM119,1,0))</f>
        <v/>
      </c>
      <c r="CZ119">
        <f>IF($A119="","",IF(AND(IF(DASHBOARD!$C$4="All",TRUE,$CM119=DASHBOARD!$C$4),IF(DASHBOARD!$C$6="All",TRUE,$CP119=DASHBOARD!$C$6),IF(DASHBOARD!$C$8="All",TRUE,$AF119&gt;=DASHBOARD!$C$8),IF(DASHBOARD!$C$10="All",TRUE,$AF119&lt;=DASHBOARD!$C$10),IF(DASHBOARD!$C$12="All",TRUE,$AH119=VALUE(DASHBOARD!$C$12)),IF(DASHBOARD!$C$14="All",TRUE,$AJ119=DASHBOARD!$C$14)),1,0))</f>
        <v/>
      </c>
    </row>
    <row r="120">
      <c r="A120" t="n">
        <v>104190</v>
      </c>
      <c r="B120" t="inlineStr">
        <is>
          <t>Face Malai</t>
        </is>
      </c>
      <c r="C120" t="inlineStr">
        <is>
          <t>Face Malai</t>
        </is>
      </c>
      <c r="H120" t="inlineStr">
        <is>
          <t>Flax Walnut (Cold) 35+ Face Malai</t>
        </is>
      </c>
      <c r="I120" t="inlineStr">
        <is>
          <t>Flax Bakuchi (Hot Dry) 35+ Face Malai - 30g</t>
        </is>
      </c>
      <c r="N120" t="inlineStr">
        <is>
          <t>FC-CWDM-FW-030</t>
        </is>
      </c>
      <c r="O120" t="inlineStr">
        <is>
          <t>FC-HDDM-FB-030</t>
        </is>
      </c>
      <c r="T120" t="inlineStr">
        <is>
          <t>Nov 18, 2025</t>
        </is>
      </c>
      <c r="U120" t="inlineStr">
        <is>
          <t>Nov 18, 2025</t>
        </is>
      </c>
      <c r="Z120" t="n">
        <v>0</v>
      </c>
      <c r="AE120" t="inlineStr">
        <is>
          <t>Secunderabad</t>
        </is>
      </c>
      <c r="AF120" t="inlineStr">
        <is>
          <t>2025-11</t>
        </is>
      </c>
      <c r="AG120" t="n">
        <v>11</v>
      </c>
      <c r="AH120" t="n">
        <v>2</v>
      </c>
      <c r="AI120" t="n">
        <v>1</v>
      </c>
      <c r="AJ120">
        <f>IF($AE120="","",IFERROR(VLOOKUP(TRIM($AE120),DECODE!$H$3:$I$60,2,FALSE),"Rest of India"))</f>
        <v/>
      </c>
      <c r="AK120">
        <f>IF($N120="","",UPPER(TRIM(LEFT($N120&amp;",",FIND(",",$N120&amp;",")-1))))</f>
        <v/>
      </c>
      <c r="AL120">
        <f>IF($AK120="","",MID($AK120,4,FIND("~",SUBSTITUTE($AK120,"-","~",2))-4))</f>
        <v/>
      </c>
      <c r="AM120">
        <f>IF($AK120="","",MID($AK120,FIND("~",SUBSTITUTE($AK120,"-","~",2))+1,FIND("~",SUBSTITUTE($AK120,"-","~",3))-FIND("~",SUBSTITUTE($AK120,"-","~",2))-1))</f>
        <v/>
      </c>
      <c r="AN120">
        <f>IF($AL120="","",IFERROR(VLOOKUP($AL120,DECODE!$A$3:$C$8,3,FALSE),"?"))</f>
        <v/>
      </c>
      <c r="AO120">
        <f>IF($AM120="","",IFERROR(VLOOKUP($AL120&amp;"-"&amp;$AM120,DECODE!$E$3:$F$21,2,FALSE),"?"))</f>
        <v/>
      </c>
      <c r="AP120">
        <f>IF($AK120="","",IFERROR(VALUE(RIGHT($AK120,3)),""))</f>
        <v/>
      </c>
      <c r="AQ120">
        <f>IF($T120="","",IFERROR(IF(ISNUMBER($T120),$T120,DATEVALUE(TRIM($T120))),""))</f>
        <v/>
      </c>
      <c r="AR120">
        <f>IF($AQ120="","",IF(MONTH($AQ120)&gt;=12,"Cold Winter",IF(MONTH($AQ120)&gt;=10,"Post-Monsoon",IF(MONTH($AQ120)&gt;=6,"Hot Humid",IF(MONTH($AQ120)&gt;=3,"Hot Dry","Cold Winter")))))</f>
        <v/>
      </c>
      <c r="AS120">
        <f>IF($AL120="","",IFERROR(VLOOKUP($AL120,DECODE!$A$3:$C$8,2,FALSE),"?"))</f>
        <v/>
      </c>
      <c r="AT120">
        <f>IF($O120="","",UPPER(TRIM(LEFT($O120&amp;",",FIND(",",$O120&amp;",")-1))))</f>
        <v/>
      </c>
      <c r="AU120">
        <f>IF($AT120="","",MID($AT120,4,FIND("~",SUBSTITUTE($AT120,"-","~",2))-4))</f>
        <v/>
      </c>
      <c r="AV120">
        <f>IF($AT120="","",MID($AT120,FIND("~",SUBSTITUTE($AT120,"-","~",2))+1,FIND("~",SUBSTITUTE($AT120,"-","~",3))-FIND("~",SUBSTITUTE($AT120,"-","~",2))-1))</f>
        <v/>
      </c>
      <c r="AW120">
        <f>IF($AU120="","",IFERROR(VLOOKUP($AU120,DECODE!$A$3:$C$8,3,FALSE),"?"))</f>
        <v/>
      </c>
      <c r="AX120">
        <f>IF($AV120="","",IFERROR(VLOOKUP($AU120&amp;"-"&amp;$AV120,DECODE!$E$3:$F$21,2,FALSE),"?"))</f>
        <v/>
      </c>
      <c r="AY120">
        <f>IF($AT120="","",IFERROR(VALUE(RIGHT($AT120,3)),""))</f>
        <v/>
      </c>
      <c r="AZ120">
        <f>IF($U120="","",IFERROR(IF(ISNUMBER($U120),$U120,DATEVALUE(TRIM($U120))),""))</f>
        <v/>
      </c>
      <c r="BA120">
        <f>IF($AZ120="","",IF(MONTH($AZ120)&gt;=12,"Cold Winter",IF(MONTH($AZ120)&gt;=10,"Post-Monsoon",IF(MONTH($AZ120)&gt;=6,"Hot Humid",IF(MONTH($AZ120)&gt;=3,"Hot Dry","Cold Winter")))))</f>
        <v/>
      </c>
      <c r="BB120">
        <f>IF($AU120="","",IFERROR(VLOOKUP($AU120,DECODE!$A$3:$C$8,2,FALSE),"?"))</f>
        <v/>
      </c>
      <c r="BC120">
        <f>IF($P120="","",UPPER(TRIM(LEFT($P120&amp;",",FIND(",",$P120&amp;",")-1))))</f>
        <v/>
      </c>
      <c r="BD120">
        <f>IF($BC120="","",MID($BC120,4,FIND("~",SUBSTITUTE($BC120,"-","~",2))-4))</f>
        <v/>
      </c>
      <c r="BE120">
        <f>IF($BC120="","",MID($BC120,FIND("~",SUBSTITUTE($BC120,"-","~",2))+1,FIND("~",SUBSTITUTE($BC120,"-","~",3))-FIND("~",SUBSTITUTE($BC120,"-","~",2))-1))</f>
        <v/>
      </c>
      <c r="BF120">
        <f>IF($BD120="","",IFERROR(VLOOKUP($BD120,DECODE!$A$3:$C$8,3,FALSE),"?"))</f>
        <v/>
      </c>
      <c r="BG120">
        <f>IF($BE120="","",IFERROR(VLOOKUP($BD120&amp;"-"&amp;$BE120,DECODE!$E$3:$F$21,2,FALSE),"?"))</f>
        <v/>
      </c>
      <c r="BH120">
        <f>IF($BC120="","",IFERROR(VALUE(RIGHT($BC120,3)),""))</f>
        <v/>
      </c>
      <c r="BI120">
        <f>IF($V120="","",IFERROR(IF(ISNUMBER($V120),$V120,DATEVALUE(TRIM($V120))),""))</f>
        <v/>
      </c>
      <c r="BJ120">
        <f>IF($BI120="","",IF(MONTH($BI120)&gt;=12,"Cold Winter",IF(MONTH($BI120)&gt;=10,"Post-Monsoon",IF(MONTH($BI120)&gt;=6,"Hot Humid",IF(MONTH($BI120)&gt;=3,"Hot Dry","Cold Winter")))))</f>
        <v/>
      </c>
      <c r="BK120">
        <f>IF($BD120="","",IFERROR(VLOOKUP($BD120,DECODE!$A$3:$C$8,2,FALSE),"?"))</f>
        <v/>
      </c>
      <c r="BL120">
        <f>IF($Q120="","",UPPER(TRIM(LEFT($Q120&amp;",",FIND(",",$Q120&amp;",")-1))))</f>
        <v/>
      </c>
      <c r="BM120">
        <f>IF($BL120="","",MID($BL120,4,FIND("~",SUBSTITUTE($BL120,"-","~",2))-4))</f>
        <v/>
      </c>
      <c r="BN120">
        <f>IF($BL120="","",MID($BL120,FIND("~",SUBSTITUTE($BL120,"-","~",2))+1,FIND("~",SUBSTITUTE($BL120,"-","~",3))-FIND("~",SUBSTITUTE($BL120,"-","~",2))-1))</f>
        <v/>
      </c>
      <c r="BO120">
        <f>IF($BM120="","",IFERROR(VLOOKUP($BM120,DECODE!$A$3:$C$8,3,FALSE),"?"))</f>
        <v/>
      </c>
      <c r="BP120">
        <f>IF($BN120="","",IFERROR(VLOOKUP($BM120&amp;"-"&amp;$BN120,DECODE!$E$3:$F$21,2,FALSE),"?"))</f>
        <v/>
      </c>
      <c r="BQ120">
        <f>IF($BL120="","",IFERROR(VALUE(RIGHT($BL120,3)),""))</f>
        <v/>
      </c>
      <c r="BR120">
        <f>IF($W120="","",IFERROR(IF(ISNUMBER($W120),$W120,DATEVALUE(TRIM($W120))),""))</f>
        <v/>
      </c>
      <c r="BS120">
        <f>IF($BR120="","",IF(MONTH($BR120)&gt;=12,"Cold Winter",IF(MONTH($BR120)&gt;=10,"Post-Monsoon",IF(MONTH($BR120)&gt;=6,"Hot Humid",IF(MONTH($BR120)&gt;=3,"Hot Dry","Cold Winter")))))</f>
        <v/>
      </c>
      <c r="BT120">
        <f>IF($BM120="","",IFERROR(VLOOKUP($BM120,DECODE!$A$3:$C$8,2,FALSE),"?"))</f>
        <v/>
      </c>
      <c r="BU120">
        <f>IF($R120="","",UPPER(TRIM(LEFT($R120&amp;",",FIND(",",$R120&amp;",")-1))))</f>
        <v/>
      </c>
      <c r="BV120">
        <f>IF($BU120="","",MID($BU120,4,FIND("~",SUBSTITUTE($BU120,"-","~",2))-4))</f>
        <v/>
      </c>
      <c r="BW120">
        <f>IF($BU120="","",MID($BU120,FIND("~",SUBSTITUTE($BU120,"-","~",2))+1,FIND("~",SUBSTITUTE($BU120,"-","~",3))-FIND("~",SUBSTITUTE($BU120,"-","~",2))-1))</f>
        <v/>
      </c>
      <c r="BX120">
        <f>IF($BV120="","",IFERROR(VLOOKUP($BV120,DECODE!$A$3:$C$8,3,FALSE),"?"))</f>
        <v/>
      </c>
      <c r="BY120">
        <f>IF($BW120="","",IFERROR(VLOOKUP($BV120&amp;"-"&amp;$BW120,DECODE!$E$3:$F$21,2,FALSE),"?"))</f>
        <v/>
      </c>
      <c r="BZ120">
        <f>IF($BU120="","",IFERROR(VALUE(RIGHT($BU120,3)),""))</f>
        <v/>
      </c>
      <c r="CA120">
        <f>IF($X120="","",IFERROR(IF(ISNUMBER($X120),$X120,DATEVALUE(TRIM($X120))),""))</f>
        <v/>
      </c>
      <c r="CB120">
        <f>IF($CA120="","",IF(MONTH($CA120)&gt;=12,"Cold Winter",IF(MONTH($CA120)&gt;=10,"Post-Monsoon",IF(MONTH($CA120)&gt;=6,"Hot Humid",IF(MONTH($CA120)&gt;=3,"Hot Dry","Cold Winter")))))</f>
        <v/>
      </c>
      <c r="CC120">
        <f>IF($BV120="","",IFERROR(VLOOKUP($BV120,DECODE!$A$3:$C$8,2,FALSE),"?"))</f>
        <v/>
      </c>
      <c r="CD120">
        <f>IF($S120="","",UPPER(TRIM(LEFT($S120&amp;",",FIND(",",$S120&amp;",")-1))))</f>
        <v/>
      </c>
      <c r="CE120">
        <f>IF($CD120="","",MID($CD120,4,FIND("~",SUBSTITUTE($CD120,"-","~",2))-4))</f>
        <v/>
      </c>
      <c r="CF120">
        <f>IF($CD120="","",MID($CD120,FIND("~",SUBSTITUTE($CD120,"-","~",2))+1,FIND("~",SUBSTITUTE($CD120,"-","~",3))-FIND("~",SUBSTITUTE($CD120,"-","~",2))-1))</f>
        <v/>
      </c>
      <c r="CG120">
        <f>IF($CE120="","",IFERROR(VLOOKUP($CE120,DECODE!$A$3:$C$8,3,FALSE),"?"))</f>
        <v/>
      </c>
      <c r="CH120">
        <f>IF($CF120="","",IFERROR(VLOOKUP($CE120&amp;"-"&amp;$CF120,DECODE!$E$3:$F$21,2,FALSE),"?"))</f>
        <v/>
      </c>
      <c r="CI120">
        <f>IF($CD120="","",IFERROR(VALUE(RIGHT($CD120,3)),""))</f>
        <v/>
      </c>
      <c r="CJ120">
        <f>IF($Y120="","",IFERROR(IF(ISNUMBER($Y120),$Y120,DATEVALUE(TRIM($Y120))),""))</f>
        <v/>
      </c>
      <c r="CK120">
        <f>IF($CJ120="","",IF(MONTH($CJ120)&gt;=12,"Cold Winter",IF(MONTH($CJ120)&gt;=10,"Post-Monsoon",IF(MONTH($CJ120)&gt;=6,"Hot Humid",IF(MONTH($CJ120)&gt;=3,"Hot Dry","Cold Winter")))))</f>
        <v/>
      </c>
      <c r="CL120">
        <f>IF($CE120="","",IFERROR(VLOOKUP($CE120,DECODE!$A$3:$C$8,2,FALSE),"?"))</f>
        <v/>
      </c>
      <c r="CM120">
        <f>IF($AN120="","",AN120)</f>
        <v/>
      </c>
      <c r="CN120">
        <f>IF($AO120="","",AO120)</f>
        <v/>
      </c>
      <c r="CO120">
        <f>IF($AP120="","",AP120)</f>
        <v/>
      </c>
      <c r="CP120">
        <f>IF($CM120="","",IF($CM120="Aloe Vera Gel","Aloe Vera Gel "&amp;$CO120&amp;"g",CN120&amp;" "&amp;$CO120&amp;"g"))</f>
        <v/>
      </c>
      <c r="CQ120">
        <f>IF($AT120="",0,1)</f>
        <v/>
      </c>
      <c r="CR120">
        <f>IF($CQ120=0,"",AW120)</f>
        <v/>
      </c>
      <c r="CS120">
        <f>IF($CQ120=0,"",AX120)</f>
        <v/>
      </c>
      <c r="CT120">
        <f>IF($CQ120=0,"",AY120)</f>
        <v/>
      </c>
      <c r="CU120">
        <f>IF($CR120="","",IF($CR120="Aloe Vera Gel","Aloe Vera Gel "&amp;$CT120&amp;"g",CS120&amp;" "&amp;$CT120&amp;"g"))</f>
        <v/>
      </c>
      <c r="CV120">
        <f>IF($CQ120=0,"",IF($CP120=$CU120,"Repeat Exact",IF($CT120&gt;$CO120,"Upsized",IF($CT120&lt;$CO120,"Downsized",IF($CM120&lt;&gt;$CR120,"Lateral","Same Size Diff Variant")))))</f>
        <v/>
      </c>
      <c r="CW120">
        <f>IF($CQ120=0,"",AZ120-AQ120)</f>
        <v/>
      </c>
      <c r="CX120">
        <f>IF($CQ120=0,0,IF(CS120=CN120,1,0))</f>
        <v/>
      </c>
      <c r="CY120">
        <f>IF($CQ120=0,0,IF(CR120=CM120,1,0))</f>
        <v/>
      </c>
      <c r="CZ120">
        <f>IF($A120="","",IF(AND(IF(DASHBOARD!$C$4="All",TRUE,$CM120=DASHBOARD!$C$4),IF(DASHBOARD!$C$6="All",TRUE,$CP120=DASHBOARD!$C$6),IF(DASHBOARD!$C$8="All",TRUE,$AF120&gt;=DASHBOARD!$C$8),IF(DASHBOARD!$C$10="All",TRUE,$AF120&lt;=DASHBOARD!$C$10),IF(DASHBOARD!$C$12="All",TRUE,$AH120=VALUE(DASHBOARD!$C$12)),IF(DASHBOARD!$C$14="All",TRUE,$AJ120=DASHBOARD!$C$14)),1,0))</f>
        <v/>
      </c>
    </row>
    <row r="121">
      <c r="A121" t="n">
        <v>104602</v>
      </c>
      <c r="B121" t="inlineStr">
        <is>
          <t>Aloe Vera Gel</t>
        </is>
      </c>
      <c r="H121" t="inlineStr">
        <is>
          <t>Aloe Vera Gel - 40 gms</t>
        </is>
      </c>
      <c r="N121" t="inlineStr">
        <is>
          <t>FC-HG-PA-040</t>
        </is>
      </c>
      <c r="T121" t="inlineStr">
        <is>
          <t>Jun 30, 2024</t>
        </is>
      </c>
      <c r="AE121" t="inlineStr">
        <is>
          <t>Chennai</t>
        </is>
      </c>
      <c r="AF121" t="inlineStr">
        <is>
          <t>2024-06</t>
        </is>
      </c>
      <c r="AG121" t="n">
        <v>6</v>
      </c>
      <c r="AH121" t="n">
        <v>1</v>
      </c>
      <c r="AI121" t="n">
        <v>0</v>
      </c>
      <c r="AJ121">
        <f>IF($AE121="","",IFERROR(VLOOKUP(TRIM($AE121),DECODE!$H$3:$I$60,2,FALSE),"Rest of India"))</f>
        <v/>
      </c>
      <c r="AK121">
        <f>IF($N121="","",UPPER(TRIM(LEFT($N121&amp;",",FIND(",",$N121&amp;",")-1))))</f>
        <v/>
      </c>
      <c r="AL121">
        <f>IF($AK121="","",MID($AK121,4,FIND("~",SUBSTITUTE($AK121,"-","~",2))-4))</f>
        <v/>
      </c>
      <c r="AM121">
        <f>IF($AK121="","",MID($AK121,FIND("~",SUBSTITUTE($AK121,"-","~",2))+1,FIND("~",SUBSTITUTE($AK121,"-","~",3))-FIND("~",SUBSTITUTE($AK121,"-","~",2))-1))</f>
        <v/>
      </c>
      <c r="AN121">
        <f>IF($AL121="","",IFERROR(VLOOKUP($AL121,DECODE!$A$3:$C$8,3,FALSE),"?"))</f>
        <v/>
      </c>
      <c r="AO121">
        <f>IF($AM121="","",IFERROR(VLOOKUP($AL121&amp;"-"&amp;$AM121,DECODE!$E$3:$F$21,2,FALSE),"?"))</f>
        <v/>
      </c>
      <c r="AP121">
        <f>IF($AK121="","",IFERROR(VALUE(RIGHT($AK121,3)),""))</f>
        <v/>
      </c>
      <c r="AQ121">
        <f>IF($T121="","",IFERROR(IF(ISNUMBER($T121),$T121,DATEVALUE(TRIM($T121))),""))</f>
        <v/>
      </c>
      <c r="AR121">
        <f>IF($AQ121="","",IF(MONTH($AQ121)&gt;=12,"Cold Winter",IF(MONTH($AQ121)&gt;=10,"Post-Monsoon",IF(MONTH($AQ121)&gt;=6,"Hot Humid",IF(MONTH($AQ121)&gt;=3,"Hot Dry","Cold Winter")))))</f>
        <v/>
      </c>
      <c r="AS121">
        <f>IF($AL121="","",IFERROR(VLOOKUP($AL121,DECODE!$A$3:$C$8,2,FALSE),"?"))</f>
        <v/>
      </c>
      <c r="AT121">
        <f>IF($O121="","",UPPER(TRIM(LEFT($O121&amp;",",FIND(",",$O121&amp;",")-1))))</f>
        <v/>
      </c>
      <c r="AU121">
        <f>IF($AT121="","",MID($AT121,4,FIND("~",SUBSTITUTE($AT121,"-","~",2))-4))</f>
        <v/>
      </c>
      <c r="AV121">
        <f>IF($AT121="","",MID($AT121,FIND("~",SUBSTITUTE($AT121,"-","~",2))+1,FIND("~",SUBSTITUTE($AT121,"-","~",3))-FIND("~",SUBSTITUTE($AT121,"-","~",2))-1))</f>
        <v/>
      </c>
      <c r="AW121">
        <f>IF($AU121="","",IFERROR(VLOOKUP($AU121,DECODE!$A$3:$C$8,3,FALSE),"?"))</f>
        <v/>
      </c>
      <c r="AX121">
        <f>IF($AV121="","",IFERROR(VLOOKUP($AU121&amp;"-"&amp;$AV121,DECODE!$E$3:$F$21,2,FALSE),"?"))</f>
        <v/>
      </c>
      <c r="AY121">
        <f>IF($AT121="","",IFERROR(VALUE(RIGHT($AT121,3)),""))</f>
        <v/>
      </c>
      <c r="AZ121">
        <f>IF($U121="","",IFERROR(IF(ISNUMBER($U121),$U121,DATEVALUE(TRIM($U121))),""))</f>
        <v/>
      </c>
      <c r="BA121">
        <f>IF($AZ121="","",IF(MONTH($AZ121)&gt;=12,"Cold Winter",IF(MONTH($AZ121)&gt;=10,"Post-Monsoon",IF(MONTH($AZ121)&gt;=6,"Hot Humid",IF(MONTH($AZ121)&gt;=3,"Hot Dry","Cold Winter")))))</f>
        <v/>
      </c>
      <c r="BB121">
        <f>IF($AU121="","",IFERROR(VLOOKUP($AU121,DECODE!$A$3:$C$8,2,FALSE),"?"))</f>
        <v/>
      </c>
      <c r="BC121">
        <f>IF($P121="","",UPPER(TRIM(LEFT($P121&amp;",",FIND(",",$P121&amp;",")-1))))</f>
        <v/>
      </c>
      <c r="BD121">
        <f>IF($BC121="","",MID($BC121,4,FIND("~",SUBSTITUTE($BC121,"-","~",2))-4))</f>
        <v/>
      </c>
      <c r="BE121">
        <f>IF($BC121="","",MID($BC121,FIND("~",SUBSTITUTE($BC121,"-","~",2))+1,FIND("~",SUBSTITUTE($BC121,"-","~",3))-FIND("~",SUBSTITUTE($BC121,"-","~",2))-1))</f>
        <v/>
      </c>
      <c r="BF121">
        <f>IF($BD121="","",IFERROR(VLOOKUP($BD121,DECODE!$A$3:$C$8,3,FALSE),"?"))</f>
        <v/>
      </c>
      <c r="BG121">
        <f>IF($BE121="","",IFERROR(VLOOKUP($BD121&amp;"-"&amp;$BE121,DECODE!$E$3:$F$21,2,FALSE),"?"))</f>
        <v/>
      </c>
      <c r="BH121">
        <f>IF($BC121="","",IFERROR(VALUE(RIGHT($BC121,3)),""))</f>
        <v/>
      </c>
      <c r="BI121">
        <f>IF($V121="","",IFERROR(IF(ISNUMBER($V121),$V121,DATEVALUE(TRIM($V121))),""))</f>
        <v/>
      </c>
      <c r="BJ121">
        <f>IF($BI121="","",IF(MONTH($BI121)&gt;=12,"Cold Winter",IF(MONTH($BI121)&gt;=10,"Post-Monsoon",IF(MONTH($BI121)&gt;=6,"Hot Humid",IF(MONTH($BI121)&gt;=3,"Hot Dry","Cold Winter")))))</f>
        <v/>
      </c>
      <c r="BK121">
        <f>IF($BD121="","",IFERROR(VLOOKUP($BD121,DECODE!$A$3:$C$8,2,FALSE),"?"))</f>
        <v/>
      </c>
      <c r="BL121">
        <f>IF($Q121="","",UPPER(TRIM(LEFT($Q121&amp;",",FIND(",",$Q121&amp;",")-1))))</f>
        <v/>
      </c>
      <c r="BM121">
        <f>IF($BL121="","",MID($BL121,4,FIND("~",SUBSTITUTE($BL121,"-","~",2))-4))</f>
        <v/>
      </c>
      <c r="BN121">
        <f>IF($BL121="","",MID($BL121,FIND("~",SUBSTITUTE($BL121,"-","~",2))+1,FIND("~",SUBSTITUTE($BL121,"-","~",3))-FIND("~",SUBSTITUTE($BL121,"-","~",2))-1))</f>
        <v/>
      </c>
      <c r="BO121">
        <f>IF($BM121="","",IFERROR(VLOOKUP($BM121,DECODE!$A$3:$C$8,3,FALSE),"?"))</f>
        <v/>
      </c>
      <c r="BP121">
        <f>IF($BN121="","",IFERROR(VLOOKUP($BM121&amp;"-"&amp;$BN121,DECODE!$E$3:$F$21,2,FALSE),"?"))</f>
        <v/>
      </c>
      <c r="BQ121">
        <f>IF($BL121="","",IFERROR(VALUE(RIGHT($BL121,3)),""))</f>
        <v/>
      </c>
      <c r="BR121">
        <f>IF($W121="","",IFERROR(IF(ISNUMBER($W121),$W121,DATEVALUE(TRIM($W121))),""))</f>
        <v/>
      </c>
      <c r="BS121">
        <f>IF($BR121="","",IF(MONTH($BR121)&gt;=12,"Cold Winter",IF(MONTH($BR121)&gt;=10,"Post-Monsoon",IF(MONTH($BR121)&gt;=6,"Hot Humid",IF(MONTH($BR121)&gt;=3,"Hot Dry","Cold Winter")))))</f>
        <v/>
      </c>
      <c r="BT121">
        <f>IF($BM121="","",IFERROR(VLOOKUP($BM121,DECODE!$A$3:$C$8,2,FALSE),"?"))</f>
        <v/>
      </c>
      <c r="BU121">
        <f>IF($R121="","",UPPER(TRIM(LEFT($R121&amp;",",FIND(",",$R121&amp;",")-1))))</f>
        <v/>
      </c>
      <c r="BV121">
        <f>IF($BU121="","",MID($BU121,4,FIND("~",SUBSTITUTE($BU121,"-","~",2))-4))</f>
        <v/>
      </c>
      <c r="BW121">
        <f>IF($BU121="","",MID($BU121,FIND("~",SUBSTITUTE($BU121,"-","~",2))+1,FIND("~",SUBSTITUTE($BU121,"-","~",3))-FIND("~",SUBSTITUTE($BU121,"-","~",2))-1))</f>
        <v/>
      </c>
      <c r="BX121">
        <f>IF($BV121="","",IFERROR(VLOOKUP($BV121,DECODE!$A$3:$C$8,3,FALSE),"?"))</f>
        <v/>
      </c>
      <c r="BY121">
        <f>IF($BW121="","",IFERROR(VLOOKUP($BV121&amp;"-"&amp;$BW121,DECODE!$E$3:$F$21,2,FALSE),"?"))</f>
        <v/>
      </c>
      <c r="BZ121">
        <f>IF($BU121="","",IFERROR(VALUE(RIGHT($BU121,3)),""))</f>
        <v/>
      </c>
      <c r="CA121">
        <f>IF($X121="","",IFERROR(IF(ISNUMBER($X121),$X121,DATEVALUE(TRIM($X121))),""))</f>
        <v/>
      </c>
      <c r="CB121">
        <f>IF($CA121="","",IF(MONTH($CA121)&gt;=12,"Cold Winter",IF(MONTH($CA121)&gt;=10,"Post-Monsoon",IF(MONTH($CA121)&gt;=6,"Hot Humid",IF(MONTH($CA121)&gt;=3,"Hot Dry","Cold Winter")))))</f>
        <v/>
      </c>
      <c r="CC121">
        <f>IF($BV121="","",IFERROR(VLOOKUP($BV121,DECODE!$A$3:$C$8,2,FALSE),"?"))</f>
        <v/>
      </c>
      <c r="CD121">
        <f>IF($S121="","",UPPER(TRIM(LEFT($S121&amp;",",FIND(",",$S121&amp;",")-1))))</f>
        <v/>
      </c>
      <c r="CE121">
        <f>IF($CD121="","",MID($CD121,4,FIND("~",SUBSTITUTE($CD121,"-","~",2))-4))</f>
        <v/>
      </c>
      <c r="CF121">
        <f>IF($CD121="","",MID($CD121,FIND("~",SUBSTITUTE($CD121,"-","~",2))+1,FIND("~",SUBSTITUTE($CD121,"-","~",3))-FIND("~",SUBSTITUTE($CD121,"-","~",2))-1))</f>
        <v/>
      </c>
      <c r="CG121">
        <f>IF($CE121="","",IFERROR(VLOOKUP($CE121,DECODE!$A$3:$C$8,3,FALSE),"?"))</f>
        <v/>
      </c>
      <c r="CH121">
        <f>IF($CF121="","",IFERROR(VLOOKUP($CE121&amp;"-"&amp;$CF121,DECODE!$E$3:$F$21,2,FALSE),"?"))</f>
        <v/>
      </c>
      <c r="CI121">
        <f>IF($CD121="","",IFERROR(VALUE(RIGHT($CD121,3)),""))</f>
        <v/>
      </c>
      <c r="CJ121">
        <f>IF($Y121="","",IFERROR(IF(ISNUMBER($Y121),$Y121,DATEVALUE(TRIM($Y121))),""))</f>
        <v/>
      </c>
      <c r="CK121">
        <f>IF($CJ121="","",IF(MONTH($CJ121)&gt;=12,"Cold Winter",IF(MONTH($CJ121)&gt;=10,"Post-Monsoon",IF(MONTH($CJ121)&gt;=6,"Hot Humid",IF(MONTH($CJ121)&gt;=3,"Hot Dry","Cold Winter")))))</f>
        <v/>
      </c>
      <c r="CL121">
        <f>IF($CE121="","",IFERROR(VLOOKUP($CE121,DECODE!$A$3:$C$8,2,FALSE),"?"))</f>
        <v/>
      </c>
      <c r="CM121">
        <f>IF($AN121="","",AN121)</f>
        <v/>
      </c>
      <c r="CN121">
        <f>IF($AO121="","",AO121)</f>
        <v/>
      </c>
      <c r="CO121">
        <f>IF($AP121="","",AP121)</f>
        <v/>
      </c>
      <c r="CP121">
        <f>IF($CM121="","",IF($CM121="Aloe Vera Gel","Aloe Vera Gel "&amp;$CO121&amp;"g",CN121&amp;" "&amp;$CO121&amp;"g"))</f>
        <v/>
      </c>
      <c r="CQ121">
        <f>IF($AT121="",0,1)</f>
        <v/>
      </c>
      <c r="CR121">
        <f>IF($CQ121=0,"",AW121)</f>
        <v/>
      </c>
      <c r="CS121">
        <f>IF($CQ121=0,"",AX121)</f>
        <v/>
      </c>
      <c r="CT121">
        <f>IF($CQ121=0,"",AY121)</f>
        <v/>
      </c>
      <c r="CU121">
        <f>IF($CR121="","",IF($CR121="Aloe Vera Gel","Aloe Vera Gel "&amp;$CT121&amp;"g",CS121&amp;" "&amp;$CT121&amp;"g"))</f>
        <v/>
      </c>
      <c r="CV121">
        <f>IF($CQ121=0,"",IF($CP121=$CU121,"Repeat Exact",IF($CT121&gt;$CO121,"Upsized",IF($CT121&lt;$CO121,"Downsized",IF($CM121&lt;&gt;$CR121,"Lateral","Same Size Diff Variant")))))</f>
        <v/>
      </c>
      <c r="CW121">
        <f>IF($CQ121=0,"",AZ121-AQ121)</f>
        <v/>
      </c>
      <c r="CX121">
        <f>IF($CQ121=0,0,IF(CS121=CN121,1,0))</f>
        <v/>
      </c>
      <c r="CY121">
        <f>IF($CQ121=0,0,IF(CR121=CM121,1,0))</f>
        <v/>
      </c>
      <c r="CZ121">
        <f>IF($A121="","",IF(AND(IF(DASHBOARD!$C$4="All",TRUE,$CM121=DASHBOARD!$C$4),IF(DASHBOARD!$C$6="All",TRUE,$CP121=DASHBOARD!$C$6),IF(DASHBOARD!$C$8="All",TRUE,$AF121&gt;=DASHBOARD!$C$8),IF(DASHBOARD!$C$10="All",TRUE,$AF121&lt;=DASHBOARD!$C$10),IF(DASHBOARD!$C$12="All",TRUE,$AH121=VALUE(DASHBOARD!$C$12)),IF(DASHBOARD!$C$14="All",TRUE,$AJ121=DASHBOARD!$C$14)),1,0))</f>
        <v/>
      </c>
    </row>
    <row r="122">
      <c r="A122" t="n">
        <v>104671</v>
      </c>
      <c r="B122" t="inlineStr">
        <is>
          <t>Aloe Vera Gel</t>
        </is>
      </c>
      <c r="C122" t="inlineStr">
        <is>
          <t>Face Malai</t>
        </is>
      </c>
      <c r="H122" t="inlineStr">
        <is>
          <t>Aloe Vera Gel - 40 gms</t>
        </is>
      </c>
      <c r="I122" t="inlineStr">
        <is>
          <t>Flax Carrot (Hot Humid) 35+ Face Malai - 30g</t>
        </is>
      </c>
      <c r="N122" t="inlineStr">
        <is>
          <t>FC-HG-PA-040</t>
        </is>
      </c>
      <c r="O122" t="inlineStr">
        <is>
          <t>FC-HHDM-FC-030</t>
        </is>
      </c>
      <c r="T122" t="inlineStr">
        <is>
          <t>Oct 4, 2024</t>
        </is>
      </c>
      <c r="U122" t="inlineStr">
        <is>
          <t>Jun 13, 2025</t>
        </is>
      </c>
      <c r="Z122" t="n">
        <v>252</v>
      </c>
      <c r="AE122" t="inlineStr">
        <is>
          <t>Baramati</t>
        </is>
      </c>
      <c r="AF122" t="inlineStr">
        <is>
          <t>2024-10</t>
        </is>
      </c>
      <c r="AG122" t="n">
        <v>10</v>
      </c>
      <c r="AH122" t="n">
        <v>2</v>
      </c>
      <c r="AI122" t="n">
        <v>1</v>
      </c>
      <c r="AJ122">
        <f>IF($AE122="","",IFERROR(VLOOKUP(TRIM($AE122),DECODE!$H$3:$I$60,2,FALSE),"Rest of India"))</f>
        <v/>
      </c>
      <c r="AK122">
        <f>IF($N122="","",UPPER(TRIM(LEFT($N122&amp;",",FIND(",",$N122&amp;",")-1))))</f>
        <v/>
      </c>
      <c r="AL122">
        <f>IF($AK122="","",MID($AK122,4,FIND("~",SUBSTITUTE($AK122,"-","~",2))-4))</f>
        <v/>
      </c>
      <c r="AM122">
        <f>IF($AK122="","",MID($AK122,FIND("~",SUBSTITUTE($AK122,"-","~",2))+1,FIND("~",SUBSTITUTE($AK122,"-","~",3))-FIND("~",SUBSTITUTE($AK122,"-","~",2))-1))</f>
        <v/>
      </c>
      <c r="AN122">
        <f>IF($AL122="","",IFERROR(VLOOKUP($AL122,DECODE!$A$3:$C$8,3,FALSE),"?"))</f>
        <v/>
      </c>
      <c r="AO122">
        <f>IF($AM122="","",IFERROR(VLOOKUP($AL122&amp;"-"&amp;$AM122,DECODE!$E$3:$F$21,2,FALSE),"?"))</f>
        <v/>
      </c>
      <c r="AP122">
        <f>IF($AK122="","",IFERROR(VALUE(RIGHT($AK122,3)),""))</f>
        <v/>
      </c>
      <c r="AQ122">
        <f>IF($T122="","",IFERROR(IF(ISNUMBER($T122),$T122,DATEVALUE(TRIM($T122))),""))</f>
        <v/>
      </c>
      <c r="AR122">
        <f>IF($AQ122="","",IF(MONTH($AQ122)&gt;=12,"Cold Winter",IF(MONTH($AQ122)&gt;=10,"Post-Monsoon",IF(MONTH($AQ122)&gt;=6,"Hot Humid",IF(MONTH($AQ122)&gt;=3,"Hot Dry","Cold Winter")))))</f>
        <v/>
      </c>
      <c r="AS122">
        <f>IF($AL122="","",IFERROR(VLOOKUP($AL122,DECODE!$A$3:$C$8,2,FALSE),"?"))</f>
        <v/>
      </c>
      <c r="AT122">
        <f>IF($O122="","",UPPER(TRIM(LEFT($O122&amp;",",FIND(",",$O122&amp;",")-1))))</f>
        <v/>
      </c>
      <c r="AU122">
        <f>IF($AT122="","",MID($AT122,4,FIND("~",SUBSTITUTE($AT122,"-","~",2))-4))</f>
        <v/>
      </c>
      <c r="AV122">
        <f>IF($AT122="","",MID($AT122,FIND("~",SUBSTITUTE($AT122,"-","~",2))+1,FIND("~",SUBSTITUTE($AT122,"-","~",3))-FIND("~",SUBSTITUTE($AT122,"-","~",2))-1))</f>
        <v/>
      </c>
      <c r="AW122">
        <f>IF($AU122="","",IFERROR(VLOOKUP($AU122,DECODE!$A$3:$C$8,3,FALSE),"?"))</f>
        <v/>
      </c>
      <c r="AX122">
        <f>IF($AV122="","",IFERROR(VLOOKUP($AU122&amp;"-"&amp;$AV122,DECODE!$E$3:$F$21,2,FALSE),"?"))</f>
        <v/>
      </c>
      <c r="AY122">
        <f>IF($AT122="","",IFERROR(VALUE(RIGHT($AT122,3)),""))</f>
        <v/>
      </c>
      <c r="AZ122">
        <f>IF($U122="","",IFERROR(IF(ISNUMBER($U122),$U122,DATEVALUE(TRIM($U122))),""))</f>
        <v/>
      </c>
      <c r="BA122">
        <f>IF($AZ122="","",IF(MONTH($AZ122)&gt;=12,"Cold Winter",IF(MONTH($AZ122)&gt;=10,"Post-Monsoon",IF(MONTH($AZ122)&gt;=6,"Hot Humid",IF(MONTH($AZ122)&gt;=3,"Hot Dry","Cold Winter")))))</f>
        <v/>
      </c>
      <c r="BB122">
        <f>IF($AU122="","",IFERROR(VLOOKUP($AU122,DECODE!$A$3:$C$8,2,FALSE),"?"))</f>
        <v/>
      </c>
      <c r="BC122">
        <f>IF($P122="","",UPPER(TRIM(LEFT($P122&amp;",",FIND(",",$P122&amp;",")-1))))</f>
        <v/>
      </c>
      <c r="BD122">
        <f>IF($BC122="","",MID($BC122,4,FIND("~",SUBSTITUTE($BC122,"-","~",2))-4))</f>
        <v/>
      </c>
      <c r="BE122">
        <f>IF($BC122="","",MID($BC122,FIND("~",SUBSTITUTE($BC122,"-","~",2))+1,FIND("~",SUBSTITUTE($BC122,"-","~",3))-FIND("~",SUBSTITUTE($BC122,"-","~",2))-1))</f>
        <v/>
      </c>
      <c r="BF122">
        <f>IF($BD122="","",IFERROR(VLOOKUP($BD122,DECODE!$A$3:$C$8,3,FALSE),"?"))</f>
        <v/>
      </c>
      <c r="BG122">
        <f>IF($BE122="","",IFERROR(VLOOKUP($BD122&amp;"-"&amp;$BE122,DECODE!$E$3:$F$21,2,FALSE),"?"))</f>
        <v/>
      </c>
      <c r="BH122">
        <f>IF($BC122="","",IFERROR(VALUE(RIGHT($BC122,3)),""))</f>
        <v/>
      </c>
      <c r="BI122">
        <f>IF($V122="","",IFERROR(IF(ISNUMBER($V122),$V122,DATEVALUE(TRIM($V122))),""))</f>
        <v/>
      </c>
      <c r="BJ122">
        <f>IF($BI122="","",IF(MONTH($BI122)&gt;=12,"Cold Winter",IF(MONTH($BI122)&gt;=10,"Post-Monsoon",IF(MONTH($BI122)&gt;=6,"Hot Humid",IF(MONTH($BI122)&gt;=3,"Hot Dry","Cold Winter")))))</f>
        <v/>
      </c>
      <c r="BK122">
        <f>IF($BD122="","",IFERROR(VLOOKUP($BD122,DECODE!$A$3:$C$8,2,FALSE),"?"))</f>
        <v/>
      </c>
      <c r="BL122">
        <f>IF($Q122="","",UPPER(TRIM(LEFT($Q122&amp;",",FIND(",",$Q122&amp;",")-1))))</f>
        <v/>
      </c>
      <c r="BM122">
        <f>IF($BL122="","",MID($BL122,4,FIND("~",SUBSTITUTE($BL122,"-","~",2))-4))</f>
        <v/>
      </c>
      <c r="BN122">
        <f>IF($BL122="","",MID($BL122,FIND("~",SUBSTITUTE($BL122,"-","~",2))+1,FIND("~",SUBSTITUTE($BL122,"-","~",3))-FIND("~",SUBSTITUTE($BL122,"-","~",2))-1))</f>
        <v/>
      </c>
      <c r="BO122">
        <f>IF($BM122="","",IFERROR(VLOOKUP($BM122,DECODE!$A$3:$C$8,3,FALSE),"?"))</f>
        <v/>
      </c>
      <c r="BP122">
        <f>IF($BN122="","",IFERROR(VLOOKUP($BM122&amp;"-"&amp;$BN122,DECODE!$E$3:$F$21,2,FALSE),"?"))</f>
        <v/>
      </c>
      <c r="BQ122">
        <f>IF($BL122="","",IFERROR(VALUE(RIGHT($BL122,3)),""))</f>
        <v/>
      </c>
      <c r="BR122">
        <f>IF($W122="","",IFERROR(IF(ISNUMBER($W122),$W122,DATEVALUE(TRIM($W122))),""))</f>
        <v/>
      </c>
      <c r="BS122">
        <f>IF($BR122="","",IF(MONTH($BR122)&gt;=12,"Cold Winter",IF(MONTH($BR122)&gt;=10,"Post-Monsoon",IF(MONTH($BR122)&gt;=6,"Hot Humid",IF(MONTH($BR122)&gt;=3,"Hot Dry","Cold Winter")))))</f>
        <v/>
      </c>
      <c r="BT122">
        <f>IF($BM122="","",IFERROR(VLOOKUP($BM122,DECODE!$A$3:$C$8,2,FALSE),"?"))</f>
        <v/>
      </c>
      <c r="BU122">
        <f>IF($R122="","",UPPER(TRIM(LEFT($R122&amp;",",FIND(",",$R122&amp;",")-1))))</f>
        <v/>
      </c>
      <c r="BV122">
        <f>IF($BU122="","",MID($BU122,4,FIND("~",SUBSTITUTE($BU122,"-","~",2))-4))</f>
        <v/>
      </c>
      <c r="BW122">
        <f>IF($BU122="","",MID($BU122,FIND("~",SUBSTITUTE($BU122,"-","~",2))+1,FIND("~",SUBSTITUTE($BU122,"-","~",3))-FIND("~",SUBSTITUTE($BU122,"-","~",2))-1))</f>
        <v/>
      </c>
      <c r="BX122">
        <f>IF($BV122="","",IFERROR(VLOOKUP($BV122,DECODE!$A$3:$C$8,3,FALSE),"?"))</f>
        <v/>
      </c>
      <c r="BY122">
        <f>IF($BW122="","",IFERROR(VLOOKUP($BV122&amp;"-"&amp;$BW122,DECODE!$E$3:$F$21,2,FALSE),"?"))</f>
        <v/>
      </c>
      <c r="BZ122">
        <f>IF($BU122="","",IFERROR(VALUE(RIGHT($BU122,3)),""))</f>
        <v/>
      </c>
      <c r="CA122">
        <f>IF($X122="","",IFERROR(IF(ISNUMBER($X122),$X122,DATEVALUE(TRIM($X122))),""))</f>
        <v/>
      </c>
      <c r="CB122">
        <f>IF($CA122="","",IF(MONTH($CA122)&gt;=12,"Cold Winter",IF(MONTH($CA122)&gt;=10,"Post-Monsoon",IF(MONTH($CA122)&gt;=6,"Hot Humid",IF(MONTH($CA122)&gt;=3,"Hot Dry","Cold Winter")))))</f>
        <v/>
      </c>
      <c r="CC122">
        <f>IF($BV122="","",IFERROR(VLOOKUP($BV122,DECODE!$A$3:$C$8,2,FALSE),"?"))</f>
        <v/>
      </c>
      <c r="CD122">
        <f>IF($S122="","",UPPER(TRIM(LEFT($S122&amp;",",FIND(",",$S122&amp;",")-1))))</f>
        <v/>
      </c>
      <c r="CE122">
        <f>IF($CD122="","",MID($CD122,4,FIND("~",SUBSTITUTE($CD122,"-","~",2))-4))</f>
        <v/>
      </c>
      <c r="CF122">
        <f>IF($CD122="","",MID($CD122,FIND("~",SUBSTITUTE($CD122,"-","~",2))+1,FIND("~",SUBSTITUTE($CD122,"-","~",3))-FIND("~",SUBSTITUTE($CD122,"-","~",2))-1))</f>
        <v/>
      </c>
      <c r="CG122">
        <f>IF($CE122="","",IFERROR(VLOOKUP($CE122,DECODE!$A$3:$C$8,3,FALSE),"?"))</f>
        <v/>
      </c>
      <c r="CH122">
        <f>IF($CF122="","",IFERROR(VLOOKUP($CE122&amp;"-"&amp;$CF122,DECODE!$E$3:$F$21,2,FALSE),"?"))</f>
        <v/>
      </c>
      <c r="CI122">
        <f>IF($CD122="","",IFERROR(VALUE(RIGHT($CD122,3)),""))</f>
        <v/>
      </c>
      <c r="CJ122">
        <f>IF($Y122="","",IFERROR(IF(ISNUMBER($Y122),$Y122,DATEVALUE(TRIM($Y122))),""))</f>
        <v/>
      </c>
      <c r="CK122">
        <f>IF($CJ122="","",IF(MONTH($CJ122)&gt;=12,"Cold Winter",IF(MONTH($CJ122)&gt;=10,"Post-Monsoon",IF(MONTH($CJ122)&gt;=6,"Hot Humid",IF(MONTH($CJ122)&gt;=3,"Hot Dry","Cold Winter")))))</f>
        <v/>
      </c>
      <c r="CL122">
        <f>IF($CE122="","",IFERROR(VLOOKUP($CE122,DECODE!$A$3:$C$8,2,FALSE),"?"))</f>
        <v/>
      </c>
      <c r="CM122">
        <f>IF($AN122="","",AN122)</f>
        <v/>
      </c>
      <c r="CN122">
        <f>IF($AO122="","",AO122)</f>
        <v/>
      </c>
      <c r="CO122">
        <f>IF($AP122="","",AP122)</f>
        <v/>
      </c>
      <c r="CP122">
        <f>IF($CM122="","",IF($CM122="Aloe Vera Gel","Aloe Vera Gel "&amp;$CO122&amp;"g",CN122&amp;" "&amp;$CO122&amp;"g"))</f>
        <v/>
      </c>
      <c r="CQ122">
        <f>IF($AT122="",0,1)</f>
        <v/>
      </c>
      <c r="CR122">
        <f>IF($CQ122=0,"",AW122)</f>
        <v/>
      </c>
      <c r="CS122">
        <f>IF($CQ122=0,"",AX122)</f>
        <v/>
      </c>
      <c r="CT122">
        <f>IF($CQ122=0,"",AY122)</f>
        <v/>
      </c>
      <c r="CU122">
        <f>IF($CR122="","",IF($CR122="Aloe Vera Gel","Aloe Vera Gel "&amp;$CT122&amp;"g",CS122&amp;" "&amp;$CT122&amp;"g"))</f>
        <v/>
      </c>
      <c r="CV122">
        <f>IF($CQ122=0,"",IF($CP122=$CU122,"Repeat Exact",IF($CT122&gt;$CO122,"Upsized",IF($CT122&lt;$CO122,"Downsized",IF($CM122&lt;&gt;$CR122,"Lateral","Same Size Diff Variant")))))</f>
        <v/>
      </c>
      <c r="CW122">
        <f>IF($CQ122=0,"",AZ122-AQ122)</f>
        <v/>
      </c>
      <c r="CX122">
        <f>IF($CQ122=0,0,IF(CS122=CN122,1,0))</f>
        <v/>
      </c>
      <c r="CY122">
        <f>IF($CQ122=0,0,IF(CR122=CM122,1,0))</f>
        <v/>
      </c>
      <c r="CZ122">
        <f>IF($A122="","",IF(AND(IF(DASHBOARD!$C$4="All",TRUE,$CM122=DASHBOARD!$C$4),IF(DASHBOARD!$C$6="All",TRUE,$CP122=DASHBOARD!$C$6),IF(DASHBOARD!$C$8="All",TRUE,$AF122&gt;=DASHBOARD!$C$8),IF(DASHBOARD!$C$10="All",TRUE,$AF122&lt;=DASHBOARD!$C$10),IF(DASHBOARD!$C$12="All",TRUE,$AH122=VALUE(DASHBOARD!$C$12)),IF(DASHBOARD!$C$14="All",TRUE,$AJ122=DASHBOARD!$C$14)),1,0))</f>
        <v/>
      </c>
    </row>
    <row r="123">
      <c r="A123" t="n">
        <v>105358</v>
      </c>
      <c r="B123" t="inlineStr">
        <is>
          <t>Aloe Vera Gel</t>
        </is>
      </c>
      <c r="H123" t="inlineStr">
        <is>
          <t>Aloe Vera Gel - 40 gms</t>
        </is>
      </c>
      <c r="N123" t="inlineStr">
        <is>
          <t>FC-HG-PA-040</t>
        </is>
      </c>
      <c r="T123" t="inlineStr">
        <is>
          <t>Mar 10, 2024</t>
        </is>
      </c>
      <c r="AE123" t="inlineStr">
        <is>
          <t>Sangareddy</t>
        </is>
      </c>
      <c r="AF123" t="inlineStr">
        <is>
          <t>2024-03</t>
        </is>
      </c>
      <c r="AG123" t="n">
        <v>3</v>
      </c>
      <c r="AH123" t="n">
        <v>1</v>
      </c>
      <c r="AI123" t="n">
        <v>0</v>
      </c>
      <c r="AJ123">
        <f>IF($AE123="","",IFERROR(VLOOKUP(TRIM($AE123),DECODE!$H$3:$I$60,2,FALSE),"Rest of India"))</f>
        <v/>
      </c>
      <c r="AK123">
        <f>IF($N123="","",UPPER(TRIM(LEFT($N123&amp;",",FIND(",",$N123&amp;",")-1))))</f>
        <v/>
      </c>
      <c r="AL123">
        <f>IF($AK123="","",MID($AK123,4,FIND("~",SUBSTITUTE($AK123,"-","~",2))-4))</f>
        <v/>
      </c>
      <c r="AM123">
        <f>IF($AK123="","",MID($AK123,FIND("~",SUBSTITUTE($AK123,"-","~",2))+1,FIND("~",SUBSTITUTE($AK123,"-","~",3))-FIND("~",SUBSTITUTE($AK123,"-","~",2))-1))</f>
        <v/>
      </c>
      <c r="AN123">
        <f>IF($AL123="","",IFERROR(VLOOKUP($AL123,DECODE!$A$3:$C$8,3,FALSE),"?"))</f>
        <v/>
      </c>
      <c r="AO123">
        <f>IF($AM123="","",IFERROR(VLOOKUP($AL123&amp;"-"&amp;$AM123,DECODE!$E$3:$F$21,2,FALSE),"?"))</f>
        <v/>
      </c>
      <c r="AP123">
        <f>IF($AK123="","",IFERROR(VALUE(RIGHT($AK123,3)),""))</f>
        <v/>
      </c>
      <c r="AQ123">
        <f>IF($T123="","",IFERROR(IF(ISNUMBER($T123),$T123,DATEVALUE(TRIM($T123))),""))</f>
        <v/>
      </c>
      <c r="AR123">
        <f>IF($AQ123="","",IF(MONTH($AQ123)&gt;=12,"Cold Winter",IF(MONTH($AQ123)&gt;=10,"Post-Monsoon",IF(MONTH($AQ123)&gt;=6,"Hot Humid",IF(MONTH($AQ123)&gt;=3,"Hot Dry","Cold Winter")))))</f>
        <v/>
      </c>
      <c r="AS123">
        <f>IF($AL123="","",IFERROR(VLOOKUP($AL123,DECODE!$A$3:$C$8,2,FALSE),"?"))</f>
        <v/>
      </c>
      <c r="AT123">
        <f>IF($O123="","",UPPER(TRIM(LEFT($O123&amp;",",FIND(",",$O123&amp;",")-1))))</f>
        <v/>
      </c>
      <c r="AU123">
        <f>IF($AT123="","",MID($AT123,4,FIND("~",SUBSTITUTE($AT123,"-","~",2))-4))</f>
        <v/>
      </c>
      <c r="AV123">
        <f>IF($AT123="","",MID($AT123,FIND("~",SUBSTITUTE($AT123,"-","~",2))+1,FIND("~",SUBSTITUTE($AT123,"-","~",3))-FIND("~",SUBSTITUTE($AT123,"-","~",2))-1))</f>
        <v/>
      </c>
      <c r="AW123">
        <f>IF($AU123="","",IFERROR(VLOOKUP($AU123,DECODE!$A$3:$C$8,3,FALSE),"?"))</f>
        <v/>
      </c>
      <c r="AX123">
        <f>IF($AV123="","",IFERROR(VLOOKUP($AU123&amp;"-"&amp;$AV123,DECODE!$E$3:$F$21,2,FALSE),"?"))</f>
        <v/>
      </c>
      <c r="AY123">
        <f>IF($AT123="","",IFERROR(VALUE(RIGHT($AT123,3)),""))</f>
        <v/>
      </c>
      <c r="AZ123">
        <f>IF($U123="","",IFERROR(IF(ISNUMBER($U123),$U123,DATEVALUE(TRIM($U123))),""))</f>
        <v/>
      </c>
      <c r="BA123">
        <f>IF($AZ123="","",IF(MONTH($AZ123)&gt;=12,"Cold Winter",IF(MONTH($AZ123)&gt;=10,"Post-Monsoon",IF(MONTH($AZ123)&gt;=6,"Hot Humid",IF(MONTH($AZ123)&gt;=3,"Hot Dry","Cold Winter")))))</f>
        <v/>
      </c>
      <c r="BB123">
        <f>IF($AU123="","",IFERROR(VLOOKUP($AU123,DECODE!$A$3:$C$8,2,FALSE),"?"))</f>
        <v/>
      </c>
      <c r="BC123">
        <f>IF($P123="","",UPPER(TRIM(LEFT($P123&amp;",",FIND(",",$P123&amp;",")-1))))</f>
        <v/>
      </c>
      <c r="BD123">
        <f>IF($BC123="","",MID($BC123,4,FIND("~",SUBSTITUTE($BC123,"-","~",2))-4))</f>
        <v/>
      </c>
      <c r="BE123">
        <f>IF($BC123="","",MID($BC123,FIND("~",SUBSTITUTE($BC123,"-","~",2))+1,FIND("~",SUBSTITUTE($BC123,"-","~",3))-FIND("~",SUBSTITUTE($BC123,"-","~",2))-1))</f>
        <v/>
      </c>
      <c r="BF123">
        <f>IF($BD123="","",IFERROR(VLOOKUP($BD123,DECODE!$A$3:$C$8,3,FALSE),"?"))</f>
        <v/>
      </c>
      <c r="BG123">
        <f>IF($BE123="","",IFERROR(VLOOKUP($BD123&amp;"-"&amp;$BE123,DECODE!$E$3:$F$21,2,FALSE),"?"))</f>
        <v/>
      </c>
      <c r="BH123">
        <f>IF($BC123="","",IFERROR(VALUE(RIGHT($BC123,3)),""))</f>
        <v/>
      </c>
      <c r="BI123">
        <f>IF($V123="","",IFERROR(IF(ISNUMBER($V123),$V123,DATEVALUE(TRIM($V123))),""))</f>
        <v/>
      </c>
      <c r="BJ123">
        <f>IF($BI123="","",IF(MONTH($BI123)&gt;=12,"Cold Winter",IF(MONTH($BI123)&gt;=10,"Post-Monsoon",IF(MONTH($BI123)&gt;=6,"Hot Humid",IF(MONTH($BI123)&gt;=3,"Hot Dry","Cold Winter")))))</f>
        <v/>
      </c>
      <c r="BK123">
        <f>IF($BD123="","",IFERROR(VLOOKUP($BD123,DECODE!$A$3:$C$8,2,FALSE),"?"))</f>
        <v/>
      </c>
      <c r="BL123">
        <f>IF($Q123="","",UPPER(TRIM(LEFT($Q123&amp;",",FIND(",",$Q123&amp;",")-1))))</f>
        <v/>
      </c>
      <c r="BM123">
        <f>IF($BL123="","",MID($BL123,4,FIND("~",SUBSTITUTE($BL123,"-","~",2))-4))</f>
        <v/>
      </c>
      <c r="BN123">
        <f>IF($BL123="","",MID($BL123,FIND("~",SUBSTITUTE($BL123,"-","~",2))+1,FIND("~",SUBSTITUTE($BL123,"-","~",3))-FIND("~",SUBSTITUTE($BL123,"-","~",2))-1))</f>
        <v/>
      </c>
      <c r="BO123">
        <f>IF($BM123="","",IFERROR(VLOOKUP($BM123,DECODE!$A$3:$C$8,3,FALSE),"?"))</f>
        <v/>
      </c>
      <c r="BP123">
        <f>IF($BN123="","",IFERROR(VLOOKUP($BM123&amp;"-"&amp;$BN123,DECODE!$E$3:$F$21,2,FALSE),"?"))</f>
        <v/>
      </c>
      <c r="BQ123">
        <f>IF($BL123="","",IFERROR(VALUE(RIGHT($BL123,3)),""))</f>
        <v/>
      </c>
      <c r="BR123">
        <f>IF($W123="","",IFERROR(IF(ISNUMBER($W123),$W123,DATEVALUE(TRIM($W123))),""))</f>
        <v/>
      </c>
      <c r="BS123">
        <f>IF($BR123="","",IF(MONTH($BR123)&gt;=12,"Cold Winter",IF(MONTH($BR123)&gt;=10,"Post-Monsoon",IF(MONTH($BR123)&gt;=6,"Hot Humid",IF(MONTH($BR123)&gt;=3,"Hot Dry","Cold Winter")))))</f>
        <v/>
      </c>
      <c r="BT123">
        <f>IF($BM123="","",IFERROR(VLOOKUP($BM123,DECODE!$A$3:$C$8,2,FALSE),"?"))</f>
        <v/>
      </c>
      <c r="BU123">
        <f>IF($R123="","",UPPER(TRIM(LEFT($R123&amp;",",FIND(",",$R123&amp;",")-1))))</f>
        <v/>
      </c>
      <c r="BV123">
        <f>IF($BU123="","",MID($BU123,4,FIND("~",SUBSTITUTE($BU123,"-","~",2))-4))</f>
        <v/>
      </c>
      <c r="BW123">
        <f>IF($BU123="","",MID($BU123,FIND("~",SUBSTITUTE($BU123,"-","~",2))+1,FIND("~",SUBSTITUTE($BU123,"-","~",3))-FIND("~",SUBSTITUTE($BU123,"-","~",2))-1))</f>
        <v/>
      </c>
      <c r="BX123">
        <f>IF($BV123="","",IFERROR(VLOOKUP($BV123,DECODE!$A$3:$C$8,3,FALSE),"?"))</f>
        <v/>
      </c>
      <c r="BY123">
        <f>IF($BW123="","",IFERROR(VLOOKUP($BV123&amp;"-"&amp;$BW123,DECODE!$E$3:$F$21,2,FALSE),"?"))</f>
        <v/>
      </c>
      <c r="BZ123">
        <f>IF($BU123="","",IFERROR(VALUE(RIGHT($BU123,3)),""))</f>
        <v/>
      </c>
      <c r="CA123">
        <f>IF($X123="","",IFERROR(IF(ISNUMBER($X123),$X123,DATEVALUE(TRIM($X123))),""))</f>
        <v/>
      </c>
      <c r="CB123">
        <f>IF($CA123="","",IF(MONTH($CA123)&gt;=12,"Cold Winter",IF(MONTH($CA123)&gt;=10,"Post-Monsoon",IF(MONTH($CA123)&gt;=6,"Hot Humid",IF(MONTH($CA123)&gt;=3,"Hot Dry","Cold Winter")))))</f>
        <v/>
      </c>
      <c r="CC123">
        <f>IF($BV123="","",IFERROR(VLOOKUP($BV123,DECODE!$A$3:$C$8,2,FALSE),"?"))</f>
        <v/>
      </c>
      <c r="CD123">
        <f>IF($S123="","",UPPER(TRIM(LEFT($S123&amp;",",FIND(",",$S123&amp;",")-1))))</f>
        <v/>
      </c>
      <c r="CE123">
        <f>IF($CD123="","",MID($CD123,4,FIND("~",SUBSTITUTE($CD123,"-","~",2))-4))</f>
        <v/>
      </c>
      <c r="CF123">
        <f>IF($CD123="","",MID($CD123,FIND("~",SUBSTITUTE($CD123,"-","~",2))+1,FIND("~",SUBSTITUTE($CD123,"-","~",3))-FIND("~",SUBSTITUTE($CD123,"-","~",2))-1))</f>
        <v/>
      </c>
      <c r="CG123">
        <f>IF($CE123="","",IFERROR(VLOOKUP($CE123,DECODE!$A$3:$C$8,3,FALSE),"?"))</f>
        <v/>
      </c>
      <c r="CH123">
        <f>IF($CF123="","",IFERROR(VLOOKUP($CE123&amp;"-"&amp;$CF123,DECODE!$E$3:$F$21,2,FALSE),"?"))</f>
        <v/>
      </c>
      <c r="CI123">
        <f>IF($CD123="","",IFERROR(VALUE(RIGHT($CD123,3)),""))</f>
        <v/>
      </c>
      <c r="CJ123">
        <f>IF($Y123="","",IFERROR(IF(ISNUMBER($Y123),$Y123,DATEVALUE(TRIM($Y123))),""))</f>
        <v/>
      </c>
      <c r="CK123">
        <f>IF($CJ123="","",IF(MONTH($CJ123)&gt;=12,"Cold Winter",IF(MONTH($CJ123)&gt;=10,"Post-Monsoon",IF(MONTH($CJ123)&gt;=6,"Hot Humid",IF(MONTH($CJ123)&gt;=3,"Hot Dry","Cold Winter")))))</f>
        <v/>
      </c>
      <c r="CL123">
        <f>IF($CE123="","",IFERROR(VLOOKUP($CE123,DECODE!$A$3:$C$8,2,FALSE),"?"))</f>
        <v/>
      </c>
      <c r="CM123">
        <f>IF($AN123="","",AN123)</f>
        <v/>
      </c>
      <c r="CN123">
        <f>IF($AO123="","",AO123)</f>
        <v/>
      </c>
      <c r="CO123">
        <f>IF($AP123="","",AP123)</f>
        <v/>
      </c>
      <c r="CP123">
        <f>IF($CM123="","",IF($CM123="Aloe Vera Gel","Aloe Vera Gel "&amp;$CO123&amp;"g",CN123&amp;" "&amp;$CO123&amp;"g"))</f>
        <v/>
      </c>
      <c r="CQ123">
        <f>IF($AT123="",0,1)</f>
        <v/>
      </c>
      <c r="CR123">
        <f>IF($CQ123=0,"",AW123)</f>
        <v/>
      </c>
      <c r="CS123">
        <f>IF($CQ123=0,"",AX123)</f>
        <v/>
      </c>
      <c r="CT123">
        <f>IF($CQ123=0,"",AY123)</f>
        <v/>
      </c>
      <c r="CU123">
        <f>IF($CR123="","",IF($CR123="Aloe Vera Gel","Aloe Vera Gel "&amp;$CT123&amp;"g",CS123&amp;" "&amp;$CT123&amp;"g"))</f>
        <v/>
      </c>
      <c r="CV123">
        <f>IF($CQ123=0,"",IF($CP123=$CU123,"Repeat Exact",IF($CT123&gt;$CO123,"Upsized",IF($CT123&lt;$CO123,"Downsized",IF($CM123&lt;&gt;$CR123,"Lateral","Same Size Diff Variant")))))</f>
        <v/>
      </c>
      <c r="CW123">
        <f>IF($CQ123=0,"",AZ123-AQ123)</f>
        <v/>
      </c>
      <c r="CX123">
        <f>IF($CQ123=0,0,IF(CS123=CN123,1,0))</f>
        <v/>
      </c>
      <c r="CY123">
        <f>IF($CQ123=0,0,IF(CR123=CM123,1,0))</f>
        <v/>
      </c>
      <c r="CZ123">
        <f>IF($A123="","",IF(AND(IF(DASHBOARD!$C$4="All",TRUE,$CM123=DASHBOARD!$C$4),IF(DASHBOARD!$C$6="All",TRUE,$CP123=DASHBOARD!$C$6),IF(DASHBOARD!$C$8="All",TRUE,$AF123&gt;=DASHBOARD!$C$8),IF(DASHBOARD!$C$10="All",TRUE,$AF123&lt;=DASHBOARD!$C$10),IF(DASHBOARD!$C$12="All",TRUE,$AH123=VALUE(DASHBOARD!$C$12)),IF(DASHBOARD!$C$14="All",TRUE,$AJ123=DASHBOARD!$C$14)),1,0))</f>
        <v/>
      </c>
    </row>
    <row r="124">
      <c r="A124" t="n">
        <v>105658</v>
      </c>
      <c r="B124" t="inlineStr">
        <is>
          <t>Aloe Vera Gel</t>
        </is>
      </c>
      <c r="H124" t="inlineStr">
        <is>
          <t>Aloe Vera Gel - 80 gms</t>
        </is>
      </c>
      <c r="N124" t="inlineStr">
        <is>
          <t>FC-HG-PA-080</t>
        </is>
      </c>
      <c r="T124" t="inlineStr">
        <is>
          <t>Oct 8, 2025</t>
        </is>
      </c>
      <c r="AE124" t="inlineStr">
        <is>
          <t>Thane</t>
        </is>
      </c>
      <c r="AF124" t="inlineStr">
        <is>
          <t>2025-10</t>
        </is>
      </c>
      <c r="AG124" t="n">
        <v>10</v>
      </c>
      <c r="AH124" t="n">
        <v>1</v>
      </c>
      <c r="AI124" t="n">
        <v>0</v>
      </c>
      <c r="AJ124">
        <f>IF($AE124="","",IFERROR(VLOOKUP(TRIM($AE124),DECODE!$H$3:$I$60,2,FALSE),"Rest of India"))</f>
        <v/>
      </c>
      <c r="AK124">
        <f>IF($N124="","",UPPER(TRIM(LEFT($N124&amp;",",FIND(",",$N124&amp;",")-1))))</f>
        <v/>
      </c>
      <c r="AL124">
        <f>IF($AK124="","",MID($AK124,4,FIND("~",SUBSTITUTE($AK124,"-","~",2))-4))</f>
        <v/>
      </c>
      <c r="AM124">
        <f>IF($AK124="","",MID($AK124,FIND("~",SUBSTITUTE($AK124,"-","~",2))+1,FIND("~",SUBSTITUTE($AK124,"-","~",3))-FIND("~",SUBSTITUTE($AK124,"-","~",2))-1))</f>
        <v/>
      </c>
      <c r="AN124">
        <f>IF($AL124="","",IFERROR(VLOOKUP($AL124,DECODE!$A$3:$C$8,3,FALSE),"?"))</f>
        <v/>
      </c>
      <c r="AO124">
        <f>IF($AM124="","",IFERROR(VLOOKUP($AL124&amp;"-"&amp;$AM124,DECODE!$E$3:$F$21,2,FALSE),"?"))</f>
        <v/>
      </c>
      <c r="AP124">
        <f>IF($AK124="","",IFERROR(VALUE(RIGHT($AK124,3)),""))</f>
        <v/>
      </c>
      <c r="AQ124">
        <f>IF($T124="","",IFERROR(IF(ISNUMBER($T124),$T124,DATEVALUE(TRIM($T124))),""))</f>
        <v/>
      </c>
      <c r="AR124">
        <f>IF($AQ124="","",IF(MONTH($AQ124)&gt;=12,"Cold Winter",IF(MONTH($AQ124)&gt;=10,"Post-Monsoon",IF(MONTH($AQ124)&gt;=6,"Hot Humid",IF(MONTH($AQ124)&gt;=3,"Hot Dry","Cold Winter")))))</f>
        <v/>
      </c>
      <c r="AS124">
        <f>IF($AL124="","",IFERROR(VLOOKUP($AL124,DECODE!$A$3:$C$8,2,FALSE),"?"))</f>
        <v/>
      </c>
      <c r="AT124">
        <f>IF($O124="","",UPPER(TRIM(LEFT($O124&amp;",",FIND(",",$O124&amp;",")-1))))</f>
        <v/>
      </c>
      <c r="AU124">
        <f>IF($AT124="","",MID($AT124,4,FIND("~",SUBSTITUTE($AT124,"-","~",2))-4))</f>
        <v/>
      </c>
      <c r="AV124">
        <f>IF($AT124="","",MID($AT124,FIND("~",SUBSTITUTE($AT124,"-","~",2))+1,FIND("~",SUBSTITUTE($AT124,"-","~",3))-FIND("~",SUBSTITUTE($AT124,"-","~",2))-1))</f>
        <v/>
      </c>
      <c r="AW124">
        <f>IF($AU124="","",IFERROR(VLOOKUP($AU124,DECODE!$A$3:$C$8,3,FALSE),"?"))</f>
        <v/>
      </c>
      <c r="AX124">
        <f>IF($AV124="","",IFERROR(VLOOKUP($AU124&amp;"-"&amp;$AV124,DECODE!$E$3:$F$21,2,FALSE),"?"))</f>
        <v/>
      </c>
      <c r="AY124">
        <f>IF($AT124="","",IFERROR(VALUE(RIGHT($AT124,3)),""))</f>
        <v/>
      </c>
      <c r="AZ124">
        <f>IF($U124="","",IFERROR(IF(ISNUMBER($U124),$U124,DATEVALUE(TRIM($U124))),""))</f>
        <v/>
      </c>
      <c r="BA124">
        <f>IF($AZ124="","",IF(MONTH($AZ124)&gt;=12,"Cold Winter",IF(MONTH($AZ124)&gt;=10,"Post-Monsoon",IF(MONTH($AZ124)&gt;=6,"Hot Humid",IF(MONTH($AZ124)&gt;=3,"Hot Dry","Cold Winter")))))</f>
        <v/>
      </c>
      <c r="BB124">
        <f>IF($AU124="","",IFERROR(VLOOKUP($AU124,DECODE!$A$3:$C$8,2,FALSE),"?"))</f>
        <v/>
      </c>
      <c r="BC124">
        <f>IF($P124="","",UPPER(TRIM(LEFT($P124&amp;",",FIND(",",$P124&amp;",")-1))))</f>
        <v/>
      </c>
      <c r="BD124">
        <f>IF($BC124="","",MID($BC124,4,FIND("~",SUBSTITUTE($BC124,"-","~",2))-4))</f>
        <v/>
      </c>
      <c r="BE124">
        <f>IF($BC124="","",MID($BC124,FIND("~",SUBSTITUTE($BC124,"-","~",2))+1,FIND("~",SUBSTITUTE($BC124,"-","~",3))-FIND("~",SUBSTITUTE($BC124,"-","~",2))-1))</f>
        <v/>
      </c>
      <c r="BF124">
        <f>IF($BD124="","",IFERROR(VLOOKUP($BD124,DECODE!$A$3:$C$8,3,FALSE),"?"))</f>
        <v/>
      </c>
      <c r="BG124">
        <f>IF($BE124="","",IFERROR(VLOOKUP($BD124&amp;"-"&amp;$BE124,DECODE!$E$3:$F$21,2,FALSE),"?"))</f>
        <v/>
      </c>
      <c r="BH124">
        <f>IF($BC124="","",IFERROR(VALUE(RIGHT($BC124,3)),""))</f>
        <v/>
      </c>
      <c r="BI124">
        <f>IF($V124="","",IFERROR(IF(ISNUMBER($V124),$V124,DATEVALUE(TRIM($V124))),""))</f>
        <v/>
      </c>
      <c r="BJ124">
        <f>IF($BI124="","",IF(MONTH($BI124)&gt;=12,"Cold Winter",IF(MONTH($BI124)&gt;=10,"Post-Monsoon",IF(MONTH($BI124)&gt;=6,"Hot Humid",IF(MONTH($BI124)&gt;=3,"Hot Dry","Cold Winter")))))</f>
        <v/>
      </c>
      <c r="BK124">
        <f>IF($BD124="","",IFERROR(VLOOKUP($BD124,DECODE!$A$3:$C$8,2,FALSE),"?"))</f>
        <v/>
      </c>
      <c r="BL124">
        <f>IF($Q124="","",UPPER(TRIM(LEFT($Q124&amp;",",FIND(",",$Q124&amp;",")-1))))</f>
        <v/>
      </c>
      <c r="BM124">
        <f>IF($BL124="","",MID($BL124,4,FIND("~",SUBSTITUTE($BL124,"-","~",2))-4))</f>
        <v/>
      </c>
      <c r="BN124">
        <f>IF($BL124="","",MID($BL124,FIND("~",SUBSTITUTE($BL124,"-","~",2))+1,FIND("~",SUBSTITUTE($BL124,"-","~",3))-FIND("~",SUBSTITUTE($BL124,"-","~",2))-1))</f>
        <v/>
      </c>
      <c r="BO124">
        <f>IF($BM124="","",IFERROR(VLOOKUP($BM124,DECODE!$A$3:$C$8,3,FALSE),"?"))</f>
        <v/>
      </c>
      <c r="BP124">
        <f>IF($BN124="","",IFERROR(VLOOKUP($BM124&amp;"-"&amp;$BN124,DECODE!$E$3:$F$21,2,FALSE),"?"))</f>
        <v/>
      </c>
      <c r="BQ124">
        <f>IF($BL124="","",IFERROR(VALUE(RIGHT($BL124,3)),""))</f>
        <v/>
      </c>
      <c r="BR124">
        <f>IF($W124="","",IFERROR(IF(ISNUMBER($W124),$W124,DATEVALUE(TRIM($W124))),""))</f>
        <v/>
      </c>
      <c r="BS124">
        <f>IF($BR124="","",IF(MONTH($BR124)&gt;=12,"Cold Winter",IF(MONTH($BR124)&gt;=10,"Post-Monsoon",IF(MONTH($BR124)&gt;=6,"Hot Humid",IF(MONTH($BR124)&gt;=3,"Hot Dry","Cold Winter")))))</f>
        <v/>
      </c>
      <c r="BT124">
        <f>IF($BM124="","",IFERROR(VLOOKUP($BM124,DECODE!$A$3:$C$8,2,FALSE),"?"))</f>
        <v/>
      </c>
      <c r="BU124">
        <f>IF($R124="","",UPPER(TRIM(LEFT($R124&amp;",",FIND(",",$R124&amp;",")-1))))</f>
        <v/>
      </c>
      <c r="BV124">
        <f>IF($BU124="","",MID($BU124,4,FIND("~",SUBSTITUTE($BU124,"-","~",2))-4))</f>
        <v/>
      </c>
      <c r="BW124">
        <f>IF($BU124="","",MID($BU124,FIND("~",SUBSTITUTE($BU124,"-","~",2))+1,FIND("~",SUBSTITUTE($BU124,"-","~",3))-FIND("~",SUBSTITUTE($BU124,"-","~",2))-1))</f>
        <v/>
      </c>
      <c r="BX124">
        <f>IF($BV124="","",IFERROR(VLOOKUP($BV124,DECODE!$A$3:$C$8,3,FALSE),"?"))</f>
        <v/>
      </c>
      <c r="BY124">
        <f>IF($BW124="","",IFERROR(VLOOKUP($BV124&amp;"-"&amp;$BW124,DECODE!$E$3:$F$21,2,FALSE),"?"))</f>
        <v/>
      </c>
      <c r="BZ124">
        <f>IF($BU124="","",IFERROR(VALUE(RIGHT($BU124,3)),""))</f>
        <v/>
      </c>
      <c r="CA124">
        <f>IF($X124="","",IFERROR(IF(ISNUMBER($X124),$X124,DATEVALUE(TRIM($X124))),""))</f>
        <v/>
      </c>
      <c r="CB124">
        <f>IF($CA124="","",IF(MONTH($CA124)&gt;=12,"Cold Winter",IF(MONTH($CA124)&gt;=10,"Post-Monsoon",IF(MONTH($CA124)&gt;=6,"Hot Humid",IF(MONTH($CA124)&gt;=3,"Hot Dry","Cold Winter")))))</f>
        <v/>
      </c>
      <c r="CC124">
        <f>IF($BV124="","",IFERROR(VLOOKUP($BV124,DECODE!$A$3:$C$8,2,FALSE),"?"))</f>
        <v/>
      </c>
      <c r="CD124">
        <f>IF($S124="","",UPPER(TRIM(LEFT($S124&amp;",",FIND(",",$S124&amp;",")-1))))</f>
        <v/>
      </c>
      <c r="CE124">
        <f>IF($CD124="","",MID($CD124,4,FIND("~",SUBSTITUTE($CD124,"-","~",2))-4))</f>
        <v/>
      </c>
      <c r="CF124">
        <f>IF($CD124="","",MID($CD124,FIND("~",SUBSTITUTE($CD124,"-","~",2))+1,FIND("~",SUBSTITUTE($CD124,"-","~",3))-FIND("~",SUBSTITUTE($CD124,"-","~",2))-1))</f>
        <v/>
      </c>
      <c r="CG124">
        <f>IF($CE124="","",IFERROR(VLOOKUP($CE124,DECODE!$A$3:$C$8,3,FALSE),"?"))</f>
        <v/>
      </c>
      <c r="CH124">
        <f>IF($CF124="","",IFERROR(VLOOKUP($CE124&amp;"-"&amp;$CF124,DECODE!$E$3:$F$21,2,FALSE),"?"))</f>
        <v/>
      </c>
      <c r="CI124">
        <f>IF($CD124="","",IFERROR(VALUE(RIGHT($CD124,3)),""))</f>
        <v/>
      </c>
      <c r="CJ124">
        <f>IF($Y124="","",IFERROR(IF(ISNUMBER($Y124),$Y124,DATEVALUE(TRIM($Y124))),""))</f>
        <v/>
      </c>
      <c r="CK124">
        <f>IF($CJ124="","",IF(MONTH($CJ124)&gt;=12,"Cold Winter",IF(MONTH($CJ124)&gt;=10,"Post-Monsoon",IF(MONTH($CJ124)&gt;=6,"Hot Humid",IF(MONTH($CJ124)&gt;=3,"Hot Dry","Cold Winter")))))</f>
        <v/>
      </c>
      <c r="CL124">
        <f>IF($CE124="","",IFERROR(VLOOKUP($CE124,DECODE!$A$3:$C$8,2,FALSE),"?"))</f>
        <v/>
      </c>
      <c r="CM124">
        <f>IF($AN124="","",AN124)</f>
        <v/>
      </c>
      <c r="CN124">
        <f>IF($AO124="","",AO124)</f>
        <v/>
      </c>
      <c r="CO124">
        <f>IF($AP124="","",AP124)</f>
        <v/>
      </c>
      <c r="CP124">
        <f>IF($CM124="","",IF($CM124="Aloe Vera Gel","Aloe Vera Gel "&amp;$CO124&amp;"g",CN124&amp;" "&amp;$CO124&amp;"g"))</f>
        <v/>
      </c>
      <c r="CQ124">
        <f>IF($AT124="",0,1)</f>
        <v/>
      </c>
      <c r="CR124">
        <f>IF($CQ124=0,"",AW124)</f>
        <v/>
      </c>
      <c r="CS124">
        <f>IF($CQ124=0,"",AX124)</f>
        <v/>
      </c>
      <c r="CT124">
        <f>IF($CQ124=0,"",AY124)</f>
        <v/>
      </c>
      <c r="CU124">
        <f>IF($CR124="","",IF($CR124="Aloe Vera Gel","Aloe Vera Gel "&amp;$CT124&amp;"g",CS124&amp;" "&amp;$CT124&amp;"g"))</f>
        <v/>
      </c>
      <c r="CV124">
        <f>IF($CQ124=0,"",IF($CP124=$CU124,"Repeat Exact",IF($CT124&gt;$CO124,"Upsized",IF($CT124&lt;$CO124,"Downsized",IF($CM124&lt;&gt;$CR124,"Lateral","Same Size Diff Variant")))))</f>
        <v/>
      </c>
      <c r="CW124">
        <f>IF($CQ124=0,"",AZ124-AQ124)</f>
        <v/>
      </c>
      <c r="CX124">
        <f>IF($CQ124=0,0,IF(CS124=CN124,1,0))</f>
        <v/>
      </c>
      <c r="CY124">
        <f>IF($CQ124=0,0,IF(CR124=CM124,1,0))</f>
        <v/>
      </c>
      <c r="CZ124">
        <f>IF($A124="","",IF(AND(IF(DASHBOARD!$C$4="All",TRUE,$CM124=DASHBOARD!$C$4),IF(DASHBOARD!$C$6="All",TRUE,$CP124=DASHBOARD!$C$6),IF(DASHBOARD!$C$8="All",TRUE,$AF124&gt;=DASHBOARD!$C$8),IF(DASHBOARD!$C$10="All",TRUE,$AF124&lt;=DASHBOARD!$C$10),IF(DASHBOARD!$C$12="All",TRUE,$AH124=VALUE(DASHBOARD!$C$12)),IF(DASHBOARD!$C$14="All",TRUE,$AJ124=DASHBOARD!$C$14)),1,0))</f>
        <v/>
      </c>
    </row>
    <row r="125">
      <c r="A125" t="n">
        <v>106037</v>
      </c>
      <c r="B125" t="inlineStr">
        <is>
          <t>Face Malai</t>
        </is>
      </c>
      <c r="H125" t="inlineStr">
        <is>
          <t>Flax Walnut (Cold) 35+ Face Malai</t>
        </is>
      </c>
      <c r="N125" t="inlineStr">
        <is>
          <t>FC-CWDM-FW-030</t>
        </is>
      </c>
      <c r="T125" t="inlineStr">
        <is>
          <t>Nov 11, 2024</t>
        </is>
      </c>
      <c r="AE125" t="inlineStr">
        <is>
          <t>Sitamarhi</t>
        </is>
      </c>
      <c r="AF125" t="inlineStr">
        <is>
          <t>2024-11</t>
        </is>
      </c>
      <c r="AG125" t="n">
        <v>11</v>
      </c>
      <c r="AH125" t="n">
        <v>1</v>
      </c>
      <c r="AI125" t="n">
        <v>0</v>
      </c>
      <c r="AJ125">
        <f>IF($AE125="","",IFERROR(VLOOKUP(TRIM($AE125),DECODE!$H$3:$I$60,2,FALSE),"Rest of India"))</f>
        <v/>
      </c>
      <c r="AK125">
        <f>IF($N125="","",UPPER(TRIM(LEFT($N125&amp;",",FIND(",",$N125&amp;",")-1))))</f>
        <v/>
      </c>
      <c r="AL125">
        <f>IF($AK125="","",MID($AK125,4,FIND("~",SUBSTITUTE($AK125,"-","~",2))-4))</f>
        <v/>
      </c>
      <c r="AM125">
        <f>IF($AK125="","",MID($AK125,FIND("~",SUBSTITUTE($AK125,"-","~",2))+1,FIND("~",SUBSTITUTE($AK125,"-","~",3))-FIND("~",SUBSTITUTE($AK125,"-","~",2))-1))</f>
        <v/>
      </c>
      <c r="AN125">
        <f>IF($AL125="","",IFERROR(VLOOKUP($AL125,DECODE!$A$3:$C$8,3,FALSE),"?"))</f>
        <v/>
      </c>
      <c r="AO125">
        <f>IF($AM125="","",IFERROR(VLOOKUP($AL125&amp;"-"&amp;$AM125,DECODE!$E$3:$F$21,2,FALSE),"?"))</f>
        <v/>
      </c>
      <c r="AP125">
        <f>IF($AK125="","",IFERROR(VALUE(RIGHT($AK125,3)),""))</f>
        <v/>
      </c>
      <c r="AQ125">
        <f>IF($T125="","",IFERROR(IF(ISNUMBER($T125),$T125,DATEVALUE(TRIM($T125))),""))</f>
        <v/>
      </c>
      <c r="AR125">
        <f>IF($AQ125="","",IF(MONTH($AQ125)&gt;=12,"Cold Winter",IF(MONTH($AQ125)&gt;=10,"Post-Monsoon",IF(MONTH($AQ125)&gt;=6,"Hot Humid",IF(MONTH($AQ125)&gt;=3,"Hot Dry","Cold Winter")))))</f>
        <v/>
      </c>
      <c r="AS125">
        <f>IF($AL125="","",IFERROR(VLOOKUP($AL125,DECODE!$A$3:$C$8,2,FALSE),"?"))</f>
        <v/>
      </c>
      <c r="AT125">
        <f>IF($O125="","",UPPER(TRIM(LEFT($O125&amp;",",FIND(",",$O125&amp;",")-1))))</f>
        <v/>
      </c>
      <c r="AU125">
        <f>IF($AT125="","",MID($AT125,4,FIND("~",SUBSTITUTE($AT125,"-","~",2))-4))</f>
        <v/>
      </c>
      <c r="AV125">
        <f>IF($AT125="","",MID($AT125,FIND("~",SUBSTITUTE($AT125,"-","~",2))+1,FIND("~",SUBSTITUTE($AT125,"-","~",3))-FIND("~",SUBSTITUTE($AT125,"-","~",2))-1))</f>
        <v/>
      </c>
      <c r="AW125">
        <f>IF($AU125="","",IFERROR(VLOOKUP($AU125,DECODE!$A$3:$C$8,3,FALSE),"?"))</f>
        <v/>
      </c>
      <c r="AX125">
        <f>IF($AV125="","",IFERROR(VLOOKUP($AU125&amp;"-"&amp;$AV125,DECODE!$E$3:$F$21,2,FALSE),"?"))</f>
        <v/>
      </c>
      <c r="AY125">
        <f>IF($AT125="","",IFERROR(VALUE(RIGHT($AT125,3)),""))</f>
        <v/>
      </c>
      <c r="AZ125">
        <f>IF($U125="","",IFERROR(IF(ISNUMBER($U125),$U125,DATEVALUE(TRIM($U125))),""))</f>
        <v/>
      </c>
      <c r="BA125">
        <f>IF($AZ125="","",IF(MONTH($AZ125)&gt;=12,"Cold Winter",IF(MONTH($AZ125)&gt;=10,"Post-Monsoon",IF(MONTH($AZ125)&gt;=6,"Hot Humid",IF(MONTH($AZ125)&gt;=3,"Hot Dry","Cold Winter")))))</f>
        <v/>
      </c>
      <c r="BB125">
        <f>IF($AU125="","",IFERROR(VLOOKUP($AU125,DECODE!$A$3:$C$8,2,FALSE),"?"))</f>
        <v/>
      </c>
      <c r="BC125">
        <f>IF($P125="","",UPPER(TRIM(LEFT($P125&amp;",",FIND(",",$P125&amp;",")-1))))</f>
        <v/>
      </c>
      <c r="BD125">
        <f>IF($BC125="","",MID($BC125,4,FIND("~",SUBSTITUTE($BC125,"-","~",2))-4))</f>
        <v/>
      </c>
      <c r="BE125">
        <f>IF($BC125="","",MID($BC125,FIND("~",SUBSTITUTE($BC125,"-","~",2))+1,FIND("~",SUBSTITUTE($BC125,"-","~",3))-FIND("~",SUBSTITUTE($BC125,"-","~",2))-1))</f>
        <v/>
      </c>
      <c r="BF125">
        <f>IF($BD125="","",IFERROR(VLOOKUP($BD125,DECODE!$A$3:$C$8,3,FALSE),"?"))</f>
        <v/>
      </c>
      <c r="BG125">
        <f>IF($BE125="","",IFERROR(VLOOKUP($BD125&amp;"-"&amp;$BE125,DECODE!$E$3:$F$21,2,FALSE),"?"))</f>
        <v/>
      </c>
      <c r="BH125">
        <f>IF($BC125="","",IFERROR(VALUE(RIGHT($BC125,3)),""))</f>
        <v/>
      </c>
      <c r="BI125">
        <f>IF($V125="","",IFERROR(IF(ISNUMBER($V125),$V125,DATEVALUE(TRIM($V125))),""))</f>
        <v/>
      </c>
      <c r="BJ125">
        <f>IF($BI125="","",IF(MONTH($BI125)&gt;=12,"Cold Winter",IF(MONTH($BI125)&gt;=10,"Post-Monsoon",IF(MONTH($BI125)&gt;=6,"Hot Humid",IF(MONTH($BI125)&gt;=3,"Hot Dry","Cold Winter")))))</f>
        <v/>
      </c>
      <c r="BK125">
        <f>IF($BD125="","",IFERROR(VLOOKUP($BD125,DECODE!$A$3:$C$8,2,FALSE),"?"))</f>
        <v/>
      </c>
      <c r="BL125">
        <f>IF($Q125="","",UPPER(TRIM(LEFT($Q125&amp;",",FIND(",",$Q125&amp;",")-1))))</f>
        <v/>
      </c>
      <c r="BM125">
        <f>IF($BL125="","",MID($BL125,4,FIND("~",SUBSTITUTE($BL125,"-","~",2))-4))</f>
        <v/>
      </c>
      <c r="BN125">
        <f>IF($BL125="","",MID($BL125,FIND("~",SUBSTITUTE($BL125,"-","~",2))+1,FIND("~",SUBSTITUTE($BL125,"-","~",3))-FIND("~",SUBSTITUTE($BL125,"-","~",2))-1))</f>
        <v/>
      </c>
      <c r="BO125">
        <f>IF($BM125="","",IFERROR(VLOOKUP($BM125,DECODE!$A$3:$C$8,3,FALSE),"?"))</f>
        <v/>
      </c>
      <c r="BP125">
        <f>IF($BN125="","",IFERROR(VLOOKUP($BM125&amp;"-"&amp;$BN125,DECODE!$E$3:$F$21,2,FALSE),"?"))</f>
        <v/>
      </c>
      <c r="BQ125">
        <f>IF($BL125="","",IFERROR(VALUE(RIGHT($BL125,3)),""))</f>
        <v/>
      </c>
      <c r="BR125">
        <f>IF($W125="","",IFERROR(IF(ISNUMBER($W125),$W125,DATEVALUE(TRIM($W125))),""))</f>
        <v/>
      </c>
      <c r="BS125">
        <f>IF($BR125="","",IF(MONTH($BR125)&gt;=12,"Cold Winter",IF(MONTH($BR125)&gt;=10,"Post-Monsoon",IF(MONTH($BR125)&gt;=6,"Hot Humid",IF(MONTH($BR125)&gt;=3,"Hot Dry","Cold Winter")))))</f>
        <v/>
      </c>
      <c r="BT125">
        <f>IF($BM125="","",IFERROR(VLOOKUP($BM125,DECODE!$A$3:$C$8,2,FALSE),"?"))</f>
        <v/>
      </c>
      <c r="BU125">
        <f>IF($R125="","",UPPER(TRIM(LEFT($R125&amp;",",FIND(",",$R125&amp;",")-1))))</f>
        <v/>
      </c>
      <c r="BV125">
        <f>IF($BU125="","",MID($BU125,4,FIND("~",SUBSTITUTE($BU125,"-","~",2))-4))</f>
        <v/>
      </c>
      <c r="BW125">
        <f>IF($BU125="","",MID($BU125,FIND("~",SUBSTITUTE($BU125,"-","~",2))+1,FIND("~",SUBSTITUTE($BU125,"-","~",3))-FIND("~",SUBSTITUTE($BU125,"-","~",2))-1))</f>
        <v/>
      </c>
      <c r="BX125">
        <f>IF($BV125="","",IFERROR(VLOOKUP($BV125,DECODE!$A$3:$C$8,3,FALSE),"?"))</f>
        <v/>
      </c>
      <c r="BY125">
        <f>IF($BW125="","",IFERROR(VLOOKUP($BV125&amp;"-"&amp;$BW125,DECODE!$E$3:$F$21,2,FALSE),"?"))</f>
        <v/>
      </c>
      <c r="BZ125">
        <f>IF($BU125="","",IFERROR(VALUE(RIGHT($BU125,3)),""))</f>
        <v/>
      </c>
      <c r="CA125">
        <f>IF($X125="","",IFERROR(IF(ISNUMBER($X125),$X125,DATEVALUE(TRIM($X125))),""))</f>
        <v/>
      </c>
      <c r="CB125">
        <f>IF($CA125="","",IF(MONTH($CA125)&gt;=12,"Cold Winter",IF(MONTH($CA125)&gt;=10,"Post-Monsoon",IF(MONTH($CA125)&gt;=6,"Hot Humid",IF(MONTH($CA125)&gt;=3,"Hot Dry","Cold Winter")))))</f>
        <v/>
      </c>
      <c r="CC125">
        <f>IF($BV125="","",IFERROR(VLOOKUP($BV125,DECODE!$A$3:$C$8,2,FALSE),"?"))</f>
        <v/>
      </c>
      <c r="CD125">
        <f>IF($S125="","",UPPER(TRIM(LEFT($S125&amp;",",FIND(",",$S125&amp;",")-1))))</f>
        <v/>
      </c>
      <c r="CE125">
        <f>IF($CD125="","",MID($CD125,4,FIND("~",SUBSTITUTE($CD125,"-","~",2))-4))</f>
        <v/>
      </c>
      <c r="CF125">
        <f>IF($CD125="","",MID($CD125,FIND("~",SUBSTITUTE($CD125,"-","~",2))+1,FIND("~",SUBSTITUTE($CD125,"-","~",3))-FIND("~",SUBSTITUTE($CD125,"-","~",2))-1))</f>
        <v/>
      </c>
      <c r="CG125">
        <f>IF($CE125="","",IFERROR(VLOOKUP($CE125,DECODE!$A$3:$C$8,3,FALSE),"?"))</f>
        <v/>
      </c>
      <c r="CH125">
        <f>IF($CF125="","",IFERROR(VLOOKUP($CE125&amp;"-"&amp;$CF125,DECODE!$E$3:$F$21,2,FALSE),"?"))</f>
        <v/>
      </c>
      <c r="CI125">
        <f>IF($CD125="","",IFERROR(VALUE(RIGHT($CD125,3)),""))</f>
        <v/>
      </c>
      <c r="CJ125">
        <f>IF($Y125="","",IFERROR(IF(ISNUMBER($Y125),$Y125,DATEVALUE(TRIM($Y125))),""))</f>
        <v/>
      </c>
      <c r="CK125">
        <f>IF($CJ125="","",IF(MONTH($CJ125)&gt;=12,"Cold Winter",IF(MONTH($CJ125)&gt;=10,"Post-Monsoon",IF(MONTH($CJ125)&gt;=6,"Hot Humid",IF(MONTH($CJ125)&gt;=3,"Hot Dry","Cold Winter")))))</f>
        <v/>
      </c>
      <c r="CL125">
        <f>IF($CE125="","",IFERROR(VLOOKUP($CE125,DECODE!$A$3:$C$8,2,FALSE),"?"))</f>
        <v/>
      </c>
      <c r="CM125">
        <f>IF($AN125="","",AN125)</f>
        <v/>
      </c>
      <c r="CN125">
        <f>IF($AO125="","",AO125)</f>
        <v/>
      </c>
      <c r="CO125">
        <f>IF($AP125="","",AP125)</f>
        <v/>
      </c>
      <c r="CP125">
        <f>IF($CM125="","",IF($CM125="Aloe Vera Gel","Aloe Vera Gel "&amp;$CO125&amp;"g",CN125&amp;" "&amp;$CO125&amp;"g"))</f>
        <v/>
      </c>
      <c r="CQ125">
        <f>IF($AT125="",0,1)</f>
        <v/>
      </c>
      <c r="CR125">
        <f>IF($CQ125=0,"",AW125)</f>
        <v/>
      </c>
      <c r="CS125">
        <f>IF($CQ125=0,"",AX125)</f>
        <v/>
      </c>
      <c r="CT125">
        <f>IF($CQ125=0,"",AY125)</f>
        <v/>
      </c>
      <c r="CU125">
        <f>IF($CR125="","",IF($CR125="Aloe Vera Gel","Aloe Vera Gel "&amp;$CT125&amp;"g",CS125&amp;" "&amp;$CT125&amp;"g"))</f>
        <v/>
      </c>
      <c r="CV125">
        <f>IF($CQ125=0,"",IF($CP125=$CU125,"Repeat Exact",IF($CT125&gt;$CO125,"Upsized",IF($CT125&lt;$CO125,"Downsized",IF($CM125&lt;&gt;$CR125,"Lateral","Same Size Diff Variant")))))</f>
        <v/>
      </c>
      <c r="CW125">
        <f>IF($CQ125=0,"",AZ125-AQ125)</f>
        <v/>
      </c>
      <c r="CX125">
        <f>IF($CQ125=0,0,IF(CS125=CN125,1,0))</f>
        <v/>
      </c>
      <c r="CY125">
        <f>IF($CQ125=0,0,IF(CR125=CM125,1,0))</f>
        <v/>
      </c>
      <c r="CZ125">
        <f>IF($A125="","",IF(AND(IF(DASHBOARD!$C$4="All",TRUE,$CM125=DASHBOARD!$C$4),IF(DASHBOARD!$C$6="All",TRUE,$CP125=DASHBOARD!$C$6),IF(DASHBOARD!$C$8="All",TRUE,$AF125&gt;=DASHBOARD!$C$8),IF(DASHBOARD!$C$10="All",TRUE,$AF125&lt;=DASHBOARD!$C$10),IF(DASHBOARD!$C$12="All",TRUE,$AH125=VALUE(DASHBOARD!$C$12)),IF(DASHBOARD!$C$14="All",TRUE,$AJ125=DASHBOARD!$C$14)),1,0))</f>
        <v/>
      </c>
    </row>
    <row r="126">
      <c r="A126" t="n">
        <v>106130</v>
      </c>
      <c r="B126" t="inlineStr">
        <is>
          <t>Aloe Vera Gel</t>
        </is>
      </c>
      <c r="C126" t="inlineStr">
        <is>
          <t>Aloe Vera Gel</t>
        </is>
      </c>
      <c r="D126" t="inlineStr">
        <is>
          <t>Aloe Vera Gel</t>
        </is>
      </c>
      <c r="E126" t="inlineStr">
        <is>
          <t>Aloe Vera Gel</t>
        </is>
      </c>
      <c r="H126" t="inlineStr">
        <is>
          <t>Aloe Vera Gel - 40 gms</t>
        </is>
      </c>
      <c r="I126" t="inlineStr">
        <is>
          <t>Aloe Vera Gel - 40 gms</t>
        </is>
      </c>
      <c r="J126" t="inlineStr">
        <is>
          <t>Aloe Vera Gel - 40 gms</t>
        </is>
      </c>
      <c r="K126" t="inlineStr">
        <is>
          <t>Aloe Vera Gel - 80 gms</t>
        </is>
      </c>
      <c r="N126" t="inlineStr">
        <is>
          <t>FC-HG-PA-040</t>
        </is>
      </c>
      <c r="O126" t="inlineStr">
        <is>
          <t>FC-HG-PA-040</t>
        </is>
      </c>
      <c r="P126" t="inlineStr">
        <is>
          <t>FC-HG-PA-040</t>
        </is>
      </c>
      <c r="Q126" t="inlineStr">
        <is>
          <t>FC-HG-PA-080</t>
        </is>
      </c>
      <c r="T126" t="inlineStr">
        <is>
          <t>Mar 17, 2024</t>
        </is>
      </c>
      <c r="U126" t="inlineStr">
        <is>
          <t>Nov 20, 2024</t>
        </is>
      </c>
      <c r="V126" t="inlineStr">
        <is>
          <t>Jan 11, 2025</t>
        </is>
      </c>
      <c r="W126" t="inlineStr">
        <is>
          <t>Apr 28, 2025</t>
        </is>
      </c>
      <c r="Z126" t="n">
        <v>248</v>
      </c>
      <c r="AA126" t="n">
        <v>52</v>
      </c>
      <c r="AB126" t="n">
        <v>107</v>
      </c>
      <c r="AE126" t="inlineStr">
        <is>
          <t>Jaipur</t>
        </is>
      </c>
      <c r="AF126" t="inlineStr">
        <is>
          <t>2024-03</t>
        </is>
      </c>
      <c r="AG126" t="n">
        <v>3</v>
      </c>
      <c r="AH126" t="n">
        <v>4</v>
      </c>
      <c r="AI126" t="n">
        <v>1</v>
      </c>
      <c r="AJ126">
        <f>IF($AE126="","",IFERROR(VLOOKUP(TRIM($AE126),DECODE!$H$3:$I$60,2,FALSE),"Rest of India"))</f>
        <v/>
      </c>
      <c r="AK126">
        <f>IF($N126="","",UPPER(TRIM(LEFT($N126&amp;",",FIND(",",$N126&amp;",")-1))))</f>
        <v/>
      </c>
      <c r="AL126">
        <f>IF($AK126="","",MID($AK126,4,FIND("~",SUBSTITUTE($AK126,"-","~",2))-4))</f>
        <v/>
      </c>
      <c r="AM126">
        <f>IF($AK126="","",MID($AK126,FIND("~",SUBSTITUTE($AK126,"-","~",2))+1,FIND("~",SUBSTITUTE($AK126,"-","~",3))-FIND("~",SUBSTITUTE($AK126,"-","~",2))-1))</f>
        <v/>
      </c>
      <c r="AN126">
        <f>IF($AL126="","",IFERROR(VLOOKUP($AL126,DECODE!$A$3:$C$8,3,FALSE),"?"))</f>
        <v/>
      </c>
      <c r="AO126">
        <f>IF($AM126="","",IFERROR(VLOOKUP($AL126&amp;"-"&amp;$AM126,DECODE!$E$3:$F$21,2,FALSE),"?"))</f>
        <v/>
      </c>
      <c r="AP126">
        <f>IF($AK126="","",IFERROR(VALUE(RIGHT($AK126,3)),""))</f>
        <v/>
      </c>
      <c r="AQ126">
        <f>IF($T126="","",IFERROR(IF(ISNUMBER($T126),$T126,DATEVALUE(TRIM($T126))),""))</f>
        <v/>
      </c>
      <c r="AR126">
        <f>IF($AQ126="","",IF(MONTH($AQ126)&gt;=12,"Cold Winter",IF(MONTH($AQ126)&gt;=10,"Post-Monsoon",IF(MONTH($AQ126)&gt;=6,"Hot Humid",IF(MONTH($AQ126)&gt;=3,"Hot Dry","Cold Winter")))))</f>
        <v/>
      </c>
      <c r="AS126">
        <f>IF($AL126="","",IFERROR(VLOOKUP($AL126,DECODE!$A$3:$C$8,2,FALSE),"?"))</f>
        <v/>
      </c>
      <c r="AT126">
        <f>IF($O126="","",UPPER(TRIM(LEFT($O126&amp;",",FIND(",",$O126&amp;",")-1))))</f>
        <v/>
      </c>
      <c r="AU126">
        <f>IF($AT126="","",MID($AT126,4,FIND("~",SUBSTITUTE($AT126,"-","~",2))-4))</f>
        <v/>
      </c>
      <c r="AV126">
        <f>IF($AT126="","",MID($AT126,FIND("~",SUBSTITUTE($AT126,"-","~",2))+1,FIND("~",SUBSTITUTE($AT126,"-","~",3))-FIND("~",SUBSTITUTE($AT126,"-","~",2))-1))</f>
        <v/>
      </c>
      <c r="AW126">
        <f>IF($AU126="","",IFERROR(VLOOKUP($AU126,DECODE!$A$3:$C$8,3,FALSE),"?"))</f>
        <v/>
      </c>
      <c r="AX126">
        <f>IF($AV126="","",IFERROR(VLOOKUP($AU126&amp;"-"&amp;$AV126,DECODE!$E$3:$F$21,2,FALSE),"?"))</f>
        <v/>
      </c>
      <c r="AY126">
        <f>IF($AT126="","",IFERROR(VALUE(RIGHT($AT126,3)),""))</f>
        <v/>
      </c>
      <c r="AZ126">
        <f>IF($U126="","",IFERROR(IF(ISNUMBER($U126),$U126,DATEVALUE(TRIM($U126))),""))</f>
        <v/>
      </c>
      <c r="BA126">
        <f>IF($AZ126="","",IF(MONTH($AZ126)&gt;=12,"Cold Winter",IF(MONTH($AZ126)&gt;=10,"Post-Monsoon",IF(MONTH($AZ126)&gt;=6,"Hot Humid",IF(MONTH($AZ126)&gt;=3,"Hot Dry","Cold Winter")))))</f>
        <v/>
      </c>
      <c r="BB126">
        <f>IF($AU126="","",IFERROR(VLOOKUP($AU126,DECODE!$A$3:$C$8,2,FALSE),"?"))</f>
        <v/>
      </c>
      <c r="BC126">
        <f>IF($P126="","",UPPER(TRIM(LEFT($P126&amp;",",FIND(",",$P126&amp;",")-1))))</f>
        <v/>
      </c>
      <c r="BD126">
        <f>IF($BC126="","",MID($BC126,4,FIND("~",SUBSTITUTE($BC126,"-","~",2))-4))</f>
        <v/>
      </c>
      <c r="BE126">
        <f>IF($BC126="","",MID($BC126,FIND("~",SUBSTITUTE($BC126,"-","~",2))+1,FIND("~",SUBSTITUTE($BC126,"-","~",3))-FIND("~",SUBSTITUTE($BC126,"-","~",2))-1))</f>
        <v/>
      </c>
      <c r="BF126">
        <f>IF($BD126="","",IFERROR(VLOOKUP($BD126,DECODE!$A$3:$C$8,3,FALSE),"?"))</f>
        <v/>
      </c>
      <c r="BG126">
        <f>IF($BE126="","",IFERROR(VLOOKUP($BD126&amp;"-"&amp;$BE126,DECODE!$E$3:$F$21,2,FALSE),"?"))</f>
        <v/>
      </c>
      <c r="BH126">
        <f>IF($BC126="","",IFERROR(VALUE(RIGHT($BC126,3)),""))</f>
        <v/>
      </c>
      <c r="BI126">
        <f>IF($V126="","",IFERROR(IF(ISNUMBER($V126),$V126,DATEVALUE(TRIM($V126))),""))</f>
        <v/>
      </c>
      <c r="BJ126">
        <f>IF($BI126="","",IF(MONTH($BI126)&gt;=12,"Cold Winter",IF(MONTH($BI126)&gt;=10,"Post-Monsoon",IF(MONTH($BI126)&gt;=6,"Hot Humid",IF(MONTH($BI126)&gt;=3,"Hot Dry","Cold Winter")))))</f>
        <v/>
      </c>
      <c r="BK126">
        <f>IF($BD126="","",IFERROR(VLOOKUP($BD126,DECODE!$A$3:$C$8,2,FALSE),"?"))</f>
        <v/>
      </c>
      <c r="BL126">
        <f>IF($Q126="","",UPPER(TRIM(LEFT($Q126&amp;",",FIND(",",$Q126&amp;",")-1))))</f>
        <v/>
      </c>
      <c r="BM126">
        <f>IF($BL126="","",MID($BL126,4,FIND("~",SUBSTITUTE($BL126,"-","~",2))-4))</f>
        <v/>
      </c>
      <c r="BN126">
        <f>IF($BL126="","",MID($BL126,FIND("~",SUBSTITUTE($BL126,"-","~",2))+1,FIND("~",SUBSTITUTE($BL126,"-","~",3))-FIND("~",SUBSTITUTE($BL126,"-","~",2))-1))</f>
        <v/>
      </c>
      <c r="BO126">
        <f>IF($BM126="","",IFERROR(VLOOKUP($BM126,DECODE!$A$3:$C$8,3,FALSE),"?"))</f>
        <v/>
      </c>
      <c r="BP126">
        <f>IF($BN126="","",IFERROR(VLOOKUP($BM126&amp;"-"&amp;$BN126,DECODE!$E$3:$F$21,2,FALSE),"?"))</f>
        <v/>
      </c>
      <c r="BQ126">
        <f>IF($BL126="","",IFERROR(VALUE(RIGHT($BL126,3)),""))</f>
        <v/>
      </c>
      <c r="BR126">
        <f>IF($W126="","",IFERROR(IF(ISNUMBER($W126),$W126,DATEVALUE(TRIM($W126))),""))</f>
        <v/>
      </c>
      <c r="BS126">
        <f>IF($BR126="","",IF(MONTH($BR126)&gt;=12,"Cold Winter",IF(MONTH($BR126)&gt;=10,"Post-Monsoon",IF(MONTH($BR126)&gt;=6,"Hot Humid",IF(MONTH($BR126)&gt;=3,"Hot Dry","Cold Winter")))))</f>
        <v/>
      </c>
      <c r="BT126">
        <f>IF($BM126="","",IFERROR(VLOOKUP($BM126,DECODE!$A$3:$C$8,2,FALSE),"?"))</f>
        <v/>
      </c>
      <c r="BU126">
        <f>IF($R126="","",UPPER(TRIM(LEFT($R126&amp;",",FIND(",",$R126&amp;",")-1))))</f>
        <v/>
      </c>
      <c r="BV126">
        <f>IF($BU126="","",MID($BU126,4,FIND("~",SUBSTITUTE($BU126,"-","~",2))-4))</f>
        <v/>
      </c>
      <c r="BW126">
        <f>IF($BU126="","",MID($BU126,FIND("~",SUBSTITUTE($BU126,"-","~",2))+1,FIND("~",SUBSTITUTE($BU126,"-","~",3))-FIND("~",SUBSTITUTE($BU126,"-","~",2))-1))</f>
        <v/>
      </c>
      <c r="BX126">
        <f>IF($BV126="","",IFERROR(VLOOKUP($BV126,DECODE!$A$3:$C$8,3,FALSE),"?"))</f>
        <v/>
      </c>
      <c r="BY126">
        <f>IF($BW126="","",IFERROR(VLOOKUP($BV126&amp;"-"&amp;$BW126,DECODE!$E$3:$F$21,2,FALSE),"?"))</f>
        <v/>
      </c>
      <c r="BZ126">
        <f>IF($BU126="","",IFERROR(VALUE(RIGHT($BU126,3)),""))</f>
        <v/>
      </c>
      <c r="CA126">
        <f>IF($X126="","",IFERROR(IF(ISNUMBER($X126),$X126,DATEVALUE(TRIM($X126))),""))</f>
        <v/>
      </c>
      <c r="CB126">
        <f>IF($CA126="","",IF(MONTH($CA126)&gt;=12,"Cold Winter",IF(MONTH($CA126)&gt;=10,"Post-Monsoon",IF(MONTH($CA126)&gt;=6,"Hot Humid",IF(MONTH($CA126)&gt;=3,"Hot Dry","Cold Winter")))))</f>
        <v/>
      </c>
      <c r="CC126">
        <f>IF($BV126="","",IFERROR(VLOOKUP($BV126,DECODE!$A$3:$C$8,2,FALSE),"?"))</f>
        <v/>
      </c>
      <c r="CD126">
        <f>IF($S126="","",UPPER(TRIM(LEFT($S126&amp;",",FIND(",",$S126&amp;",")-1))))</f>
        <v/>
      </c>
      <c r="CE126">
        <f>IF($CD126="","",MID($CD126,4,FIND("~",SUBSTITUTE($CD126,"-","~",2))-4))</f>
        <v/>
      </c>
      <c r="CF126">
        <f>IF($CD126="","",MID($CD126,FIND("~",SUBSTITUTE($CD126,"-","~",2))+1,FIND("~",SUBSTITUTE($CD126,"-","~",3))-FIND("~",SUBSTITUTE($CD126,"-","~",2))-1))</f>
        <v/>
      </c>
      <c r="CG126">
        <f>IF($CE126="","",IFERROR(VLOOKUP($CE126,DECODE!$A$3:$C$8,3,FALSE),"?"))</f>
        <v/>
      </c>
      <c r="CH126">
        <f>IF($CF126="","",IFERROR(VLOOKUP($CE126&amp;"-"&amp;$CF126,DECODE!$E$3:$F$21,2,FALSE),"?"))</f>
        <v/>
      </c>
      <c r="CI126">
        <f>IF($CD126="","",IFERROR(VALUE(RIGHT($CD126,3)),""))</f>
        <v/>
      </c>
      <c r="CJ126">
        <f>IF($Y126="","",IFERROR(IF(ISNUMBER($Y126),$Y126,DATEVALUE(TRIM($Y126))),""))</f>
        <v/>
      </c>
      <c r="CK126">
        <f>IF($CJ126="","",IF(MONTH($CJ126)&gt;=12,"Cold Winter",IF(MONTH($CJ126)&gt;=10,"Post-Monsoon",IF(MONTH($CJ126)&gt;=6,"Hot Humid",IF(MONTH($CJ126)&gt;=3,"Hot Dry","Cold Winter")))))</f>
        <v/>
      </c>
      <c r="CL126">
        <f>IF($CE126="","",IFERROR(VLOOKUP($CE126,DECODE!$A$3:$C$8,2,FALSE),"?"))</f>
        <v/>
      </c>
      <c r="CM126">
        <f>IF($AN126="","",AN126)</f>
        <v/>
      </c>
      <c r="CN126">
        <f>IF($AO126="","",AO126)</f>
        <v/>
      </c>
      <c r="CO126">
        <f>IF($AP126="","",AP126)</f>
        <v/>
      </c>
      <c r="CP126">
        <f>IF($CM126="","",IF($CM126="Aloe Vera Gel","Aloe Vera Gel "&amp;$CO126&amp;"g",CN126&amp;" "&amp;$CO126&amp;"g"))</f>
        <v/>
      </c>
      <c r="CQ126">
        <f>IF($AT126="",0,1)</f>
        <v/>
      </c>
      <c r="CR126">
        <f>IF($CQ126=0,"",AW126)</f>
        <v/>
      </c>
      <c r="CS126">
        <f>IF($CQ126=0,"",AX126)</f>
        <v/>
      </c>
      <c r="CT126">
        <f>IF($CQ126=0,"",AY126)</f>
        <v/>
      </c>
      <c r="CU126">
        <f>IF($CR126="","",IF($CR126="Aloe Vera Gel","Aloe Vera Gel "&amp;$CT126&amp;"g",CS126&amp;" "&amp;$CT126&amp;"g"))</f>
        <v/>
      </c>
      <c r="CV126">
        <f>IF($CQ126=0,"",IF($CP126=$CU126,"Repeat Exact",IF($CT126&gt;$CO126,"Upsized",IF($CT126&lt;$CO126,"Downsized",IF($CM126&lt;&gt;$CR126,"Lateral","Same Size Diff Variant")))))</f>
        <v/>
      </c>
      <c r="CW126">
        <f>IF($CQ126=0,"",AZ126-AQ126)</f>
        <v/>
      </c>
      <c r="CX126">
        <f>IF($CQ126=0,0,IF(CS126=CN126,1,0))</f>
        <v/>
      </c>
      <c r="CY126">
        <f>IF($CQ126=0,0,IF(CR126=CM126,1,0))</f>
        <v/>
      </c>
      <c r="CZ126">
        <f>IF($A126="","",IF(AND(IF(DASHBOARD!$C$4="All",TRUE,$CM126=DASHBOARD!$C$4),IF(DASHBOARD!$C$6="All",TRUE,$CP126=DASHBOARD!$C$6),IF(DASHBOARD!$C$8="All",TRUE,$AF126&gt;=DASHBOARD!$C$8),IF(DASHBOARD!$C$10="All",TRUE,$AF126&lt;=DASHBOARD!$C$10),IF(DASHBOARD!$C$12="All",TRUE,$AH126=VALUE(DASHBOARD!$C$12)),IF(DASHBOARD!$C$14="All",TRUE,$AJ126=DASHBOARD!$C$14)),1,0))</f>
        <v/>
      </c>
    </row>
    <row r="127">
      <c r="A127" t="n">
        <v>106499</v>
      </c>
      <c r="B127" t="inlineStr">
        <is>
          <t>Face Malai</t>
        </is>
      </c>
      <c r="H127" t="inlineStr">
        <is>
          <t>Flax Walnut (Cold) 35+ Face Malai</t>
        </is>
      </c>
      <c r="N127" t="inlineStr">
        <is>
          <t>FC-CWDM-FW-030</t>
        </is>
      </c>
      <c r="T127" t="inlineStr">
        <is>
          <t>Jan 6, 2024</t>
        </is>
      </c>
      <c r="AE127" t="inlineStr">
        <is>
          <t>Bengaluru</t>
        </is>
      </c>
      <c r="AF127" t="inlineStr">
        <is>
          <t>2024-01</t>
        </is>
      </c>
      <c r="AG127" t="n">
        <v>1</v>
      </c>
      <c r="AH127" t="n">
        <v>1</v>
      </c>
      <c r="AI127" t="n">
        <v>0</v>
      </c>
      <c r="AJ127">
        <f>IF($AE127="","",IFERROR(VLOOKUP(TRIM($AE127),DECODE!$H$3:$I$60,2,FALSE),"Rest of India"))</f>
        <v/>
      </c>
      <c r="AK127">
        <f>IF($N127="","",UPPER(TRIM(LEFT($N127&amp;",",FIND(",",$N127&amp;",")-1))))</f>
        <v/>
      </c>
      <c r="AL127">
        <f>IF($AK127="","",MID($AK127,4,FIND("~",SUBSTITUTE($AK127,"-","~",2))-4))</f>
        <v/>
      </c>
      <c r="AM127">
        <f>IF($AK127="","",MID($AK127,FIND("~",SUBSTITUTE($AK127,"-","~",2))+1,FIND("~",SUBSTITUTE($AK127,"-","~",3))-FIND("~",SUBSTITUTE($AK127,"-","~",2))-1))</f>
        <v/>
      </c>
      <c r="AN127">
        <f>IF($AL127="","",IFERROR(VLOOKUP($AL127,DECODE!$A$3:$C$8,3,FALSE),"?"))</f>
        <v/>
      </c>
      <c r="AO127">
        <f>IF($AM127="","",IFERROR(VLOOKUP($AL127&amp;"-"&amp;$AM127,DECODE!$E$3:$F$21,2,FALSE),"?"))</f>
        <v/>
      </c>
      <c r="AP127">
        <f>IF($AK127="","",IFERROR(VALUE(RIGHT($AK127,3)),""))</f>
        <v/>
      </c>
      <c r="AQ127">
        <f>IF($T127="","",IFERROR(IF(ISNUMBER($T127),$T127,DATEVALUE(TRIM($T127))),""))</f>
        <v/>
      </c>
      <c r="AR127">
        <f>IF($AQ127="","",IF(MONTH($AQ127)&gt;=12,"Cold Winter",IF(MONTH($AQ127)&gt;=10,"Post-Monsoon",IF(MONTH($AQ127)&gt;=6,"Hot Humid",IF(MONTH($AQ127)&gt;=3,"Hot Dry","Cold Winter")))))</f>
        <v/>
      </c>
      <c r="AS127">
        <f>IF($AL127="","",IFERROR(VLOOKUP($AL127,DECODE!$A$3:$C$8,2,FALSE),"?"))</f>
        <v/>
      </c>
      <c r="AT127">
        <f>IF($O127="","",UPPER(TRIM(LEFT($O127&amp;",",FIND(",",$O127&amp;",")-1))))</f>
        <v/>
      </c>
      <c r="AU127">
        <f>IF($AT127="","",MID($AT127,4,FIND("~",SUBSTITUTE($AT127,"-","~",2))-4))</f>
        <v/>
      </c>
      <c r="AV127">
        <f>IF($AT127="","",MID($AT127,FIND("~",SUBSTITUTE($AT127,"-","~",2))+1,FIND("~",SUBSTITUTE($AT127,"-","~",3))-FIND("~",SUBSTITUTE($AT127,"-","~",2))-1))</f>
        <v/>
      </c>
      <c r="AW127">
        <f>IF($AU127="","",IFERROR(VLOOKUP($AU127,DECODE!$A$3:$C$8,3,FALSE),"?"))</f>
        <v/>
      </c>
      <c r="AX127">
        <f>IF($AV127="","",IFERROR(VLOOKUP($AU127&amp;"-"&amp;$AV127,DECODE!$E$3:$F$21,2,FALSE),"?"))</f>
        <v/>
      </c>
      <c r="AY127">
        <f>IF($AT127="","",IFERROR(VALUE(RIGHT($AT127,3)),""))</f>
        <v/>
      </c>
      <c r="AZ127">
        <f>IF($U127="","",IFERROR(IF(ISNUMBER($U127),$U127,DATEVALUE(TRIM($U127))),""))</f>
        <v/>
      </c>
      <c r="BA127">
        <f>IF($AZ127="","",IF(MONTH($AZ127)&gt;=12,"Cold Winter",IF(MONTH($AZ127)&gt;=10,"Post-Monsoon",IF(MONTH($AZ127)&gt;=6,"Hot Humid",IF(MONTH($AZ127)&gt;=3,"Hot Dry","Cold Winter")))))</f>
        <v/>
      </c>
      <c r="BB127">
        <f>IF($AU127="","",IFERROR(VLOOKUP($AU127,DECODE!$A$3:$C$8,2,FALSE),"?"))</f>
        <v/>
      </c>
      <c r="BC127">
        <f>IF($P127="","",UPPER(TRIM(LEFT($P127&amp;",",FIND(",",$P127&amp;",")-1))))</f>
        <v/>
      </c>
      <c r="BD127">
        <f>IF($BC127="","",MID($BC127,4,FIND("~",SUBSTITUTE($BC127,"-","~",2))-4))</f>
        <v/>
      </c>
      <c r="BE127">
        <f>IF($BC127="","",MID($BC127,FIND("~",SUBSTITUTE($BC127,"-","~",2))+1,FIND("~",SUBSTITUTE($BC127,"-","~",3))-FIND("~",SUBSTITUTE($BC127,"-","~",2))-1))</f>
        <v/>
      </c>
      <c r="BF127">
        <f>IF($BD127="","",IFERROR(VLOOKUP($BD127,DECODE!$A$3:$C$8,3,FALSE),"?"))</f>
        <v/>
      </c>
      <c r="BG127">
        <f>IF($BE127="","",IFERROR(VLOOKUP($BD127&amp;"-"&amp;$BE127,DECODE!$E$3:$F$21,2,FALSE),"?"))</f>
        <v/>
      </c>
      <c r="BH127">
        <f>IF($BC127="","",IFERROR(VALUE(RIGHT($BC127,3)),""))</f>
        <v/>
      </c>
      <c r="BI127">
        <f>IF($V127="","",IFERROR(IF(ISNUMBER($V127),$V127,DATEVALUE(TRIM($V127))),""))</f>
        <v/>
      </c>
      <c r="BJ127">
        <f>IF($BI127="","",IF(MONTH($BI127)&gt;=12,"Cold Winter",IF(MONTH($BI127)&gt;=10,"Post-Monsoon",IF(MONTH($BI127)&gt;=6,"Hot Humid",IF(MONTH($BI127)&gt;=3,"Hot Dry","Cold Winter")))))</f>
        <v/>
      </c>
      <c r="BK127">
        <f>IF($BD127="","",IFERROR(VLOOKUP($BD127,DECODE!$A$3:$C$8,2,FALSE),"?"))</f>
        <v/>
      </c>
      <c r="BL127">
        <f>IF($Q127="","",UPPER(TRIM(LEFT($Q127&amp;",",FIND(",",$Q127&amp;",")-1))))</f>
        <v/>
      </c>
      <c r="BM127">
        <f>IF($BL127="","",MID($BL127,4,FIND("~",SUBSTITUTE($BL127,"-","~",2))-4))</f>
        <v/>
      </c>
      <c r="BN127">
        <f>IF($BL127="","",MID($BL127,FIND("~",SUBSTITUTE($BL127,"-","~",2))+1,FIND("~",SUBSTITUTE($BL127,"-","~",3))-FIND("~",SUBSTITUTE($BL127,"-","~",2))-1))</f>
        <v/>
      </c>
      <c r="BO127">
        <f>IF($BM127="","",IFERROR(VLOOKUP($BM127,DECODE!$A$3:$C$8,3,FALSE),"?"))</f>
        <v/>
      </c>
      <c r="BP127">
        <f>IF($BN127="","",IFERROR(VLOOKUP($BM127&amp;"-"&amp;$BN127,DECODE!$E$3:$F$21,2,FALSE),"?"))</f>
        <v/>
      </c>
      <c r="BQ127">
        <f>IF($BL127="","",IFERROR(VALUE(RIGHT($BL127,3)),""))</f>
        <v/>
      </c>
      <c r="BR127">
        <f>IF($W127="","",IFERROR(IF(ISNUMBER($W127),$W127,DATEVALUE(TRIM($W127))),""))</f>
        <v/>
      </c>
      <c r="BS127">
        <f>IF($BR127="","",IF(MONTH($BR127)&gt;=12,"Cold Winter",IF(MONTH($BR127)&gt;=10,"Post-Monsoon",IF(MONTH($BR127)&gt;=6,"Hot Humid",IF(MONTH($BR127)&gt;=3,"Hot Dry","Cold Winter")))))</f>
        <v/>
      </c>
      <c r="BT127">
        <f>IF($BM127="","",IFERROR(VLOOKUP($BM127,DECODE!$A$3:$C$8,2,FALSE),"?"))</f>
        <v/>
      </c>
      <c r="BU127">
        <f>IF($R127="","",UPPER(TRIM(LEFT($R127&amp;",",FIND(",",$R127&amp;",")-1))))</f>
        <v/>
      </c>
      <c r="BV127">
        <f>IF($BU127="","",MID($BU127,4,FIND("~",SUBSTITUTE($BU127,"-","~",2))-4))</f>
        <v/>
      </c>
      <c r="BW127">
        <f>IF($BU127="","",MID($BU127,FIND("~",SUBSTITUTE($BU127,"-","~",2))+1,FIND("~",SUBSTITUTE($BU127,"-","~",3))-FIND("~",SUBSTITUTE($BU127,"-","~",2))-1))</f>
        <v/>
      </c>
      <c r="BX127">
        <f>IF($BV127="","",IFERROR(VLOOKUP($BV127,DECODE!$A$3:$C$8,3,FALSE),"?"))</f>
        <v/>
      </c>
      <c r="BY127">
        <f>IF($BW127="","",IFERROR(VLOOKUP($BV127&amp;"-"&amp;$BW127,DECODE!$E$3:$F$21,2,FALSE),"?"))</f>
        <v/>
      </c>
      <c r="BZ127">
        <f>IF($BU127="","",IFERROR(VALUE(RIGHT($BU127,3)),""))</f>
        <v/>
      </c>
      <c r="CA127">
        <f>IF($X127="","",IFERROR(IF(ISNUMBER($X127),$X127,DATEVALUE(TRIM($X127))),""))</f>
        <v/>
      </c>
      <c r="CB127">
        <f>IF($CA127="","",IF(MONTH($CA127)&gt;=12,"Cold Winter",IF(MONTH($CA127)&gt;=10,"Post-Monsoon",IF(MONTH($CA127)&gt;=6,"Hot Humid",IF(MONTH($CA127)&gt;=3,"Hot Dry","Cold Winter")))))</f>
        <v/>
      </c>
      <c r="CC127">
        <f>IF($BV127="","",IFERROR(VLOOKUP($BV127,DECODE!$A$3:$C$8,2,FALSE),"?"))</f>
        <v/>
      </c>
      <c r="CD127">
        <f>IF($S127="","",UPPER(TRIM(LEFT($S127&amp;",",FIND(",",$S127&amp;",")-1))))</f>
        <v/>
      </c>
      <c r="CE127">
        <f>IF($CD127="","",MID($CD127,4,FIND("~",SUBSTITUTE($CD127,"-","~",2))-4))</f>
        <v/>
      </c>
      <c r="CF127">
        <f>IF($CD127="","",MID($CD127,FIND("~",SUBSTITUTE($CD127,"-","~",2))+1,FIND("~",SUBSTITUTE($CD127,"-","~",3))-FIND("~",SUBSTITUTE($CD127,"-","~",2))-1))</f>
        <v/>
      </c>
      <c r="CG127">
        <f>IF($CE127="","",IFERROR(VLOOKUP($CE127,DECODE!$A$3:$C$8,3,FALSE),"?"))</f>
        <v/>
      </c>
      <c r="CH127">
        <f>IF($CF127="","",IFERROR(VLOOKUP($CE127&amp;"-"&amp;$CF127,DECODE!$E$3:$F$21,2,FALSE),"?"))</f>
        <v/>
      </c>
      <c r="CI127">
        <f>IF($CD127="","",IFERROR(VALUE(RIGHT($CD127,3)),""))</f>
        <v/>
      </c>
      <c r="CJ127">
        <f>IF($Y127="","",IFERROR(IF(ISNUMBER($Y127),$Y127,DATEVALUE(TRIM($Y127))),""))</f>
        <v/>
      </c>
      <c r="CK127">
        <f>IF($CJ127="","",IF(MONTH($CJ127)&gt;=12,"Cold Winter",IF(MONTH($CJ127)&gt;=10,"Post-Monsoon",IF(MONTH($CJ127)&gt;=6,"Hot Humid",IF(MONTH($CJ127)&gt;=3,"Hot Dry","Cold Winter")))))</f>
        <v/>
      </c>
      <c r="CL127">
        <f>IF($CE127="","",IFERROR(VLOOKUP($CE127,DECODE!$A$3:$C$8,2,FALSE),"?"))</f>
        <v/>
      </c>
      <c r="CM127">
        <f>IF($AN127="","",AN127)</f>
        <v/>
      </c>
      <c r="CN127">
        <f>IF($AO127="","",AO127)</f>
        <v/>
      </c>
      <c r="CO127">
        <f>IF($AP127="","",AP127)</f>
        <v/>
      </c>
      <c r="CP127">
        <f>IF($CM127="","",IF($CM127="Aloe Vera Gel","Aloe Vera Gel "&amp;$CO127&amp;"g",CN127&amp;" "&amp;$CO127&amp;"g"))</f>
        <v/>
      </c>
      <c r="CQ127">
        <f>IF($AT127="",0,1)</f>
        <v/>
      </c>
      <c r="CR127">
        <f>IF($CQ127=0,"",AW127)</f>
        <v/>
      </c>
      <c r="CS127">
        <f>IF($CQ127=0,"",AX127)</f>
        <v/>
      </c>
      <c r="CT127">
        <f>IF($CQ127=0,"",AY127)</f>
        <v/>
      </c>
      <c r="CU127">
        <f>IF($CR127="","",IF($CR127="Aloe Vera Gel","Aloe Vera Gel "&amp;$CT127&amp;"g",CS127&amp;" "&amp;$CT127&amp;"g"))</f>
        <v/>
      </c>
      <c r="CV127">
        <f>IF($CQ127=0,"",IF($CP127=$CU127,"Repeat Exact",IF($CT127&gt;$CO127,"Upsized",IF($CT127&lt;$CO127,"Downsized",IF($CM127&lt;&gt;$CR127,"Lateral","Same Size Diff Variant")))))</f>
        <v/>
      </c>
      <c r="CW127">
        <f>IF($CQ127=0,"",AZ127-AQ127)</f>
        <v/>
      </c>
      <c r="CX127">
        <f>IF($CQ127=0,0,IF(CS127=CN127,1,0))</f>
        <v/>
      </c>
      <c r="CY127">
        <f>IF($CQ127=0,0,IF(CR127=CM127,1,0))</f>
        <v/>
      </c>
      <c r="CZ127">
        <f>IF($A127="","",IF(AND(IF(DASHBOARD!$C$4="All",TRUE,$CM127=DASHBOARD!$C$4),IF(DASHBOARD!$C$6="All",TRUE,$CP127=DASHBOARD!$C$6),IF(DASHBOARD!$C$8="All",TRUE,$AF127&gt;=DASHBOARD!$C$8),IF(DASHBOARD!$C$10="All",TRUE,$AF127&lt;=DASHBOARD!$C$10),IF(DASHBOARD!$C$12="All",TRUE,$AH127=VALUE(DASHBOARD!$C$12)),IF(DASHBOARD!$C$14="All",TRUE,$AJ127=DASHBOARD!$C$14)),1,0))</f>
        <v/>
      </c>
    </row>
    <row r="128">
      <c r="A128" t="n">
        <v>106609</v>
      </c>
      <c r="B128" t="inlineStr">
        <is>
          <t>Face Malai</t>
        </is>
      </c>
      <c r="H128" t="inlineStr">
        <is>
          <t>Honey Multi-Nut (Dry &amp; Peeling Skin) Face Malai</t>
        </is>
      </c>
      <c r="N128" t="inlineStr">
        <is>
          <t>FC-DM-DP-030</t>
        </is>
      </c>
      <c r="T128" t="inlineStr">
        <is>
          <t>Oct 28, 2025</t>
        </is>
      </c>
      <c r="AE128" t="inlineStr">
        <is>
          <t>Jaipur</t>
        </is>
      </c>
      <c r="AF128" t="inlineStr">
        <is>
          <t>2025-10</t>
        </is>
      </c>
      <c r="AG128" t="n">
        <v>10</v>
      </c>
      <c r="AH128" t="n">
        <v>1</v>
      </c>
      <c r="AI128" t="n">
        <v>0</v>
      </c>
      <c r="AJ128">
        <f>IF($AE128="","",IFERROR(VLOOKUP(TRIM($AE128),DECODE!$H$3:$I$60,2,FALSE),"Rest of India"))</f>
        <v/>
      </c>
      <c r="AK128">
        <f>IF($N128="","",UPPER(TRIM(LEFT($N128&amp;",",FIND(",",$N128&amp;",")-1))))</f>
        <v/>
      </c>
      <c r="AL128">
        <f>IF($AK128="","",MID($AK128,4,FIND("~",SUBSTITUTE($AK128,"-","~",2))-4))</f>
        <v/>
      </c>
      <c r="AM128">
        <f>IF($AK128="","",MID($AK128,FIND("~",SUBSTITUTE($AK128,"-","~",2))+1,FIND("~",SUBSTITUTE($AK128,"-","~",3))-FIND("~",SUBSTITUTE($AK128,"-","~",2))-1))</f>
        <v/>
      </c>
      <c r="AN128">
        <f>IF($AL128="","",IFERROR(VLOOKUP($AL128,DECODE!$A$3:$C$8,3,FALSE),"?"))</f>
        <v/>
      </c>
      <c r="AO128">
        <f>IF($AM128="","",IFERROR(VLOOKUP($AL128&amp;"-"&amp;$AM128,DECODE!$E$3:$F$21,2,FALSE),"?"))</f>
        <v/>
      </c>
      <c r="AP128">
        <f>IF($AK128="","",IFERROR(VALUE(RIGHT($AK128,3)),""))</f>
        <v/>
      </c>
      <c r="AQ128">
        <f>IF($T128="","",IFERROR(IF(ISNUMBER($T128),$T128,DATEVALUE(TRIM($T128))),""))</f>
        <v/>
      </c>
      <c r="AR128">
        <f>IF($AQ128="","",IF(MONTH($AQ128)&gt;=12,"Cold Winter",IF(MONTH($AQ128)&gt;=10,"Post-Monsoon",IF(MONTH($AQ128)&gt;=6,"Hot Humid",IF(MONTH($AQ128)&gt;=3,"Hot Dry","Cold Winter")))))</f>
        <v/>
      </c>
      <c r="AS128">
        <f>IF($AL128="","",IFERROR(VLOOKUP($AL128,DECODE!$A$3:$C$8,2,FALSE),"?"))</f>
        <v/>
      </c>
      <c r="AT128">
        <f>IF($O128="","",UPPER(TRIM(LEFT($O128&amp;",",FIND(",",$O128&amp;",")-1))))</f>
        <v/>
      </c>
      <c r="AU128">
        <f>IF($AT128="","",MID($AT128,4,FIND("~",SUBSTITUTE($AT128,"-","~",2))-4))</f>
        <v/>
      </c>
      <c r="AV128">
        <f>IF($AT128="","",MID($AT128,FIND("~",SUBSTITUTE($AT128,"-","~",2))+1,FIND("~",SUBSTITUTE($AT128,"-","~",3))-FIND("~",SUBSTITUTE($AT128,"-","~",2))-1))</f>
        <v/>
      </c>
      <c r="AW128">
        <f>IF($AU128="","",IFERROR(VLOOKUP($AU128,DECODE!$A$3:$C$8,3,FALSE),"?"))</f>
        <v/>
      </c>
      <c r="AX128">
        <f>IF($AV128="","",IFERROR(VLOOKUP($AU128&amp;"-"&amp;$AV128,DECODE!$E$3:$F$21,2,FALSE),"?"))</f>
        <v/>
      </c>
      <c r="AY128">
        <f>IF($AT128="","",IFERROR(VALUE(RIGHT($AT128,3)),""))</f>
        <v/>
      </c>
      <c r="AZ128">
        <f>IF($U128="","",IFERROR(IF(ISNUMBER($U128),$U128,DATEVALUE(TRIM($U128))),""))</f>
        <v/>
      </c>
      <c r="BA128">
        <f>IF($AZ128="","",IF(MONTH($AZ128)&gt;=12,"Cold Winter",IF(MONTH($AZ128)&gt;=10,"Post-Monsoon",IF(MONTH($AZ128)&gt;=6,"Hot Humid",IF(MONTH($AZ128)&gt;=3,"Hot Dry","Cold Winter")))))</f>
        <v/>
      </c>
      <c r="BB128">
        <f>IF($AU128="","",IFERROR(VLOOKUP($AU128,DECODE!$A$3:$C$8,2,FALSE),"?"))</f>
        <v/>
      </c>
      <c r="BC128">
        <f>IF($P128="","",UPPER(TRIM(LEFT($P128&amp;",",FIND(",",$P128&amp;",")-1))))</f>
        <v/>
      </c>
      <c r="BD128">
        <f>IF($BC128="","",MID($BC128,4,FIND("~",SUBSTITUTE($BC128,"-","~",2))-4))</f>
        <v/>
      </c>
      <c r="BE128">
        <f>IF($BC128="","",MID($BC128,FIND("~",SUBSTITUTE($BC128,"-","~",2))+1,FIND("~",SUBSTITUTE($BC128,"-","~",3))-FIND("~",SUBSTITUTE($BC128,"-","~",2))-1))</f>
        <v/>
      </c>
      <c r="BF128">
        <f>IF($BD128="","",IFERROR(VLOOKUP($BD128,DECODE!$A$3:$C$8,3,FALSE),"?"))</f>
        <v/>
      </c>
      <c r="BG128">
        <f>IF($BE128="","",IFERROR(VLOOKUP($BD128&amp;"-"&amp;$BE128,DECODE!$E$3:$F$21,2,FALSE),"?"))</f>
        <v/>
      </c>
      <c r="BH128">
        <f>IF($BC128="","",IFERROR(VALUE(RIGHT($BC128,3)),""))</f>
        <v/>
      </c>
      <c r="BI128">
        <f>IF($V128="","",IFERROR(IF(ISNUMBER($V128),$V128,DATEVALUE(TRIM($V128))),""))</f>
        <v/>
      </c>
      <c r="BJ128">
        <f>IF($BI128="","",IF(MONTH($BI128)&gt;=12,"Cold Winter",IF(MONTH($BI128)&gt;=10,"Post-Monsoon",IF(MONTH($BI128)&gt;=6,"Hot Humid",IF(MONTH($BI128)&gt;=3,"Hot Dry","Cold Winter")))))</f>
        <v/>
      </c>
      <c r="BK128">
        <f>IF($BD128="","",IFERROR(VLOOKUP($BD128,DECODE!$A$3:$C$8,2,FALSE),"?"))</f>
        <v/>
      </c>
      <c r="BL128">
        <f>IF($Q128="","",UPPER(TRIM(LEFT($Q128&amp;",",FIND(",",$Q128&amp;",")-1))))</f>
        <v/>
      </c>
      <c r="BM128">
        <f>IF($BL128="","",MID($BL128,4,FIND("~",SUBSTITUTE($BL128,"-","~",2))-4))</f>
        <v/>
      </c>
      <c r="BN128">
        <f>IF($BL128="","",MID($BL128,FIND("~",SUBSTITUTE($BL128,"-","~",2))+1,FIND("~",SUBSTITUTE($BL128,"-","~",3))-FIND("~",SUBSTITUTE($BL128,"-","~",2))-1))</f>
        <v/>
      </c>
      <c r="BO128">
        <f>IF($BM128="","",IFERROR(VLOOKUP($BM128,DECODE!$A$3:$C$8,3,FALSE),"?"))</f>
        <v/>
      </c>
      <c r="BP128">
        <f>IF($BN128="","",IFERROR(VLOOKUP($BM128&amp;"-"&amp;$BN128,DECODE!$E$3:$F$21,2,FALSE),"?"))</f>
        <v/>
      </c>
      <c r="BQ128">
        <f>IF($BL128="","",IFERROR(VALUE(RIGHT($BL128,3)),""))</f>
        <v/>
      </c>
      <c r="BR128">
        <f>IF($W128="","",IFERROR(IF(ISNUMBER($W128),$W128,DATEVALUE(TRIM($W128))),""))</f>
        <v/>
      </c>
      <c r="BS128">
        <f>IF($BR128="","",IF(MONTH($BR128)&gt;=12,"Cold Winter",IF(MONTH($BR128)&gt;=10,"Post-Monsoon",IF(MONTH($BR128)&gt;=6,"Hot Humid",IF(MONTH($BR128)&gt;=3,"Hot Dry","Cold Winter")))))</f>
        <v/>
      </c>
      <c r="BT128">
        <f>IF($BM128="","",IFERROR(VLOOKUP($BM128,DECODE!$A$3:$C$8,2,FALSE),"?"))</f>
        <v/>
      </c>
      <c r="BU128">
        <f>IF($R128="","",UPPER(TRIM(LEFT($R128&amp;",",FIND(",",$R128&amp;",")-1))))</f>
        <v/>
      </c>
      <c r="BV128">
        <f>IF($BU128="","",MID($BU128,4,FIND("~",SUBSTITUTE($BU128,"-","~",2))-4))</f>
        <v/>
      </c>
      <c r="BW128">
        <f>IF($BU128="","",MID($BU128,FIND("~",SUBSTITUTE($BU128,"-","~",2))+1,FIND("~",SUBSTITUTE($BU128,"-","~",3))-FIND("~",SUBSTITUTE($BU128,"-","~",2))-1))</f>
        <v/>
      </c>
      <c r="BX128">
        <f>IF($BV128="","",IFERROR(VLOOKUP($BV128,DECODE!$A$3:$C$8,3,FALSE),"?"))</f>
        <v/>
      </c>
      <c r="BY128">
        <f>IF($BW128="","",IFERROR(VLOOKUP($BV128&amp;"-"&amp;$BW128,DECODE!$E$3:$F$21,2,FALSE),"?"))</f>
        <v/>
      </c>
      <c r="BZ128">
        <f>IF($BU128="","",IFERROR(VALUE(RIGHT($BU128,3)),""))</f>
        <v/>
      </c>
      <c r="CA128">
        <f>IF($X128="","",IFERROR(IF(ISNUMBER($X128),$X128,DATEVALUE(TRIM($X128))),""))</f>
        <v/>
      </c>
      <c r="CB128">
        <f>IF($CA128="","",IF(MONTH($CA128)&gt;=12,"Cold Winter",IF(MONTH($CA128)&gt;=10,"Post-Monsoon",IF(MONTH($CA128)&gt;=6,"Hot Humid",IF(MONTH($CA128)&gt;=3,"Hot Dry","Cold Winter")))))</f>
        <v/>
      </c>
      <c r="CC128">
        <f>IF($BV128="","",IFERROR(VLOOKUP($BV128,DECODE!$A$3:$C$8,2,FALSE),"?"))</f>
        <v/>
      </c>
      <c r="CD128">
        <f>IF($S128="","",UPPER(TRIM(LEFT($S128&amp;",",FIND(",",$S128&amp;",")-1))))</f>
        <v/>
      </c>
      <c r="CE128">
        <f>IF($CD128="","",MID($CD128,4,FIND("~",SUBSTITUTE($CD128,"-","~",2))-4))</f>
        <v/>
      </c>
      <c r="CF128">
        <f>IF($CD128="","",MID($CD128,FIND("~",SUBSTITUTE($CD128,"-","~",2))+1,FIND("~",SUBSTITUTE($CD128,"-","~",3))-FIND("~",SUBSTITUTE($CD128,"-","~",2))-1))</f>
        <v/>
      </c>
      <c r="CG128">
        <f>IF($CE128="","",IFERROR(VLOOKUP($CE128,DECODE!$A$3:$C$8,3,FALSE),"?"))</f>
        <v/>
      </c>
      <c r="CH128">
        <f>IF($CF128="","",IFERROR(VLOOKUP($CE128&amp;"-"&amp;$CF128,DECODE!$E$3:$F$21,2,FALSE),"?"))</f>
        <v/>
      </c>
      <c r="CI128">
        <f>IF($CD128="","",IFERROR(VALUE(RIGHT($CD128,3)),""))</f>
        <v/>
      </c>
      <c r="CJ128">
        <f>IF($Y128="","",IFERROR(IF(ISNUMBER($Y128),$Y128,DATEVALUE(TRIM($Y128))),""))</f>
        <v/>
      </c>
      <c r="CK128">
        <f>IF($CJ128="","",IF(MONTH($CJ128)&gt;=12,"Cold Winter",IF(MONTH($CJ128)&gt;=10,"Post-Monsoon",IF(MONTH($CJ128)&gt;=6,"Hot Humid",IF(MONTH($CJ128)&gt;=3,"Hot Dry","Cold Winter")))))</f>
        <v/>
      </c>
      <c r="CL128">
        <f>IF($CE128="","",IFERROR(VLOOKUP($CE128,DECODE!$A$3:$C$8,2,FALSE),"?"))</f>
        <v/>
      </c>
      <c r="CM128">
        <f>IF($AN128="","",AN128)</f>
        <v/>
      </c>
      <c r="CN128">
        <f>IF($AO128="","",AO128)</f>
        <v/>
      </c>
      <c r="CO128">
        <f>IF($AP128="","",AP128)</f>
        <v/>
      </c>
      <c r="CP128">
        <f>IF($CM128="","",IF($CM128="Aloe Vera Gel","Aloe Vera Gel "&amp;$CO128&amp;"g",CN128&amp;" "&amp;$CO128&amp;"g"))</f>
        <v/>
      </c>
      <c r="CQ128">
        <f>IF($AT128="",0,1)</f>
        <v/>
      </c>
      <c r="CR128">
        <f>IF($CQ128=0,"",AW128)</f>
        <v/>
      </c>
      <c r="CS128">
        <f>IF($CQ128=0,"",AX128)</f>
        <v/>
      </c>
      <c r="CT128">
        <f>IF($CQ128=0,"",AY128)</f>
        <v/>
      </c>
      <c r="CU128">
        <f>IF($CR128="","",IF($CR128="Aloe Vera Gel","Aloe Vera Gel "&amp;$CT128&amp;"g",CS128&amp;" "&amp;$CT128&amp;"g"))</f>
        <v/>
      </c>
      <c r="CV128">
        <f>IF($CQ128=0,"",IF($CP128=$CU128,"Repeat Exact",IF($CT128&gt;$CO128,"Upsized",IF($CT128&lt;$CO128,"Downsized",IF($CM128&lt;&gt;$CR128,"Lateral","Same Size Diff Variant")))))</f>
        <v/>
      </c>
      <c r="CW128">
        <f>IF($CQ128=0,"",AZ128-AQ128)</f>
        <v/>
      </c>
      <c r="CX128">
        <f>IF($CQ128=0,0,IF(CS128=CN128,1,0))</f>
        <v/>
      </c>
      <c r="CY128">
        <f>IF($CQ128=0,0,IF(CR128=CM128,1,0))</f>
        <v/>
      </c>
      <c r="CZ128">
        <f>IF($A128="","",IF(AND(IF(DASHBOARD!$C$4="All",TRUE,$CM128=DASHBOARD!$C$4),IF(DASHBOARD!$C$6="All",TRUE,$CP128=DASHBOARD!$C$6),IF(DASHBOARD!$C$8="All",TRUE,$AF128&gt;=DASHBOARD!$C$8),IF(DASHBOARD!$C$10="All",TRUE,$AF128&lt;=DASHBOARD!$C$10),IF(DASHBOARD!$C$12="All",TRUE,$AH128=VALUE(DASHBOARD!$C$12)),IF(DASHBOARD!$C$14="All",TRUE,$AJ128=DASHBOARD!$C$14)),1,0))</f>
        <v/>
      </c>
    </row>
    <row r="129">
      <c r="A129" t="n">
        <v>106715</v>
      </c>
      <c r="B129" t="inlineStr">
        <is>
          <t>Aloe Vera Gel</t>
        </is>
      </c>
      <c r="H129" t="inlineStr">
        <is>
          <t>Aloe Vera Gel - 40 gms</t>
        </is>
      </c>
      <c r="N129" t="inlineStr">
        <is>
          <t>FC-HG-PA-040</t>
        </is>
      </c>
      <c r="T129" t="inlineStr">
        <is>
          <t>May 23, 2024</t>
        </is>
      </c>
      <c r="AE129" t="inlineStr">
        <is>
          <t>New Delhi</t>
        </is>
      </c>
      <c r="AF129" t="inlineStr">
        <is>
          <t>2024-05</t>
        </is>
      </c>
      <c r="AG129" t="n">
        <v>5</v>
      </c>
      <c r="AH129" t="n">
        <v>1</v>
      </c>
      <c r="AI129" t="n">
        <v>0</v>
      </c>
      <c r="AJ129">
        <f>IF($AE129="","",IFERROR(VLOOKUP(TRIM($AE129),DECODE!$H$3:$I$60,2,FALSE),"Rest of India"))</f>
        <v/>
      </c>
      <c r="AK129">
        <f>IF($N129="","",UPPER(TRIM(LEFT($N129&amp;",",FIND(",",$N129&amp;",")-1))))</f>
        <v/>
      </c>
      <c r="AL129">
        <f>IF($AK129="","",MID($AK129,4,FIND("~",SUBSTITUTE($AK129,"-","~",2))-4))</f>
        <v/>
      </c>
      <c r="AM129">
        <f>IF($AK129="","",MID($AK129,FIND("~",SUBSTITUTE($AK129,"-","~",2))+1,FIND("~",SUBSTITUTE($AK129,"-","~",3))-FIND("~",SUBSTITUTE($AK129,"-","~",2))-1))</f>
        <v/>
      </c>
      <c r="AN129">
        <f>IF($AL129="","",IFERROR(VLOOKUP($AL129,DECODE!$A$3:$C$8,3,FALSE),"?"))</f>
        <v/>
      </c>
      <c r="AO129">
        <f>IF($AM129="","",IFERROR(VLOOKUP($AL129&amp;"-"&amp;$AM129,DECODE!$E$3:$F$21,2,FALSE),"?"))</f>
        <v/>
      </c>
      <c r="AP129">
        <f>IF($AK129="","",IFERROR(VALUE(RIGHT($AK129,3)),""))</f>
        <v/>
      </c>
      <c r="AQ129">
        <f>IF($T129="","",IFERROR(IF(ISNUMBER($T129),$T129,DATEVALUE(TRIM($T129))),""))</f>
        <v/>
      </c>
      <c r="AR129">
        <f>IF($AQ129="","",IF(MONTH($AQ129)&gt;=12,"Cold Winter",IF(MONTH($AQ129)&gt;=10,"Post-Monsoon",IF(MONTH($AQ129)&gt;=6,"Hot Humid",IF(MONTH($AQ129)&gt;=3,"Hot Dry","Cold Winter")))))</f>
        <v/>
      </c>
      <c r="AS129">
        <f>IF($AL129="","",IFERROR(VLOOKUP($AL129,DECODE!$A$3:$C$8,2,FALSE),"?"))</f>
        <v/>
      </c>
      <c r="AT129">
        <f>IF($O129="","",UPPER(TRIM(LEFT($O129&amp;",",FIND(",",$O129&amp;",")-1))))</f>
        <v/>
      </c>
      <c r="AU129">
        <f>IF($AT129="","",MID($AT129,4,FIND("~",SUBSTITUTE($AT129,"-","~",2))-4))</f>
        <v/>
      </c>
      <c r="AV129">
        <f>IF($AT129="","",MID($AT129,FIND("~",SUBSTITUTE($AT129,"-","~",2))+1,FIND("~",SUBSTITUTE($AT129,"-","~",3))-FIND("~",SUBSTITUTE($AT129,"-","~",2))-1))</f>
        <v/>
      </c>
      <c r="AW129">
        <f>IF($AU129="","",IFERROR(VLOOKUP($AU129,DECODE!$A$3:$C$8,3,FALSE),"?"))</f>
        <v/>
      </c>
      <c r="AX129">
        <f>IF($AV129="","",IFERROR(VLOOKUP($AU129&amp;"-"&amp;$AV129,DECODE!$E$3:$F$21,2,FALSE),"?"))</f>
        <v/>
      </c>
      <c r="AY129">
        <f>IF($AT129="","",IFERROR(VALUE(RIGHT($AT129,3)),""))</f>
        <v/>
      </c>
      <c r="AZ129">
        <f>IF($U129="","",IFERROR(IF(ISNUMBER($U129),$U129,DATEVALUE(TRIM($U129))),""))</f>
        <v/>
      </c>
      <c r="BA129">
        <f>IF($AZ129="","",IF(MONTH($AZ129)&gt;=12,"Cold Winter",IF(MONTH($AZ129)&gt;=10,"Post-Monsoon",IF(MONTH($AZ129)&gt;=6,"Hot Humid",IF(MONTH($AZ129)&gt;=3,"Hot Dry","Cold Winter")))))</f>
        <v/>
      </c>
      <c r="BB129">
        <f>IF($AU129="","",IFERROR(VLOOKUP($AU129,DECODE!$A$3:$C$8,2,FALSE),"?"))</f>
        <v/>
      </c>
      <c r="BC129">
        <f>IF($P129="","",UPPER(TRIM(LEFT($P129&amp;",",FIND(",",$P129&amp;",")-1))))</f>
        <v/>
      </c>
      <c r="BD129">
        <f>IF($BC129="","",MID($BC129,4,FIND("~",SUBSTITUTE($BC129,"-","~",2))-4))</f>
        <v/>
      </c>
      <c r="BE129">
        <f>IF($BC129="","",MID($BC129,FIND("~",SUBSTITUTE($BC129,"-","~",2))+1,FIND("~",SUBSTITUTE($BC129,"-","~",3))-FIND("~",SUBSTITUTE($BC129,"-","~",2))-1))</f>
        <v/>
      </c>
      <c r="BF129">
        <f>IF($BD129="","",IFERROR(VLOOKUP($BD129,DECODE!$A$3:$C$8,3,FALSE),"?"))</f>
        <v/>
      </c>
      <c r="BG129">
        <f>IF($BE129="","",IFERROR(VLOOKUP($BD129&amp;"-"&amp;$BE129,DECODE!$E$3:$F$21,2,FALSE),"?"))</f>
        <v/>
      </c>
      <c r="BH129">
        <f>IF($BC129="","",IFERROR(VALUE(RIGHT($BC129,3)),""))</f>
        <v/>
      </c>
      <c r="BI129">
        <f>IF($V129="","",IFERROR(IF(ISNUMBER($V129),$V129,DATEVALUE(TRIM($V129))),""))</f>
        <v/>
      </c>
      <c r="BJ129">
        <f>IF($BI129="","",IF(MONTH($BI129)&gt;=12,"Cold Winter",IF(MONTH($BI129)&gt;=10,"Post-Monsoon",IF(MONTH($BI129)&gt;=6,"Hot Humid",IF(MONTH($BI129)&gt;=3,"Hot Dry","Cold Winter")))))</f>
        <v/>
      </c>
      <c r="BK129">
        <f>IF($BD129="","",IFERROR(VLOOKUP($BD129,DECODE!$A$3:$C$8,2,FALSE),"?"))</f>
        <v/>
      </c>
      <c r="BL129">
        <f>IF($Q129="","",UPPER(TRIM(LEFT($Q129&amp;",",FIND(",",$Q129&amp;",")-1))))</f>
        <v/>
      </c>
      <c r="BM129">
        <f>IF($BL129="","",MID($BL129,4,FIND("~",SUBSTITUTE($BL129,"-","~",2))-4))</f>
        <v/>
      </c>
      <c r="BN129">
        <f>IF($BL129="","",MID($BL129,FIND("~",SUBSTITUTE($BL129,"-","~",2))+1,FIND("~",SUBSTITUTE($BL129,"-","~",3))-FIND("~",SUBSTITUTE($BL129,"-","~",2))-1))</f>
        <v/>
      </c>
      <c r="BO129">
        <f>IF($BM129="","",IFERROR(VLOOKUP($BM129,DECODE!$A$3:$C$8,3,FALSE),"?"))</f>
        <v/>
      </c>
      <c r="BP129">
        <f>IF($BN129="","",IFERROR(VLOOKUP($BM129&amp;"-"&amp;$BN129,DECODE!$E$3:$F$21,2,FALSE),"?"))</f>
        <v/>
      </c>
      <c r="BQ129">
        <f>IF($BL129="","",IFERROR(VALUE(RIGHT($BL129,3)),""))</f>
        <v/>
      </c>
      <c r="BR129">
        <f>IF($W129="","",IFERROR(IF(ISNUMBER($W129),$W129,DATEVALUE(TRIM($W129))),""))</f>
        <v/>
      </c>
      <c r="BS129">
        <f>IF($BR129="","",IF(MONTH($BR129)&gt;=12,"Cold Winter",IF(MONTH($BR129)&gt;=10,"Post-Monsoon",IF(MONTH($BR129)&gt;=6,"Hot Humid",IF(MONTH($BR129)&gt;=3,"Hot Dry","Cold Winter")))))</f>
        <v/>
      </c>
      <c r="BT129">
        <f>IF($BM129="","",IFERROR(VLOOKUP($BM129,DECODE!$A$3:$C$8,2,FALSE),"?"))</f>
        <v/>
      </c>
      <c r="BU129">
        <f>IF($R129="","",UPPER(TRIM(LEFT($R129&amp;",",FIND(",",$R129&amp;",")-1))))</f>
        <v/>
      </c>
      <c r="BV129">
        <f>IF($BU129="","",MID($BU129,4,FIND("~",SUBSTITUTE($BU129,"-","~",2))-4))</f>
        <v/>
      </c>
      <c r="BW129">
        <f>IF($BU129="","",MID($BU129,FIND("~",SUBSTITUTE($BU129,"-","~",2))+1,FIND("~",SUBSTITUTE($BU129,"-","~",3))-FIND("~",SUBSTITUTE($BU129,"-","~",2))-1))</f>
        <v/>
      </c>
      <c r="BX129">
        <f>IF($BV129="","",IFERROR(VLOOKUP($BV129,DECODE!$A$3:$C$8,3,FALSE),"?"))</f>
        <v/>
      </c>
      <c r="BY129">
        <f>IF($BW129="","",IFERROR(VLOOKUP($BV129&amp;"-"&amp;$BW129,DECODE!$E$3:$F$21,2,FALSE),"?"))</f>
        <v/>
      </c>
      <c r="BZ129">
        <f>IF($BU129="","",IFERROR(VALUE(RIGHT($BU129,3)),""))</f>
        <v/>
      </c>
      <c r="CA129">
        <f>IF($X129="","",IFERROR(IF(ISNUMBER($X129),$X129,DATEVALUE(TRIM($X129))),""))</f>
        <v/>
      </c>
      <c r="CB129">
        <f>IF($CA129="","",IF(MONTH($CA129)&gt;=12,"Cold Winter",IF(MONTH($CA129)&gt;=10,"Post-Monsoon",IF(MONTH($CA129)&gt;=6,"Hot Humid",IF(MONTH($CA129)&gt;=3,"Hot Dry","Cold Winter")))))</f>
        <v/>
      </c>
      <c r="CC129">
        <f>IF($BV129="","",IFERROR(VLOOKUP($BV129,DECODE!$A$3:$C$8,2,FALSE),"?"))</f>
        <v/>
      </c>
      <c r="CD129">
        <f>IF($S129="","",UPPER(TRIM(LEFT($S129&amp;",",FIND(",",$S129&amp;",")-1))))</f>
        <v/>
      </c>
      <c r="CE129">
        <f>IF($CD129="","",MID($CD129,4,FIND("~",SUBSTITUTE($CD129,"-","~",2))-4))</f>
        <v/>
      </c>
      <c r="CF129">
        <f>IF($CD129="","",MID($CD129,FIND("~",SUBSTITUTE($CD129,"-","~",2))+1,FIND("~",SUBSTITUTE($CD129,"-","~",3))-FIND("~",SUBSTITUTE($CD129,"-","~",2))-1))</f>
        <v/>
      </c>
      <c r="CG129">
        <f>IF($CE129="","",IFERROR(VLOOKUP($CE129,DECODE!$A$3:$C$8,3,FALSE),"?"))</f>
        <v/>
      </c>
      <c r="CH129">
        <f>IF($CF129="","",IFERROR(VLOOKUP($CE129&amp;"-"&amp;$CF129,DECODE!$E$3:$F$21,2,FALSE),"?"))</f>
        <v/>
      </c>
      <c r="CI129">
        <f>IF($CD129="","",IFERROR(VALUE(RIGHT($CD129,3)),""))</f>
        <v/>
      </c>
      <c r="CJ129">
        <f>IF($Y129="","",IFERROR(IF(ISNUMBER($Y129),$Y129,DATEVALUE(TRIM($Y129))),""))</f>
        <v/>
      </c>
      <c r="CK129">
        <f>IF($CJ129="","",IF(MONTH($CJ129)&gt;=12,"Cold Winter",IF(MONTH($CJ129)&gt;=10,"Post-Monsoon",IF(MONTH($CJ129)&gt;=6,"Hot Humid",IF(MONTH($CJ129)&gt;=3,"Hot Dry","Cold Winter")))))</f>
        <v/>
      </c>
      <c r="CL129">
        <f>IF($CE129="","",IFERROR(VLOOKUP($CE129,DECODE!$A$3:$C$8,2,FALSE),"?"))</f>
        <v/>
      </c>
      <c r="CM129">
        <f>IF($AN129="","",AN129)</f>
        <v/>
      </c>
      <c r="CN129">
        <f>IF($AO129="","",AO129)</f>
        <v/>
      </c>
      <c r="CO129">
        <f>IF($AP129="","",AP129)</f>
        <v/>
      </c>
      <c r="CP129">
        <f>IF($CM129="","",IF($CM129="Aloe Vera Gel","Aloe Vera Gel "&amp;$CO129&amp;"g",CN129&amp;" "&amp;$CO129&amp;"g"))</f>
        <v/>
      </c>
      <c r="CQ129">
        <f>IF($AT129="",0,1)</f>
        <v/>
      </c>
      <c r="CR129">
        <f>IF($CQ129=0,"",AW129)</f>
        <v/>
      </c>
      <c r="CS129">
        <f>IF($CQ129=0,"",AX129)</f>
        <v/>
      </c>
      <c r="CT129">
        <f>IF($CQ129=0,"",AY129)</f>
        <v/>
      </c>
      <c r="CU129">
        <f>IF($CR129="","",IF($CR129="Aloe Vera Gel","Aloe Vera Gel "&amp;$CT129&amp;"g",CS129&amp;" "&amp;$CT129&amp;"g"))</f>
        <v/>
      </c>
      <c r="CV129">
        <f>IF($CQ129=0,"",IF($CP129=$CU129,"Repeat Exact",IF($CT129&gt;$CO129,"Upsized",IF($CT129&lt;$CO129,"Downsized",IF($CM129&lt;&gt;$CR129,"Lateral","Same Size Diff Variant")))))</f>
        <v/>
      </c>
      <c r="CW129">
        <f>IF($CQ129=0,"",AZ129-AQ129)</f>
        <v/>
      </c>
      <c r="CX129">
        <f>IF($CQ129=0,0,IF(CS129=CN129,1,0))</f>
        <v/>
      </c>
      <c r="CY129">
        <f>IF($CQ129=0,0,IF(CR129=CM129,1,0))</f>
        <v/>
      </c>
      <c r="CZ129">
        <f>IF($A129="","",IF(AND(IF(DASHBOARD!$C$4="All",TRUE,$CM129=DASHBOARD!$C$4),IF(DASHBOARD!$C$6="All",TRUE,$CP129=DASHBOARD!$C$6),IF(DASHBOARD!$C$8="All",TRUE,$AF129&gt;=DASHBOARD!$C$8),IF(DASHBOARD!$C$10="All",TRUE,$AF129&lt;=DASHBOARD!$C$10),IF(DASHBOARD!$C$12="All",TRUE,$AH129=VALUE(DASHBOARD!$C$12)),IF(DASHBOARD!$C$14="All",TRUE,$AJ129=DASHBOARD!$C$14)),1,0))</f>
        <v/>
      </c>
    </row>
    <row r="130">
      <c r="A130" t="n">
        <v>106993</v>
      </c>
      <c r="B130" t="inlineStr">
        <is>
          <t>Face Malai</t>
        </is>
      </c>
      <c r="H130" t="inlineStr">
        <is>
          <t>Flax Walnut (Cold) 35+ Face Malai</t>
        </is>
      </c>
      <c r="N130" t="inlineStr">
        <is>
          <t>FC-CWDM-FW-030</t>
        </is>
      </c>
      <c r="T130" t="inlineStr">
        <is>
          <t>Jan 6, 2024</t>
        </is>
      </c>
      <c r="AE130" t="inlineStr">
        <is>
          <t>Bengaluru</t>
        </is>
      </c>
      <c r="AF130" t="inlineStr">
        <is>
          <t>2024-01</t>
        </is>
      </c>
      <c r="AG130" t="n">
        <v>1</v>
      </c>
      <c r="AH130" t="n">
        <v>1</v>
      </c>
      <c r="AI130" t="n">
        <v>0</v>
      </c>
      <c r="AJ130">
        <f>IF($AE130="","",IFERROR(VLOOKUP(TRIM($AE130),DECODE!$H$3:$I$60,2,FALSE),"Rest of India"))</f>
        <v/>
      </c>
      <c r="AK130">
        <f>IF($N130="","",UPPER(TRIM(LEFT($N130&amp;",",FIND(",",$N130&amp;",")-1))))</f>
        <v/>
      </c>
      <c r="AL130">
        <f>IF($AK130="","",MID($AK130,4,FIND("~",SUBSTITUTE($AK130,"-","~",2))-4))</f>
        <v/>
      </c>
      <c r="AM130">
        <f>IF($AK130="","",MID($AK130,FIND("~",SUBSTITUTE($AK130,"-","~",2))+1,FIND("~",SUBSTITUTE($AK130,"-","~",3))-FIND("~",SUBSTITUTE($AK130,"-","~",2))-1))</f>
        <v/>
      </c>
      <c r="AN130">
        <f>IF($AL130="","",IFERROR(VLOOKUP($AL130,DECODE!$A$3:$C$8,3,FALSE),"?"))</f>
        <v/>
      </c>
      <c r="AO130">
        <f>IF($AM130="","",IFERROR(VLOOKUP($AL130&amp;"-"&amp;$AM130,DECODE!$E$3:$F$21,2,FALSE),"?"))</f>
        <v/>
      </c>
      <c r="AP130">
        <f>IF($AK130="","",IFERROR(VALUE(RIGHT($AK130,3)),""))</f>
        <v/>
      </c>
      <c r="AQ130">
        <f>IF($T130="","",IFERROR(IF(ISNUMBER($T130),$T130,DATEVALUE(TRIM($T130))),""))</f>
        <v/>
      </c>
      <c r="AR130">
        <f>IF($AQ130="","",IF(MONTH($AQ130)&gt;=12,"Cold Winter",IF(MONTH($AQ130)&gt;=10,"Post-Monsoon",IF(MONTH($AQ130)&gt;=6,"Hot Humid",IF(MONTH($AQ130)&gt;=3,"Hot Dry","Cold Winter")))))</f>
        <v/>
      </c>
      <c r="AS130">
        <f>IF($AL130="","",IFERROR(VLOOKUP($AL130,DECODE!$A$3:$C$8,2,FALSE),"?"))</f>
        <v/>
      </c>
      <c r="AT130">
        <f>IF($O130="","",UPPER(TRIM(LEFT($O130&amp;",",FIND(",",$O130&amp;",")-1))))</f>
        <v/>
      </c>
      <c r="AU130">
        <f>IF($AT130="","",MID($AT130,4,FIND("~",SUBSTITUTE($AT130,"-","~",2))-4))</f>
        <v/>
      </c>
      <c r="AV130">
        <f>IF($AT130="","",MID($AT130,FIND("~",SUBSTITUTE($AT130,"-","~",2))+1,FIND("~",SUBSTITUTE($AT130,"-","~",3))-FIND("~",SUBSTITUTE($AT130,"-","~",2))-1))</f>
        <v/>
      </c>
      <c r="AW130">
        <f>IF($AU130="","",IFERROR(VLOOKUP($AU130,DECODE!$A$3:$C$8,3,FALSE),"?"))</f>
        <v/>
      </c>
      <c r="AX130">
        <f>IF($AV130="","",IFERROR(VLOOKUP($AU130&amp;"-"&amp;$AV130,DECODE!$E$3:$F$21,2,FALSE),"?"))</f>
        <v/>
      </c>
      <c r="AY130">
        <f>IF($AT130="","",IFERROR(VALUE(RIGHT($AT130,3)),""))</f>
        <v/>
      </c>
      <c r="AZ130">
        <f>IF($U130="","",IFERROR(IF(ISNUMBER($U130),$U130,DATEVALUE(TRIM($U130))),""))</f>
        <v/>
      </c>
      <c r="BA130">
        <f>IF($AZ130="","",IF(MONTH($AZ130)&gt;=12,"Cold Winter",IF(MONTH($AZ130)&gt;=10,"Post-Monsoon",IF(MONTH($AZ130)&gt;=6,"Hot Humid",IF(MONTH($AZ130)&gt;=3,"Hot Dry","Cold Winter")))))</f>
        <v/>
      </c>
      <c r="BB130">
        <f>IF($AU130="","",IFERROR(VLOOKUP($AU130,DECODE!$A$3:$C$8,2,FALSE),"?"))</f>
        <v/>
      </c>
      <c r="BC130">
        <f>IF($P130="","",UPPER(TRIM(LEFT($P130&amp;",",FIND(",",$P130&amp;",")-1))))</f>
        <v/>
      </c>
      <c r="BD130">
        <f>IF($BC130="","",MID($BC130,4,FIND("~",SUBSTITUTE($BC130,"-","~",2))-4))</f>
        <v/>
      </c>
      <c r="BE130">
        <f>IF($BC130="","",MID($BC130,FIND("~",SUBSTITUTE($BC130,"-","~",2))+1,FIND("~",SUBSTITUTE($BC130,"-","~",3))-FIND("~",SUBSTITUTE($BC130,"-","~",2))-1))</f>
        <v/>
      </c>
      <c r="BF130">
        <f>IF($BD130="","",IFERROR(VLOOKUP($BD130,DECODE!$A$3:$C$8,3,FALSE),"?"))</f>
        <v/>
      </c>
      <c r="BG130">
        <f>IF($BE130="","",IFERROR(VLOOKUP($BD130&amp;"-"&amp;$BE130,DECODE!$E$3:$F$21,2,FALSE),"?"))</f>
        <v/>
      </c>
      <c r="BH130">
        <f>IF($BC130="","",IFERROR(VALUE(RIGHT($BC130,3)),""))</f>
        <v/>
      </c>
      <c r="BI130">
        <f>IF($V130="","",IFERROR(IF(ISNUMBER($V130),$V130,DATEVALUE(TRIM($V130))),""))</f>
        <v/>
      </c>
      <c r="BJ130">
        <f>IF($BI130="","",IF(MONTH($BI130)&gt;=12,"Cold Winter",IF(MONTH($BI130)&gt;=10,"Post-Monsoon",IF(MONTH($BI130)&gt;=6,"Hot Humid",IF(MONTH($BI130)&gt;=3,"Hot Dry","Cold Winter")))))</f>
        <v/>
      </c>
      <c r="BK130">
        <f>IF($BD130="","",IFERROR(VLOOKUP($BD130,DECODE!$A$3:$C$8,2,FALSE),"?"))</f>
        <v/>
      </c>
      <c r="BL130">
        <f>IF($Q130="","",UPPER(TRIM(LEFT($Q130&amp;",",FIND(",",$Q130&amp;",")-1))))</f>
        <v/>
      </c>
      <c r="BM130">
        <f>IF($BL130="","",MID($BL130,4,FIND("~",SUBSTITUTE($BL130,"-","~",2))-4))</f>
        <v/>
      </c>
      <c r="BN130">
        <f>IF($BL130="","",MID($BL130,FIND("~",SUBSTITUTE($BL130,"-","~",2))+1,FIND("~",SUBSTITUTE($BL130,"-","~",3))-FIND("~",SUBSTITUTE($BL130,"-","~",2))-1))</f>
        <v/>
      </c>
      <c r="BO130">
        <f>IF($BM130="","",IFERROR(VLOOKUP($BM130,DECODE!$A$3:$C$8,3,FALSE),"?"))</f>
        <v/>
      </c>
      <c r="BP130">
        <f>IF($BN130="","",IFERROR(VLOOKUP($BM130&amp;"-"&amp;$BN130,DECODE!$E$3:$F$21,2,FALSE),"?"))</f>
        <v/>
      </c>
      <c r="BQ130">
        <f>IF($BL130="","",IFERROR(VALUE(RIGHT($BL130,3)),""))</f>
        <v/>
      </c>
      <c r="BR130">
        <f>IF($W130="","",IFERROR(IF(ISNUMBER($W130),$W130,DATEVALUE(TRIM($W130))),""))</f>
        <v/>
      </c>
      <c r="BS130">
        <f>IF($BR130="","",IF(MONTH($BR130)&gt;=12,"Cold Winter",IF(MONTH($BR130)&gt;=10,"Post-Monsoon",IF(MONTH($BR130)&gt;=6,"Hot Humid",IF(MONTH($BR130)&gt;=3,"Hot Dry","Cold Winter")))))</f>
        <v/>
      </c>
      <c r="BT130">
        <f>IF($BM130="","",IFERROR(VLOOKUP($BM130,DECODE!$A$3:$C$8,2,FALSE),"?"))</f>
        <v/>
      </c>
      <c r="BU130">
        <f>IF($R130="","",UPPER(TRIM(LEFT($R130&amp;",",FIND(",",$R130&amp;",")-1))))</f>
        <v/>
      </c>
      <c r="BV130">
        <f>IF($BU130="","",MID($BU130,4,FIND("~",SUBSTITUTE($BU130,"-","~",2))-4))</f>
        <v/>
      </c>
      <c r="BW130">
        <f>IF($BU130="","",MID($BU130,FIND("~",SUBSTITUTE($BU130,"-","~",2))+1,FIND("~",SUBSTITUTE($BU130,"-","~",3))-FIND("~",SUBSTITUTE($BU130,"-","~",2))-1))</f>
        <v/>
      </c>
      <c r="BX130">
        <f>IF($BV130="","",IFERROR(VLOOKUP($BV130,DECODE!$A$3:$C$8,3,FALSE),"?"))</f>
        <v/>
      </c>
      <c r="BY130">
        <f>IF($BW130="","",IFERROR(VLOOKUP($BV130&amp;"-"&amp;$BW130,DECODE!$E$3:$F$21,2,FALSE),"?"))</f>
        <v/>
      </c>
      <c r="BZ130">
        <f>IF($BU130="","",IFERROR(VALUE(RIGHT($BU130,3)),""))</f>
        <v/>
      </c>
      <c r="CA130">
        <f>IF($X130="","",IFERROR(IF(ISNUMBER($X130),$X130,DATEVALUE(TRIM($X130))),""))</f>
        <v/>
      </c>
      <c r="CB130">
        <f>IF($CA130="","",IF(MONTH($CA130)&gt;=12,"Cold Winter",IF(MONTH($CA130)&gt;=10,"Post-Monsoon",IF(MONTH($CA130)&gt;=6,"Hot Humid",IF(MONTH($CA130)&gt;=3,"Hot Dry","Cold Winter")))))</f>
        <v/>
      </c>
      <c r="CC130">
        <f>IF($BV130="","",IFERROR(VLOOKUP($BV130,DECODE!$A$3:$C$8,2,FALSE),"?"))</f>
        <v/>
      </c>
      <c r="CD130">
        <f>IF($S130="","",UPPER(TRIM(LEFT($S130&amp;",",FIND(",",$S130&amp;",")-1))))</f>
        <v/>
      </c>
      <c r="CE130">
        <f>IF($CD130="","",MID($CD130,4,FIND("~",SUBSTITUTE($CD130,"-","~",2))-4))</f>
        <v/>
      </c>
      <c r="CF130">
        <f>IF($CD130="","",MID($CD130,FIND("~",SUBSTITUTE($CD130,"-","~",2))+1,FIND("~",SUBSTITUTE($CD130,"-","~",3))-FIND("~",SUBSTITUTE($CD130,"-","~",2))-1))</f>
        <v/>
      </c>
      <c r="CG130">
        <f>IF($CE130="","",IFERROR(VLOOKUP($CE130,DECODE!$A$3:$C$8,3,FALSE),"?"))</f>
        <v/>
      </c>
      <c r="CH130">
        <f>IF($CF130="","",IFERROR(VLOOKUP($CE130&amp;"-"&amp;$CF130,DECODE!$E$3:$F$21,2,FALSE),"?"))</f>
        <v/>
      </c>
      <c r="CI130">
        <f>IF($CD130="","",IFERROR(VALUE(RIGHT($CD130,3)),""))</f>
        <v/>
      </c>
      <c r="CJ130">
        <f>IF($Y130="","",IFERROR(IF(ISNUMBER($Y130),$Y130,DATEVALUE(TRIM($Y130))),""))</f>
        <v/>
      </c>
      <c r="CK130">
        <f>IF($CJ130="","",IF(MONTH($CJ130)&gt;=12,"Cold Winter",IF(MONTH($CJ130)&gt;=10,"Post-Monsoon",IF(MONTH($CJ130)&gt;=6,"Hot Humid",IF(MONTH($CJ130)&gt;=3,"Hot Dry","Cold Winter")))))</f>
        <v/>
      </c>
      <c r="CL130">
        <f>IF($CE130="","",IFERROR(VLOOKUP($CE130,DECODE!$A$3:$C$8,2,FALSE),"?"))</f>
        <v/>
      </c>
      <c r="CM130">
        <f>IF($AN130="","",AN130)</f>
        <v/>
      </c>
      <c r="CN130">
        <f>IF($AO130="","",AO130)</f>
        <v/>
      </c>
      <c r="CO130">
        <f>IF($AP130="","",AP130)</f>
        <v/>
      </c>
      <c r="CP130">
        <f>IF($CM130="","",IF($CM130="Aloe Vera Gel","Aloe Vera Gel "&amp;$CO130&amp;"g",CN130&amp;" "&amp;$CO130&amp;"g"))</f>
        <v/>
      </c>
      <c r="CQ130">
        <f>IF($AT130="",0,1)</f>
        <v/>
      </c>
      <c r="CR130">
        <f>IF($CQ130=0,"",AW130)</f>
        <v/>
      </c>
      <c r="CS130">
        <f>IF($CQ130=0,"",AX130)</f>
        <v/>
      </c>
      <c r="CT130">
        <f>IF($CQ130=0,"",AY130)</f>
        <v/>
      </c>
      <c r="CU130">
        <f>IF($CR130="","",IF($CR130="Aloe Vera Gel","Aloe Vera Gel "&amp;$CT130&amp;"g",CS130&amp;" "&amp;$CT130&amp;"g"))</f>
        <v/>
      </c>
      <c r="CV130">
        <f>IF($CQ130=0,"",IF($CP130=$CU130,"Repeat Exact",IF($CT130&gt;$CO130,"Upsized",IF($CT130&lt;$CO130,"Downsized",IF($CM130&lt;&gt;$CR130,"Lateral","Same Size Diff Variant")))))</f>
        <v/>
      </c>
      <c r="CW130">
        <f>IF($CQ130=0,"",AZ130-AQ130)</f>
        <v/>
      </c>
      <c r="CX130">
        <f>IF($CQ130=0,0,IF(CS130=CN130,1,0))</f>
        <v/>
      </c>
      <c r="CY130">
        <f>IF($CQ130=0,0,IF(CR130=CM130,1,0))</f>
        <v/>
      </c>
      <c r="CZ130">
        <f>IF($A130="","",IF(AND(IF(DASHBOARD!$C$4="All",TRUE,$CM130=DASHBOARD!$C$4),IF(DASHBOARD!$C$6="All",TRUE,$CP130=DASHBOARD!$C$6),IF(DASHBOARD!$C$8="All",TRUE,$AF130&gt;=DASHBOARD!$C$8),IF(DASHBOARD!$C$10="All",TRUE,$AF130&lt;=DASHBOARD!$C$10),IF(DASHBOARD!$C$12="All",TRUE,$AH130=VALUE(DASHBOARD!$C$12)),IF(DASHBOARD!$C$14="All",TRUE,$AJ130=DASHBOARD!$C$14)),1,0))</f>
        <v/>
      </c>
    </row>
    <row r="131">
      <c r="A131" t="n">
        <v>107088</v>
      </c>
      <c r="B131" t="inlineStr">
        <is>
          <t>Face Malai</t>
        </is>
      </c>
      <c r="H131" t="inlineStr">
        <is>
          <t>Cocoa Mogra (Overnight) Face Malai - 30g</t>
        </is>
      </c>
      <c r="N131" t="inlineStr">
        <is>
          <t>FC-DM-NR-030</t>
        </is>
      </c>
      <c r="T131" t="inlineStr">
        <is>
          <t>Jun 1, 2024</t>
        </is>
      </c>
      <c r="AE131" t="inlineStr">
        <is>
          <t>Pune</t>
        </is>
      </c>
      <c r="AF131" t="inlineStr">
        <is>
          <t>2024-06</t>
        </is>
      </c>
      <c r="AG131" t="n">
        <v>6</v>
      </c>
      <c r="AH131" t="n">
        <v>1</v>
      </c>
      <c r="AI131" t="n">
        <v>0</v>
      </c>
      <c r="AJ131">
        <f>IF($AE131="","",IFERROR(VLOOKUP(TRIM($AE131),DECODE!$H$3:$I$60,2,FALSE),"Rest of India"))</f>
        <v/>
      </c>
      <c r="AK131">
        <f>IF($N131="","",UPPER(TRIM(LEFT($N131&amp;",",FIND(",",$N131&amp;",")-1))))</f>
        <v/>
      </c>
      <c r="AL131">
        <f>IF($AK131="","",MID($AK131,4,FIND("~",SUBSTITUTE($AK131,"-","~",2))-4))</f>
        <v/>
      </c>
      <c r="AM131">
        <f>IF($AK131="","",MID($AK131,FIND("~",SUBSTITUTE($AK131,"-","~",2))+1,FIND("~",SUBSTITUTE($AK131,"-","~",3))-FIND("~",SUBSTITUTE($AK131,"-","~",2))-1))</f>
        <v/>
      </c>
      <c r="AN131">
        <f>IF($AL131="","",IFERROR(VLOOKUP($AL131,DECODE!$A$3:$C$8,3,FALSE),"?"))</f>
        <v/>
      </c>
      <c r="AO131">
        <f>IF($AM131="","",IFERROR(VLOOKUP($AL131&amp;"-"&amp;$AM131,DECODE!$E$3:$F$21,2,FALSE),"?"))</f>
        <v/>
      </c>
      <c r="AP131">
        <f>IF($AK131="","",IFERROR(VALUE(RIGHT($AK131,3)),""))</f>
        <v/>
      </c>
      <c r="AQ131">
        <f>IF($T131="","",IFERROR(IF(ISNUMBER($T131),$T131,DATEVALUE(TRIM($T131))),""))</f>
        <v/>
      </c>
      <c r="AR131">
        <f>IF($AQ131="","",IF(MONTH($AQ131)&gt;=12,"Cold Winter",IF(MONTH($AQ131)&gt;=10,"Post-Monsoon",IF(MONTH($AQ131)&gt;=6,"Hot Humid",IF(MONTH($AQ131)&gt;=3,"Hot Dry","Cold Winter")))))</f>
        <v/>
      </c>
      <c r="AS131">
        <f>IF($AL131="","",IFERROR(VLOOKUP($AL131,DECODE!$A$3:$C$8,2,FALSE),"?"))</f>
        <v/>
      </c>
      <c r="AT131">
        <f>IF($O131="","",UPPER(TRIM(LEFT($O131&amp;",",FIND(",",$O131&amp;",")-1))))</f>
        <v/>
      </c>
      <c r="AU131">
        <f>IF($AT131="","",MID($AT131,4,FIND("~",SUBSTITUTE($AT131,"-","~",2))-4))</f>
        <v/>
      </c>
      <c r="AV131">
        <f>IF($AT131="","",MID($AT131,FIND("~",SUBSTITUTE($AT131,"-","~",2))+1,FIND("~",SUBSTITUTE($AT131,"-","~",3))-FIND("~",SUBSTITUTE($AT131,"-","~",2))-1))</f>
        <v/>
      </c>
      <c r="AW131">
        <f>IF($AU131="","",IFERROR(VLOOKUP($AU131,DECODE!$A$3:$C$8,3,FALSE),"?"))</f>
        <v/>
      </c>
      <c r="AX131">
        <f>IF($AV131="","",IFERROR(VLOOKUP($AU131&amp;"-"&amp;$AV131,DECODE!$E$3:$F$21,2,FALSE),"?"))</f>
        <v/>
      </c>
      <c r="AY131">
        <f>IF($AT131="","",IFERROR(VALUE(RIGHT($AT131,3)),""))</f>
        <v/>
      </c>
      <c r="AZ131">
        <f>IF($U131="","",IFERROR(IF(ISNUMBER($U131),$U131,DATEVALUE(TRIM($U131))),""))</f>
        <v/>
      </c>
      <c r="BA131">
        <f>IF($AZ131="","",IF(MONTH($AZ131)&gt;=12,"Cold Winter",IF(MONTH($AZ131)&gt;=10,"Post-Monsoon",IF(MONTH($AZ131)&gt;=6,"Hot Humid",IF(MONTH($AZ131)&gt;=3,"Hot Dry","Cold Winter")))))</f>
        <v/>
      </c>
      <c r="BB131">
        <f>IF($AU131="","",IFERROR(VLOOKUP($AU131,DECODE!$A$3:$C$8,2,FALSE),"?"))</f>
        <v/>
      </c>
      <c r="BC131">
        <f>IF($P131="","",UPPER(TRIM(LEFT($P131&amp;",",FIND(",",$P131&amp;",")-1))))</f>
        <v/>
      </c>
      <c r="BD131">
        <f>IF($BC131="","",MID($BC131,4,FIND("~",SUBSTITUTE($BC131,"-","~",2))-4))</f>
        <v/>
      </c>
      <c r="BE131">
        <f>IF($BC131="","",MID($BC131,FIND("~",SUBSTITUTE($BC131,"-","~",2))+1,FIND("~",SUBSTITUTE($BC131,"-","~",3))-FIND("~",SUBSTITUTE($BC131,"-","~",2))-1))</f>
        <v/>
      </c>
      <c r="BF131">
        <f>IF($BD131="","",IFERROR(VLOOKUP($BD131,DECODE!$A$3:$C$8,3,FALSE),"?"))</f>
        <v/>
      </c>
      <c r="BG131">
        <f>IF($BE131="","",IFERROR(VLOOKUP($BD131&amp;"-"&amp;$BE131,DECODE!$E$3:$F$21,2,FALSE),"?"))</f>
        <v/>
      </c>
      <c r="BH131">
        <f>IF($BC131="","",IFERROR(VALUE(RIGHT($BC131,3)),""))</f>
        <v/>
      </c>
      <c r="BI131">
        <f>IF($V131="","",IFERROR(IF(ISNUMBER($V131),$V131,DATEVALUE(TRIM($V131))),""))</f>
        <v/>
      </c>
      <c r="BJ131">
        <f>IF($BI131="","",IF(MONTH($BI131)&gt;=12,"Cold Winter",IF(MONTH($BI131)&gt;=10,"Post-Monsoon",IF(MONTH($BI131)&gt;=6,"Hot Humid",IF(MONTH($BI131)&gt;=3,"Hot Dry","Cold Winter")))))</f>
        <v/>
      </c>
      <c r="BK131">
        <f>IF($BD131="","",IFERROR(VLOOKUP($BD131,DECODE!$A$3:$C$8,2,FALSE),"?"))</f>
        <v/>
      </c>
      <c r="BL131">
        <f>IF($Q131="","",UPPER(TRIM(LEFT($Q131&amp;",",FIND(",",$Q131&amp;",")-1))))</f>
        <v/>
      </c>
      <c r="BM131">
        <f>IF($BL131="","",MID($BL131,4,FIND("~",SUBSTITUTE($BL131,"-","~",2))-4))</f>
        <v/>
      </c>
      <c r="BN131">
        <f>IF($BL131="","",MID($BL131,FIND("~",SUBSTITUTE($BL131,"-","~",2))+1,FIND("~",SUBSTITUTE($BL131,"-","~",3))-FIND("~",SUBSTITUTE($BL131,"-","~",2))-1))</f>
        <v/>
      </c>
      <c r="BO131">
        <f>IF($BM131="","",IFERROR(VLOOKUP($BM131,DECODE!$A$3:$C$8,3,FALSE),"?"))</f>
        <v/>
      </c>
      <c r="BP131">
        <f>IF($BN131="","",IFERROR(VLOOKUP($BM131&amp;"-"&amp;$BN131,DECODE!$E$3:$F$21,2,FALSE),"?"))</f>
        <v/>
      </c>
      <c r="BQ131">
        <f>IF($BL131="","",IFERROR(VALUE(RIGHT($BL131,3)),""))</f>
        <v/>
      </c>
      <c r="BR131">
        <f>IF($W131="","",IFERROR(IF(ISNUMBER($W131),$W131,DATEVALUE(TRIM($W131))),""))</f>
        <v/>
      </c>
      <c r="BS131">
        <f>IF($BR131="","",IF(MONTH($BR131)&gt;=12,"Cold Winter",IF(MONTH($BR131)&gt;=10,"Post-Monsoon",IF(MONTH($BR131)&gt;=6,"Hot Humid",IF(MONTH($BR131)&gt;=3,"Hot Dry","Cold Winter")))))</f>
        <v/>
      </c>
      <c r="BT131">
        <f>IF($BM131="","",IFERROR(VLOOKUP($BM131,DECODE!$A$3:$C$8,2,FALSE),"?"))</f>
        <v/>
      </c>
      <c r="BU131">
        <f>IF($R131="","",UPPER(TRIM(LEFT($R131&amp;",",FIND(",",$R131&amp;",")-1))))</f>
        <v/>
      </c>
      <c r="BV131">
        <f>IF($BU131="","",MID($BU131,4,FIND("~",SUBSTITUTE($BU131,"-","~",2))-4))</f>
        <v/>
      </c>
      <c r="BW131">
        <f>IF($BU131="","",MID($BU131,FIND("~",SUBSTITUTE($BU131,"-","~",2))+1,FIND("~",SUBSTITUTE($BU131,"-","~",3))-FIND("~",SUBSTITUTE($BU131,"-","~",2))-1))</f>
        <v/>
      </c>
      <c r="BX131">
        <f>IF($BV131="","",IFERROR(VLOOKUP($BV131,DECODE!$A$3:$C$8,3,FALSE),"?"))</f>
        <v/>
      </c>
      <c r="BY131">
        <f>IF($BW131="","",IFERROR(VLOOKUP($BV131&amp;"-"&amp;$BW131,DECODE!$E$3:$F$21,2,FALSE),"?"))</f>
        <v/>
      </c>
      <c r="BZ131">
        <f>IF($BU131="","",IFERROR(VALUE(RIGHT($BU131,3)),""))</f>
        <v/>
      </c>
      <c r="CA131">
        <f>IF($X131="","",IFERROR(IF(ISNUMBER($X131),$X131,DATEVALUE(TRIM($X131))),""))</f>
        <v/>
      </c>
      <c r="CB131">
        <f>IF($CA131="","",IF(MONTH($CA131)&gt;=12,"Cold Winter",IF(MONTH($CA131)&gt;=10,"Post-Monsoon",IF(MONTH($CA131)&gt;=6,"Hot Humid",IF(MONTH($CA131)&gt;=3,"Hot Dry","Cold Winter")))))</f>
        <v/>
      </c>
      <c r="CC131">
        <f>IF($BV131="","",IFERROR(VLOOKUP($BV131,DECODE!$A$3:$C$8,2,FALSE),"?"))</f>
        <v/>
      </c>
      <c r="CD131">
        <f>IF($S131="","",UPPER(TRIM(LEFT($S131&amp;",",FIND(",",$S131&amp;",")-1))))</f>
        <v/>
      </c>
      <c r="CE131">
        <f>IF($CD131="","",MID($CD131,4,FIND("~",SUBSTITUTE($CD131,"-","~",2))-4))</f>
        <v/>
      </c>
      <c r="CF131">
        <f>IF($CD131="","",MID($CD131,FIND("~",SUBSTITUTE($CD131,"-","~",2))+1,FIND("~",SUBSTITUTE($CD131,"-","~",3))-FIND("~",SUBSTITUTE($CD131,"-","~",2))-1))</f>
        <v/>
      </c>
      <c r="CG131">
        <f>IF($CE131="","",IFERROR(VLOOKUP($CE131,DECODE!$A$3:$C$8,3,FALSE),"?"))</f>
        <v/>
      </c>
      <c r="CH131">
        <f>IF($CF131="","",IFERROR(VLOOKUP($CE131&amp;"-"&amp;$CF131,DECODE!$E$3:$F$21,2,FALSE),"?"))</f>
        <v/>
      </c>
      <c r="CI131">
        <f>IF($CD131="","",IFERROR(VALUE(RIGHT($CD131,3)),""))</f>
        <v/>
      </c>
      <c r="CJ131">
        <f>IF($Y131="","",IFERROR(IF(ISNUMBER($Y131),$Y131,DATEVALUE(TRIM($Y131))),""))</f>
        <v/>
      </c>
      <c r="CK131">
        <f>IF($CJ131="","",IF(MONTH($CJ131)&gt;=12,"Cold Winter",IF(MONTH($CJ131)&gt;=10,"Post-Monsoon",IF(MONTH($CJ131)&gt;=6,"Hot Humid",IF(MONTH($CJ131)&gt;=3,"Hot Dry","Cold Winter")))))</f>
        <v/>
      </c>
      <c r="CL131">
        <f>IF($CE131="","",IFERROR(VLOOKUP($CE131,DECODE!$A$3:$C$8,2,FALSE),"?"))</f>
        <v/>
      </c>
      <c r="CM131">
        <f>IF($AN131="","",AN131)</f>
        <v/>
      </c>
      <c r="CN131">
        <f>IF($AO131="","",AO131)</f>
        <v/>
      </c>
      <c r="CO131">
        <f>IF($AP131="","",AP131)</f>
        <v/>
      </c>
      <c r="CP131">
        <f>IF($CM131="","",IF($CM131="Aloe Vera Gel","Aloe Vera Gel "&amp;$CO131&amp;"g",CN131&amp;" "&amp;$CO131&amp;"g"))</f>
        <v/>
      </c>
      <c r="CQ131">
        <f>IF($AT131="",0,1)</f>
        <v/>
      </c>
      <c r="CR131">
        <f>IF($CQ131=0,"",AW131)</f>
        <v/>
      </c>
      <c r="CS131">
        <f>IF($CQ131=0,"",AX131)</f>
        <v/>
      </c>
      <c r="CT131">
        <f>IF($CQ131=0,"",AY131)</f>
        <v/>
      </c>
      <c r="CU131">
        <f>IF($CR131="","",IF($CR131="Aloe Vera Gel","Aloe Vera Gel "&amp;$CT131&amp;"g",CS131&amp;" "&amp;$CT131&amp;"g"))</f>
        <v/>
      </c>
      <c r="CV131">
        <f>IF($CQ131=0,"",IF($CP131=$CU131,"Repeat Exact",IF($CT131&gt;$CO131,"Upsized",IF($CT131&lt;$CO131,"Downsized",IF($CM131&lt;&gt;$CR131,"Lateral","Same Size Diff Variant")))))</f>
        <v/>
      </c>
      <c r="CW131">
        <f>IF($CQ131=0,"",AZ131-AQ131)</f>
        <v/>
      </c>
      <c r="CX131">
        <f>IF($CQ131=0,0,IF(CS131=CN131,1,0))</f>
        <v/>
      </c>
      <c r="CY131">
        <f>IF($CQ131=0,0,IF(CR131=CM131,1,0))</f>
        <v/>
      </c>
      <c r="CZ131">
        <f>IF($A131="","",IF(AND(IF(DASHBOARD!$C$4="All",TRUE,$CM131=DASHBOARD!$C$4),IF(DASHBOARD!$C$6="All",TRUE,$CP131=DASHBOARD!$C$6),IF(DASHBOARD!$C$8="All",TRUE,$AF131&gt;=DASHBOARD!$C$8),IF(DASHBOARD!$C$10="All",TRUE,$AF131&lt;=DASHBOARD!$C$10),IF(DASHBOARD!$C$12="All",TRUE,$AH131=VALUE(DASHBOARD!$C$12)),IF(DASHBOARD!$C$14="All",TRUE,$AJ131=DASHBOARD!$C$14)),1,0))</f>
        <v/>
      </c>
    </row>
    <row r="132">
      <c r="A132" t="n">
        <v>107268</v>
      </c>
      <c r="B132" t="inlineStr">
        <is>
          <t>Active Gel</t>
        </is>
      </c>
      <c r="C132" t="inlineStr">
        <is>
          <t>Face Malai</t>
        </is>
      </c>
      <c r="D132" t="inlineStr">
        <is>
          <t>Aloe Vera Gel</t>
        </is>
      </c>
      <c r="H132" t="inlineStr">
        <is>
          <t>Active Beetroot Tomato Vit-A Gel, Active Orange Kiwi Vit-C Gel</t>
        </is>
      </c>
      <c r="I132" t="inlineStr">
        <is>
          <t>Flax Bakuchi (Hot Dry) 35+ Face Malai - 30g</t>
        </is>
      </c>
      <c r="J132" t="inlineStr">
        <is>
          <t>Aloe Vera Gel - 80 gms</t>
        </is>
      </c>
      <c r="N132" t="inlineStr">
        <is>
          <t>FC-AC-BT-050, FC-AC-OK-050</t>
        </is>
      </c>
      <c r="O132" t="inlineStr">
        <is>
          <t>FC-HDDM-FB-030</t>
        </is>
      </c>
      <c r="P132" t="inlineStr">
        <is>
          <t>FC-HG-PA-080</t>
        </is>
      </c>
      <c r="T132" t="inlineStr">
        <is>
          <t>Jan 12, 2025</t>
        </is>
      </c>
      <c r="U132" t="inlineStr">
        <is>
          <t>Feb 9, 2025</t>
        </is>
      </c>
      <c r="V132" t="inlineStr">
        <is>
          <t>Feb 16, 2025</t>
        </is>
      </c>
      <c r="Z132" t="n">
        <v>28</v>
      </c>
      <c r="AA132" t="n">
        <v>7</v>
      </c>
      <c r="AE132" t="inlineStr">
        <is>
          <t>Bengaluru</t>
        </is>
      </c>
      <c r="AF132" t="inlineStr">
        <is>
          <t>2025-01</t>
        </is>
      </c>
      <c r="AG132" t="n">
        <v>1</v>
      </c>
      <c r="AH132" t="n">
        <v>3</v>
      </c>
      <c r="AI132" t="n">
        <v>1</v>
      </c>
      <c r="AJ132">
        <f>IF($AE132="","",IFERROR(VLOOKUP(TRIM($AE132),DECODE!$H$3:$I$60,2,FALSE),"Rest of India"))</f>
        <v/>
      </c>
      <c r="AK132">
        <f>IF($N132="","",UPPER(TRIM(LEFT($N132&amp;",",FIND(",",$N132&amp;",")-1))))</f>
        <v/>
      </c>
      <c r="AL132">
        <f>IF($AK132="","",MID($AK132,4,FIND("~",SUBSTITUTE($AK132,"-","~",2))-4))</f>
        <v/>
      </c>
      <c r="AM132">
        <f>IF($AK132="","",MID($AK132,FIND("~",SUBSTITUTE($AK132,"-","~",2))+1,FIND("~",SUBSTITUTE($AK132,"-","~",3))-FIND("~",SUBSTITUTE($AK132,"-","~",2))-1))</f>
        <v/>
      </c>
      <c r="AN132">
        <f>IF($AL132="","",IFERROR(VLOOKUP($AL132,DECODE!$A$3:$C$8,3,FALSE),"?"))</f>
        <v/>
      </c>
      <c r="AO132">
        <f>IF($AM132="","",IFERROR(VLOOKUP($AL132&amp;"-"&amp;$AM132,DECODE!$E$3:$F$21,2,FALSE),"?"))</f>
        <v/>
      </c>
      <c r="AP132">
        <f>IF($AK132="","",IFERROR(VALUE(RIGHT($AK132,3)),""))</f>
        <v/>
      </c>
      <c r="AQ132">
        <f>IF($T132="","",IFERROR(IF(ISNUMBER($T132),$T132,DATEVALUE(TRIM($T132))),""))</f>
        <v/>
      </c>
      <c r="AR132">
        <f>IF($AQ132="","",IF(MONTH($AQ132)&gt;=12,"Cold Winter",IF(MONTH($AQ132)&gt;=10,"Post-Monsoon",IF(MONTH($AQ132)&gt;=6,"Hot Humid",IF(MONTH($AQ132)&gt;=3,"Hot Dry","Cold Winter")))))</f>
        <v/>
      </c>
      <c r="AS132">
        <f>IF($AL132="","",IFERROR(VLOOKUP($AL132,DECODE!$A$3:$C$8,2,FALSE),"?"))</f>
        <v/>
      </c>
      <c r="AT132">
        <f>IF($O132="","",UPPER(TRIM(LEFT($O132&amp;",",FIND(",",$O132&amp;",")-1))))</f>
        <v/>
      </c>
      <c r="AU132">
        <f>IF($AT132="","",MID($AT132,4,FIND("~",SUBSTITUTE($AT132,"-","~",2))-4))</f>
        <v/>
      </c>
      <c r="AV132">
        <f>IF($AT132="","",MID($AT132,FIND("~",SUBSTITUTE($AT132,"-","~",2))+1,FIND("~",SUBSTITUTE($AT132,"-","~",3))-FIND("~",SUBSTITUTE($AT132,"-","~",2))-1))</f>
        <v/>
      </c>
      <c r="AW132">
        <f>IF($AU132="","",IFERROR(VLOOKUP($AU132,DECODE!$A$3:$C$8,3,FALSE),"?"))</f>
        <v/>
      </c>
      <c r="AX132">
        <f>IF($AV132="","",IFERROR(VLOOKUP($AU132&amp;"-"&amp;$AV132,DECODE!$E$3:$F$21,2,FALSE),"?"))</f>
        <v/>
      </c>
      <c r="AY132">
        <f>IF($AT132="","",IFERROR(VALUE(RIGHT($AT132,3)),""))</f>
        <v/>
      </c>
      <c r="AZ132">
        <f>IF($U132="","",IFERROR(IF(ISNUMBER($U132),$U132,DATEVALUE(TRIM($U132))),""))</f>
        <v/>
      </c>
      <c r="BA132">
        <f>IF($AZ132="","",IF(MONTH($AZ132)&gt;=12,"Cold Winter",IF(MONTH($AZ132)&gt;=10,"Post-Monsoon",IF(MONTH($AZ132)&gt;=6,"Hot Humid",IF(MONTH($AZ132)&gt;=3,"Hot Dry","Cold Winter")))))</f>
        <v/>
      </c>
      <c r="BB132">
        <f>IF($AU132="","",IFERROR(VLOOKUP($AU132,DECODE!$A$3:$C$8,2,FALSE),"?"))</f>
        <v/>
      </c>
      <c r="BC132">
        <f>IF($P132="","",UPPER(TRIM(LEFT($P132&amp;",",FIND(",",$P132&amp;",")-1))))</f>
        <v/>
      </c>
      <c r="BD132">
        <f>IF($BC132="","",MID($BC132,4,FIND("~",SUBSTITUTE($BC132,"-","~",2))-4))</f>
        <v/>
      </c>
      <c r="BE132">
        <f>IF($BC132="","",MID($BC132,FIND("~",SUBSTITUTE($BC132,"-","~",2))+1,FIND("~",SUBSTITUTE($BC132,"-","~",3))-FIND("~",SUBSTITUTE($BC132,"-","~",2))-1))</f>
        <v/>
      </c>
      <c r="BF132">
        <f>IF($BD132="","",IFERROR(VLOOKUP($BD132,DECODE!$A$3:$C$8,3,FALSE),"?"))</f>
        <v/>
      </c>
      <c r="BG132">
        <f>IF($BE132="","",IFERROR(VLOOKUP($BD132&amp;"-"&amp;$BE132,DECODE!$E$3:$F$21,2,FALSE),"?"))</f>
        <v/>
      </c>
      <c r="BH132">
        <f>IF($BC132="","",IFERROR(VALUE(RIGHT($BC132,3)),""))</f>
        <v/>
      </c>
      <c r="BI132">
        <f>IF($V132="","",IFERROR(IF(ISNUMBER($V132),$V132,DATEVALUE(TRIM($V132))),""))</f>
        <v/>
      </c>
      <c r="BJ132">
        <f>IF($BI132="","",IF(MONTH($BI132)&gt;=12,"Cold Winter",IF(MONTH($BI132)&gt;=10,"Post-Monsoon",IF(MONTH($BI132)&gt;=6,"Hot Humid",IF(MONTH($BI132)&gt;=3,"Hot Dry","Cold Winter")))))</f>
        <v/>
      </c>
      <c r="BK132">
        <f>IF($BD132="","",IFERROR(VLOOKUP($BD132,DECODE!$A$3:$C$8,2,FALSE),"?"))</f>
        <v/>
      </c>
      <c r="BL132">
        <f>IF($Q132="","",UPPER(TRIM(LEFT($Q132&amp;",",FIND(",",$Q132&amp;",")-1))))</f>
        <v/>
      </c>
      <c r="BM132">
        <f>IF($BL132="","",MID($BL132,4,FIND("~",SUBSTITUTE($BL132,"-","~",2))-4))</f>
        <v/>
      </c>
      <c r="BN132">
        <f>IF($BL132="","",MID($BL132,FIND("~",SUBSTITUTE($BL132,"-","~",2))+1,FIND("~",SUBSTITUTE($BL132,"-","~",3))-FIND("~",SUBSTITUTE($BL132,"-","~",2))-1))</f>
        <v/>
      </c>
      <c r="BO132">
        <f>IF($BM132="","",IFERROR(VLOOKUP($BM132,DECODE!$A$3:$C$8,3,FALSE),"?"))</f>
        <v/>
      </c>
      <c r="BP132">
        <f>IF($BN132="","",IFERROR(VLOOKUP($BM132&amp;"-"&amp;$BN132,DECODE!$E$3:$F$21,2,FALSE),"?"))</f>
        <v/>
      </c>
      <c r="BQ132">
        <f>IF($BL132="","",IFERROR(VALUE(RIGHT($BL132,3)),""))</f>
        <v/>
      </c>
      <c r="BR132">
        <f>IF($W132="","",IFERROR(IF(ISNUMBER($W132),$W132,DATEVALUE(TRIM($W132))),""))</f>
        <v/>
      </c>
      <c r="BS132">
        <f>IF($BR132="","",IF(MONTH($BR132)&gt;=12,"Cold Winter",IF(MONTH($BR132)&gt;=10,"Post-Monsoon",IF(MONTH($BR132)&gt;=6,"Hot Humid",IF(MONTH($BR132)&gt;=3,"Hot Dry","Cold Winter")))))</f>
        <v/>
      </c>
      <c r="BT132">
        <f>IF($BM132="","",IFERROR(VLOOKUP($BM132,DECODE!$A$3:$C$8,2,FALSE),"?"))</f>
        <v/>
      </c>
      <c r="BU132">
        <f>IF($R132="","",UPPER(TRIM(LEFT($R132&amp;",",FIND(",",$R132&amp;",")-1))))</f>
        <v/>
      </c>
      <c r="BV132">
        <f>IF($BU132="","",MID($BU132,4,FIND("~",SUBSTITUTE($BU132,"-","~",2))-4))</f>
        <v/>
      </c>
      <c r="BW132">
        <f>IF($BU132="","",MID($BU132,FIND("~",SUBSTITUTE($BU132,"-","~",2))+1,FIND("~",SUBSTITUTE($BU132,"-","~",3))-FIND("~",SUBSTITUTE($BU132,"-","~",2))-1))</f>
        <v/>
      </c>
      <c r="BX132">
        <f>IF($BV132="","",IFERROR(VLOOKUP($BV132,DECODE!$A$3:$C$8,3,FALSE),"?"))</f>
        <v/>
      </c>
      <c r="BY132">
        <f>IF($BW132="","",IFERROR(VLOOKUP($BV132&amp;"-"&amp;$BW132,DECODE!$E$3:$F$21,2,FALSE),"?"))</f>
        <v/>
      </c>
      <c r="BZ132">
        <f>IF($BU132="","",IFERROR(VALUE(RIGHT($BU132,3)),""))</f>
        <v/>
      </c>
      <c r="CA132">
        <f>IF($X132="","",IFERROR(IF(ISNUMBER($X132),$X132,DATEVALUE(TRIM($X132))),""))</f>
        <v/>
      </c>
      <c r="CB132">
        <f>IF($CA132="","",IF(MONTH($CA132)&gt;=12,"Cold Winter",IF(MONTH($CA132)&gt;=10,"Post-Monsoon",IF(MONTH($CA132)&gt;=6,"Hot Humid",IF(MONTH($CA132)&gt;=3,"Hot Dry","Cold Winter")))))</f>
        <v/>
      </c>
      <c r="CC132">
        <f>IF($BV132="","",IFERROR(VLOOKUP($BV132,DECODE!$A$3:$C$8,2,FALSE),"?"))</f>
        <v/>
      </c>
      <c r="CD132">
        <f>IF($S132="","",UPPER(TRIM(LEFT($S132&amp;",",FIND(",",$S132&amp;",")-1))))</f>
        <v/>
      </c>
      <c r="CE132">
        <f>IF($CD132="","",MID($CD132,4,FIND("~",SUBSTITUTE($CD132,"-","~",2))-4))</f>
        <v/>
      </c>
      <c r="CF132">
        <f>IF($CD132="","",MID($CD132,FIND("~",SUBSTITUTE($CD132,"-","~",2))+1,FIND("~",SUBSTITUTE($CD132,"-","~",3))-FIND("~",SUBSTITUTE($CD132,"-","~",2))-1))</f>
        <v/>
      </c>
      <c r="CG132">
        <f>IF($CE132="","",IFERROR(VLOOKUP($CE132,DECODE!$A$3:$C$8,3,FALSE),"?"))</f>
        <v/>
      </c>
      <c r="CH132">
        <f>IF($CF132="","",IFERROR(VLOOKUP($CE132&amp;"-"&amp;$CF132,DECODE!$E$3:$F$21,2,FALSE),"?"))</f>
        <v/>
      </c>
      <c r="CI132">
        <f>IF($CD132="","",IFERROR(VALUE(RIGHT($CD132,3)),""))</f>
        <v/>
      </c>
      <c r="CJ132">
        <f>IF($Y132="","",IFERROR(IF(ISNUMBER($Y132),$Y132,DATEVALUE(TRIM($Y132))),""))</f>
        <v/>
      </c>
      <c r="CK132">
        <f>IF($CJ132="","",IF(MONTH($CJ132)&gt;=12,"Cold Winter",IF(MONTH($CJ132)&gt;=10,"Post-Monsoon",IF(MONTH($CJ132)&gt;=6,"Hot Humid",IF(MONTH($CJ132)&gt;=3,"Hot Dry","Cold Winter")))))</f>
        <v/>
      </c>
      <c r="CL132">
        <f>IF($CE132="","",IFERROR(VLOOKUP($CE132,DECODE!$A$3:$C$8,2,FALSE),"?"))</f>
        <v/>
      </c>
      <c r="CM132">
        <f>IF($AN132="","",AN132)</f>
        <v/>
      </c>
      <c r="CN132">
        <f>IF($AO132="","",AO132)</f>
        <v/>
      </c>
      <c r="CO132">
        <f>IF($AP132="","",AP132)</f>
        <v/>
      </c>
      <c r="CP132">
        <f>IF($CM132="","",IF($CM132="Aloe Vera Gel","Aloe Vera Gel "&amp;$CO132&amp;"g",CN132&amp;" "&amp;$CO132&amp;"g"))</f>
        <v/>
      </c>
      <c r="CQ132">
        <f>IF($AT132="",0,1)</f>
        <v/>
      </c>
      <c r="CR132">
        <f>IF($CQ132=0,"",AW132)</f>
        <v/>
      </c>
      <c r="CS132">
        <f>IF($CQ132=0,"",AX132)</f>
        <v/>
      </c>
      <c r="CT132">
        <f>IF($CQ132=0,"",AY132)</f>
        <v/>
      </c>
      <c r="CU132">
        <f>IF($CR132="","",IF($CR132="Aloe Vera Gel","Aloe Vera Gel "&amp;$CT132&amp;"g",CS132&amp;" "&amp;$CT132&amp;"g"))</f>
        <v/>
      </c>
      <c r="CV132">
        <f>IF($CQ132=0,"",IF($CP132=$CU132,"Repeat Exact",IF($CT132&gt;$CO132,"Upsized",IF($CT132&lt;$CO132,"Downsized",IF($CM132&lt;&gt;$CR132,"Lateral","Same Size Diff Variant")))))</f>
        <v/>
      </c>
      <c r="CW132">
        <f>IF($CQ132=0,"",AZ132-AQ132)</f>
        <v/>
      </c>
      <c r="CX132">
        <f>IF($CQ132=0,0,IF(CS132=CN132,1,0))</f>
        <v/>
      </c>
      <c r="CY132">
        <f>IF($CQ132=0,0,IF(CR132=CM132,1,0))</f>
        <v/>
      </c>
      <c r="CZ132">
        <f>IF($A132="","",IF(AND(IF(DASHBOARD!$C$4="All",TRUE,$CM132=DASHBOARD!$C$4),IF(DASHBOARD!$C$6="All",TRUE,$CP132=DASHBOARD!$C$6),IF(DASHBOARD!$C$8="All",TRUE,$AF132&gt;=DASHBOARD!$C$8),IF(DASHBOARD!$C$10="All",TRUE,$AF132&lt;=DASHBOARD!$C$10),IF(DASHBOARD!$C$12="All",TRUE,$AH132=VALUE(DASHBOARD!$C$12)),IF(DASHBOARD!$C$14="All",TRUE,$AJ132=DASHBOARD!$C$14)),1,0))</f>
        <v/>
      </c>
    </row>
    <row r="133">
      <c r="A133" t="n">
        <v>107289</v>
      </c>
      <c r="B133" t="inlineStr">
        <is>
          <t>Aloe Vera Gel, Face Malai</t>
        </is>
      </c>
      <c r="H133" t="inlineStr">
        <is>
          <t>Aloe Vera Gel - 80 gms, Cocoa Mogra (Overnight) Face Malai - 30g</t>
        </is>
      </c>
      <c r="N133" t="inlineStr">
        <is>
          <t>FC-HG-PA-080, FC-DM-NR-030</t>
        </is>
      </c>
      <c r="T133" t="inlineStr">
        <is>
          <t>May 16, 2026</t>
        </is>
      </c>
      <c r="AE133" t="inlineStr">
        <is>
          <t>Karnal</t>
        </is>
      </c>
      <c r="AF133" t="inlineStr">
        <is>
          <t>2026-05</t>
        </is>
      </c>
      <c r="AG133" t="n">
        <v>5</v>
      </c>
      <c r="AH133" t="n">
        <v>1</v>
      </c>
      <c r="AI133" t="n">
        <v>0</v>
      </c>
      <c r="AJ133">
        <f>IF($AE133="","",IFERROR(VLOOKUP(TRIM($AE133),DECODE!$H$3:$I$60,2,FALSE),"Rest of India"))</f>
        <v/>
      </c>
      <c r="AK133">
        <f>IF($N133="","",UPPER(TRIM(LEFT($N133&amp;",",FIND(",",$N133&amp;",")-1))))</f>
        <v/>
      </c>
      <c r="AL133">
        <f>IF($AK133="","",MID($AK133,4,FIND("~",SUBSTITUTE($AK133,"-","~",2))-4))</f>
        <v/>
      </c>
      <c r="AM133">
        <f>IF($AK133="","",MID($AK133,FIND("~",SUBSTITUTE($AK133,"-","~",2))+1,FIND("~",SUBSTITUTE($AK133,"-","~",3))-FIND("~",SUBSTITUTE($AK133,"-","~",2))-1))</f>
        <v/>
      </c>
      <c r="AN133">
        <f>IF($AL133="","",IFERROR(VLOOKUP($AL133,DECODE!$A$3:$C$8,3,FALSE),"?"))</f>
        <v/>
      </c>
      <c r="AO133">
        <f>IF($AM133="","",IFERROR(VLOOKUP($AL133&amp;"-"&amp;$AM133,DECODE!$E$3:$F$21,2,FALSE),"?"))</f>
        <v/>
      </c>
      <c r="AP133">
        <f>IF($AK133="","",IFERROR(VALUE(RIGHT($AK133,3)),""))</f>
        <v/>
      </c>
      <c r="AQ133">
        <f>IF($T133="","",IFERROR(IF(ISNUMBER($T133),$T133,DATEVALUE(TRIM($T133))),""))</f>
        <v/>
      </c>
      <c r="AR133">
        <f>IF($AQ133="","",IF(MONTH($AQ133)&gt;=12,"Cold Winter",IF(MONTH($AQ133)&gt;=10,"Post-Monsoon",IF(MONTH($AQ133)&gt;=6,"Hot Humid",IF(MONTH($AQ133)&gt;=3,"Hot Dry","Cold Winter")))))</f>
        <v/>
      </c>
      <c r="AS133">
        <f>IF($AL133="","",IFERROR(VLOOKUP($AL133,DECODE!$A$3:$C$8,2,FALSE),"?"))</f>
        <v/>
      </c>
      <c r="AT133">
        <f>IF($O133="","",UPPER(TRIM(LEFT($O133&amp;",",FIND(",",$O133&amp;",")-1))))</f>
        <v/>
      </c>
      <c r="AU133">
        <f>IF($AT133="","",MID($AT133,4,FIND("~",SUBSTITUTE($AT133,"-","~",2))-4))</f>
        <v/>
      </c>
      <c r="AV133">
        <f>IF($AT133="","",MID($AT133,FIND("~",SUBSTITUTE($AT133,"-","~",2))+1,FIND("~",SUBSTITUTE($AT133,"-","~",3))-FIND("~",SUBSTITUTE($AT133,"-","~",2))-1))</f>
        <v/>
      </c>
      <c r="AW133">
        <f>IF($AU133="","",IFERROR(VLOOKUP($AU133,DECODE!$A$3:$C$8,3,FALSE),"?"))</f>
        <v/>
      </c>
      <c r="AX133">
        <f>IF($AV133="","",IFERROR(VLOOKUP($AU133&amp;"-"&amp;$AV133,DECODE!$E$3:$F$21,2,FALSE),"?"))</f>
        <v/>
      </c>
      <c r="AY133">
        <f>IF($AT133="","",IFERROR(VALUE(RIGHT($AT133,3)),""))</f>
        <v/>
      </c>
      <c r="AZ133">
        <f>IF($U133="","",IFERROR(IF(ISNUMBER($U133),$U133,DATEVALUE(TRIM($U133))),""))</f>
        <v/>
      </c>
      <c r="BA133">
        <f>IF($AZ133="","",IF(MONTH($AZ133)&gt;=12,"Cold Winter",IF(MONTH($AZ133)&gt;=10,"Post-Monsoon",IF(MONTH($AZ133)&gt;=6,"Hot Humid",IF(MONTH($AZ133)&gt;=3,"Hot Dry","Cold Winter")))))</f>
        <v/>
      </c>
      <c r="BB133">
        <f>IF($AU133="","",IFERROR(VLOOKUP($AU133,DECODE!$A$3:$C$8,2,FALSE),"?"))</f>
        <v/>
      </c>
      <c r="BC133">
        <f>IF($P133="","",UPPER(TRIM(LEFT($P133&amp;",",FIND(",",$P133&amp;",")-1))))</f>
        <v/>
      </c>
      <c r="BD133">
        <f>IF($BC133="","",MID($BC133,4,FIND("~",SUBSTITUTE($BC133,"-","~",2))-4))</f>
        <v/>
      </c>
      <c r="BE133">
        <f>IF($BC133="","",MID($BC133,FIND("~",SUBSTITUTE($BC133,"-","~",2))+1,FIND("~",SUBSTITUTE($BC133,"-","~",3))-FIND("~",SUBSTITUTE($BC133,"-","~",2))-1))</f>
        <v/>
      </c>
      <c r="BF133">
        <f>IF($BD133="","",IFERROR(VLOOKUP($BD133,DECODE!$A$3:$C$8,3,FALSE),"?"))</f>
        <v/>
      </c>
      <c r="BG133">
        <f>IF($BE133="","",IFERROR(VLOOKUP($BD133&amp;"-"&amp;$BE133,DECODE!$E$3:$F$21,2,FALSE),"?"))</f>
        <v/>
      </c>
      <c r="BH133">
        <f>IF($BC133="","",IFERROR(VALUE(RIGHT($BC133,3)),""))</f>
        <v/>
      </c>
      <c r="BI133">
        <f>IF($V133="","",IFERROR(IF(ISNUMBER($V133),$V133,DATEVALUE(TRIM($V133))),""))</f>
        <v/>
      </c>
      <c r="BJ133">
        <f>IF($BI133="","",IF(MONTH($BI133)&gt;=12,"Cold Winter",IF(MONTH($BI133)&gt;=10,"Post-Monsoon",IF(MONTH($BI133)&gt;=6,"Hot Humid",IF(MONTH($BI133)&gt;=3,"Hot Dry","Cold Winter")))))</f>
        <v/>
      </c>
      <c r="BK133">
        <f>IF($BD133="","",IFERROR(VLOOKUP($BD133,DECODE!$A$3:$C$8,2,FALSE),"?"))</f>
        <v/>
      </c>
      <c r="BL133">
        <f>IF($Q133="","",UPPER(TRIM(LEFT($Q133&amp;",",FIND(",",$Q133&amp;",")-1))))</f>
        <v/>
      </c>
      <c r="BM133">
        <f>IF($BL133="","",MID($BL133,4,FIND("~",SUBSTITUTE($BL133,"-","~",2))-4))</f>
        <v/>
      </c>
      <c r="BN133">
        <f>IF($BL133="","",MID($BL133,FIND("~",SUBSTITUTE($BL133,"-","~",2))+1,FIND("~",SUBSTITUTE($BL133,"-","~",3))-FIND("~",SUBSTITUTE($BL133,"-","~",2))-1))</f>
        <v/>
      </c>
      <c r="BO133">
        <f>IF($BM133="","",IFERROR(VLOOKUP($BM133,DECODE!$A$3:$C$8,3,FALSE),"?"))</f>
        <v/>
      </c>
      <c r="BP133">
        <f>IF($BN133="","",IFERROR(VLOOKUP($BM133&amp;"-"&amp;$BN133,DECODE!$E$3:$F$21,2,FALSE),"?"))</f>
        <v/>
      </c>
      <c r="BQ133">
        <f>IF($BL133="","",IFERROR(VALUE(RIGHT($BL133,3)),""))</f>
        <v/>
      </c>
      <c r="BR133">
        <f>IF($W133="","",IFERROR(IF(ISNUMBER($W133),$W133,DATEVALUE(TRIM($W133))),""))</f>
        <v/>
      </c>
      <c r="BS133">
        <f>IF($BR133="","",IF(MONTH($BR133)&gt;=12,"Cold Winter",IF(MONTH($BR133)&gt;=10,"Post-Monsoon",IF(MONTH($BR133)&gt;=6,"Hot Humid",IF(MONTH($BR133)&gt;=3,"Hot Dry","Cold Winter")))))</f>
        <v/>
      </c>
      <c r="BT133">
        <f>IF($BM133="","",IFERROR(VLOOKUP($BM133,DECODE!$A$3:$C$8,2,FALSE),"?"))</f>
        <v/>
      </c>
      <c r="BU133">
        <f>IF($R133="","",UPPER(TRIM(LEFT($R133&amp;",",FIND(",",$R133&amp;",")-1))))</f>
        <v/>
      </c>
      <c r="BV133">
        <f>IF($BU133="","",MID($BU133,4,FIND("~",SUBSTITUTE($BU133,"-","~",2))-4))</f>
        <v/>
      </c>
      <c r="BW133">
        <f>IF($BU133="","",MID($BU133,FIND("~",SUBSTITUTE($BU133,"-","~",2))+1,FIND("~",SUBSTITUTE($BU133,"-","~",3))-FIND("~",SUBSTITUTE($BU133,"-","~",2))-1))</f>
        <v/>
      </c>
      <c r="BX133">
        <f>IF($BV133="","",IFERROR(VLOOKUP($BV133,DECODE!$A$3:$C$8,3,FALSE),"?"))</f>
        <v/>
      </c>
      <c r="BY133">
        <f>IF($BW133="","",IFERROR(VLOOKUP($BV133&amp;"-"&amp;$BW133,DECODE!$E$3:$F$21,2,FALSE),"?"))</f>
        <v/>
      </c>
      <c r="BZ133">
        <f>IF($BU133="","",IFERROR(VALUE(RIGHT($BU133,3)),""))</f>
        <v/>
      </c>
      <c r="CA133">
        <f>IF($X133="","",IFERROR(IF(ISNUMBER($X133),$X133,DATEVALUE(TRIM($X133))),""))</f>
        <v/>
      </c>
      <c r="CB133">
        <f>IF($CA133="","",IF(MONTH($CA133)&gt;=12,"Cold Winter",IF(MONTH($CA133)&gt;=10,"Post-Monsoon",IF(MONTH($CA133)&gt;=6,"Hot Humid",IF(MONTH($CA133)&gt;=3,"Hot Dry","Cold Winter")))))</f>
        <v/>
      </c>
      <c r="CC133">
        <f>IF($BV133="","",IFERROR(VLOOKUP($BV133,DECODE!$A$3:$C$8,2,FALSE),"?"))</f>
        <v/>
      </c>
      <c r="CD133">
        <f>IF($S133="","",UPPER(TRIM(LEFT($S133&amp;",",FIND(",",$S133&amp;",")-1))))</f>
        <v/>
      </c>
      <c r="CE133">
        <f>IF($CD133="","",MID($CD133,4,FIND("~",SUBSTITUTE($CD133,"-","~",2))-4))</f>
        <v/>
      </c>
      <c r="CF133">
        <f>IF($CD133="","",MID($CD133,FIND("~",SUBSTITUTE($CD133,"-","~",2))+1,FIND("~",SUBSTITUTE($CD133,"-","~",3))-FIND("~",SUBSTITUTE($CD133,"-","~",2))-1))</f>
        <v/>
      </c>
      <c r="CG133">
        <f>IF($CE133="","",IFERROR(VLOOKUP($CE133,DECODE!$A$3:$C$8,3,FALSE),"?"))</f>
        <v/>
      </c>
      <c r="CH133">
        <f>IF($CF133="","",IFERROR(VLOOKUP($CE133&amp;"-"&amp;$CF133,DECODE!$E$3:$F$21,2,FALSE),"?"))</f>
        <v/>
      </c>
      <c r="CI133">
        <f>IF($CD133="","",IFERROR(VALUE(RIGHT($CD133,3)),""))</f>
        <v/>
      </c>
      <c r="CJ133">
        <f>IF($Y133="","",IFERROR(IF(ISNUMBER($Y133),$Y133,DATEVALUE(TRIM($Y133))),""))</f>
        <v/>
      </c>
      <c r="CK133">
        <f>IF($CJ133="","",IF(MONTH($CJ133)&gt;=12,"Cold Winter",IF(MONTH($CJ133)&gt;=10,"Post-Monsoon",IF(MONTH($CJ133)&gt;=6,"Hot Humid",IF(MONTH($CJ133)&gt;=3,"Hot Dry","Cold Winter")))))</f>
        <v/>
      </c>
      <c r="CL133">
        <f>IF($CE133="","",IFERROR(VLOOKUP($CE133,DECODE!$A$3:$C$8,2,FALSE),"?"))</f>
        <v/>
      </c>
      <c r="CM133">
        <f>IF($AN133="","",AN133)</f>
        <v/>
      </c>
      <c r="CN133">
        <f>IF($AO133="","",AO133)</f>
        <v/>
      </c>
      <c r="CO133">
        <f>IF($AP133="","",AP133)</f>
        <v/>
      </c>
      <c r="CP133">
        <f>IF($CM133="","",IF($CM133="Aloe Vera Gel","Aloe Vera Gel "&amp;$CO133&amp;"g",CN133&amp;" "&amp;$CO133&amp;"g"))</f>
        <v/>
      </c>
      <c r="CQ133">
        <f>IF($AT133="",0,1)</f>
        <v/>
      </c>
      <c r="CR133">
        <f>IF($CQ133=0,"",AW133)</f>
        <v/>
      </c>
      <c r="CS133">
        <f>IF($CQ133=0,"",AX133)</f>
        <v/>
      </c>
      <c r="CT133">
        <f>IF($CQ133=0,"",AY133)</f>
        <v/>
      </c>
      <c r="CU133">
        <f>IF($CR133="","",IF($CR133="Aloe Vera Gel","Aloe Vera Gel "&amp;$CT133&amp;"g",CS133&amp;" "&amp;$CT133&amp;"g"))</f>
        <v/>
      </c>
      <c r="CV133">
        <f>IF($CQ133=0,"",IF($CP133=$CU133,"Repeat Exact",IF($CT133&gt;$CO133,"Upsized",IF($CT133&lt;$CO133,"Downsized",IF($CM133&lt;&gt;$CR133,"Lateral","Same Size Diff Variant")))))</f>
        <v/>
      </c>
      <c r="CW133">
        <f>IF($CQ133=0,"",AZ133-AQ133)</f>
        <v/>
      </c>
      <c r="CX133">
        <f>IF($CQ133=0,0,IF(CS133=CN133,1,0))</f>
        <v/>
      </c>
      <c r="CY133">
        <f>IF($CQ133=0,0,IF(CR133=CM133,1,0))</f>
        <v/>
      </c>
      <c r="CZ133">
        <f>IF($A133="","",IF(AND(IF(DASHBOARD!$C$4="All",TRUE,$CM133=DASHBOARD!$C$4),IF(DASHBOARD!$C$6="All",TRUE,$CP133=DASHBOARD!$C$6),IF(DASHBOARD!$C$8="All",TRUE,$AF133&gt;=DASHBOARD!$C$8),IF(DASHBOARD!$C$10="All",TRUE,$AF133&lt;=DASHBOARD!$C$10),IF(DASHBOARD!$C$12="All",TRUE,$AH133=VALUE(DASHBOARD!$C$12)),IF(DASHBOARD!$C$14="All",TRUE,$AJ133=DASHBOARD!$C$14)),1,0))</f>
        <v/>
      </c>
    </row>
    <row r="134">
      <c r="A134" t="n">
        <v>107313</v>
      </c>
      <c r="B134" t="inlineStr">
        <is>
          <t>Active Gel</t>
        </is>
      </c>
      <c r="H134" t="inlineStr">
        <is>
          <t>Active Neem TeaTree Gel, Active Orange Kiwi Vit-C Gel</t>
        </is>
      </c>
      <c r="N134" t="inlineStr">
        <is>
          <t>FC-AC-NT-050, FC-AC-OK-050</t>
        </is>
      </c>
      <c r="T134" t="inlineStr">
        <is>
          <t>May 6, 2025</t>
        </is>
      </c>
      <c r="AE134" t="inlineStr">
        <is>
          <t>Chennai</t>
        </is>
      </c>
      <c r="AF134" t="inlineStr">
        <is>
          <t>2025-05</t>
        </is>
      </c>
      <c r="AG134" t="n">
        <v>5</v>
      </c>
      <c r="AH134" t="n">
        <v>1</v>
      </c>
      <c r="AI134" t="n">
        <v>0</v>
      </c>
      <c r="AJ134">
        <f>IF($AE134="","",IFERROR(VLOOKUP(TRIM($AE134),DECODE!$H$3:$I$60,2,FALSE),"Rest of India"))</f>
        <v/>
      </c>
      <c r="AK134">
        <f>IF($N134="","",UPPER(TRIM(LEFT($N134&amp;",",FIND(",",$N134&amp;",")-1))))</f>
        <v/>
      </c>
      <c r="AL134">
        <f>IF($AK134="","",MID($AK134,4,FIND("~",SUBSTITUTE($AK134,"-","~",2))-4))</f>
        <v/>
      </c>
      <c r="AM134">
        <f>IF($AK134="","",MID($AK134,FIND("~",SUBSTITUTE($AK134,"-","~",2))+1,FIND("~",SUBSTITUTE($AK134,"-","~",3))-FIND("~",SUBSTITUTE($AK134,"-","~",2))-1))</f>
        <v/>
      </c>
      <c r="AN134">
        <f>IF($AL134="","",IFERROR(VLOOKUP($AL134,DECODE!$A$3:$C$8,3,FALSE),"?"))</f>
        <v/>
      </c>
      <c r="AO134">
        <f>IF($AM134="","",IFERROR(VLOOKUP($AL134&amp;"-"&amp;$AM134,DECODE!$E$3:$F$21,2,FALSE),"?"))</f>
        <v/>
      </c>
      <c r="AP134">
        <f>IF($AK134="","",IFERROR(VALUE(RIGHT($AK134,3)),""))</f>
        <v/>
      </c>
      <c r="AQ134">
        <f>IF($T134="","",IFERROR(IF(ISNUMBER($T134),$T134,DATEVALUE(TRIM($T134))),""))</f>
        <v/>
      </c>
      <c r="AR134">
        <f>IF($AQ134="","",IF(MONTH($AQ134)&gt;=12,"Cold Winter",IF(MONTH($AQ134)&gt;=10,"Post-Monsoon",IF(MONTH($AQ134)&gt;=6,"Hot Humid",IF(MONTH($AQ134)&gt;=3,"Hot Dry","Cold Winter")))))</f>
        <v/>
      </c>
      <c r="AS134">
        <f>IF($AL134="","",IFERROR(VLOOKUP($AL134,DECODE!$A$3:$C$8,2,FALSE),"?"))</f>
        <v/>
      </c>
      <c r="AT134">
        <f>IF($O134="","",UPPER(TRIM(LEFT($O134&amp;",",FIND(",",$O134&amp;",")-1))))</f>
        <v/>
      </c>
      <c r="AU134">
        <f>IF($AT134="","",MID($AT134,4,FIND("~",SUBSTITUTE($AT134,"-","~",2))-4))</f>
        <v/>
      </c>
      <c r="AV134">
        <f>IF($AT134="","",MID($AT134,FIND("~",SUBSTITUTE($AT134,"-","~",2))+1,FIND("~",SUBSTITUTE($AT134,"-","~",3))-FIND("~",SUBSTITUTE($AT134,"-","~",2))-1))</f>
        <v/>
      </c>
      <c r="AW134">
        <f>IF($AU134="","",IFERROR(VLOOKUP($AU134,DECODE!$A$3:$C$8,3,FALSE),"?"))</f>
        <v/>
      </c>
      <c r="AX134">
        <f>IF($AV134="","",IFERROR(VLOOKUP($AU134&amp;"-"&amp;$AV134,DECODE!$E$3:$F$21,2,FALSE),"?"))</f>
        <v/>
      </c>
      <c r="AY134">
        <f>IF($AT134="","",IFERROR(VALUE(RIGHT($AT134,3)),""))</f>
        <v/>
      </c>
      <c r="AZ134">
        <f>IF($U134="","",IFERROR(IF(ISNUMBER($U134),$U134,DATEVALUE(TRIM($U134))),""))</f>
        <v/>
      </c>
      <c r="BA134">
        <f>IF($AZ134="","",IF(MONTH($AZ134)&gt;=12,"Cold Winter",IF(MONTH($AZ134)&gt;=10,"Post-Monsoon",IF(MONTH($AZ134)&gt;=6,"Hot Humid",IF(MONTH($AZ134)&gt;=3,"Hot Dry","Cold Winter")))))</f>
        <v/>
      </c>
      <c r="BB134">
        <f>IF($AU134="","",IFERROR(VLOOKUP($AU134,DECODE!$A$3:$C$8,2,FALSE),"?"))</f>
        <v/>
      </c>
      <c r="BC134">
        <f>IF($P134="","",UPPER(TRIM(LEFT($P134&amp;",",FIND(",",$P134&amp;",")-1))))</f>
        <v/>
      </c>
      <c r="BD134">
        <f>IF($BC134="","",MID($BC134,4,FIND("~",SUBSTITUTE($BC134,"-","~",2))-4))</f>
        <v/>
      </c>
      <c r="BE134">
        <f>IF($BC134="","",MID($BC134,FIND("~",SUBSTITUTE($BC134,"-","~",2))+1,FIND("~",SUBSTITUTE($BC134,"-","~",3))-FIND("~",SUBSTITUTE($BC134,"-","~",2))-1))</f>
        <v/>
      </c>
      <c r="BF134">
        <f>IF($BD134="","",IFERROR(VLOOKUP($BD134,DECODE!$A$3:$C$8,3,FALSE),"?"))</f>
        <v/>
      </c>
      <c r="BG134">
        <f>IF($BE134="","",IFERROR(VLOOKUP($BD134&amp;"-"&amp;$BE134,DECODE!$E$3:$F$21,2,FALSE),"?"))</f>
        <v/>
      </c>
      <c r="BH134">
        <f>IF($BC134="","",IFERROR(VALUE(RIGHT($BC134,3)),""))</f>
        <v/>
      </c>
      <c r="BI134">
        <f>IF($V134="","",IFERROR(IF(ISNUMBER($V134),$V134,DATEVALUE(TRIM($V134))),""))</f>
        <v/>
      </c>
      <c r="BJ134">
        <f>IF($BI134="","",IF(MONTH($BI134)&gt;=12,"Cold Winter",IF(MONTH($BI134)&gt;=10,"Post-Monsoon",IF(MONTH($BI134)&gt;=6,"Hot Humid",IF(MONTH($BI134)&gt;=3,"Hot Dry","Cold Winter")))))</f>
        <v/>
      </c>
      <c r="BK134">
        <f>IF($BD134="","",IFERROR(VLOOKUP($BD134,DECODE!$A$3:$C$8,2,FALSE),"?"))</f>
        <v/>
      </c>
      <c r="BL134">
        <f>IF($Q134="","",UPPER(TRIM(LEFT($Q134&amp;",",FIND(",",$Q134&amp;",")-1))))</f>
        <v/>
      </c>
      <c r="BM134">
        <f>IF($BL134="","",MID($BL134,4,FIND("~",SUBSTITUTE($BL134,"-","~",2))-4))</f>
        <v/>
      </c>
      <c r="BN134">
        <f>IF($BL134="","",MID($BL134,FIND("~",SUBSTITUTE($BL134,"-","~",2))+1,FIND("~",SUBSTITUTE($BL134,"-","~",3))-FIND("~",SUBSTITUTE($BL134,"-","~",2))-1))</f>
        <v/>
      </c>
      <c r="BO134">
        <f>IF($BM134="","",IFERROR(VLOOKUP($BM134,DECODE!$A$3:$C$8,3,FALSE),"?"))</f>
        <v/>
      </c>
      <c r="BP134">
        <f>IF($BN134="","",IFERROR(VLOOKUP($BM134&amp;"-"&amp;$BN134,DECODE!$E$3:$F$21,2,FALSE),"?"))</f>
        <v/>
      </c>
      <c r="BQ134">
        <f>IF($BL134="","",IFERROR(VALUE(RIGHT($BL134,3)),""))</f>
        <v/>
      </c>
      <c r="BR134">
        <f>IF($W134="","",IFERROR(IF(ISNUMBER($W134),$W134,DATEVALUE(TRIM($W134))),""))</f>
        <v/>
      </c>
      <c r="BS134">
        <f>IF($BR134="","",IF(MONTH($BR134)&gt;=12,"Cold Winter",IF(MONTH($BR134)&gt;=10,"Post-Monsoon",IF(MONTH($BR134)&gt;=6,"Hot Humid",IF(MONTH($BR134)&gt;=3,"Hot Dry","Cold Winter")))))</f>
        <v/>
      </c>
      <c r="BT134">
        <f>IF($BM134="","",IFERROR(VLOOKUP($BM134,DECODE!$A$3:$C$8,2,FALSE),"?"))</f>
        <v/>
      </c>
      <c r="BU134">
        <f>IF($R134="","",UPPER(TRIM(LEFT($R134&amp;",",FIND(",",$R134&amp;",")-1))))</f>
        <v/>
      </c>
      <c r="BV134">
        <f>IF($BU134="","",MID($BU134,4,FIND("~",SUBSTITUTE($BU134,"-","~",2))-4))</f>
        <v/>
      </c>
      <c r="BW134">
        <f>IF($BU134="","",MID($BU134,FIND("~",SUBSTITUTE($BU134,"-","~",2))+1,FIND("~",SUBSTITUTE($BU134,"-","~",3))-FIND("~",SUBSTITUTE($BU134,"-","~",2))-1))</f>
        <v/>
      </c>
      <c r="BX134">
        <f>IF($BV134="","",IFERROR(VLOOKUP($BV134,DECODE!$A$3:$C$8,3,FALSE),"?"))</f>
        <v/>
      </c>
      <c r="BY134">
        <f>IF($BW134="","",IFERROR(VLOOKUP($BV134&amp;"-"&amp;$BW134,DECODE!$E$3:$F$21,2,FALSE),"?"))</f>
        <v/>
      </c>
      <c r="BZ134">
        <f>IF($BU134="","",IFERROR(VALUE(RIGHT($BU134,3)),""))</f>
        <v/>
      </c>
      <c r="CA134">
        <f>IF($X134="","",IFERROR(IF(ISNUMBER($X134),$X134,DATEVALUE(TRIM($X134))),""))</f>
        <v/>
      </c>
      <c r="CB134">
        <f>IF($CA134="","",IF(MONTH($CA134)&gt;=12,"Cold Winter",IF(MONTH($CA134)&gt;=10,"Post-Monsoon",IF(MONTH($CA134)&gt;=6,"Hot Humid",IF(MONTH($CA134)&gt;=3,"Hot Dry","Cold Winter")))))</f>
        <v/>
      </c>
      <c r="CC134">
        <f>IF($BV134="","",IFERROR(VLOOKUP($BV134,DECODE!$A$3:$C$8,2,FALSE),"?"))</f>
        <v/>
      </c>
      <c r="CD134">
        <f>IF($S134="","",UPPER(TRIM(LEFT($S134&amp;",",FIND(",",$S134&amp;",")-1))))</f>
        <v/>
      </c>
      <c r="CE134">
        <f>IF($CD134="","",MID($CD134,4,FIND("~",SUBSTITUTE($CD134,"-","~",2))-4))</f>
        <v/>
      </c>
      <c r="CF134">
        <f>IF($CD134="","",MID($CD134,FIND("~",SUBSTITUTE($CD134,"-","~",2))+1,FIND("~",SUBSTITUTE($CD134,"-","~",3))-FIND("~",SUBSTITUTE($CD134,"-","~",2))-1))</f>
        <v/>
      </c>
      <c r="CG134">
        <f>IF($CE134="","",IFERROR(VLOOKUP($CE134,DECODE!$A$3:$C$8,3,FALSE),"?"))</f>
        <v/>
      </c>
      <c r="CH134">
        <f>IF($CF134="","",IFERROR(VLOOKUP($CE134&amp;"-"&amp;$CF134,DECODE!$E$3:$F$21,2,FALSE),"?"))</f>
        <v/>
      </c>
      <c r="CI134">
        <f>IF($CD134="","",IFERROR(VALUE(RIGHT($CD134,3)),""))</f>
        <v/>
      </c>
      <c r="CJ134">
        <f>IF($Y134="","",IFERROR(IF(ISNUMBER($Y134),$Y134,DATEVALUE(TRIM($Y134))),""))</f>
        <v/>
      </c>
      <c r="CK134">
        <f>IF($CJ134="","",IF(MONTH($CJ134)&gt;=12,"Cold Winter",IF(MONTH($CJ134)&gt;=10,"Post-Monsoon",IF(MONTH($CJ134)&gt;=6,"Hot Humid",IF(MONTH($CJ134)&gt;=3,"Hot Dry","Cold Winter")))))</f>
        <v/>
      </c>
      <c r="CL134">
        <f>IF($CE134="","",IFERROR(VLOOKUP($CE134,DECODE!$A$3:$C$8,2,FALSE),"?"))</f>
        <v/>
      </c>
      <c r="CM134">
        <f>IF($AN134="","",AN134)</f>
        <v/>
      </c>
      <c r="CN134">
        <f>IF($AO134="","",AO134)</f>
        <v/>
      </c>
      <c r="CO134">
        <f>IF($AP134="","",AP134)</f>
        <v/>
      </c>
      <c r="CP134">
        <f>IF($CM134="","",IF($CM134="Aloe Vera Gel","Aloe Vera Gel "&amp;$CO134&amp;"g",CN134&amp;" "&amp;$CO134&amp;"g"))</f>
        <v/>
      </c>
      <c r="CQ134">
        <f>IF($AT134="",0,1)</f>
        <v/>
      </c>
      <c r="CR134">
        <f>IF($CQ134=0,"",AW134)</f>
        <v/>
      </c>
      <c r="CS134">
        <f>IF($CQ134=0,"",AX134)</f>
        <v/>
      </c>
      <c r="CT134">
        <f>IF($CQ134=0,"",AY134)</f>
        <v/>
      </c>
      <c r="CU134">
        <f>IF($CR134="","",IF($CR134="Aloe Vera Gel","Aloe Vera Gel "&amp;$CT134&amp;"g",CS134&amp;" "&amp;$CT134&amp;"g"))</f>
        <v/>
      </c>
      <c r="CV134">
        <f>IF($CQ134=0,"",IF($CP134=$CU134,"Repeat Exact",IF($CT134&gt;$CO134,"Upsized",IF($CT134&lt;$CO134,"Downsized",IF($CM134&lt;&gt;$CR134,"Lateral","Same Size Diff Variant")))))</f>
        <v/>
      </c>
      <c r="CW134">
        <f>IF($CQ134=0,"",AZ134-AQ134)</f>
        <v/>
      </c>
      <c r="CX134">
        <f>IF($CQ134=0,0,IF(CS134=CN134,1,0))</f>
        <v/>
      </c>
      <c r="CY134">
        <f>IF($CQ134=0,0,IF(CR134=CM134,1,0))</f>
        <v/>
      </c>
      <c r="CZ134">
        <f>IF($A134="","",IF(AND(IF(DASHBOARD!$C$4="All",TRUE,$CM134=DASHBOARD!$C$4),IF(DASHBOARD!$C$6="All",TRUE,$CP134=DASHBOARD!$C$6),IF(DASHBOARD!$C$8="All",TRUE,$AF134&gt;=DASHBOARD!$C$8),IF(DASHBOARD!$C$10="All",TRUE,$AF134&lt;=DASHBOARD!$C$10),IF(DASHBOARD!$C$12="All",TRUE,$AH134=VALUE(DASHBOARD!$C$12)),IF(DASHBOARD!$C$14="All",TRUE,$AJ134=DASHBOARD!$C$14)),1,0))</f>
        <v/>
      </c>
    </row>
    <row r="135">
      <c r="A135" t="n">
        <v>107924</v>
      </c>
      <c r="B135" t="inlineStr">
        <is>
          <t>Active Gel</t>
        </is>
      </c>
      <c r="H135" t="inlineStr">
        <is>
          <t>Active Beetroot Tomato Vit-A Gel</t>
        </is>
      </c>
      <c r="N135" t="inlineStr">
        <is>
          <t>FC-AC-BT-050</t>
        </is>
      </c>
      <c r="T135" t="inlineStr">
        <is>
          <t>Jun 29, 2025</t>
        </is>
      </c>
      <c r="AE135" t="inlineStr">
        <is>
          <t>Hyderabad</t>
        </is>
      </c>
      <c r="AF135" t="inlineStr">
        <is>
          <t>2025-06</t>
        </is>
      </c>
      <c r="AG135" t="n">
        <v>6</v>
      </c>
      <c r="AH135" t="n">
        <v>1</v>
      </c>
      <c r="AI135" t="n">
        <v>0</v>
      </c>
      <c r="AJ135">
        <f>IF($AE135="","",IFERROR(VLOOKUP(TRIM($AE135),DECODE!$H$3:$I$60,2,FALSE),"Rest of India"))</f>
        <v/>
      </c>
      <c r="AK135">
        <f>IF($N135="","",UPPER(TRIM(LEFT($N135&amp;",",FIND(",",$N135&amp;",")-1))))</f>
        <v/>
      </c>
      <c r="AL135">
        <f>IF($AK135="","",MID($AK135,4,FIND("~",SUBSTITUTE($AK135,"-","~",2))-4))</f>
        <v/>
      </c>
      <c r="AM135">
        <f>IF($AK135="","",MID($AK135,FIND("~",SUBSTITUTE($AK135,"-","~",2))+1,FIND("~",SUBSTITUTE($AK135,"-","~",3))-FIND("~",SUBSTITUTE($AK135,"-","~",2))-1))</f>
        <v/>
      </c>
      <c r="AN135">
        <f>IF($AL135="","",IFERROR(VLOOKUP($AL135,DECODE!$A$3:$C$8,3,FALSE),"?"))</f>
        <v/>
      </c>
      <c r="AO135">
        <f>IF($AM135="","",IFERROR(VLOOKUP($AL135&amp;"-"&amp;$AM135,DECODE!$E$3:$F$21,2,FALSE),"?"))</f>
        <v/>
      </c>
      <c r="AP135">
        <f>IF($AK135="","",IFERROR(VALUE(RIGHT($AK135,3)),""))</f>
        <v/>
      </c>
      <c r="AQ135">
        <f>IF($T135="","",IFERROR(IF(ISNUMBER($T135),$T135,DATEVALUE(TRIM($T135))),""))</f>
        <v/>
      </c>
      <c r="AR135">
        <f>IF($AQ135="","",IF(MONTH($AQ135)&gt;=12,"Cold Winter",IF(MONTH($AQ135)&gt;=10,"Post-Monsoon",IF(MONTH($AQ135)&gt;=6,"Hot Humid",IF(MONTH($AQ135)&gt;=3,"Hot Dry","Cold Winter")))))</f>
        <v/>
      </c>
      <c r="AS135">
        <f>IF($AL135="","",IFERROR(VLOOKUP($AL135,DECODE!$A$3:$C$8,2,FALSE),"?"))</f>
        <v/>
      </c>
      <c r="AT135">
        <f>IF($O135="","",UPPER(TRIM(LEFT($O135&amp;",",FIND(",",$O135&amp;",")-1))))</f>
        <v/>
      </c>
      <c r="AU135">
        <f>IF($AT135="","",MID($AT135,4,FIND("~",SUBSTITUTE($AT135,"-","~",2))-4))</f>
        <v/>
      </c>
      <c r="AV135">
        <f>IF($AT135="","",MID($AT135,FIND("~",SUBSTITUTE($AT135,"-","~",2))+1,FIND("~",SUBSTITUTE($AT135,"-","~",3))-FIND("~",SUBSTITUTE($AT135,"-","~",2))-1))</f>
        <v/>
      </c>
      <c r="AW135">
        <f>IF($AU135="","",IFERROR(VLOOKUP($AU135,DECODE!$A$3:$C$8,3,FALSE),"?"))</f>
        <v/>
      </c>
      <c r="AX135">
        <f>IF($AV135="","",IFERROR(VLOOKUP($AU135&amp;"-"&amp;$AV135,DECODE!$E$3:$F$21,2,FALSE),"?"))</f>
        <v/>
      </c>
      <c r="AY135">
        <f>IF($AT135="","",IFERROR(VALUE(RIGHT($AT135,3)),""))</f>
        <v/>
      </c>
      <c r="AZ135">
        <f>IF($U135="","",IFERROR(IF(ISNUMBER($U135),$U135,DATEVALUE(TRIM($U135))),""))</f>
        <v/>
      </c>
      <c r="BA135">
        <f>IF($AZ135="","",IF(MONTH($AZ135)&gt;=12,"Cold Winter",IF(MONTH($AZ135)&gt;=10,"Post-Monsoon",IF(MONTH($AZ135)&gt;=6,"Hot Humid",IF(MONTH($AZ135)&gt;=3,"Hot Dry","Cold Winter")))))</f>
        <v/>
      </c>
      <c r="BB135">
        <f>IF($AU135="","",IFERROR(VLOOKUP($AU135,DECODE!$A$3:$C$8,2,FALSE),"?"))</f>
        <v/>
      </c>
      <c r="BC135">
        <f>IF($P135="","",UPPER(TRIM(LEFT($P135&amp;",",FIND(",",$P135&amp;",")-1))))</f>
        <v/>
      </c>
      <c r="BD135">
        <f>IF($BC135="","",MID($BC135,4,FIND("~",SUBSTITUTE($BC135,"-","~",2))-4))</f>
        <v/>
      </c>
      <c r="BE135">
        <f>IF($BC135="","",MID($BC135,FIND("~",SUBSTITUTE($BC135,"-","~",2))+1,FIND("~",SUBSTITUTE($BC135,"-","~",3))-FIND("~",SUBSTITUTE($BC135,"-","~",2))-1))</f>
        <v/>
      </c>
      <c r="BF135">
        <f>IF($BD135="","",IFERROR(VLOOKUP($BD135,DECODE!$A$3:$C$8,3,FALSE),"?"))</f>
        <v/>
      </c>
      <c r="BG135">
        <f>IF($BE135="","",IFERROR(VLOOKUP($BD135&amp;"-"&amp;$BE135,DECODE!$E$3:$F$21,2,FALSE),"?"))</f>
        <v/>
      </c>
      <c r="BH135">
        <f>IF($BC135="","",IFERROR(VALUE(RIGHT($BC135,3)),""))</f>
        <v/>
      </c>
      <c r="BI135">
        <f>IF($V135="","",IFERROR(IF(ISNUMBER($V135),$V135,DATEVALUE(TRIM($V135))),""))</f>
        <v/>
      </c>
      <c r="BJ135">
        <f>IF($BI135="","",IF(MONTH($BI135)&gt;=12,"Cold Winter",IF(MONTH($BI135)&gt;=10,"Post-Monsoon",IF(MONTH($BI135)&gt;=6,"Hot Humid",IF(MONTH($BI135)&gt;=3,"Hot Dry","Cold Winter")))))</f>
        <v/>
      </c>
      <c r="BK135">
        <f>IF($BD135="","",IFERROR(VLOOKUP($BD135,DECODE!$A$3:$C$8,2,FALSE),"?"))</f>
        <v/>
      </c>
      <c r="BL135">
        <f>IF($Q135="","",UPPER(TRIM(LEFT($Q135&amp;",",FIND(",",$Q135&amp;",")-1))))</f>
        <v/>
      </c>
      <c r="BM135">
        <f>IF($BL135="","",MID($BL135,4,FIND("~",SUBSTITUTE($BL135,"-","~",2))-4))</f>
        <v/>
      </c>
      <c r="BN135">
        <f>IF($BL135="","",MID($BL135,FIND("~",SUBSTITUTE($BL135,"-","~",2))+1,FIND("~",SUBSTITUTE($BL135,"-","~",3))-FIND("~",SUBSTITUTE($BL135,"-","~",2))-1))</f>
        <v/>
      </c>
      <c r="BO135">
        <f>IF($BM135="","",IFERROR(VLOOKUP($BM135,DECODE!$A$3:$C$8,3,FALSE),"?"))</f>
        <v/>
      </c>
      <c r="BP135">
        <f>IF($BN135="","",IFERROR(VLOOKUP($BM135&amp;"-"&amp;$BN135,DECODE!$E$3:$F$21,2,FALSE),"?"))</f>
        <v/>
      </c>
      <c r="BQ135">
        <f>IF($BL135="","",IFERROR(VALUE(RIGHT($BL135,3)),""))</f>
        <v/>
      </c>
      <c r="BR135">
        <f>IF($W135="","",IFERROR(IF(ISNUMBER($W135),$W135,DATEVALUE(TRIM($W135))),""))</f>
        <v/>
      </c>
      <c r="BS135">
        <f>IF($BR135="","",IF(MONTH($BR135)&gt;=12,"Cold Winter",IF(MONTH($BR135)&gt;=10,"Post-Monsoon",IF(MONTH($BR135)&gt;=6,"Hot Humid",IF(MONTH($BR135)&gt;=3,"Hot Dry","Cold Winter")))))</f>
        <v/>
      </c>
      <c r="BT135">
        <f>IF($BM135="","",IFERROR(VLOOKUP($BM135,DECODE!$A$3:$C$8,2,FALSE),"?"))</f>
        <v/>
      </c>
      <c r="BU135">
        <f>IF($R135="","",UPPER(TRIM(LEFT($R135&amp;",",FIND(",",$R135&amp;",")-1))))</f>
        <v/>
      </c>
      <c r="BV135">
        <f>IF($BU135="","",MID($BU135,4,FIND("~",SUBSTITUTE($BU135,"-","~",2))-4))</f>
        <v/>
      </c>
      <c r="BW135">
        <f>IF($BU135="","",MID($BU135,FIND("~",SUBSTITUTE($BU135,"-","~",2))+1,FIND("~",SUBSTITUTE($BU135,"-","~",3))-FIND("~",SUBSTITUTE($BU135,"-","~",2))-1))</f>
        <v/>
      </c>
      <c r="BX135">
        <f>IF($BV135="","",IFERROR(VLOOKUP($BV135,DECODE!$A$3:$C$8,3,FALSE),"?"))</f>
        <v/>
      </c>
      <c r="BY135">
        <f>IF($BW135="","",IFERROR(VLOOKUP($BV135&amp;"-"&amp;$BW135,DECODE!$E$3:$F$21,2,FALSE),"?"))</f>
        <v/>
      </c>
      <c r="BZ135">
        <f>IF($BU135="","",IFERROR(VALUE(RIGHT($BU135,3)),""))</f>
        <v/>
      </c>
      <c r="CA135">
        <f>IF($X135="","",IFERROR(IF(ISNUMBER($X135),$X135,DATEVALUE(TRIM($X135))),""))</f>
        <v/>
      </c>
      <c r="CB135">
        <f>IF($CA135="","",IF(MONTH($CA135)&gt;=12,"Cold Winter",IF(MONTH($CA135)&gt;=10,"Post-Monsoon",IF(MONTH($CA135)&gt;=6,"Hot Humid",IF(MONTH($CA135)&gt;=3,"Hot Dry","Cold Winter")))))</f>
        <v/>
      </c>
      <c r="CC135">
        <f>IF($BV135="","",IFERROR(VLOOKUP($BV135,DECODE!$A$3:$C$8,2,FALSE),"?"))</f>
        <v/>
      </c>
      <c r="CD135">
        <f>IF($S135="","",UPPER(TRIM(LEFT($S135&amp;",",FIND(",",$S135&amp;",")-1))))</f>
        <v/>
      </c>
      <c r="CE135">
        <f>IF($CD135="","",MID($CD135,4,FIND("~",SUBSTITUTE($CD135,"-","~",2))-4))</f>
        <v/>
      </c>
      <c r="CF135">
        <f>IF($CD135="","",MID($CD135,FIND("~",SUBSTITUTE($CD135,"-","~",2))+1,FIND("~",SUBSTITUTE($CD135,"-","~",3))-FIND("~",SUBSTITUTE($CD135,"-","~",2))-1))</f>
        <v/>
      </c>
      <c r="CG135">
        <f>IF($CE135="","",IFERROR(VLOOKUP($CE135,DECODE!$A$3:$C$8,3,FALSE),"?"))</f>
        <v/>
      </c>
      <c r="CH135">
        <f>IF($CF135="","",IFERROR(VLOOKUP($CE135&amp;"-"&amp;$CF135,DECODE!$E$3:$F$21,2,FALSE),"?"))</f>
        <v/>
      </c>
      <c r="CI135">
        <f>IF($CD135="","",IFERROR(VALUE(RIGHT($CD135,3)),""))</f>
        <v/>
      </c>
      <c r="CJ135">
        <f>IF($Y135="","",IFERROR(IF(ISNUMBER($Y135),$Y135,DATEVALUE(TRIM($Y135))),""))</f>
        <v/>
      </c>
      <c r="CK135">
        <f>IF($CJ135="","",IF(MONTH($CJ135)&gt;=12,"Cold Winter",IF(MONTH($CJ135)&gt;=10,"Post-Monsoon",IF(MONTH($CJ135)&gt;=6,"Hot Humid",IF(MONTH($CJ135)&gt;=3,"Hot Dry","Cold Winter")))))</f>
        <v/>
      </c>
      <c r="CL135">
        <f>IF($CE135="","",IFERROR(VLOOKUP($CE135,DECODE!$A$3:$C$8,2,FALSE),"?"))</f>
        <v/>
      </c>
      <c r="CM135">
        <f>IF($AN135="","",AN135)</f>
        <v/>
      </c>
      <c r="CN135">
        <f>IF($AO135="","",AO135)</f>
        <v/>
      </c>
      <c r="CO135">
        <f>IF($AP135="","",AP135)</f>
        <v/>
      </c>
      <c r="CP135">
        <f>IF($CM135="","",IF($CM135="Aloe Vera Gel","Aloe Vera Gel "&amp;$CO135&amp;"g",CN135&amp;" "&amp;$CO135&amp;"g"))</f>
        <v/>
      </c>
      <c r="CQ135">
        <f>IF($AT135="",0,1)</f>
        <v/>
      </c>
      <c r="CR135">
        <f>IF($CQ135=0,"",AW135)</f>
        <v/>
      </c>
      <c r="CS135">
        <f>IF($CQ135=0,"",AX135)</f>
        <v/>
      </c>
      <c r="CT135">
        <f>IF($CQ135=0,"",AY135)</f>
        <v/>
      </c>
      <c r="CU135">
        <f>IF($CR135="","",IF($CR135="Aloe Vera Gel","Aloe Vera Gel "&amp;$CT135&amp;"g",CS135&amp;" "&amp;$CT135&amp;"g"))</f>
        <v/>
      </c>
      <c r="CV135">
        <f>IF($CQ135=0,"",IF($CP135=$CU135,"Repeat Exact",IF($CT135&gt;$CO135,"Upsized",IF($CT135&lt;$CO135,"Downsized",IF($CM135&lt;&gt;$CR135,"Lateral","Same Size Diff Variant")))))</f>
        <v/>
      </c>
      <c r="CW135">
        <f>IF($CQ135=0,"",AZ135-AQ135)</f>
        <v/>
      </c>
      <c r="CX135">
        <f>IF($CQ135=0,0,IF(CS135=CN135,1,0))</f>
        <v/>
      </c>
      <c r="CY135">
        <f>IF($CQ135=0,0,IF(CR135=CM135,1,0))</f>
        <v/>
      </c>
      <c r="CZ135">
        <f>IF($A135="","",IF(AND(IF(DASHBOARD!$C$4="All",TRUE,$CM135=DASHBOARD!$C$4),IF(DASHBOARD!$C$6="All",TRUE,$CP135=DASHBOARD!$C$6),IF(DASHBOARD!$C$8="All",TRUE,$AF135&gt;=DASHBOARD!$C$8),IF(DASHBOARD!$C$10="All",TRUE,$AF135&lt;=DASHBOARD!$C$10),IF(DASHBOARD!$C$12="All",TRUE,$AH135=VALUE(DASHBOARD!$C$12)),IF(DASHBOARD!$C$14="All",TRUE,$AJ135=DASHBOARD!$C$14)),1,0))</f>
        <v/>
      </c>
    </row>
    <row r="136">
      <c r="A136" t="n">
        <v>108178</v>
      </c>
      <c r="B136" t="inlineStr">
        <is>
          <t>Aloe Vera Gel</t>
        </is>
      </c>
      <c r="H136" t="inlineStr">
        <is>
          <t>Aloe Vera Gel - 40 gms</t>
        </is>
      </c>
      <c r="N136" t="inlineStr">
        <is>
          <t>FC-HG-PA-040</t>
        </is>
      </c>
      <c r="T136" t="inlineStr">
        <is>
          <t>Jan 8, 2024</t>
        </is>
      </c>
      <c r="AE136" t="inlineStr">
        <is>
          <t>Kolkata</t>
        </is>
      </c>
      <c r="AF136" t="inlineStr">
        <is>
          <t>2024-01</t>
        </is>
      </c>
      <c r="AG136" t="n">
        <v>1</v>
      </c>
      <c r="AH136" t="n">
        <v>1</v>
      </c>
      <c r="AI136" t="n">
        <v>0</v>
      </c>
      <c r="AJ136">
        <f>IF($AE136="","",IFERROR(VLOOKUP(TRIM($AE136),DECODE!$H$3:$I$60,2,FALSE),"Rest of India"))</f>
        <v/>
      </c>
      <c r="AK136">
        <f>IF($N136="","",UPPER(TRIM(LEFT($N136&amp;",",FIND(",",$N136&amp;",")-1))))</f>
        <v/>
      </c>
      <c r="AL136">
        <f>IF($AK136="","",MID($AK136,4,FIND("~",SUBSTITUTE($AK136,"-","~",2))-4))</f>
        <v/>
      </c>
      <c r="AM136">
        <f>IF($AK136="","",MID($AK136,FIND("~",SUBSTITUTE($AK136,"-","~",2))+1,FIND("~",SUBSTITUTE($AK136,"-","~",3))-FIND("~",SUBSTITUTE($AK136,"-","~",2))-1))</f>
        <v/>
      </c>
      <c r="AN136">
        <f>IF($AL136="","",IFERROR(VLOOKUP($AL136,DECODE!$A$3:$C$8,3,FALSE),"?"))</f>
        <v/>
      </c>
      <c r="AO136">
        <f>IF($AM136="","",IFERROR(VLOOKUP($AL136&amp;"-"&amp;$AM136,DECODE!$E$3:$F$21,2,FALSE),"?"))</f>
        <v/>
      </c>
      <c r="AP136">
        <f>IF($AK136="","",IFERROR(VALUE(RIGHT($AK136,3)),""))</f>
        <v/>
      </c>
      <c r="AQ136">
        <f>IF($T136="","",IFERROR(IF(ISNUMBER($T136),$T136,DATEVALUE(TRIM($T136))),""))</f>
        <v/>
      </c>
      <c r="AR136">
        <f>IF($AQ136="","",IF(MONTH($AQ136)&gt;=12,"Cold Winter",IF(MONTH($AQ136)&gt;=10,"Post-Monsoon",IF(MONTH($AQ136)&gt;=6,"Hot Humid",IF(MONTH($AQ136)&gt;=3,"Hot Dry","Cold Winter")))))</f>
        <v/>
      </c>
      <c r="AS136">
        <f>IF($AL136="","",IFERROR(VLOOKUP($AL136,DECODE!$A$3:$C$8,2,FALSE),"?"))</f>
        <v/>
      </c>
      <c r="AT136">
        <f>IF($O136="","",UPPER(TRIM(LEFT($O136&amp;",",FIND(",",$O136&amp;",")-1))))</f>
        <v/>
      </c>
      <c r="AU136">
        <f>IF($AT136="","",MID($AT136,4,FIND("~",SUBSTITUTE($AT136,"-","~",2))-4))</f>
        <v/>
      </c>
      <c r="AV136">
        <f>IF($AT136="","",MID($AT136,FIND("~",SUBSTITUTE($AT136,"-","~",2))+1,FIND("~",SUBSTITUTE($AT136,"-","~",3))-FIND("~",SUBSTITUTE($AT136,"-","~",2))-1))</f>
        <v/>
      </c>
      <c r="AW136">
        <f>IF($AU136="","",IFERROR(VLOOKUP($AU136,DECODE!$A$3:$C$8,3,FALSE),"?"))</f>
        <v/>
      </c>
      <c r="AX136">
        <f>IF($AV136="","",IFERROR(VLOOKUP($AU136&amp;"-"&amp;$AV136,DECODE!$E$3:$F$21,2,FALSE),"?"))</f>
        <v/>
      </c>
      <c r="AY136">
        <f>IF($AT136="","",IFERROR(VALUE(RIGHT($AT136,3)),""))</f>
        <v/>
      </c>
      <c r="AZ136">
        <f>IF($U136="","",IFERROR(IF(ISNUMBER($U136),$U136,DATEVALUE(TRIM($U136))),""))</f>
        <v/>
      </c>
      <c r="BA136">
        <f>IF($AZ136="","",IF(MONTH($AZ136)&gt;=12,"Cold Winter",IF(MONTH($AZ136)&gt;=10,"Post-Monsoon",IF(MONTH($AZ136)&gt;=6,"Hot Humid",IF(MONTH($AZ136)&gt;=3,"Hot Dry","Cold Winter")))))</f>
        <v/>
      </c>
      <c r="BB136">
        <f>IF($AU136="","",IFERROR(VLOOKUP($AU136,DECODE!$A$3:$C$8,2,FALSE),"?"))</f>
        <v/>
      </c>
      <c r="BC136">
        <f>IF($P136="","",UPPER(TRIM(LEFT($P136&amp;",",FIND(",",$P136&amp;",")-1))))</f>
        <v/>
      </c>
      <c r="BD136">
        <f>IF($BC136="","",MID($BC136,4,FIND("~",SUBSTITUTE($BC136,"-","~",2))-4))</f>
        <v/>
      </c>
      <c r="BE136">
        <f>IF($BC136="","",MID($BC136,FIND("~",SUBSTITUTE($BC136,"-","~",2))+1,FIND("~",SUBSTITUTE($BC136,"-","~",3))-FIND("~",SUBSTITUTE($BC136,"-","~",2))-1))</f>
        <v/>
      </c>
      <c r="BF136">
        <f>IF($BD136="","",IFERROR(VLOOKUP($BD136,DECODE!$A$3:$C$8,3,FALSE),"?"))</f>
        <v/>
      </c>
      <c r="BG136">
        <f>IF($BE136="","",IFERROR(VLOOKUP($BD136&amp;"-"&amp;$BE136,DECODE!$E$3:$F$21,2,FALSE),"?"))</f>
        <v/>
      </c>
      <c r="BH136">
        <f>IF($BC136="","",IFERROR(VALUE(RIGHT($BC136,3)),""))</f>
        <v/>
      </c>
      <c r="BI136">
        <f>IF($V136="","",IFERROR(IF(ISNUMBER($V136),$V136,DATEVALUE(TRIM($V136))),""))</f>
        <v/>
      </c>
      <c r="BJ136">
        <f>IF($BI136="","",IF(MONTH($BI136)&gt;=12,"Cold Winter",IF(MONTH($BI136)&gt;=10,"Post-Monsoon",IF(MONTH($BI136)&gt;=6,"Hot Humid",IF(MONTH($BI136)&gt;=3,"Hot Dry","Cold Winter")))))</f>
        <v/>
      </c>
      <c r="BK136">
        <f>IF($BD136="","",IFERROR(VLOOKUP($BD136,DECODE!$A$3:$C$8,2,FALSE),"?"))</f>
        <v/>
      </c>
      <c r="BL136">
        <f>IF($Q136="","",UPPER(TRIM(LEFT($Q136&amp;",",FIND(",",$Q136&amp;",")-1))))</f>
        <v/>
      </c>
      <c r="BM136">
        <f>IF($BL136="","",MID($BL136,4,FIND("~",SUBSTITUTE($BL136,"-","~",2))-4))</f>
        <v/>
      </c>
      <c r="BN136">
        <f>IF($BL136="","",MID($BL136,FIND("~",SUBSTITUTE($BL136,"-","~",2))+1,FIND("~",SUBSTITUTE($BL136,"-","~",3))-FIND("~",SUBSTITUTE($BL136,"-","~",2))-1))</f>
        <v/>
      </c>
      <c r="BO136">
        <f>IF($BM136="","",IFERROR(VLOOKUP($BM136,DECODE!$A$3:$C$8,3,FALSE),"?"))</f>
        <v/>
      </c>
      <c r="BP136">
        <f>IF($BN136="","",IFERROR(VLOOKUP($BM136&amp;"-"&amp;$BN136,DECODE!$E$3:$F$21,2,FALSE),"?"))</f>
        <v/>
      </c>
      <c r="BQ136">
        <f>IF($BL136="","",IFERROR(VALUE(RIGHT($BL136,3)),""))</f>
        <v/>
      </c>
      <c r="BR136">
        <f>IF($W136="","",IFERROR(IF(ISNUMBER($W136),$W136,DATEVALUE(TRIM($W136))),""))</f>
        <v/>
      </c>
      <c r="BS136">
        <f>IF($BR136="","",IF(MONTH($BR136)&gt;=12,"Cold Winter",IF(MONTH($BR136)&gt;=10,"Post-Monsoon",IF(MONTH($BR136)&gt;=6,"Hot Humid",IF(MONTH($BR136)&gt;=3,"Hot Dry","Cold Winter")))))</f>
        <v/>
      </c>
      <c r="BT136">
        <f>IF($BM136="","",IFERROR(VLOOKUP($BM136,DECODE!$A$3:$C$8,2,FALSE),"?"))</f>
        <v/>
      </c>
      <c r="BU136">
        <f>IF($R136="","",UPPER(TRIM(LEFT($R136&amp;",",FIND(",",$R136&amp;",")-1))))</f>
        <v/>
      </c>
      <c r="BV136">
        <f>IF($BU136="","",MID($BU136,4,FIND("~",SUBSTITUTE($BU136,"-","~",2))-4))</f>
        <v/>
      </c>
      <c r="BW136">
        <f>IF($BU136="","",MID($BU136,FIND("~",SUBSTITUTE($BU136,"-","~",2))+1,FIND("~",SUBSTITUTE($BU136,"-","~",3))-FIND("~",SUBSTITUTE($BU136,"-","~",2))-1))</f>
        <v/>
      </c>
      <c r="BX136">
        <f>IF($BV136="","",IFERROR(VLOOKUP($BV136,DECODE!$A$3:$C$8,3,FALSE),"?"))</f>
        <v/>
      </c>
      <c r="BY136">
        <f>IF($BW136="","",IFERROR(VLOOKUP($BV136&amp;"-"&amp;$BW136,DECODE!$E$3:$F$21,2,FALSE),"?"))</f>
        <v/>
      </c>
      <c r="BZ136">
        <f>IF($BU136="","",IFERROR(VALUE(RIGHT($BU136,3)),""))</f>
        <v/>
      </c>
      <c r="CA136">
        <f>IF($X136="","",IFERROR(IF(ISNUMBER($X136),$X136,DATEVALUE(TRIM($X136))),""))</f>
        <v/>
      </c>
      <c r="CB136">
        <f>IF($CA136="","",IF(MONTH($CA136)&gt;=12,"Cold Winter",IF(MONTH($CA136)&gt;=10,"Post-Monsoon",IF(MONTH($CA136)&gt;=6,"Hot Humid",IF(MONTH($CA136)&gt;=3,"Hot Dry","Cold Winter")))))</f>
        <v/>
      </c>
      <c r="CC136">
        <f>IF($BV136="","",IFERROR(VLOOKUP($BV136,DECODE!$A$3:$C$8,2,FALSE),"?"))</f>
        <v/>
      </c>
      <c r="CD136">
        <f>IF($S136="","",UPPER(TRIM(LEFT($S136&amp;",",FIND(",",$S136&amp;",")-1))))</f>
        <v/>
      </c>
      <c r="CE136">
        <f>IF($CD136="","",MID($CD136,4,FIND("~",SUBSTITUTE($CD136,"-","~",2))-4))</f>
        <v/>
      </c>
      <c r="CF136">
        <f>IF($CD136="","",MID($CD136,FIND("~",SUBSTITUTE($CD136,"-","~",2))+1,FIND("~",SUBSTITUTE($CD136,"-","~",3))-FIND("~",SUBSTITUTE($CD136,"-","~",2))-1))</f>
        <v/>
      </c>
      <c r="CG136">
        <f>IF($CE136="","",IFERROR(VLOOKUP($CE136,DECODE!$A$3:$C$8,3,FALSE),"?"))</f>
        <v/>
      </c>
      <c r="CH136">
        <f>IF($CF136="","",IFERROR(VLOOKUP($CE136&amp;"-"&amp;$CF136,DECODE!$E$3:$F$21,2,FALSE),"?"))</f>
        <v/>
      </c>
      <c r="CI136">
        <f>IF($CD136="","",IFERROR(VALUE(RIGHT($CD136,3)),""))</f>
        <v/>
      </c>
      <c r="CJ136">
        <f>IF($Y136="","",IFERROR(IF(ISNUMBER($Y136),$Y136,DATEVALUE(TRIM($Y136))),""))</f>
        <v/>
      </c>
      <c r="CK136">
        <f>IF($CJ136="","",IF(MONTH($CJ136)&gt;=12,"Cold Winter",IF(MONTH($CJ136)&gt;=10,"Post-Monsoon",IF(MONTH($CJ136)&gt;=6,"Hot Humid",IF(MONTH($CJ136)&gt;=3,"Hot Dry","Cold Winter")))))</f>
        <v/>
      </c>
      <c r="CL136">
        <f>IF($CE136="","",IFERROR(VLOOKUP($CE136,DECODE!$A$3:$C$8,2,FALSE),"?"))</f>
        <v/>
      </c>
      <c r="CM136">
        <f>IF($AN136="","",AN136)</f>
        <v/>
      </c>
      <c r="CN136">
        <f>IF($AO136="","",AO136)</f>
        <v/>
      </c>
      <c r="CO136">
        <f>IF($AP136="","",AP136)</f>
        <v/>
      </c>
      <c r="CP136">
        <f>IF($CM136="","",IF($CM136="Aloe Vera Gel","Aloe Vera Gel "&amp;$CO136&amp;"g",CN136&amp;" "&amp;$CO136&amp;"g"))</f>
        <v/>
      </c>
      <c r="CQ136">
        <f>IF($AT136="",0,1)</f>
        <v/>
      </c>
      <c r="CR136">
        <f>IF($CQ136=0,"",AW136)</f>
        <v/>
      </c>
      <c r="CS136">
        <f>IF($CQ136=0,"",AX136)</f>
        <v/>
      </c>
      <c r="CT136">
        <f>IF($CQ136=0,"",AY136)</f>
        <v/>
      </c>
      <c r="CU136">
        <f>IF($CR136="","",IF($CR136="Aloe Vera Gel","Aloe Vera Gel "&amp;$CT136&amp;"g",CS136&amp;" "&amp;$CT136&amp;"g"))</f>
        <v/>
      </c>
      <c r="CV136">
        <f>IF($CQ136=0,"",IF($CP136=$CU136,"Repeat Exact",IF($CT136&gt;$CO136,"Upsized",IF($CT136&lt;$CO136,"Downsized",IF($CM136&lt;&gt;$CR136,"Lateral","Same Size Diff Variant")))))</f>
        <v/>
      </c>
      <c r="CW136">
        <f>IF($CQ136=0,"",AZ136-AQ136)</f>
        <v/>
      </c>
      <c r="CX136">
        <f>IF($CQ136=0,0,IF(CS136=CN136,1,0))</f>
        <v/>
      </c>
      <c r="CY136">
        <f>IF($CQ136=0,0,IF(CR136=CM136,1,0))</f>
        <v/>
      </c>
      <c r="CZ136">
        <f>IF($A136="","",IF(AND(IF(DASHBOARD!$C$4="All",TRUE,$CM136=DASHBOARD!$C$4),IF(DASHBOARD!$C$6="All",TRUE,$CP136=DASHBOARD!$C$6),IF(DASHBOARD!$C$8="All",TRUE,$AF136&gt;=DASHBOARD!$C$8),IF(DASHBOARD!$C$10="All",TRUE,$AF136&lt;=DASHBOARD!$C$10),IF(DASHBOARD!$C$12="All",TRUE,$AH136=VALUE(DASHBOARD!$C$12)),IF(DASHBOARD!$C$14="All",TRUE,$AJ136=DASHBOARD!$C$14)),1,0))</f>
        <v/>
      </c>
    </row>
    <row r="137">
      <c r="A137" t="n">
        <v>108199</v>
      </c>
      <c r="B137" t="inlineStr">
        <is>
          <t>Aloe Vera Gel</t>
        </is>
      </c>
      <c r="H137" t="inlineStr">
        <is>
          <t>Aloe Vera Gel - 40 gms</t>
        </is>
      </c>
      <c r="N137" t="inlineStr">
        <is>
          <t>FC-HG-PA-040</t>
        </is>
      </c>
      <c r="T137" t="inlineStr">
        <is>
          <t>Jun 1, 2024</t>
        </is>
      </c>
      <c r="AE137" t="inlineStr">
        <is>
          <t>Ghaziabad</t>
        </is>
      </c>
      <c r="AF137" t="inlineStr">
        <is>
          <t>2024-06</t>
        </is>
      </c>
      <c r="AG137" t="n">
        <v>6</v>
      </c>
      <c r="AH137" t="n">
        <v>1</v>
      </c>
      <c r="AI137" t="n">
        <v>0</v>
      </c>
      <c r="AJ137">
        <f>IF($AE137="","",IFERROR(VLOOKUP(TRIM($AE137),DECODE!$H$3:$I$60,2,FALSE),"Rest of India"))</f>
        <v/>
      </c>
      <c r="AK137">
        <f>IF($N137="","",UPPER(TRIM(LEFT($N137&amp;",",FIND(",",$N137&amp;",")-1))))</f>
        <v/>
      </c>
      <c r="AL137">
        <f>IF($AK137="","",MID($AK137,4,FIND("~",SUBSTITUTE($AK137,"-","~",2))-4))</f>
        <v/>
      </c>
      <c r="AM137">
        <f>IF($AK137="","",MID($AK137,FIND("~",SUBSTITUTE($AK137,"-","~",2))+1,FIND("~",SUBSTITUTE($AK137,"-","~",3))-FIND("~",SUBSTITUTE($AK137,"-","~",2))-1))</f>
        <v/>
      </c>
      <c r="AN137">
        <f>IF($AL137="","",IFERROR(VLOOKUP($AL137,DECODE!$A$3:$C$8,3,FALSE),"?"))</f>
        <v/>
      </c>
      <c r="AO137">
        <f>IF($AM137="","",IFERROR(VLOOKUP($AL137&amp;"-"&amp;$AM137,DECODE!$E$3:$F$21,2,FALSE),"?"))</f>
        <v/>
      </c>
      <c r="AP137">
        <f>IF($AK137="","",IFERROR(VALUE(RIGHT($AK137,3)),""))</f>
        <v/>
      </c>
      <c r="AQ137">
        <f>IF($T137="","",IFERROR(IF(ISNUMBER($T137),$T137,DATEVALUE(TRIM($T137))),""))</f>
        <v/>
      </c>
      <c r="AR137">
        <f>IF($AQ137="","",IF(MONTH($AQ137)&gt;=12,"Cold Winter",IF(MONTH($AQ137)&gt;=10,"Post-Monsoon",IF(MONTH($AQ137)&gt;=6,"Hot Humid",IF(MONTH($AQ137)&gt;=3,"Hot Dry","Cold Winter")))))</f>
        <v/>
      </c>
      <c r="AS137">
        <f>IF($AL137="","",IFERROR(VLOOKUP($AL137,DECODE!$A$3:$C$8,2,FALSE),"?"))</f>
        <v/>
      </c>
      <c r="AT137">
        <f>IF($O137="","",UPPER(TRIM(LEFT($O137&amp;",",FIND(",",$O137&amp;",")-1))))</f>
        <v/>
      </c>
      <c r="AU137">
        <f>IF($AT137="","",MID($AT137,4,FIND("~",SUBSTITUTE($AT137,"-","~",2))-4))</f>
        <v/>
      </c>
      <c r="AV137">
        <f>IF($AT137="","",MID($AT137,FIND("~",SUBSTITUTE($AT137,"-","~",2))+1,FIND("~",SUBSTITUTE($AT137,"-","~",3))-FIND("~",SUBSTITUTE($AT137,"-","~",2))-1))</f>
        <v/>
      </c>
      <c r="AW137">
        <f>IF($AU137="","",IFERROR(VLOOKUP($AU137,DECODE!$A$3:$C$8,3,FALSE),"?"))</f>
        <v/>
      </c>
      <c r="AX137">
        <f>IF($AV137="","",IFERROR(VLOOKUP($AU137&amp;"-"&amp;$AV137,DECODE!$E$3:$F$21,2,FALSE),"?"))</f>
        <v/>
      </c>
      <c r="AY137">
        <f>IF($AT137="","",IFERROR(VALUE(RIGHT($AT137,3)),""))</f>
        <v/>
      </c>
      <c r="AZ137">
        <f>IF($U137="","",IFERROR(IF(ISNUMBER($U137),$U137,DATEVALUE(TRIM($U137))),""))</f>
        <v/>
      </c>
      <c r="BA137">
        <f>IF($AZ137="","",IF(MONTH($AZ137)&gt;=12,"Cold Winter",IF(MONTH($AZ137)&gt;=10,"Post-Monsoon",IF(MONTH($AZ137)&gt;=6,"Hot Humid",IF(MONTH($AZ137)&gt;=3,"Hot Dry","Cold Winter")))))</f>
        <v/>
      </c>
      <c r="BB137">
        <f>IF($AU137="","",IFERROR(VLOOKUP($AU137,DECODE!$A$3:$C$8,2,FALSE),"?"))</f>
        <v/>
      </c>
      <c r="BC137">
        <f>IF($P137="","",UPPER(TRIM(LEFT($P137&amp;",",FIND(",",$P137&amp;",")-1))))</f>
        <v/>
      </c>
      <c r="BD137">
        <f>IF($BC137="","",MID($BC137,4,FIND("~",SUBSTITUTE($BC137,"-","~",2))-4))</f>
        <v/>
      </c>
      <c r="BE137">
        <f>IF($BC137="","",MID($BC137,FIND("~",SUBSTITUTE($BC137,"-","~",2))+1,FIND("~",SUBSTITUTE($BC137,"-","~",3))-FIND("~",SUBSTITUTE($BC137,"-","~",2))-1))</f>
        <v/>
      </c>
      <c r="BF137">
        <f>IF($BD137="","",IFERROR(VLOOKUP($BD137,DECODE!$A$3:$C$8,3,FALSE),"?"))</f>
        <v/>
      </c>
      <c r="BG137">
        <f>IF($BE137="","",IFERROR(VLOOKUP($BD137&amp;"-"&amp;$BE137,DECODE!$E$3:$F$21,2,FALSE),"?"))</f>
        <v/>
      </c>
      <c r="BH137">
        <f>IF($BC137="","",IFERROR(VALUE(RIGHT($BC137,3)),""))</f>
        <v/>
      </c>
      <c r="BI137">
        <f>IF($V137="","",IFERROR(IF(ISNUMBER($V137),$V137,DATEVALUE(TRIM($V137))),""))</f>
        <v/>
      </c>
      <c r="BJ137">
        <f>IF($BI137="","",IF(MONTH($BI137)&gt;=12,"Cold Winter",IF(MONTH($BI137)&gt;=10,"Post-Monsoon",IF(MONTH($BI137)&gt;=6,"Hot Humid",IF(MONTH($BI137)&gt;=3,"Hot Dry","Cold Winter")))))</f>
        <v/>
      </c>
      <c r="BK137">
        <f>IF($BD137="","",IFERROR(VLOOKUP($BD137,DECODE!$A$3:$C$8,2,FALSE),"?"))</f>
        <v/>
      </c>
      <c r="BL137">
        <f>IF($Q137="","",UPPER(TRIM(LEFT($Q137&amp;",",FIND(",",$Q137&amp;",")-1))))</f>
        <v/>
      </c>
      <c r="BM137">
        <f>IF($BL137="","",MID($BL137,4,FIND("~",SUBSTITUTE($BL137,"-","~",2))-4))</f>
        <v/>
      </c>
      <c r="BN137">
        <f>IF($BL137="","",MID($BL137,FIND("~",SUBSTITUTE($BL137,"-","~",2))+1,FIND("~",SUBSTITUTE($BL137,"-","~",3))-FIND("~",SUBSTITUTE($BL137,"-","~",2))-1))</f>
        <v/>
      </c>
      <c r="BO137">
        <f>IF($BM137="","",IFERROR(VLOOKUP($BM137,DECODE!$A$3:$C$8,3,FALSE),"?"))</f>
        <v/>
      </c>
      <c r="BP137">
        <f>IF($BN137="","",IFERROR(VLOOKUP($BM137&amp;"-"&amp;$BN137,DECODE!$E$3:$F$21,2,FALSE),"?"))</f>
        <v/>
      </c>
      <c r="BQ137">
        <f>IF($BL137="","",IFERROR(VALUE(RIGHT($BL137,3)),""))</f>
        <v/>
      </c>
      <c r="BR137">
        <f>IF($W137="","",IFERROR(IF(ISNUMBER($W137),$W137,DATEVALUE(TRIM($W137))),""))</f>
        <v/>
      </c>
      <c r="BS137">
        <f>IF($BR137="","",IF(MONTH($BR137)&gt;=12,"Cold Winter",IF(MONTH($BR137)&gt;=10,"Post-Monsoon",IF(MONTH($BR137)&gt;=6,"Hot Humid",IF(MONTH($BR137)&gt;=3,"Hot Dry","Cold Winter")))))</f>
        <v/>
      </c>
      <c r="BT137">
        <f>IF($BM137="","",IFERROR(VLOOKUP($BM137,DECODE!$A$3:$C$8,2,FALSE),"?"))</f>
        <v/>
      </c>
      <c r="BU137">
        <f>IF($R137="","",UPPER(TRIM(LEFT($R137&amp;",",FIND(",",$R137&amp;",")-1))))</f>
        <v/>
      </c>
      <c r="BV137">
        <f>IF($BU137="","",MID($BU137,4,FIND("~",SUBSTITUTE($BU137,"-","~",2))-4))</f>
        <v/>
      </c>
      <c r="BW137">
        <f>IF($BU137="","",MID($BU137,FIND("~",SUBSTITUTE($BU137,"-","~",2))+1,FIND("~",SUBSTITUTE($BU137,"-","~",3))-FIND("~",SUBSTITUTE($BU137,"-","~",2))-1))</f>
        <v/>
      </c>
      <c r="BX137">
        <f>IF($BV137="","",IFERROR(VLOOKUP($BV137,DECODE!$A$3:$C$8,3,FALSE),"?"))</f>
        <v/>
      </c>
      <c r="BY137">
        <f>IF($BW137="","",IFERROR(VLOOKUP($BV137&amp;"-"&amp;$BW137,DECODE!$E$3:$F$21,2,FALSE),"?"))</f>
        <v/>
      </c>
      <c r="BZ137">
        <f>IF($BU137="","",IFERROR(VALUE(RIGHT($BU137,3)),""))</f>
        <v/>
      </c>
      <c r="CA137">
        <f>IF($X137="","",IFERROR(IF(ISNUMBER($X137),$X137,DATEVALUE(TRIM($X137))),""))</f>
        <v/>
      </c>
      <c r="CB137">
        <f>IF($CA137="","",IF(MONTH($CA137)&gt;=12,"Cold Winter",IF(MONTH($CA137)&gt;=10,"Post-Monsoon",IF(MONTH($CA137)&gt;=6,"Hot Humid",IF(MONTH($CA137)&gt;=3,"Hot Dry","Cold Winter")))))</f>
        <v/>
      </c>
      <c r="CC137">
        <f>IF($BV137="","",IFERROR(VLOOKUP($BV137,DECODE!$A$3:$C$8,2,FALSE),"?"))</f>
        <v/>
      </c>
      <c r="CD137">
        <f>IF($S137="","",UPPER(TRIM(LEFT($S137&amp;",",FIND(",",$S137&amp;",")-1))))</f>
        <v/>
      </c>
      <c r="CE137">
        <f>IF($CD137="","",MID($CD137,4,FIND("~",SUBSTITUTE($CD137,"-","~",2))-4))</f>
        <v/>
      </c>
      <c r="CF137">
        <f>IF($CD137="","",MID($CD137,FIND("~",SUBSTITUTE($CD137,"-","~",2))+1,FIND("~",SUBSTITUTE($CD137,"-","~",3))-FIND("~",SUBSTITUTE($CD137,"-","~",2))-1))</f>
        <v/>
      </c>
      <c r="CG137">
        <f>IF($CE137="","",IFERROR(VLOOKUP($CE137,DECODE!$A$3:$C$8,3,FALSE),"?"))</f>
        <v/>
      </c>
      <c r="CH137">
        <f>IF($CF137="","",IFERROR(VLOOKUP($CE137&amp;"-"&amp;$CF137,DECODE!$E$3:$F$21,2,FALSE),"?"))</f>
        <v/>
      </c>
      <c r="CI137">
        <f>IF($CD137="","",IFERROR(VALUE(RIGHT($CD137,3)),""))</f>
        <v/>
      </c>
      <c r="CJ137">
        <f>IF($Y137="","",IFERROR(IF(ISNUMBER($Y137),$Y137,DATEVALUE(TRIM($Y137))),""))</f>
        <v/>
      </c>
      <c r="CK137">
        <f>IF($CJ137="","",IF(MONTH($CJ137)&gt;=12,"Cold Winter",IF(MONTH($CJ137)&gt;=10,"Post-Monsoon",IF(MONTH($CJ137)&gt;=6,"Hot Humid",IF(MONTH($CJ137)&gt;=3,"Hot Dry","Cold Winter")))))</f>
        <v/>
      </c>
      <c r="CL137">
        <f>IF($CE137="","",IFERROR(VLOOKUP($CE137,DECODE!$A$3:$C$8,2,FALSE),"?"))</f>
        <v/>
      </c>
      <c r="CM137">
        <f>IF($AN137="","",AN137)</f>
        <v/>
      </c>
      <c r="CN137">
        <f>IF($AO137="","",AO137)</f>
        <v/>
      </c>
      <c r="CO137">
        <f>IF($AP137="","",AP137)</f>
        <v/>
      </c>
      <c r="CP137">
        <f>IF($CM137="","",IF($CM137="Aloe Vera Gel","Aloe Vera Gel "&amp;$CO137&amp;"g",CN137&amp;" "&amp;$CO137&amp;"g"))</f>
        <v/>
      </c>
      <c r="CQ137">
        <f>IF($AT137="",0,1)</f>
        <v/>
      </c>
      <c r="CR137">
        <f>IF($CQ137=0,"",AW137)</f>
        <v/>
      </c>
      <c r="CS137">
        <f>IF($CQ137=0,"",AX137)</f>
        <v/>
      </c>
      <c r="CT137">
        <f>IF($CQ137=0,"",AY137)</f>
        <v/>
      </c>
      <c r="CU137">
        <f>IF($CR137="","",IF($CR137="Aloe Vera Gel","Aloe Vera Gel "&amp;$CT137&amp;"g",CS137&amp;" "&amp;$CT137&amp;"g"))</f>
        <v/>
      </c>
      <c r="CV137">
        <f>IF($CQ137=0,"",IF($CP137=$CU137,"Repeat Exact",IF($CT137&gt;$CO137,"Upsized",IF($CT137&lt;$CO137,"Downsized",IF($CM137&lt;&gt;$CR137,"Lateral","Same Size Diff Variant")))))</f>
        <v/>
      </c>
      <c r="CW137">
        <f>IF($CQ137=0,"",AZ137-AQ137)</f>
        <v/>
      </c>
      <c r="CX137">
        <f>IF($CQ137=0,0,IF(CS137=CN137,1,0))</f>
        <v/>
      </c>
      <c r="CY137">
        <f>IF($CQ137=0,0,IF(CR137=CM137,1,0))</f>
        <v/>
      </c>
      <c r="CZ137">
        <f>IF($A137="","",IF(AND(IF(DASHBOARD!$C$4="All",TRUE,$CM137=DASHBOARD!$C$4),IF(DASHBOARD!$C$6="All",TRUE,$CP137=DASHBOARD!$C$6),IF(DASHBOARD!$C$8="All",TRUE,$AF137&gt;=DASHBOARD!$C$8),IF(DASHBOARD!$C$10="All",TRUE,$AF137&lt;=DASHBOARD!$C$10),IF(DASHBOARD!$C$12="All",TRUE,$AH137=VALUE(DASHBOARD!$C$12)),IF(DASHBOARD!$C$14="All",TRUE,$AJ137=DASHBOARD!$C$14)),1,0))</f>
        <v/>
      </c>
    </row>
    <row r="138">
      <c r="A138" t="n">
        <v>108688</v>
      </c>
      <c r="B138" t="inlineStr">
        <is>
          <t>Aloe Vera Gel</t>
        </is>
      </c>
      <c r="H138" t="inlineStr">
        <is>
          <t>Aloe Vera Gel - 40 gms</t>
        </is>
      </c>
      <c r="N138" t="inlineStr">
        <is>
          <t>FC-HG-PA-040</t>
        </is>
      </c>
      <c r="T138" t="inlineStr">
        <is>
          <t>Apr 14, 2024</t>
        </is>
      </c>
      <c r="AE138" t="inlineStr">
        <is>
          <t>Jaipur</t>
        </is>
      </c>
      <c r="AF138" t="inlineStr">
        <is>
          <t>2024-04</t>
        </is>
      </c>
      <c r="AG138" t="n">
        <v>4</v>
      </c>
      <c r="AH138" t="n">
        <v>1</v>
      </c>
      <c r="AI138" t="n">
        <v>0</v>
      </c>
      <c r="AJ138">
        <f>IF($AE138="","",IFERROR(VLOOKUP(TRIM($AE138),DECODE!$H$3:$I$60,2,FALSE),"Rest of India"))</f>
        <v/>
      </c>
      <c r="AK138">
        <f>IF($N138="","",UPPER(TRIM(LEFT($N138&amp;",",FIND(",",$N138&amp;",")-1))))</f>
        <v/>
      </c>
      <c r="AL138">
        <f>IF($AK138="","",MID($AK138,4,FIND("~",SUBSTITUTE($AK138,"-","~",2))-4))</f>
        <v/>
      </c>
      <c r="AM138">
        <f>IF($AK138="","",MID($AK138,FIND("~",SUBSTITUTE($AK138,"-","~",2))+1,FIND("~",SUBSTITUTE($AK138,"-","~",3))-FIND("~",SUBSTITUTE($AK138,"-","~",2))-1))</f>
        <v/>
      </c>
      <c r="AN138">
        <f>IF($AL138="","",IFERROR(VLOOKUP($AL138,DECODE!$A$3:$C$8,3,FALSE),"?"))</f>
        <v/>
      </c>
      <c r="AO138">
        <f>IF($AM138="","",IFERROR(VLOOKUP($AL138&amp;"-"&amp;$AM138,DECODE!$E$3:$F$21,2,FALSE),"?"))</f>
        <v/>
      </c>
      <c r="AP138">
        <f>IF($AK138="","",IFERROR(VALUE(RIGHT($AK138,3)),""))</f>
        <v/>
      </c>
      <c r="AQ138">
        <f>IF($T138="","",IFERROR(IF(ISNUMBER($T138),$T138,DATEVALUE(TRIM($T138))),""))</f>
        <v/>
      </c>
      <c r="AR138">
        <f>IF($AQ138="","",IF(MONTH($AQ138)&gt;=12,"Cold Winter",IF(MONTH($AQ138)&gt;=10,"Post-Monsoon",IF(MONTH($AQ138)&gt;=6,"Hot Humid",IF(MONTH($AQ138)&gt;=3,"Hot Dry","Cold Winter")))))</f>
        <v/>
      </c>
      <c r="AS138">
        <f>IF($AL138="","",IFERROR(VLOOKUP($AL138,DECODE!$A$3:$C$8,2,FALSE),"?"))</f>
        <v/>
      </c>
      <c r="AT138">
        <f>IF($O138="","",UPPER(TRIM(LEFT($O138&amp;",",FIND(",",$O138&amp;",")-1))))</f>
        <v/>
      </c>
      <c r="AU138">
        <f>IF($AT138="","",MID($AT138,4,FIND("~",SUBSTITUTE($AT138,"-","~",2))-4))</f>
        <v/>
      </c>
      <c r="AV138">
        <f>IF($AT138="","",MID($AT138,FIND("~",SUBSTITUTE($AT138,"-","~",2))+1,FIND("~",SUBSTITUTE($AT138,"-","~",3))-FIND("~",SUBSTITUTE($AT138,"-","~",2))-1))</f>
        <v/>
      </c>
      <c r="AW138">
        <f>IF($AU138="","",IFERROR(VLOOKUP($AU138,DECODE!$A$3:$C$8,3,FALSE),"?"))</f>
        <v/>
      </c>
      <c r="AX138">
        <f>IF($AV138="","",IFERROR(VLOOKUP($AU138&amp;"-"&amp;$AV138,DECODE!$E$3:$F$21,2,FALSE),"?"))</f>
        <v/>
      </c>
      <c r="AY138">
        <f>IF($AT138="","",IFERROR(VALUE(RIGHT($AT138,3)),""))</f>
        <v/>
      </c>
      <c r="AZ138">
        <f>IF($U138="","",IFERROR(IF(ISNUMBER($U138),$U138,DATEVALUE(TRIM($U138))),""))</f>
        <v/>
      </c>
      <c r="BA138">
        <f>IF($AZ138="","",IF(MONTH($AZ138)&gt;=12,"Cold Winter",IF(MONTH($AZ138)&gt;=10,"Post-Monsoon",IF(MONTH($AZ138)&gt;=6,"Hot Humid",IF(MONTH($AZ138)&gt;=3,"Hot Dry","Cold Winter")))))</f>
        <v/>
      </c>
      <c r="BB138">
        <f>IF($AU138="","",IFERROR(VLOOKUP($AU138,DECODE!$A$3:$C$8,2,FALSE),"?"))</f>
        <v/>
      </c>
      <c r="BC138">
        <f>IF($P138="","",UPPER(TRIM(LEFT($P138&amp;",",FIND(",",$P138&amp;",")-1))))</f>
        <v/>
      </c>
      <c r="BD138">
        <f>IF($BC138="","",MID($BC138,4,FIND("~",SUBSTITUTE($BC138,"-","~",2))-4))</f>
        <v/>
      </c>
      <c r="BE138">
        <f>IF($BC138="","",MID($BC138,FIND("~",SUBSTITUTE($BC138,"-","~",2))+1,FIND("~",SUBSTITUTE($BC138,"-","~",3))-FIND("~",SUBSTITUTE($BC138,"-","~",2))-1))</f>
        <v/>
      </c>
      <c r="BF138">
        <f>IF($BD138="","",IFERROR(VLOOKUP($BD138,DECODE!$A$3:$C$8,3,FALSE),"?"))</f>
        <v/>
      </c>
      <c r="BG138">
        <f>IF($BE138="","",IFERROR(VLOOKUP($BD138&amp;"-"&amp;$BE138,DECODE!$E$3:$F$21,2,FALSE),"?"))</f>
        <v/>
      </c>
      <c r="BH138">
        <f>IF($BC138="","",IFERROR(VALUE(RIGHT($BC138,3)),""))</f>
        <v/>
      </c>
      <c r="BI138">
        <f>IF($V138="","",IFERROR(IF(ISNUMBER($V138),$V138,DATEVALUE(TRIM($V138))),""))</f>
        <v/>
      </c>
      <c r="BJ138">
        <f>IF($BI138="","",IF(MONTH($BI138)&gt;=12,"Cold Winter",IF(MONTH($BI138)&gt;=10,"Post-Monsoon",IF(MONTH($BI138)&gt;=6,"Hot Humid",IF(MONTH($BI138)&gt;=3,"Hot Dry","Cold Winter")))))</f>
        <v/>
      </c>
      <c r="BK138">
        <f>IF($BD138="","",IFERROR(VLOOKUP($BD138,DECODE!$A$3:$C$8,2,FALSE),"?"))</f>
        <v/>
      </c>
      <c r="BL138">
        <f>IF($Q138="","",UPPER(TRIM(LEFT($Q138&amp;",",FIND(",",$Q138&amp;",")-1))))</f>
        <v/>
      </c>
      <c r="BM138">
        <f>IF($BL138="","",MID($BL138,4,FIND("~",SUBSTITUTE($BL138,"-","~",2))-4))</f>
        <v/>
      </c>
      <c r="BN138">
        <f>IF($BL138="","",MID($BL138,FIND("~",SUBSTITUTE($BL138,"-","~",2))+1,FIND("~",SUBSTITUTE($BL138,"-","~",3))-FIND("~",SUBSTITUTE($BL138,"-","~",2))-1))</f>
        <v/>
      </c>
      <c r="BO138">
        <f>IF($BM138="","",IFERROR(VLOOKUP($BM138,DECODE!$A$3:$C$8,3,FALSE),"?"))</f>
        <v/>
      </c>
      <c r="BP138">
        <f>IF($BN138="","",IFERROR(VLOOKUP($BM138&amp;"-"&amp;$BN138,DECODE!$E$3:$F$21,2,FALSE),"?"))</f>
        <v/>
      </c>
      <c r="BQ138">
        <f>IF($BL138="","",IFERROR(VALUE(RIGHT($BL138,3)),""))</f>
        <v/>
      </c>
      <c r="BR138">
        <f>IF($W138="","",IFERROR(IF(ISNUMBER($W138),$W138,DATEVALUE(TRIM($W138))),""))</f>
        <v/>
      </c>
      <c r="BS138">
        <f>IF($BR138="","",IF(MONTH($BR138)&gt;=12,"Cold Winter",IF(MONTH($BR138)&gt;=10,"Post-Monsoon",IF(MONTH($BR138)&gt;=6,"Hot Humid",IF(MONTH($BR138)&gt;=3,"Hot Dry","Cold Winter")))))</f>
        <v/>
      </c>
      <c r="BT138">
        <f>IF($BM138="","",IFERROR(VLOOKUP($BM138,DECODE!$A$3:$C$8,2,FALSE),"?"))</f>
        <v/>
      </c>
      <c r="BU138">
        <f>IF($R138="","",UPPER(TRIM(LEFT($R138&amp;",",FIND(",",$R138&amp;",")-1))))</f>
        <v/>
      </c>
      <c r="BV138">
        <f>IF($BU138="","",MID($BU138,4,FIND("~",SUBSTITUTE($BU138,"-","~",2))-4))</f>
        <v/>
      </c>
      <c r="BW138">
        <f>IF($BU138="","",MID($BU138,FIND("~",SUBSTITUTE($BU138,"-","~",2))+1,FIND("~",SUBSTITUTE($BU138,"-","~",3))-FIND("~",SUBSTITUTE($BU138,"-","~",2))-1))</f>
        <v/>
      </c>
      <c r="BX138">
        <f>IF($BV138="","",IFERROR(VLOOKUP($BV138,DECODE!$A$3:$C$8,3,FALSE),"?"))</f>
        <v/>
      </c>
      <c r="BY138">
        <f>IF($BW138="","",IFERROR(VLOOKUP($BV138&amp;"-"&amp;$BW138,DECODE!$E$3:$F$21,2,FALSE),"?"))</f>
        <v/>
      </c>
      <c r="BZ138">
        <f>IF($BU138="","",IFERROR(VALUE(RIGHT($BU138,3)),""))</f>
        <v/>
      </c>
      <c r="CA138">
        <f>IF($X138="","",IFERROR(IF(ISNUMBER($X138),$X138,DATEVALUE(TRIM($X138))),""))</f>
        <v/>
      </c>
      <c r="CB138">
        <f>IF($CA138="","",IF(MONTH($CA138)&gt;=12,"Cold Winter",IF(MONTH($CA138)&gt;=10,"Post-Monsoon",IF(MONTH($CA138)&gt;=6,"Hot Humid",IF(MONTH($CA138)&gt;=3,"Hot Dry","Cold Winter")))))</f>
        <v/>
      </c>
      <c r="CC138">
        <f>IF($BV138="","",IFERROR(VLOOKUP($BV138,DECODE!$A$3:$C$8,2,FALSE),"?"))</f>
        <v/>
      </c>
      <c r="CD138">
        <f>IF($S138="","",UPPER(TRIM(LEFT($S138&amp;",",FIND(",",$S138&amp;",")-1))))</f>
        <v/>
      </c>
      <c r="CE138">
        <f>IF($CD138="","",MID($CD138,4,FIND("~",SUBSTITUTE($CD138,"-","~",2))-4))</f>
        <v/>
      </c>
      <c r="CF138">
        <f>IF($CD138="","",MID($CD138,FIND("~",SUBSTITUTE($CD138,"-","~",2))+1,FIND("~",SUBSTITUTE($CD138,"-","~",3))-FIND("~",SUBSTITUTE($CD138,"-","~",2))-1))</f>
        <v/>
      </c>
      <c r="CG138">
        <f>IF($CE138="","",IFERROR(VLOOKUP($CE138,DECODE!$A$3:$C$8,3,FALSE),"?"))</f>
        <v/>
      </c>
      <c r="CH138">
        <f>IF($CF138="","",IFERROR(VLOOKUP($CE138&amp;"-"&amp;$CF138,DECODE!$E$3:$F$21,2,FALSE),"?"))</f>
        <v/>
      </c>
      <c r="CI138">
        <f>IF($CD138="","",IFERROR(VALUE(RIGHT($CD138,3)),""))</f>
        <v/>
      </c>
      <c r="CJ138">
        <f>IF($Y138="","",IFERROR(IF(ISNUMBER($Y138),$Y138,DATEVALUE(TRIM($Y138))),""))</f>
        <v/>
      </c>
      <c r="CK138">
        <f>IF($CJ138="","",IF(MONTH($CJ138)&gt;=12,"Cold Winter",IF(MONTH($CJ138)&gt;=10,"Post-Monsoon",IF(MONTH($CJ138)&gt;=6,"Hot Humid",IF(MONTH($CJ138)&gt;=3,"Hot Dry","Cold Winter")))))</f>
        <v/>
      </c>
      <c r="CL138">
        <f>IF($CE138="","",IFERROR(VLOOKUP($CE138,DECODE!$A$3:$C$8,2,FALSE),"?"))</f>
        <v/>
      </c>
      <c r="CM138">
        <f>IF($AN138="","",AN138)</f>
        <v/>
      </c>
      <c r="CN138">
        <f>IF($AO138="","",AO138)</f>
        <v/>
      </c>
      <c r="CO138">
        <f>IF($AP138="","",AP138)</f>
        <v/>
      </c>
      <c r="CP138">
        <f>IF($CM138="","",IF($CM138="Aloe Vera Gel","Aloe Vera Gel "&amp;$CO138&amp;"g",CN138&amp;" "&amp;$CO138&amp;"g"))</f>
        <v/>
      </c>
      <c r="CQ138">
        <f>IF($AT138="",0,1)</f>
        <v/>
      </c>
      <c r="CR138">
        <f>IF($CQ138=0,"",AW138)</f>
        <v/>
      </c>
      <c r="CS138">
        <f>IF($CQ138=0,"",AX138)</f>
        <v/>
      </c>
      <c r="CT138">
        <f>IF($CQ138=0,"",AY138)</f>
        <v/>
      </c>
      <c r="CU138">
        <f>IF($CR138="","",IF($CR138="Aloe Vera Gel","Aloe Vera Gel "&amp;$CT138&amp;"g",CS138&amp;" "&amp;$CT138&amp;"g"))</f>
        <v/>
      </c>
      <c r="CV138">
        <f>IF($CQ138=0,"",IF($CP138=$CU138,"Repeat Exact",IF($CT138&gt;$CO138,"Upsized",IF($CT138&lt;$CO138,"Downsized",IF($CM138&lt;&gt;$CR138,"Lateral","Same Size Diff Variant")))))</f>
        <v/>
      </c>
      <c r="CW138">
        <f>IF($CQ138=0,"",AZ138-AQ138)</f>
        <v/>
      </c>
      <c r="CX138">
        <f>IF($CQ138=0,0,IF(CS138=CN138,1,0))</f>
        <v/>
      </c>
      <c r="CY138">
        <f>IF($CQ138=0,0,IF(CR138=CM138,1,0))</f>
        <v/>
      </c>
      <c r="CZ138">
        <f>IF($A138="","",IF(AND(IF(DASHBOARD!$C$4="All",TRUE,$CM138=DASHBOARD!$C$4),IF(DASHBOARD!$C$6="All",TRUE,$CP138=DASHBOARD!$C$6),IF(DASHBOARD!$C$8="All",TRUE,$AF138&gt;=DASHBOARD!$C$8),IF(DASHBOARD!$C$10="All",TRUE,$AF138&lt;=DASHBOARD!$C$10),IF(DASHBOARD!$C$12="All",TRUE,$AH138=VALUE(DASHBOARD!$C$12)),IF(DASHBOARD!$C$14="All",TRUE,$AJ138=DASHBOARD!$C$14)),1,0))</f>
        <v/>
      </c>
    </row>
    <row r="139">
      <c r="A139" t="n">
        <v>108843</v>
      </c>
      <c r="B139" t="inlineStr">
        <is>
          <t>Face Malai</t>
        </is>
      </c>
      <c r="H139" t="inlineStr">
        <is>
          <t>Flax Carrot (Hot Humid) 35+ Face Malai - 50g</t>
        </is>
      </c>
      <c r="N139" t="inlineStr">
        <is>
          <t>FC-HHDM-FC-050</t>
        </is>
      </c>
      <c r="T139" t="inlineStr">
        <is>
          <t>Jul 31, 2024</t>
        </is>
      </c>
      <c r="AE139" t="inlineStr">
        <is>
          <t>Mumbai</t>
        </is>
      </c>
      <c r="AF139" t="inlineStr">
        <is>
          <t>2024-07</t>
        </is>
      </c>
      <c r="AG139" t="n">
        <v>7</v>
      </c>
      <c r="AH139" t="n">
        <v>1</v>
      </c>
      <c r="AI139" t="n">
        <v>0</v>
      </c>
      <c r="AJ139">
        <f>IF($AE139="","",IFERROR(VLOOKUP(TRIM($AE139),DECODE!$H$3:$I$60,2,FALSE),"Rest of India"))</f>
        <v/>
      </c>
      <c r="AK139">
        <f>IF($N139="","",UPPER(TRIM(LEFT($N139&amp;",",FIND(",",$N139&amp;",")-1))))</f>
        <v/>
      </c>
      <c r="AL139">
        <f>IF($AK139="","",MID($AK139,4,FIND("~",SUBSTITUTE($AK139,"-","~",2))-4))</f>
        <v/>
      </c>
      <c r="AM139">
        <f>IF($AK139="","",MID($AK139,FIND("~",SUBSTITUTE($AK139,"-","~",2))+1,FIND("~",SUBSTITUTE($AK139,"-","~",3))-FIND("~",SUBSTITUTE($AK139,"-","~",2))-1))</f>
        <v/>
      </c>
      <c r="AN139">
        <f>IF($AL139="","",IFERROR(VLOOKUP($AL139,DECODE!$A$3:$C$8,3,FALSE),"?"))</f>
        <v/>
      </c>
      <c r="AO139">
        <f>IF($AM139="","",IFERROR(VLOOKUP($AL139&amp;"-"&amp;$AM139,DECODE!$E$3:$F$21,2,FALSE),"?"))</f>
        <v/>
      </c>
      <c r="AP139">
        <f>IF($AK139="","",IFERROR(VALUE(RIGHT($AK139,3)),""))</f>
        <v/>
      </c>
      <c r="AQ139">
        <f>IF($T139="","",IFERROR(IF(ISNUMBER($T139),$T139,DATEVALUE(TRIM($T139))),""))</f>
        <v/>
      </c>
      <c r="AR139">
        <f>IF($AQ139="","",IF(MONTH($AQ139)&gt;=12,"Cold Winter",IF(MONTH($AQ139)&gt;=10,"Post-Monsoon",IF(MONTH($AQ139)&gt;=6,"Hot Humid",IF(MONTH($AQ139)&gt;=3,"Hot Dry","Cold Winter")))))</f>
        <v/>
      </c>
      <c r="AS139">
        <f>IF($AL139="","",IFERROR(VLOOKUP($AL139,DECODE!$A$3:$C$8,2,FALSE),"?"))</f>
        <v/>
      </c>
      <c r="AT139">
        <f>IF($O139="","",UPPER(TRIM(LEFT($O139&amp;",",FIND(",",$O139&amp;",")-1))))</f>
        <v/>
      </c>
      <c r="AU139">
        <f>IF($AT139="","",MID($AT139,4,FIND("~",SUBSTITUTE($AT139,"-","~",2))-4))</f>
        <v/>
      </c>
      <c r="AV139">
        <f>IF($AT139="","",MID($AT139,FIND("~",SUBSTITUTE($AT139,"-","~",2))+1,FIND("~",SUBSTITUTE($AT139,"-","~",3))-FIND("~",SUBSTITUTE($AT139,"-","~",2))-1))</f>
        <v/>
      </c>
      <c r="AW139">
        <f>IF($AU139="","",IFERROR(VLOOKUP($AU139,DECODE!$A$3:$C$8,3,FALSE),"?"))</f>
        <v/>
      </c>
      <c r="AX139">
        <f>IF($AV139="","",IFERROR(VLOOKUP($AU139&amp;"-"&amp;$AV139,DECODE!$E$3:$F$21,2,FALSE),"?"))</f>
        <v/>
      </c>
      <c r="AY139">
        <f>IF($AT139="","",IFERROR(VALUE(RIGHT($AT139,3)),""))</f>
        <v/>
      </c>
      <c r="AZ139">
        <f>IF($U139="","",IFERROR(IF(ISNUMBER($U139),$U139,DATEVALUE(TRIM($U139))),""))</f>
        <v/>
      </c>
      <c r="BA139">
        <f>IF($AZ139="","",IF(MONTH($AZ139)&gt;=12,"Cold Winter",IF(MONTH($AZ139)&gt;=10,"Post-Monsoon",IF(MONTH($AZ139)&gt;=6,"Hot Humid",IF(MONTH($AZ139)&gt;=3,"Hot Dry","Cold Winter")))))</f>
        <v/>
      </c>
      <c r="BB139">
        <f>IF($AU139="","",IFERROR(VLOOKUP($AU139,DECODE!$A$3:$C$8,2,FALSE),"?"))</f>
        <v/>
      </c>
      <c r="BC139">
        <f>IF($P139="","",UPPER(TRIM(LEFT($P139&amp;",",FIND(",",$P139&amp;",")-1))))</f>
        <v/>
      </c>
      <c r="BD139">
        <f>IF($BC139="","",MID($BC139,4,FIND("~",SUBSTITUTE($BC139,"-","~",2))-4))</f>
        <v/>
      </c>
      <c r="BE139">
        <f>IF($BC139="","",MID($BC139,FIND("~",SUBSTITUTE($BC139,"-","~",2))+1,FIND("~",SUBSTITUTE($BC139,"-","~",3))-FIND("~",SUBSTITUTE($BC139,"-","~",2))-1))</f>
        <v/>
      </c>
      <c r="BF139">
        <f>IF($BD139="","",IFERROR(VLOOKUP($BD139,DECODE!$A$3:$C$8,3,FALSE),"?"))</f>
        <v/>
      </c>
      <c r="BG139">
        <f>IF($BE139="","",IFERROR(VLOOKUP($BD139&amp;"-"&amp;$BE139,DECODE!$E$3:$F$21,2,FALSE),"?"))</f>
        <v/>
      </c>
      <c r="BH139">
        <f>IF($BC139="","",IFERROR(VALUE(RIGHT($BC139,3)),""))</f>
        <v/>
      </c>
      <c r="BI139">
        <f>IF($V139="","",IFERROR(IF(ISNUMBER($V139),$V139,DATEVALUE(TRIM($V139))),""))</f>
        <v/>
      </c>
      <c r="BJ139">
        <f>IF($BI139="","",IF(MONTH($BI139)&gt;=12,"Cold Winter",IF(MONTH($BI139)&gt;=10,"Post-Monsoon",IF(MONTH($BI139)&gt;=6,"Hot Humid",IF(MONTH($BI139)&gt;=3,"Hot Dry","Cold Winter")))))</f>
        <v/>
      </c>
      <c r="BK139">
        <f>IF($BD139="","",IFERROR(VLOOKUP($BD139,DECODE!$A$3:$C$8,2,FALSE),"?"))</f>
        <v/>
      </c>
      <c r="BL139">
        <f>IF($Q139="","",UPPER(TRIM(LEFT($Q139&amp;",",FIND(",",$Q139&amp;",")-1))))</f>
        <v/>
      </c>
      <c r="BM139">
        <f>IF($BL139="","",MID($BL139,4,FIND("~",SUBSTITUTE($BL139,"-","~",2))-4))</f>
        <v/>
      </c>
      <c r="BN139">
        <f>IF($BL139="","",MID($BL139,FIND("~",SUBSTITUTE($BL139,"-","~",2))+1,FIND("~",SUBSTITUTE($BL139,"-","~",3))-FIND("~",SUBSTITUTE($BL139,"-","~",2))-1))</f>
        <v/>
      </c>
      <c r="BO139">
        <f>IF($BM139="","",IFERROR(VLOOKUP($BM139,DECODE!$A$3:$C$8,3,FALSE),"?"))</f>
        <v/>
      </c>
      <c r="BP139">
        <f>IF($BN139="","",IFERROR(VLOOKUP($BM139&amp;"-"&amp;$BN139,DECODE!$E$3:$F$21,2,FALSE),"?"))</f>
        <v/>
      </c>
      <c r="BQ139">
        <f>IF($BL139="","",IFERROR(VALUE(RIGHT($BL139,3)),""))</f>
        <v/>
      </c>
      <c r="BR139">
        <f>IF($W139="","",IFERROR(IF(ISNUMBER($W139),$W139,DATEVALUE(TRIM($W139))),""))</f>
        <v/>
      </c>
      <c r="BS139">
        <f>IF($BR139="","",IF(MONTH($BR139)&gt;=12,"Cold Winter",IF(MONTH($BR139)&gt;=10,"Post-Monsoon",IF(MONTH($BR139)&gt;=6,"Hot Humid",IF(MONTH($BR139)&gt;=3,"Hot Dry","Cold Winter")))))</f>
        <v/>
      </c>
      <c r="BT139">
        <f>IF($BM139="","",IFERROR(VLOOKUP($BM139,DECODE!$A$3:$C$8,2,FALSE),"?"))</f>
        <v/>
      </c>
      <c r="BU139">
        <f>IF($R139="","",UPPER(TRIM(LEFT($R139&amp;",",FIND(",",$R139&amp;",")-1))))</f>
        <v/>
      </c>
      <c r="BV139">
        <f>IF($BU139="","",MID($BU139,4,FIND("~",SUBSTITUTE($BU139,"-","~",2))-4))</f>
        <v/>
      </c>
      <c r="BW139">
        <f>IF($BU139="","",MID($BU139,FIND("~",SUBSTITUTE($BU139,"-","~",2))+1,FIND("~",SUBSTITUTE($BU139,"-","~",3))-FIND("~",SUBSTITUTE($BU139,"-","~",2))-1))</f>
        <v/>
      </c>
      <c r="BX139">
        <f>IF($BV139="","",IFERROR(VLOOKUP($BV139,DECODE!$A$3:$C$8,3,FALSE),"?"))</f>
        <v/>
      </c>
      <c r="BY139">
        <f>IF($BW139="","",IFERROR(VLOOKUP($BV139&amp;"-"&amp;$BW139,DECODE!$E$3:$F$21,2,FALSE),"?"))</f>
        <v/>
      </c>
      <c r="BZ139">
        <f>IF($BU139="","",IFERROR(VALUE(RIGHT($BU139,3)),""))</f>
        <v/>
      </c>
      <c r="CA139">
        <f>IF($X139="","",IFERROR(IF(ISNUMBER($X139),$X139,DATEVALUE(TRIM($X139))),""))</f>
        <v/>
      </c>
      <c r="CB139">
        <f>IF($CA139="","",IF(MONTH($CA139)&gt;=12,"Cold Winter",IF(MONTH($CA139)&gt;=10,"Post-Monsoon",IF(MONTH($CA139)&gt;=6,"Hot Humid",IF(MONTH($CA139)&gt;=3,"Hot Dry","Cold Winter")))))</f>
        <v/>
      </c>
      <c r="CC139">
        <f>IF($BV139="","",IFERROR(VLOOKUP($BV139,DECODE!$A$3:$C$8,2,FALSE),"?"))</f>
        <v/>
      </c>
      <c r="CD139">
        <f>IF($S139="","",UPPER(TRIM(LEFT($S139&amp;",",FIND(",",$S139&amp;",")-1))))</f>
        <v/>
      </c>
      <c r="CE139">
        <f>IF($CD139="","",MID($CD139,4,FIND("~",SUBSTITUTE($CD139,"-","~",2))-4))</f>
        <v/>
      </c>
      <c r="CF139">
        <f>IF($CD139="","",MID($CD139,FIND("~",SUBSTITUTE($CD139,"-","~",2))+1,FIND("~",SUBSTITUTE($CD139,"-","~",3))-FIND("~",SUBSTITUTE($CD139,"-","~",2))-1))</f>
        <v/>
      </c>
      <c r="CG139">
        <f>IF($CE139="","",IFERROR(VLOOKUP($CE139,DECODE!$A$3:$C$8,3,FALSE),"?"))</f>
        <v/>
      </c>
      <c r="CH139">
        <f>IF($CF139="","",IFERROR(VLOOKUP($CE139&amp;"-"&amp;$CF139,DECODE!$E$3:$F$21,2,FALSE),"?"))</f>
        <v/>
      </c>
      <c r="CI139">
        <f>IF($CD139="","",IFERROR(VALUE(RIGHT($CD139,3)),""))</f>
        <v/>
      </c>
      <c r="CJ139">
        <f>IF($Y139="","",IFERROR(IF(ISNUMBER($Y139),$Y139,DATEVALUE(TRIM($Y139))),""))</f>
        <v/>
      </c>
      <c r="CK139">
        <f>IF($CJ139="","",IF(MONTH($CJ139)&gt;=12,"Cold Winter",IF(MONTH($CJ139)&gt;=10,"Post-Monsoon",IF(MONTH($CJ139)&gt;=6,"Hot Humid",IF(MONTH($CJ139)&gt;=3,"Hot Dry","Cold Winter")))))</f>
        <v/>
      </c>
      <c r="CL139">
        <f>IF($CE139="","",IFERROR(VLOOKUP($CE139,DECODE!$A$3:$C$8,2,FALSE),"?"))</f>
        <v/>
      </c>
      <c r="CM139">
        <f>IF($AN139="","",AN139)</f>
        <v/>
      </c>
      <c r="CN139">
        <f>IF($AO139="","",AO139)</f>
        <v/>
      </c>
      <c r="CO139">
        <f>IF($AP139="","",AP139)</f>
        <v/>
      </c>
      <c r="CP139">
        <f>IF($CM139="","",IF($CM139="Aloe Vera Gel","Aloe Vera Gel "&amp;$CO139&amp;"g",CN139&amp;" "&amp;$CO139&amp;"g"))</f>
        <v/>
      </c>
      <c r="CQ139">
        <f>IF($AT139="",0,1)</f>
        <v/>
      </c>
      <c r="CR139">
        <f>IF($CQ139=0,"",AW139)</f>
        <v/>
      </c>
      <c r="CS139">
        <f>IF($CQ139=0,"",AX139)</f>
        <v/>
      </c>
      <c r="CT139">
        <f>IF($CQ139=0,"",AY139)</f>
        <v/>
      </c>
      <c r="CU139">
        <f>IF($CR139="","",IF($CR139="Aloe Vera Gel","Aloe Vera Gel "&amp;$CT139&amp;"g",CS139&amp;" "&amp;$CT139&amp;"g"))</f>
        <v/>
      </c>
      <c r="CV139">
        <f>IF($CQ139=0,"",IF($CP139=$CU139,"Repeat Exact",IF($CT139&gt;$CO139,"Upsized",IF($CT139&lt;$CO139,"Downsized",IF($CM139&lt;&gt;$CR139,"Lateral","Same Size Diff Variant")))))</f>
        <v/>
      </c>
      <c r="CW139">
        <f>IF($CQ139=0,"",AZ139-AQ139)</f>
        <v/>
      </c>
      <c r="CX139">
        <f>IF($CQ139=0,0,IF(CS139=CN139,1,0))</f>
        <v/>
      </c>
      <c r="CY139">
        <f>IF($CQ139=0,0,IF(CR139=CM139,1,0))</f>
        <v/>
      </c>
      <c r="CZ139">
        <f>IF($A139="","",IF(AND(IF(DASHBOARD!$C$4="All",TRUE,$CM139=DASHBOARD!$C$4),IF(DASHBOARD!$C$6="All",TRUE,$CP139=DASHBOARD!$C$6),IF(DASHBOARD!$C$8="All",TRUE,$AF139&gt;=DASHBOARD!$C$8),IF(DASHBOARD!$C$10="All",TRUE,$AF139&lt;=DASHBOARD!$C$10),IF(DASHBOARD!$C$12="All",TRUE,$AH139=VALUE(DASHBOARD!$C$12)),IF(DASHBOARD!$C$14="All",TRUE,$AJ139=DASHBOARD!$C$14)),1,0))</f>
        <v/>
      </c>
    </row>
    <row r="140">
      <c r="A140" t="n">
        <v>109401</v>
      </c>
      <c r="B140" t="inlineStr">
        <is>
          <t>Aloe Vera Gel, Face Malai</t>
        </is>
      </c>
      <c r="H140" t="inlineStr">
        <is>
          <t>Aloe Vera Gel - 80 gms, Flax Carrot (Hot Humid) 35+ Face Malai - 50g</t>
        </is>
      </c>
      <c r="N140" t="inlineStr">
        <is>
          <t>FC-HHDM-FC-050, FC-HG-PA-080</t>
        </is>
      </c>
      <c r="T140" t="inlineStr">
        <is>
          <t>Jun 15, 2025</t>
        </is>
      </c>
      <c r="AE140" t="inlineStr">
        <is>
          <t>Jaipur</t>
        </is>
      </c>
      <c r="AF140" t="inlineStr">
        <is>
          <t>2025-06</t>
        </is>
      </c>
      <c r="AG140" t="n">
        <v>6</v>
      </c>
      <c r="AH140" t="n">
        <v>1</v>
      </c>
      <c r="AI140" t="n">
        <v>0</v>
      </c>
      <c r="AJ140">
        <f>IF($AE140="","",IFERROR(VLOOKUP(TRIM($AE140),DECODE!$H$3:$I$60,2,FALSE),"Rest of India"))</f>
        <v/>
      </c>
      <c r="AK140">
        <f>IF($N140="","",UPPER(TRIM(LEFT($N140&amp;",",FIND(",",$N140&amp;",")-1))))</f>
        <v/>
      </c>
      <c r="AL140">
        <f>IF($AK140="","",MID($AK140,4,FIND("~",SUBSTITUTE($AK140,"-","~",2))-4))</f>
        <v/>
      </c>
      <c r="AM140">
        <f>IF($AK140="","",MID($AK140,FIND("~",SUBSTITUTE($AK140,"-","~",2))+1,FIND("~",SUBSTITUTE($AK140,"-","~",3))-FIND("~",SUBSTITUTE($AK140,"-","~",2))-1))</f>
        <v/>
      </c>
      <c r="AN140">
        <f>IF($AL140="","",IFERROR(VLOOKUP($AL140,DECODE!$A$3:$C$8,3,FALSE),"?"))</f>
        <v/>
      </c>
      <c r="AO140">
        <f>IF($AM140="","",IFERROR(VLOOKUP($AL140&amp;"-"&amp;$AM140,DECODE!$E$3:$F$21,2,FALSE),"?"))</f>
        <v/>
      </c>
      <c r="AP140">
        <f>IF($AK140="","",IFERROR(VALUE(RIGHT($AK140,3)),""))</f>
        <v/>
      </c>
      <c r="AQ140">
        <f>IF($T140="","",IFERROR(IF(ISNUMBER($T140),$T140,DATEVALUE(TRIM($T140))),""))</f>
        <v/>
      </c>
      <c r="AR140">
        <f>IF($AQ140="","",IF(MONTH($AQ140)&gt;=12,"Cold Winter",IF(MONTH($AQ140)&gt;=10,"Post-Monsoon",IF(MONTH($AQ140)&gt;=6,"Hot Humid",IF(MONTH($AQ140)&gt;=3,"Hot Dry","Cold Winter")))))</f>
        <v/>
      </c>
      <c r="AS140">
        <f>IF($AL140="","",IFERROR(VLOOKUP($AL140,DECODE!$A$3:$C$8,2,FALSE),"?"))</f>
        <v/>
      </c>
      <c r="AT140">
        <f>IF($O140="","",UPPER(TRIM(LEFT($O140&amp;",",FIND(",",$O140&amp;",")-1))))</f>
        <v/>
      </c>
      <c r="AU140">
        <f>IF($AT140="","",MID($AT140,4,FIND("~",SUBSTITUTE($AT140,"-","~",2))-4))</f>
        <v/>
      </c>
      <c r="AV140">
        <f>IF($AT140="","",MID($AT140,FIND("~",SUBSTITUTE($AT140,"-","~",2))+1,FIND("~",SUBSTITUTE($AT140,"-","~",3))-FIND("~",SUBSTITUTE($AT140,"-","~",2))-1))</f>
        <v/>
      </c>
      <c r="AW140">
        <f>IF($AU140="","",IFERROR(VLOOKUP($AU140,DECODE!$A$3:$C$8,3,FALSE),"?"))</f>
        <v/>
      </c>
      <c r="AX140">
        <f>IF($AV140="","",IFERROR(VLOOKUP($AU140&amp;"-"&amp;$AV140,DECODE!$E$3:$F$21,2,FALSE),"?"))</f>
        <v/>
      </c>
      <c r="AY140">
        <f>IF($AT140="","",IFERROR(VALUE(RIGHT($AT140,3)),""))</f>
        <v/>
      </c>
      <c r="AZ140">
        <f>IF($U140="","",IFERROR(IF(ISNUMBER($U140),$U140,DATEVALUE(TRIM($U140))),""))</f>
        <v/>
      </c>
      <c r="BA140">
        <f>IF($AZ140="","",IF(MONTH($AZ140)&gt;=12,"Cold Winter",IF(MONTH($AZ140)&gt;=10,"Post-Monsoon",IF(MONTH($AZ140)&gt;=6,"Hot Humid",IF(MONTH($AZ140)&gt;=3,"Hot Dry","Cold Winter")))))</f>
        <v/>
      </c>
      <c r="BB140">
        <f>IF($AU140="","",IFERROR(VLOOKUP($AU140,DECODE!$A$3:$C$8,2,FALSE),"?"))</f>
        <v/>
      </c>
      <c r="BC140">
        <f>IF($P140="","",UPPER(TRIM(LEFT($P140&amp;",",FIND(",",$P140&amp;",")-1))))</f>
        <v/>
      </c>
      <c r="BD140">
        <f>IF($BC140="","",MID($BC140,4,FIND("~",SUBSTITUTE($BC140,"-","~",2))-4))</f>
        <v/>
      </c>
      <c r="BE140">
        <f>IF($BC140="","",MID($BC140,FIND("~",SUBSTITUTE($BC140,"-","~",2))+1,FIND("~",SUBSTITUTE($BC140,"-","~",3))-FIND("~",SUBSTITUTE($BC140,"-","~",2))-1))</f>
        <v/>
      </c>
      <c r="BF140">
        <f>IF($BD140="","",IFERROR(VLOOKUP($BD140,DECODE!$A$3:$C$8,3,FALSE),"?"))</f>
        <v/>
      </c>
      <c r="BG140">
        <f>IF($BE140="","",IFERROR(VLOOKUP($BD140&amp;"-"&amp;$BE140,DECODE!$E$3:$F$21,2,FALSE),"?"))</f>
        <v/>
      </c>
      <c r="BH140">
        <f>IF($BC140="","",IFERROR(VALUE(RIGHT($BC140,3)),""))</f>
        <v/>
      </c>
      <c r="BI140">
        <f>IF($V140="","",IFERROR(IF(ISNUMBER($V140),$V140,DATEVALUE(TRIM($V140))),""))</f>
        <v/>
      </c>
      <c r="BJ140">
        <f>IF($BI140="","",IF(MONTH($BI140)&gt;=12,"Cold Winter",IF(MONTH($BI140)&gt;=10,"Post-Monsoon",IF(MONTH($BI140)&gt;=6,"Hot Humid",IF(MONTH($BI140)&gt;=3,"Hot Dry","Cold Winter")))))</f>
        <v/>
      </c>
      <c r="BK140">
        <f>IF($BD140="","",IFERROR(VLOOKUP($BD140,DECODE!$A$3:$C$8,2,FALSE),"?"))</f>
        <v/>
      </c>
      <c r="BL140">
        <f>IF($Q140="","",UPPER(TRIM(LEFT($Q140&amp;",",FIND(",",$Q140&amp;",")-1))))</f>
        <v/>
      </c>
      <c r="BM140">
        <f>IF($BL140="","",MID($BL140,4,FIND("~",SUBSTITUTE($BL140,"-","~",2))-4))</f>
        <v/>
      </c>
      <c r="BN140">
        <f>IF($BL140="","",MID($BL140,FIND("~",SUBSTITUTE($BL140,"-","~",2))+1,FIND("~",SUBSTITUTE($BL140,"-","~",3))-FIND("~",SUBSTITUTE($BL140,"-","~",2))-1))</f>
        <v/>
      </c>
      <c r="BO140">
        <f>IF($BM140="","",IFERROR(VLOOKUP($BM140,DECODE!$A$3:$C$8,3,FALSE),"?"))</f>
        <v/>
      </c>
      <c r="BP140">
        <f>IF($BN140="","",IFERROR(VLOOKUP($BM140&amp;"-"&amp;$BN140,DECODE!$E$3:$F$21,2,FALSE),"?"))</f>
        <v/>
      </c>
      <c r="BQ140">
        <f>IF($BL140="","",IFERROR(VALUE(RIGHT($BL140,3)),""))</f>
        <v/>
      </c>
      <c r="BR140">
        <f>IF($W140="","",IFERROR(IF(ISNUMBER($W140),$W140,DATEVALUE(TRIM($W140))),""))</f>
        <v/>
      </c>
      <c r="BS140">
        <f>IF($BR140="","",IF(MONTH($BR140)&gt;=12,"Cold Winter",IF(MONTH($BR140)&gt;=10,"Post-Monsoon",IF(MONTH($BR140)&gt;=6,"Hot Humid",IF(MONTH($BR140)&gt;=3,"Hot Dry","Cold Winter")))))</f>
        <v/>
      </c>
      <c r="BT140">
        <f>IF($BM140="","",IFERROR(VLOOKUP($BM140,DECODE!$A$3:$C$8,2,FALSE),"?"))</f>
        <v/>
      </c>
      <c r="BU140">
        <f>IF($R140="","",UPPER(TRIM(LEFT($R140&amp;",",FIND(",",$R140&amp;",")-1))))</f>
        <v/>
      </c>
      <c r="BV140">
        <f>IF($BU140="","",MID($BU140,4,FIND("~",SUBSTITUTE($BU140,"-","~",2))-4))</f>
        <v/>
      </c>
      <c r="BW140">
        <f>IF($BU140="","",MID($BU140,FIND("~",SUBSTITUTE($BU140,"-","~",2))+1,FIND("~",SUBSTITUTE($BU140,"-","~",3))-FIND("~",SUBSTITUTE($BU140,"-","~",2))-1))</f>
        <v/>
      </c>
      <c r="BX140">
        <f>IF($BV140="","",IFERROR(VLOOKUP($BV140,DECODE!$A$3:$C$8,3,FALSE),"?"))</f>
        <v/>
      </c>
      <c r="BY140">
        <f>IF($BW140="","",IFERROR(VLOOKUP($BV140&amp;"-"&amp;$BW140,DECODE!$E$3:$F$21,2,FALSE),"?"))</f>
        <v/>
      </c>
      <c r="BZ140">
        <f>IF($BU140="","",IFERROR(VALUE(RIGHT($BU140,3)),""))</f>
        <v/>
      </c>
      <c r="CA140">
        <f>IF($X140="","",IFERROR(IF(ISNUMBER($X140),$X140,DATEVALUE(TRIM($X140))),""))</f>
        <v/>
      </c>
      <c r="CB140">
        <f>IF($CA140="","",IF(MONTH($CA140)&gt;=12,"Cold Winter",IF(MONTH($CA140)&gt;=10,"Post-Monsoon",IF(MONTH($CA140)&gt;=6,"Hot Humid",IF(MONTH($CA140)&gt;=3,"Hot Dry","Cold Winter")))))</f>
        <v/>
      </c>
      <c r="CC140">
        <f>IF($BV140="","",IFERROR(VLOOKUP($BV140,DECODE!$A$3:$C$8,2,FALSE),"?"))</f>
        <v/>
      </c>
      <c r="CD140">
        <f>IF($S140="","",UPPER(TRIM(LEFT($S140&amp;",",FIND(",",$S140&amp;",")-1))))</f>
        <v/>
      </c>
      <c r="CE140">
        <f>IF($CD140="","",MID($CD140,4,FIND("~",SUBSTITUTE($CD140,"-","~",2))-4))</f>
        <v/>
      </c>
      <c r="CF140">
        <f>IF($CD140="","",MID($CD140,FIND("~",SUBSTITUTE($CD140,"-","~",2))+1,FIND("~",SUBSTITUTE($CD140,"-","~",3))-FIND("~",SUBSTITUTE($CD140,"-","~",2))-1))</f>
        <v/>
      </c>
      <c r="CG140">
        <f>IF($CE140="","",IFERROR(VLOOKUP($CE140,DECODE!$A$3:$C$8,3,FALSE),"?"))</f>
        <v/>
      </c>
      <c r="CH140">
        <f>IF($CF140="","",IFERROR(VLOOKUP($CE140&amp;"-"&amp;$CF140,DECODE!$E$3:$F$21,2,FALSE),"?"))</f>
        <v/>
      </c>
      <c r="CI140">
        <f>IF($CD140="","",IFERROR(VALUE(RIGHT($CD140,3)),""))</f>
        <v/>
      </c>
      <c r="CJ140">
        <f>IF($Y140="","",IFERROR(IF(ISNUMBER($Y140),$Y140,DATEVALUE(TRIM($Y140))),""))</f>
        <v/>
      </c>
      <c r="CK140">
        <f>IF($CJ140="","",IF(MONTH($CJ140)&gt;=12,"Cold Winter",IF(MONTH($CJ140)&gt;=10,"Post-Monsoon",IF(MONTH($CJ140)&gt;=6,"Hot Humid",IF(MONTH($CJ140)&gt;=3,"Hot Dry","Cold Winter")))))</f>
        <v/>
      </c>
      <c r="CL140">
        <f>IF($CE140="","",IFERROR(VLOOKUP($CE140,DECODE!$A$3:$C$8,2,FALSE),"?"))</f>
        <v/>
      </c>
      <c r="CM140">
        <f>IF($AN140="","",AN140)</f>
        <v/>
      </c>
      <c r="CN140">
        <f>IF($AO140="","",AO140)</f>
        <v/>
      </c>
      <c r="CO140">
        <f>IF($AP140="","",AP140)</f>
        <v/>
      </c>
      <c r="CP140">
        <f>IF($CM140="","",IF($CM140="Aloe Vera Gel","Aloe Vera Gel "&amp;$CO140&amp;"g",CN140&amp;" "&amp;$CO140&amp;"g"))</f>
        <v/>
      </c>
      <c r="CQ140">
        <f>IF($AT140="",0,1)</f>
        <v/>
      </c>
      <c r="CR140">
        <f>IF($CQ140=0,"",AW140)</f>
        <v/>
      </c>
      <c r="CS140">
        <f>IF($CQ140=0,"",AX140)</f>
        <v/>
      </c>
      <c r="CT140">
        <f>IF($CQ140=0,"",AY140)</f>
        <v/>
      </c>
      <c r="CU140">
        <f>IF($CR140="","",IF($CR140="Aloe Vera Gel","Aloe Vera Gel "&amp;$CT140&amp;"g",CS140&amp;" "&amp;$CT140&amp;"g"))</f>
        <v/>
      </c>
      <c r="CV140">
        <f>IF($CQ140=0,"",IF($CP140=$CU140,"Repeat Exact",IF($CT140&gt;$CO140,"Upsized",IF($CT140&lt;$CO140,"Downsized",IF($CM140&lt;&gt;$CR140,"Lateral","Same Size Diff Variant")))))</f>
        <v/>
      </c>
      <c r="CW140">
        <f>IF($CQ140=0,"",AZ140-AQ140)</f>
        <v/>
      </c>
      <c r="CX140">
        <f>IF($CQ140=0,0,IF(CS140=CN140,1,0))</f>
        <v/>
      </c>
      <c r="CY140">
        <f>IF($CQ140=0,0,IF(CR140=CM140,1,0))</f>
        <v/>
      </c>
      <c r="CZ140">
        <f>IF($A140="","",IF(AND(IF(DASHBOARD!$C$4="All",TRUE,$CM140=DASHBOARD!$C$4),IF(DASHBOARD!$C$6="All",TRUE,$CP140=DASHBOARD!$C$6),IF(DASHBOARD!$C$8="All",TRUE,$AF140&gt;=DASHBOARD!$C$8),IF(DASHBOARD!$C$10="All",TRUE,$AF140&lt;=DASHBOARD!$C$10),IF(DASHBOARD!$C$12="All",TRUE,$AH140=VALUE(DASHBOARD!$C$12)),IF(DASHBOARD!$C$14="All",TRUE,$AJ140=DASHBOARD!$C$14)),1,0))</f>
        <v/>
      </c>
    </row>
    <row r="141">
      <c r="A141" t="n">
        <v>109510</v>
      </c>
      <c r="B141" t="inlineStr">
        <is>
          <t>Face Malai</t>
        </is>
      </c>
      <c r="H141" t="inlineStr">
        <is>
          <t>Turmeric Nutmeg (Pigmentation)  Face Malai - 30g</t>
        </is>
      </c>
      <c r="N141" t="inlineStr">
        <is>
          <t>FC-DM-PG-030</t>
        </is>
      </c>
      <c r="T141" t="inlineStr">
        <is>
          <t>Apr 9, 2024</t>
        </is>
      </c>
      <c r="AE141" t="inlineStr">
        <is>
          <t>Pune</t>
        </is>
      </c>
      <c r="AF141" t="inlineStr">
        <is>
          <t>2024-04</t>
        </is>
      </c>
      <c r="AG141" t="n">
        <v>4</v>
      </c>
      <c r="AH141" t="n">
        <v>1</v>
      </c>
      <c r="AI141" t="n">
        <v>0</v>
      </c>
      <c r="AJ141">
        <f>IF($AE141="","",IFERROR(VLOOKUP(TRIM($AE141),DECODE!$H$3:$I$60,2,FALSE),"Rest of India"))</f>
        <v/>
      </c>
      <c r="AK141">
        <f>IF($N141="","",UPPER(TRIM(LEFT($N141&amp;",",FIND(",",$N141&amp;",")-1))))</f>
        <v/>
      </c>
      <c r="AL141">
        <f>IF($AK141="","",MID($AK141,4,FIND("~",SUBSTITUTE($AK141,"-","~",2))-4))</f>
        <v/>
      </c>
      <c r="AM141">
        <f>IF($AK141="","",MID($AK141,FIND("~",SUBSTITUTE($AK141,"-","~",2))+1,FIND("~",SUBSTITUTE($AK141,"-","~",3))-FIND("~",SUBSTITUTE($AK141,"-","~",2))-1))</f>
        <v/>
      </c>
      <c r="AN141">
        <f>IF($AL141="","",IFERROR(VLOOKUP($AL141,DECODE!$A$3:$C$8,3,FALSE),"?"))</f>
        <v/>
      </c>
      <c r="AO141">
        <f>IF($AM141="","",IFERROR(VLOOKUP($AL141&amp;"-"&amp;$AM141,DECODE!$E$3:$F$21,2,FALSE),"?"))</f>
        <v/>
      </c>
      <c r="AP141">
        <f>IF($AK141="","",IFERROR(VALUE(RIGHT($AK141,3)),""))</f>
        <v/>
      </c>
      <c r="AQ141">
        <f>IF($T141="","",IFERROR(IF(ISNUMBER($T141),$T141,DATEVALUE(TRIM($T141))),""))</f>
        <v/>
      </c>
      <c r="AR141">
        <f>IF($AQ141="","",IF(MONTH($AQ141)&gt;=12,"Cold Winter",IF(MONTH($AQ141)&gt;=10,"Post-Monsoon",IF(MONTH($AQ141)&gt;=6,"Hot Humid",IF(MONTH($AQ141)&gt;=3,"Hot Dry","Cold Winter")))))</f>
        <v/>
      </c>
      <c r="AS141">
        <f>IF($AL141="","",IFERROR(VLOOKUP($AL141,DECODE!$A$3:$C$8,2,FALSE),"?"))</f>
        <v/>
      </c>
      <c r="AT141">
        <f>IF($O141="","",UPPER(TRIM(LEFT($O141&amp;",",FIND(",",$O141&amp;",")-1))))</f>
        <v/>
      </c>
      <c r="AU141">
        <f>IF($AT141="","",MID($AT141,4,FIND("~",SUBSTITUTE($AT141,"-","~",2))-4))</f>
        <v/>
      </c>
      <c r="AV141">
        <f>IF($AT141="","",MID($AT141,FIND("~",SUBSTITUTE($AT141,"-","~",2))+1,FIND("~",SUBSTITUTE($AT141,"-","~",3))-FIND("~",SUBSTITUTE($AT141,"-","~",2))-1))</f>
        <v/>
      </c>
      <c r="AW141">
        <f>IF($AU141="","",IFERROR(VLOOKUP($AU141,DECODE!$A$3:$C$8,3,FALSE),"?"))</f>
        <v/>
      </c>
      <c r="AX141">
        <f>IF($AV141="","",IFERROR(VLOOKUP($AU141&amp;"-"&amp;$AV141,DECODE!$E$3:$F$21,2,FALSE),"?"))</f>
        <v/>
      </c>
      <c r="AY141">
        <f>IF($AT141="","",IFERROR(VALUE(RIGHT($AT141,3)),""))</f>
        <v/>
      </c>
      <c r="AZ141">
        <f>IF($U141="","",IFERROR(IF(ISNUMBER($U141),$U141,DATEVALUE(TRIM($U141))),""))</f>
        <v/>
      </c>
      <c r="BA141">
        <f>IF($AZ141="","",IF(MONTH($AZ141)&gt;=12,"Cold Winter",IF(MONTH($AZ141)&gt;=10,"Post-Monsoon",IF(MONTH($AZ141)&gt;=6,"Hot Humid",IF(MONTH($AZ141)&gt;=3,"Hot Dry","Cold Winter")))))</f>
        <v/>
      </c>
      <c r="BB141">
        <f>IF($AU141="","",IFERROR(VLOOKUP($AU141,DECODE!$A$3:$C$8,2,FALSE),"?"))</f>
        <v/>
      </c>
      <c r="BC141">
        <f>IF($P141="","",UPPER(TRIM(LEFT($P141&amp;",",FIND(",",$P141&amp;",")-1))))</f>
        <v/>
      </c>
      <c r="BD141">
        <f>IF($BC141="","",MID($BC141,4,FIND("~",SUBSTITUTE($BC141,"-","~",2))-4))</f>
        <v/>
      </c>
      <c r="BE141">
        <f>IF($BC141="","",MID($BC141,FIND("~",SUBSTITUTE($BC141,"-","~",2))+1,FIND("~",SUBSTITUTE($BC141,"-","~",3))-FIND("~",SUBSTITUTE($BC141,"-","~",2))-1))</f>
        <v/>
      </c>
      <c r="BF141">
        <f>IF($BD141="","",IFERROR(VLOOKUP($BD141,DECODE!$A$3:$C$8,3,FALSE),"?"))</f>
        <v/>
      </c>
      <c r="BG141">
        <f>IF($BE141="","",IFERROR(VLOOKUP($BD141&amp;"-"&amp;$BE141,DECODE!$E$3:$F$21,2,FALSE),"?"))</f>
        <v/>
      </c>
      <c r="BH141">
        <f>IF($BC141="","",IFERROR(VALUE(RIGHT($BC141,3)),""))</f>
        <v/>
      </c>
      <c r="BI141">
        <f>IF($V141="","",IFERROR(IF(ISNUMBER($V141),$V141,DATEVALUE(TRIM($V141))),""))</f>
        <v/>
      </c>
      <c r="BJ141">
        <f>IF($BI141="","",IF(MONTH($BI141)&gt;=12,"Cold Winter",IF(MONTH($BI141)&gt;=10,"Post-Monsoon",IF(MONTH($BI141)&gt;=6,"Hot Humid",IF(MONTH($BI141)&gt;=3,"Hot Dry","Cold Winter")))))</f>
        <v/>
      </c>
      <c r="BK141">
        <f>IF($BD141="","",IFERROR(VLOOKUP($BD141,DECODE!$A$3:$C$8,2,FALSE),"?"))</f>
        <v/>
      </c>
      <c r="BL141">
        <f>IF($Q141="","",UPPER(TRIM(LEFT($Q141&amp;",",FIND(",",$Q141&amp;",")-1))))</f>
        <v/>
      </c>
      <c r="BM141">
        <f>IF($BL141="","",MID($BL141,4,FIND("~",SUBSTITUTE($BL141,"-","~",2))-4))</f>
        <v/>
      </c>
      <c r="BN141">
        <f>IF($BL141="","",MID($BL141,FIND("~",SUBSTITUTE($BL141,"-","~",2))+1,FIND("~",SUBSTITUTE($BL141,"-","~",3))-FIND("~",SUBSTITUTE($BL141,"-","~",2))-1))</f>
        <v/>
      </c>
      <c r="BO141">
        <f>IF($BM141="","",IFERROR(VLOOKUP($BM141,DECODE!$A$3:$C$8,3,FALSE),"?"))</f>
        <v/>
      </c>
      <c r="BP141">
        <f>IF($BN141="","",IFERROR(VLOOKUP($BM141&amp;"-"&amp;$BN141,DECODE!$E$3:$F$21,2,FALSE),"?"))</f>
        <v/>
      </c>
      <c r="BQ141">
        <f>IF($BL141="","",IFERROR(VALUE(RIGHT($BL141,3)),""))</f>
        <v/>
      </c>
      <c r="BR141">
        <f>IF($W141="","",IFERROR(IF(ISNUMBER($W141),$W141,DATEVALUE(TRIM($W141))),""))</f>
        <v/>
      </c>
      <c r="BS141">
        <f>IF($BR141="","",IF(MONTH($BR141)&gt;=12,"Cold Winter",IF(MONTH($BR141)&gt;=10,"Post-Monsoon",IF(MONTH($BR141)&gt;=6,"Hot Humid",IF(MONTH($BR141)&gt;=3,"Hot Dry","Cold Winter")))))</f>
        <v/>
      </c>
      <c r="BT141">
        <f>IF($BM141="","",IFERROR(VLOOKUP($BM141,DECODE!$A$3:$C$8,2,FALSE),"?"))</f>
        <v/>
      </c>
      <c r="BU141">
        <f>IF($R141="","",UPPER(TRIM(LEFT($R141&amp;",",FIND(",",$R141&amp;",")-1))))</f>
        <v/>
      </c>
      <c r="BV141">
        <f>IF($BU141="","",MID($BU141,4,FIND("~",SUBSTITUTE($BU141,"-","~",2))-4))</f>
        <v/>
      </c>
      <c r="BW141">
        <f>IF($BU141="","",MID($BU141,FIND("~",SUBSTITUTE($BU141,"-","~",2))+1,FIND("~",SUBSTITUTE($BU141,"-","~",3))-FIND("~",SUBSTITUTE($BU141,"-","~",2))-1))</f>
        <v/>
      </c>
      <c r="BX141">
        <f>IF($BV141="","",IFERROR(VLOOKUP($BV141,DECODE!$A$3:$C$8,3,FALSE),"?"))</f>
        <v/>
      </c>
      <c r="BY141">
        <f>IF($BW141="","",IFERROR(VLOOKUP($BV141&amp;"-"&amp;$BW141,DECODE!$E$3:$F$21,2,FALSE),"?"))</f>
        <v/>
      </c>
      <c r="BZ141">
        <f>IF($BU141="","",IFERROR(VALUE(RIGHT($BU141,3)),""))</f>
        <v/>
      </c>
      <c r="CA141">
        <f>IF($X141="","",IFERROR(IF(ISNUMBER($X141),$X141,DATEVALUE(TRIM($X141))),""))</f>
        <v/>
      </c>
      <c r="CB141">
        <f>IF($CA141="","",IF(MONTH($CA141)&gt;=12,"Cold Winter",IF(MONTH($CA141)&gt;=10,"Post-Monsoon",IF(MONTH($CA141)&gt;=6,"Hot Humid",IF(MONTH($CA141)&gt;=3,"Hot Dry","Cold Winter")))))</f>
        <v/>
      </c>
      <c r="CC141">
        <f>IF($BV141="","",IFERROR(VLOOKUP($BV141,DECODE!$A$3:$C$8,2,FALSE),"?"))</f>
        <v/>
      </c>
      <c r="CD141">
        <f>IF($S141="","",UPPER(TRIM(LEFT($S141&amp;",",FIND(",",$S141&amp;",")-1))))</f>
        <v/>
      </c>
      <c r="CE141">
        <f>IF($CD141="","",MID($CD141,4,FIND("~",SUBSTITUTE($CD141,"-","~",2))-4))</f>
        <v/>
      </c>
      <c r="CF141">
        <f>IF($CD141="","",MID($CD141,FIND("~",SUBSTITUTE($CD141,"-","~",2))+1,FIND("~",SUBSTITUTE($CD141,"-","~",3))-FIND("~",SUBSTITUTE($CD141,"-","~",2))-1))</f>
        <v/>
      </c>
      <c r="CG141">
        <f>IF($CE141="","",IFERROR(VLOOKUP($CE141,DECODE!$A$3:$C$8,3,FALSE),"?"))</f>
        <v/>
      </c>
      <c r="CH141">
        <f>IF($CF141="","",IFERROR(VLOOKUP($CE141&amp;"-"&amp;$CF141,DECODE!$E$3:$F$21,2,FALSE),"?"))</f>
        <v/>
      </c>
      <c r="CI141">
        <f>IF($CD141="","",IFERROR(VALUE(RIGHT($CD141,3)),""))</f>
        <v/>
      </c>
      <c r="CJ141">
        <f>IF($Y141="","",IFERROR(IF(ISNUMBER($Y141),$Y141,DATEVALUE(TRIM($Y141))),""))</f>
        <v/>
      </c>
      <c r="CK141">
        <f>IF($CJ141="","",IF(MONTH($CJ141)&gt;=12,"Cold Winter",IF(MONTH($CJ141)&gt;=10,"Post-Monsoon",IF(MONTH($CJ141)&gt;=6,"Hot Humid",IF(MONTH($CJ141)&gt;=3,"Hot Dry","Cold Winter")))))</f>
        <v/>
      </c>
      <c r="CL141">
        <f>IF($CE141="","",IFERROR(VLOOKUP($CE141,DECODE!$A$3:$C$8,2,FALSE),"?"))</f>
        <v/>
      </c>
      <c r="CM141">
        <f>IF($AN141="","",AN141)</f>
        <v/>
      </c>
      <c r="CN141">
        <f>IF($AO141="","",AO141)</f>
        <v/>
      </c>
      <c r="CO141">
        <f>IF($AP141="","",AP141)</f>
        <v/>
      </c>
      <c r="CP141">
        <f>IF($CM141="","",IF($CM141="Aloe Vera Gel","Aloe Vera Gel "&amp;$CO141&amp;"g",CN141&amp;" "&amp;$CO141&amp;"g"))</f>
        <v/>
      </c>
      <c r="CQ141">
        <f>IF($AT141="",0,1)</f>
        <v/>
      </c>
      <c r="CR141">
        <f>IF($CQ141=0,"",AW141)</f>
        <v/>
      </c>
      <c r="CS141">
        <f>IF($CQ141=0,"",AX141)</f>
        <v/>
      </c>
      <c r="CT141">
        <f>IF($CQ141=0,"",AY141)</f>
        <v/>
      </c>
      <c r="CU141">
        <f>IF($CR141="","",IF($CR141="Aloe Vera Gel","Aloe Vera Gel "&amp;$CT141&amp;"g",CS141&amp;" "&amp;$CT141&amp;"g"))</f>
        <v/>
      </c>
      <c r="CV141">
        <f>IF($CQ141=0,"",IF($CP141=$CU141,"Repeat Exact",IF($CT141&gt;$CO141,"Upsized",IF($CT141&lt;$CO141,"Downsized",IF($CM141&lt;&gt;$CR141,"Lateral","Same Size Diff Variant")))))</f>
        <v/>
      </c>
      <c r="CW141">
        <f>IF($CQ141=0,"",AZ141-AQ141)</f>
        <v/>
      </c>
      <c r="CX141">
        <f>IF($CQ141=0,0,IF(CS141=CN141,1,0))</f>
        <v/>
      </c>
      <c r="CY141">
        <f>IF($CQ141=0,0,IF(CR141=CM141,1,0))</f>
        <v/>
      </c>
      <c r="CZ141">
        <f>IF($A141="","",IF(AND(IF(DASHBOARD!$C$4="All",TRUE,$CM141=DASHBOARD!$C$4),IF(DASHBOARD!$C$6="All",TRUE,$CP141=DASHBOARD!$C$6),IF(DASHBOARD!$C$8="All",TRUE,$AF141&gt;=DASHBOARD!$C$8),IF(DASHBOARD!$C$10="All",TRUE,$AF141&lt;=DASHBOARD!$C$10),IF(DASHBOARD!$C$12="All",TRUE,$AH141=VALUE(DASHBOARD!$C$12)),IF(DASHBOARD!$C$14="All",TRUE,$AJ141=DASHBOARD!$C$14)),1,0))</f>
        <v/>
      </c>
    </row>
    <row r="142">
      <c r="A142" t="n">
        <v>109534</v>
      </c>
      <c r="B142" t="inlineStr">
        <is>
          <t>Face Malai</t>
        </is>
      </c>
      <c r="H142" t="inlineStr">
        <is>
          <t>Flax Carrot (Hot Humid) 35+ Face Malai - 50g</t>
        </is>
      </c>
      <c r="N142" t="inlineStr">
        <is>
          <t>FC-HHDM-FC-050</t>
        </is>
      </c>
      <c r="T142" t="inlineStr">
        <is>
          <t>May 5, 2025</t>
        </is>
      </c>
      <c r="AE142" t="inlineStr">
        <is>
          <t>Chennai</t>
        </is>
      </c>
      <c r="AF142" t="inlineStr">
        <is>
          <t>2025-05</t>
        </is>
      </c>
      <c r="AG142" t="n">
        <v>5</v>
      </c>
      <c r="AH142" t="n">
        <v>1</v>
      </c>
      <c r="AI142" t="n">
        <v>0</v>
      </c>
      <c r="AJ142">
        <f>IF($AE142="","",IFERROR(VLOOKUP(TRIM($AE142),DECODE!$H$3:$I$60,2,FALSE),"Rest of India"))</f>
        <v/>
      </c>
      <c r="AK142">
        <f>IF($N142="","",UPPER(TRIM(LEFT($N142&amp;",",FIND(",",$N142&amp;",")-1))))</f>
        <v/>
      </c>
      <c r="AL142">
        <f>IF($AK142="","",MID($AK142,4,FIND("~",SUBSTITUTE($AK142,"-","~",2))-4))</f>
        <v/>
      </c>
      <c r="AM142">
        <f>IF($AK142="","",MID($AK142,FIND("~",SUBSTITUTE($AK142,"-","~",2))+1,FIND("~",SUBSTITUTE($AK142,"-","~",3))-FIND("~",SUBSTITUTE($AK142,"-","~",2))-1))</f>
        <v/>
      </c>
      <c r="AN142">
        <f>IF($AL142="","",IFERROR(VLOOKUP($AL142,DECODE!$A$3:$C$8,3,FALSE),"?"))</f>
        <v/>
      </c>
      <c r="AO142">
        <f>IF($AM142="","",IFERROR(VLOOKUP($AL142&amp;"-"&amp;$AM142,DECODE!$E$3:$F$21,2,FALSE),"?"))</f>
        <v/>
      </c>
      <c r="AP142">
        <f>IF($AK142="","",IFERROR(VALUE(RIGHT($AK142,3)),""))</f>
        <v/>
      </c>
      <c r="AQ142">
        <f>IF($T142="","",IFERROR(IF(ISNUMBER($T142),$T142,DATEVALUE(TRIM($T142))),""))</f>
        <v/>
      </c>
      <c r="AR142">
        <f>IF($AQ142="","",IF(MONTH($AQ142)&gt;=12,"Cold Winter",IF(MONTH($AQ142)&gt;=10,"Post-Monsoon",IF(MONTH($AQ142)&gt;=6,"Hot Humid",IF(MONTH($AQ142)&gt;=3,"Hot Dry","Cold Winter")))))</f>
        <v/>
      </c>
      <c r="AS142">
        <f>IF($AL142="","",IFERROR(VLOOKUP($AL142,DECODE!$A$3:$C$8,2,FALSE),"?"))</f>
        <v/>
      </c>
      <c r="AT142">
        <f>IF($O142="","",UPPER(TRIM(LEFT($O142&amp;",",FIND(",",$O142&amp;",")-1))))</f>
        <v/>
      </c>
      <c r="AU142">
        <f>IF($AT142="","",MID($AT142,4,FIND("~",SUBSTITUTE($AT142,"-","~",2))-4))</f>
        <v/>
      </c>
      <c r="AV142">
        <f>IF($AT142="","",MID($AT142,FIND("~",SUBSTITUTE($AT142,"-","~",2))+1,FIND("~",SUBSTITUTE($AT142,"-","~",3))-FIND("~",SUBSTITUTE($AT142,"-","~",2))-1))</f>
        <v/>
      </c>
      <c r="AW142">
        <f>IF($AU142="","",IFERROR(VLOOKUP($AU142,DECODE!$A$3:$C$8,3,FALSE),"?"))</f>
        <v/>
      </c>
      <c r="AX142">
        <f>IF($AV142="","",IFERROR(VLOOKUP($AU142&amp;"-"&amp;$AV142,DECODE!$E$3:$F$21,2,FALSE),"?"))</f>
        <v/>
      </c>
      <c r="AY142">
        <f>IF($AT142="","",IFERROR(VALUE(RIGHT($AT142,3)),""))</f>
        <v/>
      </c>
      <c r="AZ142">
        <f>IF($U142="","",IFERROR(IF(ISNUMBER($U142),$U142,DATEVALUE(TRIM($U142))),""))</f>
        <v/>
      </c>
      <c r="BA142">
        <f>IF($AZ142="","",IF(MONTH($AZ142)&gt;=12,"Cold Winter",IF(MONTH($AZ142)&gt;=10,"Post-Monsoon",IF(MONTH($AZ142)&gt;=6,"Hot Humid",IF(MONTH($AZ142)&gt;=3,"Hot Dry","Cold Winter")))))</f>
        <v/>
      </c>
      <c r="BB142">
        <f>IF($AU142="","",IFERROR(VLOOKUP($AU142,DECODE!$A$3:$C$8,2,FALSE),"?"))</f>
        <v/>
      </c>
      <c r="BC142">
        <f>IF($P142="","",UPPER(TRIM(LEFT($P142&amp;",",FIND(",",$P142&amp;",")-1))))</f>
        <v/>
      </c>
      <c r="BD142">
        <f>IF($BC142="","",MID($BC142,4,FIND("~",SUBSTITUTE($BC142,"-","~",2))-4))</f>
        <v/>
      </c>
      <c r="BE142">
        <f>IF($BC142="","",MID($BC142,FIND("~",SUBSTITUTE($BC142,"-","~",2))+1,FIND("~",SUBSTITUTE($BC142,"-","~",3))-FIND("~",SUBSTITUTE($BC142,"-","~",2))-1))</f>
        <v/>
      </c>
      <c r="BF142">
        <f>IF($BD142="","",IFERROR(VLOOKUP($BD142,DECODE!$A$3:$C$8,3,FALSE),"?"))</f>
        <v/>
      </c>
      <c r="BG142">
        <f>IF($BE142="","",IFERROR(VLOOKUP($BD142&amp;"-"&amp;$BE142,DECODE!$E$3:$F$21,2,FALSE),"?"))</f>
        <v/>
      </c>
      <c r="BH142">
        <f>IF($BC142="","",IFERROR(VALUE(RIGHT($BC142,3)),""))</f>
        <v/>
      </c>
      <c r="BI142">
        <f>IF($V142="","",IFERROR(IF(ISNUMBER($V142),$V142,DATEVALUE(TRIM($V142))),""))</f>
        <v/>
      </c>
      <c r="BJ142">
        <f>IF($BI142="","",IF(MONTH($BI142)&gt;=12,"Cold Winter",IF(MONTH($BI142)&gt;=10,"Post-Monsoon",IF(MONTH($BI142)&gt;=6,"Hot Humid",IF(MONTH($BI142)&gt;=3,"Hot Dry","Cold Winter")))))</f>
        <v/>
      </c>
      <c r="BK142">
        <f>IF($BD142="","",IFERROR(VLOOKUP($BD142,DECODE!$A$3:$C$8,2,FALSE),"?"))</f>
        <v/>
      </c>
      <c r="BL142">
        <f>IF($Q142="","",UPPER(TRIM(LEFT($Q142&amp;",",FIND(",",$Q142&amp;",")-1))))</f>
        <v/>
      </c>
      <c r="BM142">
        <f>IF($BL142="","",MID($BL142,4,FIND("~",SUBSTITUTE($BL142,"-","~",2))-4))</f>
        <v/>
      </c>
      <c r="BN142">
        <f>IF($BL142="","",MID($BL142,FIND("~",SUBSTITUTE($BL142,"-","~",2))+1,FIND("~",SUBSTITUTE($BL142,"-","~",3))-FIND("~",SUBSTITUTE($BL142,"-","~",2))-1))</f>
        <v/>
      </c>
      <c r="BO142">
        <f>IF($BM142="","",IFERROR(VLOOKUP($BM142,DECODE!$A$3:$C$8,3,FALSE),"?"))</f>
        <v/>
      </c>
      <c r="BP142">
        <f>IF($BN142="","",IFERROR(VLOOKUP($BM142&amp;"-"&amp;$BN142,DECODE!$E$3:$F$21,2,FALSE),"?"))</f>
        <v/>
      </c>
      <c r="BQ142">
        <f>IF($BL142="","",IFERROR(VALUE(RIGHT($BL142,3)),""))</f>
        <v/>
      </c>
      <c r="BR142">
        <f>IF($W142="","",IFERROR(IF(ISNUMBER($W142),$W142,DATEVALUE(TRIM($W142))),""))</f>
        <v/>
      </c>
      <c r="BS142">
        <f>IF($BR142="","",IF(MONTH($BR142)&gt;=12,"Cold Winter",IF(MONTH($BR142)&gt;=10,"Post-Monsoon",IF(MONTH($BR142)&gt;=6,"Hot Humid",IF(MONTH($BR142)&gt;=3,"Hot Dry","Cold Winter")))))</f>
        <v/>
      </c>
      <c r="BT142">
        <f>IF($BM142="","",IFERROR(VLOOKUP($BM142,DECODE!$A$3:$C$8,2,FALSE),"?"))</f>
        <v/>
      </c>
      <c r="BU142">
        <f>IF($R142="","",UPPER(TRIM(LEFT($R142&amp;",",FIND(",",$R142&amp;",")-1))))</f>
        <v/>
      </c>
      <c r="BV142">
        <f>IF($BU142="","",MID($BU142,4,FIND("~",SUBSTITUTE($BU142,"-","~",2))-4))</f>
        <v/>
      </c>
      <c r="BW142">
        <f>IF($BU142="","",MID($BU142,FIND("~",SUBSTITUTE($BU142,"-","~",2))+1,FIND("~",SUBSTITUTE($BU142,"-","~",3))-FIND("~",SUBSTITUTE($BU142,"-","~",2))-1))</f>
        <v/>
      </c>
      <c r="BX142">
        <f>IF($BV142="","",IFERROR(VLOOKUP($BV142,DECODE!$A$3:$C$8,3,FALSE),"?"))</f>
        <v/>
      </c>
      <c r="BY142">
        <f>IF($BW142="","",IFERROR(VLOOKUP($BV142&amp;"-"&amp;$BW142,DECODE!$E$3:$F$21,2,FALSE),"?"))</f>
        <v/>
      </c>
      <c r="BZ142">
        <f>IF($BU142="","",IFERROR(VALUE(RIGHT($BU142,3)),""))</f>
        <v/>
      </c>
      <c r="CA142">
        <f>IF($X142="","",IFERROR(IF(ISNUMBER($X142),$X142,DATEVALUE(TRIM($X142))),""))</f>
        <v/>
      </c>
      <c r="CB142">
        <f>IF($CA142="","",IF(MONTH($CA142)&gt;=12,"Cold Winter",IF(MONTH($CA142)&gt;=10,"Post-Monsoon",IF(MONTH($CA142)&gt;=6,"Hot Humid",IF(MONTH($CA142)&gt;=3,"Hot Dry","Cold Winter")))))</f>
        <v/>
      </c>
      <c r="CC142">
        <f>IF($BV142="","",IFERROR(VLOOKUP($BV142,DECODE!$A$3:$C$8,2,FALSE),"?"))</f>
        <v/>
      </c>
      <c r="CD142">
        <f>IF($S142="","",UPPER(TRIM(LEFT($S142&amp;",",FIND(",",$S142&amp;",")-1))))</f>
        <v/>
      </c>
      <c r="CE142">
        <f>IF($CD142="","",MID($CD142,4,FIND("~",SUBSTITUTE($CD142,"-","~",2))-4))</f>
        <v/>
      </c>
      <c r="CF142">
        <f>IF($CD142="","",MID($CD142,FIND("~",SUBSTITUTE($CD142,"-","~",2))+1,FIND("~",SUBSTITUTE($CD142,"-","~",3))-FIND("~",SUBSTITUTE($CD142,"-","~",2))-1))</f>
        <v/>
      </c>
      <c r="CG142">
        <f>IF($CE142="","",IFERROR(VLOOKUP($CE142,DECODE!$A$3:$C$8,3,FALSE),"?"))</f>
        <v/>
      </c>
      <c r="CH142">
        <f>IF($CF142="","",IFERROR(VLOOKUP($CE142&amp;"-"&amp;$CF142,DECODE!$E$3:$F$21,2,FALSE),"?"))</f>
        <v/>
      </c>
      <c r="CI142">
        <f>IF($CD142="","",IFERROR(VALUE(RIGHT($CD142,3)),""))</f>
        <v/>
      </c>
      <c r="CJ142">
        <f>IF($Y142="","",IFERROR(IF(ISNUMBER($Y142),$Y142,DATEVALUE(TRIM($Y142))),""))</f>
        <v/>
      </c>
      <c r="CK142">
        <f>IF($CJ142="","",IF(MONTH($CJ142)&gt;=12,"Cold Winter",IF(MONTH($CJ142)&gt;=10,"Post-Monsoon",IF(MONTH($CJ142)&gt;=6,"Hot Humid",IF(MONTH($CJ142)&gt;=3,"Hot Dry","Cold Winter")))))</f>
        <v/>
      </c>
      <c r="CL142">
        <f>IF($CE142="","",IFERROR(VLOOKUP($CE142,DECODE!$A$3:$C$8,2,FALSE),"?"))</f>
        <v/>
      </c>
      <c r="CM142">
        <f>IF($AN142="","",AN142)</f>
        <v/>
      </c>
      <c r="CN142">
        <f>IF($AO142="","",AO142)</f>
        <v/>
      </c>
      <c r="CO142">
        <f>IF($AP142="","",AP142)</f>
        <v/>
      </c>
      <c r="CP142">
        <f>IF($CM142="","",IF($CM142="Aloe Vera Gel","Aloe Vera Gel "&amp;$CO142&amp;"g",CN142&amp;" "&amp;$CO142&amp;"g"))</f>
        <v/>
      </c>
      <c r="CQ142">
        <f>IF($AT142="",0,1)</f>
        <v/>
      </c>
      <c r="CR142">
        <f>IF($CQ142=0,"",AW142)</f>
        <v/>
      </c>
      <c r="CS142">
        <f>IF($CQ142=0,"",AX142)</f>
        <v/>
      </c>
      <c r="CT142">
        <f>IF($CQ142=0,"",AY142)</f>
        <v/>
      </c>
      <c r="CU142">
        <f>IF($CR142="","",IF($CR142="Aloe Vera Gel","Aloe Vera Gel "&amp;$CT142&amp;"g",CS142&amp;" "&amp;$CT142&amp;"g"))</f>
        <v/>
      </c>
      <c r="CV142">
        <f>IF($CQ142=0,"",IF($CP142=$CU142,"Repeat Exact",IF($CT142&gt;$CO142,"Upsized",IF($CT142&lt;$CO142,"Downsized",IF($CM142&lt;&gt;$CR142,"Lateral","Same Size Diff Variant")))))</f>
        <v/>
      </c>
      <c r="CW142">
        <f>IF($CQ142=0,"",AZ142-AQ142)</f>
        <v/>
      </c>
      <c r="CX142">
        <f>IF($CQ142=0,0,IF(CS142=CN142,1,0))</f>
        <v/>
      </c>
      <c r="CY142">
        <f>IF($CQ142=0,0,IF(CR142=CM142,1,0))</f>
        <v/>
      </c>
      <c r="CZ142">
        <f>IF($A142="","",IF(AND(IF(DASHBOARD!$C$4="All",TRUE,$CM142=DASHBOARD!$C$4),IF(DASHBOARD!$C$6="All",TRUE,$CP142=DASHBOARD!$C$6),IF(DASHBOARD!$C$8="All",TRUE,$AF142&gt;=DASHBOARD!$C$8),IF(DASHBOARD!$C$10="All",TRUE,$AF142&lt;=DASHBOARD!$C$10),IF(DASHBOARD!$C$12="All",TRUE,$AH142=VALUE(DASHBOARD!$C$12)),IF(DASHBOARD!$C$14="All",TRUE,$AJ142=DASHBOARD!$C$14)),1,0))</f>
        <v/>
      </c>
    </row>
    <row r="143">
      <c r="A143" t="n">
        <v>109845</v>
      </c>
      <c r="B143" t="inlineStr">
        <is>
          <t>Face Malai</t>
        </is>
      </c>
      <c r="H143" t="inlineStr">
        <is>
          <t>Tomato Patchouli (Cold) 20 - 35 Yrs Face Malai</t>
        </is>
      </c>
      <c r="N143" t="inlineStr">
        <is>
          <t>FC-CWDM-TP-030</t>
        </is>
      </c>
      <c r="T143" t="inlineStr">
        <is>
          <t>Jan 7, 2025</t>
        </is>
      </c>
      <c r="AE143" t="inlineStr">
        <is>
          <t>Ahmedabad</t>
        </is>
      </c>
      <c r="AF143" t="inlineStr">
        <is>
          <t>2025-01</t>
        </is>
      </c>
      <c r="AG143" t="n">
        <v>1</v>
      </c>
      <c r="AH143" t="n">
        <v>1</v>
      </c>
      <c r="AI143" t="n">
        <v>0</v>
      </c>
      <c r="AJ143">
        <f>IF($AE143="","",IFERROR(VLOOKUP(TRIM($AE143),DECODE!$H$3:$I$60,2,FALSE),"Rest of India"))</f>
        <v/>
      </c>
      <c r="AK143">
        <f>IF($N143="","",UPPER(TRIM(LEFT($N143&amp;",",FIND(",",$N143&amp;",")-1))))</f>
        <v/>
      </c>
      <c r="AL143">
        <f>IF($AK143="","",MID($AK143,4,FIND("~",SUBSTITUTE($AK143,"-","~",2))-4))</f>
        <v/>
      </c>
      <c r="AM143">
        <f>IF($AK143="","",MID($AK143,FIND("~",SUBSTITUTE($AK143,"-","~",2))+1,FIND("~",SUBSTITUTE($AK143,"-","~",3))-FIND("~",SUBSTITUTE($AK143,"-","~",2))-1))</f>
        <v/>
      </c>
      <c r="AN143">
        <f>IF($AL143="","",IFERROR(VLOOKUP($AL143,DECODE!$A$3:$C$8,3,FALSE),"?"))</f>
        <v/>
      </c>
      <c r="AO143">
        <f>IF($AM143="","",IFERROR(VLOOKUP($AL143&amp;"-"&amp;$AM143,DECODE!$E$3:$F$21,2,FALSE),"?"))</f>
        <v/>
      </c>
      <c r="AP143">
        <f>IF($AK143="","",IFERROR(VALUE(RIGHT($AK143,3)),""))</f>
        <v/>
      </c>
      <c r="AQ143">
        <f>IF($T143="","",IFERROR(IF(ISNUMBER($T143),$T143,DATEVALUE(TRIM($T143))),""))</f>
        <v/>
      </c>
      <c r="AR143">
        <f>IF($AQ143="","",IF(MONTH($AQ143)&gt;=12,"Cold Winter",IF(MONTH($AQ143)&gt;=10,"Post-Monsoon",IF(MONTH($AQ143)&gt;=6,"Hot Humid",IF(MONTH($AQ143)&gt;=3,"Hot Dry","Cold Winter")))))</f>
        <v/>
      </c>
      <c r="AS143">
        <f>IF($AL143="","",IFERROR(VLOOKUP($AL143,DECODE!$A$3:$C$8,2,FALSE),"?"))</f>
        <v/>
      </c>
      <c r="AT143">
        <f>IF($O143="","",UPPER(TRIM(LEFT($O143&amp;",",FIND(",",$O143&amp;",")-1))))</f>
        <v/>
      </c>
      <c r="AU143">
        <f>IF($AT143="","",MID($AT143,4,FIND("~",SUBSTITUTE($AT143,"-","~",2))-4))</f>
        <v/>
      </c>
      <c r="AV143">
        <f>IF($AT143="","",MID($AT143,FIND("~",SUBSTITUTE($AT143,"-","~",2))+1,FIND("~",SUBSTITUTE($AT143,"-","~",3))-FIND("~",SUBSTITUTE($AT143,"-","~",2))-1))</f>
        <v/>
      </c>
      <c r="AW143">
        <f>IF($AU143="","",IFERROR(VLOOKUP($AU143,DECODE!$A$3:$C$8,3,FALSE),"?"))</f>
        <v/>
      </c>
      <c r="AX143">
        <f>IF($AV143="","",IFERROR(VLOOKUP($AU143&amp;"-"&amp;$AV143,DECODE!$E$3:$F$21,2,FALSE),"?"))</f>
        <v/>
      </c>
      <c r="AY143">
        <f>IF($AT143="","",IFERROR(VALUE(RIGHT($AT143,3)),""))</f>
        <v/>
      </c>
      <c r="AZ143">
        <f>IF($U143="","",IFERROR(IF(ISNUMBER($U143),$U143,DATEVALUE(TRIM($U143))),""))</f>
        <v/>
      </c>
      <c r="BA143">
        <f>IF($AZ143="","",IF(MONTH($AZ143)&gt;=12,"Cold Winter",IF(MONTH($AZ143)&gt;=10,"Post-Monsoon",IF(MONTH($AZ143)&gt;=6,"Hot Humid",IF(MONTH($AZ143)&gt;=3,"Hot Dry","Cold Winter")))))</f>
        <v/>
      </c>
      <c r="BB143">
        <f>IF($AU143="","",IFERROR(VLOOKUP($AU143,DECODE!$A$3:$C$8,2,FALSE),"?"))</f>
        <v/>
      </c>
      <c r="BC143">
        <f>IF($P143="","",UPPER(TRIM(LEFT($P143&amp;",",FIND(",",$P143&amp;",")-1))))</f>
        <v/>
      </c>
      <c r="BD143">
        <f>IF($BC143="","",MID($BC143,4,FIND("~",SUBSTITUTE($BC143,"-","~",2))-4))</f>
        <v/>
      </c>
      <c r="BE143">
        <f>IF($BC143="","",MID($BC143,FIND("~",SUBSTITUTE($BC143,"-","~",2))+1,FIND("~",SUBSTITUTE($BC143,"-","~",3))-FIND("~",SUBSTITUTE($BC143,"-","~",2))-1))</f>
        <v/>
      </c>
      <c r="BF143">
        <f>IF($BD143="","",IFERROR(VLOOKUP($BD143,DECODE!$A$3:$C$8,3,FALSE),"?"))</f>
        <v/>
      </c>
      <c r="BG143">
        <f>IF($BE143="","",IFERROR(VLOOKUP($BD143&amp;"-"&amp;$BE143,DECODE!$E$3:$F$21,2,FALSE),"?"))</f>
        <v/>
      </c>
      <c r="BH143">
        <f>IF($BC143="","",IFERROR(VALUE(RIGHT($BC143,3)),""))</f>
        <v/>
      </c>
      <c r="BI143">
        <f>IF($V143="","",IFERROR(IF(ISNUMBER($V143),$V143,DATEVALUE(TRIM($V143))),""))</f>
        <v/>
      </c>
      <c r="BJ143">
        <f>IF($BI143="","",IF(MONTH($BI143)&gt;=12,"Cold Winter",IF(MONTH($BI143)&gt;=10,"Post-Monsoon",IF(MONTH($BI143)&gt;=6,"Hot Humid",IF(MONTH($BI143)&gt;=3,"Hot Dry","Cold Winter")))))</f>
        <v/>
      </c>
      <c r="BK143">
        <f>IF($BD143="","",IFERROR(VLOOKUP($BD143,DECODE!$A$3:$C$8,2,FALSE),"?"))</f>
        <v/>
      </c>
      <c r="BL143">
        <f>IF($Q143="","",UPPER(TRIM(LEFT($Q143&amp;",",FIND(",",$Q143&amp;",")-1))))</f>
        <v/>
      </c>
      <c r="BM143">
        <f>IF($BL143="","",MID($BL143,4,FIND("~",SUBSTITUTE($BL143,"-","~",2))-4))</f>
        <v/>
      </c>
      <c r="BN143">
        <f>IF($BL143="","",MID($BL143,FIND("~",SUBSTITUTE($BL143,"-","~",2))+1,FIND("~",SUBSTITUTE($BL143,"-","~",3))-FIND("~",SUBSTITUTE($BL143,"-","~",2))-1))</f>
        <v/>
      </c>
      <c r="BO143">
        <f>IF($BM143="","",IFERROR(VLOOKUP($BM143,DECODE!$A$3:$C$8,3,FALSE),"?"))</f>
        <v/>
      </c>
      <c r="BP143">
        <f>IF($BN143="","",IFERROR(VLOOKUP($BM143&amp;"-"&amp;$BN143,DECODE!$E$3:$F$21,2,FALSE),"?"))</f>
        <v/>
      </c>
      <c r="BQ143">
        <f>IF($BL143="","",IFERROR(VALUE(RIGHT($BL143,3)),""))</f>
        <v/>
      </c>
      <c r="BR143">
        <f>IF($W143="","",IFERROR(IF(ISNUMBER($W143),$W143,DATEVALUE(TRIM($W143))),""))</f>
        <v/>
      </c>
      <c r="BS143">
        <f>IF($BR143="","",IF(MONTH($BR143)&gt;=12,"Cold Winter",IF(MONTH($BR143)&gt;=10,"Post-Monsoon",IF(MONTH($BR143)&gt;=6,"Hot Humid",IF(MONTH($BR143)&gt;=3,"Hot Dry","Cold Winter")))))</f>
        <v/>
      </c>
      <c r="BT143">
        <f>IF($BM143="","",IFERROR(VLOOKUP($BM143,DECODE!$A$3:$C$8,2,FALSE),"?"))</f>
        <v/>
      </c>
      <c r="BU143">
        <f>IF($R143="","",UPPER(TRIM(LEFT($R143&amp;",",FIND(",",$R143&amp;",")-1))))</f>
        <v/>
      </c>
      <c r="BV143">
        <f>IF($BU143="","",MID($BU143,4,FIND("~",SUBSTITUTE($BU143,"-","~",2))-4))</f>
        <v/>
      </c>
      <c r="BW143">
        <f>IF($BU143="","",MID($BU143,FIND("~",SUBSTITUTE($BU143,"-","~",2))+1,FIND("~",SUBSTITUTE($BU143,"-","~",3))-FIND("~",SUBSTITUTE($BU143,"-","~",2))-1))</f>
        <v/>
      </c>
      <c r="BX143">
        <f>IF($BV143="","",IFERROR(VLOOKUP($BV143,DECODE!$A$3:$C$8,3,FALSE),"?"))</f>
        <v/>
      </c>
      <c r="BY143">
        <f>IF($BW143="","",IFERROR(VLOOKUP($BV143&amp;"-"&amp;$BW143,DECODE!$E$3:$F$21,2,FALSE),"?"))</f>
        <v/>
      </c>
      <c r="BZ143">
        <f>IF($BU143="","",IFERROR(VALUE(RIGHT($BU143,3)),""))</f>
        <v/>
      </c>
      <c r="CA143">
        <f>IF($X143="","",IFERROR(IF(ISNUMBER($X143),$X143,DATEVALUE(TRIM($X143))),""))</f>
        <v/>
      </c>
      <c r="CB143">
        <f>IF($CA143="","",IF(MONTH($CA143)&gt;=12,"Cold Winter",IF(MONTH($CA143)&gt;=10,"Post-Monsoon",IF(MONTH($CA143)&gt;=6,"Hot Humid",IF(MONTH($CA143)&gt;=3,"Hot Dry","Cold Winter")))))</f>
        <v/>
      </c>
      <c r="CC143">
        <f>IF($BV143="","",IFERROR(VLOOKUP($BV143,DECODE!$A$3:$C$8,2,FALSE),"?"))</f>
        <v/>
      </c>
      <c r="CD143">
        <f>IF($S143="","",UPPER(TRIM(LEFT($S143&amp;",",FIND(",",$S143&amp;",")-1))))</f>
        <v/>
      </c>
      <c r="CE143">
        <f>IF($CD143="","",MID($CD143,4,FIND("~",SUBSTITUTE($CD143,"-","~",2))-4))</f>
        <v/>
      </c>
      <c r="CF143">
        <f>IF($CD143="","",MID($CD143,FIND("~",SUBSTITUTE($CD143,"-","~",2))+1,FIND("~",SUBSTITUTE($CD143,"-","~",3))-FIND("~",SUBSTITUTE($CD143,"-","~",2))-1))</f>
        <v/>
      </c>
      <c r="CG143">
        <f>IF($CE143="","",IFERROR(VLOOKUP($CE143,DECODE!$A$3:$C$8,3,FALSE),"?"))</f>
        <v/>
      </c>
      <c r="CH143">
        <f>IF($CF143="","",IFERROR(VLOOKUP($CE143&amp;"-"&amp;$CF143,DECODE!$E$3:$F$21,2,FALSE),"?"))</f>
        <v/>
      </c>
      <c r="CI143">
        <f>IF($CD143="","",IFERROR(VALUE(RIGHT($CD143,3)),""))</f>
        <v/>
      </c>
      <c r="CJ143">
        <f>IF($Y143="","",IFERROR(IF(ISNUMBER($Y143),$Y143,DATEVALUE(TRIM($Y143))),""))</f>
        <v/>
      </c>
      <c r="CK143">
        <f>IF($CJ143="","",IF(MONTH($CJ143)&gt;=12,"Cold Winter",IF(MONTH($CJ143)&gt;=10,"Post-Monsoon",IF(MONTH($CJ143)&gt;=6,"Hot Humid",IF(MONTH($CJ143)&gt;=3,"Hot Dry","Cold Winter")))))</f>
        <v/>
      </c>
      <c r="CL143">
        <f>IF($CE143="","",IFERROR(VLOOKUP($CE143,DECODE!$A$3:$C$8,2,FALSE),"?"))</f>
        <v/>
      </c>
      <c r="CM143">
        <f>IF($AN143="","",AN143)</f>
        <v/>
      </c>
      <c r="CN143">
        <f>IF($AO143="","",AO143)</f>
        <v/>
      </c>
      <c r="CO143">
        <f>IF($AP143="","",AP143)</f>
        <v/>
      </c>
      <c r="CP143">
        <f>IF($CM143="","",IF($CM143="Aloe Vera Gel","Aloe Vera Gel "&amp;$CO143&amp;"g",CN143&amp;" "&amp;$CO143&amp;"g"))</f>
        <v/>
      </c>
      <c r="CQ143">
        <f>IF($AT143="",0,1)</f>
        <v/>
      </c>
      <c r="CR143">
        <f>IF($CQ143=0,"",AW143)</f>
        <v/>
      </c>
      <c r="CS143">
        <f>IF($CQ143=0,"",AX143)</f>
        <v/>
      </c>
      <c r="CT143">
        <f>IF($CQ143=0,"",AY143)</f>
        <v/>
      </c>
      <c r="CU143">
        <f>IF($CR143="","",IF($CR143="Aloe Vera Gel","Aloe Vera Gel "&amp;$CT143&amp;"g",CS143&amp;" "&amp;$CT143&amp;"g"))</f>
        <v/>
      </c>
      <c r="CV143">
        <f>IF($CQ143=0,"",IF($CP143=$CU143,"Repeat Exact",IF($CT143&gt;$CO143,"Upsized",IF($CT143&lt;$CO143,"Downsized",IF($CM143&lt;&gt;$CR143,"Lateral","Same Size Diff Variant")))))</f>
        <v/>
      </c>
      <c r="CW143">
        <f>IF($CQ143=0,"",AZ143-AQ143)</f>
        <v/>
      </c>
      <c r="CX143">
        <f>IF($CQ143=0,0,IF(CS143=CN143,1,0))</f>
        <v/>
      </c>
      <c r="CY143">
        <f>IF($CQ143=0,0,IF(CR143=CM143,1,0))</f>
        <v/>
      </c>
      <c r="CZ143">
        <f>IF($A143="","",IF(AND(IF(DASHBOARD!$C$4="All",TRUE,$CM143=DASHBOARD!$C$4),IF(DASHBOARD!$C$6="All",TRUE,$CP143=DASHBOARD!$C$6),IF(DASHBOARD!$C$8="All",TRUE,$AF143&gt;=DASHBOARD!$C$8),IF(DASHBOARD!$C$10="All",TRUE,$AF143&lt;=DASHBOARD!$C$10),IF(DASHBOARD!$C$12="All",TRUE,$AH143=VALUE(DASHBOARD!$C$12)),IF(DASHBOARD!$C$14="All",TRUE,$AJ143=DASHBOARD!$C$14)),1,0))</f>
        <v/>
      </c>
    </row>
    <row r="144">
      <c r="A144" t="n">
        <v>110127</v>
      </c>
      <c r="B144" t="inlineStr">
        <is>
          <t>Aloe Vera Gel</t>
        </is>
      </c>
      <c r="H144" t="inlineStr">
        <is>
          <t>Aloe Vera Gel - 40 gms</t>
        </is>
      </c>
      <c r="N144" t="inlineStr">
        <is>
          <t>FC-HG-PA-040</t>
        </is>
      </c>
      <c r="T144" t="inlineStr">
        <is>
          <t>Dec 10, 2024</t>
        </is>
      </c>
      <c r="AE144" t="inlineStr">
        <is>
          <t>Singhbhum</t>
        </is>
      </c>
      <c r="AF144" t="inlineStr">
        <is>
          <t>2024-12</t>
        </is>
      </c>
      <c r="AG144" t="n">
        <v>12</v>
      </c>
      <c r="AH144" t="n">
        <v>1</v>
      </c>
      <c r="AI144" t="n">
        <v>0</v>
      </c>
      <c r="AJ144">
        <f>IF($AE144="","",IFERROR(VLOOKUP(TRIM($AE144),DECODE!$H$3:$I$60,2,FALSE),"Rest of India"))</f>
        <v/>
      </c>
      <c r="AK144">
        <f>IF($N144="","",UPPER(TRIM(LEFT($N144&amp;",",FIND(",",$N144&amp;",")-1))))</f>
        <v/>
      </c>
      <c r="AL144">
        <f>IF($AK144="","",MID($AK144,4,FIND("~",SUBSTITUTE($AK144,"-","~",2))-4))</f>
        <v/>
      </c>
      <c r="AM144">
        <f>IF($AK144="","",MID($AK144,FIND("~",SUBSTITUTE($AK144,"-","~",2))+1,FIND("~",SUBSTITUTE($AK144,"-","~",3))-FIND("~",SUBSTITUTE($AK144,"-","~",2))-1))</f>
        <v/>
      </c>
      <c r="AN144">
        <f>IF($AL144="","",IFERROR(VLOOKUP($AL144,DECODE!$A$3:$C$8,3,FALSE),"?"))</f>
        <v/>
      </c>
      <c r="AO144">
        <f>IF($AM144="","",IFERROR(VLOOKUP($AL144&amp;"-"&amp;$AM144,DECODE!$E$3:$F$21,2,FALSE),"?"))</f>
        <v/>
      </c>
      <c r="AP144">
        <f>IF($AK144="","",IFERROR(VALUE(RIGHT($AK144,3)),""))</f>
        <v/>
      </c>
      <c r="AQ144">
        <f>IF($T144="","",IFERROR(IF(ISNUMBER($T144),$T144,DATEVALUE(TRIM($T144))),""))</f>
        <v/>
      </c>
      <c r="AR144">
        <f>IF($AQ144="","",IF(MONTH($AQ144)&gt;=12,"Cold Winter",IF(MONTH($AQ144)&gt;=10,"Post-Monsoon",IF(MONTH($AQ144)&gt;=6,"Hot Humid",IF(MONTH($AQ144)&gt;=3,"Hot Dry","Cold Winter")))))</f>
        <v/>
      </c>
      <c r="AS144">
        <f>IF($AL144="","",IFERROR(VLOOKUP($AL144,DECODE!$A$3:$C$8,2,FALSE),"?"))</f>
        <v/>
      </c>
      <c r="AT144">
        <f>IF($O144="","",UPPER(TRIM(LEFT($O144&amp;",",FIND(",",$O144&amp;",")-1))))</f>
        <v/>
      </c>
      <c r="AU144">
        <f>IF($AT144="","",MID($AT144,4,FIND("~",SUBSTITUTE($AT144,"-","~",2))-4))</f>
        <v/>
      </c>
      <c r="AV144">
        <f>IF($AT144="","",MID($AT144,FIND("~",SUBSTITUTE($AT144,"-","~",2))+1,FIND("~",SUBSTITUTE($AT144,"-","~",3))-FIND("~",SUBSTITUTE($AT144,"-","~",2))-1))</f>
        <v/>
      </c>
      <c r="AW144">
        <f>IF($AU144="","",IFERROR(VLOOKUP($AU144,DECODE!$A$3:$C$8,3,FALSE),"?"))</f>
        <v/>
      </c>
      <c r="AX144">
        <f>IF($AV144="","",IFERROR(VLOOKUP($AU144&amp;"-"&amp;$AV144,DECODE!$E$3:$F$21,2,FALSE),"?"))</f>
        <v/>
      </c>
      <c r="AY144">
        <f>IF($AT144="","",IFERROR(VALUE(RIGHT($AT144,3)),""))</f>
        <v/>
      </c>
      <c r="AZ144">
        <f>IF($U144="","",IFERROR(IF(ISNUMBER($U144),$U144,DATEVALUE(TRIM($U144))),""))</f>
        <v/>
      </c>
      <c r="BA144">
        <f>IF($AZ144="","",IF(MONTH($AZ144)&gt;=12,"Cold Winter",IF(MONTH($AZ144)&gt;=10,"Post-Monsoon",IF(MONTH($AZ144)&gt;=6,"Hot Humid",IF(MONTH($AZ144)&gt;=3,"Hot Dry","Cold Winter")))))</f>
        <v/>
      </c>
      <c r="BB144">
        <f>IF($AU144="","",IFERROR(VLOOKUP($AU144,DECODE!$A$3:$C$8,2,FALSE),"?"))</f>
        <v/>
      </c>
      <c r="BC144">
        <f>IF($P144="","",UPPER(TRIM(LEFT($P144&amp;",",FIND(",",$P144&amp;",")-1))))</f>
        <v/>
      </c>
      <c r="BD144">
        <f>IF($BC144="","",MID($BC144,4,FIND("~",SUBSTITUTE($BC144,"-","~",2))-4))</f>
        <v/>
      </c>
      <c r="BE144">
        <f>IF($BC144="","",MID($BC144,FIND("~",SUBSTITUTE($BC144,"-","~",2))+1,FIND("~",SUBSTITUTE($BC144,"-","~",3))-FIND("~",SUBSTITUTE($BC144,"-","~",2))-1))</f>
        <v/>
      </c>
      <c r="BF144">
        <f>IF($BD144="","",IFERROR(VLOOKUP($BD144,DECODE!$A$3:$C$8,3,FALSE),"?"))</f>
        <v/>
      </c>
      <c r="BG144">
        <f>IF($BE144="","",IFERROR(VLOOKUP($BD144&amp;"-"&amp;$BE144,DECODE!$E$3:$F$21,2,FALSE),"?"))</f>
        <v/>
      </c>
      <c r="BH144">
        <f>IF($BC144="","",IFERROR(VALUE(RIGHT($BC144,3)),""))</f>
        <v/>
      </c>
      <c r="BI144">
        <f>IF($V144="","",IFERROR(IF(ISNUMBER($V144),$V144,DATEVALUE(TRIM($V144))),""))</f>
        <v/>
      </c>
      <c r="BJ144">
        <f>IF($BI144="","",IF(MONTH($BI144)&gt;=12,"Cold Winter",IF(MONTH($BI144)&gt;=10,"Post-Monsoon",IF(MONTH($BI144)&gt;=6,"Hot Humid",IF(MONTH($BI144)&gt;=3,"Hot Dry","Cold Winter")))))</f>
        <v/>
      </c>
      <c r="BK144">
        <f>IF($BD144="","",IFERROR(VLOOKUP($BD144,DECODE!$A$3:$C$8,2,FALSE),"?"))</f>
        <v/>
      </c>
      <c r="BL144">
        <f>IF($Q144="","",UPPER(TRIM(LEFT($Q144&amp;",",FIND(",",$Q144&amp;",")-1))))</f>
        <v/>
      </c>
      <c r="BM144">
        <f>IF($BL144="","",MID($BL144,4,FIND("~",SUBSTITUTE($BL144,"-","~",2))-4))</f>
        <v/>
      </c>
      <c r="BN144">
        <f>IF($BL144="","",MID($BL144,FIND("~",SUBSTITUTE($BL144,"-","~",2))+1,FIND("~",SUBSTITUTE($BL144,"-","~",3))-FIND("~",SUBSTITUTE($BL144,"-","~",2))-1))</f>
        <v/>
      </c>
      <c r="BO144">
        <f>IF($BM144="","",IFERROR(VLOOKUP($BM144,DECODE!$A$3:$C$8,3,FALSE),"?"))</f>
        <v/>
      </c>
      <c r="BP144">
        <f>IF($BN144="","",IFERROR(VLOOKUP($BM144&amp;"-"&amp;$BN144,DECODE!$E$3:$F$21,2,FALSE),"?"))</f>
        <v/>
      </c>
      <c r="BQ144">
        <f>IF($BL144="","",IFERROR(VALUE(RIGHT($BL144,3)),""))</f>
        <v/>
      </c>
      <c r="BR144">
        <f>IF($W144="","",IFERROR(IF(ISNUMBER($W144),$W144,DATEVALUE(TRIM($W144))),""))</f>
        <v/>
      </c>
      <c r="BS144">
        <f>IF($BR144="","",IF(MONTH($BR144)&gt;=12,"Cold Winter",IF(MONTH($BR144)&gt;=10,"Post-Monsoon",IF(MONTH($BR144)&gt;=6,"Hot Humid",IF(MONTH($BR144)&gt;=3,"Hot Dry","Cold Winter")))))</f>
        <v/>
      </c>
      <c r="BT144">
        <f>IF($BM144="","",IFERROR(VLOOKUP($BM144,DECODE!$A$3:$C$8,2,FALSE),"?"))</f>
        <v/>
      </c>
      <c r="BU144">
        <f>IF($R144="","",UPPER(TRIM(LEFT($R144&amp;",",FIND(",",$R144&amp;",")-1))))</f>
        <v/>
      </c>
      <c r="BV144">
        <f>IF($BU144="","",MID($BU144,4,FIND("~",SUBSTITUTE($BU144,"-","~",2))-4))</f>
        <v/>
      </c>
      <c r="BW144">
        <f>IF($BU144="","",MID($BU144,FIND("~",SUBSTITUTE($BU144,"-","~",2))+1,FIND("~",SUBSTITUTE($BU144,"-","~",3))-FIND("~",SUBSTITUTE($BU144,"-","~",2))-1))</f>
        <v/>
      </c>
      <c r="BX144">
        <f>IF($BV144="","",IFERROR(VLOOKUP($BV144,DECODE!$A$3:$C$8,3,FALSE),"?"))</f>
        <v/>
      </c>
      <c r="BY144">
        <f>IF($BW144="","",IFERROR(VLOOKUP($BV144&amp;"-"&amp;$BW144,DECODE!$E$3:$F$21,2,FALSE),"?"))</f>
        <v/>
      </c>
      <c r="BZ144">
        <f>IF($BU144="","",IFERROR(VALUE(RIGHT($BU144,3)),""))</f>
        <v/>
      </c>
      <c r="CA144">
        <f>IF($X144="","",IFERROR(IF(ISNUMBER($X144),$X144,DATEVALUE(TRIM($X144))),""))</f>
        <v/>
      </c>
      <c r="CB144">
        <f>IF($CA144="","",IF(MONTH($CA144)&gt;=12,"Cold Winter",IF(MONTH($CA144)&gt;=10,"Post-Monsoon",IF(MONTH($CA144)&gt;=6,"Hot Humid",IF(MONTH($CA144)&gt;=3,"Hot Dry","Cold Winter")))))</f>
        <v/>
      </c>
      <c r="CC144">
        <f>IF($BV144="","",IFERROR(VLOOKUP($BV144,DECODE!$A$3:$C$8,2,FALSE),"?"))</f>
        <v/>
      </c>
      <c r="CD144">
        <f>IF($S144="","",UPPER(TRIM(LEFT($S144&amp;",",FIND(",",$S144&amp;",")-1))))</f>
        <v/>
      </c>
      <c r="CE144">
        <f>IF($CD144="","",MID($CD144,4,FIND("~",SUBSTITUTE($CD144,"-","~",2))-4))</f>
        <v/>
      </c>
      <c r="CF144">
        <f>IF($CD144="","",MID($CD144,FIND("~",SUBSTITUTE($CD144,"-","~",2))+1,FIND("~",SUBSTITUTE($CD144,"-","~",3))-FIND("~",SUBSTITUTE($CD144,"-","~",2))-1))</f>
        <v/>
      </c>
      <c r="CG144">
        <f>IF($CE144="","",IFERROR(VLOOKUP($CE144,DECODE!$A$3:$C$8,3,FALSE),"?"))</f>
        <v/>
      </c>
      <c r="CH144">
        <f>IF($CF144="","",IFERROR(VLOOKUP($CE144&amp;"-"&amp;$CF144,DECODE!$E$3:$F$21,2,FALSE),"?"))</f>
        <v/>
      </c>
      <c r="CI144">
        <f>IF($CD144="","",IFERROR(VALUE(RIGHT($CD144,3)),""))</f>
        <v/>
      </c>
      <c r="CJ144">
        <f>IF($Y144="","",IFERROR(IF(ISNUMBER($Y144),$Y144,DATEVALUE(TRIM($Y144))),""))</f>
        <v/>
      </c>
      <c r="CK144">
        <f>IF($CJ144="","",IF(MONTH($CJ144)&gt;=12,"Cold Winter",IF(MONTH($CJ144)&gt;=10,"Post-Monsoon",IF(MONTH($CJ144)&gt;=6,"Hot Humid",IF(MONTH($CJ144)&gt;=3,"Hot Dry","Cold Winter")))))</f>
        <v/>
      </c>
      <c r="CL144">
        <f>IF($CE144="","",IFERROR(VLOOKUP($CE144,DECODE!$A$3:$C$8,2,FALSE),"?"))</f>
        <v/>
      </c>
      <c r="CM144">
        <f>IF($AN144="","",AN144)</f>
        <v/>
      </c>
      <c r="CN144">
        <f>IF($AO144="","",AO144)</f>
        <v/>
      </c>
      <c r="CO144">
        <f>IF($AP144="","",AP144)</f>
        <v/>
      </c>
      <c r="CP144">
        <f>IF($CM144="","",IF($CM144="Aloe Vera Gel","Aloe Vera Gel "&amp;$CO144&amp;"g",CN144&amp;" "&amp;$CO144&amp;"g"))</f>
        <v/>
      </c>
      <c r="CQ144">
        <f>IF($AT144="",0,1)</f>
        <v/>
      </c>
      <c r="CR144">
        <f>IF($CQ144=0,"",AW144)</f>
        <v/>
      </c>
      <c r="CS144">
        <f>IF($CQ144=0,"",AX144)</f>
        <v/>
      </c>
      <c r="CT144">
        <f>IF($CQ144=0,"",AY144)</f>
        <v/>
      </c>
      <c r="CU144">
        <f>IF($CR144="","",IF($CR144="Aloe Vera Gel","Aloe Vera Gel "&amp;$CT144&amp;"g",CS144&amp;" "&amp;$CT144&amp;"g"))</f>
        <v/>
      </c>
      <c r="CV144">
        <f>IF($CQ144=0,"",IF($CP144=$CU144,"Repeat Exact",IF($CT144&gt;$CO144,"Upsized",IF($CT144&lt;$CO144,"Downsized",IF($CM144&lt;&gt;$CR144,"Lateral","Same Size Diff Variant")))))</f>
        <v/>
      </c>
      <c r="CW144">
        <f>IF($CQ144=0,"",AZ144-AQ144)</f>
        <v/>
      </c>
      <c r="CX144">
        <f>IF($CQ144=0,0,IF(CS144=CN144,1,0))</f>
        <v/>
      </c>
      <c r="CY144">
        <f>IF($CQ144=0,0,IF(CR144=CM144,1,0))</f>
        <v/>
      </c>
      <c r="CZ144">
        <f>IF($A144="","",IF(AND(IF(DASHBOARD!$C$4="All",TRUE,$CM144=DASHBOARD!$C$4),IF(DASHBOARD!$C$6="All",TRUE,$CP144=DASHBOARD!$C$6),IF(DASHBOARD!$C$8="All",TRUE,$AF144&gt;=DASHBOARD!$C$8),IF(DASHBOARD!$C$10="All",TRUE,$AF144&lt;=DASHBOARD!$C$10),IF(DASHBOARD!$C$12="All",TRUE,$AH144=VALUE(DASHBOARD!$C$12)),IF(DASHBOARD!$C$14="All",TRUE,$AJ144=DASHBOARD!$C$14)),1,0))</f>
        <v/>
      </c>
    </row>
    <row r="145">
      <c r="A145" t="n">
        <v>111397</v>
      </c>
      <c r="B145" t="inlineStr">
        <is>
          <t>Aloe Vera Gel</t>
        </is>
      </c>
      <c r="H145" t="inlineStr">
        <is>
          <t>Aloe Vera Gel - 40 gms</t>
        </is>
      </c>
      <c r="N145" t="inlineStr">
        <is>
          <t>FC-HG-PA-040</t>
        </is>
      </c>
      <c r="T145" t="inlineStr">
        <is>
          <t>Aug 1, 2024</t>
        </is>
      </c>
      <c r="AE145" t="inlineStr">
        <is>
          <t>New Delhi</t>
        </is>
      </c>
      <c r="AF145" t="inlineStr">
        <is>
          <t>2024-08</t>
        </is>
      </c>
      <c r="AG145" t="n">
        <v>8</v>
      </c>
      <c r="AH145" t="n">
        <v>1</v>
      </c>
      <c r="AI145" t="n">
        <v>0</v>
      </c>
      <c r="AJ145">
        <f>IF($AE145="","",IFERROR(VLOOKUP(TRIM($AE145),DECODE!$H$3:$I$60,2,FALSE),"Rest of India"))</f>
        <v/>
      </c>
      <c r="AK145">
        <f>IF($N145="","",UPPER(TRIM(LEFT($N145&amp;",",FIND(",",$N145&amp;",")-1))))</f>
        <v/>
      </c>
      <c r="AL145">
        <f>IF($AK145="","",MID($AK145,4,FIND("~",SUBSTITUTE($AK145,"-","~",2))-4))</f>
        <v/>
      </c>
      <c r="AM145">
        <f>IF($AK145="","",MID($AK145,FIND("~",SUBSTITUTE($AK145,"-","~",2))+1,FIND("~",SUBSTITUTE($AK145,"-","~",3))-FIND("~",SUBSTITUTE($AK145,"-","~",2))-1))</f>
        <v/>
      </c>
      <c r="AN145">
        <f>IF($AL145="","",IFERROR(VLOOKUP($AL145,DECODE!$A$3:$C$8,3,FALSE),"?"))</f>
        <v/>
      </c>
      <c r="AO145">
        <f>IF($AM145="","",IFERROR(VLOOKUP($AL145&amp;"-"&amp;$AM145,DECODE!$E$3:$F$21,2,FALSE),"?"))</f>
        <v/>
      </c>
      <c r="AP145">
        <f>IF($AK145="","",IFERROR(VALUE(RIGHT($AK145,3)),""))</f>
        <v/>
      </c>
      <c r="AQ145">
        <f>IF($T145="","",IFERROR(IF(ISNUMBER($T145),$T145,DATEVALUE(TRIM($T145))),""))</f>
        <v/>
      </c>
      <c r="AR145">
        <f>IF($AQ145="","",IF(MONTH($AQ145)&gt;=12,"Cold Winter",IF(MONTH($AQ145)&gt;=10,"Post-Monsoon",IF(MONTH($AQ145)&gt;=6,"Hot Humid",IF(MONTH($AQ145)&gt;=3,"Hot Dry","Cold Winter")))))</f>
        <v/>
      </c>
      <c r="AS145">
        <f>IF($AL145="","",IFERROR(VLOOKUP($AL145,DECODE!$A$3:$C$8,2,FALSE),"?"))</f>
        <v/>
      </c>
      <c r="AT145">
        <f>IF($O145="","",UPPER(TRIM(LEFT($O145&amp;",",FIND(",",$O145&amp;",")-1))))</f>
        <v/>
      </c>
      <c r="AU145">
        <f>IF($AT145="","",MID($AT145,4,FIND("~",SUBSTITUTE($AT145,"-","~",2))-4))</f>
        <v/>
      </c>
      <c r="AV145">
        <f>IF($AT145="","",MID($AT145,FIND("~",SUBSTITUTE($AT145,"-","~",2))+1,FIND("~",SUBSTITUTE($AT145,"-","~",3))-FIND("~",SUBSTITUTE($AT145,"-","~",2))-1))</f>
        <v/>
      </c>
      <c r="AW145">
        <f>IF($AU145="","",IFERROR(VLOOKUP($AU145,DECODE!$A$3:$C$8,3,FALSE),"?"))</f>
        <v/>
      </c>
      <c r="AX145">
        <f>IF($AV145="","",IFERROR(VLOOKUP($AU145&amp;"-"&amp;$AV145,DECODE!$E$3:$F$21,2,FALSE),"?"))</f>
        <v/>
      </c>
      <c r="AY145">
        <f>IF($AT145="","",IFERROR(VALUE(RIGHT($AT145,3)),""))</f>
        <v/>
      </c>
      <c r="AZ145">
        <f>IF($U145="","",IFERROR(IF(ISNUMBER($U145),$U145,DATEVALUE(TRIM($U145))),""))</f>
        <v/>
      </c>
      <c r="BA145">
        <f>IF($AZ145="","",IF(MONTH($AZ145)&gt;=12,"Cold Winter",IF(MONTH($AZ145)&gt;=10,"Post-Monsoon",IF(MONTH($AZ145)&gt;=6,"Hot Humid",IF(MONTH($AZ145)&gt;=3,"Hot Dry","Cold Winter")))))</f>
        <v/>
      </c>
      <c r="BB145">
        <f>IF($AU145="","",IFERROR(VLOOKUP($AU145,DECODE!$A$3:$C$8,2,FALSE),"?"))</f>
        <v/>
      </c>
      <c r="BC145">
        <f>IF($P145="","",UPPER(TRIM(LEFT($P145&amp;",",FIND(",",$P145&amp;",")-1))))</f>
        <v/>
      </c>
      <c r="BD145">
        <f>IF($BC145="","",MID($BC145,4,FIND("~",SUBSTITUTE($BC145,"-","~",2))-4))</f>
        <v/>
      </c>
      <c r="BE145">
        <f>IF($BC145="","",MID($BC145,FIND("~",SUBSTITUTE($BC145,"-","~",2))+1,FIND("~",SUBSTITUTE($BC145,"-","~",3))-FIND("~",SUBSTITUTE($BC145,"-","~",2))-1))</f>
        <v/>
      </c>
      <c r="BF145">
        <f>IF($BD145="","",IFERROR(VLOOKUP($BD145,DECODE!$A$3:$C$8,3,FALSE),"?"))</f>
        <v/>
      </c>
      <c r="BG145">
        <f>IF($BE145="","",IFERROR(VLOOKUP($BD145&amp;"-"&amp;$BE145,DECODE!$E$3:$F$21,2,FALSE),"?"))</f>
        <v/>
      </c>
      <c r="BH145">
        <f>IF($BC145="","",IFERROR(VALUE(RIGHT($BC145,3)),""))</f>
        <v/>
      </c>
      <c r="BI145">
        <f>IF($V145="","",IFERROR(IF(ISNUMBER($V145),$V145,DATEVALUE(TRIM($V145))),""))</f>
        <v/>
      </c>
      <c r="BJ145">
        <f>IF($BI145="","",IF(MONTH($BI145)&gt;=12,"Cold Winter",IF(MONTH($BI145)&gt;=10,"Post-Monsoon",IF(MONTH($BI145)&gt;=6,"Hot Humid",IF(MONTH($BI145)&gt;=3,"Hot Dry","Cold Winter")))))</f>
        <v/>
      </c>
      <c r="BK145">
        <f>IF($BD145="","",IFERROR(VLOOKUP($BD145,DECODE!$A$3:$C$8,2,FALSE),"?"))</f>
        <v/>
      </c>
      <c r="BL145">
        <f>IF($Q145="","",UPPER(TRIM(LEFT($Q145&amp;",",FIND(",",$Q145&amp;",")-1))))</f>
        <v/>
      </c>
      <c r="BM145">
        <f>IF($BL145="","",MID($BL145,4,FIND("~",SUBSTITUTE($BL145,"-","~",2))-4))</f>
        <v/>
      </c>
      <c r="BN145">
        <f>IF($BL145="","",MID($BL145,FIND("~",SUBSTITUTE($BL145,"-","~",2))+1,FIND("~",SUBSTITUTE($BL145,"-","~",3))-FIND("~",SUBSTITUTE($BL145,"-","~",2))-1))</f>
        <v/>
      </c>
      <c r="BO145">
        <f>IF($BM145="","",IFERROR(VLOOKUP($BM145,DECODE!$A$3:$C$8,3,FALSE),"?"))</f>
        <v/>
      </c>
      <c r="BP145">
        <f>IF($BN145="","",IFERROR(VLOOKUP($BM145&amp;"-"&amp;$BN145,DECODE!$E$3:$F$21,2,FALSE),"?"))</f>
        <v/>
      </c>
      <c r="BQ145">
        <f>IF($BL145="","",IFERROR(VALUE(RIGHT($BL145,3)),""))</f>
        <v/>
      </c>
      <c r="BR145">
        <f>IF($W145="","",IFERROR(IF(ISNUMBER($W145),$W145,DATEVALUE(TRIM($W145))),""))</f>
        <v/>
      </c>
      <c r="BS145">
        <f>IF($BR145="","",IF(MONTH($BR145)&gt;=12,"Cold Winter",IF(MONTH($BR145)&gt;=10,"Post-Monsoon",IF(MONTH($BR145)&gt;=6,"Hot Humid",IF(MONTH($BR145)&gt;=3,"Hot Dry","Cold Winter")))))</f>
        <v/>
      </c>
      <c r="BT145">
        <f>IF($BM145="","",IFERROR(VLOOKUP($BM145,DECODE!$A$3:$C$8,2,FALSE),"?"))</f>
        <v/>
      </c>
      <c r="BU145">
        <f>IF($R145="","",UPPER(TRIM(LEFT($R145&amp;",",FIND(",",$R145&amp;",")-1))))</f>
        <v/>
      </c>
      <c r="BV145">
        <f>IF($BU145="","",MID($BU145,4,FIND("~",SUBSTITUTE($BU145,"-","~",2))-4))</f>
        <v/>
      </c>
      <c r="BW145">
        <f>IF($BU145="","",MID($BU145,FIND("~",SUBSTITUTE($BU145,"-","~",2))+1,FIND("~",SUBSTITUTE($BU145,"-","~",3))-FIND("~",SUBSTITUTE($BU145,"-","~",2))-1))</f>
        <v/>
      </c>
      <c r="BX145">
        <f>IF($BV145="","",IFERROR(VLOOKUP($BV145,DECODE!$A$3:$C$8,3,FALSE),"?"))</f>
        <v/>
      </c>
      <c r="BY145">
        <f>IF($BW145="","",IFERROR(VLOOKUP($BV145&amp;"-"&amp;$BW145,DECODE!$E$3:$F$21,2,FALSE),"?"))</f>
        <v/>
      </c>
      <c r="BZ145">
        <f>IF($BU145="","",IFERROR(VALUE(RIGHT($BU145,3)),""))</f>
        <v/>
      </c>
      <c r="CA145">
        <f>IF($X145="","",IFERROR(IF(ISNUMBER($X145),$X145,DATEVALUE(TRIM($X145))),""))</f>
        <v/>
      </c>
      <c r="CB145">
        <f>IF($CA145="","",IF(MONTH($CA145)&gt;=12,"Cold Winter",IF(MONTH($CA145)&gt;=10,"Post-Monsoon",IF(MONTH($CA145)&gt;=6,"Hot Humid",IF(MONTH($CA145)&gt;=3,"Hot Dry","Cold Winter")))))</f>
        <v/>
      </c>
      <c r="CC145">
        <f>IF($BV145="","",IFERROR(VLOOKUP($BV145,DECODE!$A$3:$C$8,2,FALSE),"?"))</f>
        <v/>
      </c>
      <c r="CD145">
        <f>IF($S145="","",UPPER(TRIM(LEFT($S145&amp;",",FIND(",",$S145&amp;",")-1))))</f>
        <v/>
      </c>
      <c r="CE145">
        <f>IF($CD145="","",MID($CD145,4,FIND("~",SUBSTITUTE($CD145,"-","~",2))-4))</f>
        <v/>
      </c>
      <c r="CF145">
        <f>IF($CD145="","",MID($CD145,FIND("~",SUBSTITUTE($CD145,"-","~",2))+1,FIND("~",SUBSTITUTE($CD145,"-","~",3))-FIND("~",SUBSTITUTE($CD145,"-","~",2))-1))</f>
        <v/>
      </c>
      <c r="CG145">
        <f>IF($CE145="","",IFERROR(VLOOKUP($CE145,DECODE!$A$3:$C$8,3,FALSE),"?"))</f>
        <v/>
      </c>
      <c r="CH145">
        <f>IF($CF145="","",IFERROR(VLOOKUP($CE145&amp;"-"&amp;$CF145,DECODE!$E$3:$F$21,2,FALSE),"?"))</f>
        <v/>
      </c>
      <c r="CI145">
        <f>IF($CD145="","",IFERROR(VALUE(RIGHT($CD145,3)),""))</f>
        <v/>
      </c>
      <c r="CJ145">
        <f>IF($Y145="","",IFERROR(IF(ISNUMBER($Y145),$Y145,DATEVALUE(TRIM($Y145))),""))</f>
        <v/>
      </c>
      <c r="CK145">
        <f>IF($CJ145="","",IF(MONTH($CJ145)&gt;=12,"Cold Winter",IF(MONTH($CJ145)&gt;=10,"Post-Monsoon",IF(MONTH($CJ145)&gt;=6,"Hot Humid",IF(MONTH($CJ145)&gt;=3,"Hot Dry","Cold Winter")))))</f>
        <v/>
      </c>
      <c r="CL145">
        <f>IF($CE145="","",IFERROR(VLOOKUP($CE145,DECODE!$A$3:$C$8,2,FALSE),"?"))</f>
        <v/>
      </c>
      <c r="CM145">
        <f>IF($AN145="","",AN145)</f>
        <v/>
      </c>
      <c r="CN145">
        <f>IF($AO145="","",AO145)</f>
        <v/>
      </c>
      <c r="CO145">
        <f>IF($AP145="","",AP145)</f>
        <v/>
      </c>
      <c r="CP145">
        <f>IF($CM145="","",IF($CM145="Aloe Vera Gel","Aloe Vera Gel "&amp;$CO145&amp;"g",CN145&amp;" "&amp;$CO145&amp;"g"))</f>
        <v/>
      </c>
      <c r="CQ145">
        <f>IF($AT145="",0,1)</f>
        <v/>
      </c>
      <c r="CR145">
        <f>IF($CQ145=0,"",AW145)</f>
        <v/>
      </c>
      <c r="CS145">
        <f>IF($CQ145=0,"",AX145)</f>
        <v/>
      </c>
      <c r="CT145">
        <f>IF($CQ145=0,"",AY145)</f>
        <v/>
      </c>
      <c r="CU145">
        <f>IF($CR145="","",IF($CR145="Aloe Vera Gel","Aloe Vera Gel "&amp;$CT145&amp;"g",CS145&amp;" "&amp;$CT145&amp;"g"))</f>
        <v/>
      </c>
      <c r="CV145">
        <f>IF($CQ145=0,"",IF($CP145=$CU145,"Repeat Exact",IF($CT145&gt;$CO145,"Upsized",IF($CT145&lt;$CO145,"Downsized",IF($CM145&lt;&gt;$CR145,"Lateral","Same Size Diff Variant")))))</f>
        <v/>
      </c>
      <c r="CW145">
        <f>IF($CQ145=0,"",AZ145-AQ145)</f>
        <v/>
      </c>
      <c r="CX145">
        <f>IF($CQ145=0,0,IF(CS145=CN145,1,0))</f>
        <v/>
      </c>
      <c r="CY145">
        <f>IF($CQ145=0,0,IF(CR145=CM145,1,0))</f>
        <v/>
      </c>
      <c r="CZ145">
        <f>IF($A145="","",IF(AND(IF(DASHBOARD!$C$4="All",TRUE,$CM145=DASHBOARD!$C$4),IF(DASHBOARD!$C$6="All",TRUE,$CP145=DASHBOARD!$C$6),IF(DASHBOARD!$C$8="All",TRUE,$AF145&gt;=DASHBOARD!$C$8),IF(DASHBOARD!$C$10="All",TRUE,$AF145&lt;=DASHBOARD!$C$10),IF(DASHBOARD!$C$12="All",TRUE,$AH145=VALUE(DASHBOARD!$C$12)),IF(DASHBOARD!$C$14="All",TRUE,$AJ145=DASHBOARD!$C$14)),1,0))</f>
        <v/>
      </c>
    </row>
    <row r="146">
      <c r="A146" t="n">
        <v>111534</v>
      </c>
      <c r="B146" t="inlineStr">
        <is>
          <t>Face Malai</t>
        </is>
      </c>
      <c r="H146" t="inlineStr">
        <is>
          <t>Clove Tea-Tree (Anti-Acne) Face Malai</t>
        </is>
      </c>
      <c r="N146" t="inlineStr">
        <is>
          <t>FC-DM-AA-030</t>
        </is>
      </c>
      <c r="T146" t="inlineStr">
        <is>
          <t>Mar 12, 2025</t>
        </is>
      </c>
      <c r="AE146" t="inlineStr">
        <is>
          <t>Bengaluru</t>
        </is>
      </c>
      <c r="AF146" t="inlineStr">
        <is>
          <t>2025-03</t>
        </is>
      </c>
      <c r="AG146" t="n">
        <v>3</v>
      </c>
      <c r="AH146" t="n">
        <v>1</v>
      </c>
      <c r="AI146" t="n">
        <v>0</v>
      </c>
      <c r="AJ146">
        <f>IF($AE146="","",IFERROR(VLOOKUP(TRIM($AE146),DECODE!$H$3:$I$60,2,FALSE),"Rest of India"))</f>
        <v/>
      </c>
      <c r="AK146">
        <f>IF($N146="","",UPPER(TRIM(LEFT($N146&amp;",",FIND(",",$N146&amp;",")-1))))</f>
        <v/>
      </c>
      <c r="AL146">
        <f>IF($AK146="","",MID($AK146,4,FIND("~",SUBSTITUTE($AK146,"-","~",2))-4))</f>
        <v/>
      </c>
      <c r="AM146">
        <f>IF($AK146="","",MID($AK146,FIND("~",SUBSTITUTE($AK146,"-","~",2))+1,FIND("~",SUBSTITUTE($AK146,"-","~",3))-FIND("~",SUBSTITUTE($AK146,"-","~",2))-1))</f>
        <v/>
      </c>
      <c r="AN146">
        <f>IF($AL146="","",IFERROR(VLOOKUP($AL146,DECODE!$A$3:$C$8,3,FALSE),"?"))</f>
        <v/>
      </c>
      <c r="AO146">
        <f>IF($AM146="","",IFERROR(VLOOKUP($AL146&amp;"-"&amp;$AM146,DECODE!$E$3:$F$21,2,FALSE),"?"))</f>
        <v/>
      </c>
      <c r="AP146">
        <f>IF($AK146="","",IFERROR(VALUE(RIGHT($AK146,3)),""))</f>
        <v/>
      </c>
      <c r="AQ146">
        <f>IF($T146="","",IFERROR(IF(ISNUMBER($T146),$T146,DATEVALUE(TRIM($T146))),""))</f>
        <v/>
      </c>
      <c r="AR146">
        <f>IF($AQ146="","",IF(MONTH($AQ146)&gt;=12,"Cold Winter",IF(MONTH($AQ146)&gt;=10,"Post-Monsoon",IF(MONTH($AQ146)&gt;=6,"Hot Humid",IF(MONTH($AQ146)&gt;=3,"Hot Dry","Cold Winter")))))</f>
        <v/>
      </c>
      <c r="AS146">
        <f>IF($AL146="","",IFERROR(VLOOKUP($AL146,DECODE!$A$3:$C$8,2,FALSE),"?"))</f>
        <v/>
      </c>
      <c r="AT146">
        <f>IF($O146="","",UPPER(TRIM(LEFT($O146&amp;",",FIND(",",$O146&amp;",")-1))))</f>
        <v/>
      </c>
      <c r="AU146">
        <f>IF($AT146="","",MID($AT146,4,FIND("~",SUBSTITUTE($AT146,"-","~",2))-4))</f>
        <v/>
      </c>
      <c r="AV146">
        <f>IF($AT146="","",MID($AT146,FIND("~",SUBSTITUTE($AT146,"-","~",2))+1,FIND("~",SUBSTITUTE($AT146,"-","~",3))-FIND("~",SUBSTITUTE($AT146,"-","~",2))-1))</f>
        <v/>
      </c>
      <c r="AW146">
        <f>IF($AU146="","",IFERROR(VLOOKUP($AU146,DECODE!$A$3:$C$8,3,FALSE),"?"))</f>
        <v/>
      </c>
      <c r="AX146">
        <f>IF($AV146="","",IFERROR(VLOOKUP($AU146&amp;"-"&amp;$AV146,DECODE!$E$3:$F$21,2,FALSE),"?"))</f>
        <v/>
      </c>
      <c r="AY146">
        <f>IF($AT146="","",IFERROR(VALUE(RIGHT($AT146,3)),""))</f>
        <v/>
      </c>
      <c r="AZ146">
        <f>IF($U146="","",IFERROR(IF(ISNUMBER($U146),$U146,DATEVALUE(TRIM($U146))),""))</f>
        <v/>
      </c>
      <c r="BA146">
        <f>IF($AZ146="","",IF(MONTH($AZ146)&gt;=12,"Cold Winter",IF(MONTH($AZ146)&gt;=10,"Post-Monsoon",IF(MONTH($AZ146)&gt;=6,"Hot Humid",IF(MONTH($AZ146)&gt;=3,"Hot Dry","Cold Winter")))))</f>
        <v/>
      </c>
      <c r="BB146">
        <f>IF($AU146="","",IFERROR(VLOOKUP($AU146,DECODE!$A$3:$C$8,2,FALSE),"?"))</f>
        <v/>
      </c>
      <c r="BC146">
        <f>IF($P146="","",UPPER(TRIM(LEFT($P146&amp;",",FIND(",",$P146&amp;",")-1))))</f>
        <v/>
      </c>
      <c r="BD146">
        <f>IF($BC146="","",MID($BC146,4,FIND("~",SUBSTITUTE($BC146,"-","~",2))-4))</f>
        <v/>
      </c>
      <c r="BE146">
        <f>IF($BC146="","",MID($BC146,FIND("~",SUBSTITUTE($BC146,"-","~",2))+1,FIND("~",SUBSTITUTE($BC146,"-","~",3))-FIND("~",SUBSTITUTE($BC146,"-","~",2))-1))</f>
        <v/>
      </c>
      <c r="BF146">
        <f>IF($BD146="","",IFERROR(VLOOKUP($BD146,DECODE!$A$3:$C$8,3,FALSE),"?"))</f>
        <v/>
      </c>
      <c r="BG146">
        <f>IF($BE146="","",IFERROR(VLOOKUP($BD146&amp;"-"&amp;$BE146,DECODE!$E$3:$F$21,2,FALSE),"?"))</f>
        <v/>
      </c>
      <c r="BH146">
        <f>IF($BC146="","",IFERROR(VALUE(RIGHT($BC146,3)),""))</f>
        <v/>
      </c>
      <c r="BI146">
        <f>IF($V146="","",IFERROR(IF(ISNUMBER($V146),$V146,DATEVALUE(TRIM($V146))),""))</f>
        <v/>
      </c>
      <c r="BJ146">
        <f>IF($BI146="","",IF(MONTH($BI146)&gt;=12,"Cold Winter",IF(MONTH($BI146)&gt;=10,"Post-Monsoon",IF(MONTH($BI146)&gt;=6,"Hot Humid",IF(MONTH($BI146)&gt;=3,"Hot Dry","Cold Winter")))))</f>
        <v/>
      </c>
      <c r="BK146">
        <f>IF($BD146="","",IFERROR(VLOOKUP($BD146,DECODE!$A$3:$C$8,2,FALSE),"?"))</f>
        <v/>
      </c>
      <c r="BL146">
        <f>IF($Q146="","",UPPER(TRIM(LEFT($Q146&amp;",",FIND(",",$Q146&amp;",")-1))))</f>
        <v/>
      </c>
      <c r="BM146">
        <f>IF($BL146="","",MID($BL146,4,FIND("~",SUBSTITUTE($BL146,"-","~",2))-4))</f>
        <v/>
      </c>
      <c r="BN146">
        <f>IF($BL146="","",MID($BL146,FIND("~",SUBSTITUTE($BL146,"-","~",2))+1,FIND("~",SUBSTITUTE($BL146,"-","~",3))-FIND("~",SUBSTITUTE($BL146,"-","~",2))-1))</f>
        <v/>
      </c>
      <c r="BO146">
        <f>IF($BM146="","",IFERROR(VLOOKUP($BM146,DECODE!$A$3:$C$8,3,FALSE),"?"))</f>
        <v/>
      </c>
      <c r="BP146">
        <f>IF($BN146="","",IFERROR(VLOOKUP($BM146&amp;"-"&amp;$BN146,DECODE!$E$3:$F$21,2,FALSE),"?"))</f>
        <v/>
      </c>
      <c r="BQ146">
        <f>IF($BL146="","",IFERROR(VALUE(RIGHT($BL146,3)),""))</f>
        <v/>
      </c>
      <c r="BR146">
        <f>IF($W146="","",IFERROR(IF(ISNUMBER($W146),$W146,DATEVALUE(TRIM($W146))),""))</f>
        <v/>
      </c>
      <c r="BS146">
        <f>IF($BR146="","",IF(MONTH($BR146)&gt;=12,"Cold Winter",IF(MONTH($BR146)&gt;=10,"Post-Monsoon",IF(MONTH($BR146)&gt;=6,"Hot Humid",IF(MONTH($BR146)&gt;=3,"Hot Dry","Cold Winter")))))</f>
        <v/>
      </c>
      <c r="BT146">
        <f>IF($BM146="","",IFERROR(VLOOKUP($BM146,DECODE!$A$3:$C$8,2,FALSE),"?"))</f>
        <v/>
      </c>
      <c r="BU146">
        <f>IF($R146="","",UPPER(TRIM(LEFT($R146&amp;",",FIND(",",$R146&amp;",")-1))))</f>
        <v/>
      </c>
      <c r="BV146">
        <f>IF($BU146="","",MID($BU146,4,FIND("~",SUBSTITUTE($BU146,"-","~",2))-4))</f>
        <v/>
      </c>
      <c r="BW146">
        <f>IF($BU146="","",MID($BU146,FIND("~",SUBSTITUTE($BU146,"-","~",2))+1,FIND("~",SUBSTITUTE($BU146,"-","~",3))-FIND("~",SUBSTITUTE($BU146,"-","~",2))-1))</f>
        <v/>
      </c>
      <c r="BX146">
        <f>IF($BV146="","",IFERROR(VLOOKUP($BV146,DECODE!$A$3:$C$8,3,FALSE),"?"))</f>
        <v/>
      </c>
      <c r="BY146">
        <f>IF($BW146="","",IFERROR(VLOOKUP($BV146&amp;"-"&amp;$BW146,DECODE!$E$3:$F$21,2,FALSE),"?"))</f>
        <v/>
      </c>
      <c r="BZ146">
        <f>IF($BU146="","",IFERROR(VALUE(RIGHT($BU146,3)),""))</f>
        <v/>
      </c>
      <c r="CA146">
        <f>IF($X146="","",IFERROR(IF(ISNUMBER($X146),$X146,DATEVALUE(TRIM($X146))),""))</f>
        <v/>
      </c>
      <c r="CB146">
        <f>IF($CA146="","",IF(MONTH($CA146)&gt;=12,"Cold Winter",IF(MONTH($CA146)&gt;=10,"Post-Monsoon",IF(MONTH($CA146)&gt;=6,"Hot Humid",IF(MONTH($CA146)&gt;=3,"Hot Dry","Cold Winter")))))</f>
        <v/>
      </c>
      <c r="CC146">
        <f>IF($BV146="","",IFERROR(VLOOKUP($BV146,DECODE!$A$3:$C$8,2,FALSE),"?"))</f>
        <v/>
      </c>
      <c r="CD146">
        <f>IF($S146="","",UPPER(TRIM(LEFT($S146&amp;",",FIND(",",$S146&amp;",")-1))))</f>
        <v/>
      </c>
      <c r="CE146">
        <f>IF($CD146="","",MID($CD146,4,FIND("~",SUBSTITUTE($CD146,"-","~",2))-4))</f>
        <v/>
      </c>
      <c r="CF146">
        <f>IF($CD146="","",MID($CD146,FIND("~",SUBSTITUTE($CD146,"-","~",2))+1,FIND("~",SUBSTITUTE($CD146,"-","~",3))-FIND("~",SUBSTITUTE($CD146,"-","~",2))-1))</f>
        <v/>
      </c>
      <c r="CG146">
        <f>IF($CE146="","",IFERROR(VLOOKUP($CE146,DECODE!$A$3:$C$8,3,FALSE),"?"))</f>
        <v/>
      </c>
      <c r="CH146">
        <f>IF($CF146="","",IFERROR(VLOOKUP($CE146&amp;"-"&amp;$CF146,DECODE!$E$3:$F$21,2,FALSE),"?"))</f>
        <v/>
      </c>
      <c r="CI146">
        <f>IF($CD146="","",IFERROR(VALUE(RIGHT($CD146,3)),""))</f>
        <v/>
      </c>
      <c r="CJ146">
        <f>IF($Y146="","",IFERROR(IF(ISNUMBER($Y146),$Y146,DATEVALUE(TRIM($Y146))),""))</f>
        <v/>
      </c>
      <c r="CK146">
        <f>IF($CJ146="","",IF(MONTH($CJ146)&gt;=12,"Cold Winter",IF(MONTH($CJ146)&gt;=10,"Post-Monsoon",IF(MONTH($CJ146)&gt;=6,"Hot Humid",IF(MONTH($CJ146)&gt;=3,"Hot Dry","Cold Winter")))))</f>
        <v/>
      </c>
      <c r="CL146">
        <f>IF($CE146="","",IFERROR(VLOOKUP($CE146,DECODE!$A$3:$C$8,2,FALSE),"?"))</f>
        <v/>
      </c>
      <c r="CM146">
        <f>IF($AN146="","",AN146)</f>
        <v/>
      </c>
      <c r="CN146">
        <f>IF($AO146="","",AO146)</f>
        <v/>
      </c>
      <c r="CO146">
        <f>IF($AP146="","",AP146)</f>
        <v/>
      </c>
      <c r="CP146">
        <f>IF($CM146="","",IF($CM146="Aloe Vera Gel","Aloe Vera Gel "&amp;$CO146&amp;"g",CN146&amp;" "&amp;$CO146&amp;"g"))</f>
        <v/>
      </c>
      <c r="CQ146">
        <f>IF($AT146="",0,1)</f>
        <v/>
      </c>
      <c r="CR146">
        <f>IF($CQ146=0,"",AW146)</f>
        <v/>
      </c>
      <c r="CS146">
        <f>IF($CQ146=0,"",AX146)</f>
        <v/>
      </c>
      <c r="CT146">
        <f>IF($CQ146=0,"",AY146)</f>
        <v/>
      </c>
      <c r="CU146">
        <f>IF($CR146="","",IF($CR146="Aloe Vera Gel","Aloe Vera Gel "&amp;$CT146&amp;"g",CS146&amp;" "&amp;$CT146&amp;"g"))</f>
        <v/>
      </c>
      <c r="CV146">
        <f>IF($CQ146=0,"",IF($CP146=$CU146,"Repeat Exact",IF($CT146&gt;$CO146,"Upsized",IF($CT146&lt;$CO146,"Downsized",IF($CM146&lt;&gt;$CR146,"Lateral","Same Size Diff Variant")))))</f>
        <v/>
      </c>
      <c r="CW146">
        <f>IF($CQ146=0,"",AZ146-AQ146)</f>
        <v/>
      </c>
      <c r="CX146">
        <f>IF($CQ146=0,0,IF(CS146=CN146,1,0))</f>
        <v/>
      </c>
      <c r="CY146">
        <f>IF($CQ146=0,0,IF(CR146=CM146,1,0))</f>
        <v/>
      </c>
      <c r="CZ146">
        <f>IF($A146="","",IF(AND(IF(DASHBOARD!$C$4="All",TRUE,$CM146=DASHBOARD!$C$4),IF(DASHBOARD!$C$6="All",TRUE,$CP146=DASHBOARD!$C$6),IF(DASHBOARD!$C$8="All",TRUE,$AF146&gt;=DASHBOARD!$C$8),IF(DASHBOARD!$C$10="All",TRUE,$AF146&lt;=DASHBOARD!$C$10),IF(DASHBOARD!$C$12="All",TRUE,$AH146=VALUE(DASHBOARD!$C$12)),IF(DASHBOARD!$C$14="All",TRUE,$AJ146=DASHBOARD!$C$14)),1,0))</f>
        <v/>
      </c>
    </row>
    <row r="147">
      <c r="A147" t="n">
        <v>111607</v>
      </c>
      <c r="B147" t="inlineStr">
        <is>
          <t>Face Malai</t>
        </is>
      </c>
      <c r="H147" t="inlineStr">
        <is>
          <t>Tomato Vetiver (Hot Humid) 20 - 35 Yrs Face Malai</t>
        </is>
      </c>
      <c r="N147" t="inlineStr">
        <is>
          <t>FC-HHDM-TV-030</t>
        </is>
      </c>
      <c r="T147" t="inlineStr">
        <is>
          <t>Jul 14, 2024</t>
        </is>
      </c>
      <c r="AE147" t="inlineStr">
        <is>
          <t>Ahmedabad</t>
        </is>
      </c>
      <c r="AF147" t="inlineStr">
        <is>
          <t>2024-07</t>
        </is>
      </c>
      <c r="AG147" t="n">
        <v>7</v>
      </c>
      <c r="AH147" t="n">
        <v>1</v>
      </c>
      <c r="AI147" t="n">
        <v>0</v>
      </c>
      <c r="AJ147">
        <f>IF($AE147="","",IFERROR(VLOOKUP(TRIM($AE147),DECODE!$H$3:$I$60,2,FALSE),"Rest of India"))</f>
        <v/>
      </c>
      <c r="AK147">
        <f>IF($N147="","",UPPER(TRIM(LEFT($N147&amp;",",FIND(",",$N147&amp;",")-1))))</f>
        <v/>
      </c>
      <c r="AL147">
        <f>IF($AK147="","",MID($AK147,4,FIND("~",SUBSTITUTE($AK147,"-","~",2))-4))</f>
        <v/>
      </c>
      <c r="AM147">
        <f>IF($AK147="","",MID($AK147,FIND("~",SUBSTITUTE($AK147,"-","~",2))+1,FIND("~",SUBSTITUTE($AK147,"-","~",3))-FIND("~",SUBSTITUTE($AK147,"-","~",2))-1))</f>
        <v/>
      </c>
      <c r="AN147">
        <f>IF($AL147="","",IFERROR(VLOOKUP($AL147,DECODE!$A$3:$C$8,3,FALSE),"?"))</f>
        <v/>
      </c>
      <c r="AO147">
        <f>IF($AM147="","",IFERROR(VLOOKUP($AL147&amp;"-"&amp;$AM147,DECODE!$E$3:$F$21,2,FALSE),"?"))</f>
        <v/>
      </c>
      <c r="AP147">
        <f>IF($AK147="","",IFERROR(VALUE(RIGHT($AK147,3)),""))</f>
        <v/>
      </c>
      <c r="AQ147">
        <f>IF($T147="","",IFERROR(IF(ISNUMBER($T147),$T147,DATEVALUE(TRIM($T147))),""))</f>
        <v/>
      </c>
      <c r="AR147">
        <f>IF($AQ147="","",IF(MONTH($AQ147)&gt;=12,"Cold Winter",IF(MONTH($AQ147)&gt;=10,"Post-Monsoon",IF(MONTH($AQ147)&gt;=6,"Hot Humid",IF(MONTH($AQ147)&gt;=3,"Hot Dry","Cold Winter")))))</f>
        <v/>
      </c>
      <c r="AS147">
        <f>IF($AL147="","",IFERROR(VLOOKUP($AL147,DECODE!$A$3:$C$8,2,FALSE),"?"))</f>
        <v/>
      </c>
      <c r="AT147">
        <f>IF($O147="","",UPPER(TRIM(LEFT($O147&amp;",",FIND(",",$O147&amp;",")-1))))</f>
        <v/>
      </c>
      <c r="AU147">
        <f>IF($AT147="","",MID($AT147,4,FIND("~",SUBSTITUTE($AT147,"-","~",2))-4))</f>
        <v/>
      </c>
      <c r="AV147">
        <f>IF($AT147="","",MID($AT147,FIND("~",SUBSTITUTE($AT147,"-","~",2))+1,FIND("~",SUBSTITUTE($AT147,"-","~",3))-FIND("~",SUBSTITUTE($AT147,"-","~",2))-1))</f>
        <v/>
      </c>
      <c r="AW147">
        <f>IF($AU147="","",IFERROR(VLOOKUP($AU147,DECODE!$A$3:$C$8,3,FALSE),"?"))</f>
        <v/>
      </c>
      <c r="AX147">
        <f>IF($AV147="","",IFERROR(VLOOKUP($AU147&amp;"-"&amp;$AV147,DECODE!$E$3:$F$21,2,FALSE),"?"))</f>
        <v/>
      </c>
      <c r="AY147">
        <f>IF($AT147="","",IFERROR(VALUE(RIGHT($AT147,3)),""))</f>
        <v/>
      </c>
      <c r="AZ147">
        <f>IF($U147="","",IFERROR(IF(ISNUMBER($U147),$U147,DATEVALUE(TRIM($U147))),""))</f>
        <v/>
      </c>
      <c r="BA147">
        <f>IF($AZ147="","",IF(MONTH($AZ147)&gt;=12,"Cold Winter",IF(MONTH($AZ147)&gt;=10,"Post-Monsoon",IF(MONTH($AZ147)&gt;=6,"Hot Humid",IF(MONTH($AZ147)&gt;=3,"Hot Dry","Cold Winter")))))</f>
        <v/>
      </c>
      <c r="BB147">
        <f>IF($AU147="","",IFERROR(VLOOKUP($AU147,DECODE!$A$3:$C$8,2,FALSE),"?"))</f>
        <v/>
      </c>
      <c r="BC147">
        <f>IF($P147="","",UPPER(TRIM(LEFT($P147&amp;",",FIND(",",$P147&amp;",")-1))))</f>
        <v/>
      </c>
      <c r="BD147">
        <f>IF($BC147="","",MID($BC147,4,FIND("~",SUBSTITUTE($BC147,"-","~",2))-4))</f>
        <v/>
      </c>
      <c r="BE147">
        <f>IF($BC147="","",MID($BC147,FIND("~",SUBSTITUTE($BC147,"-","~",2))+1,FIND("~",SUBSTITUTE($BC147,"-","~",3))-FIND("~",SUBSTITUTE($BC147,"-","~",2))-1))</f>
        <v/>
      </c>
      <c r="BF147">
        <f>IF($BD147="","",IFERROR(VLOOKUP($BD147,DECODE!$A$3:$C$8,3,FALSE),"?"))</f>
        <v/>
      </c>
      <c r="BG147">
        <f>IF($BE147="","",IFERROR(VLOOKUP($BD147&amp;"-"&amp;$BE147,DECODE!$E$3:$F$21,2,FALSE),"?"))</f>
        <v/>
      </c>
      <c r="BH147">
        <f>IF($BC147="","",IFERROR(VALUE(RIGHT($BC147,3)),""))</f>
        <v/>
      </c>
      <c r="BI147">
        <f>IF($V147="","",IFERROR(IF(ISNUMBER($V147),$V147,DATEVALUE(TRIM($V147))),""))</f>
        <v/>
      </c>
      <c r="BJ147">
        <f>IF($BI147="","",IF(MONTH($BI147)&gt;=12,"Cold Winter",IF(MONTH($BI147)&gt;=10,"Post-Monsoon",IF(MONTH($BI147)&gt;=6,"Hot Humid",IF(MONTH($BI147)&gt;=3,"Hot Dry","Cold Winter")))))</f>
        <v/>
      </c>
      <c r="BK147">
        <f>IF($BD147="","",IFERROR(VLOOKUP($BD147,DECODE!$A$3:$C$8,2,FALSE),"?"))</f>
        <v/>
      </c>
      <c r="BL147">
        <f>IF($Q147="","",UPPER(TRIM(LEFT($Q147&amp;",",FIND(",",$Q147&amp;",")-1))))</f>
        <v/>
      </c>
      <c r="BM147">
        <f>IF($BL147="","",MID($BL147,4,FIND("~",SUBSTITUTE($BL147,"-","~",2))-4))</f>
        <v/>
      </c>
      <c r="BN147">
        <f>IF($BL147="","",MID($BL147,FIND("~",SUBSTITUTE($BL147,"-","~",2))+1,FIND("~",SUBSTITUTE($BL147,"-","~",3))-FIND("~",SUBSTITUTE($BL147,"-","~",2))-1))</f>
        <v/>
      </c>
      <c r="BO147">
        <f>IF($BM147="","",IFERROR(VLOOKUP($BM147,DECODE!$A$3:$C$8,3,FALSE),"?"))</f>
        <v/>
      </c>
      <c r="BP147">
        <f>IF($BN147="","",IFERROR(VLOOKUP($BM147&amp;"-"&amp;$BN147,DECODE!$E$3:$F$21,2,FALSE),"?"))</f>
        <v/>
      </c>
      <c r="BQ147">
        <f>IF($BL147="","",IFERROR(VALUE(RIGHT($BL147,3)),""))</f>
        <v/>
      </c>
      <c r="BR147">
        <f>IF($W147="","",IFERROR(IF(ISNUMBER($W147),$W147,DATEVALUE(TRIM($W147))),""))</f>
        <v/>
      </c>
      <c r="BS147">
        <f>IF($BR147="","",IF(MONTH($BR147)&gt;=12,"Cold Winter",IF(MONTH($BR147)&gt;=10,"Post-Monsoon",IF(MONTH($BR147)&gt;=6,"Hot Humid",IF(MONTH($BR147)&gt;=3,"Hot Dry","Cold Winter")))))</f>
        <v/>
      </c>
      <c r="BT147">
        <f>IF($BM147="","",IFERROR(VLOOKUP($BM147,DECODE!$A$3:$C$8,2,FALSE),"?"))</f>
        <v/>
      </c>
      <c r="BU147">
        <f>IF($R147="","",UPPER(TRIM(LEFT($R147&amp;",",FIND(",",$R147&amp;",")-1))))</f>
        <v/>
      </c>
      <c r="BV147">
        <f>IF($BU147="","",MID($BU147,4,FIND("~",SUBSTITUTE($BU147,"-","~",2))-4))</f>
        <v/>
      </c>
      <c r="BW147">
        <f>IF($BU147="","",MID($BU147,FIND("~",SUBSTITUTE($BU147,"-","~",2))+1,FIND("~",SUBSTITUTE($BU147,"-","~",3))-FIND("~",SUBSTITUTE($BU147,"-","~",2))-1))</f>
        <v/>
      </c>
      <c r="BX147">
        <f>IF($BV147="","",IFERROR(VLOOKUP($BV147,DECODE!$A$3:$C$8,3,FALSE),"?"))</f>
        <v/>
      </c>
      <c r="BY147">
        <f>IF($BW147="","",IFERROR(VLOOKUP($BV147&amp;"-"&amp;$BW147,DECODE!$E$3:$F$21,2,FALSE),"?"))</f>
        <v/>
      </c>
      <c r="BZ147">
        <f>IF($BU147="","",IFERROR(VALUE(RIGHT($BU147,3)),""))</f>
        <v/>
      </c>
      <c r="CA147">
        <f>IF($X147="","",IFERROR(IF(ISNUMBER($X147),$X147,DATEVALUE(TRIM($X147))),""))</f>
        <v/>
      </c>
      <c r="CB147">
        <f>IF($CA147="","",IF(MONTH($CA147)&gt;=12,"Cold Winter",IF(MONTH($CA147)&gt;=10,"Post-Monsoon",IF(MONTH($CA147)&gt;=6,"Hot Humid",IF(MONTH($CA147)&gt;=3,"Hot Dry","Cold Winter")))))</f>
        <v/>
      </c>
      <c r="CC147">
        <f>IF($BV147="","",IFERROR(VLOOKUP($BV147,DECODE!$A$3:$C$8,2,FALSE),"?"))</f>
        <v/>
      </c>
      <c r="CD147">
        <f>IF($S147="","",UPPER(TRIM(LEFT($S147&amp;",",FIND(",",$S147&amp;",")-1))))</f>
        <v/>
      </c>
      <c r="CE147">
        <f>IF($CD147="","",MID($CD147,4,FIND("~",SUBSTITUTE($CD147,"-","~",2))-4))</f>
        <v/>
      </c>
      <c r="CF147">
        <f>IF($CD147="","",MID($CD147,FIND("~",SUBSTITUTE($CD147,"-","~",2))+1,FIND("~",SUBSTITUTE($CD147,"-","~",3))-FIND("~",SUBSTITUTE($CD147,"-","~",2))-1))</f>
        <v/>
      </c>
      <c r="CG147">
        <f>IF($CE147="","",IFERROR(VLOOKUP($CE147,DECODE!$A$3:$C$8,3,FALSE),"?"))</f>
        <v/>
      </c>
      <c r="CH147">
        <f>IF($CF147="","",IFERROR(VLOOKUP($CE147&amp;"-"&amp;$CF147,DECODE!$E$3:$F$21,2,FALSE),"?"))</f>
        <v/>
      </c>
      <c r="CI147">
        <f>IF($CD147="","",IFERROR(VALUE(RIGHT($CD147,3)),""))</f>
        <v/>
      </c>
      <c r="CJ147">
        <f>IF($Y147="","",IFERROR(IF(ISNUMBER($Y147),$Y147,DATEVALUE(TRIM($Y147))),""))</f>
        <v/>
      </c>
      <c r="CK147">
        <f>IF($CJ147="","",IF(MONTH($CJ147)&gt;=12,"Cold Winter",IF(MONTH($CJ147)&gt;=10,"Post-Monsoon",IF(MONTH($CJ147)&gt;=6,"Hot Humid",IF(MONTH($CJ147)&gt;=3,"Hot Dry","Cold Winter")))))</f>
        <v/>
      </c>
      <c r="CL147">
        <f>IF($CE147="","",IFERROR(VLOOKUP($CE147,DECODE!$A$3:$C$8,2,FALSE),"?"))</f>
        <v/>
      </c>
      <c r="CM147">
        <f>IF($AN147="","",AN147)</f>
        <v/>
      </c>
      <c r="CN147">
        <f>IF($AO147="","",AO147)</f>
        <v/>
      </c>
      <c r="CO147">
        <f>IF($AP147="","",AP147)</f>
        <v/>
      </c>
      <c r="CP147">
        <f>IF($CM147="","",IF($CM147="Aloe Vera Gel","Aloe Vera Gel "&amp;$CO147&amp;"g",CN147&amp;" "&amp;$CO147&amp;"g"))</f>
        <v/>
      </c>
      <c r="CQ147">
        <f>IF($AT147="",0,1)</f>
        <v/>
      </c>
      <c r="CR147">
        <f>IF($CQ147=0,"",AW147)</f>
        <v/>
      </c>
      <c r="CS147">
        <f>IF($CQ147=0,"",AX147)</f>
        <v/>
      </c>
      <c r="CT147">
        <f>IF($CQ147=0,"",AY147)</f>
        <v/>
      </c>
      <c r="CU147">
        <f>IF($CR147="","",IF($CR147="Aloe Vera Gel","Aloe Vera Gel "&amp;$CT147&amp;"g",CS147&amp;" "&amp;$CT147&amp;"g"))</f>
        <v/>
      </c>
      <c r="CV147">
        <f>IF($CQ147=0,"",IF($CP147=$CU147,"Repeat Exact",IF($CT147&gt;$CO147,"Upsized",IF($CT147&lt;$CO147,"Downsized",IF($CM147&lt;&gt;$CR147,"Lateral","Same Size Diff Variant")))))</f>
        <v/>
      </c>
      <c r="CW147">
        <f>IF($CQ147=0,"",AZ147-AQ147)</f>
        <v/>
      </c>
      <c r="CX147">
        <f>IF($CQ147=0,0,IF(CS147=CN147,1,0))</f>
        <v/>
      </c>
      <c r="CY147">
        <f>IF($CQ147=0,0,IF(CR147=CM147,1,0))</f>
        <v/>
      </c>
      <c r="CZ147">
        <f>IF($A147="","",IF(AND(IF(DASHBOARD!$C$4="All",TRUE,$CM147=DASHBOARD!$C$4),IF(DASHBOARD!$C$6="All",TRUE,$CP147=DASHBOARD!$C$6),IF(DASHBOARD!$C$8="All",TRUE,$AF147&gt;=DASHBOARD!$C$8),IF(DASHBOARD!$C$10="All",TRUE,$AF147&lt;=DASHBOARD!$C$10),IF(DASHBOARD!$C$12="All",TRUE,$AH147=VALUE(DASHBOARD!$C$12)),IF(DASHBOARD!$C$14="All",TRUE,$AJ147=DASHBOARD!$C$14)),1,0))</f>
        <v/>
      </c>
    </row>
    <row r="148">
      <c r="A148" t="n">
        <v>112093</v>
      </c>
      <c r="B148" t="inlineStr">
        <is>
          <t>Aloe Vera Gel</t>
        </is>
      </c>
      <c r="H148" t="inlineStr">
        <is>
          <t>Aloe Vera Gel - 40 gms</t>
        </is>
      </c>
      <c r="N148" t="inlineStr">
        <is>
          <t>FC-HG-PA-040</t>
        </is>
      </c>
      <c r="T148" t="inlineStr">
        <is>
          <t>Jan 7, 2025</t>
        </is>
      </c>
      <c r="AE148" t="inlineStr">
        <is>
          <t>Bhubaneswar</t>
        </is>
      </c>
      <c r="AF148" t="inlineStr">
        <is>
          <t>2025-01</t>
        </is>
      </c>
      <c r="AG148" t="n">
        <v>1</v>
      </c>
      <c r="AH148" t="n">
        <v>1</v>
      </c>
      <c r="AI148" t="n">
        <v>0</v>
      </c>
      <c r="AJ148">
        <f>IF($AE148="","",IFERROR(VLOOKUP(TRIM($AE148),DECODE!$H$3:$I$60,2,FALSE),"Rest of India"))</f>
        <v/>
      </c>
      <c r="AK148">
        <f>IF($N148="","",UPPER(TRIM(LEFT($N148&amp;",",FIND(",",$N148&amp;",")-1))))</f>
        <v/>
      </c>
      <c r="AL148">
        <f>IF($AK148="","",MID($AK148,4,FIND("~",SUBSTITUTE($AK148,"-","~",2))-4))</f>
        <v/>
      </c>
      <c r="AM148">
        <f>IF($AK148="","",MID($AK148,FIND("~",SUBSTITUTE($AK148,"-","~",2))+1,FIND("~",SUBSTITUTE($AK148,"-","~",3))-FIND("~",SUBSTITUTE($AK148,"-","~",2))-1))</f>
        <v/>
      </c>
      <c r="AN148">
        <f>IF($AL148="","",IFERROR(VLOOKUP($AL148,DECODE!$A$3:$C$8,3,FALSE),"?"))</f>
        <v/>
      </c>
      <c r="AO148">
        <f>IF($AM148="","",IFERROR(VLOOKUP($AL148&amp;"-"&amp;$AM148,DECODE!$E$3:$F$21,2,FALSE),"?"))</f>
        <v/>
      </c>
      <c r="AP148">
        <f>IF($AK148="","",IFERROR(VALUE(RIGHT($AK148,3)),""))</f>
        <v/>
      </c>
      <c r="AQ148">
        <f>IF($T148="","",IFERROR(IF(ISNUMBER($T148),$T148,DATEVALUE(TRIM($T148))),""))</f>
        <v/>
      </c>
      <c r="AR148">
        <f>IF($AQ148="","",IF(MONTH($AQ148)&gt;=12,"Cold Winter",IF(MONTH($AQ148)&gt;=10,"Post-Monsoon",IF(MONTH($AQ148)&gt;=6,"Hot Humid",IF(MONTH($AQ148)&gt;=3,"Hot Dry","Cold Winter")))))</f>
        <v/>
      </c>
      <c r="AS148">
        <f>IF($AL148="","",IFERROR(VLOOKUP($AL148,DECODE!$A$3:$C$8,2,FALSE),"?"))</f>
        <v/>
      </c>
      <c r="AT148">
        <f>IF($O148="","",UPPER(TRIM(LEFT($O148&amp;",",FIND(",",$O148&amp;",")-1))))</f>
        <v/>
      </c>
      <c r="AU148">
        <f>IF($AT148="","",MID($AT148,4,FIND("~",SUBSTITUTE($AT148,"-","~",2))-4))</f>
        <v/>
      </c>
      <c r="AV148">
        <f>IF($AT148="","",MID($AT148,FIND("~",SUBSTITUTE($AT148,"-","~",2))+1,FIND("~",SUBSTITUTE($AT148,"-","~",3))-FIND("~",SUBSTITUTE($AT148,"-","~",2))-1))</f>
        <v/>
      </c>
      <c r="AW148">
        <f>IF($AU148="","",IFERROR(VLOOKUP($AU148,DECODE!$A$3:$C$8,3,FALSE),"?"))</f>
        <v/>
      </c>
      <c r="AX148">
        <f>IF($AV148="","",IFERROR(VLOOKUP($AU148&amp;"-"&amp;$AV148,DECODE!$E$3:$F$21,2,FALSE),"?"))</f>
        <v/>
      </c>
      <c r="AY148">
        <f>IF($AT148="","",IFERROR(VALUE(RIGHT($AT148,3)),""))</f>
        <v/>
      </c>
      <c r="AZ148">
        <f>IF($U148="","",IFERROR(IF(ISNUMBER($U148),$U148,DATEVALUE(TRIM($U148))),""))</f>
        <v/>
      </c>
      <c r="BA148">
        <f>IF($AZ148="","",IF(MONTH($AZ148)&gt;=12,"Cold Winter",IF(MONTH($AZ148)&gt;=10,"Post-Monsoon",IF(MONTH($AZ148)&gt;=6,"Hot Humid",IF(MONTH($AZ148)&gt;=3,"Hot Dry","Cold Winter")))))</f>
        <v/>
      </c>
      <c r="BB148">
        <f>IF($AU148="","",IFERROR(VLOOKUP($AU148,DECODE!$A$3:$C$8,2,FALSE),"?"))</f>
        <v/>
      </c>
      <c r="BC148">
        <f>IF($P148="","",UPPER(TRIM(LEFT($P148&amp;",",FIND(",",$P148&amp;",")-1))))</f>
        <v/>
      </c>
      <c r="BD148">
        <f>IF($BC148="","",MID($BC148,4,FIND("~",SUBSTITUTE($BC148,"-","~",2))-4))</f>
        <v/>
      </c>
      <c r="BE148">
        <f>IF($BC148="","",MID($BC148,FIND("~",SUBSTITUTE($BC148,"-","~",2))+1,FIND("~",SUBSTITUTE($BC148,"-","~",3))-FIND("~",SUBSTITUTE($BC148,"-","~",2))-1))</f>
        <v/>
      </c>
      <c r="BF148">
        <f>IF($BD148="","",IFERROR(VLOOKUP($BD148,DECODE!$A$3:$C$8,3,FALSE),"?"))</f>
        <v/>
      </c>
      <c r="BG148">
        <f>IF($BE148="","",IFERROR(VLOOKUP($BD148&amp;"-"&amp;$BE148,DECODE!$E$3:$F$21,2,FALSE),"?"))</f>
        <v/>
      </c>
      <c r="BH148">
        <f>IF($BC148="","",IFERROR(VALUE(RIGHT($BC148,3)),""))</f>
        <v/>
      </c>
      <c r="BI148">
        <f>IF($V148="","",IFERROR(IF(ISNUMBER($V148),$V148,DATEVALUE(TRIM($V148))),""))</f>
        <v/>
      </c>
      <c r="BJ148">
        <f>IF($BI148="","",IF(MONTH($BI148)&gt;=12,"Cold Winter",IF(MONTH($BI148)&gt;=10,"Post-Monsoon",IF(MONTH($BI148)&gt;=6,"Hot Humid",IF(MONTH($BI148)&gt;=3,"Hot Dry","Cold Winter")))))</f>
        <v/>
      </c>
      <c r="BK148">
        <f>IF($BD148="","",IFERROR(VLOOKUP($BD148,DECODE!$A$3:$C$8,2,FALSE),"?"))</f>
        <v/>
      </c>
      <c r="BL148">
        <f>IF($Q148="","",UPPER(TRIM(LEFT($Q148&amp;",",FIND(",",$Q148&amp;",")-1))))</f>
        <v/>
      </c>
      <c r="BM148">
        <f>IF($BL148="","",MID($BL148,4,FIND("~",SUBSTITUTE($BL148,"-","~",2))-4))</f>
        <v/>
      </c>
      <c r="BN148">
        <f>IF($BL148="","",MID($BL148,FIND("~",SUBSTITUTE($BL148,"-","~",2))+1,FIND("~",SUBSTITUTE($BL148,"-","~",3))-FIND("~",SUBSTITUTE($BL148,"-","~",2))-1))</f>
        <v/>
      </c>
      <c r="BO148">
        <f>IF($BM148="","",IFERROR(VLOOKUP($BM148,DECODE!$A$3:$C$8,3,FALSE),"?"))</f>
        <v/>
      </c>
      <c r="BP148">
        <f>IF($BN148="","",IFERROR(VLOOKUP($BM148&amp;"-"&amp;$BN148,DECODE!$E$3:$F$21,2,FALSE),"?"))</f>
        <v/>
      </c>
      <c r="BQ148">
        <f>IF($BL148="","",IFERROR(VALUE(RIGHT($BL148,3)),""))</f>
        <v/>
      </c>
      <c r="BR148">
        <f>IF($W148="","",IFERROR(IF(ISNUMBER($W148),$W148,DATEVALUE(TRIM($W148))),""))</f>
        <v/>
      </c>
      <c r="BS148">
        <f>IF($BR148="","",IF(MONTH($BR148)&gt;=12,"Cold Winter",IF(MONTH($BR148)&gt;=10,"Post-Monsoon",IF(MONTH($BR148)&gt;=6,"Hot Humid",IF(MONTH($BR148)&gt;=3,"Hot Dry","Cold Winter")))))</f>
        <v/>
      </c>
      <c r="BT148">
        <f>IF($BM148="","",IFERROR(VLOOKUP($BM148,DECODE!$A$3:$C$8,2,FALSE),"?"))</f>
        <v/>
      </c>
      <c r="BU148">
        <f>IF($R148="","",UPPER(TRIM(LEFT($R148&amp;",",FIND(",",$R148&amp;",")-1))))</f>
        <v/>
      </c>
      <c r="BV148">
        <f>IF($BU148="","",MID($BU148,4,FIND("~",SUBSTITUTE($BU148,"-","~",2))-4))</f>
        <v/>
      </c>
      <c r="BW148">
        <f>IF($BU148="","",MID($BU148,FIND("~",SUBSTITUTE($BU148,"-","~",2))+1,FIND("~",SUBSTITUTE($BU148,"-","~",3))-FIND("~",SUBSTITUTE($BU148,"-","~",2))-1))</f>
        <v/>
      </c>
      <c r="BX148">
        <f>IF($BV148="","",IFERROR(VLOOKUP($BV148,DECODE!$A$3:$C$8,3,FALSE),"?"))</f>
        <v/>
      </c>
      <c r="BY148">
        <f>IF($BW148="","",IFERROR(VLOOKUP($BV148&amp;"-"&amp;$BW148,DECODE!$E$3:$F$21,2,FALSE),"?"))</f>
        <v/>
      </c>
      <c r="BZ148">
        <f>IF($BU148="","",IFERROR(VALUE(RIGHT($BU148,3)),""))</f>
        <v/>
      </c>
      <c r="CA148">
        <f>IF($X148="","",IFERROR(IF(ISNUMBER($X148),$X148,DATEVALUE(TRIM($X148))),""))</f>
        <v/>
      </c>
      <c r="CB148">
        <f>IF($CA148="","",IF(MONTH($CA148)&gt;=12,"Cold Winter",IF(MONTH($CA148)&gt;=10,"Post-Monsoon",IF(MONTH($CA148)&gt;=6,"Hot Humid",IF(MONTH($CA148)&gt;=3,"Hot Dry","Cold Winter")))))</f>
        <v/>
      </c>
      <c r="CC148">
        <f>IF($BV148="","",IFERROR(VLOOKUP($BV148,DECODE!$A$3:$C$8,2,FALSE),"?"))</f>
        <v/>
      </c>
      <c r="CD148">
        <f>IF($S148="","",UPPER(TRIM(LEFT($S148&amp;",",FIND(",",$S148&amp;",")-1))))</f>
        <v/>
      </c>
      <c r="CE148">
        <f>IF($CD148="","",MID($CD148,4,FIND("~",SUBSTITUTE($CD148,"-","~",2))-4))</f>
        <v/>
      </c>
      <c r="CF148">
        <f>IF($CD148="","",MID($CD148,FIND("~",SUBSTITUTE($CD148,"-","~",2))+1,FIND("~",SUBSTITUTE($CD148,"-","~",3))-FIND("~",SUBSTITUTE($CD148,"-","~",2))-1))</f>
        <v/>
      </c>
      <c r="CG148">
        <f>IF($CE148="","",IFERROR(VLOOKUP($CE148,DECODE!$A$3:$C$8,3,FALSE),"?"))</f>
        <v/>
      </c>
      <c r="CH148">
        <f>IF($CF148="","",IFERROR(VLOOKUP($CE148&amp;"-"&amp;$CF148,DECODE!$E$3:$F$21,2,FALSE),"?"))</f>
        <v/>
      </c>
      <c r="CI148">
        <f>IF($CD148="","",IFERROR(VALUE(RIGHT($CD148,3)),""))</f>
        <v/>
      </c>
      <c r="CJ148">
        <f>IF($Y148="","",IFERROR(IF(ISNUMBER($Y148),$Y148,DATEVALUE(TRIM($Y148))),""))</f>
        <v/>
      </c>
      <c r="CK148">
        <f>IF($CJ148="","",IF(MONTH($CJ148)&gt;=12,"Cold Winter",IF(MONTH($CJ148)&gt;=10,"Post-Monsoon",IF(MONTH($CJ148)&gt;=6,"Hot Humid",IF(MONTH($CJ148)&gt;=3,"Hot Dry","Cold Winter")))))</f>
        <v/>
      </c>
      <c r="CL148">
        <f>IF($CE148="","",IFERROR(VLOOKUP($CE148,DECODE!$A$3:$C$8,2,FALSE),"?"))</f>
        <v/>
      </c>
      <c r="CM148">
        <f>IF($AN148="","",AN148)</f>
        <v/>
      </c>
      <c r="CN148">
        <f>IF($AO148="","",AO148)</f>
        <v/>
      </c>
      <c r="CO148">
        <f>IF($AP148="","",AP148)</f>
        <v/>
      </c>
      <c r="CP148">
        <f>IF($CM148="","",IF($CM148="Aloe Vera Gel","Aloe Vera Gel "&amp;$CO148&amp;"g",CN148&amp;" "&amp;$CO148&amp;"g"))</f>
        <v/>
      </c>
      <c r="CQ148">
        <f>IF($AT148="",0,1)</f>
        <v/>
      </c>
      <c r="CR148">
        <f>IF($CQ148=0,"",AW148)</f>
        <v/>
      </c>
      <c r="CS148">
        <f>IF($CQ148=0,"",AX148)</f>
        <v/>
      </c>
      <c r="CT148">
        <f>IF($CQ148=0,"",AY148)</f>
        <v/>
      </c>
      <c r="CU148">
        <f>IF($CR148="","",IF($CR148="Aloe Vera Gel","Aloe Vera Gel "&amp;$CT148&amp;"g",CS148&amp;" "&amp;$CT148&amp;"g"))</f>
        <v/>
      </c>
      <c r="CV148">
        <f>IF($CQ148=0,"",IF($CP148=$CU148,"Repeat Exact",IF($CT148&gt;$CO148,"Upsized",IF($CT148&lt;$CO148,"Downsized",IF($CM148&lt;&gt;$CR148,"Lateral","Same Size Diff Variant")))))</f>
        <v/>
      </c>
      <c r="CW148">
        <f>IF($CQ148=0,"",AZ148-AQ148)</f>
        <v/>
      </c>
      <c r="CX148">
        <f>IF($CQ148=0,0,IF(CS148=CN148,1,0))</f>
        <v/>
      </c>
      <c r="CY148">
        <f>IF($CQ148=0,0,IF(CR148=CM148,1,0))</f>
        <v/>
      </c>
      <c r="CZ148">
        <f>IF($A148="","",IF(AND(IF(DASHBOARD!$C$4="All",TRUE,$CM148=DASHBOARD!$C$4),IF(DASHBOARD!$C$6="All",TRUE,$CP148=DASHBOARD!$C$6),IF(DASHBOARD!$C$8="All",TRUE,$AF148&gt;=DASHBOARD!$C$8),IF(DASHBOARD!$C$10="All",TRUE,$AF148&lt;=DASHBOARD!$C$10),IF(DASHBOARD!$C$12="All",TRUE,$AH148=VALUE(DASHBOARD!$C$12)),IF(DASHBOARD!$C$14="All",TRUE,$AJ148=DASHBOARD!$C$14)),1,0))</f>
        <v/>
      </c>
    </row>
    <row r="149">
      <c r="A149" t="n">
        <v>112134</v>
      </c>
      <c r="B149" t="inlineStr">
        <is>
          <t>Aloe Vera Gel</t>
        </is>
      </c>
      <c r="H149" t="inlineStr">
        <is>
          <t>Aloe Vera Gel - 40 gms</t>
        </is>
      </c>
      <c r="N149" t="inlineStr">
        <is>
          <t>FC-HG-PA-040</t>
        </is>
      </c>
      <c r="T149" t="inlineStr">
        <is>
          <t>Jul 5, 2024</t>
        </is>
      </c>
      <c r="AE149" t="inlineStr">
        <is>
          <t>Pune</t>
        </is>
      </c>
      <c r="AF149" t="inlineStr">
        <is>
          <t>2024-07</t>
        </is>
      </c>
      <c r="AG149" t="n">
        <v>7</v>
      </c>
      <c r="AH149" t="n">
        <v>1</v>
      </c>
      <c r="AI149" t="n">
        <v>0</v>
      </c>
      <c r="AJ149">
        <f>IF($AE149="","",IFERROR(VLOOKUP(TRIM($AE149),DECODE!$H$3:$I$60,2,FALSE),"Rest of India"))</f>
        <v/>
      </c>
      <c r="AK149">
        <f>IF($N149="","",UPPER(TRIM(LEFT($N149&amp;",",FIND(",",$N149&amp;",")-1))))</f>
        <v/>
      </c>
      <c r="AL149">
        <f>IF($AK149="","",MID($AK149,4,FIND("~",SUBSTITUTE($AK149,"-","~",2))-4))</f>
        <v/>
      </c>
      <c r="AM149">
        <f>IF($AK149="","",MID($AK149,FIND("~",SUBSTITUTE($AK149,"-","~",2))+1,FIND("~",SUBSTITUTE($AK149,"-","~",3))-FIND("~",SUBSTITUTE($AK149,"-","~",2))-1))</f>
        <v/>
      </c>
      <c r="AN149">
        <f>IF($AL149="","",IFERROR(VLOOKUP($AL149,DECODE!$A$3:$C$8,3,FALSE),"?"))</f>
        <v/>
      </c>
      <c r="AO149">
        <f>IF($AM149="","",IFERROR(VLOOKUP($AL149&amp;"-"&amp;$AM149,DECODE!$E$3:$F$21,2,FALSE),"?"))</f>
        <v/>
      </c>
      <c r="AP149">
        <f>IF($AK149="","",IFERROR(VALUE(RIGHT($AK149,3)),""))</f>
        <v/>
      </c>
      <c r="AQ149">
        <f>IF($T149="","",IFERROR(IF(ISNUMBER($T149),$T149,DATEVALUE(TRIM($T149))),""))</f>
        <v/>
      </c>
      <c r="AR149">
        <f>IF($AQ149="","",IF(MONTH($AQ149)&gt;=12,"Cold Winter",IF(MONTH($AQ149)&gt;=10,"Post-Monsoon",IF(MONTH($AQ149)&gt;=6,"Hot Humid",IF(MONTH($AQ149)&gt;=3,"Hot Dry","Cold Winter")))))</f>
        <v/>
      </c>
      <c r="AS149">
        <f>IF($AL149="","",IFERROR(VLOOKUP($AL149,DECODE!$A$3:$C$8,2,FALSE),"?"))</f>
        <v/>
      </c>
      <c r="AT149">
        <f>IF($O149="","",UPPER(TRIM(LEFT($O149&amp;",",FIND(",",$O149&amp;",")-1))))</f>
        <v/>
      </c>
      <c r="AU149">
        <f>IF($AT149="","",MID($AT149,4,FIND("~",SUBSTITUTE($AT149,"-","~",2))-4))</f>
        <v/>
      </c>
      <c r="AV149">
        <f>IF($AT149="","",MID($AT149,FIND("~",SUBSTITUTE($AT149,"-","~",2))+1,FIND("~",SUBSTITUTE($AT149,"-","~",3))-FIND("~",SUBSTITUTE($AT149,"-","~",2))-1))</f>
        <v/>
      </c>
      <c r="AW149">
        <f>IF($AU149="","",IFERROR(VLOOKUP($AU149,DECODE!$A$3:$C$8,3,FALSE),"?"))</f>
        <v/>
      </c>
      <c r="AX149">
        <f>IF($AV149="","",IFERROR(VLOOKUP($AU149&amp;"-"&amp;$AV149,DECODE!$E$3:$F$21,2,FALSE),"?"))</f>
        <v/>
      </c>
      <c r="AY149">
        <f>IF($AT149="","",IFERROR(VALUE(RIGHT($AT149,3)),""))</f>
        <v/>
      </c>
      <c r="AZ149">
        <f>IF($U149="","",IFERROR(IF(ISNUMBER($U149),$U149,DATEVALUE(TRIM($U149))),""))</f>
        <v/>
      </c>
      <c r="BA149">
        <f>IF($AZ149="","",IF(MONTH($AZ149)&gt;=12,"Cold Winter",IF(MONTH($AZ149)&gt;=10,"Post-Monsoon",IF(MONTH($AZ149)&gt;=6,"Hot Humid",IF(MONTH($AZ149)&gt;=3,"Hot Dry","Cold Winter")))))</f>
        <v/>
      </c>
      <c r="BB149">
        <f>IF($AU149="","",IFERROR(VLOOKUP($AU149,DECODE!$A$3:$C$8,2,FALSE),"?"))</f>
        <v/>
      </c>
      <c r="BC149">
        <f>IF($P149="","",UPPER(TRIM(LEFT($P149&amp;",",FIND(",",$P149&amp;",")-1))))</f>
        <v/>
      </c>
      <c r="BD149">
        <f>IF($BC149="","",MID($BC149,4,FIND("~",SUBSTITUTE($BC149,"-","~",2))-4))</f>
        <v/>
      </c>
      <c r="BE149">
        <f>IF($BC149="","",MID($BC149,FIND("~",SUBSTITUTE($BC149,"-","~",2))+1,FIND("~",SUBSTITUTE($BC149,"-","~",3))-FIND("~",SUBSTITUTE($BC149,"-","~",2))-1))</f>
        <v/>
      </c>
      <c r="BF149">
        <f>IF($BD149="","",IFERROR(VLOOKUP($BD149,DECODE!$A$3:$C$8,3,FALSE),"?"))</f>
        <v/>
      </c>
      <c r="BG149">
        <f>IF($BE149="","",IFERROR(VLOOKUP($BD149&amp;"-"&amp;$BE149,DECODE!$E$3:$F$21,2,FALSE),"?"))</f>
        <v/>
      </c>
      <c r="BH149">
        <f>IF($BC149="","",IFERROR(VALUE(RIGHT($BC149,3)),""))</f>
        <v/>
      </c>
      <c r="BI149">
        <f>IF($V149="","",IFERROR(IF(ISNUMBER($V149),$V149,DATEVALUE(TRIM($V149))),""))</f>
        <v/>
      </c>
      <c r="BJ149">
        <f>IF($BI149="","",IF(MONTH($BI149)&gt;=12,"Cold Winter",IF(MONTH($BI149)&gt;=10,"Post-Monsoon",IF(MONTH($BI149)&gt;=6,"Hot Humid",IF(MONTH($BI149)&gt;=3,"Hot Dry","Cold Winter")))))</f>
        <v/>
      </c>
      <c r="BK149">
        <f>IF($BD149="","",IFERROR(VLOOKUP($BD149,DECODE!$A$3:$C$8,2,FALSE),"?"))</f>
        <v/>
      </c>
      <c r="BL149">
        <f>IF($Q149="","",UPPER(TRIM(LEFT($Q149&amp;",",FIND(",",$Q149&amp;",")-1))))</f>
        <v/>
      </c>
      <c r="BM149">
        <f>IF($BL149="","",MID($BL149,4,FIND("~",SUBSTITUTE($BL149,"-","~",2))-4))</f>
        <v/>
      </c>
      <c r="BN149">
        <f>IF($BL149="","",MID($BL149,FIND("~",SUBSTITUTE($BL149,"-","~",2))+1,FIND("~",SUBSTITUTE($BL149,"-","~",3))-FIND("~",SUBSTITUTE($BL149,"-","~",2))-1))</f>
        <v/>
      </c>
      <c r="BO149">
        <f>IF($BM149="","",IFERROR(VLOOKUP($BM149,DECODE!$A$3:$C$8,3,FALSE),"?"))</f>
        <v/>
      </c>
      <c r="BP149">
        <f>IF($BN149="","",IFERROR(VLOOKUP($BM149&amp;"-"&amp;$BN149,DECODE!$E$3:$F$21,2,FALSE),"?"))</f>
        <v/>
      </c>
      <c r="BQ149">
        <f>IF($BL149="","",IFERROR(VALUE(RIGHT($BL149,3)),""))</f>
        <v/>
      </c>
      <c r="BR149">
        <f>IF($W149="","",IFERROR(IF(ISNUMBER($W149),$W149,DATEVALUE(TRIM($W149))),""))</f>
        <v/>
      </c>
      <c r="BS149">
        <f>IF($BR149="","",IF(MONTH($BR149)&gt;=12,"Cold Winter",IF(MONTH($BR149)&gt;=10,"Post-Monsoon",IF(MONTH($BR149)&gt;=6,"Hot Humid",IF(MONTH($BR149)&gt;=3,"Hot Dry","Cold Winter")))))</f>
        <v/>
      </c>
      <c r="BT149">
        <f>IF($BM149="","",IFERROR(VLOOKUP($BM149,DECODE!$A$3:$C$8,2,FALSE),"?"))</f>
        <v/>
      </c>
      <c r="BU149">
        <f>IF($R149="","",UPPER(TRIM(LEFT($R149&amp;",",FIND(",",$R149&amp;",")-1))))</f>
        <v/>
      </c>
      <c r="BV149">
        <f>IF($BU149="","",MID($BU149,4,FIND("~",SUBSTITUTE($BU149,"-","~",2))-4))</f>
        <v/>
      </c>
      <c r="BW149">
        <f>IF($BU149="","",MID($BU149,FIND("~",SUBSTITUTE($BU149,"-","~",2))+1,FIND("~",SUBSTITUTE($BU149,"-","~",3))-FIND("~",SUBSTITUTE($BU149,"-","~",2))-1))</f>
        <v/>
      </c>
      <c r="BX149">
        <f>IF($BV149="","",IFERROR(VLOOKUP($BV149,DECODE!$A$3:$C$8,3,FALSE),"?"))</f>
        <v/>
      </c>
      <c r="BY149">
        <f>IF($BW149="","",IFERROR(VLOOKUP($BV149&amp;"-"&amp;$BW149,DECODE!$E$3:$F$21,2,FALSE),"?"))</f>
        <v/>
      </c>
      <c r="BZ149">
        <f>IF($BU149="","",IFERROR(VALUE(RIGHT($BU149,3)),""))</f>
        <v/>
      </c>
      <c r="CA149">
        <f>IF($X149="","",IFERROR(IF(ISNUMBER($X149),$X149,DATEVALUE(TRIM($X149))),""))</f>
        <v/>
      </c>
      <c r="CB149">
        <f>IF($CA149="","",IF(MONTH($CA149)&gt;=12,"Cold Winter",IF(MONTH($CA149)&gt;=10,"Post-Monsoon",IF(MONTH($CA149)&gt;=6,"Hot Humid",IF(MONTH($CA149)&gt;=3,"Hot Dry","Cold Winter")))))</f>
        <v/>
      </c>
      <c r="CC149">
        <f>IF($BV149="","",IFERROR(VLOOKUP($BV149,DECODE!$A$3:$C$8,2,FALSE),"?"))</f>
        <v/>
      </c>
      <c r="CD149">
        <f>IF($S149="","",UPPER(TRIM(LEFT($S149&amp;",",FIND(",",$S149&amp;",")-1))))</f>
        <v/>
      </c>
      <c r="CE149">
        <f>IF($CD149="","",MID($CD149,4,FIND("~",SUBSTITUTE($CD149,"-","~",2))-4))</f>
        <v/>
      </c>
      <c r="CF149">
        <f>IF($CD149="","",MID($CD149,FIND("~",SUBSTITUTE($CD149,"-","~",2))+1,FIND("~",SUBSTITUTE($CD149,"-","~",3))-FIND("~",SUBSTITUTE($CD149,"-","~",2))-1))</f>
        <v/>
      </c>
      <c r="CG149">
        <f>IF($CE149="","",IFERROR(VLOOKUP($CE149,DECODE!$A$3:$C$8,3,FALSE),"?"))</f>
        <v/>
      </c>
      <c r="CH149">
        <f>IF($CF149="","",IFERROR(VLOOKUP($CE149&amp;"-"&amp;$CF149,DECODE!$E$3:$F$21,2,FALSE),"?"))</f>
        <v/>
      </c>
      <c r="CI149">
        <f>IF($CD149="","",IFERROR(VALUE(RIGHT($CD149,3)),""))</f>
        <v/>
      </c>
      <c r="CJ149">
        <f>IF($Y149="","",IFERROR(IF(ISNUMBER($Y149),$Y149,DATEVALUE(TRIM($Y149))),""))</f>
        <v/>
      </c>
      <c r="CK149">
        <f>IF($CJ149="","",IF(MONTH($CJ149)&gt;=12,"Cold Winter",IF(MONTH($CJ149)&gt;=10,"Post-Monsoon",IF(MONTH($CJ149)&gt;=6,"Hot Humid",IF(MONTH($CJ149)&gt;=3,"Hot Dry","Cold Winter")))))</f>
        <v/>
      </c>
      <c r="CL149">
        <f>IF($CE149="","",IFERROR(VLOOKUP($CE149,DECODE!$A$3:$C$8,2,FALSE),"?"))</f>
        <v/>
      </c>
      <c r="CM149">
        <f>IF($AN149="","",AN149)</f>
        <v/>
      </c>
      <c r="CN149">
        <f>IF($AO149="","",AO149)</f>
        <v/>
      </c>
      <c r="CO149">
        <f>IF($AP149="","",AP149)</f>
        <v/>
      </c>
      <c r="CP149">
        <f>IF($CM149="","",IF($CM149="Aloe Vera Gel","Aloe Vera Gel "&amp;$CO149&amp;"g",CN149&amp;" "&amp;$CO149&amp;"g"))</f>
        <v/>
      </c>
      <c r="CQ149">
        <f>IF($AT149="",0,1)</f>
        <v/>
      </c>
      <c r="CR149">
        <f>IF($CQ149=0,"",AW149)</f>
        <v/>
      </c>
      <c r="CS149">
        <f>IF($CQ149=0,"",AX149)</f>
        <v/>
      </c>
      <c r="CT149">
        <f>IF($CQ149=0,"",AY149)</f>
        <v/>
      </c>
      <c r="CU149">
        <f>IF($CR149="","",IF($CR149="Aloe Vera Gel","Aloe Vera Gel "&amp;$CT149&amp;"g",CS149&amp;" "&amp;$CT149&amp;"g"))</f>
        <v/>
      </c>
      <c r="CV149">
        <f>IF($CQ149=0,"",IF($CP149=$CU149,"Repeat Exact",IF($CT149&gt;$CO149,"Upsized",IF($CT149&lt;$CO149,"Downsized",IF($CM149&lt;&gt;$CR149,"Lateral","Same Size Diff Variant")))))</f>
        <v/>
      </c>
      <c r="CW149">
        <f>IF($CQ149=0,"",AZ149-AQ149)</f>
        <v/>
      </c>
      <c r="CX149">
        <f>IF($CQ149=0,0,IF(CS149=CN149,1,0))</f>
        <v/>
      </c>
      <c r="CY149">
        <f>IF($CQ149=0,0,IF(CR149=CM149,1,0))</f>
        <v/>
      </c>
      <c r="CZ149">
        <f>IF($A149="","",IF(AND(IF(DASHBOARD!$C$4="All",TRUE,$CM149=DASHBOARD!$C$4),IF(DASHBOARD!$C$6="All",TRUE,$CP149=DASHBOARD!$C$6),IF(DASHBOARD!$C$8="All",TRUE,$AF149&gt;=DASHBOARD!$C$8),IF(DASHBOARD!$C$10="All",TRUE,$AF149&lt;=DASHBOARD!$C$10),IF(DASHBOARD!$C$12="All",TRUE,$AH149=VALUE(DASHBOARD!$C$12)),IF(DASHBOARD!$C$14="All",TRUE,$AJ149=DASHBOARD!$C$14)),1,0))</f>
        <v/>
      </c>
    </row>
    <row r="150">
      <c r="A150" t="n">
        <v>112462</v>
      </c>
      <c r="B150" t="inlineStr">
        <is>
          <t>Aloe Vera Gel</t>
        </is>
      </c>
      <c r="H150" t="inlineStr">
        <is>
          <t>Aloe Vera Gel - 40 gms</t>
        </is>
      </c>
      <c r="N150" t="inlineStr">
        <is>
          <t>FC-HG-PA-040</t>
        </is>
      </c>
      <c r="T150" t="inlineStr">
        <is>
          <t>May 20, 2024</t>
        </is>
      </c>
      <c r="AE150" t="inlineStr">
        <is>
          <t>Secunderabad</t>
        </is>
      </c>
      <c r="AF150" t="inlineStr">
        <is>
          <t>2024-05</t>
        </is>
      </c>
      <c r="AG150" t="n">
        <v>5</v>
      </c>
      <c r="AH150" t="n">
        <v>1</v>
      </c>
      <c r="AI150" t="n">
        <v>0</v>
      </c>
      <c r="AJ150">
        <f>IF($AE150="","",IFERROR(VLOOKUP(TRIM($AE150),DECODE!$H$3:$I$60,2,FALSE),"Rest of India"))</f>
        <v/>
      </c>
      <c r="AK150">
        <f>IF($N150="","",UPPER(TRIM(LEFT($N150&amp;",",FIND(",",$N150&amp;",")-1))))</f>
        <v/>
      </c>
      <c r="AL150">
        <f>IF($AK150="","",MID($AK150,4,FIND("~",SUBSTITUTE($AK150,"-","~",2))-4))</f>
        <v/>
      </c>
      <c r="AM150">
        <f>IF($AK150="","",MID($AK150,FIND("~",SUBSTITUTE($AK150,"-","~",2))+1,FIND("~",SUBSTITUTE($AK150,"-","~",3))-FIND("~",SUBSTITUTE($AK150,"-","~",2))-1))</f>
        <v/>
      </c>
      <c r="AN150">
        <f>IF($AL150="","",IFERROR(VLOOKUP($AL150,DECODE!$A$3:$C$8,3,FALSE),"?"))</f>
        <v/>
      </c>
      <c r="AO150">
        <f>IF($AM150="","",IFERROR(VLOOKUP($AL150&amp;"-"&amp;$AM150,DECODE!$E$3:$F$21,2,FALSE),"?"))</f>
        <v/>
      </c>
      <c r="AP150">
        <f>IF($AK150="","",IFERROR(VALUE(RIGHT($AK150,3)),""))</f>
        <v/>
      </c>
      <c r="AQ150">
        <f>IF($T150="","",IFERROR(IF(ISNUMBER($T150),$T150,DATEVALUE(TRIM($T150))),""))</f>
        <v/>
      </c>
      <c r="AR150">
        <f>IF($AQ150="","",IF(MONTH($AQ150)&gt;=12,"Cold Winter",IF(MONTH($AQ150)&gt;=10,"Post-Monsoon",IF(MONTH($AQ150)&gt;=6,"Hot Humid",IF(MONTH($AQ150)&gt;=3,"Hot Dry","Cold Winter")))))</f>
        <v/>
      </c>
      <c r="AS150">
        <f>IF($AL150="","",IFERROR(VLOOKUP($AL150,DECODE!$A$3:$C$8,2,FALSE),"?"))</f>
        <v/>
      </c>
      <c r="AT150">
        <f>IF($O150="","",UPPER(TRIM(LEFT($O150&amp;",",FIND(",",$O150&amp;",")-1))))</f>
        <v/>
      </c>
      <c r="AU150">
        <f>IF($AT150="","",MID($AT150,4,FIND("~",SUBSTITUTE($AT150,"-","~",2))-4))</f>
        <v/>
      </c>
      <c r="AV150">
        <f>IF($AT150="","",MID($AT150,FIND("~",SUBSTITUTE($AT150,"-","~",2))+1,FIND("~",SUBSTITUTE($AT150,"-","~",3))-FIND("~",SUBSTITUTE($AT150,"-","~",2))-1))</f>
        <v/>
      </c>
      <c r="AW150">
        <f>IF($AU150="","",IFERROR(VLOOKUP($AU150,DECODE!$A$3:$C$8,3,FALSE),"?"))</f>
        <v/>
      </c>
      <c r="AX150">
        <f>IF($AV150="","",IFERROR(VLOOKUP($AU150&amp;"-"&amp;$AV150,DECODE!$E$3:$F$21,2,FALSE),"?"))</f>
        <v/>
      </c>
      <c r="AY150">
        <f>IF($AT150="","",IFERROR(VALUE(RIGHT($AT150,3)),""))</f>
        <v/>
      </c>
      <c r="AZ150">
        <f>IF($U150="","",IFERROR(IF(ISNUMBER($U150),$U150,DATEVALUE(TRIM($U150))),""))</f>
        <v/>
      </c>
      <c r="BA150">
        <f>IF($AZ150="","",IF(MONTH($AZ150)&gt;=12,"Cold Winter",IF(MONTH($AZ150)&gt;=10,"Post-Monsoon",IF(MONTH($AZ150)&gt;=6,"Hot Humid",IF(MONTH($AZ150)&gt;=3,"Hot Dry","Cold Winter")))))</f>
        <v/>
      </c>
      <c r="BB150">
        <f>IF($AU150="","",IFERROR(VLOOKUP($AU150,DECODE!$A$3:$C$8,2,FALSE),"?"))</f>
        <v/>
      </c>
      <c r="BC150">
        <f>IF($P150="","",UPPER(TRIM(LEFT($P150&amp;",",FIND(",",$P150&amp;",")-1))))</f>
        <v/>
      </c>
      <c r="BD150">
        <f>IF($BC150="","",MID($BC150,4,FIND("~",SUBSTITUTE($BC150,"-","~",2))-4))</f>
        <v/>
      </c>
      <c r="BE150">
        <f>IF($BC150="","",MID($BC150,FIND("~",SUBSTITUTE($BC150,"-","~",2))+1,FIND("~",SUBSTITUTE($BC150,"-","~",3))-FIND("~",SUBSTITUTE($BC150,"-","~",2))-1))</f>
        <v/>
      </c>
      <c r="BF150">
        <f>IF($BD150="","",IFERROR(VLOOKUP($BD150,DECODE!$A$3:$C$8,3,FALSE),"?"))</f>
        <v/>
      </c>
      <c r="BG150">
        <f>IF($BE150="","",IFERROR(VLOOKUP($BD150&amp;"-"&amp;$BE150,DECODE!$E$3:$F$21,2,FALSE),"?"))</f>
        <v/>
      </c>
      <c r="BH150">
        <f>IF($BC150="","",IFERROR(VALUE(RIGHT($BC150,3)),""))</f>
        <v/>
      </c>
      <c r="BI150">
        <f>IF($V150="","",IFERROR(IF(ISNUMBER($V150),$V150,DATEVALUE(TRIM($V150))),""))</f>
        <v/>
      </c>
      <c r="BJ150">
        <f>IF($BI150="","",IF(MONTH($BI150)&gt;=12,"Cold Winter",IF(MONTH($BI150)&gt;=10,"Post-Monsoon",IF(MONTH($BI150)&gt;=6,"Hot Humid",IF(MONTH($BI150)&gt;=3,"Hot Dry","Cold Winter")))))</f>
        <v/>
      </c>
      <c r="BK150">
        <f>IF($BD150="","",IFERROR(VLOOKUP($BD150,DECODE!$A$3:$C$8,2,FALSE),"?"))</f>
        <v/>
      </c>
      <c r="BL150">
        <f>IF($Q150="","",UPPER(TRIM(LEFT($Q150&amp;",",FIND(",",$Q150&amp;",")-1))))</f>
        <v/>
      </c>
      <c r="BM150">
        <f>IF($BL150="","",MID($BL150,4,FIND("~",SUBSTITUTE($BL150,"-","~",2))-4))</f>
        <v/>
      </c>
      <c r="BN150">
        <f>IF($BL150="","",MID($BL150,FIND("~",SUBSTITUTE($BL150,"-","~",2))+1,FIND("~",SUBSTITUTE($BL150,"-","~",3))-FIND("~",SUBSTITUTE($BL150,"-","~",2))-1))</f>
        <v/>
      </c>
      <c r="BO150">
        <f>IF($BM150="","",IFERROR(VLOOKUP($BM150,DECODE!$A$3:$C$8,3,FALSE),"?"))</f>
        <v/>
      </c>
      <c r="BP150">
        <f>IF($BN150="","",IFERROR(VLOOKUP($BM150&amp;"-"&amp;$BN150,DECODE!$E$3:$F$21,2,FALSE),"?"))</f>
        <v/>
      </c>
      <c r="BQ150">
        <f>IF($BL150="","",IFERROR(VALUE(RIGHT($BL150,3)),""))</f>
        <v/>
      </c>
      <c r="BR150">
        <f>IF($W150="","",IFERROR(IF(ISNUMBER($W150),$W150,DATEVALUE(TRIM($W150))),""))</f>
        <v/>
      </c>
      <c r="BS150">
        <f>IF($BR150="","",IF(MONTH($BR150)&gt;=12,"Cold Winter",IF(MONTH($BR150)&gt;=10,"Post-Monsoon",IF(MONTH($BR150)&gt;=6,"Hot Humid",IF(MONTH($BR150)&gt;=3,"Hot Dry","Cold Winter")))))</f>
        <v/>
      </c>
      <c r="BT150">
        <f>IF($BM150="","",IFERROR(VLOOKUP($BM150,DECODE!$A$3:$C$8,2,FALSE),"?"))</f>
        <v/>
      </c>
      <c r="BU150">
        <f>IF($R150="","",UPPER(TRIM(LEFT($R150&amp;",",FIND(",",$R150&amp;",")-1))))</f>
        <v/>
      </c>
      <c r="BV150">
        <f>IF($BU150="","",MID($BU150,4,FIND("~",SUBSTITUTE($BU150,"-","~",2))-4))</f>
        <v/>
      </c>
      <c r="BW150">
        <f>IF($BU150="","",MID($BU150,FIND("~",SUBSTITUTE($BU150,"-","~",2))+1,FIND("~",SUBSTITUTE($BU150,"-","~",3))-FIND("~",SUBSTITUTE($BU150,"-","~",2))-1))</f>
        <v/>
      </c>
      <c r="BX150">
        <f>IF($BV150="","",IFERROR(VLOOKUP($BV150,DECODE!$A$3:$C$8,3,FALSE),"?"))</f>
        <v/>
      </c>
      <c r="BY150">
        <f>IF($BW150="","",IFERROR(VLOOKUP($BV150&amp;"-"&amp;$BW150,DECODE!$E$3:$F$21,2,FALSE),"?"))</f>
        <v/>
      </c>
      <c r="BZ150">
        <f>IF($BU150="","",IFERROR(VALUE(RIGHT($BU150,3)),""))</f>
        <v/>
      </c>
      <c r="CA150">
        <f>IF($X150="","",IFERROR(IF(ISNUMBER($X150),$X150,DATEVALUE(TRIM($X150))),""))</f>
        <v/>
      </c>
      <c r="CB150">
        <f>IF($CA150="","",IF(MONTH($CA150)&gt;=12,"Cold Winter",IF(MONTH($CA150)&gt;=10,"Post-Monsoon",IF(MONTH($CA150)&gt;=6,"Hot Humid",IF(MONTH($CA150)&gt;=3,"Hot Dry","Cold Winter")))))</f>
        <v/>
      </c>
      <c r="CC150">
        <f>IF($BV150="","",IFERROR(VLOOKUP($BV150,DECODE!$A$3:$C$8,2,FALSE),"?"))</f>
        <v/>
      </c>
      <c r="CD150">
        <f>IF($S150="","",UPPER(TRIM(LEFT($S150&amp;",",FIND(",",$S150&amp;",")-1))))</f>
        <v/>
      </c>
      <c r="CE150">
        <f>IF($CD150="","",MID($CD150,4,FIND("~",SUBSTITUTE($CD150,"-","~",2))-4))</f>
        <v/>
      </c>
      <c r="CF150">
        <f>IF($CD150="","",MID($CD150,FIND("~",SUBSTITUTE($CD150,"-","~",2))+1,FIND("~",SUBSTITUTE($CD150,"-","~",3))-FIND("~",SUBSTITUTE($CD150,"-","~",2))-1))</f>
        <v/>
      </c>
      <c r="CG150">
        <f>IF($CE150="","",IFERROR(VLOOKUP($CE150,DECODE!$A$3:$C$8,3,FALSE),"?"))</f>
        <v/>
      </c>
      <c r="CH150">
        <f>IF($CF150="","",IFERROR(VLOOKUP($CE150&amp;"-"&amp;$CF150,DECODE!$E$3:$F$21,2,FALSE),"?"))</f>
        <v/>
      </c>
      <c r="CI150">
        <f>IF($CD150="","",IFERROR(VALUE(RIGHT($CD150,3)),""))</f>
        <v/>
      </c>
      <c r="CJ150">
        <f>IF($Y150="","",IFERROR(IF(ISNUMBER($Y150),$Y150,DATEVALUE(TRIM($Y150))),""))</f>
        <v/>
      </c>
      <c r="CK150">
        <f>IF($CJ150="","",IF(MONTH($CJ150)&gt;=12,"Cold Winter",IF(MONTH($CJ150)&gt;=10,"Post-Monsoon",IF(MONTH($CJ150)&gt;=6,"Hot Humid",IF(MONTH($CJ150)&gt;=3,"Hot Dry","Cold Winter")))))</f>
        <v/>
      </c>
      <c r="CL150">
        <f>IF($CE150="","",IFERROR(VLOOKUP($CE150,DECODE!$A$3:$C$8,2,FALSE),"?"))</f>
        <v/>
      </c>
      <c r="CM150">
        <f>IF($AN150="","",AN150)</f>
        <v/>
      </c>
      <c r="CN150">
        <f>IF($AO150="","",AO150)</f>
        <v/>
      </c>
      <c r="CO150">
        <f>IF($AP150="","",AP150)</f>
        <v/>
      </c>
      <c r="CP150">
        <f>IF($CM150="","",IF($CM150="Aloe Vera Gel","Aloe Vera Gel "&amp;$CO150&amp;"g",CN150&amp;" "&amp;$CO150&amp;"g"))</f>
        <v/>
      </c>
      <c r="CQ150">
        <f>IF($AT150="",0,1)</f>
        <v/>
      </c>
      <c r="CR150">
        <f>IF($CQ150=0,"",AW150)</f>
        <v/>
      </c>
      <c r="CS150">
        <f>IF($CQ150=0,"",AX150)</f>
        <v/>
      </c>
      <c r="CT150">
        <f>IF($CQ150=0,"",AY150)</f>
        <v/>
      </c>
      <c r="CU150">
        <f>IF($CR150="","",IF($CR150="Aloe Vera Gel","Aloe Vera Gel "&amp;$CT150&amp;"g",CS150&amp;" "&amp;$CT150&amp;"g"))</f>
        <v/>
      </c>
      <c r="CV150">
        <f>IF($CQ150=0,"",IF($CP150=$CU150,"Repeat Exact",IF($CT150&gt;$CO150,"Upsized",IF($CT150&lt;$CO150,"Downsized",IF($CM150&lt;&gt;$CR150,"Lateral","Same Size Diff Variant")))))</f>
        <v/>
      </c>
      <c r="CW150">
        <f>IF($CQ150=0,"",AZ150-AQ150)</f>
        <v/>
      </c>
      <c r="CX150">
        <f>IF($CQ150=0,0,IF(CS150=CN150,1,0))</f>
        <v/>
      </c>
      <c r="CY150">
        <f>IF($CQ150=0,0,IF(CR150=CM150,1,0))</f>
        <v/>
      </c>
      <c r="CZ150">
        <f>IF($A150="","",IF(AND(IF(DASHBOARD!$C$4="All",TRUE,$CM150=DASHBOARD!$C$4),IF(DASHBOARD!$C$6="All",TRUE,$CP150=DASHBOARD!$C$6),IF(DASHBOARD!$C$8="All",TRUE,$AF150&gt;=DASHBOARD!$C$8),IF(DASHBOARD!$C$10="All",TRUE,$AF150&lt;=DASHBOARD!$C$10),IF(DASHBOARD!$C$12="All",TRUE,$AH150=VALUE(DASHBOARD!$C$12)),IF(DASHBOARD!$C$14="All",TRUE,$AJ150=DASHBOARD!$C$14)),1,0))</f>
        <v/>
      </c>
    </row>
    <row r="151">
      <c r="A151" t="n">
        <v>112815</v>
      </c>
      <c r="B151" t="inlineStr">
        <is>
          <t>Face Malai</t>
        </is>
      </c>
      <c r="H151" t="inlineStr">
        <is>
          <t>Honey Multi-Nut (Dry &amp; Peeling Skin) Face Malai</t>
        </is>
      </c>
      <c r="N151" t="inlineStr">
        <is>
          <t>FC-DM-DP-030</t>
        </is>
      </c>
      <c r="T151" t="inlineStr">
        <is>
          <t>Apr 2, 2026</t>
        </is>
      </c>
      <c r="AE151" t="inlineStr">
        <is>
          <t>Varanasi</t>
        </is>
      </c>
      <c r="AF151" t="inlineStr">
        <is>
          <t>2026-04</t>
        </is>
      </c>
      <c r="AG151" t="n">
        <v>4</v>
      </c>
      <c r="AH151" t="n">
        <v>1</v>
      </c>
      <c r="AI151" t="n">
        <v>0</v>
      </c>
      <c r="AJ151">
        <f>IF($AE151="","",IFERROR(VLOOKUP(TRIM($AE151),DECODE!$H$3:$I$60,2,FALSE),"Rest of India"))</f>
        <v/>
      </c>
      <c r="AK151">
        <f>IF($N151="","",UPPER(TRIM(LEFT($N151&amp;",",FIND(",",$N151&amp;",")-1))))</f>
        <v/>
      </c>
      <c r="AL151">
        <f>IF($AK151="","",MID($AK151,4,FIND("~",SUBSTITUTE($AK151,"-","~",2))-4))</f>
        <v/>
      </c>
      <c r="AM151">
        <f>IF($AK151="","",MID($AK151,FIND("~",SUBSTITUTE($AK151,"-","~",2))+1,FIND("~",SUBSTITUTE($AK151,"-","~",3))-FIND("~",SUBSTITUTE($AK151,"-","~",2))-1))</f>
        <v/>
      </c>
      <c r="AN151">
        <f>IF($AL151="","",IFERROR(VLOOKUP($AL151,DECODE!$A$3:$C$8,3,FALSE),"?"))</f>
        <v/>
      </c>
      <c r="AO151">
        <f>IF($AM151="","",IFERROR(VLOOKUP($AL151&amp;"-"&amp;$AM151,DECODE!$E$3:$F$21,2,FALSE),"?"))</f>
        <v/>
      </c>
      <c r="AP151">
        <f>IF($AK151="","",IFERROR(VALUE(RIGHT($AK151,3)),""))</f>
        <v/>
      </c>
      <c r="AQ151">
        <f>IF($T151="","",IFERROR(IF(ISNUMBER($T151),$T151,DATEVALUE(TRIM($T151))),""))</f>
        <v/>
      </c>
      <c r="AR151">
        <f>IF($AQ151="","",IF(MONTH($AQ151)&gt;=12,"Cold Winter",IF(MONTH($AQ151)&gt;=10,"Post-Monsoon",IF(MONTH($AQ151)&gt;=6,"Hot Humid",IF(MONTH($AQ151)&gt;=3,"Hot Dry","Cold Winter")))))</f>
        <v/>
      </c>
      <c r="AS151">
        <f>IF($AL151="","",IFERROR(VLOOKUP($AL151,DECODE!$A$3:$C$8,2,FALSE),"?"))</f>
        <v/>
      </c>
      <c r="AT151">
        <f>IF($O151="","",UPPER(TRIM(LEFT($O151&amp;",",FIND(",",$O151&amp;",")-1))))</f>
        <v/>
      </c>
      <c r="AU151">
        <f>IF($AT151="","",MID($AT151,4,FIND("~",SUBSTITUTE($AT151,"-","~",2))-4))</f>
        <v/>
      </c>
      <c r="AV151">
        <f>IF($AT151="","",MID($AT151,FIND("~",SUBSTITUTE($AT151,"-","~",2))+1,FIND("~",SUBSTITUTE($AT151,"-","~",3))-FIND("~",SUBSTITUTE($AT151,"-","~",2))-1))</f>
        <v/>
      </c>
      <c r="AW151">
        <f>IF($AU151="","",IFERROR(VLOOKUP($AU151,DECODE!$A$3:$C$8,3,FALSE),"?"))</f>
        <v/>
      </c>
      <c r="AX151">
        <f>IF($AV151="","",IFERROR(VLOOKUP($AU151&amp;"-"&amp;$AV151,DECODE!$E$3:$F$21,2,FALSE),"?"))</f>
        <v/>
      </c>
      <c r="AY151">
        <f>IF($AT151="","",IFERROR(VALUE(RIGHT($AT151,3)),""))</f>
        <v/>
      </c>
      <c r="AZ151">
        <f>IF($U151="","",IFERROR(IF(ISNUMBER($U151),$U151,DATEVALUE(TRIM($U151))),""))</f>
        <v/>
      </c>
      <c r="BA151">
        <f>IF($AZ151="","",IF(MONTH($AZ151)&gt;=12,"Cold Winter",IF(MONTH($AZ151)&gt;=10,"Post-Monsoon",IF(MONTH($AZ151)&gt;=6,"Hot Humid",IF(MONTH($AZ151)&gt;=3,"Hot Dry","Cold Winter")))))</f>
        <v/>
      </c>
      <c r="BB151">
        <f>IF($AU151="","",IFERROR(VLOOKUP($AU151,DECODE!$A$3:$C$8,2,FALSE),"?"))</f>
        <v/>
      </c>
      <c r="BC151">
        <f>IF($P151="","",UPPER(TRIM(LEFT($P151&amp;",",FIND(",",$P151&amp;",")-1))))</f>
        <v/>
      </c>
      <c r="BD151">
        <f>IF($BC151="","",MID($BC151,4,FIND("~",SUBSTITUTE($BC151,"-","~",2))-4))</f>
        <v/>
      </c>
      <c r="BE151">
        <f>IF($BC151="","",MID($BC151,FIND("~",SUBSTITUTE($BC151,"-","~",2))+1,FIND("~",SUBSTITUTE($BC151,"-","~",3))-FIND("~",SUBSTITUTE($BC151,"-","~",2))-1))</f>
        <v/>
      </c>
      <c r="BF151">
        <f>IF($BD151="","",IFERROR(VLOOKUP($BD151,DECODE!$A$3:$C$8,3,FALSE),"?"))</f>
        <v/>
      </c>
      <c r="BG151">
        <f>IF($BE151="","",IFERROR(VLOOKUP($BD151&amp;"-"&amp;$BE151,DECODE!$E$3:$F$21,2,FALSE),"?"))</f>
        <v/>
      </c>
      <c r="BH151">
        <f>IF($BC151="","",IFERROR(VALUE(RIGHT($BC151,3)),""))</f>
        <v/>
      </c>
      <c r="BI151">
        <f>IF($V151="","",IFERROR(IF(ISNUMBER($V151),$V151,DATEVALUE(TRIM($V151))),""))</f>
        <v/>
      </c>
      <c r="BJ151">
        <f>IF($BI151="","",IF(MONTH($BI151)&gt;=12,"Cold Winter",IF(MONTH($BI151)&gt;=10,"Post-Monsoon",IF(MONTH($BI151)&gt;=6,"Hot Humid",IF(MONTH($BI151)&gt;=3,"Hot Dry","Cold Winter")))))</f>
        <v/>
      </c>
      <c r="BK151">
        <f>IF($BD151="","",IFERROR(VLOOKUP($BD151,DECODE!$A$3:$C$8,2,FALSE),"?"))</f>
        <v/>
      </c>
      <c r="BL151">
        <f>IF($Q151="","",UPPER(TRIM(LEFT($Q151&amp;",",FIND(",",$Q151&amp;",")-1))))</f>
        <v/>
      </c>
      <c r="BM151">
        <f>IF($BL151="","",MID($BL151,4,FIND("~",SUBSTITUTE($BL151,"-","~",2))-4))</f>
        <v/>
      </c>
      <c r="BN151">
        <f>IF($BL151="","",MID($BL151,FIND("~",SUBSTITUTE($BL151,"-","~",2))+1,FIND("~",SUBSTITUTE($BL151,"-","~",3))-FIND("~",SUBSTITUTE($BL151,"-","~",2))-1))</f>
        <v/>
      </c>
      <c r="BO151">
        <f>IF($BM151="","",IFERROR(VLOOKUP($BM151,DECODE!$A$3:$C$8,3,FALSE),"?"))</f>
        <v/>
      </c>
      <c r="BP151">
        <f>IF($BN151="","",IFERROR(VLOOKUP($BM151&amp;"-"&amp;$BN151,DECODE!$E$3:$F$21,2,FALSE),"?"))</f>
        <v/>
      </c>
      <c r="BQ151">
        <f>IF($BL151="","",IFERROR(VALUE(RIGHT($BL151,3)),""))</f>
        <v/>
      </c>
      <c r="BR151">
        <f>IF($W151="","",IFERROR(IF(ISNUMBER($W151),$W151,DATEVALUE(TRIM($W151))),""))</f>
        <v/>
      </c>
      <c r="BS151">
        <f>IF($BR151="","",IF(MONTH($BR151)&gt;=12,"Cold Winter",IF(MONTH($BR151)&gt;=10,"Post-Monsoon",IF(MONTH($BR151)&gt;=6,"Hot Humid",IF(MONTH($BR151)&gt;=3,"Hot Dry","Cold Winter")))))</f>
        <v/>
      </c>
      <c r="BT151">
        <f>IF($BM151="","",IFERROR(VLOOKUP($BM151,DECODE!$A$3:$C$8,2,FALSE),"?"))</f>
        <v/>
      </c>
      <c r="BU151">
        <f>IF($R151="","",UPPER(TRIM(LEFT($R151&amp;",",FIND(",",$R151&amp;",")-1))))</f>
        <v/>
      </c>
      <c r="BV151">
        <f>IF($BU151="","",MID($BU151,4,FIND("~",SUBSTITUTE($BU151,"-","~",2))-4))</f>
        <v/>
      </c>
      <c r="BW151">
        <f>IF($BU151="","",MID($BU151,FIND("~",SUBSTITUTE($BU151,"-","~",2))+1,FIND("~",SUBSTITUTE($BU151,"-","~",3))-FIND("~",SUBSTITUTE($BU151,"-","~",2))-1))</f>
        <v/>
      </c>
      <c r="BX151">
        <f>IF($BV151="","",IFERROR(VLOOKUP($BV151,DECODE!$A$3:$C$8,3,FALSE),"?"))</f>
        <v/>
      </c>
      <c r="BY151">
        <f>IF($BW151="","",IFERROR(VLOOKUP($BV151&amp;"-"&amp;$BW151,DECODE!$E$3:$F$21,2,FALSE),"?"))</f>
        <v/>
      </c>
      <c r="BZ151">
        <f>IF($BU151="","",IFERROR(VALUE(RIGHT($BU151,3)),""))</f>
        <v/>
      </c>
      <c r="CA151">
        <f>IF($X151="","",IFERROR(IF(ISNUMBER($X151),$X151,DATEVALUE(TRIM($X151))),""))</f>
        <v/>
      </c>
      <c r="CB151">
        <f>IF($CA151="","",IF(MONTH($CA151)&gt;=12,"Cold Winter",IF(MONTH($CA151)&gt;=10,"Post-Monsoon",IF(MONTH($CA151)&gt;=6,"Hot Humid",IF(MONTH($CA151)&gt;=3,"Hot Dry","Cold Winter")))))</f>
        <v/>
      </c>
      <c r="CC151">
        <f>IF($BV151="","",IFERROR(VLOOKUP($BV151,DECODE!$A$3:$C$8,2,FALSE),"?"))</f>
        <v/>
      </c>
      <c r="CD151">
        <f>IF($S151="","",UPPER(TRIM(LEFT($S151&amp;",",FIND(",",$S151&amp;",")-1))))</f>
        <v/>
      </c>
      <c r="CE151">
        <f>IF($CD151="","",MID($CD151,4,FIND("~",SUBSTITUTE($CD151,"-","~",2))-4))</f>
        <v/>
      </c>
      <c r="CF151">
        <f>IF($CD151="","",MID($CD151,FIND("~",SUBSTITUTE($CD151,"-","~",2))+1,FIND("~",SUBSTITUTE($CD151,"-","~",3))-FIND("~",SUBSTITUTE($CD151,"-","~",2))-1))</f>
        <v/>
      </c>
      <c r="CG151">
        <f>IF($CE151="","",IFERROR(VLOOKUP($CE151,DECODE!$A$3:$C$8,3,FALSE),"?"))</f>
        <v/>
      </c>
      <c r="CH151">
        <f>IF($CF151="","",IFERROR(VLOOKUP($CE151&amp;"-"&amp;$CF151,DECODE!$E$3:$F$21,2,FALSE),"?"))</f>
        <v/>
      </c>
      <c r="CI151">
        <f>IF($CD151="","",IFERROR(VALUE(RIGHT($CD151,3)),""))</f>
        <v/>
      </c>
      <c r="CJ151">
        <f>IF($Y151="","",IFERROR(IF(ISNUMBER($Y151),$Y151,DATEVALUE(TRIM($Y151))),""))</f>
        <v/>
      </c>
      <c r="CK151">
        <f>IF($CJ151="","",IF(MONTH($CJ151)&gt;=12,"Cold Winter",IF(MONTH($CJ151)&gt;=10,"Post-Monsoon",IF(MONTH($CJ151)&gt;=6,"Hot Humid",IF(MONTH($CJ151)&gt;=3,"Hot Dry","Cold Winter")))))</f>
        <v/>
      </c>
      <c r="CL151">
        <f>IF($CE151="","",IFERROR(VLOOKUP($CE151,DECODE!$A$3:$C$8,2,FALSE),"?"))</f>
        <v/>
      </c>
      <c r="CM151">
        <f>IF($AN151="","",AN151)</f>
        <v/>
      </c>
      <c r="CN151">
        <f>IF($AO151="","",AO151)</f>
        <v/>
      </c>
      <c r="CO151">
        <f>IF($AP151="","",AP151)</f>
        <v/>
      </c>
      <c r="CP151">
        <f>IF($CM151="","",IF($CM151="Aloe Vera Gel","Aloe Vera Gel "&amp;$CO151&amp;"g",CN151&amp;" "&amp;$CO151&amp;"g"))</f>
        <v/>
      </c>
      <c r="CQ151">
        <f>IF($AT151="",0,1)</f>
        <v/>
      </c>
      <c r="CR151">
        <f>IF($CQ151=0,"",AW151)</f>
        <v/>
      </c>
      <c r="CS151">
        <f>IF($CQ151=0,"",AX151)</f>
        <v/>
      </c>
      <c r="CT151">
        <f>IF($CQ151=0,"",AY151)</f>
        <v/>
      </c>
      <c r="CU151">
        <f>IF($CR151="","",IF($CR151="Aloe Vera Gel","Aloe Vera Gel "&amp;$CT151&amp;"g",CS151&amp;" "&amp;$CT151&amp;"g"))</f>
        <v/>
      </c>
      <c r="CV151">
        <f>IF($CQ151=0,"",IF($CP151=$CU151,"Repeat Exact",IF($CT151&gt;$CO151,"Upsized",IF($CT151&lt;$CO151,"Downsized",IF($CM151&lt;&gt;$CR151,"Lateral","Same Size Diff Variant")))))</f>
        <v/>
      </c>
      <c r="CW151">
        <f>IF($CQ151=0,"",AZ151-AQ151)</f>
        <v/>
      </c>
      <c r="CX151">
        <f>IF($CQ151=0,0,IF(CS151=CN151,1,0))</f>
        <v/>
      </c>
      <c r="CY151">
        <f>IF($CQ151=0,0,IF(CR151=CM151,1,0))</f>
        <v/>
      </c>
      <c r="CZ151">
        <f>IF($A151="","",IF(AND(IF(DASHBOARD!$C$4="All",TRUE,$CM151=DASHBOARD!$C$4),IF(DASHBOARD!$C$6="All",TRUE,$CP151=DASHBOARD!$C$6),IF(DASHBOARD!$C$8="All",TRUE,$AF151&gt;=DASHBOARD!$C$8),IF(DASHBOARD!$C$10="All",TRUE,$AF151&lt;=DASHBOARD!$C$10),IF(DASHBOARD!$C$12="All",TRUE,$AH151=VALUE(DASHBOARD!$C$12)),IF(DASHBOARD!$C$14="All",TRUE,$AJ151=DASHBOARD!$C$14)),1,0))</f>
        <v/>
      </c>
    </row>
    <row r="152">
      <c r="A152" t="n">
        <v>113127</v>
      </c>
      <c r="B152" t="inlineStr">
        <is>
          <t>Face Malai</t>
        </is>
      </c>
      <c r="H152" t="inlineStr">
        <is>
          <t>Tomato Vetiver (Hot Humid) 20 - 35 Yrs Face Malai, Cocoa Mogra (Overnight) Face Malai - 30g</t>
        </is>
      </c>
      <c r="N152" t="inlineStr">
        <is>
          <t>FC-HHDM-TV-030, FC-DM-NR-030</t>
        </is>
      </c>
      <c r="T152" t="inlineStr">
        <is>
          <t>Sep 12, 2024</t>
        </is>
      </c>
      <c r="AE152" t="inlineStr">
        <is>
          <t>Gurgaon</t>
        </is>
      </c>
      <c r="AF152" t="inlineStr">
        <is>
          <t>2024-09</t>
        </is>
      </c>
      <c r="AG152" t="n">
        <v>9</v>
      </c>
      <c r="AH152" t="n">
        <v>1</v>
      </c>
      <c r="AI152" t="n">
        <v>0</v>
      </c>
      <c r="AJ152">
        <f>IF($AE152="","",IFERROR(VLOOKUP(TRIM($AE152),DECODE!$H$3:$I$60,2,FALSE),"Rest of India"))</f>
        <v/>
      </c>
      <c r="AK152">
        <f>IF($N152="","",UPPER(TRIM(LEFT($N152&amp;",",FIND(",",$N152&amp;",")-1))))</f>
        <v/>
      </c>
      <c r="AL152">
        <f>IF($AK152="","",MID($AK152,4,FIND("~",SUBSTITUTE($AK152,"-","~",2))-4))</f>
        <v/>
      </c>
      <c r="AM152">
        <f>IF($AK152="","",MID($AK152,FIND("~",SUBSTITUTE($AK152,"-","~",2))+1,FIND("~",SUBSTITUTE($AK152,"-","~",3))-FIND("~",SUBSTITUTE($AK152,"-","~",2))-1))</f>
        <v/>
      </c>
      <c r="AN152">
        <f>IF($AL152="","",IFERROR(VLOOKUP($AL152,DECODE!$A$3:$C$8,3,FALSE),"?"))</f>
        <v/>
      </c>
      <c r="AO152">
        <f>IF($AM152="","",IFERROR(VLOOKUP($AL152&amp;"-"&amp;$AM152,DECODE!$E$3:$F$21,2,FALSE),"?"))</f>
        <v/>
      </c>
      <c r="AP152">
        <f>IF($AK152="","",IFERROR(VALUE(RIGHT($AK152,3)),""))</f>
        <v/>
      </c>
      <c r="AQ152">
        <f>IF($T152="","",IFERROR(IF(ISNUMBER($T152),$T152,DATEVALUE(TRIM($T152))),""))</f>
        <v/>
      </c>
      <c r="AR152">
        <f>IF($AQ152="","",IF(MONTH($AQ152)&gt;=12,"Cold Winter",IF(MONTH($AQ152)&gt;=10,"Post-Monsoon",IF(MONTH($AQ152)&gt;=6,"Hot Humid",IF(MONTH($AQ152)&gt;=3,"Hot Dry","Cold Winter")))))</f>
        <v/>
      </c>
      <c r="AS152">
        <f>IF($AL152="","",IFERROR(VLOOKUP($AL152,DECODE!$A$3:$C$8,2,FALSE),"?"))</f>
        <v/>
      </c>
      <c r="AT152">
        <f>IF($O152="","",UPPER(TRIM(LEFT($O152&amp;",",FIND(",",$O152&amp;",")-1))))</f>
        <v/>
      </c>
      <c r="AU152">
        <f>IF($AT152="","",MID($AT152,4,FIND("~",SUBSTITUTE($AT152,"-","~",2))-4))</f>
        <v/>
      </c>
      <c r="AV152">
        <f>IF($AT152="","",MID($AT152,FIND("~",SUBSTITUTE($AT152,"-","~",2))+1,FIND("~",SUBSTITUTE($AT152,"-","~",3))-FIND("~",SUBSTITUTE($AT152,"-","~",2))-1))</f>
        <v/>
      </c>
      <c r="AW152">
        <f>IF($AU152="","",IFERROR(VLOOKUP($AU152,DECODE!$A$3:$C$8,3,FALSE),"?"))</f>
        <v/>
      </c>
      <c r="AX152">
        <f>IF($AV152="","",IFERROR(VLOOKUP($AU152&amp;"-"&amp;$AV152,DECODE!$E$3:$F$21,2,FALSE),"?"))</f>
        <v/>
      </c>
      <c r="AY152">
        <f>IF($AT152="","",IFERROR(VALUE(RIGHT($AT152,3)),""))</f>
        <v/>
      </c>
      <c r="AZ152">
        <f>IF($U152="","",IFERROR(IF(ISNUMBER($U152),$U152,DATEVALUE(TRIM($U152))),""))</f>
        <v/>
      </c>
      <c r="BA152">
        <f>IF($AZ152="","",IF(MONTH($AZ152)&gt;=12,"Cold Winter",IF(MONTH($AZ152)&gt;=10,"Post-Monsoon",IF(MONTH($AZ152)&gt;=6,"Hot Humid",IF(MONTH($AZ152)&gt;=3,"Hot Dry","Cold Winter")))))</f>
        <v/>
      </c>
      <c r="BB152">
        <f>IF($AU152="","",IFERROR(VLOOKUP($AU152,DECODE!$A$3:$C$8,2,FALSE),"?"))</f>
        <v/>
      </c>
      <c r="BC152">
        <f>IF($P152="","",UPPER(TRIM(LEFT($P152&amp;",",FIND(",",$P152&amp;",")-1))))</f>
        <v/>
      </c>
      <c r="BD152">
        <f>IF($BC152="","",MID($BC152,4,FIND("~",SUBSTITUTE($BC152,"-","~",2))-4))</f>
        <v/>
      </c>
      <c r="BE152">
        <f>IF($BC152="","",MID($BC152,FIND("~",SUBSTITUTE($BC152,"-","~",2))+1,FIND("~",SUBSTITUTE($BC152,"-","~",3))-FIND("~",SUBSTITUTE($BC152,"-","~",2))-1))</f>
        <v/>
      </c>
      <c r="BF152">
        <f>IF($BD152="","",IFERROR(VLOOKUP($BD152,DECODE!$A$3:$C$8,3,FALSE),"?"))</f>
        <v/>
      </c>
      <c r="BG152">
        <f>IF($BE152="","",IFERROR(VLOOKUP($BD152&amp;"-"&amp;$BE152,DECODE!$E$3:$F$21,2,FALSE),"?"))</f>
        <v/>
      </c>
      <c r="BH152">
        <f>IF($BC152="","",IFERROR(VALUE(RIGHT($BC152,3)),""))</f>
        <v/>
      </c>
      <c r="BI152">
        <f>IF($V152="","",IFERROR(IF(ISNUMBER($V152),$V152,DATEVALUE(TRIM($V152))),""))</f>
        <v/>
      </c>
      <c r="BJ152">
        <f>IF($BI152="","",IF(MONTH($BI152)&gt;=12,"Cold Winter",IF(MONTH($BI152)&gt;=10,"Post-Monsoon",IF(MONTH($BI152)&gt;=6,"Hot Humid",IF(MONTH($BI152)&gt;=3,"Hot Dry","Cold Winter")))))</f>
        <v/>
      </c>
      <c r="BK152">
        <f>IF($BD152="","",IFERROR(VLOOKUP($BD152,DECODE!$A$3:$C$8,2,FALSE),"?"))</f>
        <v/>
      </c>
      <c r="BL152">
        <f>IF($Q152="","",UPPER(TRIM(LEFT($Q152&amp;",",FIND(",",$Q152&amp;",")-1))))</f>
        <v/>
      </c>
      <c r="BM152">
        <f>IF($BL152="","",MID($BL152,4,FIND("~",SUBSTITUTE($BL152,"-","~",2))-4))</f>
        <v/>
      </c>
      <c r="BN152">
        <f>IF($BL152="","",MID($BL152,FIND("~",SUBSTITUTE($BL152,"-","~",2))+1,FIND("~",SUBSTITUTE($BL152,"-","~",3))-FIND("~",SUBSTITUTE($BL152,"-","~",2))-1))</f>
        <v/>
      </c>
      <c r="BO152">
        <f>IF($BM152="","",IFERROR(VLOOKUP($BM152,DECODE!$A$3:$C$8,3,FALSE),"?"))</f>
        <v/>
      </c>
      <c r="BP152">
        <f>IF($BN152="","",IFERROR(VLOOKUP($BM152&amp;"-"&amp;$BN152,DECODE!$E$3:$F$21,2,FALSE),"?"))</f>
        <v/>
      </c>
      <c r="BQ152">
        <f>IF($BL152="","",IFERROR(VALUE(RIGHT($BL152,3)),""))</f>
        <v/>
      </c>
      <c r="BR152">
        <f>IF($W152="","",IFERROR(IF(ISNUMBER($W152),$W152,DATEVALUE(TRIM($W152))),""))</f>
        <v/>
      </c>
      <c r="BS152">
        <f>IF($BR152="","",IF(MONTH($BR152)&gt;=12,"Cold Winter",IF(MONTH($BR152)&gt;=10,"Post-Monsoon",IF(MONTH($BR152)&gt;=6,"Hot Humid",IF(MONTH($BR152)&gt;=3,"Hot Dry","Cold Winter")))))</f>
        <v/>
      </c>
      <c r="BT152">
        <f>IF($BM152="","",IFERROR(VLOOKUP($BM152,DECODE!$A$3:$C$8,2,FALSE),"?"))</f>
        <v/>
      </c>
      <c r="BU152">
        <f>IF($R152="","",UPPER(TRIM(LEFT($R152&amp;",",FIND(",",$R152&amp;",")-1))))</f>
        <v/>
      </c>
      <c r="BV152">
        <f>IF($BU152="","",MID($BU152,4,FIND("~",SUBSTITUTE($BU152,"-","~",2))-4))</f>
        <v/>
      </c>
      <c r="BW152">
        <f>IF($BU152="","",MID($BU152,FIND("~",SUBSTITUTE($BU152,"-","~",2))+1,FIND("~",SUBSTITUTE($BU152,"-","~",3))-FIND("~",SUBSTITUTE($BU152,"-","~",2))-1))</f>
        <v/>
      </c>
      <c r="BX152">
        <f>IF($BV152="","",IFERROR(VLOOKUP($BV152,DECODE!$A$3:$C$8,3,FALSE),"?"))</f>
        <v/>
      </c>
      <c r="BY152">
        <f>IF($BW152="","",IFERROR(VLOOKUP($BV152&amp;"-"&amp;$BW152,DECODE!$E$3:$F$21,2,FALSE),"?"))</f>
        <v/>
      </c>
      <c r="BZ152">
        <f>IF($BU152="","",IFERROR(VALUE(RIGHT($BU152,3)),""))</f>
        <v/>
      </c>
      <c r="CA152">
        <f>IF($X152="","",IFERROR(IF(ISNUMBER($X152),$X152,DATEVALUE(TRIM($X152))),""))</f>
        <v/>
      </c>
      <c r="CB152">
        <f>IF($CA152="","",IF(MONTH($CA152)&gt;=12,"Cold Winter",IF(MONTH($CA152)&gt;=10,"Post-Monsoon",IF(MONTH($CA152)&gt;=6,"Hot Humid",IF(MONTH($CA152)&gt;=3,"Hot Dry","Cold Winter")))))</f>
        <v/>
      </c>
      <c r="CC152">
        <f>IF($BV152="","",IFERROR(VLOOKUP($BV152,DECODE!$A$3:$C$8,2,FALSE),"?"))</f>
        <v/>
      </c>
      <c r="CD152">
        <f>IF($S152="","",UPPER(TRIM(LEFT($S152&amp;",",FIND(",",$S152&amp;",")-1))))</f>
        <v/>
      </c>
      <c r="CE152">
        <f>IF($CD152="","",MID($CD152,4,FIND("~",SUBSTITUTE($CD152,"-","~",2))-4))</f>
        <v/>
      </c>
      <c r="CF152">
        <f>IF($CD152="","",MID($CD152,FIND("~",SUBSTITUTE($CD152,"-","~",2))+1,FIND("~",SUBSTITUTE($CD152,"-","~",3))-FIND("~",SUBSTITUTE($CD152,"-","~",2))-1))</f>
        <v/>
      </c>
      <c r="CG152">
        <f>IF($CE152="","",IFERROR(VLOOKUP($CE152,DECODE!$A$3:$C$8,3,FALSE),"?"))</f>
        <v/>
      </c>
      <c r="CH152">
        <f>IF($CF152="","",IFERROR(VLOOKUP($CE152&amp;"-"&amp;$CF152,DECODE!$E$3:$F$21,2,FALSE),"?"))</f>
        <v/>
      </c>
      <c r="CI152">
        <f>IF($CD152="","",IFERROR(VALUE(RIGHT($CD152,3)),""))</f>
        <v/>
      </c>
      <c r="CJ152">
        <f>IF($Y152="","",IFERROR(IF(ISNUMBER($Y152),$Y152,DATEVALUE(TRIM($Y152))),""))</f>
        <v/>
      </c>
      <c r="CK152">
        <f>IF($CJ152="","",IF(MONTH($CJ152)&gt;=12,"Cold Winter",IF(MONTH($CJ152)&gt;=10,"Post-Monsoon",IF(MONTH($CJ152)&gt;=6,"Hot Humid",IF(MONTH($CJ152)&gt;=3,"Hot Dry","Cold Winter")))))</f>
        <v/>
      </c>
      <c r="CL152">
        <f>IF($CE152="","",IFERROR(VLOOKUP($CE152,DECODE!$A$3:$C$8,2,FALSE),"?"))</f>
        <v/>
      </c>
      <c r="CM152">
        <f>IF($AN152="","",AN152)</f>
        <v/>
      </c>
      <c r="CN152">
        <f>IF($AO152="","",AO152)</f>
        <v/>
      </c>
      <c r="CO152">
        <f>IF($AP152="","",AP152)</f>
        <v/>
      </c>
      <c r="CP152">
        <f>IF($CM152="","",IF($CM152="Aloe Vera Gel","Aloe Vera Gel "&amp;$CO152&amp;"g",CN152&amp;" "&amp;$CO152&amp;"g"))</f>
        <v/>
      </c>
      <c r="CQ152">
        <f>IF($AT152="",0,1)</f>
        <v/>
      </c>
      <c r="CR152">
        <f>IF($CQ152=0,"",AW152)</f>
        <v/>
      </c>
      <c r="CS152">
        <f>IF($CQ152=0,"",AX152)</f>
        <v/>
      </c>
      <c r="CT152">
        <f>IF($CQ152=0,"",AY152)</f>
        <v/>
      </c>
      <c r="CU152">
        <f>IF($CR152="","",IF($CR152="Aloe Vera Gel","Aloe Vera Gel "&amp;$CT152&amp;"g",CS152&amp;" "&amp;$CT152&amp;"g"))</f>
        <v/>
      </c>
      <c r="CV152">
        <f>IF($CQ152=0,"",IF($CP152=$CU152,"Repeat Exact",IF($CT152&gt;$CO152,"Upsized",IF($CT152&lt;$CO152,"Downsized",IF($CM152&lt;&gt;$CR152,"Lateral","Same Size Diff Variant")))))</f>
        <v/>
      </c>
      <c r="CW152">
        <f>IF($CQ152=0,"",AZ152-AQ152)</f>
        <v/>
      </c>
      <c r="CX152">
        <f>IF($CQ152=0,0,IF(CS152=CN152,1,0))</f>
        <v/>
      </c>
      <c r="CY152">
        <f>IF($CQ152=0,0,IF(CR152=CM152,1,0))</f>
        <v/>
      </c>
      <c r="CZ152">
        <f>IF($A152="","",IF(AND(IF(DASHBOARD!$C$4="All",TRUE,$CM152=DASHBOARD!$C$4),IF(DASHBOARD!$C$6="All",TRUE,$CP152=DASHBOARD!$C$6),IF(DASHBOARD!$C$8="All",TRUE,$AF152&gt;=DASHBOARD!$C$8),IF(DASHBOARD!$C$10="All",TRUE,$AF152&lt;=DASHBOARD!$C$10),IF(DASHBOARD!$C$12="All",TRUE,$AH152=VALUE(DASHBOARD!$C$12)),IF(DASHBOARD!$C$14="All",TRUE,$AJ152=DASHBOARD!$C$14)),1,0))</f>
        <v/>
      </c>
    </row>
    <row r="153">
      <c r="A153" t="n">
        <v>113339</v>
      </c>
      <c r="B153" t="inlineStr">
        <is>
          <t>Aloe Vera Gel</t>
        </is>
      </c>
      <c r="H153" t="inlineStr">
        <is>
          <t>Aloe Vera Gel - 80 gms</t>
        </is>
      </c>
      <c r="N153" t="inlineStr">
        <is>
          <t>FC-HG-PA-080</t>
        </is>
      </c>
      <c r="T153" t="inlineStr">
        <is>
          <t>Oct 9, 2025</t>
        </is>
      </c>
      <c r="AE153" t="inlineStr">
        <is>
          <t>Secunderabad</t>
        </is>
      </c>
      <c r="AF153" t="inlineStr">
        <is>
          <t>2025-10</t>
        </is>
      </c>
      <c r="AG153" t="n">
        <v>10</v>
      </c>
      <c r="AH153" t="n">
        <v>1</v>
      </c>
      <c r="AI153" t="n">
        <v>0</v>
      </c>
      <c r="AJ153">
        <f>IF($AE153="","",IFERROR(VLOOKUP(TRIM($AE153),DECODE!$H$3:$I$60,2,FALSE),"Rest of India"))</f>
        <v/>
      </c>
      <c r="AK153">
        <f>IF($N153="","",UPPER(TRIM(LEFT($N153&amp;",",FIND(",",$N153&amp;",")-1))))</f>
        <v/>
      </c>
      <c r="AL153">
        <f>IF($AK153="","",MID($AK153,4,FIND("~",SUBSTITUTE($AK153,"-","~",2))-4))</f>
        <v/>
      </c>
      <c r="AM153">
        <f>IF($AK153="","",MID($AK153,FIND("~",SUBSTITUTE($AK153,"-","~",2))+1,FIND("~",SUBSTITUTE($AK153,"-","~",3))-FIND("~",SUBSTITUTE($AK153,"-","~",2))-1))</f>
        <v/>
      </c>
      <c r="AN153">
        <f>IF($AL153="","",IFERROR(VLOOKUP($AL153,DECODE!$A$3:$C$8,3,FALSE),"?"))</f>
        <v/>
      </c>
      <c r="AO153">
        <f>IF($AM153="","",IFERROR(VLOOKUP($AL153&amp;"-"&amp;$AM153,DECODE!$E$3:$F$21,2,FALSE),"?"))</f>
        <v/>
      </c>
      <c r="AP153">
        <f>IF($AK153="","",IFERROR(VALUE(RIGHT($AK153,3)),""))</f>
        <v/>
      </c>
      <c r="AQ153">
        <f>IF($T153="","",IFERROR(IF(ISNUMBER($T153),$T153,DATEVALUE(TRIM($T153))),""))</f>
        <v/>
      </c>
      <c r="AR153">
        <f>IF($AQ153="","",IF(MONTH($AQ153)&gt;=12,"Cold Winter",IF(MONTH($AQ153)&gt;=10,"Post-Monsoon",IF(MONTH($AQ153)&gt;=6,"Hot Humid",IF(MONTH($AQ153)&gt;=3,"Hot Dry","Cold Winter")))))</f>
        <v/>
      </c>
      <c r="AS153">
        <f>IF($AL153="","",IFERROR(VLOOKUP($AL153,DECODE!$A$3:$C$8,2,FALSE),"?"))</f>
        <v/>
      </c>
      <c r="AT153">
        <f>IF($O153="","",UPPER(TRIM(LEFT($O153&amp;",",FIND(",",$O153&amp;",")-1))))</f>
        <v/>
      </c>
      <c r="AU153">
        <f>IF($AT153="","",MID($AT153,4,FIND("~",SUBSTITUTE($AT153,"-","~",2))-4))</f>
        <v/>
      </c>
      <c r="AV153">
        <f>IF($AT153="","",MID($AT153,FIND("~",SUBSTITUTE($AT153,"-","~",2))+1,FIND("~",SUBSTITUTE($AT153,"-","~",3))-FIND("~",SUBSTITUTE($AT153,"-","~",2))-1))</f>
        <v/>
      </c>
      <c r="AW153">
        <f>IF($AU153="","",IFERROR(VLOOKUP($AU153,DECODE!$A$3:$C$8,3,FALSE),"?"))</f>
        <v/>
      </c>
      <c r="AX153">
        <f>IF($AV153="","",IFERROR(VLOOKUP($AU153&amp;"-"&amp;$AV153,DECODE!$E$3:$F$21,2,FALSE),"?"))</f>
        <v/>
      </c>
      <c r="AY153">
        <f>IF($AT153="","",IFERROR(VALUE(RIGHT($AT153,3)),""))</f>
        <v/>
      </c>
      <c r="AZ153">
        <f>IF($U153="","",IFERROR(IF(ISNUMBER($U153),$U153,DATEVALUE(TRIM($U153))),""))</f>
        <v/>
      </c>
      <c r="BA153">
        <f>IF($AZ153="","",IF(MONTH($AZ153)&gt;=12,"Cold Winter",IF(MONTH($AZ153)&gt;=10,"Post-Monsoon",IF(MONTH($AZ153)&gt;=6,"Hot Humid",IF(MONTH($AZ153)&gt;=3,"Hot Dry","Cold Winter")))))</f>
        <v/>
      </c>
      <c r="BB153">
        <f>IF($AU153="","",IFERROR(VLOOKUP($AU153,DECODE!$A$3:$C$8,2,FALSE),"?"))</f>
        <v/>
      </c>
      <c r="BC153">
        <f>IF($P153="","",UPPER(TRIM(LEFT($P153&amp;",",FIND(",",$P153&amp;",")-1))))</f>
        <v/>
      </c>
      <c r="BD153">
        <f>IF($BC153="","",MID($BC153,4,FIND("~",SUBSTITUTE($BC153,"-","~",2))-4))</f>
        <v/>
      </c>
      <c r="BE153">
        <f>IF($BC153="","",MID($BC153,FIND("~",SUBSTITUTE($BC153,"-","~",2))+1,FIND("~",SUBSTITUTE($BC153,"-","~",3))-FIND("~",SUBSTITUTE($BC153,"-","~",2))-1))</f>
        <v/>
      </c>
      <c r="BF153">
        <f>IF($BD153="","",IFERROR(VLOOKUP($BD153,DECODE!$A$3:$C$8,3,FALSE),"?"))</f>
        <v/>
      </c>
      <c r="BG153">
        <f>IF($BE153="","",IFERROR(VLOOKUP($BD153&amp;"-"&amp;$BE153,DECODE!$E$3:$F$21,2,FALSE),"?"))</f>
        <v/>
      </c>
      <c r="BH153">
        <f>IF($BC153="","",IFERROR(VALUE(RIGHT($BC153,3)),""))</f>
        <v/>
      </c>
      <c r="BI153">
        <f>IF($V153="","",IFERROR(IF(ISNUMBER($V153),$V153,DATEVALUE(TRIM($V153))),""))</f>
        <v/>
      </c>
      <c r="BJ153">
        <f>IF($BI153="","",IF(MONTH($BI153)&gt;=12,"Cold Winter",IF(MONTH($BI153)&gt;=10,"Post-Monsoon",IF(MONTH($BI153)&gt;=6,"Hot Humid",IF(MONTH($BI153)&gt;=3,"Hot Dry","Cold Winter")))))</f>
        <v/>
      </c>
      <c r="BK153">
        <f>IF($BD153="","",IFERROR(VLOOKUP($BD153,DECODE!$A$3:$C$8,2,FALSE),"?"))</f>
        <v/>
      </c>
      <c r="BL153">
        <f>IF($Q153="","",UPPER(TRIM(LEFT($Q153&amp;",",FIND(",",$Q153&amp;",")-1))))</f>
        <v/>
      </c>
      <c r="BM153">
        <f>IF($BL153="","",MID($BL153,4,FIND("~",SUBSTITUTE($BL153,"-","~",2))-4))</f>
        <v/>
      </c>
      <c r="BN153">
        <f>IF($BL153="","",MID($BL153,FIND("~",SUBSTITUTE($BL153,"-","~",2))+1,FIND("~",SUBSTITUTE($BL153,"-","~",3))-FIND("~",SUBSTITUTE($BL153,"-","~",2))-1))</f>
        <v/>
      </c>
      <c r="BO153">
        <f>IF($BM153="","",IFERROR(VLOOKUP($BM153,DECODE!$A$3:$C$8,3,FALSE),"?"))</f>
        <v/>
      </c>
      <c r="BP153">
        <f>IF($BN153="","",IFERROR(VLOOKUP($BM153&amp;"-"&amp;$BN153,DECODE!$E$3:$F$21,2,FALSE),"?"))</f>
        <v/>
      </c>
      <c r="BQ153">
        <f>IF($BL153="","",IFERROR(VALUE(RIGHT($BL153,3)),""))</f>
        <v/>
      </c>
      <c r="BR153">
        <f>IF($W153="","",IFERROR(IF(ISNUMBER($W153),$W153,DATEVALUE(TRIM($W153))),""))</f>
        <v/>
      </c>
      <c r="BS153">
        <f>IF($BR153="","",IF(MONTH($BR153)&gt;=12,"Cold Winter",IF(MONTH($BR153)&gt;=10,"Post-Monsoon",IF(MONTH($BR153)&gt;=6,"Hot Humid",IF(MONTH($BR153)&gt;=3,"Hot Dry","Cold Winter")))))</f>
        <v/>
      </c>
      <c r="BT153">
        <f>IF($BM153="","",IFERROR(VLOOKUP($BM153,DECODE!$A$3:$C$8,2,FALSE),"?"))</f>
        <v/>
      </c>
      <c r="BU153">
        <f>IF($R153="","",UPPER(TRIM(LEFT($R153&amp;",",FIND(",",$R153&amp;",")-1))))</f>
        <v/>
      </c>
      <c r="BV153">
        <f>IF($BU153="","",MID($BU153,4,FIND("~",SUBSTITUTE($BU153,"-","~",2))-4))</f>
        <v/>
      </c>
      <c r="BW153">
        <f>IF($BU153="","",MID($BU153,FIND("~",SUBSTITUTE($BU153,"-","~",2))+1,FIND("~",SUBSTITUTE($BU153,"-","~",3))-FIND("~",SUBSTITUTE($BU153,"-","~",2))-1))</f>
        <v/>
      </c>
      <c r="BX153">
        <f>IF($BV153="","",IFERROR(VLOOKUP($BV153,DECODE!$A$3:$C$8,3,FALSE),"?"))</f>
        <v/>
      </c>
      <c r="BY153">
        <f>IF($BW153="","",IFERROR(VLOOKUP($BV153&amp;"-"&amp;$BW153,DECODE!$E$3:$F$21,2,FALSE),"?"))</f>
        <v/>
      </c>
      <c r="BZ153">
        <f>IF($BU153="","",IFERROR(VALUE(RIGHT($BU153,3)),""))</f>
        <v/>
      </c>
      <c r="CA153">
        <f>IF($X153="","",IFERROR(IF(ISNUMBER($X153),$X153,DATEVALUE(TRIM($X153))),""))</f>
        <v/>
      </c>
      <c r="CB153">
        <f>IF($CA153="","",IF(MONTH($CA153)&gt;=12,"Cold Winter",IF(MONTH($CA153)&gt;=10,"Post-Monsoon",IF(MONTH($CA153)&gt;=6,"Hot Humid",IF(MONTH($CA153)&gt;=3,"Hot Dry","Cold Winter")))))</f>
        <v/>
      </c>
      <c r="CC153">
        <f>IF($BV153="","",IFERROR(VLOOKUP($BV153,DECODE!$A$3:$C$8,2,FALSE),"?"))</f>
        <v/>
      </c>
      <c r="CD153">
        <f>IF($S153="","",UPPER(TRIM(LEFT($S153&amp;",",FIND(",",$S153&amp;",")-1))))</f>
        <v/>
      </c>
      <c r="CE153">
        <f>IF($CD153="","",MID($CD153,4,FIND("~",SUBSTITUTE($CD153,"-","~",2))-4))</f>
        <v/>
      </c>
      <c r="CF153">
        <f>IF($CD153="","",MID($CD153,FIND("~",SUBSTITUTE($CD153,"-","~",2))+1,FIND("~",SUBSTITUTE($CD153,"-","~",3))-FIND("~",SUBSTITUTE($CD153,"-","~",2))-1))</f>
        <v/>
      </c>
      <c r="CG153">
        <f>IF($CE153="","",IFERROR(VLOOKUP($CE153,DECODE!$A$3:$C$8,3,FALSE),"?"))</f>
        <v/>
      </c>
      <c r="CH153">
        <f>IF($CF153="","",IFERROR(VLOOKUP($CE153&amp;"-"&amp;$CF153,DECODE!$E$3:$F$21,2,FALSE),"?"))</f>
        <v/>
      </c>
      <c r="CI153">
        <f>IF($CD153="","",IFERROR(VALUE(RIGHT($CD153,3)),""))</f>
        <v/>
      </c>
      <c r="CJ153">
        <f>IF($Y153="","",IFERROR(IF(ISNUMBER($Y153),$Y153,DATEVALUE(TRIM($Y153))),""))</f>
        <v/>
      </c>
      <c r="CK153">
        <f>IF($CJ153="","",IF(MONTH($CJ153)&gt;=12,"Cold Winter",IF(MONTH($CJ153)&gt;=10,"Post-Monsoon",IF(MONTH($CJ153)&gt;=6,"Hot Humid",IF(MONTH($CJ153)&gt;=3,"Hot Dry","Cold Winter")))))</f>
        <v/>
      </c>
      <c r="CL153">
        <f>IF($CE153="","",IFERROR(VLOOKUP($CE153,DECODE!$A$3:$C$8,2,FALSE),"?"))</f>
        <v/>
      </c>
      <c r="CM153">
        <f>IF($AN153="","",AN153)</f>
        <v/>
      </c>
      <c r="CN153">
        <f>IF($AO153="","",AO153)</f>
        <v/>
      </c>
      <c r="CO153">
        <f>IF($AP153="","",AP153)</f>
        <v/>
      </c>
      <c r="CP153">
        <f>IF($CM153="","",IF($CM153="Aloe Vera Gel","Aloe Vera Gel "&amp;$CO153&amp;"g",CN153&amp;" "&amp;$CO153&amp;"g"))</f>
        <v/>
      </c>
      <c r="CQ153">
        <f>IF($AT153="",0,1)</f>
        <v/>
      </c>
      <c r="CR153">
        <f>IF($CQ153=0,"",AW153)</f>
        <v/>
      </c>
      <c r="CS153">
        <f>IF($CQ153=0,"",AX153)</f>
        <v/>
      </c>
      <c r="CT153">
        <f>IF($CQ153=0,"",AY153)</f>
        <v/>
      </c>
      <c r="CU153">
        <f>IF($CR153="","",IF($CR153="Aloe Vera Gel","Aloe Vera Gel "&amp;$CT153&amp;"g",CS153&amp;" "&amp;$CT153&amp;"g"))</f>
        <v/>
      </c>
      <c r="CV153">
        <f>IF($CQ153=0,"",IF($CP153=$CU153,"Repeat Exact",IF($CT153&gt;$CO153,"Upsized",IF($CT153&lt;$CO153,"Downsized",IF($CM153&lt;&gt;$CR153,"Lateral","Same Size Diff Variant")))))</f>
        <v/>
      </c>
      <c r="CW153">
        <f>IF($CQ153=0,"",AZ153-AQ153)</f>
        <v/>
      </c>
      <c r="CX153">
        <f>IF($CQ153=0,0,IF(CS153=CN153,1,0))</f>
        <v/>
      </c>
      <c r="CY153">
        <f>IF($CQ153=0,0,IF(CR153=CM153,1,0))</f>
        <v/>
      </c>
      <c r="CZ153">
        <f>IF($A153="","",IF(AND(IF(DASHBOARD!$C$4="All",TRUE,$CM153=DASHBOARD!$C$4),IF(DASHBOARD!$C$6="All",TRUE,$CP153=DASHBOARD!$C$6),IF(DASHBOARD!$C$8="All",TRUE,$AF153&gt;=DASHBOARD!$C$8),IF(DASHBOARD!$C$10="All",TRUE,$AF153&lt;=DASHBOARD!$C$10),IF(DASHBOARD!$C$12="All",TRUE,$AH153=VALUE(DASHBOARD!$C$12)),IF(DASHBOARD!$C$14="All",TRUE,$AJ153=DASHBOARD!$C$14)),1,0))</f>
        <v/>
      </c>
    </row>
    <row r="154">
      <c r="A154" t="n">
        <v>113360</v>
      </c>
      <c r="B154" t="inlineStr">
        <is>
          <t>Face Malai</t>
        </is>
      </c>
      <c r="H154" t="inlineStr">
        <is>
          <t>Flax Walnut (Cold) 35+ Face Malai</t>
        </is>
      </c>
      <c r="N154" t="inlineStr">
        <is>
          <t>FC-CWDM-FW-030</t>
        </is>
      </c>
      <c r="T154" t="inlineStr">
        <is>
          <t>Nov 16, 2024</t>
        </is>
      </c>
      <c r="AE154" t="inlineStr">
        <is>
          <t>New Delhi</t>
        </is>
      </c>
      <c r="AF154" t="inlineStr">
        <is>
          <t>2024-11</t>
        </is>
      </c>
      <c r="AG154" t="n">
        <v>11</v>
      </c>
      <c r="AH154" t="n">
        <v>1</v>
      </c>
      <c r="AI154" t="n">
        <v>0</v>
      </c>
      <c r="AJ154">
        <f>IF($AE154="","",IFERROR(VLOOKUP(TRIM($AE154),DECODE!$H$3:$I$60,2,FALSE),"Rest of India"))</f>
        <v/>
      </c>
      <c r="AK154">
        <f>IF($N154="","",UPPER(TRIM(LEFT($N154&amp;",",FIND(",",$N154&amp;",")-1))))</f>
        <v/>
      </c>
      <c r="AL154">
        <f>IF($AK154="","",MID($AK154,4,FIND("~",SUBSTITUTE($AK154,"-","~",2))-4))</f>
        <v/>
      </c>
      <c r="AM154">
        <f>IF($AK154="","",MID($AK154,FIND("~",SUBSTITUTE($AK154,"-","~",2))+1,FIND("~",SUBSTITUTE($AK154,"-","~",3))-FIND("~",SUBSTITUTE($AK154,"-","~",2))-1))</f>
        <v/>
      </c>
      <c r="AN154">
        <f>IF($AL154="","",IFERROR(VLOOKUP($AL154,DECODE!$A$3:$C$8,3,FALSE),"?"))</f>
        <v/>
      </c>
      <c r="AO154">
        <f>IF($AM154="","",IFERROR(VLOOKUP($AL154&amp;"-"&amp;$AM154,DECODE!$E$3:$F$21,2,FALSE),"?"))</f>
        <v/>
      </c>
      <c r="AP154">
        <f>IF($AK154="","",IFERROR(VALUE(RIGHT($AK154,3)),""))</f>
        <v/>
      </c>
      <c r="AQ154">
        <f>IF($T154="","",IFERROR(IF(ISNUMBER($T154),$T154,DATEVALUE(TRIM($T154))),""))</f>
        <v/>
      </c>
      <c r="AR154">
        <f>IF($AQ154="","",IF(MONTH($AQ154)&gt;=12,"Cold Winter",IF(MONTH($AQ154)&gt;=10,"Post-Monsoon",IF(MONTH($AQ154)&gt;=6,"Hot Humid",IF(MONTH($AQ154)&gt;=3,"Hot Dry","Cold Winter")))))</f>
        <v/>
      </c>
      <c r="AS154">
        <f>IF($AL154="","",IFERROR(VLOOKUP($AL154,DECODE!$A$3:$C$8,2,FALSE),"?"))</f>
        <v/>
      </c>
      <c r="AT154">
        <f>IF($O154="","",UPPER(TRIM(LEFT($O154&amp;",",FIND(",",$O154&amp;",")-1))))</f>
        <v/>
      </c>
      <c r="AU154">
        <f>IF($AT154="","",MID($AT154,4,FIND("~",SUBSTITUTE($AT154,"-","~",2))-4))</f>
        <v/>
      </c>
      <c r="AV154">
        <f>IF($AT154="","",MID($AT154,FIND("~",SUBSTITUTE($AT154,"-","~",2))+1,FIND("~",SUBSTITUTE($AT154,"-","~",3))-FIND("~",SUBSTITUTE($AT154,"-","~",2))-1))</f>
        <v/>
      </c>
      <c r="AW154">
        <f>IF($AU154="","",IFERROR(VLOOKUP($AU154,DECODE!$A$3:$C$8,3,FALSE),"?"))</f>
        <v/>
      </c>
      <c r="AX154">
        <f>IF($AV154="","",IFERROR(VLOOKUP($AU154&amp;"-"&amp;$AV154,DECODE!$E$3:$F$21,2,FALSE),"?"))</f>
        <v/>
      </c>
      <c r="AY154">
        <f>IF($AT154="","",IFERROR(VALUE(RIGHT($AT154,3)),""))</f>
        <v/>
      </c>
      <c r="AZ154">
        <f>IF($U154="","",IFERROR(IF(ISNUMBER($U154),$U154,DATEVALUE(TRIM($U154))),""))</f>
        <v/>
      </c>
      <c r="BA154">
        <f>IF($AZ154="","",IF(MONTH($AZ154)&gt;=12,"Cold Winter",IF(MONTH($AZ154)&gt;=10,"Post-Monsoon",IF(MONTH($AZ154)&gt;=6,"Hot Humid",IF(MONTH($AZ154)&gt;=3,"Hot Dry","Cold Winter")))))</f>
        <v/>
      </c>
      <c r="BB154">
        <f>IF($AU154="","",IFERROR(VLOOKUP($AU154,DECODE!$A$3:$C$8,2,FALSE),"?"))</f>
        <v/>
      </c>
      <c r="BC154">
        <f>IF($P154="","",UPPER(TRIM(LEFT($P154&amp;",",FIND(",",$P154&amp;",")-1))))</f>
        <v/>
      </c>
      <c r="BD154">
        <f>IF($BC154="","",MID($BC154,4,FIND("~",SUBSTITUTE($BC154,"-","~",2))-4))</f>
        <v/>
      </c>
      <c r="BE154">
        <f>IF($BC154="","",MID($BC154,FIND("~",SUBSTITUTE($BC154,"-","~",2))+1,FIND("~",SUBSTITUTE($BC154,"-","~",3))-FIND("~",SUBSTITUTE($BC154,"-","~",2))-1))</f>
        <v/>
      </c>
      <c r="BF154">
        <f>IF($BD154="","",IFERROR(VLOOKUP($BD154,DECODE!$A$3:$C$8,3,FALSE),"?"))</f>
        <v/>
      </c>
      <c r="BG154">
        <f>IF($BE154="","",IFERROR(VLOOKUP($BD154&amp;"-"&amp;$BE154,DECODE!$E$3:$F$21,2,FALSE),"?"))</f>
        <v/>
      </c>
      <c r="BH154">
        <f>IF($BC154="","",IFERROR(VALUE(RIGHT($BC154,3)),""))</f>
        <v/>
      </c>
      <c r="BI154">
        <f>IF($V154="","",IFERROR(IF(ISNUMBER($V154),$V154,DATEVALUE(TRIM($V154))),""))</f>
        <v/>
      </c>
      <c r="BJ154">
        <f>IF($BI154="","",IF(MONTH($BI154)&gt;=12,"Cold Winter",IF(MONTH($BI154)&gt;=10,"Post-Monsoon",IF(MONTH($BI154)&gt;=6,"Hot Humid",IF(MONTH($BI154)&gt;=3,"Hot Dry","Cold Winter")))))</f>
        <v/>
      </c>
      <c r="BK154">
        <f>IF($BD154="","",IFERROR(VLOOKUP($BD154,DECODE!$A$3:$C$8,2,FALSE),"?"))</f>
        <v/>
      </c>
      <c r="BL154">
        <f>IF($Q154="","",UPPER(TRIM(LEFT($Q154&amp;",",FIND(",",$Q154&amp;",")-1))))</f>
        <v/>
      </c>
      <c r="BM154">
        <f>IF($BL154="","",MID($BL154,4,FIND("~",SUBSTITUTE($BL154,"-","~",2))-4))</f>
        <v/>
      </c>
      <c r="BN154">
        <f>IF($BL154="","",MID($BL154,FIND("~",SUBSTITUTE($BL154,"-","~",2))+1,FIND("~",SUBSTITUTE($BL154,"-","~",3))-FIND("~",SUBSTITUTE($BL154,"-","~",2))-1))</f>
        <v/>
      </c>
      <c r="BO154">
        <f>IF($BM154="","",IFERROR(VLOOKUP($BM154,DECODE!$A$3:$C$8,3,FALSE),"?"))</f>
        <v/>
      </c>
      <c r="BP154">
        <f>IF($BN154="","",IFERROR(VLOOKUP($BM154&amp;"-"&amp;$BN154,DECODE!$E$3:$F$21,2,FALSE),"?"))</f>
        <v/>
      </c>
      <c r="BQ154">
        <f>IF($BL154="","",IFERROR(VALUE(RIGHT($BL154,3)),""))</f>
        <v/>
      </c>
      <c r="BR154">
        <f>IF($W154="","",IFERROR(IF(ISNUMBER($W154),$W154,DATEVALUE(TRIM($W154))),""))</f>
        <v/>
      </c>
      <c r="BS154">
        <f>IF($BR154="","",IF(MONTH($BR154)&gt;=12,"Cold Winter",IF(MONTH($BR154)&gt;=10,"Post-Monsoon",IF(MONTH($BR154)&gt;=6,"Hot Humid",IF(MONTH($BR154)&gt;=3,"Hot Dry","Cold Winter")))))</f>
        <v/>
      </c>
      <c r="BT154">
        <f>IF($BM154="","",IFERROR(VLOOKUP($BM154,DECODE!$A$3:$C$8,2,FALSE),"?"))</f>
        <v/>
      </c>
      <c r="BU154">
        <f>IF($R154="","",UPPER(TRIM(LEFT($R154&amp;",",FIND(",",$R154&amp;",")-1))))</f>
        <v/>
      </c>
      <c r="BV154">
        <f>IF($BU154="","",MID($BU154,4,FIND("~",SUBSTITUTE($BU154,"-","~",2))-4))</f>
        <v/>
      </c>
      <c r="BW154">
        <f>IF($BU154="","",MID($BU154,FIND("~",SUBSTITUTE($BU154,"-","~",2))+1,FIND("~",SUBSTITUTE($BU154,"-","~",3))-FIND("~",SUBSTITUTE($BU154,"-","~",2))-1))</f>
        <v/>
      </c>
      <c r="BX154">
        <f>IF($BV154="","",IFERROR(VLOOKUP($BV154,DECODE!$A$3:$C$8,3,FALSE),"?"))</f>
        <v/>
      </c>
      <c r="BY154">
        <f>IF($BW154="","",IFERROR(VLOOKUP($BV154&amp;"-"&amp;$BW154,DECODE!$E$3:$F$21,2,FALSE),"?"))</f>
        <v/>
      </c>
      <c r="BZ154">
        <f>IF($BU154="","",IFERROR(VALUE(RIGHT($BU154,3)),""))</f>
        <v/>
      </c>
      <c r="CA154">
        <f>IF($X154="","",IFERROR(IF(ISNUMBER($X154),$X154,DATEVALUE(TRIM($X154))),""))</f>
        <v/>
      </c>
      <c r="CB154">
        <f>IF($CA154="","",IF(MONTH($CA154)&gt;=12,"Cold Winter",IF(MONTH($CA154)&gt;=10,"Post-Monsoon",IF(MONTH($CA154)&gt;=6,"Hot Humid",IF(MONTH($CA154)&gt;=3,"Hot Dry","Cold Winter")))))</f>
        <v/>
      </c>
      <c r="CC154">
        <f>IF($BV154="","",IFERROR(VLOOKUP($BV154,DECODE!$A$3:$C$8,2,FALSE),"?"))</f>
        <v/>
      </c>
      <c r="CD154">
        <f>IF($S154="","",UPPER(TRIM(LEFT($S154&amp;",",FIND(",",$S154&amp;",")-1))))</f>
        <v/>
      </c>
      <c r="CE154">
        <f>IF($CD154="","",MID($CD154,4,FIND("~",SUBSTITUTE($CD154,"-","~",2))-4))</f>
        <v/>
      </c>
      <c r="CF154">
        <f>IF($CD154="","",MID($CD154,FIND("~",SUBSTITUTE($CD154,"-","~",2))+1,FIND("~",SUBSTITUTE($CD154,"-","~",3))-FIND("~",SUBSTITUTE($CD154,"-","~",2))-1))</f>
        <v/>
      </c>
      <c r="CG154">
        <f>IF($CE154="","",IFERROR(VLOOKUP($CE154,DECODE!$A$3:$C$8,3,FALSE),"?"))</f>
        <v/>
      </c>
      <c r="CH154">
        <f>IF($CF154="","",IFERROR(VLOOKUP($CE154&amp;"-"&amp;$CF154,DECODE!$E$3:$F$21,2,FALSE),"?"))</f>
        <v/>
      </c>
      <c r="CI154">
        <f>IF($CD154="","",IFERROR(VALUE(RIGHT($CD154,3)),""))</f>
        <v/>
      </c>
      <c r="CJ154">
        <f>IF($Y154="","",IFERROR(IF(ISNUMBER($Y154),$Y154,DATEVALUE(TRIM($Y154))),""))</f>
        <v/>
      </c>
      <c r="CK154">
        <f>IF($CJ154="","",IF(MONTH($CJ154)&gt;=12,"Cold Winter",IF(MONTH($CJ154)&gt;=10,"Post-Monsoon",IF(MONTH($CJ154)&gt;=6,"Hot Humid",IF(MONTH($CJ154)&gt;=3,"Hot Dry","Cold Winter")))))</f>
        <v/>
      </c>
      <c r="CL154">
        <f>IF($CE154="","",IFERROR(VLOOKUP($CE154,DECODE!$A$3:$C$8,2,FALSE),"?"))</f>
        <v/>
      </c>
      <c r="CM154">
        <f>IF($AN154="","",AN154)</f>
        <v/>
      </c>
      <c r="CN154">
        <f>IF($AO154="","",AO154)</f>
        <v/>
      </c>
      <c r="CO154">
        <f>IF($AP154="","",AP154)</f>
        <v/>
      </c>
      <c r="CP154">
        <f>IF($CM154="","",IF($CM154="Aloe Vera Gel","Aloe Vera Gel "&amp;$CO154&amp;"g",CN154&amp;" "&amp;$CO154&amp;"g"))</f>
        <v/>
      </c>
      <c r="CQ154">
        <f>IF($AT154="",0,1)</f>
        <v/>
      </c>
      <c r="CR154">
        <f>IF($CQ154=0,"",AW154)</f>
        <v/>
      </c>
      <c r="CS154">
        <f>IF($CQ154=0,"",AX154)</f>
        <v/>
      </c>
      <c r="CT154">
        <f>IF($CQ154=0,"",AY154)</f>
        <v/>
      </c>
      <c r="CU154">
        <f>IF($CR154="","",IF($CR154="Aloe Vera Gel","Aloe Vera Gel "&amp;$CT154&amp;"g",CS154&amp;" "&amp;$CT154&amp;"g"))</f>
        <v/>
      </c>
      <c r="CV154">
        <f>IF($CQ154=0,"",IF($CP154=$CU154,"Repeat Exact",IF($CT154&gt;$CO154,"Upsized",IF($CT154&lt;$CO154,"Downsized",IF($CM154&lt;&gt;$CR154,"Lateral","Same Size Diff Variant")))))</f>
        <v/>
      </c>
      <c r="CW154">
        <f>IF($CQ154=0,"",AZ154-AQ154)</f>
        <v/>
      </c>
      <c r="CX154">
        <f>IF($CQ154=0,0,IF(CS154=CN154,1,0))</f>
        <v/>
      </c>
      <c r="CY154">
        <f>IF($CQ154=0,0,IF(CR154=CM154,1,0))</f>
        <v/>
      </c>
      <c r="CZ154">
        <f>IF($A154="","",IF(AND(IF(DASHBOARD!$C$4="All",TRUE,$CM154=DASHBOARD!$C$4),IF(DASHBOARD!$C$6="All",TRUE,$CP154=DASHBOARD!$C$6),IF(DASHBOARD!$C$8="All",TRUE,$AF154&gt;=DASHBOARD!$C$8),IF(DASHBOARD!$C$10="All",TRUE,$AF154&lt;=DASHBOARD!$C$10),IF(DASHBOARD!$C$12="All",TRUE,$AH154=VALUE(DASHBOARD!$C$12)),IF(DASHBOARD!$C$14="All",TRUE,$AJ154=DASHBOARD!$C$14)),1,0))</f>
        <v/>
      </c>
    </row>
    <row r="155">
      <c r="A155" t="n">
        <v>113472</v>
      </c>
      <c r="B155" t="inlineStr">
        <is>
          <t>Aloe Vera Gel</t>
        </is>
      </c>
      <c r="C155" t="inlineStr">
        <is>
          <t>Face Malai</t>
        </is>
      </c>
      <c r="H155" t="inlineStr">
        <is>
          <t>Aloe Vera Gel - 40 gms</t>
        </is>
      </c>
      <c r="I155" t="inlineStr">
        <is>
          <t>Clove Tea-Tree (Anti-Acne) Face Malai</t>
        </is>
      </c>
      <c r="N155" t="inlineStr">
        <is>
          <t>FC-HG-PA-040</t>
        </is>
      </c>
      <c r="O155" t="inlineStr">
        <is>
          <t>FC-DM-AA-030</t>
        </is>
      </c>
      <c r="T155" t="inlineStr">
        <is>
          <t>Feb 6, 2024</t>
        </is>
      </c>
      <c r="U155" t="inlineStr">
        <is>
          <t>May 8, 2024</t>
        </is>
      </c>
      <c r="Z155" t="n">
        <v>92</v>
      </c>
      <c r="AE155" t="inlineStr">
        <is>
          <t>Faridabad</t>
        </is>
      </c>
      <c r="AF155" t="inlineStr">
        <is>
          <t>2024-02</t>
        </is>
      </c>
      <c r="AG155" t="n">
        <v>2</v>
      </c>
      <c r="AH155" t="n">
        <v>2</v>
      </c>
      <c r="AI155" t="n">
        <v>1</v>
      </c>
      <c r="AJ155">
        <f>IF($AE155="","",IFERROR(VLOOKUP(TRIM($AE155),DECODE!$H$3:$I$60,2,FALSE),"Rest of India"))</f>
        <v/>
      </c>
      <c r="AK155">
        <f>IF($N155="","",UPPER(TRIM(LEFT($N155&amp;",",FIND(",",$N155&amp;",")-1))))</f>
        <v/>
      </c>
      <c r="AL155">
        <f>IF($AK155="","",MID($AK155,4,FIND("~",SUBSTITUTE($AK155,"-","~",2))-4))</f>
        <v/>
      </c>
      <c r="AM155">
        <f>IF($AK155="","",MID($AK155,FIND("~",SUBSTITUTE($AK155,"-","~",2))+1,FIND("~",SUBSTITUTE($AK155,"-","~",3))-FIND("~",SUBSTITUTE($AK155,"-","~",2))-1))</f>
        <v/>
      </c>
      <c r="AN155">
        <f>IF($AL155="","",IFERROR(VLOOKUP($AL155,DECODE!$A$3:$C$8,3,FALSE),"?"))</f>
        <v/>
      </c>
      <c r="AO155">
        <f>IF($AM155="","",IFERROR(VLOOKUP($AL155&amp;"-"&amp;$AM155,DECODE!$E$3:$F$21,2,FALSE),"?"))</f>
        <v/>
      </c>
      <c r="AP155">
        <f>IF($AK155="","",IFERROR(VALUE(RIGHT($AK155,3)),""))</f>
        <v/>
      </c>
      <c r="AQ155">
        <f>IF($T155="","",IFERROR(IF(ISNUMBER($T155),$T155,DATEVALUE(TRIM($T155))),""))</f>
        <v/>
      </c>
      <c r="AR155">
        <f>IF($AQ155="","",IF(MONTH($AQ155)&gt;=12,"Cold Winter",IF(MONTH($AQ155)&gt;=10,"Post-Monsoon",IF(MONTH($AQ155)&gt;=6,"Hot Humid",IF(MONTH($AQ155)&gt;=3,"Hot Dry","Cold Winter")))))</f>
        <v/>
      </c>
      <c r="AS155">
        <f>IF($AL155="","",IFERROR(VLOOKUP($AL155,DECODE!$A$3:$C$8,2,FALSE),"?"))</f>
        <v/>
      </c>
      <c r="AT155">
        <f>IF($O155="","",UPPER(TRIM(LEFT($O155&amp;",",FIND(",",$O155&amp;",")-1))))</f>
        <v/>
      </c>
      <c r="AU155">
        <f>IF($AT155="","",MID($AT155,4,FIND("~",SUBSTITUTE($AT155,"-","~",2))-4))</f>
        <v/>
      </c>
      <c r="AV155">
        <f>IF($AT155="","",MID($AT155,FIND("~",SUBSTITUTE($AT155,"-","~",2))+1,FIND("~",SUBSTITUTE($AT155,"-","~",3))-FIND("~",SUBSTITUTE($AT155,"-","~",2))-1))</f>
        <v/>
      </c>
      <c r="AW155">
        <f>IF($AU155="","",IFERROR(VLOOKUP($AU155,DECODE!$A$3:$C$8,3,FALSE),"?"))</f>
        <v/>
      </c>
      <c r="AX155">
        <f>IF($AV155="","",IFERROR(VLOOKUP($AU155&amp;"-"&amp;$AV155,DECODE!$E$3:$F$21,2,FALSE),"?"))</f>
        <v/>
      </c>
      <c r="AY155">
        <f>IF($AT155="","",IFERROR(VALUE(RIGHT($AT155,3)),""))</f>
        <v/>
      </c>
      <c r="AZ155">
        <f>IF($U155="","",IFERROR(IF(ISNUMBER($U155),$U155,DATEVALUE(TRIM($U155))),""))</f>
        <v/>
      </c>
      <c r="BA155">
        <f>IF($AZ155="","",IF(MONTH($AZ155)&gt;=12,"Cold Winter",IF(MONTH($AZ155)&gt;=10,"Post-Monsoon",IF(MONTH($AZ155)&gt;=6,"Hot Humid",IF(MONTH($AZ155)&gt;=3,"Hot Dry","Cold Winter")))))</f>
        <v/>
      </c>
      <c r="BB155">
        <f>IF($AU155="","",IFERROR(VLOOKUP($AU155,DECODE!$A$3:$C$8,2,FALSE),"?"))</f>
        <v/>
      </c>
      <c r="BC155">
        <f>IF($P155="","",UPPER(TRIM(LEFT($P155&amp;",",FIND(",",$P155&amp;",")-1))))</f>
        <v/>
      </c>
      <c r="BD155">
        <f>IF($BC155="","",MID($BC155,4,FIND("~",SUBSTITUTE($BC155,"-","~",2))-4))</f>
        <v/>
      </c>
      <c r="BE155">
        <f>IF($BC155="","",MID($BC155,FIND("~",SUBSTITUTE($BC155,"-","~",2))+1,FIND("~",SUBSTITUTE($BC155,"-","~",3))-FIND("~",SUBSTITUTE($BC155,"-","~",2))-1))</f>
        <v/>
      </c>
      <c r="BF155">
        <f>IF($BD155="","",IFERROR(VLOOKUP($BD155,DECODE!$A$3:$C$8,3,FALSE),"?"))</f>
        <v/>
      </c>
      <c r="BG155">
        <f>IF($BE155="","",IFERROR(VLOOKUP($BD155&amp;"-"&amp;$BE155,DECODE!$E$3:$F$21,2,FALSE),"?"))</f>
        <v/>
      </c>
      <c r="BH155">
        <f>IF($BC155="","",IFERROR(VALUE(RIGHT($BC155,3)),""))</f>
        <v/>
      </c>
      <c r="BI155">
        <f>IF($V155="","",IFERROR(IF(ISNUMBER($V155),$V155,DATEVALUE(TRIM($V155))),""))</f>
        <v/>
      </c>
      <c r="BJ155">
        <f>IF($BI155="","",IF(MONTH($BI155)&gt;=12,"Cold Winter",IF(MONTH($BI155)&gt;=10,"Post-Monsoon",IF(MONTH($BI155)&gt;=6,"Hot Humid",IF(MONTH($BI155)&gt;=3,"Hot Dry","Cold Winter")))))</f>
        <v/>
      </c>
      <c r="BK155">
        <f>IF($BD155="","",IFERROR(VLOOKUP($BD155,DECODE!$A$3:$C$8,2,FALSE),"?"))</f>
        <v/>
      </c>
      <c r="BL155">
        <f>IF($Q155="","",UPPER(TRIM(LEFT($Q155&amp;",",FIND(",",$Q155&amp;",")-1))))</f>
        <v/>
      </c>
      <c r="BM155">
        <f>IF($BL155="","",MID($BL155,4,FIND("~",SUBSTITUTE($BL155,"-","~",2))-4))</f>
        <v/>
      </c>
      <c r="BN155">
        <f>IF($BL155="","",MID($BL155,FIND("~",SUBSTITUTE($BL155,"-","~",2))+1,FIND("~",SUBSTITUTE($BL155,"-","~",3))-FIND("~",SUBSTITUTE($BL155,"-","~",2))-1))</f>
        <v/>
      </c>
      <c r="BO155">
        <f>IF($BM155="","",IFERROR(VLOOKUP($BM155,DECODE!$A$3:$C$8,3,FALSE),"?"))</f>
        <v/>
      </c>
      <c r="BP155">
        <f>IF($BN155="","",IFERROR(VLOOKUP($BM155&amp;"-"&amp;$BN155,DECODE!$E$3:$F$21,2,FALSE),"?"))</f>
        <v/>
      </c>
      <c r="BQ155">
        <f>IF($BL155="","",IFERROR(VALUE(RIGHT($BL155,3)),""))</f>
        <v/>
      </c>
      <c r="BR155">
        <f>IF($W155="","",IFERROR(IF(ISNUMBER($W155),$W155,DATEVALUE(TRIM($W155))),""))</f>
        <v/>
      </c>
      <c r="BS155">
        <f>IF($BR155="","",IF(MONTH($BR155)&gt;=12,"Cold Winter",IF(MONTH($BR155)&gt;=10,"Post-Monsoon",IF(MONTH($BR155)&gt;=6,"Hot Humid",IF(MONTH($BR155)&gt;=3,"Hot Dry","Cold Winter")))))</f>
        <v/>
      </c>
      <c r="BT155">
        <f>IF($BM155="","",IFERROR(VLOOKUP($BM155,DECODE!$A$3:$C$8,2,FALSE),"?"))</f>
        <v/>
      </c>
      <c r="BU155">
        <f>IF($R155="","",UPPER(TRIM(LEFT($R155&amp;",",FIND(",",$R155&amp;",")-1))))</f>
        <v/>
      </c>
      <c r="BV155">
        <f>IF($BU155="","",MID($BU155,4,FIND("~",SUBSTITUTE($BU155,"-","~",2))-4))</f>
        <v/>
      </c>
      <c r="BW155">
        <f>IF($BU155="","",MID($BU155,FIND("~",SUBSTITUTE($BU155,"-","~",2))+1,FIND("~",SUBSTITUTE($BU155,"-","~",3))-FIND("~",SUBSTITUTE($BU155,"-","~",2))-1))</f>
        <v/>
      </c>
      <c r="BX155">
        <f>IF($BV155="","",IFERROR(VLOOKUP($BV155,DECODE!$A$3:$C$8,3,FALSE),"?"))</f>
        <v/>
      </c>
      <c r="BY155">
        <f>IF($BW155="","",IFERROR(VLOOKUP($BV155&amp;"-"&amp;$BW155,DECODE!$E$3:$F$21,2,FALSE),"?"))</f>
        <v/>
      </c>
      <c r="BZ155">
        <f>IF($BU155="","",IFERROR(VALUE(RIGHT($BU155,3)),""))</f>
        <v/>
      </c>
      <c r="CA155">
        <f>IF($X155="","",IFERROR(IF(ISNUMBER($X155),$X155,DATEVALUE(TRIM($X155))),""))</f>
        <v/>
      </c>
      <c r="CB155">
        <f>IF($CA155="","",IF(MONTH($CA155)&gt;=12,"Cold Winter",IF(MONTH($CA155)&gt;=10,"Post-Monsoon",IF(MONTH($CA155)&gt;=6,"Hot Humid",IF(MONTH($CA155)&gt;=3,"Hot Dry","Cold Winter")))))</f>
        <v/>
      </c>
      <c r="CC155">
        <f>IF($BV155="","",IFERROR(VLOOKUP($BV155,DECODE!$A$3:$C$8,2,FALSE),"?"))</f>
        <v/>
      </c>
      <c r="CD155">
        <f>IF($S155="","",UPPER(TRIM(LEFT($S155&amp;",",FIND(",",$S155&amp;",")-1))))</f>
        <v/>
      </c>
      <c r="CE155">
        <f>IF($CD155="","",MID($CD155,4,FIND("~",SUBSTITUTE($CD155,"-","~",2))-4))</f>
        <v/>
      </c>
      <c r="CF155">
        <f>IF($CD155="","",MID($CD155,FIND("~",SUBSTITUTE($CD155,"-","~",2))+1,FIND("~",SUBSTITUTE($CD155,"-","~",3))-FIND("~",SUBSTITUTE($CD155,"-","~",2))-1))</f>
        <v/>
      </c>
      <c r="CG155">
        <f>IF($CE155="","",IFERROR(VLOOKUP($CE155,DECODE!$A$3:$C$8,3,FALSE),"?"))</f>
        <v/>
      </c>
      <c r="CH155">
        <f>IF($CF155="","",IFERROR(VLOOKUP($CE155&amp;"-"&amp;$CF155,DECODE!$E$3:$F$21,2,FALSE),"?"))</f>
        <v/>
      </c>
      <c r="CI155">
        <f>IF($CD155="","",IFERROR(VALUE(RIGHT($CD155,3)),""))</f>
        <v/>
      </c>
      <c r="CJ155">
        <f>IF($Y155="","",IFERROR(IF(ISNUMBER($Y155),$Y155,DATEVALUE(TRIM($Y155))),""))</f>
        <v/>
      </c>
      <c r="CK155">
        <f>IF($CJ155="","",IF(MONTH($CJ155)&gt;=12,"Cold Winter",IF(MONTH($CJ155)&gt;=10,"Post-Monsoon",IF(MONTH($CJ155)&gt;=6,"Hot Humid",IF(MONTH($CJ155)&gt;=3,"Hot Dry","Cold Winter")))))</f>
        <v/>
      </c>
      <c r="CL155">
        <f>IF($CE155="","",IFERROR(VLOOKUP($CE155,DECODE!$A$3:$C$8,2,FALSE),"?"))</f>
        <v/>
      </c>
      <c r="CM155">
        <f>IF($AN155="","",AN155)</f>
        <v/>
      </c>
      <c r="CN155">
        <f>IF($AO155="","",AO155)</f>
        <v/>
      </c>
      <c r="CO155">
        <f>IF($AP155="","",AP155)</f>
        <v/>
      </c>
      <c r="CP155">
        <f>IF($CM155="","",IF($CM155="Aloe Vera Gel","Aloe Vera Gel "&amp;$CO155&amp;"g",CN155&amp;" "&amp;$CO155&amp;"g"))</f>
        <v/>
      </c>
      <c r="CQ155">
        <f>IF($AT155="",0,1)</f>
        <v/>
      </c>
      <c r="CR155">
        <f>IF($CQ155=0,"",AW155)</f>
        <v/>
      </c>
      <c r="CS155">
        <f>IF($CQ155=0,"",AX155)</f>
        <v/>
      </c>
      <c r="CT155">
        <f>IF($CQ155=0,"",AY155)</f>
        <v/>
      </c>
      <c r="CU155">
        <f>IF($CR155="","",IF($CR155="Aloe Vera Gel","Aloe Vera Gel "&amp;$CT155&amp;"g",CS155&amp;" "&amp;$CT155&amp;"g"))</f>
        <v/>
      </c>
      <c r="CV155">
        <f>IF($CQ155=0,"",IF($CP155=$CU155,"Repeat Exact",IF($CT155&gt;$CO155,"Upsized",IF($CT155&lt;$CO155,"Downsized",IF($CM155&lt;&gt;$CR155,"Lateral","Same Size Diff Variant")))))</f>
        <v/>
      </c>
      <c r="CW155">
        <f>IF($CQ155=0,"",AZ155-AQ155)</f>
        <v/>
      </c>
      <c r="CX155">
        <f>IF($CQ155=0,0,IF(CS155=CN155,1,0))</f>
        <v/>
      </c>
      <c r="CY155">
        <f>IF($CQ155=0,0,IF(CR155=CM155,1,0))</f>
        <v/>
      </c>
      <c r="CZ155">
        <f>IF($A155="","",IF(AND(IF(DASHBOARD!$C$4="All",TRUE,$CM155=DASHBOARD!$C$4),IF(DASHBOARD!$C$6="All",TRUE,$CP155=DASHBOARD!$C$6),IF(DASHBOARD!$C$8="All",TRUE,$AF155&gt;=DASHBOARD!$C$8),IF(DASHBOARD!$C$10="All",TRUE,$AF155&lt;=DASHBOARD!$C$10),IF(DASHBOARD!$C$12="All",TRUE,$AH155=VALUE(DASHBOARD!$C$12)),IF(DASHBOARD!$C$14="All",TRUE,$AJ155=DASHBOARD!$C$14)),1,0))</f>
        <v/>
      </c>
    </row>
    <row r="156">
      <c r="A156" t="n">
        <v>113924</v>
      </c>
      <c r="B156" t="inlineStr">
        <is>
          <t>Aloe Vera Gel</t>
        </is>
      </c>
      <c r="H156" t="inlineStr">
        <is>
          <t>Aloe Vera Gel - 80 gms</t>
        </is>
      </c>
      <c r="N156" t="inlineStr">
        <is>
          <t>FC-HG-PA-080</t>
        </is>
      </c>
      <c r="T156" t="inlineStr">
        <is>
          <t>Mar 9, 2025</t>
        </is>
      </c>
      <c r="AE156" t="inlineStr">
        <is>
          <t>Mumbai</t>
        </is>
      </c>
      <c r="AF156" t="inlineStr">
        <is>
          <t>2025-03</t>
        </is>
      </c>
      <c r="AG156" t="n">
        <v>3</v>
      </c>
      <c r="AH156" t="n">
        <v>1</v>
      </c>
      <c r="AI156" t="n">
        <v>0</v>
      </c>
      <c r="AJ156">
        <f>IF($AE156="","",IFERROR(VLOOKUP(TRIM($AE156),DECODE!$H$3:$I$60,2,FALSE),"Rest of India"))</f>
        <v/>
      </c>
      <c r="AK156">
        <f>IF($N156="","",UPPER(TRIM(LEFT($N156&amp;",",FIND(",",$N156&amp;",")-1))))</f>
        <v/>
      </c>
      <c r="AL156">
        <f>IF($AK156="","",MID($AK156,4,FIND("~",SUBSTITUTE($AK156,"-","~",2))-4))</f>
        <v/>
      </c>
      <c r="AM156">
        <f>IF($AK156="","",MID($AK156,FIND("~",SUBSTITUTE($AK156,"-","~",2))+1,FIND("~",SUBSTITUTE($AK156,"-","~",3))-FIND("~",SUBSTITUTE($AK156,"-","~",2))-1))</f>
        <v/>
      </c>
      <c r="AN156">
        <f>IF($AL156="","",IFERROR(VLOOKUP($AL156,DECODE!$A$3:$C$8,3,FALSE),"?"))</f>
        <v/>
      </c>
      <c r="AO156">
        <f>IF($AM156="","",IFERROR(VLOOKUP($AL156&amp;"-"&amp;$AM156,DECODE!$E$3:$F$21,2,FALSE),"?"))</f>
        <v/>
      </c>
      <c r="AP156">
        <f>IF($AK156="","",IFERROR(VALUE(RIGHT($AK156,3)),""))</f>
        <v/>
      </c>
      <c r="AQ156">
        <f>IF($T156="","",IFERROR(IF(ISNUMBER($T156),$T156,DATEVALUE(TRIM($T156))),""))</f>
        <v/>
      </c>
      <c r="AR156">
        <f>IF($AQ156="","",IF(MONTH($AQ156)&gt;=12,"Cold Winter",IF(MONTH($AQ156)&gt;=10,"Post-Monsoon",IF(MONTH($AQ156)&gt;=6,"Hot Humid",IF(MONTH($AQ156)&gt;=3,"Hot Dry","Cold Winter")))))</f>
        <v/>
      </c>
      <c r="AS156">
        <f>IF($AL156="","",IFERROR(VLOOKUP($AL156,DECODE!$A$3:$C$8,2,FALSE),"?"))</f>
        <v/>
      </c>
      <c r="AT156">
        <f>IF($O156="","",UPPER(TRIM(LEFT($O156&amp;",",FIND(",",$O156&amp;",")-1))))</f>
        <v/>
      </c>
      <c r="AU156">
        <f>IF($AT156="","",MID($AT156,4,FIND("~",SUBSTITUTE($AT156,"-","~",2))-4))</f>
        <v/>
      </c>
      <c r="AV156">
        <f>IF($AT156="","",MID($AT156,FIND("~",SUBSTITUTE($AT156,"-","~",2))+1,FIND("~",SUBSTITUTE($AT156,"-","~",3))-FIND("~",SUBSTITUTE($AT156,"-","~",2))-1))</f>
        <v/>
      </c>
      <c r="AW156">
        <f>IF($AU156="","",IFERROR(VLOOKUP($AU156,DECODE!$A$3:$C$8,3,FALSE),"?"))</f>
        <v/>
      </c>
      <c r="AX156">
        <f>IF($AV156="","",IFERROR(VLOOKUP($AU156&amp;"-"&amp;$AV156,DECODE!$E$3:$F$21,2,FALSE),"?"))</f>
        <v/>
      </c>
      <c r="AY156">
        <f>IF($AT156="","",IFERROR(VALUE(RIGHT($AT156,3)),""))</f>
        <v/>
      </c>
      <c r="AZ156">
        <f>IF($U156="","",IFERROR(IF(ISNUMBER($U156),$U156,DATEVALUE(TRIM($U156))),""))</f>
        <v/>
      </c>
      <c r="BA156">
        <f>IF($AZ156="","",IF(MONTH($AZ156)&gt;=12,"Cold Winter",IF(MONTH($AZ156)&gt;=10,"Post-Monsoon",IF(MONTH($AZ156)&gt;=6,"Hot Humid",IF(MONTH($AZ156)&gt;=3,"Hot Dry","Cold Winter")))))</f>
        <v/>
      </c>
      <c r="BB156">
        <f>IF($AU156="","",IFERROR(VLOOKUP($AU156,DECODE!$A$3:$C$8,2,FALSE),"?"))</f>
        <v/>
      </c>
      <c r="BC156">
        <f>IF($P156="","",UPPER(TRIM(LEFT($P156&amp;",",FIND(",",$P156&amp;",")-1))))</f>
        <v/>
      </c>
      <c r="BD156">
        <f>IF($BC156="","",MID($BC156,4,FIND("~",SUBSTITUTE($BC156,"-","~",2))-4))</f>
        <v/>
      </c>
      <c r="BE156">
        <f>IF($BC156="","",MID($BC156,FIND("~",SUBSTITUTE($BC156,"-","~",2))+1,FIND("~",SUBSTITUTE($BC156,"-","~",3))-FIND("~",SUBSTITUTE($BC156,"-","~",2))-1))</f>
        <v/>
      </c>
      <c r="BF156">
        <f>IF($BD156="","",IFERROR(VLOOKUP($BD156,DECODE!$A$3:$C$8,3,FALSE),"?"))</f>
        <v/>
      </c>
      <c r="BG156">
        <f>IF($BE156="","",IFERROR(VLOOKUP($BD156&amp;"-"&amp;$BE156,DECODE!$E$3:$F$21,2,FALSE),"?"))</f>
        <v/>
      </c>
      <c r="BH156">
        <f>IF($BC156="","",IFERROR(VALUE(RIGHT($BC156,3)),""))</f>
        <v/>
      </c>
      <c r="BI156">
        <f>IF($V156="","",IFERROR(IF(ISNUMBER($V156),$V156,DATEVALUE(TRIM($V156))),""))</f>
        <v/>
      </c>
      <c r="BJ156">
        <f>IF($BI156="","",IF(MONTH($BI156)&gt;=12,"Cold Winter",IF(MONTH($BI156)&gt;=10,"Post-Monsoon",IF(MONTH($BI156)&gt;=6,"Hot Humid",IF(MONTH($BI156)&gt;=3,"Hot Dry","Cold Winter")))))</f>
        <v/>
      </c>
      <c r="BK156">
        <f>IF($BD156="","",IFERROR(VLOOKUP($BD156,DECODE!$A$3:$C$8,2,FALSE),"?"))</f>
        <v/>
      </c>
      <c r="BL156">
        <f>IF($Q156="","",UPPER(TRIM(LEFT($Q156&amp;",",FIND(",",$Q156&amp;",")-1))))</f>
        <v/>
      </c>
      <c r="BM156">
        <f>IF($BL156="","",MID($BL156,4,FIND("~",SUBSTITUTE($BL156,"-","~",2))-4))</f>
        <v/>
      </c>
      <c r="BN156">
        <f>IF($BL156="","",MID($BL156,FIND("~",SUBSTITUTE($BL156,"-","~",2))+1,FIND("~",SUBSTITUTE($BL156,"-","~",3))-FIND("~",SUBSTITUTE($BL156,"-","~",2))-1))</f>
        <v/>
      </c>
      <c r="BO156">
        <f>IF($BM156="","",IFERROR(VLOOKUP($BM156,DECODE!$A$3:$C$8,3,FALSE),"?"))</f>
        <v/>
      </c>
      <c r="BP156">
        <f>IF($BN156="","",IFERROR(VLOOKUP($BM156&amp;"-"&amp;$BN156,DECODE!$E$3:$F$21,2,FALSE),"?"))</f>
        <v/>
      </c>
      <c r="BQ156">
        <f>IF($BL156="","",IFERROR(VALUE(RIGHT($BL156,3)),""))</f>
        <v/>
      </c>
      <c r="BR156">
        <f>IF($W156="","",IFERROR(IF(ISNUMBER($W156),$W156,DATEVALUE(TRIM($W156))),""))</f>
        <v/>
      </c>
      <c r="BS156">
        <f>IF($BR156="","",IF(MONTH($BR156)&gt;=12,"Cold Winter",IF(MONTH($BR156)&gt;=10,"Post-Monsoon",IF(MONTH($BR156)&gt;=6,"Hot Humid",IF(MONTH($BR156)&gt;=3,"Hot Dry","Cold Winter")))))</f>
        <v/>
      </c>
      <c r="BT156">
        <f>IF($BM156="","",IFERROR(VLOOKUP($BM156,DECODE!$A$3:$C$8,2,FALSE),"?"))</f>
        <v/>
      </c>
      <c r="BU156">
        <f>IF($R156="","",UPPER(TRIM(LEFT($R156&amp;",",FIND(",",$R156&amp;",")-1))))</f>
        <v/>
      </c>
      <c r="BV156">
        <f>IF($BU156="","",MID($BU156,4,FIND("~",SUBSTITUTE($BU156,"-","~",2))-4))</f>
        <v/>
      </c>
      <c r="BW156">
        <f>IF($BU156="","",MID($BU156,FIND("~",SUBSTITUTE($BU156,"-","~",2))+1,FIND("~",SUBSTITUTE($BU156,"-","~",3))-FIND("~",SUBSTITUTE($BU156,"-","~",2))-1))</f>
        <v/>
      </c>
      <c r="BX156">
        <f>IF($BV156="","",IFERROR(VLOOKUP($BV156,DECODE!$A$3:$C$8,3,FALSE),"?"))</f>
        <v/>
      </c>
      <c r="BY156">
        <f>IF($BW156="","",IFERROR(VLOOKUP($BV156&amp;"-"&amp;$BW156,DECODE!$E$3:$F$21,2,FALSE),"?"))</f>
        <v/>
      </c>
      <c r="BZ156">
        <f>IF($BU156="","",IFERROR(VALUE(RIGHT($BU156,3)),""))</f>
        <v/>
      </c>
      <c r="CA156">
        <f>IF($X156="","",IFERROR(IF(ISNUMBER($X156),$X156,DATEVALUE(TRIM($X156))),""))</f>
        <v/>
      </c>
      <c r="CB156">
        <f>IF($CA156="","",IF(MONTH($CA156)&gt;=12,"Cold Winter",IF(MONTH($CA156)&gt;=10,"Post-Monsoon",IF(MONTH($CA156)&gt;=6,"Hot Humid",IF(MONTH($CA156)&gt;=3,"Hot Dry","Cold Winter")))))</f>
        <v/>
      </c>
      <c r="CC156">
        <f>IF($BV156="","",IFERROR(VLOOKUP($BV156,DECODE!$A$3:$C$8,2,FALSE),"?"))</f>
        <v/>
      </c>
      <c r="CD156">
        <f>IF($S156="","",UPPER(TRIM(LEFT($S156&amp;",",FIND(",",$S156&amp;",")-1))))</f>
        <v/>
      </c>
      <c r="CE156">
        <f>IF($CD156="","",MID($CD156,4,FIND("~",SUBSTITUTE($CD156,"-","~",2))-4))</f>
        <v/>
      </c>
      <c r="CF156">
        <f>IF($CD156="","",MID($CD156,FIND("~",SUBSTITUTE($CD156,"-","~",2))+1,FIND("~",SUBSTITUTE($CD156,"-","~",3))-FIND("~",SUBSTITUTE($CD156,"-","~",2))-1))</f>
        <v/>
      </c>
      <c r="CG156">
        <f>IF($CE156="","",IFERROR(VLOOKUP($CE156,DECODE!$A$3:$C$8,3,FALSE),"?"))</f>
        <v/>
      </c>
      <c r="CH156">
        <f>IF($CF156="","",IFERROR(VLOOKUP($CE156&amp;"-"&amp;$CF156,DECODE!$E$3:$F$21,2,FALSE),"?"))</f>
        <v/>
      </c>
      <c r="CI156">
        <f>IF($CD156="","",IFERROR(VALUE(RIGHT($CD156,3)),""))</f>
        <v/>
      </c>
      <c r="CJ156">
        <f>IF($Y156="","",IFERROR(IF(ISNUMBER($Y156),$Y156,DATEVALUE(TRIM($Y156))),""))</f>
        <v/>
      </c>
      <c r="CK156">
        <f>IF($CJ156="","",IF(MONTH($CJ156)&gt;=12,"Cold Winter",IF(MONTH($CJ156)&gt;=10,"Post-Monsoon",IF(MONTH($CJ156)&gt;=6,"Hot Humid",IF(MONTH($CJ156)&gt;=3,"Hot Dry","Cold Winter")))))</f>
        <v/>
      </c>
      <c r="CL156">
        <f>IF($CE156="","",IFERROR(VLOOKUP($CE156,DECODE!$A$3:$C$8,2,FALSE),"?"))</f>
        <v/>
      </c>
      <c r="CM156">
        <f>IF($AN156="","",AN156)</f>
        <v/>
      </c>
      <c r="CN156">
        <f>IF($AO156="","",AO156)</f>
        <v/>
      </c>
      <c r="CO156">
        <f>IF($AP156="","",AP156)</f>
        <v/>
      </c>
      <c r="CP156">
        <f>IF($CM156="","",IF($CM156="Aloe Vera Gel","Aloe Vera Gel "&amp;$CO156&amp;"g",CN156&amp;" "&amp;$CO156&amp;"g"))</f>
        <v/>
      </c>
      <c r="CQ156">
        <f>IF($AT156="",0,1)</f>
        <v/>
      </c>
      <c r="CR156">
        <f>IF($CQ156=0,"",AW156)</f>
        <v/>
      </c>
      <c r="CS156">
        <f>IF($CQ156=0,"",AX156)</f>
        <v/>
      </c>
      <c r="CT156">
        <f>IF($CQ156=0,"",AY156)</f>
        <v/>
      </c>
      <c r="CU156">
        <f>IF($CR156="","",IF($CR156="Aloe Vera Gel","Aloe Vera Gel "&amp;$CT156&amp;"g",CS156&amp;" "&amp;$CT156&amp;"g"))</f>
        <v/>
      </c>
      <c r="CV156">
        <f>IF($CQ156=0,"",IF($CP156=$CU156,"Repeat Exact",IF($CT156&gt;$CO156,"Upsized",IF($CT156&lt;$CO156,"Downsized",IF($CM156&lt;&gt;$CR156,"Lateral","Same Size Diff Variant")))))</f>
        <v/>
      </c>
      <c r="CW156">
        <f>IF($CQ156=0,"",AZ156-AQ156)</f>
        <v/>
      </c>
      <c r="CX156">
        <f>IF($CQ156=0,0,IF(CS156=CN156,1,0))</f>
        <v/>
      </c>
      <c r="CY156">
        <f>IF($CQ156=0,0,IF(CR156=CM156,1,0))</f>
        <v/>
      </c>
      <c r="CZ156">
        <f>IF($A156="","",IF(AND(IF(DASHBOARD!$C$4="All",TRUE,$CM156=DASHBOARD!$C$4),IF(DASHBOARD!$C$6="All",TRUE,$CP156=DASHBOARD!$C$6),IF(DASHBOARD!$C$8="All",TRUE,$AF156&gt;=DASHBOARD!$C$8),IF(DASHBOARD!$C$10="All",TRUE,$AF156&lt;=DASHBOARD!$C$10),IF(DASHBOARD!$C$12="All",TRUE,$AH156=VALUE(DASHBOARD!$C$12)),IF(DASHBOARD!$C$14="All",TRUE,$AJ156=DASHBOARD!$C$14)),1,0))</f>
        <v/>
      </c>
    </row>
    <row r="157">
      <c r="A157" t="n">
        <v>114043</v>
      </c>
      <c r="B157" t="inlineStr">
        <is>
          <t>Aloe Vera Gel</t>
        </is>
      </c>
      <c r="H157" t="inlineStr">
        <is>
          <t>Aloe Vera Gel - 80 gms</t>
        </is>
      </c>
      <c r="N157" t="inlineStr">
        <is>
          <t>FC-HG-PA-080</t>
        </is>
      </c>
      <c r="T157" t="inlineStr">
        <is>
          <t>Oct 14, 2025</t>
        </is>
      </c>
      <c r="AE157" t="inlineStr">
        <is>
          <t>Hyderabad</t>
        </is>
      </c>
      <c r="AF157" t="inlineStr">
        <is>
          <t>2025-10</t>
        </is>
      </c>
      <c r="AG157" t="n">
        <v>10</v>
      </c>
      <c r="AH157" t="n">
        <v>1</v>
      </c>
      <c r="AI157" t="n">
        <v>0</v>
      </c>
      <c r="AJ157">
        <f>IF($AE157="","",IFERROR(VLOOKUP(TRIM($AE157),DECODE!$H$3:$I$60,2,FALSE),"Rest of India"))</f>
        <v/>
      </c>
      <c r="AK157">
        <f>IF($N157="","",UPPER(TRIM(LEFT($N157&amp;",",FIND(",",$N157&amp;",")-1))))</f>
        <v/>
      </c>
      <c r="AL157">
        <f>IF($AK157="","",MID($AK157,4,FIND("~",SUBSTITUTE($AK157,"-","~",2))-4))</f>
        <v/>
      </c>
      <c r="AM157">
        <f>IF($AK157="","",MID($AK157,FIND("~",SUBSTITUTE($AK157,"-","~",2))+1,FIND("~",SUBSTITUTE($AK157,"-","~",3))-FIND("~",SUBSTITUTE($AK157,"-","~",2))-1))</f>
        <v/>
      </c>
      <c r="AN157">
        <f>IF($AL157="","",IFERROR(VLOOKUP($AL157,DECODE!$A$3:$C$8,3,FALSE),"?"))</f>
        <v/>
      </c>
      <c r="AO157">
        <f>IF($AM157="","",IFERROR(VLOOKUP($AL157&amp;"-"&amp;$AM157,DECODE!$E$3:$F$21,2,FALSE),"?"))</f>
        <v/>
      </c>
      <c r="AP157">
        <f>IF($AK157="","",IFERROR(VALUE(RIGHT($AK157,3)),""))</f>
        <v/>
      </c>
      <c r="AQ157">
        <f>IF($T157="","",IFERROR(IF(ISNUMBER($T157),$T157,DATEVALUE(TRIM($T157))),""))</f>
        <v/>
      </c>
      <c r="AR157">
        <f>IF($AQ157="","",IF(MONTH($AQ157)&gt;=12,"Cold Winter",IF(MONTH($AQ157)&gt;=10,"Post-Monsoon",IF(MONTH($AQ157)&gt;=6,"Hot Humid",IF(MONTH($AQ157)&gt;=3,"Hot Dry","Cold Winter")))))</f>
        <v/>
      </c>
      <c r="AS157">
        <f>IF($AL157="","",IFERROR(VLOOKUP($AL157,DECODE!$A$3:$C$8,2,FALSE),"?"))</f>
        <v/>
      </c>
      <c r="AT157">
        <f>IF($O157="","",UPPER(TRIM(LEFT($O157&amp;",",FIND(",",$O157&amp;",")-1))))</f>
        <v/>
      </c>
      <c r="AU157">
        <f>IF($AT157="","",MID($AT157,4,FIND("~",SUBSTITUTE($AT157,"-","~",2))-4))</f>
        <v/>
      </c>
      <c r="AV157">
        <f>IF($AT157="","",MID($AT157,FIND("~",SUBSTITUTE($AT157,"-","~",2))+1,FIND("~",SUBSTITUTE($AT157,"-","~",3))-FIND("~",SUBSTITUTE($AT157,"-","~",2))-1))</f>
        <v/>
      </c>
      <c r="AW157">
        <f>IF($AU157="","",IFERROR(VLOOKUP($AU157,DECODE!$A$3:$C$8,3,FALSE),"?"))</f>
        <v/>
      </c>
      <c r="AX157">
        <f>IF($AV157="","",IFERROR(VLOOKUP($AU157&amp;"-"&amp;$AV157,DECODE!$E$3:$F$21,2,FALSE),"?"))</f>
        <v/>
      </c>
      <c r="AY157">
        <f>IF($AT157="","",IFERROR(VALUE(RIGHT($AT157,3)),""))</f>
        <v/>
      </c>
      <c r="AZ157">
        <f>IF($U157="","",IFERROR(IF(ISNUMBER($U157),$U157,DATEVALUE(TRIM($U157))),""))</f>
        <v/>
      </c>
      <c r="BA157">
        <f>IF($AZ157="","",IF(MONTH($AZ157)&gt;=12,"Cold Winter",IF(MONTH($AZ157)&gt;=10,"Post-Monsoon",IF(MONTH($AZ157)&gt;=6,"Hot Humid",IF(MONTH($AZ157)&gt;=3,"Hot Dry","Cold Winter")))))</f>
        <v/>
      </c>
      <c r="BB157">
        <f>IF($AU157="","",IFERROR(VLOOKUP($AU157,DECODE!$A$3:$C$8,2,FALSE),"?"))</f>
        <v/>
      </c>
      <c r="BC157">
        <f>IF($P157="","",UPPER(TRIM(LEFT($P157&amp;",",FIND(",",$P157&amp;",")-1))))</f>
        <v/>
      </c>
      <c r="BD157">
        <f>IF($BC157="","",MID($BC157,4,FIND("~",SUBSTITUTE($BC157,"-","~",2))-4))</f>
        <v/>
      </c>
      <c r="BE157">
        <f>IF($BC157="","",MID($BC157,FIND("~",SUBSTITUTE($BC157,"-","~",2))+1,FIND("~",SUBSTITUTE($BC157,"-","~",3))-FIND("~",SUBSTITUTE($BC157,"-","~",2))-1))</f>
        <v/>
      </c>
      <c r="BF157">
        <f>IF($BD157="","",IFERROR(VLOOKUP($BD157,DECODE!$A$3:$C$8,3,FALSE),"?"))</f>
        <v/>
      </c>
      <c r="BG157">
        <f>IF($BE157="","",IFERROR(VLOOKUP($BD157&amp;"-"&amp;$BE157,DECODE!$E$3:$F$21,2,FALSE),"?"))</f>
        <v/>
      </c>
      <c r="BH157">
        <f>IF($BC157="","",IFERROR(VALUE(RIGHT($BC157,3)),""))</f>
        <v/>
      </c>
      <c r="BI157">
        <f>IF($V157="","",IFERROR(IF(ISNUMBER($V157),$V157,DATEVALUE(TRIM($V157))),""))</f>
        <v/>
      </c>
      <c r="BJ157">
        <f>IF($BI157="","",IF(MONTH($BI157)&gt;=12,"Cold Winter",IF(MONTH($BI157)&gt;=10,"Post-Monsoon",IF(MONTH($BI157)&gt;=6,"Hot Humid",IF(MONTH($BI157)&gt;=3,"Hot Dry","Cold Winter")))))</f>
        <v/>
      </c>
      <c r="BK157">
        <f>IF($BD157="","",IFERROR(VLOOKUP($BD157,DECODE!$A$3:$C$8,2,FALSE),"?"))</f>
        <v/>
      </c>
      <c r="BL157">
        <f>IF($Q157="","",UPPER(TRIM(LEFT($Q157&amp;",",FIND(",",$Q157&amp;",")-1))))</f>
        <v/>
      </c>
      <c r="BM157">
        <f>IF($BL157="","",MID($BL157,4,FIND("~",SUBSTITUTE($BL157,"-","~",2))-4))</f>
        <v/>
      </c>
      <c r="BN157">
        <f>IF($BL157="","",MID($BL157,FIND("~",SUBSTITUTE($BL157,"-","~",2))+1,FIND("~",SUBSTITUTE($BL157,"-","~",3))-FIND("~",SUBSTITUTE($BL157,"-","~",2))-1))</f>
        <v/>
      </c>
      <c r="BO157">
        <f>IF($BM157="","",IFERROR(VLOOKUP($BM157,DECODE!$A$3:$C$8,3,FALSE),"?"))</f>
        <v/>
      </c>
      <c r="BP157">
        <f>IF($BN157="","",IFERROR(VLOOKUP($BM157&amp;"-"&amp;$BN157,DECODE!$E$3:$F$21,2,FALSE),"?"))</f>
        <v/>
      </c>
      <c r="BQ157">
        <f>IF($BL157="","",IFERROR(VALUE(RIGHT($BL157,3)),""))</f>
        <v/>
      </c>
      <c r="BR157">
        <f>IF($W157="","",IFERROR(IF(ISNUMBER($W157),$W157,DATEVALUE(TRIM($W157))),""))</f>
        <v/>
      </c>
      <c r="BS157">
        <f>IF($BR157="","",IF(MONTH($BR157)&gt;=12,"Cold Winter",IF(MONTH($BR157)&gt;=10,"Post-Monsoon",IF(MONTH($BR157)&gt;=6,"Hot Humid",IF(MONTH($BR157)&gt;=3,"Hot Dry","Cold Winter")))))</f>
        <v/>
      </c>
      <c r="BT157">
        <f>IF($BM157="","",IFERROR(VLOOKUP($BM157,DECODE!$A$3:$C$8,2,FALSE),"?"))</f>
        <v/>
      </c>
      <c r="BU157">
        <f>IF($R157="","",UPPER(TRIM(LEFT($R157&amp;",",FIND(",",$R157&amp;",")-1))))</f>
        <v/>
      </c>
      <c r="BV157">
        <f>IF($BU157="","",MID($BU157,4,FIND("~",SUBSTITUTE($BU157,"-","~",2))-4))</f>
        <v/>
      </c>
      <c r="BW157">
        <f>IF($BU157="","",MID($BU157,FIND("~",SUBSTITUTE($BU157,"-","~",2))+1,FIND("~",SUBSTITUTE($BU157,"-","~",3))-FIND("~",SUBSTITUTE($BU157,"-","~",2))-1))</f>
        <v/>
      </c>
      <c r="BX157">
        <f>IF($BV157="","",IFERROR(VLOOKUP($BV157,DECODE!$A$3:$C$8,3,FALSE),"?"))</f>
        <v/>
      </c>
      <c r="BY157">
        <f>IF($BW157="","",IFERROR(VLOOKUP($BV157&amp;"-"&amp;$BW157,DECODE!$E$3:$F$21,2,FALSE),"?"))</f>
        <v/>
      </c>
      <c r="BZ157">
        <f>IF($BU157="","",IFERROR(VALUE(RIGHT($BU157,3)),""))</f>
        <v/>
      </c>
      <c r="CA157">
        <f>IF($X157="","",IFERROR(IF(ISNUMBER($X157),$X157,DATEVALUE(TRIM($X157))),""))</f>
        <v/>
      </c>
      <c r="CB157">
        <f>IF($CA157="","",IF(MONTH($CA157)&gt;=12,"Cold Winter",IF(MONTH($CA157)&gt;=10,"Post-Monsoon",IF(MONTH($CA157)&gt;=6,"Hot Humid",IF(MONTH($CA157)&gt;=3,"Hot Dry","Cold Winter")))))</f>
        <v/>
      </c>
      <c r="CC157">
        <f>IF($BV157="","",IFERROR(VLOOKUP($BV157,DECODE!$A$3:$C$8,2,FALSE),"?"))</f>
        <v/>
      </c>
      <c r="CD157">
        <f>IF($S157="","",UPPER(TRIM(LEFT($S157&amp;",",FIND(",",$S157&amp;",")-1))))</f>
        <v/>
      </c>
      <c r="CE157">
        <f>IF($CD157="","",MID($CD157,4,FIND("~",SUBSTITUTE($CD157,"-","~",2))-4))</f>
        <v/>
      </c>
      <c r="CF157">
        <f>IF($CD157="","",MID($CD157,FIND("~",SUBSTITUTE($CD157,"-","~",2))+1,FIND("~",SUBSTITUTE($CD157,"-","~",3))-FIND("~",SUBSTITUTE($CD157,"-","~",2))-1))</f>
        <v/>
      </c>
      <c r="CG157">
        <f>IF($CE157="","",IFERROR(VLOOKUP($CE157,DECODE!$A$3:$C$8,3,FALSE),"?"))</f>
        <v/>
      </c>
      <c r="CH157">
        <f>IF($CF157="","",IFERROR(VLOOKUP($CE157&amp;"-"&amp;$CF157,DECODE!$E$3:$F$21,2,FALSE),"?"))</f>
        <v/>
      </c>
      <c r="CI157">
        <f>IF($CD157="","",IFERROR(VALUE(RIGHT($CD157,3)),""))</f>
        <v/>
      </c>
      <c r="CJ157">
        <f>IF($Y157="","",IFERROR(IF(ISNUMBER($Y157),$Y157,DATEVALUE(TRIM($Y157))),""))</f>
        <v/>
      </c>
      <c r="CK157">
        <f>IF($CJ157="","",IF(MONTH($CJ157)&gt;=12,"Cold Winter",IF(MONTH($CJ157)&gt;=10,"Post-Monsoon",IF(MONTH($CJ157)&gt;=6,"Hot Humid",IF(MONTH($CJ157)&gt;=3,"Hot Dry","Cold Winter")))))</f>
        <v/>
      </c>
      <c r="CL157">
        <f>IF($CE157="","",IFERROR(VLOOKUP($CE157,DECODE!$A$3:$C$8,2,FALSE),"?"))</f>
        <v/>
      </c>
      <c r="CM157">
        <f>IF($AN157="","",AN157)</f>
        <v/>
      </c>
      <c r="CN157">
        <f>IF($AO157="","",AO157)</f>
        <v/>
      </c>
      <c r="CO157">
        <f>IF($AP157="","",AP157)</f>
        <v/>
      </c>
      <c r="CP157">
        <f>IF($CM157="","",IF($CM157="Aloe Vera Gel","Aloe Vera Gel "&amp;$CO157&amp;"g",CN157&amp;" "&amp;$CO157&amp;"g"))</f>
        <v/>
      </c>
      <c r="CQ157">
        <f>IF($AT157="",0,1)</f>
        <v/>
      </c>
      <c r="CR157">
        <f>IF($CQ157=0,"",AW157)</f>
        <v/>
      </c>
      <c r="CS157">
        <f>IF($CQ157=0,"",AX157)</f>
        <v/>
      </c>
      <c r="CT157">
        <f>IF($CQ157=0,"",AY157)</f>
        <v/>
      </c>
      <c r="CU157">
        <f>IF($CR157="","",IF($CR157="Aloe Vera Gel","Aloe Vera Gel "&amp;$CT157&amp;"g",CS157&amp;" "&amp;$CT157&amp;"g"))</f>
        <v/>
      </c>
      <c r="CV157">
        <f>IF($CQ157=0,"",IF($CP157=$CU157,"Repeat Exact",IF($CT157&gt;$CO157,"Upsized",IF($CT157&lt;$CO157,"Downsized",IF($CM157&lt;&gt;$CR157,"Lateral","Same Size Diff Variant")))))</f>
        <v/>
      </c>
      <c r="CW157">
        <f>IF($CQ157=0,"",AZ157-AQ157)</f>
        <v/>
      </c>
      <c r="CX157">
        <f>IF($CQ157=0,0,IF(CS157=CN157,1,0))</f>
        <v/>
      </c>
      <c r="CY157">
        <f>IF($CQ157=0,0,IF(CR157=CM157,1,0))</f>
        <v/>
      </c>
      <c r="CZ157">
        <f>IF($A157="","",IF(AND(IF(DASHBOARD!$C$4="All",TRUE,$CM157=DASHBOARD!$C$4),IF(DASHBOARD!$C$6="All",TRUE,$CP157=DASHBOARD!$C$6),IF(DASHBOARD!$C$8="All",TRUE,$AF157&gt;=DASHBOARD!$C$8),IF(DASHBOARD!$C$10="All",TRUE,$AF157&lt;=DASHBOARD!$C$10),IF(DASHBOARD!$C$12="All",TRUE,$AH157=VALUE(DASHBOARD!$C$12)),IF(DASHBOARD!$C$14="All",TRUE,$AJ157=DASHBOARD!$C$14)),1,0))</f>
        <v/>
      </c>
    </row>
    <row r="158">
      <c r="A158" t="n">
        <v>114620</v>
      </c>
      <c r="B158" t="inlineStr">
        <is>
          <t>Aloe Vera Gel</t>
        </is>
      </c>
      <c r="H158" t="inlineStr">
        <is>
          <t>Aloe Vera Gel - 40 gms</t>
        </is>
      </c>
      <c r="N158" t="inlineStr">
        <is>
          <t>FC-HG-PA-040</t>
        </is>
      </c>
      <c r="T158" t="inlineStr">
        <is>
          <t>Sep 28, 2024</t>
        </is>
      </c>
      <c r="AE158" t="inlineStr">
        <is>
          <t>Gurgaon</t>
        </is>
      </c>
      <c r="AF158" t="inlineStr">
        <is>
          <t>2024-09</t>
        </is>
      </c>
      <c r="AG158" t="n">
        <v>9</v>
      </c>
      <c r="AH158" t="n">
        <v>1</v>
      </c>
      <c r="AI158" t="n">
        <v>0</v>
      </c>
      <c r="AJ158">
        <f>IF($AE158="","",IFERROR(VLOOKUP(TRIM($AE158),DECODE!$H$3:$I$60,2,FALSE),"Rest of India"))</f>
        <v/>
      </c>
      <c r="AK158">
        <f>IF($N158="","",UPPER(TRIM(LEFT($N158&amp;",",FIND(",",$N158&amp;",")-1))))</f>
        <v/>
      </c>
      <c r="AL158">
        <f>IF($AK158="","",MID($AK158,4,FIND("~",SUBSTITUTE($AK158,"-","~",2))-4))</f>
        <v/>
      </c>
      <c r="AM158">
        <f>IF($AK158="","",MID($AK158,FIND("~",SUBSTITUTE($AK158,"-","~",2))+1,FIND("~",SUBSTITUTE($AK158,"-","~",3))-FIND("~",SUBSTITUTE($AK158,"-","~",2))-1))</f>
        <v/>
      </c>
      <c r="AN158">
        <f>IF($AL158="","",IFERROR(VLOOKUP($AL158,DECODE!$A$3:$C$8,3,FALSE),"?"))</f>
        <v/>
      </c>
      <c r="AO158">
        <f>IF($AM158="","",IFERROR(VLOOKUP($AL158&amp;"-"&amp;$AM158,DECODE!$E$3:$F$21,2,FALSE),"?"))</f>
        <v/>
      </c>
      <c r="AP158">
        <f>IF($AK158="","",IFERROR(VALUE(RIGHT($AK158,3)),""))</f>
        <v/>
      </c>
      <c r="AQ158">
        <f>IF($T158="","",IFERROR(IF(ISNUMBER($T158),$T158,DATEVALUE(TRIM($T158))),""))</f>
        <v/>
      </c>
      <c r="AR158">
        <f>IF($AQ158="","",IF(MONTH($AQ158)&gt;=12,"Cold Winter",IF(MONTH($AQ158)&gt;=10,"Post-Monsoon",IF(MONTH($AQ158)&gt;=6,"Hot Humid",IF(MONTH($AQ158)&gt;=3,"Hot Dry","Cold Winter")))))</f>
        <v/>
      </c>
      <c r="AS158">
        <f>IF($AL158="","",IFERROR(VLOOKUP($AL158,DECODE!$A$3:$C$8,2,FALSE),"?"))</f>
        <v/>
      </c>
      <c r="AT158">
        <f>IF($O158="","",UPPER(TRIM(LEFT($O158&amp;",",FIND(",",$O158&amp;",")-1))))</f>
        <v/>
      </c>
      <c r="AU158">
        <f>IF($AT158="","",MID($AT158,4,FIND("~",SUBSTITUTE($AT158,"-","~",2))-4))</f>
        <v/>
      </c>
      <c r="AV158">
        <f>IF($AT158="","",MID($AT158,FIND("~",SUBSTITUTE($AT158,"-","~",2))+1,FIND("~",SUBSTITUTE($AT158,"-","~",3))-FIND("~",SUBSTITUTE($AT158,"-","~",2))-1))</f>
        <v/>
      </c>
      <c r="AW158">
        <f>IF($AU158="","",IFERROR(VLOOKUP($AU158,DECODE!$A$3:$C$8,3,FALSE),"?"))</f>
        <v/>
      </c>
      <c r="AX158">
        <f>IF($AV158="","",IFERROR(VLOOKUP($AU158&amp;"-"&amp;$AV158,DECODE!$E$3:$F$21,2,FALSE),"?"))</f>
        <v/>
      </c>
      <c r="AY158">
        <f>IF($AT158="","",IFERROR(VALUE(RIGHT($AT158,3)),""))</f>
        <v/>
      </c>
      <c r="AZ158">
        <f>IF($U158="","",IFERROR(IF(ISNUMBER($U158),$U158,DATEVALUE(TRIM($U158))),""))</f>
        <v/>
      </c>
      <c r="BA158">
        <f>IF($AZ158="","",IF(MONTH($AZ158)&gt;=12,"Cold Winter",IF(MONTH($AZ158)&gt;=10,"Post-Monsoon",IF(MONTH($AZ158)&gt;=6,"Hot Humid",IF(MONTH($AZ158)&gt;=3,"Hot Dry","Cold Winter")))))</f>
        <v/>
      </c>
      <c r="BB158">
        <f>IF($AU158="","",IFERROR(VLOOKUP($AU158,DECODE!$A$3:$C$8,2,FALSE),"?"))</f>
        <v/>
      </c>
      <c r="BC158">
        <f>IF($P158="","",UPPER(TRIM(LEFT($P158&amp;",",FIND(",",$P158&amp;",")-1))))</f>
        <v/>
      </c>
      <c r="BD158">
        <f>IF($BC158="","",MID($BC158,4,FIND("~",SUBSTITUTE($BC158,"-","~",2))-4))</f>
        <v/>
      </c>
      <c r="BE158">
        <f>IF($BC158="","",MID($BC158,FIND("~",SUBSTITUTE($BC158,"-","~",2))+1,FIND("~",SUBSTITUTE($BC158,"-","~",3))-FIND("~",SUBSTITUTE($BC158,"-","~",2))-1))</f>
        <v/>
      </c>
      <c r="BF158">
        <f>IF($BD158="","",IFERROR(VLOOKUP($BD158,DECODE!$A$3:$C$8,3,FALSE),"?"))</f>
        <v/>
      </c>
      <c r="BG158">
        <f>IF($BE158="","",IFERROR(VLOOKUP($BD158&amp;"-"&amp;$BE158,DECODE!$E$3:$F$21,2,FALSE),"?"))</f>
        <v/>
      </c>
      <c r="BH158">
        <f>IF($BC158="","",IFERROR(VALUE(RIGHT($BC158,3)),""))</f>
        <v/>
      </c>
      <c r="BI158">
        <f>IF($V158="","",IFERROR(IF(ISNUMBER($V158),$V158,DATEVALUE(TRIM($V158))),""))</f>
        <v/>
      </c>
      <c r="BJ158">
        <f>IF($BI158="","",IF(MONTH($BI158)&gt;=12,"Cold Winter",IF(MONTH($BI158)&gt;=10,"Post-Monsoon",IF(MONTH($BI158)&gt;=6,"Hot Humid",IF(MONTH($BI158)&gt;=3,"Hot Dry","Cold Winter")))))</f>
        <v/>
      </c>
      <c r="BK158">
        <f>IF($BD158="","",IFERROR(VLOOKUP($BD158,DECODE!$A$3:$C$8,2,FALSE),"?"))</f>
        <v/>
      </c>
      <c r="BL158">
        <f>IF($Q158="","",UPPER(TRIM(LEFT($Q158&amp;",",FIND(",",$Q158&amp;",")-1))))</f>
        <v/>
      </c>
      <c r="BM158">
        <f>IF($BL158="","",MID($BL158,4,FIND("~",SUBSTITUTE($BL158,"-","~",2))-4))</f>
        <v/>
      </c>
      <c r="BN158">
        <f>IF($BL158="","",MID($BL158,FIND("~",SUBSTITUTE($BL158,"-","~",2))+1,FIND("~",SUBSTITUTE($BL158,"-","~",3))-FIND("~",SUBSTITUTE($BL158,"-","~",2))-1))</f>
        <v/>
      </c>
      <c r="BO158">
        <f>IF($BM158="","",IFERROR(VLOOKUP($BM158,DECODE!$A$3:$C$8,3,FALSE),"?"))</f>
        <v/>
      </c>
      <c r="BP158">
        <f>IF($BN158="","",IFERROR(VLOOKUP($BM158&amp;"-"&amp;$BN158,DECODE!$E$3:$F$21,2,FALSE),"?"))</f>
        <v/>
      </c>
      <c r="BQ158">
        <f>IF($BL158="","",IFERROR(VALUE(RIGHT($BL158,3)),""))</f>
        <v/>
      </c>
      <c r="BR158">
        <f>IF($W158="","",IFERROR(IF(ISNUMBER($W158),$W158,DATEVALUE(TRIM($W158))),""))</f>
        <v/>
      </c>
      <c r="BS158">
        <f>IF($BR158="","",IF(MONTH($BR158)&gt;=12,"Cold Winter",IF(MONTH($BR158)&gt;=10,"Post-Monsoon",IF(MONTH($BR158)&gt;=6,"Hot Humid",IF(MONTH($BR158)&gt;=3,"Hot Dry","Cold Winter")))))</f>
        <v/>
      </c>
      <c r="BT158">
        <f>IF($BM158="","",IFERROR(VLOOKUP($BM158,DECODE!$A$3:$C$8,2,FALSE),"?"))</f>
        <v/>
      </c>
      <c r="BU158">
        <f>IF($R158="","",UPPER(TRIM(LEFT($R158&amp;",",FIND(",",$R158&amp;",")-1))))</f>
        <v/>
      </c>
      <c r="BV158">
        <f>IF($BU158="","",MID($BU158,4,FIND("~",SUBSTITUTE($BU158,"-","~",2))-4))</f>
        <v/>
      </c>
      <c r="BW158">
        <f>IF($BU158="","",MID($BU158,FIND("~",SUBSTITUTE($BU158,"-","~",2))+1,FIND("~",SUBSTITUTE($BU158,"-","~",3))-FIND("~",SUBSTITUTE($BU158,"-","~",2))-1))</f>
        <v/>
      </c>
      <c r="BX158">
        <f>IF($BV158="","",IFERROR(VLOOKUP($BV158,DECODE!$A$3:$C$8,3,FALSE),"?"))</f>
        <v/>
      </c>
      <c r="BY158">
        <f>IF($BW158="","",IFERROR(VLOOKUP($BV158&amp;"-"&amp;$BW158,DECODE!$E$3:$F$21,2,FALSE),"?"))</f>
        <v/>
      </c>
      <c r="BZ158">
        <f>IF($BU158="","",IFERROR(VALUE(RIGHT($BU158,3)),""))</f>
        <v/>
      </c>
      <c r="CA158">
        <f>IF($X158="","",IFERROR(IF(ISNUMBER($X158),$X158,DATEVALUE(TRIM($X158))),""))</f>
        <v/>
      </c>
      <c r="CB158">
        <f>IF($CA158="","",IF(MONTH($CA158)&gt;=12,"Cold Winter",IF(MONTH($CA158)&gt;=10,"Post-Monsoon",IF(MONTH($CA158)&gt;=6,"Hot Humid",IF(MONTH($CA158)&gt;=3,"Hot Dry","Cold Winter")))))</f>
        <v/>
      </c>
      <c r="CC158">
        <f>IF($BV158="","",IFERROR(VLOOKUP($BV158,DECODE!$A$3:$C$8,2,FALSE),"?"))</f>
        <v/>
      </c>
      <c r="CD158">
        <f>IF($S158="","",UPPER(TRIM(LEFT($S158&amp;",",FIND(",",$S158&amp;",")-1))))</f>
        <v/>
      </c>
      <c r="CE158">
        <f>IF($CD158="","",MID($CD158,4,FIND("~",SUBSTITUTE($CD158,"-","~",2))-4))</f>
        <v/>
      </c>
      <c r="CF158">
        <f>IF($CD158="","",MID($CD158,FIND("~",SUBSTITUTE($CD158,"-","~",2))+1,FIND("~",SUBSTITUTE($CD158,"-","~",3))-FIND("~",SUBSTITUTE($CD158,"-","~",2))-1))</f>
        <v/>
      </c>
      <c r="CG158">
        <f>IF($CE158="","",IFERROR(VLOOKUP($CE158,DECODE!$A$3:$C$8,3,FALSE),"?"))</f>
        <v/>
      </c>
      <c r="CH158">
        <f>IF($CF158="","",IFERROR(VLOOKUP($CE158&amp;"-"&amp;$CF158,DECODE!$E$3:$F$21,2,FALSE),"?"))</f>
        <v/>
      </c>
      <c r="CI158">
        <f>IF($CD158="","",IFERROR(VALUE(RIGHT($CD158,3)),""))</f>
        <v/>
      </c>
      <c r="CJ158">
        <f>IF($Y158="","",IFERROR(IF(ISNUMBER($Y158),$Y158,DATEVALUE(TRIM($Y158))),""))</f>
        <v/>
      </c>
      <c r="CK158">
        <f>IF($CJ158="","",IF(MONTH($CJ158)&gt;=12,"Cold Winter",IF(MONTH($CJ158)&gt;=10,"Post-Monsoon",IF(MONTH($CJ158)&gt;=6,"Hot Humid",IF(MONTH($CJ158)&gt;=3,"Hot Dry","Cold Winter")))))</f>
        <v/>
      </c>
      <c r="CL158">
        <f>IF($CE158="","",IFERROR(VLOOKUP($CE158,DECODE!$A$3:$C$8,2,FALSE),"?"))</f>
        <v/>
      </c>
      <c r="CM158">
        <f>IF($AN158="","",AN158)</f>
        <v/>
      </c>
      <c r="CN158">
        <f>IF($AO158="","",AO158)</f>
        <v/>
      </c>
      <c r="CO158">
        <f>IF($AP158="","",AP158)</f>
        <v/>
      </c>
      <c r="CP158">
        <f>IF($CM158="","",IF($CM158="Aloe Vera Gel","Aloe Vera Gel "&amp;$CO158&amp;"g",CN158&amp;" "&amp;$CO158&amp;"g"))</f>
        <v/>
      </c>
      <c r="CQ158">
        <f>IF($AT158="",0,1)</f>
        <v/>
      </c>
      <c r="CR158">
        <f>IF($CQ158=0,"",AW158)</f>
        <v/>
      </c>
      <c r="CS158">
        <f>IF($CQ158=0,"",AX158)</f>
        <v/>
      </c>
      <c r="CT158">
        <f>IF($CQ158=0,"",AY158)</f>
        <v/>
      </c>
      <c r="CU158">
        <f>IF($CR158="","",IF($CR158="Aloe Vera Gel","Aloe Vera Gel "&amp;$CT158&amp;"g",CS158&amp;" "&amp;$CT158&amp;"g"))</f>
        <v/>
      </c>
      <c r="CV158">
        <f>IF($CQ158=0,"",IF($CP158=$CU158,"Repeat Exact",IF($CT158&gt;$CO158,"Upsized",IF($CT158&lt;$CO158,"Downsized",IF($CM158&lt;&gt;$CR158,"Lateral","Same Size Diff Variant")))))</f>
        <v/>
      </c>
      <c r="CW158">
        <f>IF($CQ158=0,"",AZ158-AQ158)</f>
        <v/>
      </c>
      <c r="CX158">
        <f>IF($CQ158=0,0,IF(CS158=CN158,1,0))</f>
        <v/>
      </c>
      <c r="CY158">
        <f>IF($CQ158=0,0,IF(CR158=CM158,1,0))</f>
        <v/>
      </c>
      <c r="CZ158">
        <f>IF($A158="","",IF(AND(IF(DASHBOARD!$C$4="All",TRUE,$CM158=DASHBOARD!$C$4),IF(DASHBOARD!$C$6="All",TRUE,$CP158=DASHBOARD!$C$6),IF(DASHBOARD!$C$8="All",TRUE,$AF158&gt;=DASHBOARD!$C$8),IF(DASHBOARD!$C$10="All",TRUE,$AF158&lt;=DASHBOARD!$C$10),IF(DASHBOARD!$C$12="All",TRUE,$AH158=VALUE(DASHBOARD!$C$12)),IF(DASHBOARD!$C$14="All",TRUE,$AJ158=DASHBOARD!$C$14)),1,0))</f>
        <v/>
      </c>
    </row>
    <row r="159">
      <c r="A159" t="n">
        <v>114997</v>
      </c>
      <c r="B159" t="inlineStr">
        <is>
          <t>Face Malai</t>
        </is>
      </c>
      <c r="H159" t="inlineStr">
        <is>
          <t>Flax Walnut (Cold) 35+ Face Malai, Cocoa Mogra (Overnight) Face Malai - 30g</t>
        </is>
      </c>
      <c r="N159" t="inlineStr">
        <is>
          <t>FC-CWDM-FW-030, FC-DM-NR-030</t>
        </is>
      </c>
      <c r="T159" t="inlineStr">
        <is>
          <t>Nov 11, 2024</t>
        </is>
      </c>
      <c r="AE159" t="inlineStr">
        <is>
          <t>Jaipur</t>
        </is>
      </c>
      <c r="AF159" t="inlineStr">
        <is>
          <t>2024-11</t>
        </is>
      </c>
      <c r="AG159" t="n">
        <v>11</v>
      </c>
      <c r="AH159" t="n">
        <v>1</v>
      </c>
      <c r="AI159" t="n">
        <v>0</v>
      </c>
      <c r="AJ159">
        <f>IF($AE159="","",IFERROR(VLOOKUP(TRIM($AE159),DECODE!$H$3:$I$60,2,FALSE),"Rest of India"))</f>
        <v/>
      </c>
      <c r="AK159">
        <f>IF($N159="","",UPPER(TRIM(LEFT($N159&amp;",",FIND(",",$N159&amp;",")-1))))</f>
        <v/>
      </c>
      <c r="AL159">
        <f>IF($AK159="","",MID($AK159,4,FIND("~",SUBSTITUTE($AK159,"-","~",2))-4))</f>
        <v/>
      </c>
      <c r="AM159">
        <f>IF($AK159="","",MID($AK159,FIND("~",SUBSTITUTE($AK159,"-","~",2))+1,FIND("~",SUBSTITUTE($AK159,"-","~",3))-FIND("~",SUBSTITUTE($AK159,"-","~",2))-1))</f>
        <v/>
      </c>
      <c r="AN159">
        <f>IF($AL159="","",IFERROR(VLOOKUP($AL159,DECODE!$A$3:$C$8,3,FALSE),"?"))</f>
        <v/>
      </c>
      <c r="AO159">
        <f>IF($AM159="","",IFERROR(VLOOKUP($AL159&amp;"-"&amp;$AM159,DECODE!$E$3:$F$21,2,FALSE),"?"))</f>
        <v/>
      </c>
      <c r="AP159">
        <f>IF($AK159="","",IFERROR(VALUE(RIGHT($AK159,3)),""))</f>
        <v/>
      </c>
      <c r="AQ159">
        <f>IF($T159="","",IFERROR(IF(ISNUMBER($T159),$T159,DATEVALUE(TRIM($T159))),""))</f>
        <v/>
      </c>
      <c r="AR159">
        <f>IF($AQ159="","",IF(MONTH($AQ159)&gt;=12,"Cold Winter",IF(MONTH($AQ159)&gt;=10,"Post-Monsoon",IF(MONTH($AQ159)&gt;=6,"Hot Humid",IF(MONTH($AQ159)&gt;=3,"Hot Dry","Cold Winter")))))</f>
        <v/>
      </c>
      <c r="AS159">
        <f>IF($AL159="","",IFERROR(VLOOKUP($AL159,DECODE!$A$3:$C$8,2,FALSE),"?"))</f>
        <v/>
      </c>
      <c r="AT159">
        <f>IF($O159="","",UPPER(TRIM(LEFT($O159&amp;",",FIND(",",$O159&amp;",")-1))))</f>
        <v/>
      </c>
      <c r="AU159">
        <f>IF($AT159="","",MID($AT159,4,FIND("~",SUBSTITUTE($AT159,"-","~",2))-4))</f>
        <v/>
      </c>
      <c r="AV159">
        <f>IF($AT159="","",MID($AT159,FIND("~",SUBSTITUTE($AT159,"-","~",2))+1,FIND("~",SUBSTITUTE($AT159,"-","~",3))-FIND("~",SUBSTITUTE($AT159,"-","~",2))-1))</f>
        <v/>
      </c>
      <c r="AW159">
        <f>IF($AU159="","",IFERROR(VLOOKUP($AU159,DECODE!$A$3:$C$8,3,FALSE),"?"))</f>
        <v/>
      </c>
      <c r="AX159">
        <f>IF($AV159="","",IFERROR(VLOOKUP($AU159&amp;"-"&amp;$AV159,DECODE!$E$3:$F$21,2,FALSE),"?"))</f>
        <v/>
      </c>
      <c r="AY159">
        <f>IF($AT159="","",IFERROR(VALUE(RIGHT($AT159,3)),""))</f>
        <v/>
      </c>
      <c r="AZ159">
        <f>IF($U159="","",IFERROR(IF(ISNUMBER($U159),$U159,DATEVALUE(TRIM($U159))),""))</f>
        <v/>
      </c>
      <c r="BA159">
        <f>IF($AZ159="","",IF(MONTH($AZ159)&gt;=12,"Cold Winter",IF(MONTH($AZ159)&gt;=10,"Post-Monsoon",IF(MONTH($AZ159)&gt;=6,"Hot Humid",IF(MONTH($AZ159)&gt;=3,"Hot Dry","Cold Winter")))))</f>
        <v/>
      </c>
      <c r="BB159">
        <f>IF($AU159="","",IFERROR(VLOOKUP($AU159,DECODE!$A$3:$C$8,2,FALSE),"?"))</f>
        <v/>
      </c>
      <c r="BC159">
        <f>IF($P159="","",UPPER(TRIM(LEFT($P159&amp;",",FIND(",",$P159&amp;",")-1))))</f>
        <v/>
      </c>
      <c r="BD159">
        <f>IF($BC159="","",MID($BC159,4,FIND("~",SUBSTITUTE($BC159,"-","~",2))-4))</f>
        <v/>
      </c>
      <c r="BE159">
        <f>IF($BC159="","",MID($BC159,FIND("~",SUBSTITUTE($BC159,"-","~",2))+1,FIND("~",SUBSTITUTE($BC159,"-","~",3))-FIND("~",SUBSTITUTE($BC159,"-","~",2))-1))</f>
        <v/>
      </c>
      <c r="BF159">
        <f>IF($BD159="","",IFERROR(VLOOKUP($BD159,DECODE!$A$3:$C$8,3,FALSE),"?"))</f>
        <v/>
      </c>
      <c r="BG159">
        <f>IF($BE159="","",IFERROR(VLOOKUP($BD159&amp;"-"&amp;$BE159,DECODE!$E$3:$F$21,2,FALSE),"?"))</f>
        <v/>
      </c>
      <c r="BH159">
        <f>IF($BC159="","",IFERROR(VALUE(RIGHT($BC159,3)),""))</f>
        <v/>
      </c>
      <c r="BI159">
        <f>IF($V159="","",IFERROR(IF(ISNUMBER($V159),$V159,DATEVALUE(TRIM($V159))),""))</f>
        <v/>
      </c>
      <c r="BJ159">
        <f>IF($BI159="","",IF(MONTH($BI159)&gt;=12,"Cold Winter",IF(MONTH($BI159)&gt;=10,"Post-Monsoon",IF(MONTH($BI159)&gt;=6,"Hot Humid",IF(MONTH($BI159)&gt;=3,"Hot Dry","Cold Winter")))))</f>
        <v/>
      </c>
      <c r="BK159">
        <f>IF($BD159="","",IFERROR(VLOOKUP($BD159,DECODE!$A$3:$C$8,2,FALSE),"?"))</f>
        <v/>
      </c>
      <c r="BL159">
        <f>IF($Q159="","",UPPER(TRIM(LEFT($Q159&amp;",",FIND(",",$Q159&amp;",")-1))))</f>
        <v/>
      </c>
      <c r="BM159">
        <f>IF($BL159="","",MID($BL159,4,FIND("~",SUBSTITUTE($BL159,"-","~",2))-4))</f>
        <v/>
      </c>
      <c r="BN159">
        <f>IF($BL159="","",MID($BL159,FIND("~",SUBSTITUTE($BL159,"-","~",2))+1,FIND("~",SUBSTITUTE($BL159,"-","~",3))-FIND("~",SUBSTITUTE($BL159,"-","~",2))-1))</f>
        <v/>
      </c>
      <c r="BO159">
        <f>IF($BM159="","",IFERROR(VLOOKUP($BM159,DECODE!$A$3:$C$8,3,FALSE),"?"))</f>
        <v/>
      </c>
      <c r="BP159">
        <f>IF($BN159="","",IFERROR(VLOOKUP($BM159&amp;"-"&amp;$BN159,DECODE!$E$3:$F$21,2,FALSE),"?"))</f>
        <v/>
      </c>
      <c r="BQ159">
        <f>IF($BL159="","",IFERROR(VALUE(RIGHT($BL159,3)),""))</f>
        <v/>
      </c>
      <c r="BR159">
        <f>IF($W159="","",IFERROR(IF(ISNUMBER($W159),$W159,DATEVALUE(TRIM($W159))),""))</f>
        <v/>
      </c>
      <c r="BS159">
        <f>IF($BR159="","",IF(MONTH($BR159)&gt;=12,"Cold Winter",IF(MONTH($BR159)&gt;=10,"Post-Monsoon",IF(MONTH($BR159)&gt;=6,"Hot Humid",IF(MONTH($BR159)&gt;=3,"Hot Dry","Cold Winter")))))</f>
        <v/>
      </c>
      <c r="BT159">
        <f>IF($BM159="","",IFERROR(VLOOKUP($BM159,DECODE!$A$3:$C$8,2,FALSE),"?"))</f>
        <v/>
      </c>
      <c r="BU159">
        <f>IF($R159="","",UPPER(TRIM(LEFT($R159&amp;",",FIND(",",$R159&amp;",")-1))))</f>
        <v/>
      </c>
      <c r="BV159">
        <f>IF($BU159="","",MID($BU159,4,FIND("~",SUBSTITUTE($BU159,"-","~",2))-4))</f>
        <v/>
      </c>
      <c r="BW159">
        <f>IF($BU159="","",MID($BU159,FIND("~",SUBSTITUTE($BU159,"-","~",2))+1,FIND("~",SUBSTITUTE($BU159,"-","~",3))-FIND("~",SUBSTITUTE($BU159,"-","~",2))-1))</f>
        <v/>
      </c>
      <c r="BX159">
        <f>IF($BV159="","",IFERROR(VLOOKUP($BV159,DECODE!$A$3:$C$8,3,FALSE),"?"))</f>
        <v/>
      </c>
      <c r="BY159">
        <f>IF($BW159="","",IFERROR(VLOOKUP($BV159&amp;"-"&amp;$BW159,DECODE!$E$3:$F$21,2,FALSE),"?"))</f>
        <v/>
      </c>
      <c r="BZ159">
        <f>IF($BU159="","",IFERROR(VALUE(RIGHT($BU159,3)),""))</f>
        <v/>
      </c>
      <c r="CA159">
        <f>IF($X159="","",IFERROR(IF(ISNUMBER($X159),$X159,DATEVALUE(TRIM($X159))),""))</f>
        <v/>
      </c>
      <c r="CB159">
        <f>IF($CA159="","",IF(MONTH($CA159)&gt;=12,"Cold Winter",IF(MONTH($CA159)&gt;=10,"Post-Monsoon",IF(MONTH($CA159)&gt;=6,"Hot Humid",IF(MONTH($CA159)&gt;=3,"Hot Dry","Cold Winter")))))</f>
        <v/>
      </c>
      <c r="CC159">
        <f>IF($BV159="","",IFERROR(VLOOKUP($BV159,DECODE!$A$3:$C$8,2,FALSE),"?"))</f>
        <v/>
      </c>
      <c r="CD159">
        <f>IF($S159="","",UPPER(TRIM(LEFT($S159&amp;",",FIND(",",$S159&amp;",")-1))))</f>
        <v/>
      </c>
      <c r="CE159">
        <f>IF($CD159="","",MID($CD159,4,FIND("~",SUBSTITUTE($CD159,"-","~",2))-4))</f>
        <v/>
      </c>
      <c r="CF159">
        <f>IF($CD159="","",MID($CD159,FIND("~",SUBSTITUTE($CD159,"-","~",2))+1,FIND("~",SUBSTITUTE($CD159,"-","~",3))-FIND("~",SUBSTITUTE($CD159,"-","~",2))-1))</f>
        <v/>
      </c>
      <c r="CG159">
        <f>IF($CE159="","",IFERROR(VLOOKUP($CE159,DECODE!$A$3:$C$8,3,FALSE),"?"))</f>
        <v/>
      </c>
      <c r="CH159">
        <f>IF($CF159="","",IFERROR(VLOOKUP($CE159&amp;"-"&amp;$CF159,DECODE!$E$3:$F$21,2,FALSE),"?"))</f>
        <v/>
      </c>
      <c r="CI159">
        <f>IF($CD159="","",IFERROR(VALUE(RIGHT($CD159,3)),""))</f>
        <v/>
      </c>
      <c r="CJ159">
        <f>IF($Y159="","",IFERROR(IF(ISNUMBER($Y159),$Y159,DATEVALUE(TRIM($Y159))),""))</f>
        <v/>
      </c>
      <c r="CK159">
        <f>IF($CJ159="","",IF(MONTH($CJ159)&gt;=12,"Cold Winter",IF(MONTH($CJ159)&gt;=10,"Post-Monsoon",IF(MONTH($CJ159)&gt;=6,"Hot Humid",IF(MONTH($CJ159)&gt;=3,"Hot Dry","Cold Winter")))))</f>
        <v/>
      </c>
      <c r="CL159">
        <f>IF($CE159="","",IFERROR(VLOOKUP($CE159,DECODE!$A$3:$C$8,2,FALSE),"?"))</f>
        <v/>
      </c>
      <c r="CM159">
        <f>IF($AN159="","",AN159)</f>
        <v/>
      </c>
      <c r="CN159">
        <f>IF($AO159="","",AO159)</f>
        <v/>
      </c>
      <c r="CO159">
        <f>IF($AP159="","",AP159)</f>
        <v/>
      </c>
      <c r="CP159">
        <f>IF($CM159="","",IF($CM159="Aloe Vera Gel","Aloe Vera Gel "&amp;$CO159&amp;"g",CN159&amp;" "&amp;$CO159&amp;"g"))</f>
        <v/>
      </c>
      <c r="CQ159">
        <f>IF($AT159="",0,1)</f>
        <v/>
      </c>
      <c r="CR159">
        <f>IF($CQ159=0,"",AW159)</f>
        <v/>
      </c>
      <c r="CS159">
        <f>IF($CQ159=0,"",AX159)</f>
        <v/>
      </c>
      <c r="CT159">
        <f>IF($CQ159=0,"",AY159)</f>
        <v/>
      </c>
      <c r="CU159">
        <f>IF($CR159="","",IF($CR159="Aloe Vera Gel","Aloe Vera Gel "&amp;$CT159&amp;"g",CS159&amp;" "&amp;$CT159&amp;"g"))</f>
        <v/>
      </c>
      <c r="CV159">
        <f>IF($CQ159=0,"",IF($CP159=$CU159,"Repeat Exact",IF($CT159&gt;$CO159,"Upsized",IF($CT159&lt;$CO159,"Downsized",IF($CM159&lt;&gt;$CR159,"Lateral","Same Size Diff Variant")))))</f>
        <v/>
      </c>
      <c r="CW159">
        <f>IF($CQ159=0,"",AZ159-AQ159)</f>
        <v/>
      </c>
      <c r="CX159">
        <f>IF($CQ159=0,0,IF(CS159=CN159,1,0))</f>
        <v/>
      </c>
      <c r="CY159">
        <f>IF($CQ159=0,0,IF(CR159=CM159,1,0))</f>
        <v/>
      </c>
      <c r="CZ159">
        <f>IF($A159="","",IF(AND(IF(DASHBOARD!$C$4="All",TRUE,$CM159=DASHBOARD!$C$4),IF(DASHBOARD!$C$6="All",TRUE,$CP159=DASHBOARD!$C$6),IF(DASHBOARD!$C$8="All",TRUE,$AF159&gt;=DASHBOARD!$C$8),IF(DASHBOARD!$C$10="All",TRUE,$AF159&lt;=DASHBOARD!$C$10),IF(DASHBOARD!$C$12="All",TRUE,$AH159=VALUE(DASHBOARD!$C$12)),IF(DASHBOARD!$C$14="All",TRUE,$AJ159=DASHBOARD!$C$14)),1,0))</f>
        <v/>
      </c>
    </row>
    <row r="160">
      <c r="A160" t="n">
        <v>115588</v>
      </c>
      <c r="B160" t="inlineStr">
        <is>
          <t>Face Malai</t>
        </is>
      </c>
      <c r="H160" t="inlineStr">
        <is>
          <t>Pomegranate Tulsi (Hot Dry) 13 - 19 Yrs Face Malai</t>
        </is>
      </c>
      <c r="N160" t="inlineStr">
        <is>
          <t>FC-HDDM-PT-030</t>
        </is>
      </c>
      <c r="T160" t="inlineStr">
        <is>
          <t>Jul 23, 2025</t>
        </is>
      </c>
      <c r="AE160" t="inlineStr">
        <is>
          <t>Pune</t>
        </is>
      </c>
      <c r="AF160" t="inlineStr">
        <is>
          <t>2025-07</t>
        </is>
      </c>
      <c r="AG160" t="n">
        <v>7</v>
      </c>
      <c r="AH160" t="n">
        <v>1</v>
      </c>
      <c r="AI160" t="n">
        <v>0</v>
      </c>
      <c r="AJ160">
        <f>IF($AE160="","",IFERROR(VLOOKUP(TRIM($AE160),DECODE!$H$3:$I$60,2,FALSE),"Rest of India"))</f>
        <v/>
      </c>
      <c r="AK160">
        <f>IF($N160="","",UPPER(TRIM(LEFT($N160&amp;",",FIND(",",$N160&amp;",")-1))))</f>
        <v/>
      </c>
      <c r="AL160">
        <f>IF($AK160="","",MID($AK160,4,FIND("~",SUBSTITUTE($AK160,"-","~",2))-4))</f>
        <v/>
      </c>
      <c r="AM160">
        <f>IF($AK160="","",MID($AK160,FIND("~",SUBSTITUTE($AK160,"-","~",2))+1,FIND("~",SUBSTITUTE($AK160,"-","~",3))-FIND("~",SUBSTITUTE($AK160,"-","~",2))-1))</f>
        <v/>
      </c>
      <c r="AN160">
        <f>IF($AL160="","",IFERROR(VLOOKUP($AL160,DECODE!$A$3:$C$8,3,FALSE),"?"))</f>
        <v/>
      </c>
      <c r="AO160">
        <f>IF($AM160="","",IFERROR(VLOOKUP($AL160&amp;"-"&amp;$AM160,DECODE!$E$3:$F$21,2,FALSE),"?"))</f>
        <v/>
      </c>
      <c r="AP160">
        <f>IF($AK160="","",IFERROR(VALUE(RIGHT($AK160,3)),""))</f>
        <v/>
      </c>
      <c r="AQ160">
        <f>IF($T160="","",IFERROR(IF(ISNUMBER($T160),$T160,DATEVALUE(TRIM($T160))),""))</f>
        <v/>
      </c>
      <c r="AR160">
        <f>IF($AQ160="","",IF(MONTH($AQ160)&gt;=12,"Cold Winter",IF(MONTH($AQ160)&gt;=10,"Post-Monsoon",IF(MONTH($AQ160)&gt;=6,"Hot Humid",IF(MONTH($AQ160)&gt;=3,"Hot Dry","Cold Winter")))))</f>
        <v/>
      </c>
      <c r="AS160">
        <f>IF($AL160="","",IFERROR(VLOOKUP($AL160,DECODE!$A$3:$C$8,2,FALSE),"?"))</f>
        <v/>
      </c>
      <c r="AT160">
        <f>IF($O160="","",UPPER(TRIM(LEFT($O160&amp;",",FIND(",",$O160&amp;",")-1))))</f>
        <v/>
      </c>
      <c r="AU160">
        <f>IF($AT160="","",MID($AT160,4,FIND("~",SUBSTITUTE($AT160,"-","~",2))-4))</f>
        <v/>
      </c>
      <c r="AV160">
        <f>IF($AT160="","",MID($AT160,FIND("~",SUBSTITUTE($AT160,"-","~",2))+1,FIND("~",SUBSTITUTE($AT160,"-","~",3))-FIND("~",SUBSTITUTE($AT160,"-","~",2))-1))</f>
        <v/>
      </c>
      <c r="AW160">
        <f>IF($AU160="","",IFERROR(VLOOKUP($AU160,DECODE!$A$3:$C$8,3,FALSE),"?"))</f>
        <v/>
      </c>
      <c r="AX160">
        <f>IF($AV160="","",IFERROR(VLOOKUP($AU160&amp;"-"&amp;$AV160,DECODE!$E$3:$F$21,2,FALSE),"?"))</f>
        <v/>
      </c>
      <c r="AY160">
        <f>IF($AT160="","",IFERROR(VALUE(RIGHT($AT160,3)),""))</f>
        <v/>
      </c>
      <c r="AZ160">
        <f>IF($U160="","",IFERROR(IF(ISNUMBER($U160),$U160,DATEVALUE(TRIM($U160))),""))</f>
        <v/>
      </c>
      <c r="BA160">
        <f>IF($AZ160="","",IF(MONTH($AZ160)&gt;=12,"Cold Winter",IF(MONTH($AZ160)&gt;=10,"Post-Monsoon",IF(MONTH($AZ160)&gt;=6,"Hot Humid",IF(MONTH($AZ160)&gt;=3,"Hot Dry","Cold Winter")))))</f>
        <v/>
      </c>
      <c r="BB160">
        <f>IF($AU160="","",IFERROR(VLOOKUP($AU160,DECODE!$A$3:$C$8,2,FALSE),"?"))</f>
        <v/>
      </c>
      <c r="BC160">
        <f>IF($P160="","",UPPER(TRIM(LEFT($P160&amp;",",FIND(",",$P160&amp;",")-1))))</f>
        <v/>
      </c>
      <c r="BD160">
        <f>IF($BC160="","",MID($BC160,4,FIND("~",SUBSTITUTE($BC160,"-","~",2))-4))</f>
        <v/>
      </c>
      <c r="BE160">
        <f>IF($BC160="","",MID($BC160,FIND("~",SUBSTITUTE($BC160,"-","~",2))+1,FIND("~",SUBSTITUTE($BC160,"-","~",3))-FIND("~",SUBSTITUTE($BC160,"-","~",2))-1))</f>
        <v/>
      </c>
      <c r="BF160">
        <f>IF($BD160="","",IFERROR(VLOOKUP($BD160,DECODE!$A$3:$C$8,3,FALSE),"?"))</f>
        <v/>
      </c>
      <c r="BG160">
        <f>IF($BE160="","",IFERROR(VLOOKUP($BD160&amp;"-"&amp;$BE160,DECODE!$E$3:$F$21,2,FALSE),"?"))</f>
        <v/>
      </c>
      <c r="BH160">
        <f>IF($BC160="","",IFERROR(VALUE(RIGHT($BC160,3)),""))</f>
        <v/>
      </c>
      <c r="BI160">
        <f>IF($V160="","",IFERROR(IF(ISNUMBER($V160),$V160,DATEVALUE(TRIM($V160))),""))</f>
        <v/>
      </c>
      <c r="BJ160">
        <f>IF($BI160="","",IF(MONTH($BI160)&gt;=12,"Cold Winter",IF(MONTH($BI160)&gt;=10,"Post-Monsoon",IF(MONTH($BI160)&gt;=6,"Hot Humid",IF(MONTH($BI160)&gt;=3,"Hot Dry","Cold Winter")))))</f>
        <v/>
      </c>
      <c r="BK160">
        <f>IF($BD160="","",IFERROR(VLOOKUP($BD160,DECODE!$A$3:$C$8,2,FALSE),"?"))</f>
        <v/>
      </c>
      <c r="BL160">
        <f>IF($Q160="","",UPPER(TRIM(LEFT($Q160&amp;",",FIND(",",$Q160&amp;",")-1))))</f>
        <v/>
      </c>
      <c r="BM160">
        <f>IF($BL160="","",MID($BL160,4,FIND("~",SUBSTITUTE($BL160,"-","~",2))-4))</f>
        <v/>
      </c>
      <c r="BN160">
        <f>IF($BL160="","",MID($BL160,FIND("~",SUBSTITUTE($BL160,"-","~",2))+1,FIND("~",SUBSTITUTE($BL160,"-","~",3))-FIND("~",SUBSTITUTE($BL160,"-","~",2))-1))</f>
        <v/>
      </c>
      <c r="BO160">
        <f>IF($BM160="","",IFERROR(VLOOKUP($BM160,DECODE!$A$3:$C$8,3,FALSE),"?"))</f>
        <v/>
      </c>
      <c r="BP160">
        <f>IF($BN160="","",IFERROR(VLOOKUP($BM160&amp;"-"&amp;$BN160,DECODE!$E$3:$F$21,2,FALSE),"?"))</f>
        <v/>
      </c>
      <c r="BQ160">
        <f>IF($BL160="","",IFERROR(VALUE(RIGHT($BL160,3)),""))</f>
        <v/>
      </c>
      <c r="BR160">
        <f>IF($W160="","",IFERROR(IF(ISNUMBER($W160),$W160,DATEVALUE(TRIM($W160))),""))</f>
        <v/>
      </c>
      <c r="BS160">
        <f>IF($BR160="","",IF(MONTH($BR160)&gt;=12,"Cold Winter",IF(MONTH($BR160)&gt;=10,"Post-Monsoon",IF(MONTH($BR160)&gt;=6,"Hot Humid",IF(MONTH($BR160)&gt;=3,"Hot Dry","Cold Winter")))))</f>
        <v/>
      </c>
      <c r="BT160">
        <f>IF($BM160="","",IFERROR(VLOOKUP($BM160,DECODE!$A$3:$C$8,2,FALSE),"?"))</f>
        <v/>
      </c>
      <c r="BU160">
        <f>IF($R160="","",UPPER(TRIM(LEFT($R160&amp;",",FIND(",",$R160&amp;",")-1))))</f>
        <v/>
      </c>
      <c r="BV160">
        <f>IF($BU160="","",MID($BU160,4,FIND("~",SUBSTITUTE($BU160,"-","~",2))-4))</f>
        <v/>
      </c>
      <c r="BW160">
        <f>IF($BU160="","",MID($BU160,FIND("~",SUBSTITUTE($BU160,"-","~",2))+1,FIND("~",SUBSTITUTE($BU160,"-","~",3))-FIND("~",SUBSTITUTE($BU160,"-","~",2))-1))</f>
        <v/>
      </c>
      <c r="BX160">
        <f>IF($BV160="","",IFERROR(VLOOKUP($BV160,DECODE!$A$3:$C$8,3,FALSE),"?"))</f>
        <v/>
      </c>
      <c r="BY160">
        <f>IF($BW160="","",IFERROR(VLOOKUP($BV160&amp;"-"&amp;$BW160,DECODE!$E$3:$F$21,2,FALSE),"?"))</f>
        <v/>
      </c>
      <c r="BZ160">
        <f>IF($BU160="","",IFERROR(VALUE(RIGHT($BU160,3)),""))</f>
        <v/>
      </c>
      <c r="CA160">
        <f>IF($X160="","",IFERROR(IF(ISNUMBER($X160),$X160,DATEVALUE(TRIM($X160))),""))</f>
        <v/>
      </c>
      <c r="CB160">
        <f>IF($CA160="","",IF(MONTH($CA160)&gt;=12,"Cold Winter",IF(MONTH($CA160)&gt;=10,"Post-Monsoon",IF(MONTH($CA160)&gt;=6,"Hot Humid",IF(MONTH($CA160)&gt;=3,"Hot Dry","Cold Winter")))))</f>
        <v/>
      </c>
      <c r="CC160">
        <f>IF($BV160="","",IFERROR(VLOOKUP($BV160,DECODE!$A$3:$C$8,2,FALSE),"?"))</f>
        <v/>
      </c>
      <c r="CD160">
        <f>IF($S160="","",UPPER(TRIM(LEFT($S160&amp;",",FIND(",",$S160&amp;",")-1))))</f>
        <v/>
      </c>
      <c r="CE160">
        <f>IF($CD160="","",MID($CD160,4,FIND("~",SUBSTITUTE($CD160,"-","~",2))-4))</f>
        <v/>
      </c>
      <c r="CF160">
        <f>IF($CD160="","",MID($CD160,FIND("~",SUBSTITUTE($CD160,"-","~",2))+1,FIND("~",SUBSTITUTE($CD160,"-","~",3))-FIND("~",SUBSTITUTE($CD160,"-","~",2))-1))</f>
        <v/>
      </c>
      <c r="CG160">
        <f>IF($CE160="","",IFERROR(VLOOKUP($CE160,DECODE!$A$3:$C$8,3,FALSE),"?"))</f>
        <v/>
      </c>
      <c r="CH160">
        <f>IF($CF160="","",IFERROR(VLOOKUP($CE160&amp;"-"&amp;$CF160,DECODE!$E$3:$F$21,2,FALSE),"?"))</f>
        <v/>
      </c>
      <c r="CI160">
        <f>IF($CD160="","",IFERROR(VALUE(RIGHT($CD160,3)),""))</f>
        <v/>
      </c>
      <c r="CJ160">
        <f>IF($Y160="","",IFERROR(IF(ISNUMBER($Y160),$Y160,DATEVALUE(TRIM($Y160))),""))</f>
        <v/>
      </c>
      <c r="CK160">
        <f>IF($CJ160="","",IF(MONTH($CJ160)&gt;=12,"Cold Winter",IF(MONTH($CJ160)&gt;=10,"Post-Monsoon",IF(MONTH($CJ160)&gt;=6,"Hot Humid",IF(MONTH($CJ160)&gt;=3,"Hot Dry","Cold Winter")))))</f>
        <v/>
      </c>
      <c r="CL160">
        <f>IF($CE160="","",IFERROR(VLOOKUP($CE160,DECODE!$A$3:$C$8,2,FALSE),"?"))</f>
        <v/>
      </c>
      <c r="CM160">
        <f>IF($AN160="","",AN160)</f>
        <v/>
      </c>
      <c r="CN160">
        <f>IF($AO160="","",AO160)</f>
        <v/>
      </c>
      <c r="CO160">
        <f>IF($AP160="","",AP160)</f>
        <v/>
      </c>
      <c r="CP160">
        <f>IF($CM160="","",IF($CM160="Aloe Vera Gel","Aloe Vera Gel "&amp;$CO160&amp;"g",CN160&amp;" "&amp;$CO160&amp;"g"))</f>
        <v/>
      </c>
      <c r="CQ160">
        <f>IF($AT160="",0,1)</f>
        <v/>
      </c>
      <c r="CR160">
        <f>IF($CQ160=0,"",AW160)</f>
        <v/>
      </c>
      <c r="CS160">
        <f>IF($CQ160=0,"",AX160)</f>
        <v/>
      </c>
      <c r="CT160">
        <f>IF($CQ160=0,"",AY160)</f>
        <v/>
      </c>
      <c r="CU160">
        <f>IF($CR160="","",IF($CR160="Aloe Vera Gel","Aloe Vera Gel "&amp;$CT160&amp;"g",CS160&amp;" "&amp;$CT160&amp;"g"))</f>
        <v/>
      </c>
      <c r="CV160">
        <f>IF($CQ160=0,"",IF($CP160=$CU160,"Repeat Exact",IF($CT160&gt;$CO160,"Upsized",IF($CT160&lt;$CO160,"Downsized",IF($CM160&lt;&gt;$CR160,"Lateral","Same Size Diff Variant")))))</f>
        <v/>
      </c>
      <c r="CW160">
        <f>IF($CQ160=0,"",AZ160-AQ160)</f>
        <v/>
      </c>
      <c r="CX160">
        <f>IF($CQ160=0,0,IF(CS160=CN160,1,0))</f>
        <v/>
      </c>
      <c r="CY160">
        <f>IF($CQ160=0,0,IF(CR160=CM160,1,0))</f>
        <v/>
      </c>
      <c r="CZ160">
        <f>IF($A160="","",IF(AND(IF(DASHBOARD!$C$4="All",TRUE,$CM160=DASHBOARD!$C$4),IF(DASHBOARD!$C$6="All",TRUE,$CP160=DASHBOARD!$C$6),IF(DASHBOARD!$C$8="All",TRUE,$AF160&gt;=DASHBOARD!$C$8),IF(DASHBOARD!$C$10="All",TRUE,$AF160&lt;=DASHBOARD!$C$10),IF(DASHBOARD!$C$12="All",TRUE,$AH160=VALUE(DASHBOARD!$C$12)),IF(DASHBOARD!$C$14="All",TRUE,$AJ160=DASHBOARD!$C$14)),1,0))</f>
        <v/>
      </c>
    </row>
    <row r="161">
      <c r="A161" t="n">
        <v>115632</v>
      </c>
      <c r="B161" t="inlineStr">
        <is>
          <t>Face Malai</t>
        </is>
      </c>
      <c r="H161" t="inlineStr">
        <is>
          <t>Clove Tea-Tree (Anti-Acne) Face Malai, Cocoa Mogra (Overnight) Face Malai - 30g, Turmeric Nutmeg (Pigmentation)  Face Malai - 30g</t>
        </is>
      </c>
      <c r="N161" t="inlineStr">
        <is>
          <t>FC-DM-AA-030, FC-DM-PG-030, FC-DM-NR-030</t>
        </is>
      </c>
      <c r="T161" t="inlineStr">
        <is>
          <t>Mar 31, 2024</t>
        </is>
      </c>
      <c r="AE161" t="inlineStr">
        <is>
          <t>Gautam Buddha Nagar</t>
        </is>
      </c>
      <c r="AF161" t="inlineStr">
        <is>
          <t>2024-03</t>
        </is>
      </c>
      <c r="AG161" t="n">
        <v>3</v>
      </c>
      <c r="AH161" t="n">
        <v>1</v>
      </c>
      <c r="AI161" t="n">
        <v>0</v>
      </c>
      <c r="AJ161">
        <f>IF($AE161="","",IFERROR(VLOOKUP(TRIM($AE161),DECODE!$H$3:$I$60,2,FALSE),"Rest of India"))</f>
        <v/>
      </c>
      <c r="AK161">
        <f>IF($N161="","",UPPER(TRIM(LEFT($N161&amp;",",FIND(",",$N161&amp;",")-1))))</f>
        <v/>
      </c>
      <c r="AL161">
        <f>IF($AK161="","",MID($AK161,4,FIND("~",SUBSTITUTE($AK161,"-","~",2))-4))</f>
        <v/>
      </c>
      <c r="AM161">
        <f>IF($AK161="","",MID($AK161,FIND("~",SUBSTITUTE($AK161,"-","~",2))+1,FIND("~",SUBSTITUTE($AK161,"-","~",3))-FIND("~",SUBSTITUTE($AK161,"-","~",2))-1))</f>
        <v/>
      </c>
      <c r="AN161">
        <f>IF($AL161="","",IFERROR(VLOOKUP($AL161,DECODE!$A$3:$C$8,3,FALSE),"?"))</f>
        <v/>
      </c>
      <c r="AO161">
        <f>IF($AM161="","",IFERROR(VLOOKUP($AL161&amp;"-"&amp;$AM161,DECODE!$E$3:$F$21,2,FALSE),"?"))</f>
        <v/>
      </c>
      <c r="AP161">
        <f>IF($AK161="","",IFERROR(VALUE(RIGHT($AK161,3)),""))</f>
        <v/>
      </c>
      <c r="AQ161">
        <f>IF($T161="","",IFERROR(IF(ISNUMBER($T161),$T161,DATEVALUE(TRIM($T161))),""))</f>
        <v/>
      </c>
      <c r="AR161">
        <f>IF($AQ161="","",IF(MONTH($AQ161)&gt;=12,"Cold Winter",IF(MONTH($AQ161)&gt;=10,"Post-Monsoon",IF(MONTH($AQ161)&gt;=6,"Hot Humid",IF(MONTH($AQ161)&gt;=3,"Hot Dry","Cold Winter")))))</f>
        <v/>
      </c>
      <c r="AS161">
        <f>IF($AL161="","",IFERROR(VLOOKUP($AL161,DECODE!$A$3:$C$8,2,FALSE),"?"))</f>
        <v/>
      </c>
      <c r="AT161">
        <f>IF($O161="","",UPPER(TRIM(LEFT($O161&amp;",",FIND(",",$O161&amp;",")-1))))</f>
        <v/>
      </c>
      <c r="AU161">
        <f>IF($AT161="","",MID($AT161,4,FIND("~",SUBSTITUTE($AT161,"-","~",2))-4))</f>
        <v/>
      </c>
      <c r="AV161">
        <f>IF($AT161="","",MID($AT161,FIND("~",SUBSTITUTE($AT161,"-","~",2))+1,FIND("~",SUBSTITUTE($AT161,"-","~",3))-FIND("~",SUBSTITUTE($AT161,"-","~",2))-1))</f>
        <v/>
      </c>
      <c r="AW161">
        <f>IF($AU161="","",IFERROR(VLOOKUP($AU161,DECODE!$A$3:$C$8,3,FALSE),"?"))</f>
        <v/>
      </c>
      <c r="AX161">
        <f>IF($AV161="","",IFERROR(VLOOKUP($AU161&amp;"-"&amp;$AV161,DECODE!$E$3:$F$21,2,FALSE),"?"))</f>
        <v/>
      </c>
      <c r="AY161">
        <f>IF($AT161="","",IFERROR(VALUE(RIGHT($AT161,3)),""))</f>
        <v/>
      </c>
      <c r="AZ161">
        <f>IF($U161="","",IFERROR(IF(ISNUMBER($U161),$U161,DATEVALUE(TRIM($U161))),""))</f>
        <v/>
      </c>
      <c r="BA161">
        <f>IF($AZ161="","",IF(MONTH($AZ161)&gt;=12,"Cold Winter",IF(MONTH($AZ161)&gt;=10,"Post-Monsoon",IF(MONTH($AZ161)&gt;=6,"Hot Humid",IF(MONTH($AZ161)&gt;=3,"Hot Dry","Cold Winter")))))</f>
        <v/>
      </c>
      <c r="BB161">
        <f>IF($AU161="","",IFERROR(VLOOKUP($AU161,DECODE!$A$3:$C$8,2,FALSE),"?"))</f>
        <v/>
      </c>
      <c r="BC161">
        <f>IF($P161="","",UPPER(TRIM(LEFT($P161&amp;",",FIND(",",$P161&amp;",")-1))))</f>
        <v/>
      </c>
      <c r="BD161">
        <f>IF($BC161="","",MID($BC161,4,FIND("~",SUBSTITUTE($BC161,"-","~",2))-4))</f>
        <v/>
      </c>
      <c r="BE161">
        <f>IF($BC161="","",MID($BC161,FIND("~",SUBSTITUTE($BC161,"-","~",2))+1,FIND("~",SUBSTITUTE($BC161,"-","~",3))-FIND("~",SUBSTITUTE($BC161,"-","~",2))-1))</f>
        <v/>
      </c>
      <c r="BF161">
        <f>IF($BD161="","",IFERROR(VLOOKUP($BD161,DECODE!$A$3:$C$8,3,FALSE),"?"))</f>
        <v/>
      </c>
      <c r="BG161">
        <f>IF($BE161="","",IFERROR(VLOOKUP($BD161&amp;"-"&amp;$BE161,DECODE!$E$3:$F$21,2,FALSE),"?"))</f>
        <v/>
      </c>
      <c r="BH161">
        <f>IF($BC161="","",IFERROR(VALUE(RIGHT($BC161,3)),""))</f>
        <v/>
      </c>
      <c r="BI161">
        <f>IF($V161="","",IFERROR(IF(ISNUMBER($V161),$V161,DATEVALUE(TRIM($V161))),""))</f>
        <v/>
      </c>
      <c r="BJ161">
        <f>IF($BI161="","",IF(MONTH($BI161)&gt;=12,"Cold Winter",IF(MONTH($BI161)&gt;=10,"Post-Monsoon",IF(MONTH($BI161)&gt;=6,"Hot Humid",IF(MONTH($BI161)&gt;=3,"Hot Dry","Cold Winter")))))</f>
        <v/>
      </c>
      <c r="BK161">
        <f>IF($BD161="","",IFERROR(VLOOKUP($BD161,DECODE!$A$3:$C$8,2,FALSE),"?"))</f>
        <v/>
      </c>
      <c r="BL161">
        <f>IF($Q161="","",UPPER(TRIM(LEFT($Q161&amp;",",FIND(",",$Q161&amp;",")-1))))</f>
        <v/>
      </c>
      <c r="BM161">
        <f>IF($BL161="","",MID($BL161,4,FIND("~",SUBSTITUTE($BL161,"-","~",2))-4))</f>
        <v/>
      </c>
      <c r="BN161">
        <f>IF($BL161="","",MID($BL161,FIND("~",SUBSTITUTE($BL161,"-","~",2))+1,FIND("~",SUBSTITUTE($BL161,"-","~",3))-FIND("~",SUBSTITUTE($BL161,"-","~",2))-1))</f>
        <v/>
      </c>
      <c r="BO161">
        <f>IF($BM161="","",IFERROR(VLOOKUP($BM161,DECODE!$A$3:$C$8,3,FALSE),"?"))</f>
        <v/>
      </c>
      <c r="BP161">
        <f>IF($BN161="","",IFERROR(VLOOKUP($BM161&amp;"-"&amp;$BN161,DECODE!$E$3:$F$21,2,FALSE),"?"))</f>
        <v/>
      </c>
      <c r="BQ161">
        <f>IF($BL161="","",IFERROR(VALUE(RIGHT($BL161,3)),""))</f>
        <v/>
      </c>
      <c r="BR161">
        <f>IF($W161="","",IFERROR(IF(ISNUMBER($W161),$W161,DATEVALUE(TRIM($W161))),""))</f>
        <v/>
      </c>
      <c r="BS161">
        <f>IF($BR161="","",IF(MONTH($BR161)&gt;=12,"Cold Winter",IF(MONTH($BR161)&gt;=10,"Post-Monsoon",IF(MONTH($BR161)&gt;=6,"Hot Humid",IF(MONTH($BR161)&gt;=3,"Hot Dry","Cold Winter")))))</f>
        <v/>
      </c>
      <c r="BT161">
        <f>IF($BM161="","",IFERROR(VLOOKUP($BM161,DECODE!$A$3:$C$8,2,FALSE),"?"))</f>
        <v/>
      </c>
      <c r="BU161">
        <f>IF($R161="","",UPPER(TRIM(LEFT($R161&amp;",",FIND(",",$R161&amp;",")-1))))</f>
        <v/>
      </c>
      <c r="BV161">
        <f>IF($BU161="","",MID($BU161,4,FIND("~",SUBSTITUTE($BU161,"-","~",2))-4))</f>
        <v/>
      </c>
      <c r="BW161">
        <f>IF($BU161="","",MID($BU161,FIND("~",SUBSTITUTE($BU161,"-","~",2))+1,FIND("~",SUBSTITUTE($BU161,"-","~",3))-FIND("~",SUBSTITUTE($BU161,"-","~",2))-1))</f>
        <v/>
      </c>
      <c r="BX161">
        <f>IF($BV161="","",IFERROR(VLOOKUP($BV161,DECODE!$A$3:$C$8,3,FALSE),"?"))</f>
        <v/>
      </c>
      <c r="BY161">
        <f>IF($BW161="","",IFERROR(VLOOKUP($BV161&amp;"-"&amp;$BW161,DECODE!$E$3:$F$21,2,FALSE),"?"))</f>
        <v/>
      </c>
      <c r="BZ161">
        <f>IF($BU161="","",IFERROR(VALUE(RIGHT($BU161,3)),""))</f>
        <v/>
      </c>
      <c r="CA161">
        <f>IF($X161="","",IFERROR(IF(ISNUMBER($X161),$X161,DATEVALUE(TRIM($X161))),""))</f>
        <v/>
      </c>
      <c r="CB161">
        <f>IF($CA161="","",IF(MONTH($CA161)&gt;=12,"Cold Winter",IF(MONTH($CA161)&gt;=10,"Post-Monsoon",IF(MONTH($CA161)&gt;=6,"Hot Humid",IF(MONTH($CA161)&gt;=3,"Hot Dry","Cold Winter")))))</f>
        <v/>
      </c>
      <c r="CC161">
        <f>IF($BV161="","",IFERROR(VLOOKUP($BV161,DECODE!$A$3:$C$8,2,FALSE),"?"))</f>
        <v/>
      </c>
      <c r="CD161">
        <f>IF($S161="","",UPPER(TRIM(LEFT($S161&amp;",",FIND(",",$S161&amp;",")-1))))</f>
        <v/>
      </c>
      <c r="CE161">
        <f>IF($CD161="","",MID($CD161,4,FIND("~",SUBSTITUTE($CD161,"-","~",2))-4))</f>
        <v/>
      </c>
      <c r="CF161">
        <f>IF($CD161="","",MID($CD161,FIND("~",SUBSTITUTE($CD161,"-","~",2))+1,FIND("~",SUBSTITUTE($CD161,"-","~",3))-FIND("~",SUBSTITUTE($CD161,"-","~",2))-1))</f>
        <v/>
      </c>
      <c r="CG161">
        <f>IF($CE161="","",IFERROR(VLOOKUP($CE161,DECODE!$A$3:$C$8,3,FALSE),"?"))</f>
        <v/>
      </c>
      <c r="CH161">
        <f>IF($CF161="","",IFERROR(VLOOKUP($CE161&amp;"-"&amp;$CF161,DECODE!$E$3:$F$21,2,FALSE),"?"))</f>
        <v/>
      </c>
      <c r="CI161">
        <f>IF($CD161="","",IFERROR(VALUE(RIGHT($CD161,3)),""))</f>
        <v/>
      </c>
      <c r="CJ161">
        <f>IF($Y161="","",IFERROR(IF(ISNUMBER($Y161),$Y161,DATEVALUE(TRIM($Y161))),""))</f>
        <v/>
      </c>
      <c r="CK161">
        <f>IF($CJ161="","",IF(MONTH($CJ161)&gt;=12,"Cold Winter",IF(MONTH($CJ161)&gt;=10,"Post-Monsoon",IF(MONTH($CJ161)&gt;=6,"Hot Humid",IF(MONTH($CJ161)&gt;=3,"Hot Dry","Cold Winter")))))</f>
        <v/>
      </c>
      <c r="CL161">
        <f>IF($CE161="","",IFERROR(VLOOKUP($CE161,DECODE!$A$3:$C$8,2,FALSE),"?"))</f>
        <v/>
      </c>
      <c r="CM161">
        <f>IF($AN161="","",AN161)</f>
        <v/>
      </c>
      <c r="CN161">
        <f>IF($AO161="","",AO161)</f>
        <v/>
      </c>
      <c r="CO161">
        <f>IF($AP161="","",AP161)</f>
        <v/>
      </c>
      <c r="CP161">
        <f>IF($CM161="","",IF($CM161="Aloe Vera Gel","Aloe Vera Gel "&amp;$CO161&amp;"g",CN161&amp;" "&amp;$CO161&amp;"g"))</f>
        <v/>
      </c>
      <c r="CQ161">
        <f>IF($AT161="",0,1)</f>
        <v/>
      </c>
      <c r="CR161">
        <f>IF($CQ161=0,"",AW161)</f>
        <v/>
      </c>
      <c r="CS161">
        <f>IF($CQ161=0,"",AX161)</f>
        <v/>
      </c>
      <c r="CT161">
        <f>IF($CQ161=0,"",AY161)</f>
        <v/>
      </c>
      <c r="CU161">
        <f>IF($CR161="","",IF($CR161="Aloe Vera Gel","Aloe Vera Gel "&amp;$CT161&amp;"g",CS161&amp;" "&amp;$CT161&amp;"g"))</f>
        <v/>
      </c>
      <c r="CV161">
        <f>IF($CQ161=0,"",IF($CP161=$CU161,"Repeat Exact",IF($CT161&gt;$CO161,"Upsized",IF($CT161&lt;$CO161,"Downsized",IF($CM161&lt;&gt;$CR161,"Lateral","Same Size Diff Variant")))))</f>
        <v/>
      </c>
      <c r="CW161">
        <f>IF($CQ161=0,"",AZ161-AQ161)</f>
        <v/>
      </c>
      <c r="CX161">
        <f>IF($CQ161=0,0,IF(CS161=CN161,1,0))</f>
        <v/>
      </c>
      <c r="CY161">
        <f>IF($CQ161=0,0,IF(CR161=CM161,1,0))</f>
        <v/>
      </c>
      <c r="CZ161">
        <f>IF($A161="","",IF(AND(IF(DASHBOARD!$C$4="All",TRUE,$CM161=DASHBOARD!$C$4),IF(DASHBOARD!$C$6="All",TRUE,$CP161=DASHBOARD!$C$6),IF(DASHBOARD!$C$8="All",TRUE,$AF161&gt;=DASHBOARD!$C$8),IF(DASHBOARD!$C$10="All",TRUE,$AF161&lt;=DASHBOARD!$C$10),IF(DASHBOARD!$C$12="All",TRUE,$AH161=VALUE(DASHBOARD!$C$12)),IF(DASHBOARD!$C$14="All",TRUE,$AJ161=DASHBOARD!$C$14)),1,0))</f>
        <v/>
      </c>
    </row>
    <row r="162">
      <c r="A162" t="n">
        <v>116569</v>
      </c>
      <c r="B162" t="inlineStr">
        <is>
          <t>Face Malai</t>
        </is>
      </c>
      <c r="H162" t="inlineStr">
        <is>
          <t>Flax Walnut (Cold) 35+ Face Malai</t>
        </is>
      </c>
      <c r="N162" t="inlineStr">
        <is>
          <t>FC-CWDM-FW-030</t>
        </is>
      </c>
      <c r="T162" t="inlineStr">
        <is>
          <t>Dec 14, 2024</t>
        </is>
      </c>
      <c r="AE162" t="inlineStr">
        <is>
          <t>Gautam Buddha Nagar</t>
        </is>
      </c>
      <c r="AF162" t="inlineStr">
        <is>
          <t>2024-12</t>
        </is>
      </c>
      <c r="AG162" t="n">
        <v>12</v>
      </c>
      <c r="AH162" t="n">
        <v>1</v>
      </c>
      <c r="AI162" t="n">
        <v>0</v>
      </c>
      <c r="AJ162">
        <f>IF($AE162="","",IFERROR(VLOOKUP(TRIM($AE162),DECODE!$H$3:$I$60,2,FALSE),"Rest of India"))</f>
        <v/>
      </c>
      <c r="AK162">
        <f>IF($N162="","",UPPER(TRIM(LEFT($N162&amp;",",FIND(",",$N162&amp;",")-1))))</f>
        <v/>
      </c>
      <c r="AL162">
        <f>IF($AK162="","",MID($AK162,4,FIND("~",SUBSTITUTE($AK162,"-","~",2))-4))</f>
        <v/>
      </c>
      <c r="AM162">
        <f>IF($AK162="","",MID($AK162,FIND("~",SUBSTITUTE($AK162,"-","~",2))+1,FIND("~",SUBSTITUTE($AK162,"-","~",3))-FIND("~",SUBSTITUTE($AK162,"-","~",2))-1))</f>
        <v/>
      </c>
      <c r="AN162">
        <f>IF($AL162="","",IFERROR(VLOOKUP($AL162,DECODE!$A$3:$C$8,3,FALSE),"?"))</f>
        <v/>
      </c>
      <c r="AO162">
        <f>IF($AM162="","",IFERROR(VLOOKUP($AL162&amp;"-"&amp;$AM162,DECODE!$E$3:$F$21,2,FALSE),"?"))</f>
        <v/>
      </c>
      <c r="AP162">
        <f>IF($AK162="","",IFERROR(VALUE(RIGHT($AK162,3)),""))</f>
        <v/>
      </c>
      <c r="AQ162">
        <f>IF($T162="","",IFERROR(IF(ISNUMBER($T162),$T162,DATEVALUE(TRIM($T162))),""))</f>
        <v/>
      </c>
      <c r="AR162">
        <f>IF($AQ162="","",IF(MONTH($AQ162)&gt;=12,"Cold Winter",IF(MONTH($AQ162)&gt;=10,"Post-Monsoon",IF(MONTH($AQ162)&gt;=6,"Hot Humid",IF(MONTH($AQ162)&gt;=3,"Hot Dry","Cold Winter")))))</f>
        <v/>
      </c>
      <c r="AS162">
        <f>IF($AL162="","",IFERROR(VLOOKUP($AL162,DECODE!$A$3:$C$8,2,FALSE),"?"))</f>
        <v/>
      </c>
      <c r="AT162">
        <f>IF($O162="","",UPPER(TRIM(LEFT($O162&amp;",",FIND(",",$O162&amp;",")-1))))</f>
        <v/>
      </c>
      <c r="AU162">
        <f>IF($AT162="","",MID($AT162,4,FIND("~",SUBSTITUTE($AT162,"-","~",2))-4))</f>
        <v/>
      </c>
      <c r="AV162">
        <f>IF($AT162="","",MID($AT162,FIND("~",SUBSTITUTE($AT162,"-","~",2))+1,FIND("~",SUBSTITUTE($AT162,"-","~",3))-FIND("~",SUBSTITUTE($AT162,"-","~",2))-1))</f>
        <v/>
      </c>
      <c r="AW162">
        <f>IF($AU162="","",IFERROR(VLOOKUP($AU162,DECODE!$A$3:$C$8,3,FALSE),"?"))</f>
        <v/>
      </c>
      <c r="AX162">
        <f>IF($AV162="","",IFERROR(VLOOKUP($AU162&amp;"-"&amp;$AV162,DECODE!$E$3:$F$21,2,FALSE),"?"))</f>
        <v/>
      </c>
      <c r="AY162">
        <f>IF($AT162="","",IFERROR(VALUE(RIGHT($AT162,3)),""))</f>
        <v/>
      </c>
      <c r="AZ162">
        <f>IF($U162="","",IFERROR(IF(ISNUMBER($U162),$U162,DATEVALUE(TRIM($U162))),""))</f>
        <v/>
      </c>
      <c r="BA162">
        <f>IF($AZ162="","",IF(MONTH($AZ162)&gt;=12,"Cold Winter",IF(MONTH($AZ162)&gt;=10,"Post-Monsoon",IF(MONTH($AZ162)&gt;=6,"Hot Humid",IF(MONTH($AZ162)&gt;=3,"Hot Dry","Cold Winter")))))</f>
        <v/>
      </c>
      <c r="BB162">
        <f>IF($AU162="","",IFERROR(VLOOKUP($AU162,DECODE!$A$3:$C$8,2,FALSE),"?"))</f>
        <v/>
      </c>
      <c r="BC162">
        <f>IF($P162="","",UPPER(TRIM(LEFT($P162&amp;",",FIND(",",$P162&amp;",")-1))))</f>
        <v/>
      </c>
      <c r="BD162">
        <f>IF($BC162="","",MID($BC162,4,FIND("~",SUBSTITUTE($BC162,"-","~",2))-4))</f>
        <v/>
      </c>
      <c r="BE162">
        <f>IF($BC162="","",MID($BC162,FIND("~",SUBSTITUTE($BC162,"-","~",2))+1,FIND("~",SUBSTITUTE($BC162,"-","~",3))-FIND("~",SUBSTITUTE($BC162,"-","~",2))-1))</f>
        <v/>
      </c>
      <c r="BF162">
        <f>IF($BD162="","",IFERROR(VLOOKUP($BD162,DECODE!$A$3:$C$8,3,FALSE),"?"))</f>
        <v/>
      </c>
      <c r="BG162">
        <f>IF($BE162="","",IFERROR(VLOOKUP($BD162&amp;"-"&amp;$BE162,DECODE!$E$3:$F$21,2,FALSE),"?"))</f>
        <v/>
      </c>
      <c r="BH162">
        <f>IF($BC162="","",IFERROR(VALUE(RIGHT($BC162,3)),""))</f>
        <v/>
      </c>
      <c r="BI162">
        <f>IF($V162="","",IFERROR(IF(ISNUMBER($V162),$V162,DATEVALUE(TRIM($V162))),""))</f>
        <v/>
      </c>
      <c r="BJ162">
        <f>IF($BI162="","",IF(MONTH($BI162)&gt;=12,"Cold Winter",IF(MONTH($BI162)&gt;=10,"Post-Monsoon",IF(MONTH($BI162)&gt;=6,"Hot Humid",IF(MONTH($BI162)&gt;=3,"Hot Dry","Cold Winter")))))</f>
        <v/>
      </c>
      <c r="BK162">
        <f>IF($BD162="","",IFERROR(VLOOKUP($BD162,DECODE!$A$3:$C$8,2,FALSE),"?"))</f>
        <v/>
      </c>
      <c r="BL162">
        <f>IF($Q162="","",UPPER(TRIM(LEFT($Q162&amp;",",FIND(",",$Q162&amp;",")-1))))</f>
        <v/>
      </c>
      <c r="BM162">
        <f>IF($BL162="","",MID($BL162,4,FIND("~",SUBSTITUTE($BL162,"-","~",2))-4))</f>
        <v/>
      </c>
      <c r="BN162">
        <f>IF($BL162="","",MID($BL162,FIND("~",SUBSTITUTE($BL162,"-","~",2))+1,FIND("~",SUBSTITUTE($BL162,"-","~",3))-FIND("~",SUBSTITUTE($BL162,"-","~",2))-1))</f>
        <v/>
      </c>
      <c r="BO162">
        <f>IF($BM162="","",IFERROR(VLOOKUP($BM162,DECODE!$A$3:$C$8,3,FALSE),"?"))</f>
        <v/>
      </c>
      <c r="BP162">
        <f>IF($BN162="","",IFERROR(VLOOKUP($BM162&amp;"-"&amp;$BN162,DECODE!$E$3:$F$21,2,FALSE),"?"))</f>
        <v/>
      </c>
      <c r="BQ162">
        <f>IF($BL162="","",IFERROR(VALUE(RIGHT($BL162,3)),""))</f>
        <v/>
      </c>
      <c r="BR162">
        <f>IF($W162="","",IFERROR(IF(ISNUMBER($W162),$W162,DATEVALUE(TRIM($W162))),""))</f>
        <v/>
      </c>
      <c r="BS162">
        <f>IF($BR162="","",IF(MONTH($BR162)&gt;=12,"Cold Winter",IF(MONTH($BR162)&gt;=10,"Post-Monsoon",IF(MONTH($BR162)&gt;=6,"Hot Humid",IF(MONTH($BR162)&gt;=3,"Hot Dry","Cold Winter")))))</f>
        <v/>
      </c>
      <c r="BT162">
        <f>IF($BM162="","",IFERROR(VLOOKUP($BM162,DECODE!$A$3:$C$8,2,FALSE),"?"))</f>
        <v/>
      </c>
      <c r="BU162">
        <f>IF($R162="","",UPPER(TRIM(LEFT($R162&amp;",",FIND(",",$R162&amp;",")-1))))</f>
        <v/>
      </c>
      <c r="BV162">
        <f>IF($BU162="","",MID($BU162,4,FIND("~",SUBSTITUTE($BU162,"-","~",2))-4))</f>
        <v/>
      </c>
      <c r="BW162">
        <f>IF($BU162="","",MID($BU162,FIND("~",SUBSTITUTE($BU162,"-","~",2))+1,FIND("~",SUBSTITUTE($BU162,"-","~",3))-FIND("~",SUBSTITUTE($BU162,"-","~",2))-1))</f>
        <v/>
      </c>
      <c r="BX162">
        <f>IF($BV162="","",IFERROR(VLOOKUP($BV162,DECODE!$A$3:$C$8,3,FALSE),"?"))</f>
        <v/>
      </c>
      <c r="BY162">
        <f>IF($BW162="","",IFERROR(VLOOKUP($BV162&amp;"-"&amp;$BW162,DECODE!$E$3:$F$21,2,FALSE),"?"))</f>
        <v/>
      </c>
      <c r="BZ162">
        <f>IF($BU162="","",IFERROR(VALUE(RIGHT($BU162,3)),""))</f>
        <v/>
      </c>
      <c r="CA162">
        <f>IF($X162="","",IFERROR(IF(ISNUMBER($X162),$X162,DATEVALUE(TRIM($X162))),""))</f>
        <v/>
      </c>
      <c r="CB162">
        <f>IF($CA162="","",IF(MONTH($CA162)&gt;=12,"Cold Winter",IF(MONTH($CA162)&gt;=10,"Post-Monsoon",IF(MONTH($CA162)&gt;=6,"Hot Humid",IF(MONTH($CA162)&gt;=3,"Hot Dry","Cold Winter")))))</f>
        <v/>
      </c>
      <c r="CC162">
        <f>IF($BV162="","",IFERROR(VLOOKUP($BV162,DECODE!$A$3:$C$8,2,FALSE),"?"))</f>
        <v/>
      </c>
      <c r="CD162">
        <f>IF($S162="","",UPPER(TRIM(LEFT($S162&amp;",",FIND(",",$S162&amp;",")-1))))</f>
        <v/>
      </c>
      <c r="CE162">
        <f>IF($CD162="","",MID($CD162,4,FIND("~",SUBSTITUTE($CD162,"-","~",2))-4))</f>
        <v/>
      </c>
      <c r="CF162">
        <f>IF($CD162="","",MID($CD162,FIND("~",SUBSTITUTE($CD162,"-","~",2))+1,FIND("~",SUBSTITUTE($CD162,"-","~",3))-FIND("~",SUBSTITUTE($CD162,"-","~",2))-1))</f>
        <v/>
      </c>
      <c r="CG162">
        <f>IF($CE162="","",IFERROR(VLOOKUP($CE162,DECODE!$A$3:$C$8,3,FALSE),"?"))</f>
        <v/>
      </c>
      <c r="CH162">
        <f>IF($CF162="","",IFERROR(VLOOKUP($CE162&amp;"-"&amp;$CF162,DECODE!$E$3:$F$21,2,FALSE),"?"))</f>
        <v/>
      </c>
      <c r="CI162">
        <f>IF($CD162="","",IFERROR(VALUE(RIGHT($CD162,3)),""))</f>
        <v/>
      </c>
      <c r="CJ162">
        <f>IF($Y162="","",IFERROR(IF(ISNUMBER($Y162),$Y162,DATEVALUE(TRIM($Y162))),""))</f>
        <v/>
      </c>
      <c r="CK162">
        <f>IF($CJ162="","",IF(MONTH($CJ162)&gt;=12,"Cold Winter",IF(MONTH($CJ162)&gt;=10,"Post-Monsoon",IF(MONTH($CJ162)&gt;=6,"Hot Humid",IF(MONTH($CJ162)&gt;=3,"Hot Dry","Cold Winter")))))</f>
        <v/>
      </c>
      <c r="CL162">
        <f>IF($CE162="","",IFERROR(VLOOKUP($CE162,DECODE!$A$3:$C$8,2,FALSE),"?"))</f>
        <v/>
      </c>
      <c r="CM162">
        <f>IF($AN162="","",AN162)</f>
        <v/>
      </c>
      <c r="CN162">
        <f>IF($AO162="","",AO162)</f>
        <v/>
      </c>
      <c r="CO162">
        <f>IF($AP162="","",AP162)</f>
        <v/>
      </c>
      <c r="CP162">
        <f>IF($CM162="","",IF($CM162="Aloe Vera Gel","Aloe Vera Gel "&amp;$CO162&amp;"g",CN162&amp;" "&amp;$CO162&amp;"g"))</f>
        <v/>
      </c>
      <c r="CQ162">
        <f>IF($AT162="",0,1)</f>
        <v/>
      </c>
      <c r="CR162">
        <f>IF($CQ162=0,"",AW162)</f>
        <v/>
      </c>
      <c r="CS162">
        <f>IF($CQ162=0,"",AX162)</f>
        <v/>
      </c>
      <c r="CT162">
        <f>IF($CQ162=0,"",AY162)</f>
        <v/>
      </c>
      <c r="CU162">
        <f>IF($CR162="","",IF($CR162="Aloe Vera Gel","Aloe Vera Gel "&amp;$CT162&amp;"g",CS162&amp;" "&amp;$CT162&amp;"g"))</f>
        <v/>
      </c>
      <c r="CV162">
        <f>IF($CQ162=0,"",IF($CP162=$CU162,"Repeat Exact",IF($CT162&gt;$CO162,"Upsized",IF($CT162&lt;$CO162,"Downsized",IF($CM162&lt;&gt;$CR162,"Lateral","Same Size Diff Variant")))))</f>
        <v/>
      </c>
      <c r="CW162">
        <f>IF($CQ162=0,"",AZ162-AQ162)</f>
        <v/>
      </c>
      <c r="CX162">
        <f>IF($CQ162=0,0,IF(CS162=CN162,1,0))</f>
        <v/>
      </c>
      <c r="CY162">
        <f>IF($CQ162=0,0,IF(CR162=CM162,1,0))</f>
        <v/>
      </c>
      <c r="CZ162">
        <f>IF($A162="","",IF(AND(IF(DASHBOARD!$C$4="All",TRUE,$CM162=DASHBOARD!$C$4),IF(DASHBOARD!$C$6="All",TRUE,$CP162=DASHBOARD!$C$6),IF(DASHBOARD!$C$8="All",TRUE,$AF162&gt;=DASHBOARD!$C$8),IF(DASHBOARD!$C$10="All",TRUE,$AF162&lt;=DASHBOARD!$C$10),IF(DASHBOARD!$C$12="All",TRUE,$AH162=VALUE(DASHBOARD!$C$12)),IF(DASHBOARD!$C$14="All",TRUE,$AJ162=DASHBOARD!$C$14)),1,0))</f>
        <v/>
      </c>
    </row>
    <row r="163">
      <c r="A163" t="n">
        <v>116678</v>
      </c>
      <c r="B163" t="inlineStr">
        <is>
          <t>Face Malai</t>
        </is>
      </c>
      <c r="H163" t="inlineStr">
        <is>
          <t>Tomato Patchouli (Cold) 20 - 35 Yrs Face Malai</t>
        </is>
      </c>
      <c r="N163" t="inlineStr">
        <is>
          <t>FC-CWDM-TP-030</t>
        </is>
      </c>
      <c r="T163" t="inlineStr">
        <is>
          <t>Jan 31, 2024</t>
        </is>
      </c>
      <c r="AE163" t="inlineStr">
        <is>
          <t>Gautam Buddha Nagar</t>
        </is>
      </c>
      <c r="AF163" t="inlineStr">
        <is>
          <t>2024-01</t>
        </is>
      </c>
      <c r="AG163" t="n">
        <v>1</v>
      </c>
      <c r="AH163" t="n">
        <v>1</v>
      </c>
      <c r="AI163" t="n">
        <v>0</v>
      </c>
      <c r="AJ163">
        <f>IF($AE163="","",IFERROR(VLOOKUP(TRIM($AE163),DECODE!$H$3:$I$60,2,FALSE),"Rest of India"))</f>
        <v/>
      </c>
      <c r="AK163">
        <f>IF($N163="","",UPPER(TRIM(LEFT($N163&amp;",",FIND(",",$N163&amp;",")-1))))</f>
        <v/>
      </c>
      <c r="AL163">
        <f>IF($AK163="","",MID($AK163,4,FIND("~",SUBSTITUTE($AK163,"-","~",2))-4))</f>
        <v/>
      </c>
      <c r="AM163">
        <f>IF($AK163="","",MID($AK163,FIND("~",SUBSTITUTE($AK163,"-","~",2))+1,FIND("~",SUBSTITUTE($AK163,"-","~",3))-FIND("~",SUBSTITUTE($AK163,"-","~",2))-1))</f>
        <v/>
      </c>
      <c r="AN163">
        <f>IF($AL163="","",IFERROR(VLOOKUP($AL163,DECODE!$A$3:$C$8,3,FALSE),"?"))</f>
        <v/>
      </c>
      <c r="AO163">
        <f>IF($AM163="","",IFERROR(VLOOKUP($AL163&amp;"-"&amp;$AM163,DECODE!$E$3:$F$21,2,FALSE),"?"))</f>
        <v/>
      </c>
      <c r="AP163">
        <f>IF($AK163="","",IFERROR(VALUE(RIGHT($AK163,3)),""))</f>
        <v/>
      </c>
      <c r="AQ163">
        <f>IF($T163="","",IFERROR(IF(ISNUMBER($T163),$T163,DATEVALUE(TRIM($T163))),""))</f>
        <v/>
      </c>
      <c r="AR163">
        <f>IF($AQ163="","",IF(MONTH($AQ163)&gt;=12,"Cold Winter",IF(MONTH($AQ163)&gt;=10,"Post-Monsoon",IF(MONTH($AQ163)&gt;=6,"Hot Humid",IF(MONTH($AQ163)&gt;=3,"Hot Dry","Cold Winter")))))</f>
        <v/>
      </c>
      <c r="AS163">
        <f>IF($AL163="","",IFERROR(VLOOKUP($AL163,DECODE!$A$3:$C$8,2,FALSE),"?"))</f>
        <v/>
      </c>
      <c r="AT163">
        <f>IF($O163="","",UPPER(TRIM(LEFT($O163&amp;",",FIND(",",$O163&amp;",")-1))))</f>
        <v/>
      </c>
      <c r="AU163">
        <f>IF($AT163="","",MID($AT163,4,FIND("~",SUBSTITUTE($AT163,"-","~",2))-4))</f>
        <v/>
      </c>
      <c r="AV163">
        <f>IF($AT163="","",MID($AT163,FIND("~",SUBSTITUTE($AT163,"-","~",2))+1,FIND("~",SUBSTITUTE($AT163,"-","~",3))-FIND("~",SUBSTITUTE($AT163,"-","~",2))-1))</f>
        <v/>
      </c>
      <c r="AW163">
        <f>IF($AU163="","",IFERROR(VLOOKUP($AU163,DECODE!$A$3:$C$8,3,FALSE),"?"))</f>
        <v/>
      </c>
      <c r="AX163">
        <f>IF($AV163="","",IFERROR(VLOOKUP($AU163&amp;"-"&amp;$AV163,DECODE!$E$3:$F$21,2,FALSE),"?"))</f>
        <v/>
      </c>
      <c r="AY163">
        <f>IF($AT163="","",IFERROR(VALUE(RIGHT($AT163,3)),""))</f>
        <v/>
      </c>
      <c r="AZ163">
        <f>IF($U163="","",IFERROR(IF(ISNUMBER($U163),$U163,DATEVALUE(TRIM($U163))),""))</f>
        <v/>
      </c>
      <c r="BA163">
        <f>IF($AZ163="","",IF(MONTH($AZ163)&gt;=12,"Cold Winter",IF(MONTH($AZ163)&gt;=10,"Post-Monsoon",IF(MONTH($AZ163)&gt;=6,"Hot Humid",IF(MONTH($AZ163)&gt;=3,"Hot Dry","Cold Winter")))))</f>
        <v/>
      </c>
      <c r="BB163">
        <f>IF($AU163="","",IFERROR(VLOOKUP($AU163,DECODE!$A$3:$C$8,2,FALSE),"?"))</f>
        <v/>
      </c>
      <c r="BC163">
        <f>IF($P163="","",UPPER(TRIM(LEFT($P163&amp;",",FIND(",",$P163&amp;",")-1))))</f>
        <v/>
      </c>
      <c r="BD163">
        <f>IF($BC163="","",MID($BC163,4,FIND("~",SUBSTITUTE($BC163,"-","~",2))-4))</f>
        <v/>
      </c>
      <c r="BE163">
        <f>IF($BC163="","",MID($BC163,FIND("~",SUBSTITUTE($BC163,"-","~",2))+1,FIND("~",SUBSTITUTE($BC163,"-","~",3))-FIND("~",SUBSTITUTE($BC163,"-","~",2))-1))</f>
        <v/>
      </c>
      <c r="BF163">
        <f>IF($BD163="","",IFERROR(VLOOKUP($BD163,DECODE!$A$3:$C$8,3,FALSE),"?"))</f>
        <v/>
      </c>
      <c r="BG163">
        <f>IF($BE163="","",IFERROR(VLOOKUP($BD163&amp;"-"&amp;$BE163,DECODE!$E$3:$F$21,2,FALSE),"?"))</f>
        <v/>
      </c>
      <c r="BH163">
        <f>IF($BC163="","",IFERROR(VALUE(RIGHT($BC163,3)),""))</f>
        <v/>
      </c>
      <c r="BI163">
        <f>IF($V163="","",IFERROR(IF(ISNUMBER($V163),$V163,DATEVALUE(TRIM($V163))),""))</f>
        <v/>
      </c>
      <c r="BJ163">
        <f>IF($BI163="","",IF(MONTH($BI163)&gt;=12,"Cold Winter",IF(MONTH($BI163)&gt;=10,"Post-Monsoon",IF(MONTH($BI163)&gt;=6,"Hot Humid",IF(MONTH($BI163)&gt;=3,"Hot Dry","Cold Winter")))))</f>
        <v/>
      </c>
      <c r="BK163">
        <f>IF($BD163="","",IFERROR(VLOOKUP($BD163,DECODE!$A$3:$C$8,2,FALSE),"?"))</f>
        <v/>
      </c>
      <c r="BL163">
        <f>IF($Q163="","",UPPER(TRIM(LEFT($Q163&amp;",",FIND(",",$Q163&amp;",")-1))))</f>
        <v/>
      </c>
      <c r="BM163">
        <f>IF($BL163="","",MID($BL163,4,FIND("~",SUBSTITUTE($BL163,"-","~",2))-4))</f>
        <v/>
      </c>
      <c r="BN163">
        <f>IF($BL163="","",MID($BL163,FIND("~",SUBSTITUTE($BL163,"-","~",2))+1,FIND("~",SUBSTITUTE($BL163,"-","~",3))-FIND("~",SUBSTITUTE($BL163,"-","~",2))-1))</f>
        <v/>
      </c>
      <c r="BO163">
        <f>IF($BM163="","",IFERROR(VLOOKUP($BM163,DECODE!$A$3:$C$8,3,FALSE),"?"))</f>
        <v/>
      </c>
      <c r="BP163">
        <f>IF($BN163="","",IFERROR(VLOOKUP($BM163&amp;"-"&amp;$BN163,DECODE!$E$3:$F$21,2,FALSE),"?"))</f>
        <v/>
      </c>
      <c r="BQ163">
        <f>IF($BL163="","",IFERROR(VALUE(RIGHT($BL163,3)),""))</f>
        <v/>
      </c>
      <c r="BR163">
        <f>IF($W163="","",IFERROR(IF(ISNUMBER($W163),$W163,DATEVALUE(TRIM($W163))),""))</f>
        <v/>
      </c>
      <c r="BS163">
        <f>IF($BR163="","",IF(MONTH($BR163)&gt;=12,"Cold Winter",IF(MONTH($BR163)&gt;=10,"Post-Monsoon",IF(MONTH($BR163)&gt;=6,"Hot Humid",IF(MONTH($BR163)&gt;=3,"Hot Dry","Cold Winter")))))</f>
        <v/>
      </c>
      <c r="BT163">
        <f>IF($BM163="","",IFERROR(VLOOKUP($BM163,DECODE!$A$3:$C$8,2,FALSE),"?"))</f>
        <v/>
      </c>
      <c r="BU163">
        <f>IF($R163="","",UPPER(TRIM(LEFT($R163&amp;",",FIND(",",$R163&amp;",")-1))))</f>
        <v/>
      </c>
      <c r="BV163">
        <f>IF($BU163="","",MID($BU163,4,FIND("~",SUBSTITUTE($BU163,"-","~",2))-4))</f>
        <v/>
      </c>
      <c r="BW163">
        <f>IF($BU163="","",MID($BU163,FIND("~",SUBSTITUTE($BU163,"-","~",2))+1,FIND("~",SUBSTITUTE($BU163,"-","~",3))-FIND("~",SUBSTITUTE($BU163,"-","~",2))-1))</f>
        <v/>
      </c>
      <c r="BX163">
        <f>IF($BV163="","",IFERROR(VLOOKUP($BV163,DECODE!$A$3:$C$8,3,FALSE),"?"))</f>
        <v/>
      </c>
      <c r="BY163">
        <f>IF($BW163="","",IFERROR(VLOOKUP($BV163&amp;"-"&amp;$BW163,DECODE!$E$3:$F$21,2,FALSE),"?"))</f>
        <v/>
      </c>
      <c r="BZ163">
        <f>IF($BU163="","",IFERROR(VALUE(RIGHT($BU163,3)),""))</f>
        <v/>
      </c>
      <c r="CA163">
        <f>IF($X163="","",IFERROR(IF(ISNUMBER($X163),$X163,DATEVALUE(TRIM($X163))),""))</f>
        <v/>
      </c>
      <c r="CB163">
        <f>IF($CA163="","",IF(MONTH($CA163)&gt;=12,"Cold Winter",IF(MONTH($CA163)&gt;=10,"Post-Monsoon",IF(MONTH($CA163)&gt;=6,"Hot Humid",IF(MONTH($CA163)&gt;=3,"Hot Dry","Cold Winter")))))</f>
        <v/>
      </c>
      <c r="CC163">
        <f>IF($BV163="","",IFERROR(VLOOKUP($BV163,DECODE!$A$3:$C$8,2,FALSE),"?"))</f>
        <v/>
      </c>
      <c r="CD163">
        <f>IF($S163="","",UPPER(TRIM(LEFT($S163&amp;",",FIND(",",$S163&amp;",")-1))))</f>
        <v/>
      </c>
      <c r="CE163">
        <f>IF($CD163="","",MID($CD163,4,FIND("~",SUBSTITUTE($CD163,"-","~",2))-4))</f>
        <v/>
      </c>
      <c r="CF163">
        <f>IF($CD163="","",MID($CD163,FIND("~",SUBSTITUTE($CD163,"-","~",2))+1,FIND("~",SUBSTITUTE($CD163,"-","~",3))-FIND("~",SUBSTITUTE($CD163,"-","~",2))-1))</f>
        <v/>
      </c>
      <c r="CG163">
        <f>IF($CE163="","",IFERROR(VLOOKUP($CE163,DECODE!$A$3:$C$8,3,FALSE),"?"))</f>
        <v/>
      </c>
      <c r="CH163">
        <f>IF($CF163="","",IFERROR(VLOOKUP($CE163&amp;"-"&amp;$CF163,DECODE!$E$3:$F$21,2,FALSE),"?"))</f>
        <v/>
      </c>
      <c r="CI163">
        <f>IF($CD163="","",IFERROR(VALUE(RIGHT($CD163,3)),""))</f>
        <v/>
      </c>
      <c r="CJ163">
        <f>IF($Y163="","",IFERROR(IF(ISNUMBER($Y163),$Y163,DATEVALUE(TRIM($Y163))),""))</f>
        <v/>
      </c>
      <c r="CK163">
        <f>IF($CJ163="","",IF(MONTH($CJ163)&gt;=12,"Cold Winter",IF(MONTH($CJ163)&gt;=10,"Post-Monsoon",IF(MONTH($CJ163)&gt;=6,"Hot Humid",IF(MONTH($CJ163)&gt;=3,"Hot Dry","Cold Winter")))))</f>
        <v/>
      </c>
      <c r="CL163">
        <f>IF($CE163="","",IFERROR(VLOOKUP($CE163,DECODE!$A$3:$C$8,2,FALSE),"?"))</f>
        <v/>
      </c>
      <c r="CM163">
        <f>IF($AN163="","",AN163)</f>
        <v/>
      </c>
      <c r="CN163">
        <f>IF($AO163="","",AO163)</f>
        <v/>
      </c>
      <c r="CO163">
        <f>IF($AP163="","",AP163)</f>
        <v/>
      </c>
      <c r="CP163">
        <f>IF($CM163="","",IF($CM163="Aloe Vera Gel","Aloe Vera Gel "&amp;$CO163&amp;"g",CN163&amp;" "&amp;$CO163&amp;"g"))</f>
        <v/>
      </c>
      <c r="CQ163">
        <f>IF($AT163="",0,1)</f>
        <v/>
      </c>
      <c r="CR163">
        <f>IF($CQ163=0,"",AW163)</f>
        <v/>
      </c>
      <c r="CS163">
        <f>IF($CQ163=0,"",AX163)</f>
        <v/>
      </c>
      <c r="CT163">
        <f>IF($CQ163=0,"",AY163)</f>
        <v/>
      </c>
      <c r="CU163">
        <f>IF($CR163="","",IF($CR163="Aloe Vera Gel","Aloe Vera Gel "&amp;$CT163&amp;"g",CS163&amp;" "&amp;$CT163&amp;"g"))</f>
        <v/>
      </c>
      <c r="CV163">
        <f>IF($CQ163=0,"",IF($CP163=$CU163,"Repeat Exact",IF($CT163&gt;$CO163,"Upsized",IF($CT163&lt;$CO163,"Downsized",IF($CM163&lt;&gt;$CR163,"Lateral","Same Size Diff Variant")))))</f>
        <v/>
      </c>
      <c r="CW163">
        <f>IF($CQ163=0,"",AZ163-AQ163)</f>
        <v/>
      </c>
      <c r="CX163">
        <f>IF($CQ163=0,0,IF(CS163=CN163,1,0))</f>
        <v/>
      </c>
      <c r="CY163">
        <f>IF($CQ163=0,0,IF(CR163=CM163,1,0))</f>
        <v/>
      </c>
      <c r="CZ163">
        <f>IF($A163="","",IF(AND(IF(DASHBOARD!$C$4="All",TRUE,$CM163=DASHBOARD!$C$4),IF(DASHBOARD!$C$6="All",TRUE,$CP163=DASHBOARD!$C$6),IF(DASHBOARD!$C$8="All",TRUE,$AF163&gt;=DASHBOARD!$C$8),IF(DASHBOARD!$C$10="All",TRUE,$AF163&lt;=DASHBOARD!$C$10),IF(DASHBOARD!$C$12="All",TRUE,$AH163=VALUE(DASHBOARD!$C$12)),IF(DASHBOARD!$C$14="All",TRUE,$AJ163=DASHBOARD!$C$14)),1,0))</f>
        <v/>
      </c>
    </row>
    <row r="164">
      <c r="A164" t="n">
        <v>116973</v>
      </c>
      <c r="B164" t="inlineStr">
        <is>
          <t>Face Malai</t>
        </is>
      </c>
      <c r="H164" t="inlineStr">
        <is>
          <t>Honey Multi-Nut (Dry &amp; Peeling Skin) Face Malai</t>
        </is>
      </c>
      <c r="N164" t="inlineStr">
        <is>
          <t>FC-DM-DP-030</t>
        </is>
      </c>
      <c r="T164" t="inlineStr">
        <is>
          <t>Jan 10, 2024</t>
        </is>
      </c>
      <c r="AE164" t="inlineStr">
        <is>
          <t>New Delhi</t>
        </is>
      </c>
      <c r="AF164" t="inlineStr">
        <is>
          <t>2024-01</t>
        </is>
      </c>
      <c r="AG164" t="n">
        <v>1</v>
      </c>
      <c r="AH164" t="n">
        <v>1</v>
      </c>
      <c r="AI164" t="n">
        <v>0</v>
      </c>
      <c r="AJ164">
        <f>IF($AE164="","",IFERROR(VLOOKUP(TRIM($AE164),DECODE!$H$3:$I$60,2,FALSE),"Rest of India"))</f>
        <v/>
      </c>
      <c r="AK164">
        <f>IF($N164="","",UPPER(TRIM(LEFT($N164&amp;",",FIND(",",$N164&amp;",")-1))))</f>
        <v/>
      </c>
      <c r="AL164">
        <f>IF($AK164="","",MID($AK164,4,FIND("~",SUBSTITUTE($AK164,"-","~",2))-4))</f>
        <v/>
      </c>
      <c r="AM164">
        <f>IF($AK164="","",MID($AK164,FIND("~",SUBSTITUTE($AK164,"-","~",2))+1,FIND("~",SUBSTITUTE($AK164,"-","~",3))-FIND("~",SUBSTITUTE($AK164,"-","~",2))-1))</f>
        <v/>
      </c>
      <c r="AN164">
        <f>IF($AL164="","",IFERROR(VLOOKUP($AL164,DECODE!$A$3:$C$8,3,FALSE),"?"))</f>
        <v/>
      </c>
      <c r="AO164">
        <f>IF($AM164="","",IFERROR(VLOOKUP($AL164&amp;"-"&amp;$AM164,DECODE!$E$3:$F$21,2,FALSE),"?"))</f>
        <v/>
      </c>
      <c r="AP164">
        <f>IF($AK164="","",IFERROR(VALUE(RIGHT($AK164,3)),""))</f>
        <v/>
      </c>
      <c r="AQ164">
        <f>IF($T164="","",IFERROR(IF(ISNUMBER($T164),$T164,DATEVALUE(TRIM($T164))),""))</f>
        <v/>
      </c>
      <c r="AR164">
        <f>IF($AQ164="","",IF(MONTH($AQ164)&gt;=12,"Cold Winter",IF(MONTH($AQ164)&gt;=10,"Post-Monsoon",IF(MONTH($AQ164)&gt;=6,"Hot Humid",IF(MONTH($AQ164)&gt;=3,"Hot Dry","Cold Winter")))))</f>
        <v/>
      </c>
      <c r="AS164">
        <f>IF($AL164="","",IFERROR(VLOOKUP($AL164,DECODE!$A$3:$C$8,2,FALSE),"?"))</f>
        <v/>
      </c>
      <c r="AT164">
        <f>IF($O164="","",UPPER(TRIM(LEFT($O164&amp;",",FIND(",",$O164&amp;",")-1))))</f>
        <v/>
      </c>
      <c r="AU164">
        <f>IF($AT164="","",MID($AT164,4,FIND("~",SUBSTITUTE($AT164,"-","~",2))-4))</f>
        <v/>
      </c>
      <c r="AV164">
        <f>IF($AT164="","",MID($AT164,FIND("~",SUBSTITUTE($AT164,"-","~",2))+1,FIND("~",SUBSTITUTE($AT164,"-","~",3))-FIND("~",SUBSTITUTE($AT164,"-","~",2))-1))</f>
        <v/>
      </c>
      <c r="AW164">
        <f>IF($AU164="","",IFERROR(VLOOKUP($AU164,DECODE!$A$3:$C$8,3,FALSE),"?"))</f>
        <v/>
      </c>
      <c r="AX164">
        <f>IF($AV164="","",IFERROR(VLOOKUP($AU164&amp;"-"&amp;$AV164,DECODE!$E$3:$F$21,2,FALSE),"?"))</f>
        <v/>
      </c>
      <c r="AY164">
        <f>IF($AT164="","",IFERROR(VALUE(RIGHT($AT164,3)),""))</f>
        <v/>
      </c>
      <c r="AZ164">
        <f>IF($U164="","",IFERROR(IF(ISNUMBER($U164),$U164,DATEVALUE(TRIM($U164))),""))</f>
        <v/>
      </c>
      <c r="BA164">
        <f>IF($AZ164="","",IF(MONTH($AZ164)&gt;=12,"Cold Winter",IF(MONTH($AZ164)&gt;=10,"Post-Monsoon",IF(MONTH($AZ164)&gt;=6,"Hot Humid",IF(MONTH($AZ164)&gt;=3,"Hot Dry","Cold Winter")))))</f>
        <v/>
      </c>
      <c r="BB164">
        <f>IF($AU164="","",IFERROR(VLOOKUP($AU164,DECODE!$A$3:$C$8,2,FALSE),"?"))</f>
        <v/>
      </c>
      <c r="BC164">
        <f>IF($P164="","",UPPER(TRIM(LEFT($P164&amp;",",FIND(",",$P164&amp;",")-1))))</f>
        <v/>
      </c>
      <c r="BD164">
        <f>IF($BC164="","",MID($BC164,4,FIND("~",SUBSTITUTE($BC164,"-","~",2))-4))</f>
        <v/>
      </c>
      <c r="BE164">
        <f>IF($BC164="","",MID($BC164,FIND("~",SUBSTITUTE($BC164,"-","~",2))+1,FIND("~",SUBSTITUTE($BC164,"-","~",3))-FIND("~",SUBSTITUTE($BC164,"-","~",2))-1))</f>
        <v/>
      </c>
      <c r="BF164">
        <f>IF($BD164="","",IFERROR(VLOOKUP($BD164,DECODE!$A$3:$C$8,3,FALSE),"?"))</f>
        <v/>
      </c>
      <c r="BG164">
        <f>IF($BE164="","",IFERROR(VLOOKUP($BD164&amp;"-"&amp;$BE164,DECODE!$E$3:$F$21,2,FALSE),"?"))</f>
        <v/>
      </c>
      <c r="BH164">
        <f>IF($BC164="","",IFERROR(VALUE(RIGHT($BC164,3)),""))</f>
        <v/>
      </c>
      <c r="BI164">
        <f>IF($V164="","",IFERROR(IF(ISNUMBER($V164),$V164,DATEVALUE(TRIM($V164))),""))</f>
        <v/>
      </c>
      <c r="BJ164">
        <f>IF($BI164="","",IF(MONTH($BI164)&gt;=12,"Cold Winter",IF(MONTH($BI164)&gt;=10,"Post-Monsoon",IF(MONTH($BI164)&gt;=6,"Hot Humid",IF(MONTH($BI164)&gt;=3,"Hot Dry","Cold Winter")))))</f>
        <v/>
      </c>
      <c r="BK164">
        <f>IF($BD164="","",IFERROR(VLOOKUP($BD164,DECODE!$A$3:$C$8,2,FALSE),"?"))</f>
        <v/>
      </c>
      <c r="BL164">
        <f>IF($Q164="","",UPPER(TRIM(LEFT($Q164&amp;",",FIND(",",$Q164&amp;",")-1))))</f>
        <v/>
      </c>
      <c r="BM164">
        <f>IF($BL164="","",MID($BL164,4,FIND("~",SUBSTITUTE($BL164,"-","~",2))-4))</f>
        <v/>
      </c>
      <c r="BN164">
        <f>IF($BL164="","",MID($BL164,FIND("~",SUBSTITUTE($BL164,"-","~",2))+1,FIND("~",SUBSTITUTE($BL164,"-","~",3))-FIND("~",SUBSTITUTE($BL164,"-","~",2))-1))</f>
        <v/>
      </c>
      <c r="BO164">
        <f>IF($BM164="","",IFERROR(VLOOKUP($BM164,DECODE!$A$3:$C$8,3,FALSE),"?"))</f>
        <v/>
      </c>
      <c r="BP164">
        <f>IF($BN164="","",IFERROR(VLOOKUP($BM164&amp;"-"&amp;$BN164,DECODE!$E$3:$F$21,2,FALSE),"?"))</f>
        <v/>
      </c>
      <c r="BQ164">
        <f>IF($BL164="","",IFERROR(VALUE(RIGHT($BL164,3)),""))</f>
        <v/>
      </c>
      <c r="BR164">
        <f>IF($W164="","",IFERROR(IF(ISNUMBER($W164),$W164,DATEVALUE(TRIM($W164))),""))</f>
        <v/>
      </c>
      <c r="BS164">
        <f>IF($BR164="","",IF(MONTH($BR164)&gt;=12,"Cold Winter",IF(MONTH($BR164)&gt;=10,"Post-Monsoon",IF(MONTH($BR164)&gt;=6,"Hot Humid",IF(MONTH($BR164)&gt;=3,"Hot Dry","Cold Winter")))))</f>
        <v/>
      </c>
      <c r="BT164">
        <f>IF($BM164="","",IFERROR(VLOOKUP($BM164,DECODE!$A$3:$C$8,2,FALSE),"?"))</f>
        <v/>
      </c>
      <c r="BU164">
        <f>IF($R164="","",UPPER(TRIM(LEFT($R164&amp;",",FIND(",",$R164&amp;",")-1))))</f>
        <v/>
      </c>
      <c r="BV164">
        <f>IF($BU164="","",MID($BU164,4,FIND("~",SUBSTITUTE($BU164,"-","~",2))-4))</f>
        <v/>
      </c>
      <c r="BW164">
        <f>IF($BU164="","",MID($BU164,FIND("~",SUBSTITUTE($BU164,"-","~",2))+1,FIND("~",SUBSTITUTE($BU164,"-","~",3))-FIND("~",SUBSTITUTE($BU164,"-","~",2))-1))</f>
        <v/>
      </c>
      <c r="BX164">
        <f>IF($BV164="","",IFERROR(VLOOKUP($BV164,DECODE!$A$3:$C$8,3,FALSE),"?"))</f>
        <v/>
      </c>
      <c r="BY164">
        <f>IF($BW164="","",IFERROR(VLOOKUP($BV164&amp;"-"&amp;$BW164,DECODE!$E$3:$F$21,2,FALSE),"?"))</f>
        <v/>
      </c>
      <c r="BZ164">
        <f>IF($BU164="","",IFERROR(VALUE(RIGHT($BU164,3)),""))</f>
        <v/>
      </c>
      <c r="CA164">
        <f>IF($X164="","",IFERROR(IF(ISNUMBER($X164),$X164,DATEVALUE(TRIM($X164))),""))</f>
        <v/>
      </c>
      <c r="CB164">
        <f>IF($CA164="","",IF(MONTH($CA164)&gt;=12,"Cold Winter",IF(MONTH($CA164)&gt;=10,"Post-Monsoon",IF(MONTH($CA164)&gt;=6,"Hot Humid",IF(MONTH($CA164)&gt;=3,"Hot Dry","Cold Winter")))))</f>
        <v/>
      </c>
      <c r="CC164">
        <f>IF($BV164="","",IFERROR(VLOOKUP($BV164,DECODE!$A$3:$C$8,2,FALSE),"?"))</f>
        <v/>
      </c>
      <c r="CD164">
        <f>IF($S164="","",UPPER(TRIM(LEFT($S164&amp;",",FIND(",",$S164&amp;",")-1))))</f>
        <v/>
      </c>
      <c r="CE164">
        <f>IF($CD164="","",MID($CD164,4,FIND("~",SUBSTITUTE($CD164,"-","~",2))-4))</f>
        <v/>
      </c>
      <c r="CF164">
        <f>IF($CD164="","",MID($CD164,FIND("~",SUBSTITUTE($CD164,"-","~",2))+1,FIND("~",SUBSTITUTE($CD164,"-","~",3))-FIND("~",SUBSTITUTE($CD164,"-","~",2))-1))</f>
        <v/>
      </c>
      <c r="CG164">
        <f>IF($CE164="","",IFERROR(VLOOKUP($CE164,DECODE!$A$3:$C$8,3,FALSE),"?"))</f>
        <v/>
      </c>
      <c r="CH164">
        <f>IF($CF164="","",IFERROR(VLOOKUP($CE164&amp;"-"&amp;$CF164,DECODE!$E$3:$F$21,2,FALSE),"?"))</f>
        <v/>
      </c>
      <c r="CI164">
        <f>IF($CD164="","",IFERROR(VALUE(RIGHT($CD164,3)),""))</f>
        <v/>
      </c>
      <c r="CJ164">
        <f>IF($Y164="","",IFERROR(IF(ISNUMBER($Y164),$Y164,DATEVALUE(TRIM($Y164))),""))</f>
        <v/>
      </c>
      <c r="CK164">
        <f>IF($CJ164="","",IF(MONTH($CJ164)&gt;=12,"Cold Winter",IF(MONTH($CJ164)&gt;=10,"Post-Monsoon",IF(MONTH($CJ164)&gt;=6,"Hot Humid",IF(MONTH($CJ164)&gt;=3,"Hot Dry","Cold Winter")))))</f>
        <v/>
      </c>
      <c r="CL164">
        <f>IF($CE164="","",IFERROR(VLOOKUP($CE164,DECODE!$A$3:$C$8,2,FALSE),"?"))</f>
        <v/>
      </c>
      <c r="CM164">
        <f>IF($AN164="","",AN164)</f>
        <v/>
      </c>
      <c r="CN164">
        <f>IF($AO164="","",AO164)</f>
        <v/>
      </c>
      <c r="CO164">
        <f>IF($AP164="","",AP164)</f>
        <v/>
      </c>
      <c r="CP164">
        <f>IF($CM164="","",IF($CM164="Aloe Vera Gel","Aloe Vera Gel "&amp;$CO164&amp;"g",CN164&amp;" "&amp;$CO164&amp;"g"))</f>
        <v/>
      </c>
      <c r="CQ164">
        <f>IF($AT164="",0,1)</f>
        <v/>
      </c>
      <c r="CR164">
        <f>IF($CQ164=0,"",AW164)</f>
        <v/>
      </c>
      <c r="CS164">
        <f>IF($CQ164=0,"",AX164)</f>
        <v/>
      </c>
      <c r="CT164">
        <f>IF($CQ164=0,"",AY164)</f>
        <v/>
      </c>
      <c r="CU164">
        <f>IF($CR164="","",IF($CR164="Aloe Vera Gel","Aloe Vera Gel "&amp;$CT164&amp;"g",CS164&amp;" "&amp;$CT164&amp;"g"))</f>
        <v/>
      </c>
      <c r="CV164">
        <f>IF($CQ164=0,"",IF($CP164=$CU164,"Repeat Exact",IF($CT164&gt;$CO164,"Upsized",IF($CT164&lt;$CO164,"Downsized",IF($CM164&lt;&gt;$CR164,"Lateral","Same Size Diff Variant")))))</f>
        <v/>
      </c>
      <c r="CW164">
        <f>IF($CQ164=0,"",AZ164-AQ164)</f>
        <v/>
      </c>
      <c r="CX164">
        <f>IF($CQ164=0,0,IF(CS164=CN164,1,0))</f>
        <v/>
      </c>
      <c r="CY164">
        <f>IF($CQ164=0,0,IF(CR164=CM164,1,0))</f>
        <v/>
      </c>
      <c r="CZ164">
        <f>IF($A164="","",IF(AND(IF(DASHBOARD!$C$4="All",TRUE,$CM164=DASHBOARD!$C$4),IF(DASHBOARD!$C$6="All",TRUE,$CP164=DASHBOARD!$C$6),IF(DASHBOARD!$C$8="All",TRUE,$AF164&gt;=DASHBOARD!$C$8),IF(DASHBOARD!$C$10="All",TRUE,$AF164&lt;=DASHBOARD!$C$10),IF(DASHBOARD!$C$12="All",TRUE,$AH164=VALUE(DASHBOARD!$C$12)),IF(DASHBOARD!$C$14="All",TRUE,$AJ164=DASHBOARD!$C$14)),1,0))</f>
        <v/>
      </c>
    </row>
    <row r="165">
      <c r="A165" t="n">
        <v>117128</v>
      </c>
      <c r="B165" t="inlineStr">
        <is>
          <t>Active Gel</t>
        </is>
      </c>
      <c r="H165" t="inlineStr">
        <is>
          <t>Active Orange Kiwi Vit-C Gel</t>
        </is>
      </c>
      <c r="N165" t="inlineStr">
        <is>
          <t>FC-AC-OK-050</t>
        </is>
      </c>
      <c r="T165" t="inlineStr">
        <is>
          <t>Apr 9, 2025</t>
        </is>
      </c>
      <c r="AE165" t="inlineStr">
        <is>
          <t>Bengaluru</t>
        </is>
      </c>
      <c r="AF165" t="inlineStr">
        <is>
          <t>2025-04</t>
        </is>
      </c>
      <c r="AG165" t="n">
        <v>4</v>
      </c>
      <c r="AH165" t="n">
        <v>1</v>
      </c>
      <c r="AI165" t="n">
        <v>0</v>
      </c>
      <c r="AJ165">
        <f>IF($AE165="","",IFERROR(VLOOKUP(TRIM($AE165),DECODE!$H$3:$I$60,2,FALSE),"Rest of India"))</f>
        <v/>
      </c>
      <c r="AK165">
        <f>IF($N165="","",UPPER(TRIM(LEFT($N165&amp;",",FIND(",",$N165&amp;",")-1))))</f>
        <v/>
      </c>
      <c r="AL165">
        <f>IF($AK165="","",MID($AK165,4,FIND("~",SUBSTITUTE($AK165,"-","~",2))-4))</f>
        <v/>
      </c>
      <c r="AM165">
        <f>IF($AK165="","",MID($AK165,FIND("~",SUBSTITUTE($AK165,"-","~",2))+1,FIND("~",SUBSTITUTE($AK165,"-","~",3))-FIND("~",SUBSTITUTE($AK165,"-","~",2))-1))</f>
        <v/>
      </c>
      <c r="AN165">
        <f>IF($AL165="","",IFERROR(VLOOKUP($AL165,DECODE!$A$3:$C$8,3,FALSE),"?"))</f>
        <v/>
      </c>
      <c r="AO165">
        <f>IF($AM165="","",IFERROR(VLOOKUP($AL165&amp;"-"&amp;$AM165,DECODE!$E$3:$F$21,2,FALSE),"?"))</f>
        <v/>
      </c>
      <c r="AP165">
        <f>IF($AK165="","",IFERROR(VALUE(RIGHT($AK165,3)),""))</f>
        <v/>
      </c>
      <c r="AQ165">
        <f>IF($T165="","",IFERROR(IF(ISNUMBER($T165),$T165,DATEVALUE(TRIM($T165))),""))</f>
        <v/>
      </c>
      <c r="AR165">
        <f>IF($AQ165="","",IF(MONTH($AQ165)&gt;=12,"Cold Winter",IF(MONTH($AQ165)&gt;=10,"Post-Monsoon",IF(MONTH($AQ165)&gt;=6,"Hot Humid",IF(MONTH($AQ165)&gt;=3,"Hot Dry","Cold Winter")))))</f>
        <v/>
      </c>
      <c r="AS165">
        <f>IF($AL165="","",IFERROR(VLOOKUP($AL165,DECODE!$A$3:$C$8,2,FALSE),"?"))</f>
        <v/>
      </c>
      <c r="AT165">
        <f>IF($O165="","",UPPER(TRIM(LEFT($O165&amp;",",FIND(",",$O165&amp;",")-1))))</f>
        <v/>
      </c>
      <c r="AU165">
        <f>IF($AT165="","",MID($AT165,4,FIND("~",SUBSTITUTE($AT165,"-","~",2))-4))</f>
        <v/>
      </c>
      <c r="AV165">
        <f>IF($AT165="","",MID($AT165,FIND("~",SUBSTITUTE($AT165,"-","~",2))+1,FIND("~",SUBSTITUTE($AT165,"-","~",3))-FIND("~",SUBSTITUTE($AT165,"-","~",2))-1))</f>
        <v/>
      </c>
      <c r="AW165">
        <f>IF($AU165="","",IFERROR(VLOOKUP($AU165,DECODE!$A$3:$C$8,3,FALSE),"?"))</f>
        <v/>
      </c>
      <c r="AX165">
        <f>IF($AV165="","",IFERROR(VLOOKUP($AU165&amp;"-"&amp;$AV165,DECODE!$E$3:$F$21,2,FALSE),"?"))</f>
        <v/>
      </c>
      <c r="AY165">
        <f>IF($AT165="","",IFERROR(VALUE(RIGHT($AT165,3)),""))</f>
        <v/>
      </c>
      <c r="AZ165">
        <f>IF($U165="","",IFERROR(IF(ISNUMBER($U165),$U165,DATEVALUE(TRIM($U165))),""))</f>
        <v/>
      </c>
      <c r="BA165">
        <f>IF($AZ165="","",IF(MONTH($AZ165)&gt;=12,"Cold Winter",IF(MONTH($AZ165)&gt;=10,"Post-Monsoon",IF(MONTH($AZ165)&gt;=6,"Hot Humid",IF(MONTH($AZ165)&gt;=3,"Hot Dry","Cold Winter")))))</f>
        <v/>
      </c>
      <c r="BB165">
        <f>IF($AU165="","",IFERROR(VLOOKUP($AU165,DECODE!$A$3:$C$8,2,FALSE),"?"))</f>
        <v/>
      </c>
      <c r="BC165">
        <f>IF($P165="","",UPPER(TRIM(LEFT($P165&amp;",",FIND(",",$P165&amp;",")-1))))</f>
        <v/>
      </c>
      <c r="BD165">
        <f>IF($BC165="","",MID($BC165,4,FIND("~",SUBSTITUTE($BC165,"-","~",2))-4))</f>
        <v/>
      </c>
      <c r="BE165">
        <f>IF($BC165="","",MID($BC165,FIND("~",SUBSTITUTE($BC165,"-","~",2))+1,FIND("~",SUBSTITUTE($BC165,"-","~",3))-FIND("~",SUBSTITUTE($BC165,"-","~",2))-1))</f>
        <v/>
      </c>
      <c r="BF165">
        <f>IF($BD165="","",IFERROR(VLOOKUP($BD165,DECODE!$A$3:$C$8,3,FALSE),"?"))</f>
        <v/>
      </c>
      <c r="BG165">
        <f>IF($BE165="","",IFERROR(VLOOKUP($BD165&amp;"-"&amp;$BE165,DECODE!$E$3:$F$21,2,FALSE),"?"))</f>
        <v/>
      </c>
      <c r="BH165">
        <f>IF($BC165="","",IFERROR(VALUE(RIGHT($BC165,3)),""))</f>
        <v/>
      </c>
      <c r="BI165">
        <f>IF($V165="","",IFERROR(IF(ISNUMBER($V165),$V165,DATEVALUE(TRIM($V165))),""))</f>
        <v/>
      </c>
      <c r="BJ165">
        <f>IF($BI165="","",IF(MONTH($BI165)&gt;=12,"Cold Winter",IF(MONTH($BI165)&gt;=10,"Post-Monsoon",IF(MONTH($BI165)&gt;=6,"Hot Humid",IF(MONTH($BI165)&gt;=3,"Hot Dry","Cold Winter")))))</f>
        <v/>
      </c>
      <c r="BK165">
        <f>IF($BD165="","",IFERROR(VLOOKUP($BD165,DECODE!$A$3:$C$8,2,FALSE),"?"))</f>
        <v/>
      </c>
      <c r="BL165">
        <f>IF($Q165="","",UPPER(TRIM(LEFT($Q165&amp;",",FIND(",",$Q165&amp;",")-1))))</f>
        <v/>
      </c>
      <c r="BM165">
        <f>IF($BL165="","",MID($BL165,4,FIND("~",SUBSTITUTE($BL165,"-","~",2))-4))</f>
        <v/>
      </c>
      <c r="BN165">
        <f>IF($BL165="","",MID($BL165,FIND("~",SUBSTITUTE($BL165,"-","~",2))+1,FIND("~",SUBSTITUTE($BL165,"-","~",3))-FIND("~",SUBSTITUTE($BL165,"-","~",2))-1))</f>
        <v/>
      </c>
      <c r="BO165">
        <f>IF($BM165="","",IFERROR(VLOOKUP($BM165,DECODE!$A$3:$C$8,3,FALSE),"?"))</f>
        <v/>
      </c>
      <c r="BP165">
        <f>IF($BN165="","",IFERROR(VLOOKUP($BM165&amp;"-"&amp;$BN165,DECODE!$E$3:$F$21,2,FALSE),"?"))</f>
        <v/>
      </c>
      <c r="BQ165">
        <f>IF($BL165="","",IFERROR(VALUE(RIGHT($BL165,3)),""))</f>
        <v/>
      </c>
      <c r="BR165">
        <f>IF($W165="","",IFERROR(IF(ISNUMBER($W165),$W165,DATEVALUE(TRIM($W165))),""))</f>
        <v/>
      </c>
      <c r="BS165">
        <f>IF($BR165="","",IF(MONTH($BR165)&gt;=12,"Cold Winter",IF(MONTH($BR165)&gt;=10,"Post-Monsoon",IF(MONTH($BR165)&gt;=6,"Hot Humid",IF(MONTH($BR165)&gt;=3,"Hot Dry","Cold Winter")))))</f>
        <v/>
      </c>
      <c r="BT165">
        <f>IF($BM165="","",IFERROR(VLOOKUP($BM165,DECODE!$A$3:$C$8,2,FALSE),"?"))</f>
        <v/>
      </c>
      <c r="BU165">
        <f>IF($R165="","",UPPER(TRIM(LEFT($R165&amp;",",FIND(",",$R165&amp;",")-1))))</f>
        <v/>
      </c>
      <c r="BV165">
        <f>IF($BU165="","",MID($BU165,4,FIND("~",SUBSTITUTE($BU165,"-","~",2))-4))</f>
        <v/>
      </c>
      <c r="BW165">
        <f>IF($BU165="","",MID($BU165,FIND("~",SUBSTITUTE($BU165,"-","~",2))+1,FIND("~",SUBSTITUTE($BU165,"-","~",3))-FIND("~",SUBSTITUTE($BU165,"-","~",2))-1))</f>
        <v/>
      </c>
      <c r="BX165">
        <f>IF($BV165="","",IFERROR(VLOOKUP($BV165,DECODE!$A$3:$C$8,3,FALSE),"?"))</f>
        <v/>
      </c>
      <c r="BY165">
        <f>IF($BW165="","",IFERROR(VLOOKUP($BV165&amp;"-"&amp;$BW165,DECODE!$E$3:$F$21,2,FALSE),"?"))</f>
        <v/>
      </c>
      <c r="BZ165">
        <f>IF($BU165="","",IFERROR(VALUE(RIGHT($BU165,3)),""))</f>
        <v/>
      </c>
      <c r="CA165">
        <f>IF($X165="","",IFERROR(IF(ISNUMBER($X165),$X165,DATEVALUE(TRIM($X165))),""))</f>
        <v/>
      </c>
      <c r="CB165">
        <f>IF($CA165="","",IF(MONTH($CA165)&gt;=12,"Cold Winter",IF(MONTH($CA165)&gt;=10,"Post-Monsoon",IF(MONTH($CA165)&gt;=6,"Hot Humid",IF(MONTH($CA165)&gt;=3,"Hot Dry","Cold Winter")))))</f>
        <v/>
      </c>
      <c r="CC165">
        <f>IF($BV165="","",IFERROR(VLOOKUP($BV165,DECODE!$A$3:$C$8,2,FALSE),"?"))</f>
        <v/>
      </c>
      <c r="CD165">
        <f>IF($S165="","",UPPER(TRIM(LEFT($S165&amp;",",FIND(",",$S165&amp;",")-1))))</f>
        <v/>
      </c>
      <c r="CE165">
        <f>IF($CD165="","",MID($CD165,4,FIND("~",SUBSTITUTE($CD165,"-","~",2))-4))</f>
        <v/>
      </c>
      <c r="CF165">
        <f>IF($CD165="","",MID($CD165,FIND("~",SUBSTITUTE($CD165,"-","~",2))+1,FIND("~",SUBSTITUTE($CD165,"-","~",3))-FIND("~",SUBSTITUTE($CD165,"-","~",2))-1))</f>
        <v/>
      </c>
      <c r="CG165">
        <f>IF($CE165="","",IFERROR(VLOOKUP($CE165,DECODE!$A$3:$C$8,3,FALSE),"?"))</f>
        <v/>
      </c>
      <c r="CH165">
        <f>IF($CF165="","",IFERROR(VLOOKUP($CE165&amp;"-"&amp;$CF165,DECODE!$E$3:$F$21,2,FALSE),"?"))</f>
        <v/>
      </c>
      <c r="CI165">
        <f>IF($CD165="","",IFERROR(VALUE(RIGHT($CD165,3)),""))</f>
        <v/>
      </c>
      <c r="CJ165">
        <f>IF($Y165="","",IFERROR(IF(ISNUMBER($Y165),$Y165,DATEVALUE(TRIM($Y165))),""))</f>
        <v/>
      </c>
      <c r="CK165">
        <f>IF($CJ165="","",IF(MONTH($CJ165)&gt;=12,"Cold Winter",IF(MONTH($CJ165)&gt;=10,"Post-Monsoon",IF(MONTH($CJ165)&gt;=6,"Hot Humid",IF(MONTH($CJ165)&gt;=3,"Hot Dry","Cold Winter")))))</f>
        <v/>
      </c>
      <c r="CL165">
        <f>IF($CE165="","",IFERROR(VLOOKUP($CE165,DECODE!$A$3:$C$8,2,FALSE),"?"))</f>
        <v/>
      </c>
      <c r="CM165">
        <f>IF($AN165="","",AN165)</f>
        <v/>
      </c>
      <c r="CN165">
        <f>IF($AO165="","",AO165)</f>
        <v/>
      </c>
      <c r="CO165">
        <f>IF($AP165="","",AP165)</f>
        <v/>
      </c>
      <c r="CP165">
        <f>IF($CM165="","",IF($CM165="Aloe Vera Gel","Aloe Vera Gel "&amp;$CO165&amp;"g",CN165&amp;" "&amp;$CO165&amp;"g"))</f>
        <v/>
      </c>
      <c r="CQ165">
        <f>IF($AT165="",0,1)</f>
        <v/>
      </c>
      <c r="CR165">
        <f>IF($CQ165=0,"",AW165)</f>
        <v/>
      </c>
      <c r="CS165">
        <f>IF($CQ165=0,"",AX165)</f>
        <v/>
      </c>
      <c r="CT165">
        <f>IF($CQ165=0,"",AY165)</f>
        <v/>
      </c>
      <c r="CU165">
        <f>IF($CR165="","",IF($CR165="Aloe Vera Gel","Aloe Vera Gel "&amp;$CT165&amp;"g",CS165&amp;" "&amp;$CT165&amp;"g"))</f>
        <v/>
      </c>
      <c r="CV165">
        <f>IF($CQ165=0,"",IF($CP165=$CU165,"Repeat Exact",IF($CT165&gt;$CO165,"Upsized",IF($CT165&lt;$CO165,"Downsized",IF($CM165&lt;&gt;$CR165,"Lateral","Same Size Diff Variant")))))</f>
        <v/>
      </c>
      <c r="CW165">
        <f>IF($CQ165=0,"",AZ165-AQ165)</f>
        <v/>
      </c>
      <c r="CX165">
        <f>IF($CQ165=0,0,IF(CS165=CN165,1,0))</f>
        <v/>
      </c>
      <c r="CY165">
        <f>IF($CQ165=0,0,IF(CR165=CM165,1,0))</f>
        <v/>
      </c>
      <c r="CZ165">
        <f>IF($A165="","",IF(AND(IF(DASHBOARD!$C$4="All",TRUE,$CM165=DASHBOARD!$C$4),IF(DASHBOARD!$C$6="All",TRUE,$CP165=DASHBOARD!$C$6),IF(DASHBOARD!$C$8="All",TRUE,$AF165&gt;=DASHBOARD!$C$8),IF(DASHBOARD!$C$10="All",TRUE,$AF165&lt;=DASHBOARD!$C$10),IF(DASHBOARD!$C$12="All",TRUE,$AH165=VALUE(DASHBOARD!$C$12)),IF(DASHBOARD!$C$14="All",TRUE,$AJ165=DASHBOARD!$C$14)),1,0))</f>
        <v/>
      </c>
    </row>
    <row r="166">
      <c r="A166" t="n">
        <v>117323</v>
      </c>
      <c r="B166" t="inlineStr">
        <is>
          <t>Active Gel, Face Malai</t>
        </is>
      </c>
      <c r="H166" t="inlineStr">
        <is>
          <t>Turmeric Nutmeg (Pigmentation)  Face Malai - 30g, Active Beetroot Tomato Vit-A Gel</t>
        </is>
      </c>
      <c r="N166" t="inlineStr">
        <is>
          <t>FC-AC-BT-050, FC-DM-PG-030</t>
        </is>
      </c>
      <c r="T166" t="inlineStr">
        <is>
          <t>Feb 20, 2025</t>
        </is>
      </c>
      <c r="AE166" t="inlineStr">
        <is>
          <t>Gurgaon</t>
        </is>
      </c>
      <c r="AF166" t="inlineStr">
        <is>
          <t>2025-02</t>
        </is>
      </c>
      <c r="AG166" t="n">
        <v>2</v>
      </c>
      <c r="AH166" t="n">
        <v>1</v>
      </c>
      <c r="AI166" t="n">
        <v>0</v>
      </c>
      <c r="AJ166">
        <f>IF($AE166="","",IFERROR(VLOOKUP(TRIM($AE166),DECODE!$H$3:$I$60,2,FALSE),"Rest of India"))</f>
        <v/>
      </c>
      <c r="AK166">
        <f>IF($N166="","",UPPER(TRIM(LEFT($N166&amp;",",FIND(",",$N166&amp;",")-1))))</f>
        <v/>
      </c>
      <c r="AL166">
        <f>IF($AK166="","",MID($AK166,4,FIND("~",SUBSTITUTE($AK166,"-","~",2))-4))</f>
        <v/>
      </c>
      <c r="AM166">
        <f>IF($AK166="","",MID($AK166,FIND("~",SUBSTITUTE($AK166,"-","~",2))+1,FIND("~",SUBSTITUTE($AK166,"-","~",3))-FIND("~",SUBSTITUTE($AK166,"-","~",2))-1))</f>
        <v/>
      </c>
      <c r="AN166">
        <f>IF($AL166="","",IFERROR(VLOOKUP($AL166,DECODE!$A$3:$C$8,3,FALSE),"?"))</f>
        <v/>
      </c>
      <c r="AO166">
        <f>IF($AM166="","",IFERROR(VLOOKUP($AL166&amp;"-"&amp;$AM166,DECODE!$E$3:$F$21,2,FALSE),"?"))</f>
        <v/>
      </c>
      <c r="AP166">
        <f>IF($AK166="","",IFERROR(VALUE(RIGHT($AK166,3)),""))</f>
        <v/>
      </c>
      <c r="AQ166">
        <f>IF($T166="","",IFERROR(IF(ISNUMBER($T166),$T166,DATEVALUE(TRIM($T166))),""))</f>
        <v/>
      </c>
      <c r="AR166">
        <f>IF($AQ166="","",IF(MONTH($AQ166)&gt;=12,"Cold Winter",IF(MONTH($AQ166)&gt;=10,"Post-Monsoon",IF(MONTH($AQ166)&gt;=6,"Hot Humid",IF(MONTH($AQ166)&gt;=3,"Hot Dry","Cold Winter")))))</f>
        <v/>
      </c>
      <c r="AS166">
        <f>IF($AL166="","",IFERROR(VLOOKUP($AL166,DECODE!$A$3:$C$8,2,FALSE),"?"))</f>
        <v/>
      </c>
      <c r="AT166">
        <f>IF($O166="","",UPPER(TRIM(LEFT($O166&amp;",",FIND(",",$O166&amp;",")-1))))</f>
        <v/>
      </c>
      <c r="AU166">
        <f>IF($AT166="","",MID($AT166,4,FIND("~",SUBSTITUTE($AT166,"-","~",2))-4))</f>
        <v/>
      </c>
      <c r="AV166">
        <f>IF($AT166="","",MID($AT166,FIND("~",SUBSTITUTE($AT166,"-","~",2))+1,FIND("~",SUBSTITUTE($AT166,"-","~",3))-FIND("~",SUBSTITUTE($AT166,"-","~",2))-1))</f>
        <v/>
      </c>
      <c r="AW166">
        <f>IF($AU166="","",IFERROR(VLOOKUP($AU166,DECODE!$A$3:$C$8,3,FALSE),"?"))</f>
        <v/>
      </c>
      <c r="AX166">
        <f>IF($AV166="","",IFERROR(VLOOKUP($AU166&amp;"-"&amp;$AV166,DECODE!$E$3:$F$21,2,FALSE),"?"))</f>
        <v/>
      </c>
      <c r="AY166">
        <f>IF($AT166="","",IFERROR(VALUE(RIGHT($AT166,3)),""))</f>
        <v/>
      </c>
      <c r="AZ166">
        <f>IF($U166="","",IFERROR(IF(ISNUMBER($U166),$U166,DATEVALUE(TRIM($U166))),""))</f>
        <v/>
      </c>
      <c r="BA166">
        <f>IF($AZ166="","",IF(MONTH($AZ166)&gt;=12,"Cold Winter",IF(MONTH($AZ166)&gt;=10,"Post-Monsoon",IF(MONTH($AZ166)&gt;=6,"Hot Humid",IF(MONTH($AZ166)&gt;=3,"Hot Dry","Cold Winter")))))</f>
        <v/>
      </c>
      <c r="BB166">
        <f>IF($AU166="","",IFERROR(VLOOKUP($AU166,DECODE!$A$3:$C$8,2,FALSE),"?"))</f>
        <v/>
      </c>
      <c r="BC166">
        <f>IF($P166="","",UPPER(TRIM(LEFT($P166&amp;",",FIND(",",$P166&amp;",")-1))))</f>
        <v/>
      </c>
      <c r="BD166">
        <f>IF($BC166="","",MID($BC166,4,FIND("~",SUBSTITUTE($BC166,"-","~",2))-4))</f>
        <v/>
      </c>
      <c r="BE166">
        <f>IF($BC166="","",MID($BC166,FIND("~",SUBSTITUTE($BC166,"-","~",2))+1,FIND("~",SUBSTITUTE($BC166,"-","~",3))-FIND("~",SUBSTITUTE($BC166,"-","~",2))-1))</f>
        <v/>
      </c>
      <c r="BF166">
        <f>IF($BD166="","",IFERROR(VLOOKUP($BD166,DECODE!$A$3:$C$8,3,FALSE),"?"))</f>
        <v/>
      </c>
      <c r="BG166">
        <f>IF($BE166="","",IFERROR(VLOOKUP($BD166&amp;"-"&amp;$BE166,DECODE!$E$3:$F$21,2,FALSE),"?"))</f>
        <v/>
      </c>
      <c r="BH166">
        <f>IF($BC166="","",IFERROR(VALUE(RIGHT($BC166,3)),""))</f>
        <v/>
      </c>
      <c r="BI166">
        <f>IF($V166="","",IFERROR(IF(ISNUMBER($V166),$V166,DATEVALUE(TRIM($V166))),""))</f>
        <v/>
      </c>
      <c r="BJ166">
        <f>IF($BI166="","",IF(MONTH($BI166)&gt;=12,"Cold Winter",IF(MONTH($BI166)&gt;=10,"Post-Monsoon",IF(MONTH($BI166)&gt;=6,"Hot Humid",IF(MONTH($BI166)&gt;=3,"Hot Dry","Cold Winter")))))</f>
        <v/>
      </c>
      <c r="BK166">
        <f>IF($BD166="","",IFERROR(VLOOKUP($BD166,DECODE!$A$3:$C$8,2,FALSE),"?"))</f>
        <v/>
      </c>
      <c r="BL166">
        <f>IF($Q166="","",UPPER(TRIM(LEFT($Q166&amp;",",FIND(",",$Q166&amp;",")-1))))</f>
        <v/>
      </c>
      <c r="BM166">
        <f>IF($BL166="","",MID($BL166,4,FIND("~",SUBSTITUTE($BL166,"-","~",2))-4))</f>
        <v/>
      </c>
      <c r="BN166">
        <f>IF($BL166="","",MID($BL166,FIND("~",SUBSTITUTE($BL166,"-","~",2))+1,FIND("~",SUBSTITUTE($BL166,"-","~",3))-FIND("~",SUBSTITUTE($BL166,"-","~",2))-1))</f>
        <v/>
      </c>
      <c r="BO166">
        <f>IF($BM166="","",IFERROR(VLOOKUP($BM166,DECODE!$A$3:$C$8,3,FALSE),"?"))</f>
        <v/>
      </c>
      <c r="BP166">
        <f>IF($BN166="","",IFERROR(VLOOKUP($BM166&amp;"-"&amp;$BN166,DECODE!$E$3:$F$21,2,FALSE),"?"))</f>
        <v/>
      </c>
      <c r="BQ166">
        <f>IF($BL166="","",IFERROR(VALUE(RIGHT($BL166,3)),""))</f>
        <v/>
      </c>
      <c r="BR166">
        <f>IF($W166="","",IFERROR(IF(ISNUMBER($W166),$W166,DATEVALUE(TRIM($W166))),""))</f>
        <v/>
      </c>
      <c r="BS166">
        <f>IF($BR166="","",IF(MONTH($BR166)&gt;=12,"Cold Winter",IF(MONTH($BR166)&gt;=10,"Post-Monsoon",IF(MONTH($BR166)&gt;=6,"Hot Humid",IF(MONTH($BR166)&gt;=3,"Hot Dry","Cold Winter")))))</f>
        <v/>
      </c>
      <c r="BT166">
        <f>IF($BM166="","",IFERROR(VLOOKUP($BM166,DECODE!$A$3:$C$8,2,FALSE),"?"))</f>
        <v/>
      </c>
      <c r="BU166">
        <f>IF($R166="","",UPPER(TRIM(LEFT($R166&amp;",",FIND(",",$R166&amp;",")-1))))</f>
        <v/>
      </c>
      <c r="BV166">
        <f>IF($BU166="","",MID($BU166,4,FIND("~",SUBSTITUTE($BU166,"-","~",2))-4))</f>
        <v/>
      </c>
      <c r="BW166">
        <f>IF($BU166="","",MID($BU166,FIND("~",SUBSTITUTE($BU166,"-","~",2))+1,FIND("~",SUBSTITUTE($BU166,"-","~",3))-FIND("~",SUBSTITUTE($BU166,"-","~",2))-1))</f>
        <v/>
      </c>
      <c r="BX166">
        <f>IF($BV166="","",IFERROR(VLOOKUP($BV166,DECODE!$A$3:$C$8,3,FALSE),"?"))</f>
        <v/>
      </c>
      <c r="BY166">
        <f>IF($BW166="","",IFERROR(VLOOKUP($BV166&amp;"-"&amp;$BW166,DECODE!$E$3:$F$21,2,FALSE),"?"))</f>
        <v/>
      </c>
      <c r="BZ166">
        <f>IF($BU166="","",IFERROR(VALUE(RIGHT($BU166,3)),""))</f>
        <v/>
      </c>
      <c r="CA166">
        <f>IF($X166="","",IFERROR(IF(ISNUMBER($X166),$X166,DATEVALUE(TRIM($X166))),""))</f>
        <v/>
      </c>
      <c r="CB166">
        <f>IF($CA166="","",IF(MONTH($CA166)&gt;=12,"Cold Winter",IF(MONTH($CA166)&gt;=10,"Post-Monsoon",IF(MONTH($CA166)&gt;=6,"Hot Humid",IF(MONTH($CA166)&gt;=3,"Hot Dry","Cold Winter")))))</f>
        <v/>
      </c>
      <c r="CC166">
        <f>IF($BV166="","",IFERROR(VLOOKUP($BV166,DECODE!$A$3:$C$8,2,FALSE),"?"))</f>
        <v/>
      </c>
      <c r="CD166">
        <f>IF($S166="","",UPPER(TRIM(LEFT($S166&amp;",",FIND(",",$S166&amp;",")-1))))</f>
        <v/>
      </c>
      <c r="CE166">
        <f>IF($CD166="","",MID($CD166,4,FIND("~",SUBSTITUTE($CD166,"-","~",2))-4))</f>
        <v/>
      </c>
      <c r="CF166">
        <f>IF($CD166="","",MID($CD166,FIND("~",SUBSTITUTE($CD166,"-","~",2))+1,FIND("~",SUBSTITUTE($CD166,"-","~",3))-FIND("~",SUBSTITUTE($CD166,"-","~",2))-1))</f>
        <v/>
      </c>
      <c r="CG166">
        <f>IF($CE166="","",IFERROR(VLOOKUP($CE166,DECODE!$A$3:$C$8,3,FALSE),"?"))</f>
        <v/>
      </c>
      <c r="CH166">
        <f>IF($CF166="","",IFERROR(VLOOKUP($CE166&amp;"-"&amp;$CF166,DECODE!$E$3:$F$21,2,FALSE),"?"))</f>
        <v/>
      </c>
      <c r="CI166">
        <f>IF($CD166="","",IFERROR(VALUE(RIGHT($CD166,3)),""))</f>
        <v/>
      </c>
      <c r="CJ166">
        <f>IF($Y166="","",IFERROR(IF(ISNUMBER($Y166),$Y166,DATEVALUE(TRIM($Y166))),""))</f>
        <v/>
      </c>
      <c r="CK166">
        <f>IF($CJ166="","",IF(MONTH($CJ166)&gt;=12,"Cold Winter",IF(MONTH($CJ166)&gt;=10,"Post-Monsoon",IF(MONTH($CJ166)&gt;=6,"Hot Humid",IF(MONTH($CJ166)&gt;=3,"Hot Dry","Cold Winter")))))</f>
        <v/>
      </c>
      <c r="CL166">
        <f>IF($CE166="","",IFERROR(VLOOKUP($CE166,DECODE!$A$3:$C$8,2,FALSE),"?"))</f>
        <v/>
      </c>
      <c r="CM166">
        <f>IF($AN166="","",AN166)</f>
        <v/>
      </c>
      <c r="CN166">
        <f>IF($AO166="","",AO166)</f>
        <v/>
      </c>
      <c r="CO166">
        <f>IF($AP166="","",AP166)</f>
        <v/>
      </c>
      <c r="CP166">
        <f>IF($CM166="","",IF($CM166="Aloe Vera Gel","Aloe Vera Gel "&amp;$CO166&amp;"g",CN166&amp;" "&amp;$CO166&amp;"g"))</f>
        <v/>
      </c>
      <c r="CQ166">
        <f>IF($AT166="",0,1)</f>
        <v/>
      </c>
      <c r="CR166">
        <f>IF($CQ166=0,"",AW166)</f>
        <v/>
      </c>
      <c r="CS166">
        <f>IF($CQ166=0,"",AX166)</f>
        <v/>
      </c>
      <c r="CT166">
        <f>IF($CQ166=0,"",AY166)</f>
        <v/>
      </c>
      <c r="CU166">
        <f>IF($CR166="","",IF($CR166="Aloe Vera Gel","Aloe Vera Gel "&amp;$CT166&amp;"g",CS166&amp;" "&amp;$CT166&amp;"g"))</f>
        <v/>
      </c>
      <c r="CV166">
        <f>IF($CQ166=0,"",IF($CP166=$CU166,"Repeat Exact",IF($CT166&gt;$CO166,"Upsized",IF($CT166&lt;$CO166,"Downsized",IF($CM166&lt;&gt;$CR166,"Lateral","Same Size Diff Variant")))))</f>
        <v/>
      </c>
      <c r="CW166">
        <f>IF($CQ166=0,"",AZ166-AQ166)</f>
        <v/>
      </c>
      <c r="CX166">
        <f>IF($CQ166=0,0,IF(CS166=CN166,1,0))</f>
        <v/>
      </c>
      <c r="CY166">
        <f>IF($CQ166=0,0,IF(CR166=CM166,1,0))</f>
        <v/>
      </c>
      <c r="CZ166">
        <f>IF($A166="","",IF(AND(IF(DASHBOARD!$C$4="All",TRUE,$CM166=DASHBOARD!$C$4),IF(DASHBOARD!$C$6="All",TRUE,$CP166=DASHBOARD!$C$6),IF(DASHBOARD!$C$8="All",TRUE,$AF166&gt;=DASHBOARD!$C$8),IF(DASHBOARD!$C$10="All",TRUE,$AF166&lt;=DASHBOARD!$C$10),IF(DASHBOARD!$C$12="All",TRUE,$AH166=VALUE(DASHBOARD!$C$12)),IF(DASHBOARD!$C$14="All",TRUE,$AJ166=DASHBOARD!$C$14)),1,0))</f>
        <v/>
      </c>
    </row>
    <row r="167">
      <c r="A167" t="n">
        <v>118480</v>
      </c>
      <c r="B167" t="inlineStr">
        <is>
          <t>Active Gel</t>
        </is>
      </c>
      <c r="H167" t="inlineStr">
        <is>
          <t>Active Orange Kiwi Vit-C Gel</t>
        </is>
      </c>
      <c r="N167" t="inlineStr">
        <is>
          <t>FC-AC-OK-050</t>
        </is>
      </c>
      <c r="T167" t="inlineStr">
        <is>
          <t>Dec 17, 2024</t>
        </is>
      </c>
      <c r="AE167" t="inlineStr">
        <is>
          <t>Thane</t>
        </is>
      </c>
      <c r="AF167" t="inlineStr">
        <is>
          <t>2024-12</t>
        </is>
      </c>
      <c r="AG167" t="n">
        <v>12</v>
      </c>
      <c r="AH167" t="n">
        <v>1</v>
      </c>
      <c r="AI167" t="n">
        <v>0</v>
      </c>
      <c r="AJ167">
        <f>IF($AE167="","",IFERROR(VLOOKUP(TRIM($AE167),DECODE!$H$3:$I$60,2,FALSE),"Rest of India"))</f>
        <v/>
      </c>
      <c r="AK167">
        <f>IF($N167="","",UPPER(TRIM(LEFT($N167&amp;",",FIND(",",$N167&amp;",")-1))))</f>
        <v/>
      </c>
      <c r="AL167">
        <f>IF($AK167="","",MID($AK167,4,FIND("~",SUBSTITUTE($AK167,"-","~",2))-4))</f>
        <v/>
      </c>
      <c r="AM167">
        <f>IF($AK167="","",MID($AK167,FIND("~",SUBSTITUTE($AK167,"-","~",2))+1,FIND("~",SUBSTITUTE($AK167,"-","~",3))-FIND("~",SUBSTITUTE($AK167,"-","~",2))-1))</f>
        <v/>
      </c>
      <c r="AN167">
        <f>IF($AL167="","",IFERROR(VLOOKUP($AL167,DECODE!$A$3:$C$8,3,FALSE),"?"))</f>
        <v/>
      </c>
      <c r="AO167">
        <f>IF($AM167="","",IFERROR(VLOOKUP($AL167&amp;"-"&amp;$AM167,DECODE!$E$3:$F$21,2,FALSE),"?"))</f>
        <v/>
      </c>
      <c r="AP167">
        <f>IF($AK167="","",IFERROR(VALUE(RIGHT($AK167,3)),""))</f>
        <v/>
      </c>
      <c r="AQ167">
        <f>IF($T167="","",IFERROR(IF(ISNUMBER($T167),$T167,DATEVALUE(TRIM($T167))),""))</f>
        <v/>
      </c>
      <c r="AR167">
        <f>IF($AQ167="","",IF(MONTH($AQ167)&gt;=12,"Cold Winter",IF(MONTH($AQ167)&gt;=10,"Post-Monsoon",IF(MONTH($AQ167)&gt;=6,"Hot Humid",IF(MONTH($AQ167)&gt;=3,"Hot Dry","Cold Winter")))))</f>
        <v/>
      </c>
      <c r="AS167">
        <f>IF($AL167="","",IFERROR(VLOOKUP($AL167,DECODE!$A$3:$C$8,2,FALSE),"?"))</f>
        <v/>
      </c>
      <c r="AT167">
        <f>IF($O167="","",UPPER(TRIM(LEFT($O167&amp;",",FIND(",",$O167&amp;",")-1))))</f>
        <v/>
      </c>
      <c r="AU167">
        <f>IF($AT167="","",MID($AT167,4,FIND("~",SUBSTITUTE($AT167,"-","~",2))-4))</f>
        <v/>
      </c>
      <c r="AV167">
        <f>IF($AT167="","",MID($AT167,FIND("~",SUBSTITUTE($AT167,"-","~",2))+1,FIND("~",SUBSTITUTE($AT167,"-","~",3))-FIND("~",SUBSTITUTE($AT167,"-","~",2))-1))</f>
        <v/>
      </c>
      <c r="AW167">
        <f>IF($AU167="","",IFERROR(VLOOKUP($AU167,DECODE!$A$3:$C$8,3,FALSE),"?"))</f>
        <v/>
      </c>
      <c r="AX167">
        <f>IF($AV167="","",IFERROR(VLOOKUP($AU167&amp;"-"&amp;$AV167,DECODE!$E$3:$F$21,2,FALSE),"?"))</f>
        <v/>
      </c>
      <c r="AY167">
        <f>IF($AT167="","",IFERROR(VALUE(RIGHT($AT167,3)),""))</f>
        <v/>
      </c>
      <c r="AZ167">
        <f>IF($U167="","",IFERROR(IF(ISNUMBER($U167),$U167,DATEVALUE(TRIM($U167))),""))</f>
        <v/>
      </c>
      <c r="BA167">
        <f>IF($AZ167="","",IF(MONTH($AZ167)&gt;=12,"Cold Winter",IF(MONTH($AZ167)&gt;=10,"Post-Monsoon",IF(MONTH($AZ167)&gt;=6,"Hot Humid",IF(MONTH($AZ167)&gt;=3,"Hot Dry","Cold Winter")))))</f>
        <v/>
      </c>
      <c r="BB167">
        <f>IF($AU167="","",IFERROR(VLOOKUP($AU167,DECODE!$A$3:$C$8,2,FALSE),"?"))</f>
        <v/>
      </c>
      <c r="BC167">
        <f>IF($P167="","",UPPER(TRIM(LEFT($P167&amp;",",FIND(",",$P167&amp;",")-1))))</f>
        <v/>
      </c>
      <c r="BD167">
        <f>IF($BC167="","",MID($BC167,4,FIND("~",SUBSTITUTE($BC167,"-","~",2))-4))</f>
        <v/>
      </c>
      <c r="BE167">
        <f>IF($BC167="","",MID($BC167,FIND("~",SUBSTITUTE($BC167,"-","~",2))+1,FIND("~",SUBSTITUTE($BC167,"-","~",3))-FIND("~",SUBSTITUTE($BC167,"-","~",2))-1))</f>
        <v/>
      </c>
      <c r="BF167">
        <f>IF($BD167="","",IFERROR(VLOOKUP($BD167,DECODE!$A$3:$C$8,3,FALSE),"?"))</f>
        <v/>
      </c>
      <c r="BG167">
        <f>IF($BE167="","",IFERROR(VLOOKUP($BD167&amp;"-"&amp;$BE167,DECODE!$E$3:$F$21,2,FALSE),"?"))</f>
        <v/>
      </c>
      <c r="BH167">
        <f>IF($BC167="","",IFERROR(VALUE(RIGHT($BC167,3)),""))</f>
        <v/>
      </c>
      <c r="BI167">
        <f>IF($V167="","",IFERROR(IF(ISNUMBER($V167),$V167,DATEVALUE(TRIM($V167))),""))</f>
        <v/>
      </c>
      <c r="BJ167">
        <f>IF($BI167="","",IF(MONTH($BI167)&gt;=12,"Cold Winter",IF(MONTH($BI167)&gt;=10,"Post-Monsoon",IF(MONTH($BI167)&gt;=6,"Hot Humid",IF(MONTH($BI167)&gt;=3,"Hot Dry","Cold Winter")))))</f>
        <v/>
      </c>
      <c r="BK167">
        <f>IF($BD167="","",IFERROR(VLOOKUP($BD167,DECODE!$A$3:$C$8,2,FALSE),"?"))</f>
        <v/>
      </c>
      <c r="BL167">
        <f>IF($Q167="","",UPPER(TRIM(LEFT($Q167&amp;",",FIND(",",$Q167&amp;",")-1))))</f>
        <v/>
      </c>
      <c r="BM167">
        <f>IF($BL167="","",MID($BL167,4,FIND("~",SUBSTITUTE($BL167,"-","~",2))-4))</f>
        <v/>
      </c>
      <c r="BN167">
        <f>IF($BL167="","",MID($BL167,FIND("~",SUBSTITUTE($BL167,"-","~",2))+1,FIND("~",SUBSTITUTE($BL167,"-","~",3))-FIND("~",SUBSTITUTE($BL167,"-","~",2))-1))</f>
        <v/>
      </c>
      <c r="BO167">
        <f>IF($BM167="","",IFERROR(VLOOKUP($BM167,DECODE!$A$3:$C$8,3,FALSE),"?"))</f>
        <v/>
      </c>
      <c r="BP167">
        <f>IF($BN167="","",IFERROR(VLOOKUP($BM167&amp;"-"&amp;$BN167,DECODE!$E$3:$F$21,2,FALSE),"?"))</f>
        <v/>
      </c>
      <c r="BQ167">
        <f>IF($BL167="","",IFERROR(VALUE(RIGHT($BL167,3)),""))</f>
        <v/>
      </c>
      <c r="BR167">
        <f>IF($W167="","",IFERROR(IF(ISNUMBER($W167),$W167,DATEVALUE(TRIM($W167))),""))</f>
        <v/>
      </c>
      <c r="BS167">
        <f>IF($BR167="","",IF(MONTH($BR167)&gt;=12,"Cold Winter",IF(MONTH($BR167)&gt;=10,"Post-Monsoon",IF(MONTH($BR167)&gt;=6,"Hot Humid",IF(MONTH($BR167)&gt;=3,"Hot Dry","Cold Winter")))))</f>
        <v/>
      </c>
      <c r="BT167">
        <f>IF($BM167="","",IFERROR(VLOOKUP($BM167,DECODE!$A$3:$C$8,2,FALSE),"?"))</f>
        <v/>
      </c>
      <c r="BU167">
        <f>IF($R167="","",UPPER(TRIM(LEFT($R167&amp;",",FIND(",",$R167&amp;",")-1))))</f>
        <v/>
      </c>
      <c r="BV167">
        <f>IF($BU167="","",MID($BU167,4,FIND("~",SUBSTITUTE($BU167,"-","~",2))-4))</f>
        <v/>
      </c>
      <c r="BW167">
        <f>IF($BU167="","",MID($BU167,FIND("~",SUBSTITUTE($BU167,"-","~",2))+1,FIND("~",SUBSTITUTE($BU167,"-","~",3))-FIND("~",SUBSTITUTE($BU167,"-","~",2))-1))</f>
        <v/>
      </c>
      <c r="BX167">
        <f>IF($BV167="","",IFERROR(VLOOKUP($BV167,DECODE!$A$3:$C$8,3,FALSE),"?"))</f>
        <v/>
      </c>
      <c r="BY167">
        <f>IF($BW167="","",IFERROR(VLOOKUP($BV167&amp;"-"&amp;$BW167,DECODE!$E$3:$F$21,2,FALSE),"?"))</f>
        <v/>
      </c>
      <c r="BZ167">
        <f>IF($BU167="","",IFERROR(VALUE(RIGHT($BU167,3)),""))</f>
        <v/>
      </c>
      <c r="CA167">
        <f>IF($X167="","",IFERROR(IF(ISNUMBER($X167),$X167,DATEVALUE(TRIM($X167))),""))</f>
        <v/>
      </c>
      <c r="CB167">
        <f>IF($CA167="","",IF(MONTH($CA167)&gt;=12,"Cold Winter",IF(MONTH($CA167)&gt;=10,"Post-Monsoon",IF(MONTH($CA167)&gt;=6,"Hot Humid",IF(MONTH($CA167)&gt;=3,"Hot Dry","Cold Winter")))))</f>
        <v/>
      </c>
      <c r="CC167">
        <f>IF($BV167="","",IFERROR(VLOOKUP($BV167,DECODE!$A$3:$C$8,2,FALSE),"?"))</f>
        <v/>
      </c>
      <c r="CD167">
        <f>IF($S167="","",UPPER(TRIM(LEFT($S167&amp;",",FIND(",",$S167&amp;",")-1))))</f>
        <v/>
      </c>
      <c r="CE167">
        <f>IF($CD167="","",MID($CD167,4,FIND("~",SUBSTITUTE($CD167,"-","~",2))-4))</f>
        <v/>
      </c>
      <c r="CF167">
        <f>IF($CD167="","",MID($CD167,FIND("~",SUBSTITUTE($CD167,"-","~",2))+1,FIND("~",SUBSTITUTE($CD167,"-","~",3))-FIND("~",SUBSTITUTE($CD167,"-","~",2))-1))</f>
        <v/>
      </c>
      <c r="CG167">
        <f>IF($CE167="","",IFERROR(VLOOKUP($CE167,DECODE!$A$3:$C$8,3,FALSE),"?"))</f>
        <v/>
      </c>
      <c r="CH167">
        <f>IF($CF167="","",IFERROR(VLOOKUP($CE167&amp;"-"&amp;$CF167,DECODE!$E$3:$F$21,2,FALSE),"?"))</f>
        <v/>
      </c>
      <c r="CI167">
        <f>IF($CD167="","",IFERROR(VALUE(RIGHT($CD167,3)),""))</f>
        <v/>
      </c>
      <c r="CJ167">
        <f>IF($Y167="","",IFERROR(IF(ISNUMBER($Y167),$Y167,DATEVALUE(TRIM($Y167))),""))</f>
        <v/>
      </c>
      <c r="CK167">
        <f>IF($CJ167="","",IF(MONTH($CJ167)&gt;=12,"Cold Winter",IF(MONTH($CJ167)&gt;=10,"Post-Monsoon",IF(MONTH($CJ167)&gt;=6,"Hot Humid",IF(MONTH($CJ167)&gt;=3,"Hot Dry","Cold Winter")))))</f>
        <v/>
      </c>
      <c r="CL167">
        <f>IF($CE167="","",IFERROR(VLOOKUP($CE167,DECODE!$A$3:$C$8,2,FALSE),"?"))</f>
        <v/>
      </c>
      <c r="CM167">
        <f>IF($AN167="","",AN167)</f>
        <v/>
      </c>
      <c r="CN167">
        <f>IF($AO167="","",AO167)</f>
        <v/>
      </c>
      <c r="CO167">
        <f>IF($AP167="","",AP167)</f>
        <v/>
      </c>
      <c r="CP167">
        <f>IF($CM167="","",IF($CM167="Aloe Vera Gel","Aloe Vera Gel "&amp;$CO167&amp;"g",CN167&amp;" "&amp;$CO167&amp;"g"))</f>
        <v/>
      </c>
      <c r="CQ167">
        <f>IF($AT167="",0,1)</f>
        <v/>
      </c>
      <c r="CR167">
        <f>IF($CQ167=0,"",AW167)</f>
        <v/>
      </c>
      <c r="CS167">
        <f>IF($CQ167=0,"",AX167)</f>
        <v/>
      </c>
      <c r="CT167">
        <f>IF($CQ167=0,"",AY167)</f>
        <v/>
      </c>
      <c r="CU167">
        <f>IF($CR167="","",IF($CR167="Aloe Vera Gel","Aloe Vera Gel "&amp;$CT167&amp;"g",CS167&amp;" "&amp;$CT167&amp;"g"))</f>
        <v/>
      </c>
      <c r="CV167">
        <f>IF($CQ167=0,"",IF($CP167=$CU167,"Repeat Exact",IF($CT167&gt;$CO167,"Upsized",IF($CT167&lt;$CO167,"Downsized",IF($CM167&lt;&gt;$CR167,"Lateral","Same Size Diff Variant")))))</f>
        <v/>
      </c>
      <c r="CW167">
        <f>IF($CQ167=0,"",AZ167-AQ167)</f>
        <v/>
      </c>
      <c r="CX167">
        <f>IF($CQ167=0,0,IF(CS167=CN167,1,0))</f>
        <v/>
      </c>
      <c r="CY167">
        <f>IF($CQ167=0,0,IF(CR167=CM167,1,0))</f>
        <v/>
      </c>
      <c r="CZ167">
        <f>IF($A167="","",IF(AND(IF(DASHBOARD!$C$4="All",TRUE,$CM167=DASHBOARD!$C$4),IF(DASHBOARD!$C$6="All",TRUE,$CP167=DASHBOARD!$C$6),IF(DASHBOARD!$C$8="All",TRUE,$AF167&gt;=DASHBOARD!$C$8),IF(DASHBOARD!$C$10="All",TRUE,$AF167&lt;=DASHBOARD!$C$10),IF(DASHBOARD!$C$12="All",TRUE,$AH167=VALUE(DASHBOARD!$C$12)),IF(DASHBOARD!$C$14="All",TRUE,$AJ167=DASHBOARD!$C$14)),1,0))</f>
        <v/>
      </c>
    </row>
    <row r="168">
      <c r="A168" t="n">
        <v>118753</v>
      </c>
      <c r="B168" t="inlineStr">
        <is>
          <t>Face Malai</t>
        </is>
      </c>
      <c r="H168" t="inlineStr">
        <is>
          <t>Tomato Vetiver (Hot Humid) 20 - 35 Yrs Face Malai</t>
        </is>
      </c>
      <c r="N168" t="inlineStr">
        <is>
          <t>FC-HHDM-TV-030</t>
        </is>
      </c>
      <c r="T168" t="inlineStr">
        <is>
          <t>Feb 29, 2024</t>
        </is>
      </c>
      <c r="AE168" t="inlineStr">
        <is>
          <t>Barasat</t>
        </is>
      </c>
      <c r="AF168" t="inlineStr">
        <is>
          <t>2024-02</t>
        </is>
      </c>
      <c r="AG168" t="n">
        <v>2</v>
      </c>
      <c r="AH168" t="n">
        <v>1</v>
      </c>
      <c r="AI168" t="n">
        <v>0</v>
      </c>
      <c r="AJ168">
        <f>IF($AE168="","",IFERROR(VLOOKUP(TRIM($AE168),DECODE!$H$3:$I$60,2,FALSE),"Rest of India"))</f>
        <v/>
      </c>
      <c r="AK168">
        <f>IF($N168="","",UPPER(TRIM(LEFT($N168&amp;",",FIND(",",$N168&amp;",")-1))))</f>
        <v/>
      </c>
      <c r="AL168">
        <f>IF($AK168="","",MID($AK168,4,FIND("~",SUBSTITUTE($AK168,"-","~",2))-4))</f>
        <v/>
      </c>
      <c r="AM168">
        <f>IF($AK168="","",MID($AK168,FIND("~",SUBSTITUTE($AK168,"-","~",2))+1,FIND("~",SUBSTITUTE($AK168,"-","~",3))-FIND("~",SUBSTITUTE($AK168,"-","~",2))-1))</f>
        <v/>
      </c>
      <c r="AN168">
        <f>IF($AL168="","",IFERROR(VLOOKUP($AL168,DECODE!$A$3:$C$8,3,FALSE),"?"))</f>
        <v/>
      </c>
      <c r="AO168">
        <f>IF($AM168="","",IFERROR(VLOOKUP($AL168&amp;"-"&amp;$AM168,DECODE!$E$3:$F$21,2,FALSE),"?"))</f>
        <v/>
      </c>
      <c r="AP168">
        <f>IF($AK168="","",IFERROR(VALUE(RIGHT($AK168,3)),""))</f>
        <v/>
      </c>
      <c r="AQ168">
        <f>IF($T168="","",IFERROR(IF(ISNUMBER($T168),$T168,DATEVALUE(TRIM($T168))),""))</f>
        <v/>
      </c>
      <c r="AR168">
        <f>IF($AQ168="","",IF(MONTH($AQ168)&gt;=12,"Cold Winter",IF(MONTH($AQ168)&gt;=10,"Post-Monsoon",IF(MONTH($AQ168)&gt;=6,"Hot Humid",IF(MONTH($AQ168)&gt;=3,"Hot Dry","Cold Winter")))))</f>
        <v/>
      </c>
      <c r="AS168">
        <f>IF($AL168="","",IFERROR(VLOOKUP($AL168,DECODE!$A$3:$C$8,2,FALSE),"?"))</f>
        <v/>
      </c>
      <c r="AT168">
        <f>IF($O168="","",UPPER(TRIM(LEFT($O168&amp;",",FIND(",",$O168&amp;",")-1))))</f>
        <v/>
      </c>
      <c r="AU168">
        <f>IF($AT168="","",MID($AT168,4,FIND("~",SUBSTITUTE($AT168,"-","~",2))-4))</f>
        <v/>
      </c>
      <c r="AV168">
        <f>IF($AT168="","",MID($AT168,FIND("~",SUBSTITUTE($AT168,"-","~",2))+1,FIND("~",SUBSTITUTE($AT168,"-","~",3))-FIND("~",SUBSTITUTE($AT168,"-","~",2))-1))</f>
        <v/>
      </c>
      <c r="AW168">
        <f>IF($AU168="","",IFERROR(VLOOKUP($AU168,DECODE!$A$3:$C$8,3,FALSE),"?"))</f>
        <v/>
      </c>
      <c r="AX168">
        <f>IF($AV168="","",IFERROR(VLOOKUP($AU168&amp;"-"&amp;$AV168,DECODE!$E$3:$F$21,2,FALSE),"?"))</f>
        <v/>
      </c>
      <c r="AY168">
        <f>IF($AT168="","",IFERROR(VALUE(RIGHT($AT168,3)),""))</f>
        <v/>
      </c>
      <c r="AZ168">
        <f>IF($U168="","",IFERROR(IF(ISNUMBER($U168),$U168,DATEVALUE(TRIM($U168))),""))</f>
        <v/>
      </c>
      <c r="BA168">
        <f>IF($AZ168="","",IF(MONTH($AZ168)&gt;=12,"Cold Winter",IF(MONTH($AZ168)&gt;=10,"Post-Monsoon",IF(MONTH($AZ168)&gt;=6,"Hot Humid",IF(MONTH($AZ168)&gt;=3,"Hot Dry","Cold Winter")))))</f>
        <v/>
      </c>
      <c r="BB168">
        <f>IF($AU168="","",IFERROR(VLOOKUP($AU168,DECODE!$A$3:$C$8,2,FALSE),"?"))</f>
        <v/>
      </c>
      <c r="BC168">
        <f>IF($P168="","",UPPER(TRIM(LEFT($P168&amp;",",FIND(",",$P168&amp;",")-1))))</f>
        <v/>
      </c>
      <c r="BD168">
        <f>IF($BC168="","",MID($BC168,4,FIND("~",SUBSTITUTE($BC168,"-","~",2))-4))</f>
        <v/>
      </c>
      <c r="BE168">
        <f>IF($BC168="","",MID($BC168,FIND("~",SUBSTITUTE($BC168,"-","~",2))+1,FIND("~",SUBSTITUTE($BC168,"-","~",3))-FIND("~",SUBSTITUTE($BC168,"-","~",2))-1))</f>
        <v/>
      </c>
      <c r="BF168">
        <f>IF($BD168="","",IFERROR(VLOOKUP($BD168,DECODE!$A$3:$C$8,3,FALSE),"?"))</f>
        <v/>
      </c>
      <c r="BG168">
        <f>IF($BE168="","",IFERROR(VLOOKUP($BD168&amp;"-"&amp;$BE168,DECODE!$E$3:$F$21,2,FALSE),"?"))</f>
        <v/>
      </c>
      <c r="BH168">
        <f>IF($BC168="","",IFERROR(VALUE(RIGHT($BC168,3)),""))</f>
        <v/>
      </c>
      <c r="BI168">
        <f>IF($V168="","",IFERROR(IF(ISNUMBER($V168),$V168,DATEVALUE(TRIM($V168))),""))</f>
        <v/>
      </c>
      <c r="BJ168">
        <f>IF($BI168="","",IF(MONTH($BI168)&gt;=12,"Cold Winter",IF(MONTH($BI168)&gt;=10,"Post-Monsoon",IF(MONTH($BI168)&gt;=6,"Hot Humid",IF(MONTH($BI168)&gt;=3,"Hot Dry","Cold Winter")))))</f>
        <v/>
      </c>
      <c r="BK168">
        <f>IF($BD168="","",IFERROR(VLOOKUP($BD168,DECODE!$A$3:$C$8,2,FALSE),"?"))</f>
        <v/>
      </c>
      <c r="BL168">
        <f>IF($Q168="","",UPPER(TRIM(LEFT($Q168&amp;",",FIND(",",$Q168&amp;",")-1))))</f>
        <v/>
      </c>
      <c r="BM168">
        <f>IF($BL168="","",MID($BL168,4,FIND("~",SUBSTITUTE($BL168,"-","~",2))-4))</f>
        <v/>
      </c>
      <c r="BN168">
        <f>IF($BL168="","",MID($BL168,FIND("~",SUBSTITUTE($BL168,"-","~",2))+1,FIND("~",SUBSTITUTE($BL168,"-","~",3))-FIND("~",SUBSTITUTE($BL168,"-","~",2))-1))</f>
        <v/>
      </c>
      <c r="BO168">
        <f>IF($BM168="","",IFERROR(VLOOKUP($BM168,DECODE!$A$3:$C$8,3,FALSE),"?"))</f>
        <v/>
      </c>
      <c r="BP168">
        <f>IF($BN168="","",IFERROR(VLOOKUP($BM168&amp;"-"&amp;$BN168,DECODE!$E$3:$F$21,2,FALSE),"?"))</f>
        <v/>
      </c>
      <c r="BQ168">
        <f>IF($BL168="","",IFERROR(VALUE(RIGHT($BL168,3)),""))</f>
        <v/>
      </c>
      <c r="BR168">
        <f>IF($W168="","",IFERROR(IF(ISNUMBER($W168),$W168,DATEVALUE(TRIM($W168))),""))</f>
        <v/>
      </c>
      <c r="BS168">
        <f>IF($BR168="","",IF(MONTH($BR168)&gt;=12,"Cold Winter",IF(MONTH($BR168)&gt;=10,"Post-Monsoon",IF(MONTH($BR168)&gt;=6,"Hot Humid",IF(MONTH($BR168)&gt;=3,"Hot Dry","Cold Winter")))))</f>
        <v/>
      </c>
      <c r="BT168">
        <f>IF($BM168="","",IFERROR(VLOOKUP($BM168,DECODE!$A$3:$C$8,2,FALSE),"?"))</f>
        <v/>
      </c>
      <c r="BU168">
        <f>IF($R168="","",UPPER(TRIM(LEFT($R168&amp;",",FIND(",",$R168&amp;",")-1))))</f>
        <v/>
      </c>
      <c r="BV168">
        <f>IF($BU168="","",MID($BU168,4,FIND("~",SUBSTITUTE($BU168,"-","~",2))-4))</f>
        <v/>
      </c>
      <c r="BW168">
        <f>IF($BU168="","",MID($BU168,FIND("~",SUBSTITUTE($BU168,"-","~",2))+1,FIND("~",SUBSTITUTE($BU168,"-","~",3))-FIND("~",SUBSTITUTE($BU168,"-","~",2))-1))</f>
        <v/>
      </c>
      <c r="BX168">
        <f>IF($BV168="","",IFERROR(VLOOKUP($BV168,DECODE!$A$3:$C$8,3,FALSE),"?"))</f>
        <v/>
      </c>
      <c r="BY168">
        <f>IF($BW168="","",IFERROR(VLOOKUP($BV168&amp;"-"&amp;$BW168,DECODE!$E$3:$F$21,2,FALSE),"?"))</f>
        <v/>
      </c>
      <c r="BZ168">
        <f>IF($BU168="","",IFERROR(VALUE(RIGHT($BU168,3)),""))</f>
        <v/>
      </c>
      <c r="CA168">
        <f>IF($X168="","",IFERROR(IF(ISNUMBER($X168),$X168,DATEVALUE(TRIM($X168))),""))</f>
        <v/>
      </c>
      <c r="CB168">
        <f>IF($CA168="","",IF(MONTH($CA168)&gt;=12,"Cold Winter",IF(MONTH($CA168)&gt;=10,"Post-Monsoon",IF(MONTH($CA168)&gt;=6,"Hot Humid",IF(MONTH($CA168)&gt;=3,"Hot Dry","Cold Winter")))))</f>
        <v/>
      </c>
      <c r="CC168">
        <f>IF($BV168="","",IFERROR(VLOOKUP($BV168,DECODE!$A$3:$C$8,2,FALSE),"?"))</f>
        <v/>
      </c>
      <c r="CD168">
        <f>IF($S168="","",UPPER(TRIM(LEFT($S168&amp;",",FIND(",",$S168&amp;",")-1))))</f>
        <v/>
      </c>
      <c r="CE168">
        <f>IF($CD168="","",MID($CD168,4,FIND("~",SUBSTITUTE($CD168,"-","~",2))-4))</f>
        <v/>
      </c>
      <c r="CF168">
        <f>IF($CD168="","",MID($CD168,FIND("~",SUBSTITUTE($CD168,"-","~",2))+1,FIND("~",SUBSTITUTE($CD168,"-","~",3))-FIND("~",SUBSTITUTE($CD168,"-","~",2))-1))</f>
        <v/>
      </c>
      <c r="CG168">
        <f>IF($CE168="","",IFERROR(VLOOKUP($CE168,DECODE!$A$3:$C$8,3,FALSE),"?"))</f>
        <v/>
      </c>
      <c r="CH168">
        <f>IF($CF168="","",IFERROR(VLOOKUP($CE168&amp;"-"&amp;$CF168,DECODE!$E$3:$F$21,2,FALSE),"?"))</f>
        <v/>
      </c>
      <c r="CI168">
        <f>IF($CD168="","",IFERROR(VALUE(RIGHT($CD168,3)),""))</f>
        <v/>
      </c>
      <c r="CJ168">
        <f>IF($Y168="","",IFERROR(IF(ISNUMBER($Y168),$Y168,DATEVALUE(TRIM($Y168))),""))</f>
        <v/>
      </c>
      <c r="CK168">
        <f>IF($CJ168="","",IF(MONTH($CJ168)&gt;=12,"Cold Winter",IF(MONTH($CJ168)&gt;=10,"Post-Monsoon",IF(MONTH($CJ168)&gt;=6,"Hot Humid",IF(MONTH($CJ168)&gt;=3,"Hot Dry","Cold Winter")))))</f>
        <v/>
      </c>
      <c r="CL168">
        <f>IF($CE168="","",IFERROR(VLOOKUP($CE168,DECODE!$A$3:$C$8,2,FALSE),"?"))</f>
        <v/>
      </c>
      <c r="CM168">
        <f>IF($AN168="","",AN168)</f>
        <v/>
      </c>
      <c r="CN168">
        <f>IF($AO168="","",AO168)</f>
        <v/>
      </c>
      <c r="CO168">
        <f>IF($AP168="","",AP168)</f>
        <v/>
      </c>
      <c r="CP168">
        <f>IF($CM168="","",IF($CM168="Aloe Vera Gel","Aloe Vera Gel "&amp;$CO168&amp;"g",CN168&amp;" "&amp;$CO168&amp;"g"))</f>
        <v/>
      </c>
      <c r="CQ168">
        <f>IF($AT168="",0,1)</f>
        <v/>
      </c>
      <c r="CR168">
        <f>IF($CQ168=0,"",AW168)</f>
        <v/>
      </c>
      <c r="CS168">
        <f>IF($CQ168=0,"",AX168)</f>
        <v/>
      </c>
      <c r="CT168">
        <f>IF($CQ168=0,"",AY168)</f>
        <v/>
      </c>
      <c r="CU168">
        <f>IF($CR168="","",IF($CR168="Aloe Vera Gel","Aloe Vera Gel "&amp;$CT168&amp;"g",CS168&amp;" "&amp;$CT168&amp;"g"))</f>
        <v/>
      </c>
      <c r="CV168">
        <f>IF($CQ168=0,"",IF($CP168=$CU168,"Repeat Exact",IF($CT168&gt;$CO168,"Upsized",IF($CT168&lt;$CO168,"Downsized",IF($CM168&lt;&gt;$CR168,"Lateral","Same Size Diff Variant")))))</f>
        <v/>
      </c>
      <c r="CW168">
        <f>IF($CQ168=0,"",AZ168-AQ168)</f>
        <v/>
      </c>
      <c r="CX168">
        <f>IF($CQ168=0,0,IF(CS168=CN168,1,0))</f>
        <v/>
      </c>
      <c r="CY168">
        <f>IF($CQ168=0,0,IF(CR168=CM168,1,0))</f>
        <v/>
      </c>
      <c r="CZ168">
        <f>IF($A168="","",IF(AND(IF(DASHBOARD!$C$4="All",TRUE,$CM168=DASHBOARD!$C$4),IF(DASHBOARD!$C$6="All",TRUE,$CP168=DASHBOARD!$C$6),IF(DASHBOARD!$C$8="All",TRUE,$AF168&gt;=DASHBOARD!$C$8),IF(DASHBOARD!$C$10="All",TRUE,$AF168&lt;=DASHBOARD!$C$10),IF(DASHBOARD!$C$12="All",TRUE,$AH168=VALUE(DASHBOARD!$C$12)),IF(DASHBOARD!$C$14="All",TRUE,$AJ168=DASHBOARD!$C$14)),1,0))</f>
        <v/>
      </c>
    </row>
    <row r="169">
      <c r="A169" t="n">
        <v>119158</v>
      </c>
      <c r="B169" t="inlineStr">
        <is>
          <t>Active Gel, Face Malai</t>
        </is>
      </c>
      <c r="H169" t="inlineStr">
        <is>
          <t>Flax Bakuchi (Hot Dry) 35+ Face Malai - 50g, Active Orange Kiwi Vit-C Gel</t>
        </is>
      </c>
      <c r="N169" t="inlineStr">
        <is>
          <t>FC-HDDM-FB-050, FC-AC-OK-050</t>
        </is>
      </c>
      <c r="T169" t="inlineStr">
        <is>
          <t>Oct 11, 2024</t>
        </is>
      </c>
      <c r="AE169" t="inlineStr">
        <is>
          <t>Chandigarh</t>
        </is>
      </c>
      <c r="AF169" t="inlineStr">
        <is>
          <t>2024-10</t>
        </is>
      </c>
      <c r="AG169" t="n">
        <v>10</v>
      </c>
      <c r="AH169" t="n">
        <v>1</v>
      </c>
      <c r="AI169" t="n">
        <v>0</v>
      </c>
      <c r="AJ169">
        <f>IF($AE169="","",IFERROR(VLOOKUP(TRIM($AE169),DECODE!$H$3:$I$60,2,FALSE),"Rest of India"))</f>
        <v/>
      </c>
      <c r="AK169">
        <f>IF($N169="","",UPPER(TRIM(LEFT($N169&amp;",",FIND(",",$N169&amp;",")-1))))</f>
        <v/>
      </c>
      <c r="AL169">
        <f>IF($AK169="","",MID($AK169,4,FIND("~",SUBSTITUTE($AK169,"-","~",2))-4))</f>
        <v/>
      </c>
      <c r="AM169">
        <f>IF($AK169="","",MID($AK169,FIND("~",SUBSTITUTE($AK169,"-","~",2))+1,FIND("~",SUBSTITUTE($AK169,"-","~",3))-FIND("~",SUBSTITUTE($AK169,"-","~",2))-1))</f>
        <v/>
      </c>
      <c r="AN169">
        <f>IF($AL169="","",IFERROR(VLOOKUP($AL169,DECODE!$A$3:$C$8,3,FALSE),"?"))</f>
        <v/>
      </c>
      <c r="AO169">
        <f>IF($AM169="","",IFERROR(VLOOKUP($AL169&amp;"-"&amp;$AM169,DECODE!$E$3:$F$21,2,FALSE),"?"))</f>
        <v/>
      </c>
      <c r="AP169">
        <f>IF($AK169="","",IFERROR(VALUE(RIGHT($AK169,3)),""))</f>
        <v/>
      </c>
      <c r="AQ169">
        <f>IF($T169="","",IFERROR(IF(ISNUMBER($T169),$T169,DATEVALUE(TRIM($T169))),""))</f>
        <v/>
      </c>
      <c r="AR169">
        <f>IF($AQ169="","",IF(MONTH($AQ169)&gt;=12,"Cold Winter",IF(MONTH($AQ169)&gt;=10,"Post-Monsoon",IF(MONTH($AQ169)&gt;=6,"Hot Humid",IF(MONTH($AQ169)&gt;=3,"Hot Dry","Cold Winter")))))</f>
        <v/>
      </c>
      <c r="AS169">
        <f>IF($AL169="","",IFERROR(VLOOKUP($AL169,DECODE!$A$3:$C$8,2,FALSE),"?"))</f>
        <v/>
      </c>
      <c r="AT169">
        <f>IF($O169="","",UPPER(TRIM(LEFT($O169&amp;",",FIND(",",$O169&amp;",")-1))))</f>
        <v/>
      </c>
      <c r="AU169">
        <f>IF($AT169="","",MID($AT169,4,FIND("~",SUBSTITUTE($AT169,"-","~",2))-4))</f>
        <v/>
      </c>
      <c r="AV169">
        <f>IF($AT169="","",MID($AT169,FIND("~",SUBSTITUTE($AT169,"-","~",2))+1,FIND("~",SUBSTITUTE($AT169,"-","~",3))-FIND("~",SUBSTITUTE($AT169,"-","~",2))-1))</f>
        <v/>
      </c>
      <c r="AW169">
        <f>IF($AU169="","",IFERROR(VLOOKUP($AU169,DECODE!$A$3:$C$8,3,FALSE),"?"))</f>
        <v/>
      </c>
      <c r="AX169">
        <f>IF($AV169="","",IFERROR(VLOOKUP($AU169&amp;"-"&amp;$AV169,DECODE!$E$3:$F$21,2,FALSE),"?"))</f>
        <v/>
      </c>
      <c r="AY169">
        <f>IF($AT169="","",IFERROR(VALUE(RIGHT($AT169,3)),""))</f>
        <v/>
      </c>
      <c r="AZ169">
        <f>IF($U169="","",IFERROR(IF(ISNUMBER($U169),$U169,DATEVALUE(TRIM($U169))),""))</f>
        <v/>
      </c>
      <c r="BA169">
        <f>IF($AZ169="","",IF(MONTH($AZ169)&gt;=12,"Cold Winter",IF(MONTH($AZ169)&gt;=10,"Post-Monsoon",IF(MONTH($AZ169)&gt;=6,"Hot Humid",IF(MONTH($AZ169)&gt;=3,"Hot Dry","Cold Winter")))))</f>
        <v/>
      </c>
      <c r="BB169">
        <f>IF($AU169="","",IFERROR(VLOOKUP($AU169,DECODE!$A$3:$C$8,2,FALSE),"?"))</f>
        <v/>
      </c>
      <c r="BC169">
        <f>IF($P169="","",UPPER(TRIM(LEFT($P169&amp;",",FIND(",",$P169&amp;",")-1))))</f>
        <v/>
      </c>
      <c r="BD169">
        <f>IF($BC169="","",MID($BC169,4,FIND("~",SUBSTITUTE($BC169,"-","~",2))-4))</f>
        <v/>
      </c>
      <c r="BE169">
        <f>IF($BC169="","",MID($BC169,FIND("~",SUBSTITUTE($BC169,"-","~",2))+1,FIND("~",SUBSTITUTE($BC169,"-","~",3))-FIND("~",SUBSTITUTE($BC169,"-","~",2))-1))</f>
        <v/>
      </c>
      <c r="BF169">
        <f>IF($BD169="","",IFERROR(VLOOKUP($BD169,DECODE!$A$3:$C$8,3,FALSE),"?"))</f>
        <v/>
      </c>
      <c r="BG169">
        <f>IF($BE169="","",IFERROR(VLOOKUP($BD169&amp;"-"&amp;$BE169,DECODE!$E$3:$F$21,2,FALSE),"?"))</f>
        <v/>
      </c>
      <c r="BH169">
        <f>IF($BC169="","",IFERROR(VALUE(RIGHT($BC169,3)),""))</f>
        <v/>
      </c>
      <c r="BI169">
        <f>IF($V169="","",IFERROR(IF(ISNUMBER($V169),$V169,DATEVALUE(TRIM($V169))),""))</f>
        <v/>
      </c>
      <c r="BJ169">
        <f>IF($BI169="","",IF(MONTH($BI169)&gt;=12,"Cold Winter",IF(MONTH($BI169)&gt;=10,"Post-Monsoon",IF(MONTH($BI169)&gt;=6,"Hot Humid",IF(MONTH($BI169)&gt;=3,"Hot Dry","Cold Winter")))))</f>
        <v/>
      </c>
      <c r="BK169">
        <f>IF($BD169="","",IFERROR(VLOOKUP($BD169,DECODE!$A$3:$C$8,2,FALSE),"?"))</f>
        <v/>
      </c>
      <c r="BL169">
        <f>IF($Q169="","",UPPER(TRIM(LEFT($Q169&amp;",",FIND(",",$Q169&amp;",")-1))))</f>
        <v/>
      </c>
      <c r="BM169">
        <f>IF($BL169="","",MID($BL169,4,FIND("~",SUBSTITUTE($BL169,"-","~",2))-4))</f>
        <v/>
      </c>
      <c r="BN169">
        <f>IF($BL169="","",MID($BL169,FIND("~",SUBSTITUTE($BL169,"-","~",2))+1,FIND("~",SUBSTITUTE($BL169,"-","~",3))-FIND("~",SUBSTITUTE($BL169,"-","~",2))-1))</f>
        <v/>
      </c>
      <c r="BO169">
        <f>IF($BM169="","",IFERROR(VLOOKUP($BM169,DECODE!$A$3:$C$8,3,FALSE),"?"))</f>
        <v/>
      </c>
      <c r="BP169">
        <f>IF($BN169="","",IFERROR(VLOOKUP($BM169&amp;"-"&amp;$BN169,DECODE!$E$3:$F$21,2,FALSE),"?"))</f>
        <v/>
      </c>
      <c r="BQ169">
        <f>IF($BL169="","",IFERROR(VALUE(RIGHT($BL169,3)),""))</f>
        <v/>
      </c>
      <c r="BR169">
        <f>IF($W169="","",IFERROR(IF(ISNUMBER($W169),$W169,DATEVALUE(TRIM($W169))),""))</f>
        <v/>
      </c>
      <c r="BS169">
        <f>IF($BR169="","",IF(MONTH($BR169)&gt;=12,"Cold Winter",IF(MONTH($BR169)&gt;=10,"Post-Monsoon",IF(MONTH($BR169)&gt;=6,"Hot Humid",IF(MONTH($BR169)&gt;=3,"Hot Dry","Cold Winter")))))</f>
        <v/>
      </c>
      <c r="BT169">
        <f>IF($BM169="","",IFERROR(VLOOKUP($BM169,DECODE!$A$3:$C$8,2,FALSE),"?"))</f>
        <v/>
      </c>
      <c r="BU169">
        <f>IF($R169="","",UPPER(TRIM(LEFT($R169&amp;",",FIND(",",$R169&amp;",")-1))))</f>
        <v/>
      </c>
      <c r="BV169">
        <f>IF($BU169="","",MID($BU169,4,FIND("~",SUBSTITUTE($BU169,"-","~",2))-4))</f>
        <v/>
      </c>
      <c r="BW169">
        <f>IF($BU169="","",MID($BU169,FIND("~",SUBSTITUTE($BU169,"-","~",2))+1,FIND("~",SUBSTITUTE($BU169,"-","~",3))-FIND("~",SUBSTITUTE($BU169,"-","~",2))-1))</f>
        <v/>
      </c>
      <c r="BX169">
        <f>IF($BV169="","",IFERROR(VLOOKUP($BV169,DECODE!$A$3:$C$8,3,FALSE),"?"))</f>
        <v/>
      </c>
      <c r="BY169">
        <f>IF($BW169="","",IFERROR(VLOOKUP($BV169&amp;"-"&amp;$BW169,DECODE!$E$3:$F$21,2,FALSE),"?"))</f>
        <v/>
      </c>
      <c r="BZ169">
        <f>IF($BU169="","",IFERROR(VALUE(RIGHT($BU169,3)),""))</f>
        <v/>
      </c>
      <c r="CA169">
        <f>IF($X169="","",IFERROR(IF(ISNUMBER($X169),$X169,DATEVALUE(TRIM($X169))),""))</f>
        <v/>
      </c>
      <c r="CB169">
        <f>IF($CA169="","",IF(MONTH($CA169)&gt;=12,"Cold Winter",IF(MONTH($CA169)&gt;=10,"Post-Monsoon",IF(MONTH($CA169)&gt;=6,"Hot Humid",IF(MONTH($CA169)&gt;=3,"Hot Dry","Cold Winter")))))</f>
        <v/>
      </c>
      <c r="CC169">
        <f>IF($BV169="","",IFERROR(VLOOKUP($BV169,DECODE!$A$3:$C$8,2,FALSE),"?"))</f>
        <v/>
      </c>
      <c r="CD169">
        <f>IF($S169="","",UPPER(TRIM(LEFT($S169&amp;",",FIND(",",$S169&amp;",")-1))))</f>
        <v/>
      </c>
      <c r="CE169">
        <f>IF($CD169="","",MID($CD169,4,FIND("~",SUBSTITUTE($CD169,"-","~",2))-4))</f>
        <v/>
      </c>
      <c r="CF169">
        <f>IF($CD169="","",MID($CD169,FIND("~",SUBSTITUTE($CD169,"-","~",2))+1,FIND("~",SUBSTITUTE($CD169,"-","~",3))-FIND("~",SUBSTITUTE($CD169,"-","~",2))-1))</f>
        <v/>
      </c>
      <c r="CG169">
        <f>IF($CE169="","",IFERROR(VLOOKUP($CE169,DECODE!$A$3:$C$8,3,FALSE),"?"))</f>
        <v/>
      </c>
      <c r="CH169">
        <f>IF($CF169="","",IFERROR(VLOOKUP($CE169&amp;"-"&amp;$CF169,DECODE!$E$3:$F$21,2,FALSE),"?"))</f>
        <v/>
      </c>
      <c r="CI169">
        <f>IF($CD169="","",IFERROR(VALUE(RIGHT($CD169,3)),""))</f>
        <v/>
      </c>
      <c r="CJ169">
        <f>IF($Y169="","",IFERROR(IF(ISNUMBER($Y169),$Y169,DATEVALUE(TRIM($Y169))),""))</f>
        <v/>
      </c>
      <c r="CK169">
        <f>IF($CJ169="","",IF(MONTH($CJ169)&gt;=12,"Cold Winter",IF(MONTH($CJ169)&gt;=10,"Post-Monsoon",IF(MONTH($CJ169)&gt;=6,"Hot Humid",IF(MONTH($CJ169)&gt;=3,"Hot Dry","Cold Winter")))))</f>
        <v/>
      </c>
      <c r="CL169">
        <f>IF($CE169="","",IFERROR(VLOOKUP($CE169,DECODE!$A$3:$C$8,2,FALSE),"?"))</f>
        <v/>
      </c>
      <c r="CM169">
        <f>IF($AN169="","",AN169)</f>
        <v/>
      </c>
      <c r="CN169">
        <f>IF($AO169="","",AO169)</f>
        <v/>
      </c>
      <c r="CO169">
        <f>IF($AP169="","",AP169)</f>
        <v/>
      </c>
      <c r="CP169">
        <f>IF($CM169="","",IF($CM169="Aloe Vera Gel","Aloe Vera Gel "&amp;$CO169&amp;"g",CN169&amp;" "&amp;$CO169&amp;"g"))</f>
        <v/>
      </c>
      <c r="CQ169">
        <f>IF($AT169="",0,1)</f>
        <v/>
      </c>
      <c r="CR169">
        <f>IF($CQ169=0,"",AW169)</f>
        <v/>
      </c>
      <c r="CS169">
        <f>IF($CQ169=0,"",AX169)</f>
        <v/>
      </c>
      <c r="CT169">
        <f>IF($CQ169=0,"",AY169)</f>
        <v/>
      </c>
      <c r="CU169">
        <f>IF($CR169="","",IF($CR169="Aloe Vera Gel","Aloe Vera Gel "&amp;$CT169&amp;"g",CS169&amp;" "&amp;$CT169&amp;"g"))</f>
        <v/>
      </c>
      <c r="CV169">
        <f>IF($CQ169=0,"",IF($CP169=$CU169,"Repeat Exact",IF($CT169&gt;$CO169,"Upsized",IF($CT169&lt;$CO169,"Downsized",IF($CM169&lt;&gt;$CR169,"Lateral","Same Size Diff Variant")))))</f>
        <v/>
      </c>
      <c r="CW169">
        <f>IF($CQ169=0,"",AZ169-AQ169)</f>
        <v/>
      </c>
      <c r="CX169">
        <f>IF($CQ169=0,0,IF(CS169=CN169,1,0))</f>
        <v/>
      </c>
      <c r="CY169">
        <f>IF($CQ169=0,0,IF(CR169=CM169,1,0))</f>
        <v/>
      </c>
      <c r="CZ169">
        <f>IF($A169="","",IF(AND(IF(DASHBOARD!$C$4="All",TRUE,$CM169=DASHBOARD!$C$4),IF(DASHBOARD!$C$6="All",TRUE,$CP169=DASHBOARD!$C$6),IF(DASHBOARD!$C$8="All",TRUE,$AF169&gt;=DASHBOARD!$C$8),IF(DASHBOARD!$C$10="All",TRUE,$AF169&lt;=DASHBOARD!$C$10),IF(DASHBOARD!$C$12="All",TRUE,$AH169=VALUE(DASHBOARD!$C$12)),IF(DASHBOARD!$C$14="All",TRUE,$AJ169=DASHBOARD!$C$14)),1,0))</f>
        <v/>
      </c>
    </row>
    <row r="170">
      <c r="A170" t="n">
        <v>119962</v>
      </c>
      <c r="B170" t="inlineStr">
        <is>
          <t>Face Malai</t>
        </is>
      </c>
      <c r="H170" t="inlineStr">
        <is>
          <t>Clove Tea-Tree (Anti-Acne) Face Malai, Cocoa Mogra (Overnight) Face Malai - 30g</t>
        </is>
      </c>
      <c r="N170" t="inlineStr">
        <is>
          <t>FC-DM-AA-030, FC-DM-NR-030</t>
        </is>
      </c>
      <c r="T170" t="inlineStr">
        <is>
          <t>Nov 20, 2024</t>
        </is>
      </c>
      <c r="AE170" t="inlineStr">
        <is>
          <t>Pune</t>
        </is>
      </c>
      <c r="AF170" t="inlineStr">
        <is>
          <t>2024-11</t>
        </is>
      </c>
      <c r="AG170" t="n">
        <v>11</v>
      </c>
      <c r="AH170" t="n">
        <v>1</v>
      </c>
      <c r="AI170" t="n">
        <v>0</v>
      </c>
      <c r="AJ170">
        <f>IF($AE170="","",IFERROR(VLOOKUP(TRIM($AE170),DECODE!$H$3:$I$60,2,FALSE),"Rest of India"))</f>
        <v/>
      </c>
      <c r="AK170">
        <f>IF($N170="","",UPPER(TRIM(LEFT($N170&amp;",",FIND(",",$N170&amp;",")-1))))</f>
        <v/>
      </c>
      <c r="AL170">
        <f>IF($AK170="","",MID($AK170,4,FIND("~",SUBSTITUTE($AK170,"-","~",2))-4))</f>
        <v/>
      </c>
      <c r="AM170">
        <f>IF($AK170="","",MID($AK170,FIND("~",SUBSTITUTE($AK170,"-","~",2))+1,FIND("~",SUBSTITUTE($AK170,"-","~",3))-FIND("~",SUBSTITUTE($AK170,"-","~",2))-1))</f>
        <v/>
      </c>
      <c r="AN170">
        <f>IF($AL170="","",IFERROR(VLOOKUP($AL170,DECODE!$A$3:$C$8,3,FALSE),"?"))</f>
        <v/>
      </c>
      <c r="AO170">
        <f>IF($AM170="","",IFERROR(VLOOKUP($AL170&amp;"-"&amp;$AM170,DECODE!$E$3:$F$21,2,FALSE),"?"))</f>
        <v/>
      </c>
      <c r="AP170">
        <f>IF($AK170="","",IFERROR(VALUE(RIGHT($AK170,3)),""))</f>
        <v/>
      </c>
      <c r="AQ170">
        <f>IF($T170="","",IFERROR(IF(ISNUMBER($T170),$T170,DATEVALUE(TRIM($T170))),""))</f>
        <v/>
      </c>
      <c r="AR170">
        <f>IF($AQ170="","",IF(MONTH($AQ170)&gt;=12,"Cold Winter",IF(MONTH($AQ170)&gt;=10,"Post-Monsoon",IF(MONTH($AQ170)&gt;=6,"Hot Humid",IF(MONTH($AQ170)&gt;=3,"Hot Dry","Cold Winter")))))</f>
        <v/>
      </c>
      <c r="AS170">
        <f>IF($AL170="","",IFERROR(VLOOKUP($AL170,DECODE!$A$3:$C$8,2,FALSE),"?"))</f>
        <v/>
      </c>
      <c r="AT170">
        <f>IF($O170="","",UPPER(TRIM(LEFT($O170&amp;",",FIND(",",$O170&amp;",")-1))))</f>
        <v/>
      </c>
      <c r="AU170">
        <f>IF($AT170="","",MID($AT170,4,FIND("~",SUBSTITUTE($AT170,"-","~",2))-4))</f>
        <v/>
      </c>
      <c r="AV170">
        <f>IF($AT170="","",MID($AT170,FIND("~",SUBSTITUTE($AT170,"-","~",2))+1,FIND("~",SUBSTITUTE($AT170,"-","~",3))-FIND("~",SUBSTITUTE($AT170,"-","~",2))-1))</f>
        <v/>
      </c>
      <c r="AW170">
        <f>IF($AU170="","",IFERROR(VLOOKUP($AU170,DECODE!$A$3:$C$8,3,FALSE),"?"))</f>
        <v/>
      </c>
      <c r="AX170">
        <f>IF($AV170="","",IFERROR(VLOOKUP($AU170&amp;"-"&amp;$AV170,DECODE!$E$3:$F$21,2,FALSE),"?"))</f>
        <v/>
      </c>
      <c r="AY170">
        <f>IF($AT170="","",IFERROR(VALUE(RIGHT($AT170,3)),""))</f>
        <v/>
      </c>
      <c r="AZ170">
        <f>IF($U170="","",IFERROR(IF(ISNUMBER($U170),$U170,DATEVALUE(TRIM($U170))),""))</f>
        <v/>
      </c>
      <c r="BA170">
        <f>IF($AZ170="","",IF(MONTH($AZ170)&gt;=12,"Cold Winter",IF(MONTH($AZ170)&gt;=10,"Post-Monsoon",IF(MONTH($AZ170)&gt;=6,"Hot Humid",IF(MONTH($AZ170)&gt;=3,"Hot Dry","Cold Winter")))))</f>
        <v/>
      </c>
      <c r="BB170">
        <f>IF($AU170="","",IFERROR(VLOOKUP($AU170,DECODE!$A$3:$C$8,2,FALSE),"?"))</f>
        <v/>
      </c>
      <c r="BC170">
        <f>IF($P170="","",UPPER(TRIM(LEFT($P170&amp;",",FIND(",",$P170&amp;",")-1))))</f>
        <v/>
      </c>
      <c r="BD170">
        <f>IF($BC170="","",MID($BC170,4,FIND("~",SUBSTITUTE($BC170,"-","~",2))-4))</f>
        <v/>
      </c>
      <c r="BE170">
        <f>IF($BC170="","",MID($BC170,FIND("~",SUBSTITUTE($BC170,"-","~",2))+1,FIND("~",SUBSTITUTE($BC170,"-","~",3))-FIND("~",SUBSTITUTE($BC170,"-","~",2))-1))</f>
        <v/>
      </c>
      <c r="BF170">
        <f>IF($BD170="","",IFERROR(VLOOKUP($BD170,DECODE!$A$3:$C$8,3,FALSE),"?"))</f>
        <v/>
      </c>
      <c r="BG170">
        <f>IF($BE170="","",IFERROR(VLOOKUP($BD170&amp;"-"&amp;$BE170,DECODE!$E$3:$F$21,2,FALSE),"?"))</f>
        <v/>
      </c>
      <c r="BH170">
        <f>IF($BC170="","",IFERROR(VALUE(RIGHT($BC170,3)),""))</f>
        <v/>
      </c>
      <c r="BI170">
        <f>IF($V170="","",IFERROR(IF(ISNUMBER($V170),$V170,DATEVALUE(TRIM($V170))),""))</f>
        <v/>
      </c>
      <c r="BJ170">
        <f>IF($BI170="","",IF(MONTH($BI170)&gt;=12,"Cold Winter",IF(MONTH($BI170)&gt;=10,"Post-Monsoon",IF(MONTH($BI170)&gt;=6,"Hot Humid",IF(MONTH($BI170)&gt;=3,"Hot Dry","Cold Winter")))))</f>
        <v/>
      </c>
      <c r="BK170">
        <f>IF($BD170="","",IFERROR(VLOOKUP($BD170,DECODE!$A$3:$C$8,2,FALSE),"?"))</f>
        <v/>
      </c>
      <c r="BL170">
        <f>IF($Q170="","",UPPER(TRIM(LEFT($Q170&amp;",",FIND(",",$Q170&amp;",")-1))))</f>
        <v/>
      </c>
      <c r="BM170">
        <f>IF($BL170="","",MID($BL170,4,FIND("~",SUBSTITUTE($BL170,"-","~",2))-4))</f>
        <v/>
      </c>
      <c r="BN170">
        <f>IF($BL170="","",MID($BL170,FIND("~",SUBSTITUTE($BL170,"-","~",2))+1,FIND("~",SUBSTITUTE($BL170,"-","~",3))-FIND("~",SUBSTITUTE($BL170,"-","~",2))-1))</f>
        <v/>
      </c>
      <c r="BO170">
        <f>IF($BM170="","",IFERROR(VLOOKUP($BM170,DECODE!$A$3:$C$8,3,FALSE),"?"))</f>
        <v/>
      </c>
      <c r="BP170">
        <f>IF($BN170="","",IFERROR(VLOOKUP($BM170&amp;"-"&amp;$BN170,DECODE!$E$3:$F$21,2,FALSE),"?"))</f>
        <v/>
      </c>
      <c r="BQ170">
        <f>IF($BL170="","",IFERROR(VALUE(RIGHT($BL170,3)),""))</f>
        <v/>
      </c>
      <c r="BR170">
        <f>IF($W170="","",IFERROR(IF(ISNUMBER($W170),$W170,DATEVALUE(TRIM($W170))),""))</f>
        <v/>
      </c>
      <c r="BS170">
        <f>IF($BR170="","",IF(MONTH($BR170)&gt;=12,"Cold Winter",IF(MONTH($BR170)&gt;=10,"Post-Monsoon",IF(MONTH($BR170)&gt;=6,"Hot Humid",IF(MONTH($BR170)&gt;=3,"Hot Dry","Cold Winter")))))</f>
        <v/>
      </c>
      <c r="BT170">
        <f>IF($BM170="","",IFERROR(VLOOKUP($BM170,DECODE!$A$3:$C$8,2,FALSE),"?"))</f>
        <v/>
      </c>
      <c r="BU170">
        <f>IF($R170="","",UPPER(TRIM(LEFT($R170&amp;",",FIND(",",$R170&amp;",")-1))))</f>
        <v/>
      </c>
      <c r="BV170">
        <f>IF($BU170="","",MID($BU170,4,FIND("~",SUBSTITUTE($BU170,"-","~",2))-4))</f>
        <v/>
      </c>
      <c r="BW170">
        <f>IF($BU170="","",MID($BU170,FIND("~",SUBSTITUTE($BU170,"-","~",2))+1,FIND("~",SUBSTITUTE($BU170,"-","~",3))-FIND("~",SUBSTITUTE($BU170,"-","~",2))-1))</f>
        <v/>
      </c>
      <c r="BX170">
        <f>IF($BV170="","",IFERROR(VLOOKUP($BV170,DECODE!$A$3:$C$8,3,FALSE),"?"))</f>
        <v/>
      </c>
      <c r="BY170">
        <f>IF($BW170="","",IFERROR(VLOOKUP($BV170&amp;"-"&amp;$BW170,DECODE!$E$3:$F$21,2,FALSE),"?"))</f>
        <v/>
      </c>
      <c r="BZ170">
        <f>IF($BU170="","",IFERROR(VALUE(RIGHT($BU170,3)),""))</f>
        <v/>
      </c>
      <c r="CA170">
        <f>IF($X170="","",IFERROR(IF(ISNUMBER($X170),$X170,DATEVALUE(TRIM($X170))),""))</f>
        <v/>
      </c>
      <c r="CB170">
        <f>IF($CA170="","",IF(MONTH($CA170)&gt;=12,"Cold Winter",IF(MONTH($CA170)&gt;=10,"Post-Monsoon",IF(MONTH($CA170)&gt;=6,"Hot Humid",IF(MONTH($CA170)&gt;=3,"Hot Dry","Cold Winter")))))</f>
        <v/>
      </c>
      <c r="CC170">
        <f>IF($BV170="","",IFERROR(VLOOKUP($BV170,DECODE!$A$3:$C$8,2,FALSE),"?"))</f>
        <v/>
      </c>
      <c r="CD170">
        <f>IF($S170="","",UPPER(TRIM(LEFT($S170&amp;",",FIND(",",$S170&amp;",")-1))))</f>
        <v/>
      </c>
      <c r="CE170">
        <f>IF($CD170="","",MID($CD170,4,FIND("~",SUBSTITUTE($CD170,"-","~",2))-4))</f>
        <v/>
      </c>
      <c r="CF170">
        <f>IF($CD170="","",MID($CD170,FIND("~",SUBSTITUTE($CD170,"-","~",2))+1,FIND("~",SUBSTITUTE($CD170,"-","~",3))-FIND("~",SUBSTITUTE($CD170,"-","~",2))-1))</f>
        <v/>
      </c>
      <c r="CG170">
        <f>IF($CE170="","",IFERROR(VLOOKUP($CE170,DECODE!$A$3:$C$8,3,FALSE),"?"))</f>
        <v/>
      </c>
      <c r="CH170">
        <f>IF($CF170="","",IFERROR(VLOOKUP($CE170&amp;"-"&amp;$CF170,DECODE!$E$3:$F$21,2,FALSE),"?"))</f>
        <v/>
      </c>
      <c r="CI170">
        <f>IF($CD170="","",IFERROR(VALUE(RIGHT($CD170,3)),""))</f>
        <v/>
      </c>
      <c r="CJ170">
        <f>IF($Y170="","",IFERROR(IF(ISNUMBER($Y170),$Y170,DATEVALUE(TRIM($Y170))),""))</f>
        <v/>
      </c>
      <c r="CK170">
        <f>IF($CJ170="","",IF(MONTH($CJ170)&gt;=12,"Cold Winter",IF(MONTH($CJ170)&gt;=10,"Post-Monsoon",IF(MONTH($CJ170)&gt;=6,"Hot Humid",IF(MONTH($CJ170)&gt;=3,"Hot Dry","Cold Winter")))))</f>
        <v/>
      </c>
      <c r="CL170">
        <f>IF($CE170="","",IFERROR(VLOOKUP($CE170,DECODE!$A$3:$C$8,2,FALSE),"?"))</f>
        <v/>
      </c>
      <c r="CM170">
        <f>IF($AN170="","",AN170)</f>
        <v/>
      </c>
      <c r="CN170">
        <f>IF($AO170="","",AO170)</f>
        <v/>
      </c>
      <c r="CO170">
        <f>IF($AP170="","",AP170)</f>
        <v/>
      </c>
      <c r="CP170">
        <f>IF($CM170="","",IF($CM170="Aloe Vera Gel","Aloe Vera Gel "&amp;$CO170&amp;"g",CN170&amp;" "&amp;$CO170&amp;"g"))</f>
        <v/>
      </c>
      <c r="CQ170">
        <f>IF($AT170="",0,1)</f>
        <v/>
      </c>
      <c r="CR170">
        <f>IF($CQ170=0,"",AW170)</f>
        <v/>
      </c>
      <c r="CS170">
        <f>IF($CQ170=0,"",AX170)</f>
        <v/>
      </c>
      <c r="CT170">
        <f>IF($CQ170=0,"",AY170)</f>
        <v/>
      </c>
      <c r="CU170">
        <f>IF($CR170="","",IF($CR170="Aloe Vera Gel","Aloe Vera Gel "&amp;$CT170&amp;"g",CS170&amp;" "&amp;$CT170&amp;"g"))</f>
        <v/>
      </c>
      <c r="CV170">
        <f>IF($CQ170=0,"",IF($CP170=$CU170,"Repeat Exact",IF($CT170&gt;$CO170,"Upsized",IF($CT170&lt;$CO170,"Downsized",IF($CM170&lt;&gt;$CR170,"Lateral","Same Size Diff Variant")))))</f>
        <v/>
      </c>
      <c r="CW170">
        <f>IF($CQ170=0,"",AZ170-AQ170)</f>
        <v/>
      </c>
      <c r="CX170">
        <f>IF($CQ170=0,0,IF(CS170=CN170,1,0))</f>
        <v/>
      </c>
      <c r="CY170">
        <f>IF($CQ170=0,0,IF(CR170=CM170,1,0))</f>
        <v/>
      </c>
      <c r="CZ170">
        <f>IF($A170="","",IF(AND(IF(DASHBOARD!$C$4="All",TRUE,$CM170=DASHBOARD!$C$4),IF(DASHBOARD!$C$6="All",TRUE,$CP170=DASHBOARD!$C$6),IF(DASHBOARD!$C$8="All",TRUE,$AF170&gt;=DASHBOARD!$C$8),IF(DASHBOARD!$C$10="All",TRUE,$AF170&lt;=DASHBOARD!$C$10),IF(DASHBOARD!$C$12="All",TRUE,$AH170=VALUE(DASHBOARD!$C$12)),IF(DASHBOARD!$C$14="All",TRUE,$AJ170=DASHBOARD!$C$14)),1,0))</f>
        <v/>
      </c>
    </row>
    <row r="171">
      <c r="A171" t="n">
        <v>120209</v>
      </c>
      <c r="B171" t="inlineStr">
        <is>
          <t>Aloe Vera Gel, Face Malai</t>
        </is>
      </c>
      <c r="H171" t="inlineStr">
        <is>
          <t>Aloe Vera Gel - 80 gms, Flax Walnut (Cold) 35+ Face Malai</t>
        </is>
      </c>
      <c r="N171" t="inlineStr">
        <is>
          <t>FC-CWDM-FW-030, FC-HG-PA-080</t>
        </is>
      </c>
      <c r="T171" t="inlineStr">
        <is>
          <t>Jan 22, 2025</t>
        </is>
      </c>
      <c r="AE171" t="inlineStr">
        <is>
          <t>Gurgaon</t>
        </is>
      </c>
      <c r="AF171" t="inlineStr">
        <is>
          <t>2025-01</t>
        </is>
      </c>
      <c r="AG171" t="n">
        <v>1</v>
      </c>
      <c r="AH171" t="n">
        <v>1</v>
      </c>
      <c r="AI171" t="n">
        <v>0</v>
      </c>
      <c r="AJ171">
        <f>IF($AE171="","",IFERROR(VLOOKUP(TRIM($AE171),DECODE!$H$3:$I$60,2,FALSE),"Rest of India"))</f>
        <v/>
      </c>
      <c r="AK171">
        <f>IF($N171="","",UPPER(TRIM(LEFT($N171&amp;",",FIND(",",$N171&amp;",")-1))))</f>
        <v/>
      </c>
      <c r="AL171">
        <f>IF($AK171="","",MID($AK171,4,FIND("~",SUBSTITUTE($AK171,"-","~",2))-4))</f>
        <v/>
      </c>
      <c r="AM171">
        <f>IF($AK171="","",MID($AK171,FIND("~",SUBSTITUTE($AK171,"-","~",2))+1,FIND("~",SUBSTITUTE($AK171,"-","~",3))-FIND("~",SUBSTITUTE($AK171,"-","~",2))-1))</f>
        <v/>
      </c>
      <c r="AN171">
        <f>IF($AL171="","",IFERROR(VLOOKUP($AL171,DECODE!$A$3:$C$8,3,FALSE),"?"))</f>
        <v/>
      </c>
      <c r="AO171">
        <f>IF($AM171="","",IFERROR(VLOOKUP($AL171&amp;"-"&amp;$AM171,DECODE!$E$3:$F$21,2,FALSE),"?"))</f>
        <v/>
      </c>
      <c r="AP171">
        <f>IF($AK171="","",IFERROR(VALUE(RIGHT($AK171,3)),""))</f>
        <v/>
      </c>
      <c r="AQ171">
        <f>IF($T171="","",IFERROR(IF(ISNUMBER($T171),$T171,DATEVALUE(TRIM($T171))),""))</f>
        <v/>
      </c>
      <c r="AR171">
        <f>IF($AQ171="","",IF(MONTH($AQ171)&gt;=12,"Cold Winter",IF(MONTH($AQ171)&gt;=10,"Post-Monsoon",IF(MONTH($AQ171)&gt;=6,"Hot Humid",IF(MONTH($AQ171)&gt;=3,"Hot Dry","Cold Winter")))))</f>
        <v/>
      </c>
      <c r="AS171">
        <f>IF($AL171="","",IFERROR(VLOOKUP($AL171,DECODE!$A$3:$C$8,2,FALSE),"?"))</f>
        <v/>
      </c>
      <c r="AT171">
        <f>IF($O171="","",UPPER(TRIM(LEFT($O171&amp;",",FIND(",",$O171&amp;",")-1))))</f>
        <v/>
      </c>
      <c r="AU171">
        <f>IF($AT171="","",MID($AT171,4,FIND("~",SUBSTITUTE($AT171,"-","~",2))-4))</f>
        <v/>
      </c>
      <c r="AV171">
        <f>IF($AT171="","",MID($AT171,FIND("~",SUBSTITUTE($AT171,"-","~",2))+1,FIND("~",SUBSTITUTE($AT171,"-","~",3))-FIND("~",SUBSTITUTE($AT171,"-","~",2))-1))</f>
        <v/>
      </c>
      <c r="AW171">
        <f>IF($AU171="","",IFERROR(VLOOKUP($AU171,DECODE!$A$3:$C$8,3,FALSE),"?"))</f>
        <v/>
      </c>
      <c r="AX171">
        <f>IF($AV171="","",IFERROR(VLOOKUP($AU171&amp;"-"&amp;$AV171,DECODE!$E$3:$F$21,2,FALSE),"?"))</f>
        <v/>
      </c>
      <c r="AY171">
        <f>IF($AT171="","",IFERROR(VALUE(RIGHT($AT171,3)),""))</f>
        <v/>
      </c>
      <c r="AZ171">
        <f>IF($U171="","",IFERROR(IF(ISNUMBER($U171),$U171,DATEVALUE(TRIM($U171))),""))</f>
        <v/>
      </c>
      <c r="BA171">
        <f>IF($AZ171="","",IF(MONTH($AZ171)&gt;=12,"Cold Winter",IF(MONTH($AZ171)&gt;=10,"Post-Monsoon",IF(MONTH($AZ171)&gt;=6,"Hot Humid",IF(MONTH($AZ171)&gt;=3,"Hot Dry","Cold Winter")))))</f>
        <v/>
      </c>
      <c r="BB171">
        <f>IF($AU171="","",IFERROR(VLOOKUP($AU171,DECODE!$A$3:$C$8,2,FALSE),"?"))</f>
        <v/>
      </c>
      <c r="BC171">
        <f>IF($P171="","",UPPER(TRIM(LEFT($P171&amp;",",FIND(",",$P171&amp;",")-1))))</f>
        <v/>
      </c>
      <c r="BD171">
        <f>IF($BC171="","",MID($BC171,4,FIND("~",SUBSTITUTE($BC171,"-","~",2))-4))</f>
        <v/>
      </c>
      <c r="BE171">
        <f>IF($BC171="","",MID($BC171,FIND("~",SUBSTITUTE($BC171,"-","~",2))+1,FIND("~",SUBSTITUTE($BC171,"-","~",3))-FIND("~",SUBSTITUTE($BC171,"-","~",2))-1))</f>
        <v/>
      </c>
      <c r="BF171">
        <f>IF($BD171="","",IFERROR(VLOOKUP($BD171,DECODE!$A$3:$C$8,3,FALSE),"?"))</f>
        <v/>
      </c>
      <c r="BG171">
        <f>IF($BE171="","",IFERROR(VLOOKUP($BD171&amp;"-"&amp;$BE171,DECODE!$E$3:$F$21,2,FALSE),"?"))</f>
        <v/>
      </c>
      <c r="BH171">
        <f>IF($BC171="","",IFERROR(VALUE(RIGHT($BC171,3)),""))</f>
        <v/>
      </c>
      <c r="BI171">
        <f>IF($V171="","",IFERROR(IF(ISNUMBER($V171),$V171,DATEVALUE(TRIM($V171))),""))</f>
        <v/>
      </c>
      <c r="BJ171">
        <f>IF($BI171="","",IF(MONTH($BI171)&gt;=12,"Cold Winter",IF(MONTH($BI171)&gt;=10,"Post-Monsoon",IF(MONTH($BI171)&gt;=6,"Hot Humid",IF(MONTH($BI171)&gt;=3,"Hot Dry","Cold Winter")))))</f>
        <v/>
      </c>
      <c r="BK171">
        <f>IF($BD171="","",IFERROR(VLOOKUP($BD171,DECODE!$A$3:$C$8,2,FALSE),"?"))</f>
        <v/>
      </c>
      <c r="BL171">
        <f>IF($Q171="","",UPPER(TRIM(LEFT($Q171&amp;",",FIND(",",$Q171&amp;",")-1))))</f>
        <v/>
      </c>
      <c r="BM171">
        <f>IF($BL171="","",MID($BL171,4,FIND("~",SUBSTITUTE($BL171,"-","~",2))-4))</f>
        <v/>
      </c>
      <c r="BN171">
        <f>IF($BL171="","",MID($BL171,FIND("~",SUBSTITUTE($BL171,"-","~",2))+1,FIND("~",SUBSTITUTE($BL171,"-","~",3))-FIND("~",SUBSTITUTE($BL171,"-","~",2))-1))</f>
        <v/>
      </c>
      <c r="BO171">
        <f>IF($BM171="","",IFERROR(VLOOKUP($BM171,DECODE!$A$3:$C$8,3,FALSE),"?"))</f>
        <v/>
      </c>
      <c r="BP171">
        <f>IF($BN171="","",IFERROR(VLOOKUP($BM171&amp;"-"&amp;$BN171,DECODE!$E$3:$F$21,2,FALSE),"?"))</f>
        <v/>
      </c>
      <c r="BQ171">
        <f>IF($BL171="","",IFERROR(VALUE(RIGHT($BL171,3)),""))</f>
        <v/>
      </c>
      <c r="BR171">
        <f>IF($W171="","",IFERROR(IF(ISNUMBER($W171),$W171,DATEVALUE(TRIM($W171))),""))</f>
        <v/>
      </c>
      <c r="BS171">
        <f>IF($BR171="","",IF(MONTH($BR171)&gt;=12,"Cold Winter",IF(MONTH($BR171)&gt;=10,"Post-Monsoon",IF(MONTH($BR171)&gt;=6,"Hot Humid",IF(MONTH($BR171)&gt;=3,"Hot Dry","Cold Winter")))))</f>
        <v/>
      </c>
      <c r="BT171">
        <f>IF($BM171="","",IFERROR(VLOOKUP($BM171,DECODE!$A$3:$C$8,2,FALSE),"?"))</f>
        <v/>
      </c>
      <c r="BU171">
        <f>IF($R171="","",UPPER(TRIM(LEFT($R171&amp;",",FIND(",",$R171&amp;",")-1))))</f>
        <v/>
      </c>
      <c r="BV171">
        <f>IF($BU171="","",MID($BU171,4,FIND("~",SUBSTITUTE($BU171,"-","~",2))-4))</f>
        <v/>
      </c>
      <c r="BW171">
        <f>IF($BU171="","",MID($BU171,FIND("~",SUBSTITUTE($BU171,"-","~",2))+1,FIND("~",SUBSTITUTE($BU171,"-","~",3))-FIND("~",SUBSTITUTE($BU171,"-","~",2))-1))</f>
        <v/>
      </c>
      <c r="BX171">
        <f>IF($BV171="","",IFERROR(VLOOKUP($BV171,DECODE!$A$3:$C$8,3,FALSE),"?"))</f>
        <v/>
      </c>
      <c r="BY171">
        <f>IF($BW171="","",IFERROR(VLOOKUP($BV171&amp;"-"&amp;$BW171,DECODE!$E$3:$F$21,2,FALSE),"?"))</f>
        <v/>
      </c>
      <c r="BZ171">
        <f>IF($BU171="","",IFERROR(VALUE(RIGHT($BU171,3)),""))</f>
        <v/>
      </c>
      <c r="CA171">
        <f>IF($X171="","",IFERROR(IF(ISNUMBER($X171),$X171,DATEVALUE(TRIM($X171))),""))</f>
        <v/>
      </c>
      <c r="CB171">
        <f>IF($CA171="","",IF(MONTH($CA171)&gt;=12,"Cold Winter",IF(MONTH($CA171)&gt;=10,"Post-Monsoon",IF(MONTH($CA171)&gt;=6,"Hot Humid",IF(MONTH($CA171)&gt;=3,"Hot Dry","Cold Winter")))))</f>
        <v/>
      </c>
      <c r="CC171">
        <f>IF($BV171="","",IFERROR(VLOOKUP($BV171,DECODE!$A$3:$C$8,2,FALSE),"?"))</f>
        <v/>
      </c>
      <c r="CD171">
        <f>IF($S171="","",UPPER(TRIM(LEFT($S171&amp;",",FIND(",",$S171&amp;",")-1))))</f>
        <v/>
      </c>
      <c r="CE171">
        <f>IF($CD171="","",MID($CD171,4,FIND("~",SUBSTITUTE($CD171,"-","~",2))-4))</f>
        <v/>
      </c>
      <c r="CF171">
        <f>IF($CD171="","",MID($CD171,FIND("~",SUBSTITUTE($CD171,"-","~",2))+1,FIND("~",SUBSTITUTE($CD171,"-","~",3))-FIND("~",SUBSTITUTE($CD171,"-","~",2))-1))</f>
        <v/>
      </c>
      <c r="CG171">
        <f>IF($CE171="","",IFERROR(VLOOKUP($CE171,DECODE!$A$3:$C$8,3,FALSE),"?"))</f>
        <v/>
      </c>
      <c r="CH171">
        <f>IF($CF171="","",IFERROR(VLOOKUP($CE171&amp;"-"&amp;$CF171,DECODE!$E$3:$F$21,2,FALSE),"?"))</f>
        <v/>
      </c>
      <c r="CI171">
        <f>IF($CD171="","",IFERROR(VALUE(RIGHT($CD171,3)),""))</f>
        <v/>
      </c>
      <c r="CJ171">
        <f>IF($Y171="","",IFERROR(IF(ISNUMBER($Y171),$Y171,DATEVALUE(TRIM($Y171))),""))</f>
        <v/>
      </c>
      <c r="CK171">
        <f>IF($CJ171="","",IF(MONTH($CJ171)&gt;=12,"Cold Winter",IF(MONTH($CJ171)&gt;=10,"Post-Monsoon",IF(MONTH($CJ171)&gt;=6,"Hot Humid",IF(MONTH($CJ171)&gt;=3,"Hot Dry","Cold Winter")))))</f>
        <v/>
      </c>
      <c r="CL171">
        <f>IF($CE171="","",IFERROR(VLOOKUP($CE171,DECODE!$A$3:$C$8,2,FALSE),"?"))</f>
        <v/>
      </c>
      <c r="CM171">
        <f>IF($AN171="","",AN171)</f>
        <v/>
      </c>
      <c r="CN171">
        <f>IF($AO171="","",AO171)</f>
        <v/>
      </c>
      <c r="CO171">
        <f>IF($AP171="","",AP171)</f>
        <v/>
      </c>
      <c r="CP171">
        <f>IF($CM171="","",IF($CM171="Aloe Vera Gel","Aloe Vera Gel "&amp;$CO171&amp;"g",CN171&amp;" "&amp;$CO171&amp;"g"))</f>
        <v/>
      </c>
      <c r="CQ171">
        <f>IF($AT171="",0,1)</f>
        <v/>
      </c>
      <c r="CR171">
        <f>IF($CQ171=0,"",AW171)</f>
        <v/>
      </c>
      <c r="CS171">
        <f>IF($CQ171=0,"",AX171)</f>
        <v/>
      </c>
      <c r="CT171">
        <f>IF($CQ171=0,"",AY171)</f>
        <v/>
      </c>
      <c r="CU171">
        <f>IF($CR171="","",IF($CR171="Aloe Vera Gel","Aloe Vera Gel "&amp;$CT171&amp;"g",CS171&amp;" "&amp;$CT171&amp;"g"))</f>
        <v/>
      </c>
      <c r="CV171">
        <f>IF($CQ171=0,"",IF($CP171=$CU171,"Repeat Exact",IF($CT171&gt;$CO171,"Upsized",IF($CT171&lt;$CO171,"Downsized",IF($CM171&lt;&gt;$CR171,"Lateral","Same Size Diff Variant")))))</f>
        <v/>
      </c>
      <c r="CW171">
        <f>IF($CQ171=0,"",AZ171-AQ171)</f>
        <v/>
      </c>
      <c r="CX171">
        <f>IF($CQ171=0,0,IF(CS171=CN171,1,0))</f>
        <v/>
      </c>
      <c r="CY171">
        <f>IF($CQ171=0,0,IF(CR171=CM171,1,0))</f>
        <v/>
      </c>
      <c r="CZ171">
        <f>IF($A171="","",IF(AND(IF(DASHBOARD!$C$4="All",TRUE,$CM171=DASHBOARD!$C$4),IF(DASHBOARD!$C$6="All",TRUE,$CP171=DASHBOARD!$C$6),IF(DASHBOARD!$C$8="All",TRUE,$AF171&gt;=DASHBOARD!$C$8),IF(DASHBOARD!$C$10="All",TRUE,$AF171&lt;=DASHBOARD!$C$10),IF(DASHBOARD!$C$12="All",TRUE,$AH171=VALUE(DASHBOARD!$C$12)),IF(DASHBOARD!$C$14="All",TRUE,$AJ171=DASHBOARD!$C$14)),1,0))</f>
        <v/>
      </c>
    </row>
    <row r="172">
      <c r="A172" t="n">
        <v>120346</v>
      </c>
      <c r="B172" t="inlineStr">
        <is>
          <t>Aloe Vera Gel</t>
        </is>
      </c>
      <c r="C172" t="inlineStr">
        <is>
          <t>Active Gel, Aloe Vera Gel</t>
        </is>
      </c>
      <c r="H172" t="inlineStr">
        <is>
          <t>Aloe Vera Gel - 40 gms</t>
        </is>
      </c>
      <c r="I172" t="inlineStr">
        <is>
          <t>Aloe Vera Gel - 40 gms, Active Aloe Cactus Hydra Lift Gel, Active Olive Vit-E Night Gel</t>
        </is>
      </c>
      <c r="N172" t="inlineStr">
        <is>
          <t>FC-HG-PA-040</t>
        </is>
      </c>
      <c r="O172" t="inlineStr">
        <is>
          <t>FC-AC-AC-050, FC-HG-PA-040, FC-AC-OV-050</t>
        </is>
      </c>
      <c r="T172" t="inlineStr">
        <is>
          <t>Dec 6, 2024</t>
        </is>
      </c>
      <c r="U172" t="inlineStr">
        <is>
          <t>Dec 13, 2024</t>
        </is>
      </c>
      <c r="Z172" t="n">
        <v>7</v>
      </c>
      <c r="AE172" t="inlineStr">
        <is>
          <t>Ahmedabad</t>
        </is>
      </c>
      <c r="AF172" t="inlineStr">
        <is>
          <t>2024-12</t>
        </is>
      </c>
      <c r="AG172" t="n">
        <v>12</v>
      </c>
      <c r="AH172" t="n">
        <v>2</v>
      </c>
      <c r="AI172" t="n">
        <v>1</v>
      </c>
      <c r="AJ172">
        <f>IF($AE172="","",IFERROR(VLOOKUP(TRIM($AE172),DECODE!$H$3:$I$60,2,FALSE),"Rest of India"))</f>
        <v/>
      </c>
      <c r="AK172">
        <f>IF($N172="","",UPPER(TRIM(LEFT($N172&amp;",",FIND(",",$N172&amp;",")-1))))</f>
        <v/>
      </c>
      <c r="AL172">
        <f>IF($AK172="","",MID($AK172,4,FIND("~",SUBSTITUTE($AK172,"-","~",2))-4))</f>
        <v/>
      </c>
      <c r="AM172">
        <f>IF($AK172="","",MID($AK172,FIND("~",SUBSTITUTE($AK172,"-","~",2))+1,FIND("~",SUBSTITUTE($AK172,"-","~",3))-FIND("~",SUBSTITUTE($AK172,"-","~",2))-1))</f>
        <v/>
      </c>
      <c r="AN172">
        <f>IF($AL172="","",IFERROR(VLOOKUP($AL172,DECODE!$A$3:$C$8,3,FALSE),"?"))</f>
        <v/>
      </c>
      <c r="AO172">
        <f>IF($AM172="","",IFERROR(VLOOKUP($AL172&amp;"-"&amp;$AM172,DECODE!$E$3:$F$21,2,FALSE),"?"))</f>
        <v/>
      </c>
      <c r="AP172">
        <f>IF($AK172="","",IFERROR(VALUE(RIGHT($AK172,3)),""))</f>
        <v/>
      </c>
      <c r="AQ172">
        <f>IF($T172="","",IFERROR(IF(ISNUMBER($T172),$T172,DATEVALUE(TRIM($T172))),""))</f>
        <v/>
      </c>
      <c r="AR172">
        <f>IF($AQ172="","",IF(MONTH($AQ172)&gt;=12,"Cold Winter",IF(MONTH($AQ172)&gt;=10,"Post-Monsoon",IF(MONTH($AQ172)&gt;=6,"Hot Humid",IF(MONTH($AQ172)&gt;=3,"Hot Dry","Cold Winter")))))</f>
        <v/>
      </c>
      <c r="AS172">
        <f>IF($AL172="","",IFERROR(VLOOKUP($AL172,DECODE!$A$3:$C$8,2,FALSE),"?"))</f>
        <v/>
      </c>
      <c r="AT172">
        <f>IF($O172="","",UPPER(TRIM(LEFT($O172&amp;",",FIND(",",$O172&amp;",")-1))))</f>
        <v/>
      </c>
      <c r="AU172">
        <f>IF($AT172="","",MID($AT172,4,FIND("~",SUBSTITUTE($AT172,"-","~",2))-4))</f>
        <v/>
      </c>
      <c r="AV172">
        <f>IF($AT172="","",MID($AT172,FIND("~",SUBSTITUTE($AT172,"-","~",2))+1,FIND("~",SUBSTITUTE($AT172,"-","~",3))-FIND("~",SUBSTITUTE($AT172,"-","~",2))-1))</f>
        <v/>
      </c>
      <c r="AW172">
        <f>IF($AU172="","",IFERROR(VLOOKUP($AU172,DECODE!$A$3:$C$8,3,FALSE),"?"))</f>
        <v/>
      </c>
      <c r="AX172">
        <f>IF($AV172="","",IFERROR(VLOOKUP($AU172&amp;"-"&amp;$AV172,DECODE!$E$3:$F$21,2,FALSE),"?"))</f>
        <v/>
      </c>
      <c r="AY172">
        <f>IF($AT172="","",IFERROR(VALUE(RIGHT($AT172,3)),""))</f>
        <v/>
      </c>
      <c r="AZ172">
        <f>IF($U172="","",IFERROR(IF(ISNUMBER($U172),$U172,DATEVALUE(TRIM($U172))),""))</f>
        <v/>
      </c>
      <c r="BA172">
        <f>IF($AZ172="","",IF(MONTH($AZ172)&gt;=12,"Cold Winter",IF(MONTH($AZ172)&gt;=10,"Post-Monsoon",IF(MONTH($AZ172)&gt;=6,"Hot Humid",IF(MONTH($AZ172)&gt;=3,"Hot Dry","Cold Winter")))))</f>
        <v/>
      </c>
      <c r="BB172">
        <f>IF($AU172="","",IFERROR(VLOOKUP($AU172,DECODE!$A$3:$C$8,2,FALSE),"?"))</f>
        <v/>
      </c>
      <c r="BC172">
        <f>IF($P172="","",UPPER(TRIM(LEFT($P172&amp;",",FIND(",",$P172&amp;",")-1))))</f>
        <v/>
      </c>
      <c r="BD172">
        <f>IF($BC172="","",MID($BC172,4,FIND("~",SUBSTITUTE($BC172,"-","~",2))-4))</f>
        <v/>
      </c>
      <c r="BE172">
        <f>IF($BC172="","",MID($BC172,FIND("~",SUBSTITUTE($BC172,"-","~",2))+1,FIND("~",SUBSTITUTE($BC172,"-","~",3))-FIND("~",SUBSTITUTE($BC172,"-","~",2))-1))</f>
        <v/>
      </c>
      <c r="BF172">
        <f>IF($BD172="","",IFERROR(VLOOKUP($BD172,DECODE!$A$3:$C$8,3,FALSE),"?"))</f>
        <v/>
      </c>
      <c r="BG172">
        <f>IF($BE172="","",IFERROR(VLOOKUP($BD172&amp;"-"&amp;$BE172,DECODE!$E$3:$F$21,2,FALSE),"?"))</f>
        <v/>
      </c>
      <c r="BH172">
        <f>IF($BC172="","",IFERROR(VALUE(RIGHT($BC172,3)),""))</f>
        <v/>
      </c>
      <c r="BI172">
        <f>IF($V172="","",IFERROR(IF(ISNUMBER($V172),$V172,DATEVALUE(TRIM($V172))),""))</f>
        <v/>
      </c>
      <c r="BJ172">
        <f>IF($BI172="","",IF(MONTH($BI172)&gt;=12,"Cold Winter",IF(MONTH($BI172)&gt;=10,"Post-Monsoon",IF(MONTH($BI172)&gt;=6,"Hot Humid",IF(MONTH($BI172)&gt;=3,"Hot Dry","Cold Winter")))))</f>
        <v/>
      </c>
      <c r="BK172">
        <f>IF($BD172="","",IFERROR(VLOOKUP($BD172,DECODE!$A$3:$C$8,2,FALSE),"?"))</f>
        <v/>
      </c>
      <c r="BL172">
        <f>IF($Q172="","",UPPER(TRIM(LEFT($Q172&amp;",",FIND(",",$Q172&amp;",")-1))))</f>
        <v/>
      </c>
      <c r="BM172">
        <f>IF($BL172="","",MID($BL172,4,FIND("~",SUBSTITUTE($BL172,"-","~",2))-4))</f>
        <v/>
      </c>
      <c r="BN172">
        <f>IF($BL172="","",MID($BL172,FIND("~",SUBSTITUTE($BL172,"-","~",2))+1,FIND("~",SUBSTITUTE($BL172,"-","~",3))-FIND("~",SUBSTITUTE($BL172,"-","~",2))-1))</f>
        <v/>
      </c>
      <c r="BO172">
        <f>IF($BM172="","",IFERROR(VLOOKUP($BM172,DECODE!$A$3:$C$8,3,FALSE),"?"))</f>
        <v/>
      </c>
      <c r="BP172">
        <f>IF($BN172="","",IFERROR(VLOOKUP($BM172&amp;"-"&amp;$BN172,DECODE!$E$3:$F$21,2,FALSE),"?"))</f>
        <v/>
      </c>
      <c r="BQ172">
        <f>IF($BL172="","",IFERROR(VALUE(RIGHT($BL172,3)),""))</f>
        <v/>
      </c>
      <c r="BR172">
        <f>IF($W172="","",IFERROR(IF(ISNUMBER($W172),$W172,DATEVALUE(TRIM($W172))),""))</f>
        <v/>
      </c>
      <c r="BS172">
        <f>IF($BR172="","",IF(MONTH($BR172)&gt;=12,"Cold Winter",IF(MONTH($BR172)&gt;=10,"Post-Monsoon",IF(MONTH($BR172)&gt;=6,"Hot Humid",IF(MONTH($BR172)&gt;=3,"Hot Dry","Cold Winter")))))</f>
        <v/>
      </c>
      <c r="BT172">
        <f>IF($BM172="","",IFERROR(VLOOKUP($BM172,DECODE!$A$3:$C$8,2,FALSE),"?"))</f>
        <v/>
      </c>
      <c r="BU172">
        <f>IF($R172="","",UPPER(TRIM(LEFT($R172&amp;",",FIND(",",$R172&amp;",")-1))))</f>
        <v/>
      </c>
      <c r="BV172">
        <f>IF($BU172="","",MID($BU172,4,FIND("~",SUBSTITUTE($BU172,"-","~",2))-4))</f>
        <v/>
      </c>
      <c r="BW172">
        <f>IF($BU172="","",MID($BU172,FIND("~",SUBSTITUTE($BU172,"-","~",2))+1,FIND("~",SUBSTITUTE($BU172,"-","~",3))-FIND("~",SUBSTITUTE($BU172,"-","~",2))-1))</f>
        <v/>
      </c>
      <c r="BX172">
        <f>IF($BV172="","",IFERROR(VLOOKUP($BV172,DECODE!$A$3:$C$8,3,FALSE),"?"))</f>
        <v/>
      </c>
      <c r="BY172">
        <f>IF($BW172="","",IFERROR(VLOOKUP($BV172&amp;"-"&amp;$BW172,DECODE!$E$3:$F$21,2,FALSE),"?"))</f>
        <v/>
      </c>
      <c r="BZ172">
        <f>IF($BU172="","",IFERROR(VALUE(RIGHT($BU172,3)),""))</f>
        <v/>
      </c>
      <c r="CA172">
        <f>IF($X172="","",IFERROR(IF(ISNUMBER($X172),$X172,DATEVALUE(TRIM($X172))),""))</f>
        <v/>
      </c>
      <c r="CB172">
        <f>IF($CA172="","",IF(MONTH($CA172)&gt;=12,"Cold Winter",IF(MONTH($CA172)&gt;=10,"Post-Monsoon",IF(MONTH($CA172)&gt;=6,"Hot Humid",IF(MONTH($CA172)&gt;=3,"Hot Dry","Cold Winter")))))</f>
        <v/>
      </c>
      <c r="CC172">
        <f>IF($BV172="","",IFERROR(VLOOKUP($BV172,DECODE!$A$3:$C$8,2,FALSE),"?"))</f>
        <v/>
      </c>
      <c r="CD172">
        <f>IF($S172="","",UPPER(TRIM(LEFT($S172&amp;",",FIND(",",$S172&amp;",")-1))))</f>
        <v/>
      </c>
      <c r="CE172">
        <f>IF($CD172="","",MID($CD172,4,FIND("~",SUBSTITUTE($CD172,"-","~",2))-4))</f>
        <v/>
      </c>
      <c r="CF172">
        <f>IF($CD172="","",MID($CD172,FIND("~",SUBSTITUTE($CD172,"-","~",2))+1,FIND("~",SUBSTITUTE($CD172,"-","~",3))-FIND("~",SUBSTITUTE($CD172,"-","~",2))-1))</f>
        <v/>
      </c>
      <c r="CG172">
        <f>IF($CE172="","",IFERROR(VLOOKUP($CE172,DECODE!$A$3:$C$8,3,FALSE),"?"))</f>
        <v/>
      </c>
      <c r="CH172">
        <f>IF($CF172="","",IFERROR(VLOOKUP($CE172&amp;"-"&amp;$CF172,DECODE!$E$3:$F$21,2,FALSE),"?"))</f>
        <v/>
      </c>
      <c r="CI172">
        <f>IF($CD172="","",IFERROR(VALUE(RIGHT($CD172,3)),""))</f>
        <v/>
      </c>
      <c r="CJ172">
        <f>IF($Y172="","",IFERROR(IF(ISNUMBER($Y172),$Y172,DATEVALUE(TRIM($Y172))),""))</f>
        <v/>
      </c>
      <c r="CK172">
        <f>IF($CJ172="","",IF(MONTH($CJ172)&gt;=12,"Cold Winter",IF(MONTH($CJ172)&gt;=10,"Post-Monsoon",IF(MONTH($CJ172)&gt;=6,"Hot Humid",IF(MONTH($CJ172)&gt;=3,"Hot Dry","Cold Winter")))))</f>
        <v/>
      </c>
      <c r="CL172">
        <f>IF($CE172="","",IFERROR(VLOOKUP($CE172,DECODE!$A$3:$C$8,2,FALSE),"?"))</f>
        <v/>
      </c>
      <c r="CM172">
        <f>IF($AN172="","",AN172)</f>
        <v/>
      </c>
      <c r="CN172">
        <f>IF($AO172="","",AO172)</f>
        <v/>
      </c>
      <c r="CO172">
        <f>IF($AP172="","",AP172)</f>
        <v/>
      </c>
      <c r="CP172">
        <f>IF($CM172="","",IF($CM172="Aloe Vera Gel","Aloe Vera Gel "&amp;$CO172&amp;"g",CN172&amp;" "&amp;$CO172&amp;"g"))</f>
        <v/>
      </c>
      <c r="CQ172">
        <f>IF($AT172="",0,1)</f>
        <v/>
      </c>
      <c r="CR172">
        <f>IF($CQ172=0,"",AW172)</f>
        <v/>
      </c>
      <c r="CS172">
        <f>IF($CQ172=0,"",AX172)</f>
        <v/>
      </c>
      <c r="CT172">
        <f>IF($CQ172=0,"",AY172)</f>
        <v/>
      </c>
      <c r="CU172">
        <f>IF($CR172="","",IF($CR172="Aloe Vera Gel","Aloe Vera Gel "&amp;$CT172&amp;"g",CS172&amp;" "&amp;$CT172&amp;"g"))</f>
        <v/>
      </c>
      <c r="CV172">
        <f>IF($CQ172=0,"",IF($CP172=$CU172,"Repeat Exact",IF($CT172&gt;$CO172,"Upsized",IF($CT172&lt;$CO172,"Downsized",IF($CM172&lt;&gt;$CR172,"Lateral","Same Size Diff Variant")))))</f>
        <v/>
      </c>
      <c r="CW172">
        <f>IF($CQ172=0,"",AZ172-AQ172)</f>
        <v/>
      </c>
      <c r="CX172">
        <f>IF($CQ172=0,0,IF(CS172=CN172,1,0))</f>
        <v/>
      </c>
      <c r="CY172">
        <f>IF($CQ172=0,0,IF(CR172=CM172,1,0))</f>
        <v/>
      </c>
      <c r="CZ172">
        <f>IF($A172="","",IF(AND(IF(DASHBOARD!$C$4="All",TRUE,$CM172=DASHBOARD!$C$4),IF(DASHBOARD!$C$6="All",TRUE,$CP172=DASHBOARD!$C$6),IF(DASHBOARD!$C$8="All",TRUE,$AF172&gt;=DASHBOARD!$C$8),IF(DASHBOARD!$C$10="All",TRUE,$AF172&lt;=DASHBOARD!$C$10),IF(DASHBOARD!$C$12="All",TRUE,$AH172=VALUE(DASHBOARD!$C$12)),IF(DASHBOARD!$C$14="All",TRUE,$AJ172=DASHBOARD!$C$14)),1,0))</f>
        <v/>
      </c>
    </row>
    <row r="173">
      <c r="A173" t="n">
        <v>121567</v>
      </c>
      <c r="B173" t="inlineStr">
        <is>
          <t>Face Malai</t>
        </is>
      </c>
      <c r="H173" t="inlineStr">
        <is>
          <t>Flax Walnut (Cold) 35+ Face Malai</t>
        </is>
      </c>
      <c r="N173" t="inlineStr">
        <is>
          <t>FC-CWDM-FW-030</t>
        </is>
      </c>
      <c r="T173" t="inlineStr">
        <is>
          <t>Nov 20, 2024</t>
        </is>
      </c>
      <c r="AE173" t="inlineStr">
        <is>
          <t>Sambalpur</t>
        </is>
      </c>
      <c r="AF173" t="inlineStr">
        <is>
          <t>2024-11</t>
        </is>
      </c>
      <c r="AG173" t="n">
        <v>11</v>
      </c>
      <c r="AH173" t="n">
        <v>1</v>
      </c>
      <c r="AI173" t="n">
        <v>0</v>
      </c>
      <c r="AJ173">
        <f>IF($AE173="","",IFERROR(VLOOKUP(TRIM($AE173),DECODE!$H$3:$I$60,2,FALSE),"Rest of India"))</f>
        <v/>
      </c>
      <c r="AK173">
        <f>IF($N173="","",UPPER(TRIM(LEFT($N173&amp;",",FIND(",",$N173&amp;",")-1))))</f>
        <v/>
      </c>
      <c r="AL173">
        <f>IF($AK173="","",MID($AK173,4,FIND("~",SUBSTITUTE($AK173,"-","~",2))-4))</f>
        <v/>
      </c>
      <c r="AM173">
        <f>IF($AK173="","",MID($AK173,FIND("~",SUBSTITUTE($AK173,"-","~",2))+1,FIND("~",SUBSTITUTE($AK173,"-","~",3))-FIND("~",SUBSTITUTE($AK173,"-","~",2))-1))</f>
        <v/>
      </c>
      <c r="AN173">
        <f>IF($AL173="","",IFERROR(VLOOKUP($AL173,DECODE!$A$3:$C$8,3,FALSE),"?"))</f>
        <v/>
      </c>
      <c r="AO173">
        <f>IF($AM173="","",IFERROR(VLOOKUP($AL173&amp;"-"&amp;$AM173,DECODE!$E$3:$F$21,2,FALSE),"?"))</f>
        <v/>
      </c>
      <c r="AP173">
        <f>IF($AK173="","",IFERROR(VALUE(RIGHT($AK173,3)),""))</f>
        <v/>
      </c>
      <c r="AQ173">
        <f>IF($T173="","",IFERROR(IF(ISNUMBER($T173),$T173,DATEVALUE(TRIM($T173))),""))</f>
        <v/>
      </c>
      <c r="AR173">
        <f>IF($AQ173="","",IF(MONTH($AQ173)&gt;=12,"Cold Winter",IF(MONTH($AQ173)&gt;=10,"Post-Monsoon",IF(MONTH($AQ173)&gt;=6,"Hot Humid",IF(MONTH($AQ173)&gt;=3,"Hot Dry","Cold Winter")))))</f>
        <v/>
      </c>
      <c r="AS173">
        <f>IF($AL173="","",IFERROR(VLOOKUP($AL173,DECODE!$A$3:$C$8,2,FALSE),"?"))</f>
        <v/>
      </c>
      <c r="AT173">
        <f>IF($O173="","",UPPER(TRIM(LEFT($O173&amp;",",FIND(",",$O173&amp;",")-1))))</f>
        <v/>
      </c>
      <c r="AU173">
        <f>IF($AT173="","",MID($AT173,4,FIND("~",SUBSTITUTE($AT173,"-","~",2))-4))</f>
        <v/>
      </c>
      <c r="AV173">
        <f>IF($AT173="","",MID($AT173,FIND("~",SUBSTITUTE($AT173,"-","~",2))+1,FIND("~",SUBSTITUTE($AT173,"-","~",3))-FIND("~",SUBSTITUTE($AT173,"-","~",2))-1))</f>
        <v/>
      </c>
      <c r="AW173">
        <f>IF($AU173="","",IFERROR(VLOOKUP($AU173,DECODE!$A$3:$C$8,3,FALSE),"?"))</f>
        <v/>
      </c>
      <c r="AX173">
        <f>IF($AV173="","",IFERROR(VLOOKUP($AU173&amp;"-"&amp;$AV173,DECODE!$E$3:$F$21,2,FALSE),"?"))</f>
        <v/>
      </c>
      <c r="AY173">
        <f>IF($AT173="","",IFERROR(VALUE(RIGHT($AT173,3)),""))</f>
        <v/>
      </c>
      <c r="AZ173">
        <f>IF($U173="","",IFERROR(IF(ISNUMBER($U173),$U173,DATEVALUE(TRIM($U173))),""))</f>
        <v/>
      </c>
      <c r="BA173">
        <f>IF($AZ173="","",IF(MONTH($AZ173)&gt;=12,"Cold Winter",IF(MONTH($AZ173)&gt;=10,"Post-Monsoon",IF(MONTH($AZ173)&gt;=6,"Hot Humid",IF(MONTH($AZ173)&gt;=3,"Hot Dry","Cold Winter")))))</f>
        <v/>
      </c>
      <c r="BB173">
        <f>IF($AU173="","",IFERROR(VLOOKUP($AU173,DECODE!$A$3:$C$8,2,FALSE),"?"))</f>
        <v/>
      </c>
      <c r="BC173">
        <f>IF($P173="","",UPPER(TRIM(LEFT($P173&amp;",",FIND(",",$P173&amp;",")-1))))</f>
        <v/>
      </c>
      <c r="BD173">
        <f>IF($BC173="","",MID($BC173,4,FIND("~",SUBSTITUTE($BC173,"-","~",2))-4))</f>
        <v/>
      </c>
      <c r="BE173">
        <f>IF($BC173="","",MID($BC173,FIND("~",SUBSTITUTE($BC173,"-","~",2))+1,FIND("~",SUBSTITUTE($BC173,"-","~",3))-FIND("~",SUBSTITUTE($BC173,"-","~",2))-1))</f>
        <v/>
      </c>
      <c r="BF173">
        <f>IF($BD173="","",IFERROR(VLOOKUP($BD173,DECODE!$A$3:$C$8,3,FALSE),"?"))</f>
        <v/>
      </c>
      <c r="BG173">
        <f>IF($BE173="","",IFERROR(VLOOKUP($BD173&amp;"-"&amp;$BE173,DECODE!$E$3:$F$21,2,FALSE),"?"))</f>
        <v/>
      </c>
      <c r="BH173">
        <f>IF($BC173="","",IFERROR(VALUE(RIGHT($BC173,3)),""))</f>
        <v/>
      </c>
      <c r="BI173">
        <f>IF($V173="","",IFERROR(IF(ISNUMBER($V173),$V173,DATEVALUE(TRIM($V173))),""))</f>
        <v/>
      </c>
      <c r="BJ173">
        <f>IF($BI173="","",IF(MONTH($BI173)&gt;=12,"Cold Winter",IF(MONTH($BI173)&gt;=10,"Post-Monsoon",IF(MONTH($BI173)&gt;=6,"Hot Humid",IF(MONTH($BI173)&gt;=3,"Hot Dry","Cold Winter")))))</f>
        <v/>
      </c>
      <c r="BK173">
        <f>IF($BD173="","",IFERROR(VLOOKUP($BD173,DECODE!$A$3:$C$8,2,FALSE),"?"))</f>
        <v/>
      </c>
      <c r="BL173">
        <f>IF($Q173="","",UPPER(TRIM(LEFT($Q173&amp;",",FIND(",",$Q173&amp;",")-1))))</f>
        <v/>
      </c>
      <c r="BM173">
        <f>IF($BL173="","",MID($BL173,4,FIND("~",SUBSTITUTE($BL173,"-","~",2))-4))</f>
        <v/>
      </c>
      <c r="BN173">
        <f>IF($BL173="","",MID($BL173,FIND("~",SUBSTITUTE($BL173,"-","~",2))+1,FIND("~",SUBSTITUTE($BL173,"-","~",3))-FIND("~",SUBSTITUTE($BL173,"-","~",2))-1))</f>
        <v/>
      </c>
      <c r="BO173">
        <f>IF($BM173="","",IFERROR(VLOOKUP($BM173,DECODE!$A$3:$C$8,3,FALSE),"?"))</f>
        <v/>
      </c>
      <c r="BP173">
        <f>IF($BN173="","",IFERROR(VLOOKUP($BM173&amp;"-"&amp;$BN173,DECODE!$E$3:$F$21,2,FALSE),"?"))</f>
        <v/>
      </c>
      <c r="BQ173">
        <f>IF($BL173="","",IFERROR(VALUE(RIGHT($BL173,3)),""))</f>
        <v/>
      </c>
      <c r="BR173">
        <f>IF($W173="","",IFERROR(IF(ISNUMBER($W173),$W173,DATEVALUE(TRIM($W173))),""))</f>
        <v/>
      </c>
      <c r="BS173">
        <f>IF($BR173="","",IF(MONTH($BR173)&gt;=12,"Cold Winter",IF(MONTH($BR173)&gt;=10,"Post-Monsoon",IF(MONTH($BR173)&gt;=6,"Hot Humid",IF(MONTH($BR173)&gt;=3,"Hot Dry","Cold Winter")))))</f>
        <v/>
      </c>
      <c r="BT173">
        <f>IF($BM173="","",IFERROR(VLOOKUP($BM173,DECODE!$A$3:$C$8,2,FALSE),"?"))</f>
        <v/>
      </c>
      <c r="BU173">
        <f>IF($R173="","",UPPER(TRIM(LEFT($R173&amp;",",FIND(",",$R173&amp;",")-1))))</f>
        <v/>
      </c>
      <c r="BV173">
        <f>IF($BU173="","",MID($BU173,4,FIND("~",SUBSTITUTE($BU173,"-","~",2))-4))</f>
        <v/>
      </c>
      <c r="BW173">
        <f>IF($BU173="","",MID($BU173,FIND("~",SUBSTITUTE($BU173,"-","~",2))+1,FIND("~",SUBSTITUTE($BU173,"-","~",3))-FIND("~",SUBSTITUTE($BU173,"-","~",2))-1))</f>
        <v/>
      </c>
      <c r="BX173">
        <f>IF($BV173="","",IFERROR(VLOOKUP($BV173,DECODE!$A$3:$C$8,3,FALSE),"?"))</f>
        <v/>
      </c>
      <c r="BY173">
        <f>IF($BW173="","",IFERROR(VLOOKUP($BV173&amp;"-"&amp;$BW173,DECODE!$E$3:$F$21,2,FALSE),"?"))</f>
        <v/>
      </c>
      <c r="BZ173">
        <f>IF($BU173="","",IFERROR(VALUE(RIGHT($BU173,3)),""))</f>
        <v/>
      </c>
      <c r="CA173">
        <f>IF($X173="","",IFERROR(IF(ISNUMBER($X173),$X173,DATEVALUE(TRIM($X173))),""))</f>
        <v/>
      </c>
      <c r="CB173">
        <f>IF($CA173="","",IF(MONTH($CA173)&gt;=12,"Cold Winter",IF(MONTH($CA173)&gt;=10,"Post-Monsoon",IF(MONTH($CA173)&gt;=6,"Hot Humid",IF(MONTH($CA173)&gt;=3,"Hot Dry","Cold Winter")))))</f>
        <v/>
      </c>
      <c r="CC173">
        <f>IF($BV173="","",IFERROR(VLOOKUP($BV173,DECODE!$A$3:$C$8,2,FALSE),"?"))</f>
        <v/>
      </c>
      <c r="CD173">
        <f>IF($S173="","",UPPER(TRIM(LEFT($S173&amp;",",FIND(",",$S173&amp;",")-1))))</f>
        <v/>
      </c>
      <c r="CE173">
        <f>IF($CD173="","",MID($CD173,4,FIND("~",SUBSTITUTE($CD173,"-","~",2))-4))</f>
        <v/>
      </c>
      <c r="CF173">
        <f>IF($CD173="","",MID($CD173,FIND("~",SUBSTITUTE($CD173,"-","~",2))+1,FIND("~",SUBSTITUTE($CD173,"-","~",3))-FIND("~",SUBSTITUTE($CD173,"-","~",2))-1))</f>
        <v/>
      </c>
      <c r="CG173">
        <f>IF($CE173="","",IFERROR(VLOOKUP($CE173,DECODE!$A$3:$C$8,3,FALSE),"?"))</f>
        <v/>
      </c>
      <c r="CH173">
        <f>IF($CF173="","",IFERROR(VLOOKUP($CE173&amp;"-"&amp;$CF173,DECODE!$E$3:$F$21,2,FALSE),"?"))</f>
        <v/>
      </c>
      <c r="CI173">
        <f>IF($CD173="","",IFERROR(VALUE(RIGHT($CD173,3)),""))</f>
        <v/>
      </c>
      <c r="CJ173">
        <f>IF($Y173="","",IFERROR(IF(ISNUMBER($Y173),$Y173,DATEVALUE(TRIM($Y173))),""))</f>
        <v/>
      </c>
      <c r="CK173">
        <f>IF($CJ173="","",IF(MONTH($CJ173)&gt;=12,"Cold Winter",IF(MONTH($CJ173)&gt;=10,"Post-Monsoon",IF(MONTH($CJ173)&gt;=6,"Hot Humid",IF(MONTH($CJ173)&gt;=3,"Hot Dry","Cold Winter")))))</f>
        <v/>
      </c>
      <c r="CL173">
        <f>IF($CE173="","",IFERROR(VLOOKUP($CE173,DECODE!$A$3:$C$8,2,FALSE),"?"))</f>
        <v/>
      </c>
      <c r="CM173">
        <f>IF($AN173="","",AN173)</f>
        <v/>
      </c>
      <c r="CN173">
        <f>IF($AO173="","",AO173)</f>
        <v/>
      </c>
      <c r="CO173">
        <f>IF($AP173="","",AP173)</f>
        <v/>
      </c>
      <c r="CP173">
        <f>IF($CM173="","",IF($CM173="Aloe Vera Gel","Aloe Vera Gel "&amp;$CO173&amp;"g",CN173&amp;" "&amp;$CO173&amp;"g"))</f>
        <v/>
      </c>
      <c r="CQ173">
        <f>IF($AT173="",0,1)</f>
        <v/>
      </c>
      <c r="CR173">
        <f>IF($CQ173=0,"",AW173)</f>
        <v/>
      </c>
      <c r="CS173">
        <f>IF($CQ173=0,"",AX173)</f>
        <v/>
      </c>
      <c r="CT173">
        <f>IF($CQ173=0,"",AY173)</f>
        <v/>
      </c>
      <c r="CU173">
        <f>IF($CR173="","",IF($CR173="Aloe Vera Gel","Aloe Vera Gel "&amp;$CT173&amp;"g",CS173&amp;" "&amp;$CT173&amp;"g"))</f>
        <v/>
      </c>
      <c r="CV173">
        <f>IF($CQ173=0,"",IF($CP173=$CU173,"Repeat Exact",IF($CT173&gt;$CO173,"Upsized",IF($CT173&lt;$CO173,"Downsized",IF($CM173&lt;&gt;$CR173,"Lateral","Same Size Diff Variant")))))</f>
        <v/>
      </c>
      <c r="CW173">
        <f>IF($CQ173=0,"",AZ173-AQ173)</f>
        <v/>
      </c>
      <c r="CX173">
        <f>IF($CQ173=0,0,IF(CS173=CN173,1,0))</f>
        <v/>
      </c>
      <c r="CY173">
        <f>IF($CQ173=0,0,IF(CR173=CM173,1,0))</f>
        <v/>
      </c>
      <c r="CZ173">
        <f>IF($A173="","",IF(AND(IF(DASHBOARD!$C$4="All",TRUE,$CM173=DASHBOARD!$C$4),IF(DASHBOARD!$C$6="All",TRUE,$CP173=DASHBOARD!$C$6),IF(DASHBOARD!$C$8="All",TRUE,$AF173&gt;=DASHBOARD!$C$8),IF(DASHBOARD!$C$10="All",TRUE,$AF173&lt;=DASHBOARD!$C$10),IF(DASHBOARD!$C$12="All",TRUE,$AH173=VALUE(DASHBOARD!$C$12)),IF(DASHBOARD!$C$14="All",TRUE,$AJ173=DASHBOARD!$C$14)),1,0))</f>
        <v/>
      </c>
    </row>
    <row r="174">
      <c r="A174" t="n">
        <v>122019</v>
      </c>
      <c r="B174" t="inlineStr">
        <is>
          <t>Face Malai</t>
        </is>
      </c>
      <c r="H174" t="inlineStr">
        <is>
          <t>Tomato Vetiver (Hot Humid) 20 - 35 Yrs Face Malai</t>
        </is>
      </c>
      <c r="N174" t="inlineStr">
        <is>
          <t>FC-HHDM-TV-030</t>
        </is>
      </c>
      <c r="T174" t="inlineStr">
        <is>
          <t>Nov 27, 2025</t>
        </is>
      </c>
      <c r="AE174" t="inlineStr">
        <is>
          <t>Moradabad</t>
        </is>
      </c>
      <c r="AF174" t="inlineStr">
        <is>
          <t>2025-11</t>
        </is>
      </c>
      <c r="AG174" t="n">
        <v>11</v>
      </c>
      <c r="AH174" t="n">
        <v>1</v>
      </c>
      <c r="AI174" t="n">
        <v>0</v>
      </c>
      <c r="AJ174">
        <f>IF($AE174="","",IFERROR(VLOOKUP(TRIM($AE174),DECODE!$H$3:$I$60,2,FALSE),"Rest of India"))</f>
        <v/>
      </c>
      <c r="AK174">
        <f>IF($N174="","",UPPER(TRIM(LEFT($N174&amp;",",FIND(",",$N174&amp;",")-1))))</f>
        <v/>
      </c>
      <c r="AL174">
        <f>IF($AK174="","",MID($AK174,4,FIND("~",SUBSTITUTE($AK174,"-","~",2))-4))</f>
        <v/>
      </c>
      <c r="AM174">
        <f>IF($AK174="","",MID($AK174,FIND("~",SUBSTITUTE($AK174,"-","~",2))+1,FIND("~",SUBSTITUTE($AK174,"-","~",3))-FIND("~",SUBSTITUTE($AK174,"-","~",2))-1))</f>
        <v/>
      </c>
      <c r="AN174">
        <f>IF($AL174="","",IFERROR(VLOOKUP($AL174,DECODE!$A$3:$C$8,3,FALSE),"?"))</f>
        <v/>
      </c>
      <c r="AO174">
        <f>IF($AM174="","",IFERROR(VLOOKUP($AL174&amp;"-"&amp;$AM174,DECODE!$E$3:$F$21,2,FALSE),"?"))</f>
        <v/>
      </c>
      <c r="AP174">
        <f>IF($AK174="","",IFERROR(VALUE(RIGHT($AK174,3)),""))</f>
        <v/>
      </c>
      <c r="AQ174">
        <f>IF($T174="","",IFERROR(IF(ISNUMBER($T174),$T174,DATEVALUE(TRIM($T174))),""))</f>
        <v/>
      </c>
      <c r="AR174">
        <f>IF($AQ174="","",IF(MONTH($AQ174)&gt;=12,"Cold Winter",IF(MONTH($AQ174)&gt;=10,"Post-Monsoon",IF(MONTH($AQ174)&gt;=6,"Hot Humid",IF(MONTH($AQ174)&gt;=3,"Hot Dry","Cold Winter")))))</f>
        <v/>
      </c>
      <c r="AS174">
        <f>IF($AL174="","",IFERROR(VLOOKUP($AL174,DECODE!$A$3:$C$8,2,FALSE),"?"))</f>
        <v/>
      </c>
      <c r="AT174">
        <f>IF($O174="","",UPPER(TRIM(LEFT($O174&amp;",",FIND(",",$O174&amp;",")-1))))</f>
        <v/>
      </c>
      <c r="AU174">
        <f>IF($AT174="","",MID($AT174,4,FIND("~",SUBSTITUTE($AT174,"-","~",2))-4))</f>
        <v/>
      </c>
      <c r="AV174">
        <f>IF($AT174="","",MID($AT174,FIND("~",SUBSTITUTE($AT174,"-","~",2))+1,FIND("~",SUBSTITUTE($AT174,"-","~",3))-FIND("~",SUBSTITUTE($AT174,"-","~",2))-1))</f>
        <v/>
      </c>
      <c r="AW174">
        <f>IF($AU174="","",IFERROR(VLOOKUP($AU174,DECODE!$A$3:$C$8,3,FALSE),"?"))</f>
        <v/>
      </c>
      <c r="AX174">
        <f>IF($AV174="","",IFERROR(VLOOKUP($AU174&amp;"-"&amp;$AV174,DECODE!$E$3:$F$21,2,FALSE),"?"))</f>
        <v/>
      </c>
      <c r="AY174">
        <f>IF($AT174="","",IFERROR(VALUE(RIGHT($AT174,3)),""))</f>
        <v/>
      </c>
      <c r="AZ174">
        <f>IF($U174="","",IFERROR(IF(ISNUMBER($U174),$U174,DATEVALUE(TRIM($U174))),""))</f>
        <v/>
      </c>
      <c r="BA174">
        <f>IF($AZ174="","",IF(MONTH($AZ174)&gt;=12,"Cold Winter",IF(MONTH($AZ174)&gt;=10,"Post-Monsoon",IF(MONTH($AZ174)&gt;=6,"Hot Humid",IF(MONTH($AZ174)&gt;=3,"Hot Dry","Cold Winter")))))</f>
        <v/>
      </c>
      <c r="BB174">
        <f>IF($AU174="","",IFERROR(VLOOKUP($AU174,DECODE!$A$3:$C$8,2,FALSE),"?"))</f>
        <v/>
      </c>
      <c r="BC174">
        <f>IF($P174="","",UPPER(TRIM(LEFT($P174&amp;",",FIND(",",$P174&amp;",")-1))))</f>
        <v/>
      </c>
      <c r="BD174">
        <f>IF($BC174="","",MID($BC174,4,FIND("~",SUBSTITUTE($BC174,"-","~",2))-4))</f>
        <v/>
      </c>
      <c r="BE174">
        <f>IF($BC174="","",MID($BC174,FIND("~",SUBSTITUTE($BC174,"-","~",2))+1,FIND("~",SUBSTITUTE($BC174,"-","~",3))-FIND("~",SUBSTITUTE($BC174,"-","~",2))-1))</f>
        <v/>
      </c>
      <c r="BF174">
        <f>IF($BD174="","",IFERROR(VLOOKUP($BD174,DECODE!$A$3:$C$8,3,FALSE),"?"))</f>
        <v/>
      </c>
      <c r="BG174">
        <f>IF($BE174="","",IFERROR(VLOOKUP($BD174&amp;"-"&amp;$BE174,DECODE!$E$3:$F$21,2,FALSE),"?"))</f>
        <v/>
      </c>
      <c r="BH174">
        <f>IF($BC174="","",IFERROR(VALUE(RIGHT($BC174,3)),""))</f>
        <v/>
      </c>
      <c r="BI174">
        <f>IF($V174="","",IFERROR(IF(ISNUMBER($V174),$V174,DATEVALUE(TRIM($V174))),""))</f>
        <v/>
      </c>
      <c r="BJ174">
        <f>IF($BI174="","",IF(MONTH($BI174)&gt;=12,"Cold Winter",IF(MONTH($BI174)&gt;=10,"Post-Monsoon",IF(MONTH($BI174)&gt;=6,"Hot Humid",IF(MONTH($BI174)&gt;=3,"Hot Dry","Cold Winter")))))</f>
        <v/>
      </c>
      <c r="BK174">
        <f>IF($BD174="","",IFERROR(VLOOKUP($BD174,DECODE!$A$3:$C$8,2,FALSE),"?"))</f>
        <v/>
      </c>
      <c r="BL174">
        <f>IF($Q174="","",UPPER(TRIM(LEFT($Q174&amp;",",FIND(",",$Q174&amp;",")-1))))</f>
        <v/>
      </c>
      <c r="BM174">
        <f>IF($BL174="","",MID($BL174,4,FIND("~",SUBSTITUTE($BL174,"-","~",2))-4))</f>
        <v/>
      </c>
      <c r="BN174">
        <f>IF($BL174="","",MID($BL174,FIND("~",SUBSTITUTE($BL174,"-","~",2))+1,FIND("~",SUBSTITUTE($BL174,"-","~",3))-FIND("~",SUBSTITUTE($BL174,"-","~",2))-1))</f>
        <v/>
      </c>
      <c r="BO174">
        <f>IF($BM174="","",IFERROR(VLOOKUP($BM174,DECODE!$A$3:$C$8,3,FALSE),"?"))</f>
        <v/>
      </c>
      <c r="BP174">
        <f>IF($BN174="","",IFERROR(VLOOKUP($BM174&amp;"-"&amp;$BN174,DECODE!$E$3:$F$21,2,FALSE),"?"))</f>
        <v/>
      </c>
      <c r="BQ174">
        <f>IF($BL174="","",IFERROR(VALUE(RIGHT($BL174,3)),""))</f>
        <v/>
      </c>
      <c r="BR174">
        <f>IF($W174="","",IFERROR(IF(ISNUMBER($W174),$W174,DATEVALUE(TRIM($W174))),""))</f>
        <v/>
      </c>
      <c r="BS174">
        <f>IF($BR174="","",IF(MONTH($BR174)&gt;=12,"Cold Winter",IF(MONTH($BR174)&gt;=10,"Post-Monsoon",IF(MONTH($BR174)&gt;=6,"Hot Humid",IF(MONTH($BR174)&gt;=3,"Hot Dry","Cold Winter")))))</f>
        <v/>
      </c>
      <c r="BT174">
        <f>IF($BM174="","",IFERROR(VLOOKUP($BM174,DECODE!$A$3:$C$8,2,FALSE),"?"))</f>
        <v/>
      </c>
      <c r="BU174">
        <f>IF($R174="","",UPPER(TRIM(LEFT($R174&amp;",",FIND(",",$R174&amp;",")-1))))</f>
        <v/>
      </c>
      <c r="BV174">
        <f>IF($BU174="","",MID($BU174,4,FIND("~",SUBSTITUTE($BU174,"-","~",2))-4))</f>
        <v/>
      </c>
      <c r="BW174">
        <f>IF($BU174="","",MID($BU174,FIND("~",SUBSTITUTE($BU174,"-","~",2))+1,FIND("~",SUBSTITUTE($BU174,"-","~",3))-FIND("~",SUBSTITUTE($BU174,"-","~",2))-1))</f>
        <v/>
      </c>
      <c r="BX174">
        <f>IF($BV174="","",IFERROR(VLOOKUP($BV174,DECODE!$A$3:$C$8,3,FALSE),"?"))</f>
        <v/>
      </c>
      <c r="BY174">
        <f>IF($BW174="","",IFERROR(VLOOKUP($BV174&amp;"-"&amp;$BW174,DECODE!$E$3:$F$21,2,FALSE),"?"))</f>
        <v/>
      </c>
      <c r="BZ174">
        <f>IF($BU174="","",IFERROR(VALUE(RIGHT($BU174,3)),""))</f>
        <v/>
      </c>
      <c r="CA174">
        <f>IF($X174="","",IFERROR(IF(ISNUMBER($X174),$X174,DATEVALUE(TRIM($X174))),""))</f>
        <v/>
      </c>
      <c r="CB174">
        <f>IF($CA174="","",IF(MONTH($CA174)&gt;=12,"Cold Winter",IF(MONTH($CA174)&gt;=10,"Post-Monsoon",IF(MONTH($CA174)&gt;=6,"Hot Humid",IF(MONTH($CA174)&gt;=3,"Hot Dry","Cold Winter")))))</f>
        <v/>
      </c>
      <c r="CC174">
        <f>IF($BV174="","",IFERROR(VLOOKUP($BV174,DECODE!$A$3:$C$8,2,FALSE),"?"))</f>
        <v/>
      </c>
      <c r="CD174">
        <f>IF($S174="","",UPPER(TRIM(LEFT($S174&amp;",",FIND(",",$S174&amp;",")-1))))</f>
        <v/>
      </c>
      <c r="CE174">
        <f>IF($CD174="","",MID($CD174,4,FIND("~",SUBSTITUTE($CD174,"-","~",2))-4))</f>
        <v/>
      </c>
      <c r="CF174">
        <f>IF($CD174="","",MID($CD174,FIND("~",SUBSTITUTE($CD174,"-","~",2))+1,FIND("~",SUBSTITUTE($CD174,"-","~",3))-FIND("~",SUBSTITUTE($CD174,"-","~",2))-1))</f>
        <v/>
      </c>
      <c r="CG174">
        <f>IF($CE174="","",IFERROR(VLOOKUP($CE174,DECODE!$A$3:$C$8,3,FALSE),"?"))</f>
        <v/>
      </c>
      <c r="CH174">
        <f>IF($CF174="","",IFERROR(VLOOKUP($CE174&amp;"-"&amp;$CF174,DECODE!$E$3:$F$21,2,FALSE),"?"))</f>
        <v/>
      </c>
      <c r="CI174">
        <f>IF($CD174="","",IFERROR(VALUE(RIGHT($CD174,3)),""))</f>
        <v/>
      </c>
      <c r="CJ174">
        <f>IF($Y174="","",IFERROR(IF(ISNUMBER($Y174),$Y174,DATEVALUE(TRIM($Y174))),""))</f>
        <v/>
      </c>
      <c r="CK174">
        <f>IF($CJ174="","",IF(MONTH($CJ174)&gt;=12,"Cold Winter",IF(MONTH($CJ174)&gt;=10,"Post-Monsoon",IF(MONTH($CJ174)&gt;=6,"Hot Humid",IF(MONTH($CJ174)&gt;=3,"Hot Dry","Cold Winter")))))</f>
        <v/>
      </c>
      <c r="CL174">
        <f>IF($CE174="","",IFERROR(VLOOKUP($CE174,DECODE!$A$3:$C$8,2,FALSE),"?"))</f>
        <v/>
      </c>
      <c r="CM174">
        <f>IF($AN174="","",AN174)</f>
        <v/>
      </c>
      <c r="CN174">
        <f>IF($AO174="","",AO174)</f>
        <v/>
      </c>
      <c r="CO174">
        <f>IF($AP174="","",AP174)</f>
        <v/>
      </c>
      <c r="CP174">
        <f>IF($CM174="","",IF($CM174="Aloe Vera Gel","Aloe Vera Gel "&amp;$CO174&amp;"g",CN174&amp;" "&amp;$CO174&amp;"g"))</f>
        <v/>
      </c>
      <c r="CQ174">
        <f>IF($AT174="",0,1)</f>
        <v/>
      </c>
      <c r="CR174">
        <f>IF($CQ174=0,"",AW174)</f>
        <v/>
      </c>
      <c r="CS174">
        <f>IF($CQ174=0,"",AX174)</f>
        <v/>
      </c>
      <c r="CT174">
        <f>IF($CQ174=0,"",AY174)</f>
        <v/>
      </c>
      <c r="CU174">
        <f>IF($CR174="","",IF($CR174="Aloe Vera Gel","Aloe Vera Gel "&amp;$CT174&amp;"g",CS174&amp;" "&amp;$CT174&amp;"g"))</f>
        <v/>
      </c>
      <c r="CV174">
        <f>IF($CQ174=0,"",IF($CP174=$CU174,"Repeat Exact",IF($CT174&gt;$CO174,"Upsized",IF($CT174&lt;$CO174,"Downsized",IF($CM174&lt;&gt;$CR174,"Lateral","Same Size Diff Variant")))))</f>
        <v/>
      </c>
      <c r="CW174">
        <f>IF($CQ174=0,"",AZ174-AQ174)</f>
        <v/>
      </c>
      <c r="CX174">
        <f>IF($CQ174=0,0,IF(CS174=CN174,1,0))</f>
        <v/>
      </c>
      <c r="CY174">
        <f>IF($CQ174=0,0,IF(CR174=CM174,1,0))</f>
        <v/>
      </c>
      <c r="CZ174">
        <f>IF($A174="","",IF(AND(IF(DASHBOARD!$C$4="All",TRUE,$CM174=DASHBOARD!$C$4),IF(DASHBOARD!$C$6="All",TRUE,$CP174=DASHBOARD!$C$6),IF(DASHBOARD!$C$8="All",TRUE,$AF174&gt;=DASHBOARD!$C$8),IF(DASHBOARD!$C$10="All",TRUE,$AF174&lt;=DASHBOARD!$C$10),IF(DASHBOARD!$C$12="All",TRUE,$AH174=VALUE(DASHBOARD!$C$12)),IF(DASHBOARD!$C$14="All",TRUE,$AJ174=DASHBOARD!$C$14)),1,0))</f>
        <v/>
      </c>
    </row>
    <row r="175">
      <c r="A175" t="n">
        <v>122240</v>
      </c>
      <c r="B175" t="inlineStr">
        <is>
          <t>Face Malai</t>
        </is>
      </c>
      <c r="H175" t="inlineStr">
        <is>
          <t>Pomegranate Tulsi (Hot Dry) 13 - 19 Yrs Face Malai</t>
        </is>
      </c>
      <c r="N175" t="inlineStr">
        <is>
          <t>FC-HDDM-PT-030</t>
        </is>
      </c>
      <c r="T175" t="inlineStr">
        <is>
          <t>Mar 2, 2024</t>
        </is>
      </c>
      <c r="AE175" t="inlineStr">
        <is>
          <t>Mumbai</t>
        </is>
      </c>
      <c r="AF175" t="inlineStr">
        <is>
          <t>2024-03</t>
        </is>
      </c>
      <c r="AG175" t="n">
        <v>3</v>
      </c>
      <c r="AH175" t="n">
        <v>1</v>
      </c>
      <c r="AI175" t="n">
        <v>0</v>
      </c>
      <c r="AJ175">
        <f>IF($AE175="","",IFERROR(VLOOKUP(TRIM($AE175),DECODE!$H$3:$I$60,2,FALSE),"Rest of India"))</f>
        <v/>
      </c>
      <c r="AK175">
        <f>IF($N175="","",UPPER(TRIM(LEFT($N175&amp;",",FIND(",",$N175&amp;",")-1))))</f>
        <v/>
      </c>
      <c r="AL175">
        <f>IF($AK175="","",MID($AK175,4,FIND("~",SUBSTITUTE($AK175,"-","~",2))-4))</f>
        <v/>
      </c>
      <c r="AM175">
        <f>IF($AK175="","",MID($AK175,FIND("~",SUBSTITUTE($AK175,"-","~",2))+1,FIND("~",SUBSTITUTE($AK175,"-","~",3))-FIND("~",SUBSTITUTE($AK175,"-","~",2))-1))</f>
        <v/>
      </c>
      <c r="AN175">
        <f>IF($AL175="","",IFERROR(VLOOKUP($AL175,DECODE!$A$3:$C$8,3,FALSE),"?"))</f>
        <v/>
      </c>
      <c r="AO175">
        <f>IF($AM175="","",IFERROR(VLOOKUP($AL175&amp;"-"&amp;$AM175,DECODE!$E$3:$F$21,2,FALSE),"?"))</f>
        <v/>
      </c>
      <c r="AP175">
        <f>IF($AK175="","",IFERROR(VALUE(RIGHT($AK175,3)),""))</f>
        <v/>
      </c>
      <c r="AQ175">
        <f>IF($T175="","",IFERROR(IF(ISNUMBER($T175),$T175,DATEVALUE(TRIM($T175))),""))</f>
        <v/>
      </c>
      <c r="AR175">
        <f>IF($AQ175="","",IF(MONTH($AQ175)&gt;=12,"Cold Winter",IF(MONTH($AQ175)&gt;=10,"Post-Monsoon",IF(MONTH($AQ175)&gt;=6,"Hot Humid",IF(MONTH($AQ175)&gt;=3,"Hot Dry","Cold Winter")))))</f>
        <v/>
      </c>
      <c r="AS175">
        <f>IF($AL175="","",IFERROR(VLOOKUP($AL175,DECODE!$A$3:$C$8,2,FALSE),"?"))</f>
        <v/>
      </c>
      <c r="AT175">
        <f>IF($O175="","",UPPER(TRIM(LEFT($O175&amp;",",FIND(",",$O175&amp;",")-1))))</f>
        <v/>
      </c>
      <c r="AU175">
        <f>IF($AT175="","",MID($AT175,4,FIND("~",SUBSTITUTE($AT175,"-","~",2))-4))</f>
        <v/>
      </c>
      <c r="AV175">
        <f>IF($AT175="","",MID($AT175,FIND("~",SUBSTITUTE($AT175,"-","~",2))+1,FIND("~",SUBSTITUTE($AT175,"-","~",3))-FIND("~",SUBSTITUTE($AT175,"-","~",2))-1))</f>
        <v/>
      </c>
      <c r="AW175">
        <f>IF($AU175="","",IFERROR(VLOOKUP($AU175,DECODE!$A$3:$C$8,3,FALSE),"?"))</f>
        <v/>
      </c>
      <c r="AX175">
        <f>IF($AV175="","",IFERROR(VLOOKUP($AU175&amp;"-"&amp;$AV175,DECODE!$E$3:$F$21,2,FALSE),"?"))</f>
        <v/>
      </c>
      <c r="AY175">
        <f>IF($AT175="","",IFERROR(VALUE(RIGHT($AT175,3)),""))</f>
        <v/>
      </c>
      <c r="AZ175">
        <f>IF($U175="","",IFERROR(IF(ISNUMBER($U175),$U175,DATEVALUE(TRIM($U175))),""))</f>
        <v/>
      </c>
      <c r="BA175">
        <f>IF($AZ175="","",IF(MONTH($AZ175)&gt;=12,"Cold Winter",IF(MONTH($AZ175)&gt;=10,"Post-Monsoon",IF(MONTH($AZ175)&gt;=6,"Hot Humid",IF(MONTH($AZ175)&gt;=3,"Hot Dry","Cold Winter")))))</f>
        <v/>
      </c>
      <c r="BB175">
        <f>IF($AU175="","",IFERROR(VLOOKUP($AU175,DECODE!$A$3:$C$8,2,FALSE),"?"))</f>
        <v/>
      </c>
      <c r="BC175">
        <f>IF($P175="","",UPPER(TRIM(LEFT($P175&amp;",",FIND(",",$P175&amp;",")-1))))</f>
        <v/>
      </c>
      <c r="BD175">
        <f>IF($BC175="","",MID($BC175,4,FIND("~",SUBSTITUTE($BC175,"-","~",2))-4))</f>
        <v/>
      </c>
      <c r="BE175">
        <f>IF($BC175="","",MID($BC175,FIND("~",SUBSTITUTE($BC175,"-","~",2))+1,FIND("~",SUBSTITUTE($BC175,"-","~",3))-FIND("~",SUBSTITUTE($BC175,"-","~",2))-1))</f>
        <v/>
      </c>
      <c r="BF175">
        <f>IF($BD175="","",IFERROR(VLOOKUP($BD175,DECODE!$A$3:$C$8,3,FALSE),"?"))</f>
        <v/>
      </c>
      <c r="BG175">
        <f>IF($BE175="","",IFERROR(VLOOKUP($BD175&amp;"-"&amp;$BE175,DECODE!$E$3:$F$21,2,FALSE),"?"))</f>
        <v/>
      </c>
      <c r="BH175">
        <f>IF($BC175="","",IFERROR(VALUE(RIGHT($BC175,3)),""))</f>
        <v/>
      </c>
      <c r="BI175">
        <f>IF($V175="","",IFERROR(IF(ISNUMBER($V175),$V175,DATEVALUE(TRIM($V175))),""))</f>
        <v/>
      </c>
      <c r="BJ175">
        <f>IF($BI175="","",IF(MONTH($BI175)&gt;=12,"Cold Winter",IF(MONTH($BI175)&gt;=10,"Post-Monsoon",IF(MONTH($BI175)&gt;=6,"Hot Humid",IF(MONTH($BI175)&gt;=3,"Hot Dry","Cold Winter")))))</f>
        <v/>
      </c>
      <c r="BK175">
        <f>IF($BD175="","",IFERROR(VLOOKUP($BD175,DECODE!$A$3:$C$8,2,FALSE),"?"))</f>
        <v/>
      </c>
      <c r="BL175">
        <f>IF($Q175="","",UPPER(TRIM(LEFT($Q175&amp;",",FIND(",",$Q175&amp;",")-1))))</f>
        <v/>
      </c>
      <c r="BM175">
        <f>IF($BL175="","",MID($BL175,4,FIND("~",SUBSTITUTE($BL175,"-","~",2))-4))</f>
        <v/>
      </c>
      <c r="BN175">
        <f>IF($BL175="","",MID($BL175,FIND("~",SUBSTITUTE($BL175,"-","~",2))+1,FIND("~",SUBSTITUTE($BL175,"-","~",3))-FIND("~",SUBSTITUTE($BL175,"-","~",2))-1))</f>
        <v/>
      </c>
      <c r="BO175">
        <f>IF($BM175="","",IFERROR(VLOOKUP($BM175,DECODE!$A$3:$C$8,3,FALSE),"?"))</f>
        <v/>
      </c>
      <c r="BP175">
        <f>IF($BN175="","",IFERROR(VLOOKUP($BM175&amp;"-"&amp;$BN175,DECODE!$E$3:$F$21,2,FALSE),"?"))</f>
        <v/>
      </c>
      <c r="BQ175">
        <f>IF($BL175="","",IFERROR(VALUE(RIGHT($BL175,3)),""))</f>
        <v/>
      </c>
      <c r="BR175">
        <f>IF($W175="","",IFERROR(IF(ISNUMBER($W175),$W175,DATEVALUE(TRIM($W175))),""))</f>
        <v/>
      </c>
      <c r="BS175">
        <f>IF($BR175="","",IF(MONTH($BR175)&gt;=12,"Cold Winter",IF(MONTH($BR175)&gt;=10,"Post-Monsoon",IF(MONTH($BR175)&gt;=6,"Hot Humid",IF(MONTH($BR175)&gt;=3,"Hot Dry","Cold Winter")))))</f>
        <v/>
      </c>
      <c r="BT175">
        <f>IF($BM175="","",IFERROR(VLOOKUP($BM175,DECODE!$A$3:$C$8,2,FALSE),"?"))</f>
        <v/>
      </c>
      <c r="BU175">
        <f>IF($R175="","",UPPER(TRIM(LEFT($R175&amp;",",FIND(",",$R175&amp;",")-1))))</f>
        <v/>
      </c>
      <c r="BV175">
        <f>IF($BU175="","",MID($BU175,4,FIND("~",SUBSTITUTE($BU175,"-","~",2))-4))</f>
        <v/>
      </c>
      <c r="BW175">
        <f>IF($BU175="","",MID($BU175,FIND("~",SUBSTITUTE($BU175,"-","~",2))+1,FIND("~",SUBSTITUTE($BU175,"-","~",3))-FIND("~",SUBSTITUTE($BU175,"-","~",2))-1))</f>
        <v/>
      </c>
      <c r="BX175">
        <f>IF($BV175="","",IFERROR(VLOOKUP($BV175,DECODE!$A$3:$C$8,3,FALSE),"?"))</f>
        <v/>
      </c>
      <c r="BY175">
        <f>IF($BW175="","",IFERROR(VLOOKUP($BV175&amp;"-"&amp;$BW175,DECODE!$E$3:$F$21,2,FALSE),"?"))</f>
        <v/>
      </c>
      <c r="BZ175">
        <f>IF($BU175="","",IFERROR(VALUE(RIGHT($BU175,3)),""))</f>
        <v/>
      </c>
      <c r="CA175">
        <f>IF($X175="","",IFERROR(IF(ISNUMBER($X175),$X175,DATEVALUE(TRIM($X175))),""))</f>
        <v/>
      </c>
      <c r="CB175">
        <f>IF($CA175="","",IF(MONTH($CA175)&gt;=12,"Cold Winter",IF(MONTH($CA175)&gt;=10,"Post-Monsoon",IF(MONTH($CA175)&gt;=6,"Hot Humid",IF(MONTH($CA175)&gt;=3,"Hot Dry","Cold Winter")))))</f>
        <v/>
      </c>
      <c r="CC175">
        <f>IF($BV175="","",IFERROR(VLOOKUP($BV175,DECODE!$A$3:$C$8,2,FALSE),"?"))</f>
        <v/>
      </c>
      <c r="CD175">
        <f>IF($S175="","",UPPER(TRIM(LEFT($S175&amp;",",FIND(",",$S175&amp;",")-1))))</f>
        <v/>
      </c>
      <c r="CE175">
        <f>IF($CD175="","",MID($CD175,4,FIND("~",SUBSTITUTE($CD175,"-","~",2))-4))</f>
        <v/>
      </c>
      <c r="CF175">
        <f>IF($CD175="","",MID($CD175,FIND("~",SUBSTITUTE($CD175,"-","~",2))+1,FIND("~",SUBSTITUTE($CD175,"-","~",3))-FIND("~",SUBSTITUTE($CD175,"-","~",2))-1))</f>
        <v/>
      </c>
      <c r="CG175">
        <f>IF($CE175="","",IFERROR(VLOOKUP($CE175,DECODE!$A$3:$C$8,3,FALSE),"?"))</f>
        <v/>
      </c>
      <c r="CH175">
        <f>IF($CF175="","",IFERROR(VLOOKUP($CE175&amp;"-"&amp;$CF175,DECODE!$E$3:$F$21,2,FALSE),"?"))</f>
        <v/>
      </c>
      <c r="CI175">
        <f>IF($CD175="","",IFERROR(VALUE(RIGHT($CD175,3)),""))</f>
        <v/>
      </c>
      <c r="CJ175">
        <f>IF($Y175="","",IFERROR(IF(ISNUMBER($Y175),$Y175,DATEVALUE(TRIM($Y175))),""))</f>
        <v/>
      </c>
      <c r="CK175">
        <f>IF($CJ175="","",IF(MONTH($CJ175)&gt;=12,"Cold Winter",IF(MONTH($CJ175)&gt;=10,"Post-Monsoon",IF(MONTH($CJ175)&gt;=6,"Hot Humid",IF(MONTH($CJ175)&gt;=3,"Hot Dry","Cold Winter")))))</f>
        <v/>
      </c>
      <c r="CL175">
        <f>IF($CE175="","",IFERROR(VLOOKUP($CE175,DECODE!$A$3:$C$8,2,FALSE),"?"))</f>
        <v/>
      </c>
      <c r="CM175">
        <f>IF($AN175="","",AN175)</f>
        <v/>
      </c>
      <c r="CN175">
        <f>IF($AO175="","",AO175)</f>
        <v/>
      </c>
      <c r="CO175">
        <f>IF($AP175="","",AP175)</f>
        <v/>
      </c>
      <c r="CP175">
        <f>IF($CM175="","",IF($CM175="Aloe Vera Gel","Aloe Vera Gel "&amp;$CO175&amp;"g",CN175&amp;" "&amp;$CO175&amp;"g"))</f>
        <v/>
      </c>
      <c r="CQ175">
        <f>IF($AT175="",0,1)</f>
        <v/>
      </c>
      <c r="CR175">
        <f>IF($CQ175=0,"",AW175)</f>
        <v/>
      </c>
      <c r="CS175">
        <f>IF($CQ175=0,"",AX175)</f>
        <v/>
      </c>
      <c r="CT175">
        <f>IF($CQ175=0,"",AY175)</f>
        <v/>
      </c>
      <c r="CU175">
        <f>IF($CR175="","",IF($CR175="Aloe Vera Gel","Aloe Vera Gel "&amp;$CT175&amp;"g",CS175&amp;" "&amp;$CT175&amp;"g"))</f>
        <v/>
      </c>
      <c r="CV175">
        <f>IF($CQ175=0,"",IF($CP175=$CU175,"Repeat Exact",IF($CT175&gt;$CO175,"Upsized",IF($CT175&lt;$CO175,"Downsized",IF($CM175&lt;&gt;$CR175,"Lateral","Same Size Diff Variant")))))</f>
        <v/>
      </c>
      <c r="CW175">
        <f>IF($CQ175=0,"",AZ175-AQ175)</f>
        <v/>
      </c>
      <c r="CX175">
        <f>IF($CQ175=0,0,IF(CS175=CN175,1,0))</f>
        <v/>
      </c>
      <c r="CY175">
        <f>IF($CQ175=0,0,IF(CR175=CM175,1,0))</f>
        <v/>
      </c>
      <c r="CZ175">
        <f>IF($A175="","",IF(AND(IF(DASHBOARD!$C$4="All",TRUE,$CM175=DASHBOARD!$C$4),IF(DASHBOARD!$C$6="All",TRUE,$CP175=DASHBOARD!$C$6),IF(DASHBOARD!$C$8="All",TRUE,$AF175&gt;=DASHBOARD!$C$8),IF(DASHBOARD!$C$10="All",TRUE,$AF175&lt;=DASHBOARD!$C$10),IF(DASHBOARD!$C$12="All",TRUE,$AH175=VALUE(DASHBOARD!$C$12)),IF(DASHBOARD!$C$14="All",TRUE,$AJ175=DASHBOARD!$C$14)),1,0))</f>
        <v/>
      </c>
    </row>
    <row r="176">
      <c r="A176" t="n">
        <v>122448</v>
      </c>
      <c r="B176" t="inlineStr">
        <is>
          <t>Active Gel, Face Malai</t>
        </is>
      </c>
      <c r="H176" t="inlineStr">
        <is>
          <t>Turmeric Nutmeg (Pigmentation)  Face Malai - 30g, Active Orange Kiwi Vit-C Gel</t>
        </is>
      </c>
      <c r="N176" t="inlineStr">
        <is>
          <t>FC-DM-PG-030, FC-AC-OK-050</t>
        </is>
      </c>
      <c r="T176" t="inlineStr">
        <is>
          <t>Mar 9, 2025</t>
        </is>
      </c>
      <c r="AE176" t="inlineStr">
        <is>
          <t>Mumbai</t>
        </is>
      </c>
      <c r="AF176" t="inlineStr">
        <is>
          <t>2025-03</t>
        </is>
      </c>
      <c r="AG176" t="n">
        <v>3</v>
      </c>
      <c r="AH176" t="n">
        <v>1</v>
      </c>
      <c r="AI176" t="n">
        <v>0</v>
      </c>
      <c r="AJ176">
        <f>IF($AE176="","",IFERROR(VLOOKUP(TRIM($AE176),DECODE!$H$3:$I$60,2,FALSE),"Rest of India"))</f>
        <v/>
      </c>
      <c r="AK176">
        <f>IF($N176="","",UPPER(TRIM(LEFT($N176&amp;",",FIND(",",$N176&amp;",")-1))))</f>
        <v/>
      </c>
      <c r="AL176">
        <f>IF($AK176="","",MID($AK176,4,FIND("~",SUBSTITUTE($AK176,"-","~",2))-4))</f>
        <v/>
      </c>
      <c r="AM176">
        <f>IF($AK176="","",MID($AK176,FIND("~",SUBSTITUTE($AK176,"-","~",2))+1,FIND("~",SUBSTITUTE($AK176,"-","~",3))-FIND("~",SUBSTITUTE($AK176,"-","~",2))-1))</f>
        <v/>
      </c>
      <c r="AN176">
        <f>IF($AL176="","",IFERROR(VLOOKUP($AL176,DECODE!$A$3:$C$8,3,FALSE),"?"))</f>
        <v/>
      </c>
      <c r="AO176">
        <f>IF($AM176="","",IFERROR(VLOOKUP($AL176&amp;"-"&amp;$AM176,DECODE!$E$3:$F$21,2,FALSE),"?"))</f>
        <v/>
      </c>
      <c r="AP176">
        <f>IF($AK176="","",IFERROR(VALUE(RIGHT($AK176,3)),""))</f>
        <v/>
      </c>
      <c r="AQ176">
        <f>IF($T176="","",IFERROR(IF(ISNUMBER($T176),$T176,DATEVALUE(TRIM($T176))),""))</f>
        <v/>
      </c>
      <c r="AR176">
        <f>IF($AQ176="","",IF(MONTH($AQ176)&gt;=12,"Cold Winter",IF(MONTH($AQ176)&gt;=10,"Post-Monsoon",IF(MONTH($AQ176)&gt;=6,"Hot Humid",IF(MONTH($AQ176)&gt;=3,"Hot Dry","Cold Winter")))))</f>
        <v/>
      </c>
      <c r="AS176">
        <f>IF($AL176="","",IFERROR(VLOOKUP($AL176,DECODE!$A$3:$C$8,2,FALSE),"?"))</f>
        <v/>
      </c>
      <c r="AT176">
        <f>IF($O176="","",UPPER(TRIM(LEFT($O176&amp;",",FIND(",",$O176&amp;",")-1))))</f>
        <v/>
      </c>
      <c r="AU176">
        <f>IF($AT176="","",MID($AT176,4,FIND("~",SUBSTITUTE($AT176,"-","~",2))-4))</f>
        <v/>
      </c>
      <c r="AV176">
        <f>IF($AT176="","",MID($AT176,FIND("~",SUBSTITUTE($AT176,"-","~",2))+1,FIND("~",SUBSTITUTE($AT176,"-","~",3))-FIND("~",SUBSTITUTE($AT176,"-","~",2))-1))</f>
        <v/>
      </c>
      <c r="AW176">
        <f>IF($AU176="","",IFERROR(VLOOKUP($AU176,DECODE!$A$3:$C$8,3,FALSE),"?"))</f>
        <v/>
      </c>
      <c r="AX176">
        <f>IF($AV176="","",IFERROR(VLOOKUP($AU176&amp;"-"&amp;$AV176,DECODE!$E$3:$F$21,2,FALSE),"?"))</f>
        <v/>
      </c>
      <c r="AY176">
        <f>IF($AT176="","",IFERROR(VALUE(RIGHT($AT176,3)),""))</f>
        <v/>
      </c>
      <c r="AZ176">
        <f>IF($U176="","",IFERROR(IF(ISNUMBER($U176),$U176,DATEVALUE(TRIM($U176))),""))</f>
        <v/>
      </c>
      <c r="BA176">
        <f>IF($AZ176="","",IF(MONTH($AZ176)&gt;=12,"Cold Winter",IF(MONTH($AZ176)&gt;=10,"Post-Monsoon",IF(MONTH($AZ176)&gt;=6,"Hot Humid",IF(MONTH($AZ176)&gt;=3,"Hot Dry","Cold Winter")))))</f>
        <v/>
      </c>
      <c r="BB176">
        <f>IF($AU176="","",IFERROR(VLOOKUP($AU176,DECODE!$A$3:$C$8,2,FALSE),"?"))</f>
        <v/>
      </c>
      <c r="BC176">
        <f>IF($P176="","",UPPER(TRIM(LEFT($P176&amp;",",FIND(",",$P176&amp;",")-1))))</f>
        <v/>
      </c>
      <c r="BD176">
        <f>IF($BC176="","",MID($BC176,4,FIND("~",SUBSTITUTE($BC176,"-","~",2))-4))</f>
        <v/>
      </c>
      <c r="BE176">
        <f>IF($BC176="","",MID($BC176,FIND("~",SUBSTITUTE($BC176,"-","~",2))+1,FIND("~",SUBSTITUTE($BC176,"-","~",3))-FIND("~",SUBSTITUTE($BC176,"-","~",2))-1))</f>
        <v/>
      </c>
      <c r="BF176">
        <f>IF($BD176="","",IFERROR(VLOOKUP($BD176,DECODE!$A$3:$C$8,3,FALSE),"?"))</f>
        <v/>
      </c>
      <c r="BG176">
        <f>IF($BE176="","",IFERROR(VLOOKUP($BD176&amp;"-"&amp;$BE176,DECODE!$E$3:$F$21,2,FALSE),"?"))</f>
        <v/>
      </c>
      <c r="BH176">
        <f>IF($BC176="","",IFERROR(VALUE(RIGHT($BC176,3)),""))</f>
        <v/>
      </c>
      <c r="BI176">
        <f>IF($V176="","",IFERROR(IF(ISNUMBER($V176),$V176,DATEVALUE(TRIM($V176))),""))</f>
        <v/>
      </c>
      <c r="BJ176">
        <f>IF($BI176="","",IF(MONTH($BI176)&gt;=12,"Cold Winter",IF(MONTH($BI176)&gt;=10,"Post-Monsoon",IF(MONTH($BI176)&gt;=6,"Hot Humid",IF(MONTH($BI176)&gt;=3,"Hot Dry","Cold Winter")))))</f>
        <v/>
      </c>
      <c r="BK176">
        <f>IF($BD176="","",IFERROR(VLOOKUP($BD176,DECODE!$A$3:$C$8,2,FALSE),"?"))</f>
        <v/>
      </c>
      <c r="BL176">
        <f>IF($Q176="","",UPPER(TRIM(LEFT($Q176&amp;",",FIND(",",$Q176&amp;",")-1))))</f>
        <v/>
      </c>
      <c r="BM176">
        <f>IF($BL176="","",MID($BL176,4,FIND("~",SUBSTITUTE($BL176,"-","~",2))-4))</f>
        <v/>
      </c>
      <c r="BN176">
        <f>IF($BL176="","",MID($BL176,FIND("~",SUBSTITUTE($BL176,"-","~",2))+1,FIND("~",SUBSTITUTE($BL176,"-","~",3))-FIND("~",SUBSTITUTE($BL176,"-","~",2))-1))</f>
        <v/>
      </c>
      <c r="BO176">
        <f>IF($BM176="","",IFERROR(VLOOKUP($BM176,DECODE!$A$3:$C$8,3,FALSE),"?"))</f>
        <v/>
      </c>
      <c r="BP176">
        <f>IF($BN176="","",IFERROR(VLOOKUP($BM176&amp;"-"&amp;$BN176,DECODE!$E$3:$F$21,2,FALSE),"?"))</f>
        <v/>
      </c>
      <c r="BQ176">
        <f>IF($BL176="","",IFERROR(VALUE(RIGHT($BL176,3)),""))</f>
        <v/>
      </c>
      <c r="BR176">
        <f>IF($W176="","",IFERROR(IF(ISNUMBER($W176),$W176,DATEVALUE(TRIM($W176))),""))</f>
        <v/>
      </c>
      <c r="BS176">
        <f>IF($BR176="","",IF(MONTH($BR176)&gt;=12,"Cold Winter",IF(MONTH($BR176)&gt;=10,"Post-Monsoon",IF(MONTH($BR176)&gt;=6,"Hot Humid",IF(MONTH($BR176)&gt;=3,"Hot Dry","Cold Winter")))))</f>
        <v/>
      </c>
      <c r="BT176">
        <f>IF($BM176="","",IFERROR(VLOOKUP($BM176,DECODE!$A$3:$C$8,2,FALSE),"?"))</f>
        <v/>
      </c>
      <c r="BU176">
        <f>IF($R176="","",UPPER(TRIM(LEFT($R176&amp;",",FIND(",",$R176&amp;",")-1))))</f>
        <v/>
      </c>
      <c r="BV176">
        <f>IF($BU176="","",MID($BU176,4,FIND("~",SUBSTITUTE($BU176,"-","~",2))-4))</f>
        <v/>
      </c>
      <c r="BW176">
        <f>IF($BU176="","",MID($BU176,FIND("~",SUBSTITUTE($BU176,"-","~",2))+1,FIND("~",SUBSTITUTE($BU176,"-","~",3))-FIND("~",SUBSTITUTE($BU176,"-","~",2))-1))</f>
        <v/>
      </c>
      <c r="BX176">
        <f>IF($BV176="","",IFERROR(VLOOKUP($BV176,DECODE!$A$3:$C$8,3,FALSE),"?"))</f>
        <v/>
      </c>
      <c r="BY176">
        <f>IF($BW176="","",IFERROR(VLOOKUP($BV176&amp;"-"&amp;$BW176,DECODE!$E$3:$F$21,2,FALSE),"?"))</f>
        <v/>
      </c>
      <c r="BZ176">
        <f>IF($BU176="","",IFERROR(VALUE(RIGHT($BU176,3)),""))</f>
        <v/>
      </c>
      <c r="CA176">
        <f>IF($X176="","",IFERROR(IF(ISNUMBER($X176),$X176,DATEVALUE(TRIM($X176))),""))</f>
        <v/>
      </c>
      <c r="CB176">
        <f>IF($CA176="","",IF(MONTH($CA176)&gt;=12,"Cold Winter",IF(MONTH($CA176)&gt;=10,"Post-Monsoon",IF(MONTH($CA176)&gt;=6,"Hot Humid",IF(MONTH($CA176)&gt;=3,"Hot Dry","Cold Winter")))))</f>
        <v/>
      </c>
      <c r="CC176">
        <f>IF($BV176="","",IFERROR(VLOOKUP($BV176,DECODE!$A$3:$C$8,2,FALSE),"?"))</f>
        <v/>
      </c>
      <c r="CD176">
        <f>IF($S176="","",UPPER(TRIM(LEFT($S176&amp;",",FIND(",",$S176&amp;",")-1))))</f>
        <v/>
      </c>
      <c r="CE176">
        <f>IF($CD176="","",MID($CD176,4,FIND("~",SUBSTITUTE($CD176,"-","~",2))-4))</f>
        <v/>
      </c>
      <c r="CF176">
        <f>IF($CD176="","",MID($CD176,FIND("~",SUBSTITUTE($CD176,"-","~",2))+1,FIND("~",SUBSTITUTE($CD176,"-","~",3))-FIND("~",SUBSTITUTE($CD176,"-","~",2))-1))</f>
        <v/>
      </c>
      <c r="CG176">
        <f>IF($CE176="","",IFERROR(VLOOKUP($CE176,DECODE!$A$3:$C$8,3,FALSE),"?"))</f>
        <v/>
      </c>
      <c r="CH176">
        <f>IF($CF176="","",IFERROR(VLOOKUP($CE176&amp;"-"&amp;$CF176,DECODE!$E$3:$F$21,2,FALSE),"?"))</f>
        <v/>
      </c>
      <c r="CI176">
        <f>IF($CD176="","",IFERROR(VALUE(RIGHT($CD176,3)),""))</f>
        <v/>
      </c>
      <c r="CJ176">
        <f>IF($Y176="","",IFERROR(IF(ISNUMBER($Y176),$Y176,DATEVALUE(TRIM($Y176))),""))</f>
        <v/>
      </c>
      <c r="CK176">
        <f>IF($CJ176="","",IF(MONTH($CJ176)&gt;=12,"Cold Winter",IF(MONTH($CJ176)&gt;=10,"Post-Monsoon",IF(MONTH($CJ176)&gt;=6,"Hot Humid",IF(MONTH($CJ176)&gt;=3,"Hot Dry","Cold Winter")))))</f>
        <v/>
      </c>
      <c r="CL176">
        <f>IF($CE176="","",IFERROR(VLOOKUP($CE176,DECODE!$A$3:$C$8,2,FALSE),"?"))</f>
        <v/>
      </c>
      <c r="CM176">
        <f>IF($AN176="","",AN176)</f>
        <v/>
      </c>
      <c r="CN176">
        <f>IF($AO176="","",AO176)</f>
        <v/>
      </c>
      <c r="CO176">
        <f>IF($AP176="","",AP176)</f>
        <v/>
      </c>
      <c r="CP176">
        <f>IF($CM176="","",IF($CM176="Aloe Vera Gel","Aloe Vera Gel "&amp;$CO176&amp;"g",CN176&amp;" "&amp;$CO176&amp;"g"))</f>
        <v/>
      </c>
      <c r="CQ176">
        <f>IF($AT176="",0,1)</f>
        <v/>
      </c>
      <c r="CR176">
        <f>IF($CQ176=0,"",AW176)</f>
        <v/>
      </c>
      <c r="CS176">
        <f>IF($CQ176=0,"",AX176)</f>
        <v/>
      </c>
      <c r="CT176">
        <f>IF($CQ176=0,"",AY176)</f>
        <v/>
      </c>
      <c r="CU176">
        <f>IF($CR176="","",IF($CR176="Aloe Vera Gel","Aloe Vera Gel "&amp;$CT176&amp;"g",CS176&amp;" "&amp;$CT176&amp;"g"))</f>
        <v/>
      </c>
      <c r="CV176">
        <f>IF($CQ176=0,"",IF($CP176=$CU176,"Repeat Exact",IF($CT176&gt;$CO176,"Upsized",IF($CT176&lt;$CO176,"Downsized",IF($CM176&lt;&gt;$CR176,"Lateral","Same Size Diff Variant")))))</f>
        <v/>
      </c>
      <c r="CW176">
        <f>IF($CQ176=0,"",AZ176-AQ176)</f>
        <v/>
      </c>
      <c r="CX176">
        <f>IF($CQ176=0,0,IF(CS176=CN176,1,0))</f>
        <v/>
      </c>
      <c r="CY176">
        <f>IF($CQ176=0,0,IF(CR176=CM176,1,0))</f>
        <v/>
      </c>
      <c r="CZ176">
        <f>IF($A176="","",IF(AND(IF(DASHBOARD!$C$4="All",TRUE,$CM176=DASHBOARD!$C$4),IF(DASHBOARD!$C$6="All",TRUE,$CP176=DASHBOARD!$C$6),IF(DASHBOARD!$C$8="All",TRUE,$AF176&gt;=DASHBOARD!$C$8),IF(DASHBOARD!$C$10="All",TRUE,$AF176&lt;=DASHBOARD!$C$10),IF(DASHBOARD!$C$12="All",TRUE,$AH176=VALUE(DASHBOARD!$C$12)),IF(DASHBOARD!$C$14="All",TRUE,$AJ176=DASHBOARD!$C$14)),1,0))</f>
        <v/>
      </c>
    </row>
    <row r="177">
      <c r="A177" t="n">
        <v>122971</v>
      </c>
      <c r="B177" t="inlineStr">
        <is>
          <t>Face Malai</t>
        </is>
      </c>
      <c r="H177" t="inlineStr">
        <is>
          <t>Tomato Patchouli (Cold) 20 - 35 Yrs Face Malai</t>
        </is>
      </c>
      <c r="N177" t="inlineStr">
        <is>
          <t>FC-CWDM-TP-030</t>
        </is>
      </c>
      <c r="T177" t="inlineStr">
        <is>
          <t>Jan 18, 2024</t>
        </is>
      </c>
      <c r="AE177" t="inlineStr">
        <is>
          <t>Pune</t>
        </is>
      </c>
      <c r="AF177" t="inlineStr">
        <is>
          <t>2024-01</t>
        </is>
      </c>
      <c r="AG177" t="n">
        <v>1</v>
      </c>
      <c r="AH177" t="n">
        <v>1</v>
      </c>
      <c r="AI177" t="n">
        <v>0</v>
      </c>
      <c r="AJ177">
        <f>IF($AE177="","",IFERROR(VLOOKUP(TRIM($AE177),DECODE!$H$3:$I$60,2,FALSE),"Rest of India"))</f>
        <v/>
      </c>
      <c r="AK177">
        <f>IF($N177="","",UPPER(TRIM(LEFT($N177&amp;",",FIND(",",$N177&amp;",")-1))))</f>
        <v/>
      </c>
      <c r="AL177">
        <f>IF($AK177="","",MID($AK177,4,FIND("~",SUBSTITUTE($AK177,"-","~",2))-4))</f>
        <v/>
      </c>
      <c r="AM177">
        <f>IF($AK177="","",MID($AK177,FIND("~",SUBSTITUTE($AK177,"-","~",2))+1,FIND("~",SUBSTITUTE($AK177,"-","~",3))-FIND("~",SUBSTITUTE($AK177,"-","~",2))-1))</f>
        <v/>
      </c>
      <c r="AN177">
        <f>IF($AL177="","",IFERROR(VLOOKUP($AL177,DECODE!$A$3:$C$8,3,FALSE),"?"))</f>
        <v/>
      </c>
      <c r="AO177">
        <f>IF($AM177="","",IFERROR(VLOOKUP($AL177&amp;"-"&amp;$AM177,DECODE!$E$3:$F$21,2,FALSE),"?"))</f>
        <v/>
      </c>
      <c r="AP177">
        <f>IF($AK177="","",IFERROR(VALUE(RIGHT($AK177,3)),""))</f>
        <v/>
      </c>
      <c r="AQ177">
        <f>IF($T177="","",IFERROR(IF(ISNUMBER($T177),$T177,DATEVALUE(TRIM($T177))),""))</f>
        <v/>
      </c>
      <c r="AR177">
        <f>IF($AQ177="","",IF(MONTH($AQ177)&gt;=12,"Cold Winter",IF(MONTH($AQ177)&gt;=10,"Post-Monsoon",IF(MONTH($AQ177)&gt;=6,"Hot Humid",IF(MONTH($AQ177)&gt;=3,"Hot Dry","Cold Winter")))))</f>
        <v/>
      </c>
      <c r="AS177">
        <f>IF($AL177="","",IFERROR(VLOOKUP($AL177,DECODE!$A$3:$C$8,2,FALSE),"?"))</f>
        <v/>
      </c>
      <c r="AT177">
        <f>IF($O177="","",UPPER(TRIM(LEFT($O177&amp;",",FIND(",",$O177&amp;",")-1))))</f>
        <v/>
      </c>
      <c r="AU177">
        <f>IF($AT177="","",MID($AT177,4,FIND("~",SUBSTITUTE($AT177,"-","~",2))-4))</f>
        <v/>
      </c>
      <c r="AV177">
        <f>IF($AT177="","",MID($AT177,FIND("~",SUBSTITUTE($AT177,"-","~",2))+1,FIND("~",SUBSTITUTE($AT177,"-","~",3))-FIND("~",SUBSTITUTE($AT177,"-","~",2))-1))</f>
        <v/>
      </c>
      <c r="AW177">
        <f>IF($AU177="","",IFERROR(VLOOKUP($AU177,DECODE!$A$3:$C$8,3,FALSE),"?"))</f>
        <v/>
      </c>
      <c r="AX177">
        <f>IF($AV177="","",IFERROR(VLOOKUP($AU177&amp;"-"&amp;$AV177,DECODE!$E$3:$F$21,2,FALSE),"?"))</f>
        <v/>
      </c>
      <c r="AY177">
        <f>IF($AT177="","",IFERROR(VALUE(RIGHT($AT177,3)),""))</f>
        <v/>
      </c>
      <c r="AZ177">
        <f>IF($U177="","",IFERROR(IF(ISNUMBER($U177),$U177,DATEVALUE(TRIM($U177))),""))</f>
        <v/>
      </c>
      <c r="BA177">
        <f>IF($AZ177="","",IF(MONTH($AZ177)&gt;=12,"Cold Winter",IF(MONTH($AZ177)&gt;=10,"Post-Monsoon",IF(MONTH($AZ177)&gt;=6,"Hot Humid",IF(MONTH($AZ177)&gt;=3,"Hot Dry","Cold Winter")))))</f>
        <v/>
      </c>
      <c r="BB177">
        <f>IF($AU177="","",IFERROR(VLOOKUP($AU177,DECODE!$A$3:$C$8,2,FALSE),"?"))</f>
        <v/>
      </c>
      <c r="BC177">
        <f>IF($P177="","",UPPER(TRIM(LEFT($P177&amp;",",FIND(",",$P177&amp;",")-1))))</f>
        <v/>
      </c>
      <c r="BD177">
        <f>IF($BC177="","",MID($BC177,4,FIND("~",SUBSTITUTE($BC177,"-","~",2))-4))</f>
        <v/>
      </c>
      <c r="BE177">
        <f>IF($BC177="","",MID($BC177,FIND("~",SUBSTITUTE($BC177,"-","~",2))+1,FIND("~",SUBSTITUTE($BC177,"-","~",3))-FIND("~",SUBSTITUTE($BC177,"-","~",2))-1))</f>
        <v/>
      </c>
      <c r="BF177">
        <f>IF($BD177="","",IFERROR(VLOOKUP($BD177,DECODE!$A$3:$C$8,3,FALSE),"?"))</f>
        <v/>
      </c>
      <c r="BG177">
        <f>IF($BE177="","",IFERROR(VLOOKUP($BD177&amp;"-"&amp;$BE177,DECODE!$E$3:$F$21,2,FALSE),"?"))</f>
        <v/>
      </c>
      <c r="BH177">
        <f>IF($BC177="","",IFERROR(VALUE(RIGHT($BC177,3)),""))</f>
        <v/>
      </c>
      <c r="BI177">
        <f>IF($V177="","",IFERROR(IF(ISNUMBER($V177),$V177,DATEVALUE(TRIM($V177))),""))</f>
        <v/>
      </c>
      <c r="BJ177">
        <f>IF($BI177="","",IF(MONTH($BI177)&gt;=12,"Cold Winter",IF(MONTH($BI177)&gt;=10,"Post-Monsoon",IF(MONTH($BI177)&gt;=6,"Hot Humid",IF(MONTH($BI177)&gt;=3,"Hot Dry","Cold Winter")))))</f>
        <v/>
      </c>
      <c r="BK177">
        <f>IF($BD177="","",IFERROR(VLOOKUP($BD177,DECODE!$A$3:$C$8,2,FALSE),"?"))</f>
        <v/>
      </c>
      <c r="BL177">
        <f>IF($Q177="","",UPPER(TRIM(LEFT($Q177&amp;",",FIND(",",$Q177&amp;",")-1))))</f>
        <v/>
      </c>
      <c r="BM177">
        <f>IF($BL177="","",MID($BL177,4,FIND("~",SUBSTITUTE($BL177,"-","~",2))-4))</f>
        <v/>
      </c>
      <c r="BN177">
        <f>IF($BL177="","",MID($BL177,FIND("~",SUBSTITUTE($BL177,"-","~",2))+1,FIND("~",SUBSTITUTE($BL177,"-","~",3))-FIND("~",SUBSTITUTE($BL177,"-","~",2))-1))</f>
        <v/>
      </c>
      <c r="BO177">
        <f>IF($BM177="","",IFERROR(VLOOKUP($BM177,DECODE!$A$3:$C$8,3,FALSE),"?"))</f>
        <v/>
      </c>
      <c r="BP177">
        <f>IF($BN177="","",IFERROR(VLOOKUP($BM177&amp;"-"&amp;$BN177,DECODE!$E$3:$F$21,2,FALSE),"?"))</f>
        <v/>
      </c>
      <c r="BQ177">
        <f>IF($BL177="","",IFERROR(VALUE(RIGHT($BL177,3)),""))</f>
        <v/>
      </c>
      <c r="BR177">
        <f>IF($W177="","",IFERROR(IF(ISNUMBER($W177),$W177,DATEVALUE(TRIM($W177))),""))</f>
        <v/>
      </c>
      <c r="BS177">
        <f>IF($BR177="","",IF(MONTH($BR177)&gt;=12,"Cold Winter",IF(MONTH($BR177)&gt;=10,"Post-Monsoon",IF(MONTH($BR177)&gt;=6,"Hot Humid",IF(MONTH($BR177)&gt;=3,"Hot Dry","Cold Winter")))))</f>
        <v/>
      </c>
      <c r="BT177">
        <f>IF($BM177="","",IFERROR(VLOOKUP($BM177,DECODE!$A$3:$C$8,2,FALSE),"?"))</f>
        <v/>
      </c>
      <c r="BU177">
        <f>IF($R177="","",UPPER(TRIM(LEFT($R177&amp;",",FIND(",",$R177&amp;",")-1))))</f>
        <v/>
      </c>
      <c r="BV177">
        <f>IF($BU177="","",MID($BU177,4,FIND("~",SUBSTITUTE($BU177,"-","~",2))-4))</f>
        <v/>
      </c>
      <c r="BW177">
        <f>IF($BU177="","",MID($BU177,FIND("~",SUBSTITUTE($BU177,"-","~",2))+1,FIND("~",SUBSTITUTE($BU177,"-","~",3))-FIND("~",SUBSTITUTE($BU177,"-","~",2))-1))</f>
        <v/>
      </c>
      <c r="BX177">
        <f>IF($BV177="","",IFERROR(VLOOKUP($BV177,DECODE!$A$3:$C$8,3,FALSE),"?"))</f>
        <v/>
      </c>
      <c r="BY177">
        <f>IF($BW177="","",IFERROR(VLOOKUP($BV177&amp;"-"&amp;$BW177,DECODE!$E$3:$F$21,2,FALSE),"?"))</f>
        <v/>
      </c>
      <c r="BZ177">
        <f>IF($BU177="","",IFERROR(VALUE(RIGHT($BU177,3)),""))</f>
        <v/>
      </c>
      <c r="CA177">
        <f>IF($X177="","",IFERROR(IF(ISNUMBER($X177),$X177,DATEVALUE(TRIM($X177))),""))</f>
        <v/>
      </c>
      <c r="CB177">
        <f>IF($CA177="","",IF(MONTH($CA177)&gt;=12,"Cold Winter",IF(MONTH($CA177)&gt;=10,"Post-Monsoon",IF(MONTH($CA177)&gt;=6,"Hot Humid",IF(MONTH($CA177)&gt;=3,"Hot Dry","Cold Winter")))))</f>
        <v/>
      </c>
      <c r="CC177">
        <f>IF($BV177="","",IFERROR(VLOOKUP($BV177,DECODE!$A$3:$C$8,2,FALSE),"?"))</f>
        <v/>
      </c>
      <c r="CD177">
        <f>IF($S177="","",UPPER(TRIM(LEFT($S177&amp;",",FIND(",",$S177&amp;",")-1))))</f>
        <v/>
      </c>
      <c r="CE177">
        <f>IF($CD177="","",MID($CD177,4,FIND("~",SUBSTITUTE($CD177,"-","~",2))-4))</f>
        <v/>
      </c>
      <c r="CF177">
        <f>IF($CD177="","",MID($CD177,FIND("~",SUBSTITUTE($CD177,"-","~",2))+1,FIND("~",SUBSTITUTE($CD177,"-","~",3))-FIND("~",SUBSTITUTE($CD177,"-","~",2))-1))</f>
        <v/>
      </c>
      <c r="CG177">
        <f>IF($CE177="","",IFERROR(VLOOKUP($CE177,DECODE!$A$3:$C$8,3,FALSE),"?"))</f>
        <v/>
      </c>
      <c r="CH177">
        <f>IF($CF177="","",IFERROR(VLOOKUP($CE177&amp;"-"&amp;$CF177,DECODE!$E$3:$F$21,2,FALSE),"?"))</f>
        <v/>
      </c>
      <c r="CI177">
        <f>IF($CD177="","",IFERROR(VALUE(RIGHT($CD177,3)),""))</f>
        <v/>
      </c>
      <c r="CJ177">
        <f>IF($Y177="","",IFERROR(IF(ISNUMBER($Y177),$Y177,DATEVALUE(TRIM($Y177))),""))</f>
        <v/>
      </c>
      <c r="CK177">
        <f>IF($CJ177="","",IF(MONTH($CJ177)&gt;=12,"Cold Winter",IF(MONTH($CJ177)&gt;=10,"Post-Monsoon",IF(MONTH($CJ177)&gt;=6,"Hot Humid",IF(MONTH($CJ177)&gt;=3,"Hot Dry","Cold Winter")))))</f>
        <v/>
      </c>
      <c r="CL177">
        <f>IF($CE177="","",IFERROR(VLOOKUP($CE177,DECODE!$A$3:$C$8,2,FALSE),"?"))</f>
        <v/>
      </c>
      <c r="CM177">
        <f>IF($AN177="","",AN177)</f>
        <v/>
      </c>
      <c r="CN177">
        <f>IF($AO177="","",AO177)</f>
        <v/>
      </c>
      <c r="CO177">
        <f>IF($AP177="","",AP177)</f>
        <v/>
      </c>
      <c r="CP177">
        <f>IF($CM177="","",IF($CM177="Aloe Vera Gel","Aloe Vera Gel "&amp;$CO177&amp;"g",CN177&amp;" "&amp;$CO177&amp;"g"))</f>
        <v/>
      </c>
      <c r="CQ177">
        <f>IF($AT177="",0,1)</f>
        <v/>
      </c>
      <c r="CR177">
        <f>IF($CQ177=0,"",AW177)</f>
        <v/>
      </c>
      <c r="CS177">
        <f>IF($CQ177=0,"",AX177)</f>
        <v/>
      </c>
      <c r="CT177">
        <f>IF($CQ177=0,"",AY177)</f>
        <v/>
      </c>
      <c r="CU177">
        <f>IF($CR177="","",IF($CR177="Aloe Vera Gel","Aloe Vera Gel "&amp;$CT177&amp;"g",CS177&amp;" "&amp;$CT177&amp;"g"))</f>
        <v/>
      </c>
      <c r="CV177">
        <f>IF($CQ177=0,"",IF($CP177=$CU177,"Repeat Exact",IF($CT177&gt;$CO177,"Upsized",IF($CT177&lt;$CO177,"Downsized",IF($CM177&lt;&gt;$CR177,"Lateral","Same Size Diff Variant")))))</f>
        <v/>
      </c>
      <c r="CW177">
        <f>IF($CQ177=0,"",AZ177-AQ177)</f>
        <v/>
      </c>
      <c r="CX177">
        <f>IF($CQ177=0,0,IF(CS177=CN177,1,0))</f>
        <v/>
      </c>
      <c r="CY177">
        <f>IF($CQ177=0,0,IF(CR177=CM177,1,0))</f>
        <v/>
      </c>
      <c r="CZ177">
        <f>IF($A177="","",IF(AND(IF(DASHBOARD!$C$4="All",TRUE,$CM177=DASHBOARD!$C$4),IF(DASHBOARD!$C$6="All",TRUE,$CP177=DASHBOARD!$C$6),IF(DASHBOARD!$C$8="All",TRUE,$AF177&gt;=DASHBOARD!$C$8),IF(DASHBOARD!$C$10="All",TRUE,$AF177&lt;=DASHBOARD!$C$10),IF(DASHBOARD!$C$12="All",TRUE,$AH177=VALUE(DASHBOARD!$C$12)),IF(DASHBOARD!$C$14="All",TRUE,$AJ177=DASHBOARD!$C$14)),1,0))</f>
        <v/>
      </c>
    </row>
    <row r="178">
      <c r="A178" t="n">
        <v>123229</v>
      </c>
      <c r="B178" t="inlineStr">
        <is>
          <t>Aloe Vera Gel, Face Malai</t>
        </is>
      </c>
      <c r="H178" t="inlineStr">
        <is>
          <t>Aloe Vera Gel - 40 gms, Tomato Rosehip (Hot Dry) 20 - 35 Yrs Face Malai - 30g</t>
        </is>
      </c>
      <c r="N178" t="inlineStr">
        <is>
          <t>FC-HG-PA-040, FC-HDDM-TR-030</t>
        </is>
      </c>
      <c r="T178" t="inlineStr">
        <is>
          <t>Mar 7, 2024</t>
        </is>
      </c>
      <c r="AE178" t="inlineStr">
        <is>
          <t>Chikodi</t>
        </is>
      </c>
      <c r="AF178" t="inlineStr">
        <is>
          <t>2024-03</t>
        </is>
      </c>
      <c r="AG178" t="n">
        <v>3</v>
      </c>
      <c r="AH178" t="n">
        <v>1</v>
      </c>
      <c r="AI178" t="n">
        <v>0</v>
      </c>
      <c r="AJ178">
        <f>IF($AE178="","",IFERROR(VLOOKUP(TRIM($AE178),DECODE!$H$3:$I$60,2,FALSE),"Rest of India"))</f>
        <v/>
      </c>
      <c r="AK178">
        <f>IF($N178="","",UPPER(TRIM(LEFT($N178&amp;",",FIND(",",$N178&amp;",")-1))))</f>
        <v/>
      </c>
      <c r="AL178">
        <f>IF($AK178="","",MID($AK178,4,FIND("~",SUBSTITUTE($AK178,"-","~",2))-4))</f>
        <v/>
      </c>
      <c r="AM178">
        <f>IF($AK178="","",MID($AK178,FIND("~",SUBSTITUTE($AK178,"-","~",2))+1,FIND("~",SUBSTITUTE($AK178,"-","~",3))-FIND("~",SUBSTITUTE($AK178,"-","~",2))-1))</f>
        <v/>
      </c>
      <c r="AN178">
        <f>IF($AL178="","",IFERROR(VLOOKUP($AL178,DECODE!$A$3:$C$8,3,FALSE),"?"))</f>
        <v/>
      </c>
      <c r="AO178">
        <f>IF($AM178="","",IFERROR(VLOOKUP($AL178&amp;"-"&amp;$AM178,DECODE!$E$3:$F$21,2,FALSE),"?"))</f>
        <v/>
      </c>
      <c r="AP178">
        <f>IF($AK178="","",IFERROR(VALUE(RIGHT($AK178,3)),""))</f>
        <v/>
      </c>
      <c r="AQ178">
        <f>IF($T178="","",IFERROR(IF(ISNUMBER($T178),$T178,DATEVALUE(TRIM($T178))),""))</f>
        <v/>
      </c>
      <c r="AR178">
        <f>IF($AQ178="","",IF(MONTH($AQ178)&gt;=12,"Cold Winter",IF(MONTH($AQ178)&gt;=10,"Post-Monsoon",IF(MONTH($AQ178)&gt;=6,"Hot Humid",IF(MONTH($AQ178)&gt;=3,"Hot Dry","Cold Winter")))))</f>
        <v/>
      </c>
      <c r="AS178">
        <f>IF($AL178="","",IFERROR(VLOOKUP($AL178,DECODE!$A$3:$C$8,2,FALSE),"?"))</f>
        <v/>
      </c>
      <c r="AT178">
        <f>IF($O178="","",UPPER(TRIM(LEFT($O178&amp;",",FIND(",",$O178&amp;",")-1))))</f>
        <v/>
      </c>
      <c r="AU178">
        <f>IF($AT178="","",MID($AT178,4,FIND("~",SUBSTITUTE($AT178,"-","~",2))-4))</f>
        <v/>
      </c>
      <c r="AV178">
        <f>IF($AT178="","",MID($AT178,FIND("~",SUBSTITUTE($AT178,"-","~",2))+1,FIND("~",SUBSTITUTE($AT178,"-","~",3))-FIND("~",SUBSTITUTE($AT178,"-","~",2))-1))</f>
        <v/>
      </c>
      <c r="AW178">
        <f>IF($AU178="","",IFERROR(VLOOKUP($AU178,DECODE!$A$3:$C$8,3,FALSE),"?"))</f>
        <v/>
      </c>
      <c r="AX178">
        <f>IF($AV178="","",IFERROR(VLOOKUP($AU178&amp;"-"&amp;$AV178,DECODE!$E$3:$F$21,2,FALSE),"?"))</f>
        <v/>
      </c>
      <c r="AY178">
        <f>IF($AT178="","",IFERROR(VALUE(RIGHT($AT178,3)),""))</f>
        <v/>
      </c>
      <c r="AZ178">
        <f>IF($U178="","",IFERROR(IF(ISNUMBER($U178),$U178,DATEVALUE(TRIM($U178))),""))</f>
        <v/>
      </c>
      <c r="BA178">
        <f>IF($AZ178="","",IF(MONTH($AZ178)&gt;=12,"Cold Winter",IF(MONTH($AZ178)&gt;=10,"Post-Monsoon",IF(MONTH($AZ178)&gt;=6,"Hot Humid",IF(MONTH($AZ178)&gt;=3,"Hot Dry","Cold Winter")))))</f>
        <v/>
      </c>
      <c r="BB178">
        <f>IF($AU178="","",IFERROR(VLOOKUP($AU178,DECODE!$A$3:$C$8,2,FALSE),"?"))</f>
        <v/>
      </c>
      <c r="BC178">
        <f>IF($P178="","",UPPER(TRIM(LEFT($P178&amp;",",FIND(",",$P178&amp;",")-1))))</f>
        <v/>
      </c>
      <c r="BD178">
        <f>IF($BC178="","",MID($BC178,4,FIND("~",SUBSTITUTE($BC178,"-","~",2))-4))</f>
        <v/>
      </c>
      <c r="BE178">
        <f>IF($BC178="","",MID($BC178,FIND("~",SUBSTITUTE($BC178,"-","~",2))+1,FIND("~",SUBSTITUTE($BC178,"-","~",3))-FIND("~",SUBSTITUTE($BC178,"-","~",2))-1))</f>
        <v/>
      </c>
      <c r="BF178">
        <f>IF($BD178="","",IFERROR(VLOOKUP($BD178,DECODE!$A$3:$C$8,3,FALSE),"?"))</f>
        <v/>
      </c>
      <c r="BG178">
        <f>IF($BE178="","",IFERROR(VLOOKUP($BD178&amp;"-"&amp;$BE178,DECODE!$E$3:$F$21,2,FALSE),"?"))</f>
        <v/>
      </c>
      <c r="BH178">
        <f>IF($BC178="","",IFERROR(VALUE(RIGHT($BC178,3)),""))</f>
        <v/>
      </c>
      <c r="BI178">
        <f>IF($V178="","",IFERROR(IF(ISNUMBER($V178),$V178,DATEVALUE(TRIM($V178))),""))</f>
        <v/>
      </c>
      <c r="BJ178">
        <f>IF($BI178="","",IF(MONTH($BI178)&gt;=12,"Cold Winter",IF(MONTH($BI178)&gt;=10,"Post-Monsoon",IF(MONTH($BI178)&gt;=6,"Hot Humid",IF(MONTH($BI178)&gt;=3,"Hot Dry","Cold Winter")))))</f>
        <v/>
      </c>
      <c r="BK178">
        <f>IF($BD178="","",IFERROR(VLOOKUP($BD178,DECODE!$A$3:$C$8,2,FALSE),"?"))</f>
        <v/>
      </c>
      <c r="BL178">
        <f>IF($Q178="","",UPPER(TRIM(LEFT($Q178&amp;",",FIND(",",$Q178&amp;",")-1))))</f>
        <v/>
      </c>
      <c r="BM178">
        <f>IF($BL178="","",MID($BL178,4,FIND("~",SUBSTITUTE($BL178,"-","~",2))-4))</f>
        <v/>
      </c>
      <c r="BN178">
        <f>IF($BL178="","",MID($BL178,FIND("~",SUBSTITUTE($BL178,"-","~",2))+1,FIND("~",SUBSTITUTE($BL178,"-","~",3))-FIND("~",SUBSTITUTE($BL178,"-","~",2))-1))</f>
        <v/>
      </c>
      <c r="BO178">
        <f>IF($BM178="","",IFERROR(VLOOKUP($BM178,DECODE!$A$3:$C$8,3,FALSE),"?"))</f>
        <v/>
      </c>
      <c r="BP178">
        <f>IF($BN178="","",IFERROR(VLOOKUP($BM178&amp;"-"&amp;$BN178,DECODE!$E$3:$F$21,2,FALSE),"?"))</f>
        <v/>
      </c>
      <c r="BQ178">
        <f>IF($BL178="","",IFERROR(VALUE(RIGHT($BL178,3)),""))</f>
        <v/>
      </c>
      <c r="BR178">
        <f>IF($W178="","",IFERROR(IF(ISNUMBER($W178),$W178,DATEVALUE(TRIM($W178))),""))</f>
        <v/>
      </c>
      <c r="BS178">
        <f>IF($BR178="","",IF(MONTH($BR178)&gt;=12,"Cold Winter",IF(MONTH($BR178)&gt;=10,"Post-Monsoon",IF(MONTH($BR178)&gt;=6,"Hot Humid",IF(MONTH($BR178)&gt;=3,"Hot Dry","Cold Winter")))))</f>
        <v/>
      </c>
      <c r="BT178">
        <f>IF($BM178="","",IFERROR(VLOOKUP($BM178,DECODE!$A$3:$C$8,2,FALSE),"?"))</f>
        <v/>
      </c>
      <c r="BU178">
        <f>IF($R178="","",UPPER(TRIM(LEFT($R178&amp;",",FIND(",",$R178&amp;",")-1))))</f>
        <v/>
      </c>
      <c r="BV178">
        <f>IF($BU178="","",MID($BU178,4,FIND("~",SUBSTITUTE($BU178,"-","~",2))-4))</f>
        <v/>
      </c>
      <c r="BW178">
        <f>IF($BU178="","",MID($BU178,FIND("~",SUBSTITUTE($BU178,"-","~",2))+1,FIND("~",SUBSTITUTE($BU178,"-","~",3))-FIND("~",SUBSTITUTE($BU178,"-","~",2))-1))</f>
        <v/>
      </c>
      <c r="BX178">
        <f>IF($BV178="","",IFERROR(VLOOKUP($BV178,DECODE!$A$3:$C$8,3,FALSE),"?"))</f>
        <v/>
      </c>
      <c r="BY178">
        <f>IF($BW178="","",IFERROR(VLOOKUP($BV178&amp;"-"&amp;$BW178,DECODE!$E$3:$F$21,2,FALSE),"?"))</f>
        <v/>
      </c>
      <c r="BZ178">
        <f>IF($BU178="","",IFERROR(VALUE(RIGHT($BU178,3)),""))</f>
        <v/>
      </c>
      <c r="CA178">
        <f>IF($X178="","",IFERROR(IF(ISNUMBER($X178),$X178,DATEVALUE(TRIM($X178))),""))</f>
        <v/>
      </c>
      <c r="CB178">
        <f>IF($CA178="","",IF(MONTH($CA178)&gt;=12,"Cold Winter",IF(MONTH($CA178)&gt;=10,"Post-Monsoon",IF(MONTH($CA178)&gt;=6,"Hot Humid",IF(MONTH($CA178)&gt;=3,"Hot Dry","Cold Winter")))))</f>
        <v/>
      </c>
      <c r="CC178">
        <f>IF($BV178="","",IFERROR(VLOOKUP($BV178,DECODE!$A$3:$C$8,2,FALSE),"?"))</f>
        <v/>
      </c>
      <c r="CD178">
        <f>IF($S178="","",UPPER(TRIM(LEFT($S178&amp;",",FIND(",",$S178&amp;",")-1))))</f>
        <v/>
      </c>
      <c r="CE178">
        <f>IF($CD178="","",MID($CD178,4,FIND("~",SUBSTITUTE($CD178,"-","~",2))-4))</f>
        <v/>
      </c>
      <c r="CF178">
        <f>IF($CD178="","",MID($CD178,FIND("~",SUBSTITUTE($CD178,"-","~",2))+1,FIND("~",SUBSTITUTE($CD178,"-","~",3))-FIND("~",SUBSTITUTE($CD178,"-","~",2))-1))</f>
        <v/>
      </c>
      <c r="CG178">
        <f>IF($CE178="","",IFERROR(VLOOKUP($CE178,DECODE!$A$3:$C$8,3,FALSE),"?"))</f>
        <v/>
      </c>
      <c r="CH178">
        <f>IF($CF178="","",IFERROR(VLOOKUP($CE178&amp;"-"&amp;$CF178,DECODE!$E$3:$F$21,2,FALSE),"?"))</f>
        <v/>
      </c>
      <c r="CI178">
        <f>IF($CD178="","",IFERROR(VALUE(RIGHT($CD178,3)),""))</f>
        <v/>
      </c>
      <c r="CJ178">
        <f>IF($Y178="","",IFERROR(IF(ISNUMBER($Y178),$Y178,DATEVALUE(TRIM($Y178))),""))</f>
        <v/>
      </c>
      <c r="CK178">
        <f>IF($CJ178="","",IF(MONTH($CJ178)&gt;=12,"Cold Winter",IF(MONTH($CJ178)&gt;=10,"Post-Monsoon",IF(MONTH($CJ178)&gt;=6,"Hot Humid",IF(MONTH($CJ178)&gt;=3,"Hot Dry","Cold Winter")))))</f>
        <v/>
      </c>
      <c r="CL178">
        <f>IF($CE178="","",IFERROR(VLOOKUP($CE178,DECODE!$A$3:$C$8,2,FALSE),"?"))</f>
        <v/>
      </c>
      <c r="CM178">
        <f>IF($AN178="","",AN178)</f>
        <v/>
      </c>
      <c r="CN178">
        <f>IF($AO178="","",AO178)</f>
        <v/>
      </c>
      <c r="CO178">
        <f>IF($AP178="","",AP178)</f>
        <v/>
      </c>
      <c r="CP178">
        <f>IF($CM178="","",IF($CM178="Aloe Vera Gel","Aloe Vera Gel "&amp;$CO178&amp;"g",CN178&amp;" "&amp;$CO178&amp;"g"))</f>
        <v/>
      </c>
      <c r="CQ178">
        <f>IF($AT178="",0,1)</f>
        <v/>
      </c>
      <c r="CR178">
        <f>IF($CQ178=0,"",AW178)</f>
        <v/>
      </c>
      <c r="CS178">
        <f>IF($CQ178=0,"",AX178)</f>
        <v/>
      </c>
      <c r="CT178">
        <f>IF($CQ178=0,"",AY178)</f>
        <v/>
      </c>
      <c r="CU178">
        <f>IF($CR178="","",IF($CR178="Aloe Vera Gel","Aloe Vera Gel "&amp;$CT178&amp;"g",CS178&amp;" "&amp;$CT178&amp;"g"))</f>
        <v/>
      </c>
      <c r="CV178">
        <f>IF($CQ178=0,"",IF($CP178=$CU178,"Repeat Exact",IF($CT178&gt;$CO178,"Upsized",IF($CT178&lt;$CO178,"Downsized",IF($CM178&lt;&gt;$CR178,"Lateral","Same Size Diff Variant")))))</f>
        <v/>
      </c>
      <c r="CW178">
        <f>IF($CQ178=0,"",AZ178-AQ178)</f>
        <v/>
      </c>
      <c r="CX178">
        <f>IF($CQ178=0,0,IF(CS178=CN178,1,0))</f>
        <v/>
      </c>
      <c r="CY178">
        <f>IF($CQ178=0,0,IF(CR178=CM178,1,0))</f>
        <v/>
      </c>
      <c r="CZ178">
        <f>IF($A178="","",IF(AND(IF(DASHBOARD!$C$4="All",TRUE,$CM178=DASHBOARD!$C$4),IF(DASHBOARD!$C$6="All",TRUE,$CP178=DASHBOARD!$C$6),IF(DASHBOARD!$C$8="All",TRUE,$AF178&gt;=DASHBOARD!$C$8),IF(DASHBOARD!$C$10="All",TRUE,$AF178&lt;=DASHBOARD!$C$10),IF(DASHBOARD!$C$12="All",TRUE,$AH178=VALUE(DASHBOARD!$C$12)),IF(DASHBOARD!$C$14="All",TRUE,$AJ178=DASHBOARD!$C$14)),1,0))</f>
        <v/>
      </c>
    </row>
    <row r="179">
      <c r="A179" t="n">
        <v>123508</v>
      </c>
      <c r="B179" t="inlineStr">
        <is>
          <t>Face Malai</t>
        </is>
      </c>
      <c r="H179" t="inlineStr">
        <is>
          <t>Clove Tea-Tree (Anti-Acne) Face Malai</t>
        </is>
      </c>
      <c r="N179" t="inlineStr">
        <is>
          <t>FC-DM-AA-030</t>
        </is>
      </c>
      <c r="T179" t="inlineStr">
        <is>
          <t>Jan 4, 2024</t>
        </is>
      </c>
      <c r="AE179" t="inlineStr">
        <is>
          <t>Bengaluru</t>
        </is>
      </c>
      <c r="AF179" t="inlineStr">
        <is>
          <t>2024-01</t>
        </is>
      </c>
      <c r="AG179" t="n">
        <v>1</v>
      </c>
      <c r="AH179" t="n">
        <v>1</v>
      </c>
      <c r="AI179" t="n">
        <v>0</v>
      </c>
      <c r="AJ179">
        <f>IF($AE179="","",IFERROR(VLOOKUP(TRIM($AE179),DECODE!$H$3:$I$60,2,FALSE),"Rest of India"))</f>
        <v/>
      </c>
      <c r="AK179">
        <f>IF($N179="","",UPPER(TRIM(LEFT($N179&amp;",",FIND(",",$N179&amp;",")-1))))</f>
        <v/>
      </c>
      <c r="AL179">
        <f>IF($AK179="","",MID($AK179,4,FIND("~",SUBSTITUTE($AK179,"-","~",2))-4))</f>
        <v/>
      </c>
      <c r="AM179">
        <f>IF($AK179="","",MID($AK179,FIND("~",SUBSTITUTE($AK179,"-","~",2))+1,FIND("~",SUBSTITUTE($AK179,"-","~",3))-FIND("~",SUBSTITUTE($AK179,"-","~",2))-1))</f>
        <v/>
      </c>
      <c r="AN179">
        <f>IF($AL179="","",IFERROR(VLOOKUP($AL179,DECODE!$A$3:$C$8,3,FALSE),"?"))</f>
        <v/>
      </c>
      <c r="AO179">
        <f>IF($AM179="","",IFERROR(VLOOKUP($AL179&amp;"-"&amp;$AM179,DECODE!$E$3:$F$21,2,FALSE),"?"))</f>
        <v/>
      </c>
      <c r="AP179">
        <f>IF($AK179="","",IFERROR(VALUE(RIGHT($AK179,3)),""))</f>
        <v/>
      </c>
      <c r="AQ179">
        <f>IF($T179="","",IFERROR(IF(ISNUMBER($T179),$T179,DATEVALUE(TRIM($T179))),""))</f>
        <v/>
      </c>
      <c r="AR179">
        <f>IF($AQ179="","",IF(MONTH($AQ179)&gt;=12,"Cold Winter",IF(MONTH($AQ179)&gt;=10,"Post-Monsoon",IF(MONTH($AQ179)&gt;=6,"Hot Humid",IF(MONTH($AQ179)&gt;=3,"Hot Dry","Cold Winter")))))</f>
        <v/>
      </c>
      <c r="AS179">
        <f>IF($AL179="","",IFERROR(VLOOKUP($AL179,DECODE!$A$3:$C$8,2,FALSE),"?"))</f>
        <v/>
      </c>
      <c r="AT179">
        <f>IF($O179="","",UPPER(TRIM(LEFT($O179&amp;",",FIND(",",$O179&amp;",")-1))))</f>
        <v/>
      </c>
      <c r="AU179">
        <f>IF($AT179="","",MID($AT179,4,FIND("~",SUBSTITUTE($AT179,"-","~",2))-4))</f>
        <v/>
      </c>
      <c r="AV179">
        <f>IF($AT179="","",MID($AT179,FIND("~",SUBSTITUTE($AT179,"-","~",2))+1,FIND("~",SUBSTITUTE($AT179,"-","~",3))-FIND("~",SUBSTITUTE($AT179,"-","~",2))-1))</f>
        <v/>
      </c>
      <c r="AW179">
        <f>IF($AU179="","",IFERROR(VLOOKUP($AU179,DECODE!$A$3:$C$8,3,FALSE),"?"))</f>
        <v/>
      </c>
      <c r="AX179">
        <f>IF($AV179="","",IFERROR(VLOOKUP($AU179&amp;"-"&amp;$AV179,DECODE!$E$3:$F$21,2,FALSE),"?"))</f>
        <v/>
      </c>
      <c r="AY179">
        <f>IF($AT179="","",IFERROR(VALUE(RIGHT($AT179,3)),""))</f>
        <v/>
      </c>
      <c r="AZ179">
        <f>IF($U179="","",IFERROR(IF(ISNUMBER($U179),$U179,DATEVALUE(TRIM($U179))),""))</f>
        <v/>
      </c>
      <c r="BA179">
        <f>IF($AZ179="","",IF(MONTH($AZ179)&gt;=12,"Cold Winter",IF(MONTH($AZ179)&gt;=10,"Post-Monsoon",IF(MONTH($AZ179)&gt;=6,"Hot Humid",IF(MONTH($AZ179)&gt;=3,"Hot Dry","Cold Winter")))))</f>
        <v/>
      </c>
      <c r="BB179">
        <f>IF($AU179="","",IFERROR(VLOOKUP($AU179,DECODE!$A$3:$C$8,2,FALSE),"?"))</f>
        <v/>
      </c>
      <c r="BC179">
        <f>IF($P179="","",UPPER(TRIM(LEFT($P179&amp;",",FIND(",",$P179&amp;",")-1))))</f>
        <v/>
      </c>
      <c r="BD179">
        <f>IF($BC179="","",MID($BC179,4,FIND("~",SUBSTITUTE($BC179,"-","~",2))-4))</f>
        <v/>
      </c>
      <c r="BE179">
        <f>IF($BC179="","",MID($BC179,FIND("~",SUBSTITUTE($BC179,"-","~",2))+1,FIND("~",SUBSTITUTE($BC179,"-","~",3))-FIND("~",SUBSTITUTE($BC179,"-","~",2))-1))</f>
        <v/>
      </c>
      <c r="BF179">
        <f>IF($BD179="","",IFERROR(VLOOKUP($BD179,DECODE!$A$3:$C$8,3,FALSE),"?"))</f>
        <v/>
      </c>
      <c r="BG179">
        <f>IF($BE179="","",IFERROR(VLOOKUP($BD179&amp;"-"&amp;$BE179,DECODE!$E$3:$F$21,2,FALSE),"?"))</f>
        <v/>
      </c>
      <c r="BH179">
        <f>IF($BC179="","",IFERROR(VALUE(RIGHT($BC179,3)),""))</f>
        <v/>
      </c>
      <c r="BI179">
        <f>IF($V179="","",IFERROR(IF(ISNUMBER($V179),$V179,DATEVALUE(TRIM($V179))),""))</f>
        <v/>
      </c>
      <c r="BJ179">
        <f>IF($BI179="","",IF(MONTH($BI179)&gt;=12,"Cold Winter",IF(MONTH($BI179)&gt;=10,"Post-Monsoon",IF(MONTH($BI179)&gt;=6,"Hot Humid",IF(MONTH($BI179)&gt;=3,"Hot Dry","Cold Winter")))))</f>
        <v/>
      </c>
      <c r="BK179">
        <f>IF($BD179="","",IFERROR(VLOOKUP($BD179,DECODE!$A$3:$C$8,2,FALSE),"?"))</f>
        <v/>
      </c>
      <c r="BL179">
        <f>IF($Q179="","",UPPER(TRIM(LEFT($Q179&amp;",",FIND(",",$Q179&amp;",")-1))))</f>
        <v/>
      </c>
      <c r="BM179">
        <f>IF($BL179="","",MID($BL179,4,FIND("~",SUBSTITUTE($BL179,"-","~",2))-4))</f>
        <v/>
      </c>
      <c r="BN179">
        <f>IF($BL179="","",MID($BL179,FIND("~",SUBSTITUTE($BL179,"-","~",2))+1,FIND("~",SUBSTITUTE($BL179,"-","~",3))-FIND("~",SUBSTITUTE($BL179,"-","~",2))-1))</f>
        <v/>
      </c>
      <c r="BO179">
        <f>IF($BM179="","",IFERROR(VLOOKUP($BM179,DECODE!$A$3:$C$8,3,FALSE),"?"))</f>
        <v/>
      </c>
      <c r="BP179">
        <f>IF($BN179="","",IFERROR(VLOOKUP($BM179&amp;"-"&amp;$BN179,DECODE!$E$3:$F$21,2,FALSE),"?"))</f>
        <v/>
      </c>
      <c r="BQ179">
        <f>IF($BL179="","",IFERROR(VALUE(RIGHT($BL179,3)),""))</f>
        <v/>
      </c>
      <c r="BR179">
        <f>IF($W179="","",IFERROR(IF(ISNUMBER($W179),$W179,DATEVALUE(TRIM($W179))),""))</f>
        <v/>
      </c>
      <c r="BS179">
        <f>IF($BR179="","",IF(MONTH($BR179)&gt;=12,"Cold Winter",IF(MONTH($BR179)&gt;=10,"Post-Monsoon",IF(MONTH($BR179)&gt;=6,"Hot Humid",IF(MONTH($BR179)&gt;=3,"Hot Dry","Cold Winter")))))</f>
        <v/>
      </c>
      <c r="BT179">
        <f>IF($BM179="","",IFERROR(VLOOKUP($BM179,DECODE!$A$3:$C$8,2,FALSE),"?"))</f>
        <v/>
      </c>
      <c r="BU179">
        <f>IF($R179="","",UPPER(TRIM(LEFT($R179&amp;",",FIND(",",$R179&amp;",")-1))))</f>
        <v/>
      </c>
      <c r="BV179">
        <f>IF($BU179="","",MID($BU179,4,FIND("~",SUBSTITUTE($BU179,"-","~",2))-4))</f>
        <v/>
      </c>
      <c r="BW179">
        <f>IF($BU179="","",MID($BU179,FIND("~",SUBSTITUTE($BU179,"-","~",2))+1,FIND("~",SUBSTITUTE($BU179,"-","~",3))-FIND("~",SUBSTITUTE($BU179,"-","~",2))-1))</f>
        <v/>
      </c>
      <c r="BX179">
        <f>IF($BV179="","",IFERROR(VLOOKUP($BV179,DECODE!$A$3:$C$8,3,FALSE),"?"))</f>
        <v/>
      </c>
      <c r="BY179">
        <f>IF($BW179="","",IFERROR(VLOOKUP($BV179&amp;"-"&amp;$BW179,DECODE!$E$3:$F$21,2,FALSE),"?"))</f>
        <v/>
      </c>
      <c r="BZ179">
        <f>IF($BU179="","",IFERROR(VALUE(RIGHT($BU179,3)),""))</f>
        <v/>
      </c>
      <c r="CA179">
        <f>IF($X179="","",IFERROR(IF(ISNUMBER($X179),$X179,DATEVALUE(TRIM($X179))),""))</f>
        <v/>
      </c>
      <c r="CB179">
        <f>IF($CA179="","",IF(MONTH($CA179)&gt;=12,"Cold Winter",IF(MONTH($CA179)&gt;=10,"Post-Monsoon",IF(MONTH($CA179)&gt;=6,"Hot Humid",IF(MONTH($CA179)&gt;=3,"Hot Dry","Cold Winter")))))</f>
        <v/>
      </c>
      <c r="CC179">
        <f>IF($BV179="","",IFERROR(VLOOKUP($BV179,DECODE!$A$3:$C$8,2,FALSE),"?"))</f>
        <v/>
      </c>
      <c r="CD179">
        <f>IF($S179="","",UPPER(TRIM(LEFT($S179&amp;",",FIND(",",$S179&amp;",")-1))))</f>
        <v/>
      </c>
      <c r="CE179">
        <f>IF($CD179="","",MID($CD179,4,FIND("~",SUBSTITUTE($CD179,"-","~",2))-4))</f>
        <v/>
      </c>
      <c r="CF179">
        <f>IF($CD179="","",MID($CD179,FIND("~",SUBSTITUTE($CD179,"-","~",2))+1,FIND("~",SUBSTITUTE($CD179,"-","~",3))-FIND("~",SUBSTITUTE($CD179,"-","~",2))-1))</f>
        <v/>
      </c>
      <c r="CG179">
        <f>IF($CE179="","",IFERROR(VLOOKUP($CE179,DECODE!$A$3:$C$8,3,FALSE),"?"))</f>
        <v/>
      </c>
      <c r="CH179">
        <f>IF($CF179="","",IFERROR(VLOOKUP($CE179&amp;"-"&amp;$CF179,DECODE!$E$3:$F$21,2,FALSE),"?"))</f>
        <v/>
      </c>
      <c r="CI179">
        <f>IF($CD179="","",IFERROR(VALUE(RIGHT($CD179,3)),""))</f>
        <v/>
      </c>
      <c r="CJ179">
        <f>IF($Y179="","",IFERROR(IF(ISNUMBER($Y179),$Y179,DATEVALUE(TRIM($Y179))),""))</f>
        <v/>
      </c>
      <c r="CK179">
        <f>IF($CJ179="","",IF(MONTH($CJ179)&gt;=12,"Cold Winter",IF(MONTH($CJ179)&gt;=10,"Post-Monsoon",IF(MONTH($CJ179)&gt;=6,"Hot Humid",IF(MONTH($CJ179)&gt;=3,"Hot Dry","Cold Winter")))))</f>
        <v/>
      </c>
      <c r="CL179">
        <f>IF($CE179="","",IFERROR(VLOOKUP($CE179,DECODE!$A$3:$C$8,2,FALSE),"?"))</f>
        <v/>
      </c>
      <c r="CM179">
        <f>IF($AN179="","",AN179)</f>
        <v/>
      </c>
      <c r="CN179">
        <f>IF($AO179="","",AO179)</f>
        <v/>
      </c>
      <c r="CO179">
        <f>IF($AP179="","",AP179)</f>
        <v/>
      </c>
      <c r="CP179">
        <f>IF($CM179="","",IF($CM179="Aloe Vera Gel","Aloe Vera Gel "&amp;$CO179&amp;"g",CN179&amp;" "&amp;$CO179&amp;"g"))</f>
        <v/>
      </c>
      <c r="CQ179">
        <f>IF($AT179="",0,1)</f>
        <v/>
      </c>
      <c r="CR179">
        <f>IF($CQ179=0,"",AW179)</f>
        <v/>
      </c>
      <c r="CS179">
        <f>IF($CQ179=0,"",AX179)</f>
        <v/>
      </c>
      <c r="CT179">
        <f>IF($CQ179=0,"",AY179)</f>
        <v/>
      </c>
      <c r="CU179">
        <f>IF($CR179="","",IF($CR179="Aloe Vera Gel","Aloe Vera Gel "&amp;$CT179&amp;"g",CS179&amp;" "&amp;$CT179&amp;"g"))</f>
        <v/>
      </c>
      <c r="CV179">
        <f>IF($CQ179=0,"",IF($CP179=$CU179,"Repeat Exact",IF($CT179&gt;$CO179,"Upsized",IF($CT179&lt;$CO179,"Downsized",IF($CM179&lt;&gt;$CR179,"Lateral","Same Size Diff Variant")))))</f>
        <v/>
      </c>
      <c r="CW179">
        <f>IF($CQ179=0,"",AZ179-AQ179)</f>
        <v/>
      </c>
      <c r="CX179">
        <f>IF($CQ179=0,0,IF(CS179=CN179,1,0))</f>
        <v/>
      </c>
      <c r="CY179">
        <f>IF($CQ179=0,0,IF(CR179=CM179,1,0))</f>
        <v/>
      </c>
      <c r="CZ179">
        <f>IF($A179="","",IF(AND(IF(DASHBOARD!$C$4="All",TRUE,$CM179=DASHBOARD!$C$4),IF(DASHBOARD!$C$6="All",TRUE,$CP179=DASHBOARD!$C$6),IF(DASHBOARD!$C$8="All",TRUE,$AF179&gt;=DASHBOARD!$C$8),IF(DASHBOARD!$C$10="All",TRUE,$AF179&lt;=DASHBOARD!$C$10),IF(DASHBOARD!$C$12="All",TRUE,$AH179=VALUE(DASHBOARD!$C$12)),IF(DASHBOARD!$C$14="All",TRUE,$AJ179=DASHBOARD!$C$14)),1,0))</f>
        <v/>
      </c>
    </row>
    <row r="180">
      <c r="A180" t="n">
        <v>123827</v>
      </c>
      <c r="B180" t="inlineStr">
        <is>
          <t>Aloe Vera Gel</t>
        </is>
      </c>
      <c r="H180" t="inlineStr">
        <is>
          <t>Aloe Vera Gel - 40 gms</t>
        </is>
      </c>
      <c r="N180" t="inlineStr">
        <is>
          <t>FC-HG-PA-040</t>
        </is>
      </c>
      <c r="T180" t="inlineStr">
        <is>
          <t>Mar 18, 2024</t>
        </is>
      </c>
      <c r="AE180" t="inlineStr">
        <is>
          <t>Bengaluru</t>
        </is>
      </c>
      <c r="AF180" t="inlineStr">
        <is>
          <t>2024-03</t>
        </is>
      </c>
      <c r="AG180" t="n">
        <v>3</v>
      </c>
      <c r="AH180" t="n">
        <v>1</v>
      </c>
      <c r="AI180" t="n">
        <v>0</v>
      </c>
      <c r="AJ180">
        <f>IF($AE180="","",IFERROR(VLOOKUP(TRIM($AE180),DECODE!$H$3:$I$60,2,FALSE),"Rest of India"))</f>
        <v/>
      </c>
      <c r="AK180">
        <f>IF($N180="","",UPPER(TRIM(LEFT($N180&amp;",",FIND(",",$N180&amp;",")-1))))</f>
        <v/>
      </c>
      <c r="AL180">
        <f>IF($AK180="","",MID($AK180,4,FIND("~",SUBSTITUTE($AK180,"-","~",2))-4))</f>
        <v/>
      </c>
      <c r="AM180">
        <f>IF($AK180="","",MID($AK180,FIND("~",SUBSTITUTE($AK180,"-","~",2))+1,FIND("~",SUBSTITUTE($AK180,"-","~",3))-FIND("~",SUBSTITUTE($AK180,"-","~",2))-1))</f>
        <v/>
      </c>
      <c r="AN180">
        <f>IF($AL180="","",IFERROR(VLOOKUP($AL180,DECODE!$A$3:$C$8,3,FALSE),"?"))</f>
        <v/>
      </c>
      <c r="AO180">
        <f>IF($AM180="","",IFERROR(VLOOKUP($AL180&amp;"-"&amp;$AM180,DECODE!$E$3:$F$21,2,FALSE),"?"))</f>
        <v/>
      </c>
      <c r="AP180">
        <f>IF($AK180="","",IFERROR(VALUE(RIGHT($AK180,3)),""))</f>
        <v/>
      </c>
      <c r="AQ180">
        <f>IF($T180="","",IFERROR(IF(ISNUMBER($T180),$T180,DATEVALUE(TRIM($T180))),""))</f>
        <v/>
      </c>
      <c r="AR180">
        <f>IF($AQ180="","",IF(MONTH($AQ180)&gt;=12,"Cold Winter",IF(MONTH($AQ180)&gt;=10,"Post-Monsoon",IF(MONTH($AQ180)&gt;=6,"Hot Humid",IF(MONTH($AQ180)&gt;=3,"Hot Dry","Cold Winter")))))</f>
        <v/>
      </c>
      <c r="AS180">
        <f>IF($AL180="","",IFERROR(VLOOKUP($AL180,DECODE!$A$3:$C$8,2,FALSE),"?"))</f>
        <v/>
      </c>
      <c r="AT180">
        <f>IF($O180="","",UPPER(TRIM(LEFT($O180&amp;",",FIND(",",$O180&amp;",")-1))))</f>
        <v/>
      </c>
      <c r="AU180">
        <f>IF($AT180="","",MID($AT180,4,FIND("~",SUBSTITUTE($AT180,"-","~",2))-4))</f>
        <v/>
      </c>
      <c r="AV180">
        <f>IF($AT180="","",MID($AT180,FIND("~",SUBSTITUTE($AT180,"-","~",2))+1,FIND("~",SUBSTITUTE($AT180,"-","~",3))-FIND("~",SUBSTITUTE($AT180,"-","~",2))-1))</f>
        <v/>
      </c>
      <c r="AW180">
        <f>IF($AU180="","",IFERROR(VLOOKUP($AU180,DECODE!$A$3:$C$8,3,FALSE),"?"))</f>
        <v/>
      </c>
      <c r="AX180">
        <f>IF($AV180="","",IFERROR(VLOOKUP($AU180&amp;"-"&amp;$AV180,DECODE!$E$3:$F$21,2,FALSE),"?"))</f>
        <v/>
      </c>
      <c r="AY180">
        <f>IF($AT180="","",IFERROR(VALUE(RIGHT($AT180,3)),""))</f>
        <v/>
      </c>
      <c r="AZ180">
        <f>IF($U180="","",IFERROR(IF(ISNUMBER($U180),$U180,DATEVALUE(TRIM($U180))),""))</f>
        <v/>
      </c>
      <c r="BA180">
        <f>IF($AZ180="","",IF(MONTH($AZ180)&gt;=12,"Cold Winter",IF(MONTH($AZ180)&gt;=10,"Post-Monsoon",IF(MONTH($AZ180)&gt;=6,"Hot Humid",IF(MONTH($AZ180)&gt;=3,"Hot Dry","Cold Winter")))))</f>
        <v/>
      </c>
      <c r="BB180">
        <f>IF($AU180="","",IFERROR(VLOOKUP($AU180,DECODE!$A$3:$C$8,2,FALSE),"?"))</f>
        <v/>
      </c>
      <c r="BC180">
        <f>IF($P180="","",UPPER(TRIM(LEFT($P180&amp;",",FIND(",",$P180&amp;",")-1))))</f>
        <v/>
      </c>
      <c r="BD180">
        <f>IF($BC180="","",MID($BC180,4,FIND("~",SUBSTITUTE($BC180,"-","~",2))-4))</f>
        <v/>
      </c>
      <c r="BE180">
        <f>IF($BC180="","",MID($BC180,FIND("~",SUBSTITUTE($BC180,"-","~",2))+1,FIND("~",SUBSTITUTE($BC180,"-","~",3))-FIND("~",SUBSTITUTE($BC180,"-","~",2))-1))</f>
        <v/>
      </c>
      <c r="BF180">
        <f>IF($BD180="","",IFERROR(VLOOKUP($BD180,DECODE!$A$3:$C$8,3,FALSE),"?"))</f>
        <v/>
      </c>
      <c r="BG180">
        <f>IF($BE180="","",IFERROR(VLOOKUP($BD180&amp;"-"&amp;$BE180,DECODE!$E$3:$F$21,2,FALSE),"?"))</f>
        <v/>
      </c>
      <c r="BH180">
        <f>IF($BC180="","",IFERROR(VALUE(RIGHT($BC180,3)),""))</f>
        <v/>
      </c>
      <c r="BI180">
        <f>IF($V180="","",IFERROR(IF(ISNUMBER($V180),$V180,DATEVALUE(TRIM($V180))),""))</f>
        <v/>
      </c>
      <c r="BJ180">
        <f>IF($BI180="","",IF(MONTH($BI180)&gt;=12,"Cold Winter",IF(MONTH($BI180)&gt;=10,"Post-Monsoon",IF(MONTH($BI180)&gt;=6,"Hot Humid",IF(MONTH($BI180)&gt;=3,"Hot Dry","Cold Winter")))))</f>
        <v/>
      </c>
      <c r="BK180">
        <f>IF($BD180="","",IFERROR(VLOOKUP($BD180,DECODE!$A$3:$C$8,2,FALSE),"?"))</f>
        <v/>
      </c>
      <c r="BL180">
        <f>IF($Q180="","",UPPER(TRIM(LEFT($Q180&amp;",",FIND(",",$Q180&amp;",")-1))))</f>
        <v/>
      </c>
      <c r="BM180">
        <f>IF($BL180="","",MID($BL180,4,FIND("~",SUBSTITUTE($BL180,"-","~",2))-4))</f>
        <v/>
      </c>
      <c r="BN180">
        <f>IF($BL180="","",MID($BL180,FIND("~",SUBSTITUTE($BL180,"-","~",2))+1,FIND("~",SUBSTITUTE($BL180,"-","~",3))-FIND("~",SUBSTITUTE($BL180,"-","~",2))-1))</f>
        <v/>
      </c>
      <c r="BO180">
        <f>IF($BM180="","",IFERROR(VLOOKUP($BM180,DECODE!$A$3:$C$8,3,FALSE),"?"))</f>
        <v/>
      </c>
      <c r="BP180">
        <f>IF($BN180="","",IFERROR(VLOOKUP($BM180&amp;"-"&amp;$BN180,DECODE!$E$3:$F$21,2,FALSE),"?"))</f>
        <v/>
      </c>
      <c r="BQ180">
        <f>IF($BL180="","",IFERROR(VALUE(RIGHT($BL180,3)),""))</f>
        <v/>
      </c>
      <c r="BR180">
        <f>IF($W180="","",IFERROR(IF(ISNUMBER($W180),$W180,DATEVALUE(TRIM($W180))),""))</f>
        <v/>
      </c>
      <c r="BS180">
        <f>IF($BR180="","",IF(MONTH($BR180)&gt;=12,"Cold Winter",IF(MONTH($BR180)&gt;=10,"Post-Monsoon",IF(MONTH($BR180)&gt;=6,"Hot Humid",IF(MONTH($BR180)&gt;=3,"Hot Dry","Cold Winter")))))</f>
        <v/>
      </c>
      <c r="BT180">
        <f>IF($BM180="","",IFERROR(VLOOKUP($BM180,DECODE!$A$3:$C$8,2,FALSE),"?"))</f>
        <v/>
      </c>
      <c r="BU180">
        <f>IF($R180="","",UPPER(TRIM(LEFT($R180&amp;",",FIND(",",$R180&amp;",")-1))))</f>
        <v/>
      </c>
      <c r="BV180">
        <f>IF($BU180="","",MID($BU180,4,FIND("~",SUBSTITUTE($BU180,"-","~",2))-4))</f>
        <v/>
      </c>
      <c r="BW180">
        <f>IF($BU180="","",MID($BU180,FIND("~",SUBSTITUTE($BU180,"-","~",2))+1,FIND("~",SUBSTITUTE($BU180,"-","~",3))-FIND("~",SUBSTITUTE($BU180,"-","~",2))-1))</f>
        <v/>
      </c>
      <c r="BX180">
        <f>IF($BV180="","",IFERROR(VLOOKUP($BV180,DECODE!$A$3:$C$8,3,FALSE),"?"))</f>
        <v/>
      </c>
      <c r="BY180">
        <f>IF($BW180="","",IFERROR(VLOOKUP($BV180&amp;"-"&amp;$BW180,DECODE!$E$3:$F$21,2,FALSE),"?"))</f>
        <v/>
      </c>
      <c r="BZ180">
        <f>IF($BU180="","",IFERROR(VALUE(RIGHT($BU180,3)),""))</f>
        <v/>
      </c>
      <c r="CA180">
        <f>IF($X180="","",IFERROR(IF(ISNUMBER($X180),$X180,DATEVALUE(TRIM($X180))),""))</f>
        <v/>
      </c>
      <c r="CB180">
        <f>IF($CA180="","",IF(MONTH($CA180)&gt;=12,"Cold Winter",IF(MONTH($CA180)&gt;=10,"Post-Monsoon",IF(MONTH($CA180)&gt;=6,"Hot Humid",IF(MONTH($CA180)&gt;=3,"Hot Dry","Cold Winter")))))</f>
        <v/>
      </c>
      <c r="CC180">
        <f>IF($BV180="","",IFERROR(VLOOKUP($BV180,DECODE!$A$3:$C$8,2,FALSE),"?"))</f>
        <v/>
      </c>
      <c r="CD180">
        <f>IF($S180="","",UPPER(TRIM(LEFT($S180&amp;",",FIND(",",$S180&amp;",")-1))))</f>
        <v/>
      </c>
      <c r="CE180">
        <f>IF($CD180="","",MID($CD180,4,FIND("~",SUBSTITUTE($CD180,"-","~",2))-4))</f>
        <v/>
      </c>
      <c r="CF180">
        <f>IF($CD180="","",MID($CD180,FIND("~",SUBSTITUTE($CD180,"-","~",2))+1,FIND("~",SUBSTITUTE($CD180,"-","~",3))-FIND("~",SUBSTITUTE($CD180,"-","~",2))-1))</f>
        <v/>
      </c>
      <c r="CG180">
        <f>IF($CE180="","",IFERROR(VLOOKUP($CE180,DECODE!$A$3:$C$8,3,FALSE),"?"))</f>
        <v/>
      </c>
      <c r="CH180">
        <f>IF($CF180="","",IFERROR(VLOOKUP($CE180&amp;"-"&amp;$CF180,DECODE!$E$3:$F$21,2,FALSE),"?"))</f>
        <v/>
      </c>
      <c r="CI180">
        <f>IF($CD180="","",IFERROR(VALUE(RIGHT($CD180,3)),""))</f>
        <v/>
      </c>
      <c r="CJ180">
        <f>IF($Y180="","",IFERROR(IF(ISNUMBER($Y180),$Y180,DATEVALUE(TRIM($Y180))),""))</f>
        <v/>
      </c>
      <c r="CK180">
        <f>IF($CJ180="","",IF(MONTH($CJ180)&gt;=12,"Cold Winter",IF(MONTH($CJ180)&gt;=10,"Post-Monsoon",IF(MONTH($CJ180)&gt;=6,"Hot Humid",IF(MONTH($CJ180)&gt;=3,"Hot Dry","Cold Winter")))))</f>
        <v/>
      </c>
      <c r="CL180">
        <f>IF($CE180="","",IFERROR(VLOOKUP($CE180,DECODE!$A$3:$C$8,2,FALSE),"?"))</f>
        <v/>
      </c>
      <c r="CM180">
        <f>IF($AN180="","",AN180)</f>
        <v/>
      </c>
      <c r="CN180">
        <f>IF($AO180="","",AO180)</f>
        <v/>
      </c>
      <c r="CO180">
        <f>IF($AP180="","",AP180)</f>
        <v/>
      </c>
      <c r="CP180">
        <f>IF($CM180="","",IF($CM180="Aloe Vera Gel","Aloe Vera Gel "&amp;$CO180&amp;"g",CN180&amp;" "&amp;$CO180&amp;"g"))</f>
        <v/>
      </c>
      <c r="CQ180">
        <f>IF($AT180="",0,1)</f>
        <v/>
      </c>
      <c r="CR180">
        <f>IF($CQ180=0,"",AW180)</f>
        <v/>
      </c>
      <c r="CS180">
        <f>IF($CQ180=0,"",AX180)</f>
        <v/>
      </c>
      <c r="CT180">
        <f>IF($CQ180=0,"",AY180)</f>
        <v/>
      </c>
      <c r="CU180">
        <f>IF($CR180="","",IF($CR180="Aloe Vera Gel","Aloe Vera Gel "&amp;$CT180&amp;"g",CS180&amp;" "&amp;$CT180&amp;"g"))</f>
        <v/>
      </c>
      <c r="CV180">
        <f>IF($CQ180=0,"",IF($CP180=$CU180,"Repeat Exact",IF($CT180&gt;$CO180,"Upsized",IF($CT180&lt;$CO180,"Downsized",IF($CM180&lt;&gt;$CR180,"Lateral","Same Size Diff Variant")))))</f>
        <v/>
      </c>
      <c r="CW180">
        <f>IF($CQ180=0,"",AZ180-AQ180)</f>
        <v/>
      </c>
      <c r="CX180">
        <f>IF($CQ180=0,0,IF(CS180=CN180,1,0))</f>
        <v/>
      </c>
      <c r="CY180">
        <f>IF($CQ180=0,0,IF(CR180=CM180,1,0))</f>
        <v/>
      </c>
      <c r="CZ180">
        <f>IF($A180="","",IF(AND(IF(DASHBOARD!$C$4="All",TRUE,$CM180=DASHBOARD!$C$4),IF(DASHBOARD!$C$6="All",TRUE,$CP180=DASHBOARD!$C$6),IF(DASHBOARD!$C$8="All",TRUE,$AF180&gt;=DASHBOARD!$C$8),IF(DASHBOARD!$C$10="All",TRUE,$AF180&lt;=DASHBOARD!$C$10),IF(DASHBOARD!$C$12="All",TRUE,$AH180=VALUE(DASHBOARD!$C$12)),IF(DASHBOARD!$C$14="All",TRUE,$AJ180=DASHBOARD!$C$14)),1,0))</f>
        <v/>
      </c>
    </row>
    <row r="181">
      <c r="A181" t="n">
        <v>124239</v>
      </c>
      <c r="B181" t="inlineStr">
        <is>
          <t>Aloe Vera Gel</t>
        </is>
      </c>
      <c r="H181" t="inlineStr">
        <is>
          <t>Aloe Vera Gel - 40 gms</t>
        </is>
      </c>
      <c r="N181" t="inlineStr">
        <is>
          <t>FC-HG-PA-040</t>
        </is>
      </c>
      <c r="T181" t="inlineStr">
        <is>
          <t>Feb 28, 2024</t>
        </is>
      </c>
      <c r="AE181" t="inlineStr">
        <is>
          <t>Bengaluru</t>
        </is>
      </c>
      <c r="AF181" t="inlineStr">
        <is>
          <t>2024-02</t>
        </is>
      </c>
      <c r="AG181" t="n">
        <v>2</v>
      </c>
      <c r="AH181" t="n">
        <v>1</v>
      </c>
      <c r="AI181" t="n">
        <v>0</v>
      </c>
      <c r="AJ181">
        <f>IF($AE181="","",IFERROR(VLOOKUP(TRIM($AE181),DECODE!$H$3:$I$60,2,FALSE),"Rest of India"))</f>
        <v/>
      </c>
      <c r="AK181">
        <f>IF($N181="","",UPPER(TRIM(LEFT($N181&amp;",",FIND(",",$N181&amp;",")-1))))</f>
        <v/>
      </c>
      <c r="AL181">
        <f>IF($AK181="","",MID($AK181,4,FIND("~",SUBSTITUTE($AK181,"-","~",2))-4))</f>
        <v/>
      </c>
      <c r="AM181">
        <f>IF($AK181="","",MID($AK181,FIND("~",SUBSTITUTE($AK181,"-","~",2))+1,FIND("~",SUBSTITUTE($AK181,"-","~",3))-FIND("~",SUBSTITUTE($AK181,"-","~",2))-1))</f>
        <v/>
      </c>
      <c r="AN181">
        <f>IF($AL181="","",IFERROR(VLOOKUP($AL181,DECODE!$A$3:$C$8,3,FALSE),"?"))</f>
        <v/>
      </c>
      <c r="AO181">
        <f>IF($AM181="","",IFERROR(VLOOKUP($AL181&amp;"-"&amp;$AM181,DECODE!$E$3:$F$21,2,FALSE),"?"))</f>
        <v/>
      </c>
      <c r="AP181">
        <f>IF($AK181="","",IFERROR(VALUE(RIGHT($AK181,3)),""))</f>
        <v/>
      </c>
      <c r="AQ181">
        <f>IF($T181="","",IFERROR(IF(ISNUMBER($T181),$T181,DATEVALUE(TRIM($T181))),""))</f>
        <v/>
      </c>
      <c r="AR181">
        <f>IF($AQ181="","",IF(MONTH($AQ181)&gt;=12,"Cold Winter",IF(MONTH($AQ181)&gt;=10,"Post-Monsoon",IF(MONTH($AQ181)&gt;=6,"Hot Humid",IF(MONTH($AQ181)&gt;=3,"Hot Dry","Cold Winter")))))</f>
        <v/>
      </c>
      <c r="AS181">
        <f>IF($AL181="","",IFERROR(VLOOKUP($AL181,DECODE!$A$3:$C$8,2,FALSE),"?"))</f>
        <v/>
      </c>
      <c r="AT181">
        <f>IF($O181="","",UPPER(TRIM(LEFT($O181&amp;",",FIND(",",$O181&amp;",")-1))))</f>
        <v/>
      </c>
      <c r="AU181">
        <f>IF($AT181="","",MID($AT181,4,FIND("~",SUBSTITUTE($AT181,"-","~",2))-4))</f>
        <v/>
      </c>
      <c r="AV181">
        <f>IF($AT181="","",MID($AT181,FIND("~",SUBSTITUTE($AT181,"-","~",2))+1,FIND("~",SUBSTITUTE($AT181,"-","~",3))-FIND("~",SUBSTITUTE($AT181,"-","~",2))-1))</f>
        <v/>
      </c>
      <c r="AW181">
        <f>IF($AU181="","",IFERROR(VLOOKUP($AU181,DECODE!$A$3:$C$8,3,FALSE),"?"))</f>
        <v/>
      </c>
      <c r="AX181">
        <f>IF($AV181="","",IFERROR(VLOOKUP($AU181&amp;"-"&amp;$AV181,DECODE!$E$3:$F$21,2,FALSE),"?"))</f>
        <v/>
      </c>
      <c r="AY181">
        <f>IF($AT181="","",IFERROR(VALUE(RIGHT($AT181,3)),""))</f>
        <v/>
      </c>
      <c r="AZ181">
        <f>IF($U181="","",IFERROR(IF(ISNUMBER($U181),$U181,DATEVALUE(TRIM($U181))),""))</f>
        <v/>
      </c>
      <c r="BA181">
        <f>IF($AZ181="","",IF(MONTH($AZ181)&gt;=12,"Cold Winter",IF(MONTH($AZ181)&gt;=10,"Post-Monsoon",IF(MONTH($AZ181)&gt;=6,"Hot Humid",IF(MONTH($AZ181)&gt;=3,"Hot Dry","Cold Winter")))))</f>
        <v/>
      </c>
      <c r="BB181">
        <f>IF($AU181="","",IFERROR(VLOOKUP($AU181,DECODE!$A$3:$C$8,2,FALSE),"?"))</f>
        <v/>
      </c>
      <c r="BC181">
        <f>IF($P181="","",UPPER(TRIM(LEFT($P181&amp;",",FIND(",",$P181&amp;",")-1))))</f>
        <v/>
      </c>
      <c r="BD181">
        <f>IF($BC181="","",MID($BC181,4,FIND("~",SUBSTITUTE($BC181,"-","~",2))-4))</f>
        <v/>
      </c>
      <c r="BE181">
        <f>IF($BC181="","",MID($BC181,FIND("~",SUBSTITUTE($BC181,"-","~",2))+1,FIND("~",SUBSTITUTE($BC181,"-","~",3))-FIND("~",SUBSTITUTE($BC181,"-","~",2))-1))</f>
        <v/>
      </c>
      <c r="BF181">
        <f>IF($BD181="","",IFERROR(VLOOKUP($BD181,DECODE!$A$3:$C$8,3,FALSE),"?"))</f>
        <v/>
      </c>
      <c r="BG181">
        <f>IF($BE181="","",IFERROR(VLOOKUP($BD181&amp;"-"&amp;$BE181,DECODE!$E$3:$F$21,2,FALSE),"?"))</f>
        <v/>
      </c>
      <c r="BH181">
        <f>IF($BC181="","",IFERROR(VALUE(RIGHT($BC181,3)),""))</f>
        <v/>
      </c>
      <c r="BI181">
        <f>IF($V181="","",IFERROR(IF(ISNUMBER($V181),$V181,DATEVALUE(TRIM($V181))),""))</f>
        <v/>
      </c>
      <c r="BJ181">
        <f>IF($BI181="","",IF(MONTH($BI181)&gt;=12,"Cold Winter",IF(MONTH($BI181)&gt;=10,"Post-Monsoon",IF(MONTH($BI181)&gt;=6,"Hot Humid",IF(MONTH($BI181)&gt;=3,"Hot Dry","Cold Winter")))))</f>
        <v/>
      </c>
      <c r="BK181">
        <f>IF($BD181="","",IFERROR(VLOOKUP($BD181,DECODE!$A$3:$C$8,2,FALSE),"?"))</f>
        <v/>
      </c>
      <c r="BL181">
        <f>IF($Q181="","",UPPER(TRIM(LEFT($Q181&amp;",",FIND(",",$Q181&amp;",")-1))))</f>
        <v/>
      </c>
      <c r="BM181">
        <f>IF($BL181="","",MID($BL181,4,FIND("~",SUBSTITUTE($BL181,"-","~",2))-4))</f>
        <v/>
      </c>
      <c r="BN181">
        <f>IF($BL181="","",MID($BL181,FIND("~",SUBSTITUTE($BL181,"-","~",2))+1,FIND("~",SUBSTITUTE($BL181,"-","~",3))-FIND("~",SUBSTITUTE($BL181,"-","~",2))-1))</f>
        <v/>
      </c>
      <c r="BO181">
        <f>IF($BM181="","",IFERROR(VLOOKUP($BM181,DECODE!$A$3:$C$8,3,FALSE),"?"))</f>
        <v/>
      </c>
      <c r="BP181">
        <f>IF($BN181="","",IFERROR(VLOOKUP($BM181&amp;"-"&amp;$BN181,DECODE!$E$3:$F$21,2,FALSE),"?"))</f>
        <v/>
      </c>
      <c r="BQ181">
        <f>IF($BL181="","",IFERROR(VALUE(RIGHT($BL181,3)),""))</f>
        <v/>
      </c>
      <c r="BR181">
        <f>IF($W181="","",IFERROR(IF(ISNUMBER($W181),$W181,DATEVALUE(TRIM($W181))),""))</f>
        <v/>
      </c>
      <c r="BS181">
        <f>IF($BR181="","",IF(MONTH($BR181)&gt;=12,"Cold Winter",IF(MONTH($BR181)&gt;=10,"Post-Monsoon",IF(MONTH($BR181)&gt;=6,"Hot Humid",IF(MONTH($BR181)&gt;=3,"Hot Dry","Cold Winter")))))</f>
        <v/>
      </c>
      <c r="BT181">
        <f>IF($BM181="","",IFERROR(VLOOKUP($BM181,DECODE!$A$3:$C$8,2,FALSE),"?"))</f>
        <v/>
      </c>
      <c r="BU181">
        <f>IF($R181="","",UPPER(TRIM(LEFT($R181&amp;",",FIND(",",$R181&amp;",")-1))))</f>
        <v/>
      </c>
      <c r="BV181">
        <f>IF($BU181="","",MID($BU181,4,FIND("~",SUBSTITUTE($BU181,"-","~",2))-4))</f>
        <v/>
      </c>
      <c r="BW181">
        <f>IF($BU181="","",MID($BU181,FIND("~",SUBSTITUTE($BU181,"-","~",2))+1,FIND("~",SUBSTITUTE($BU181,"-","~",3))-FIND("~",SUBSTITUTE($BU181,"-","~",2))-1))</f>
        <v/>
      </c>
      <c r="BX181">
        <f>IF($BV181="","",IFERROR(VLOOKUP($BV181,DECODE!$A$3:$C$8,3,FALSE),"?"))</f>
        <v/>
      </c>
      <c r="BY181">
        <f>IF($BW181="","",IFERROR(VLOOKUP($BV181&amp;"-"&amp;$BW181,DECODE!$E$3:$F$21,2,FALSE),"?"))</f>
        <v/>
      </c>
      <c r="BZ181">
        <f>IF($BU181="","",IFERROR(VALUE(RIGHT($BU181,3)),""))</f>
        <v/>
      </c>
      <c r="CA181">
        <f>IF($X181="","",IFERROR(IF(ISNUMBER($X181),$X181,DATEVALUE(TRIM($X181))),""))</f>
        <v/>
      </c>
      <c r="CB181">
        <f>IF($CA181="","",IF(MONTH($CA181)&gt;=12,"Cold Winter",IF(MONTH($CA181)&gt;=10,"Post-Monsoon",IF(MONTH($CA181)&gt;=6,"Hot Humid",IF(MONTH($CA181)&gt;=3,"Hot Dry","Cold Winter")))))</f>
        <v/>
      </c>
      <c r="CC181">
        <f>IF($BV181="","",IFERROR(VLOOKUP($BV181,DECODE!$A$3:$C$8,2,FALSE),"?"))</f>
        <v/>
      </c>
      <c r="CD181">
        <f>IF($S181="","",UPPER(TRIM(LEFT($S181&amp;",",FIND(",",$S181&amp;",")-1))))</f>
        <v/>
      </c>
      <c r="CE181">
        <f>IF($CD181="","",MID($CD181,4,FIND("~",SUBSTITUTE($CD181,"-","~",2))-4))</f>
        <v/>
      </c>
      <c r="CF181">
        <f>IF($CD181="","",MID($CD181,FIND("~",SUBSTITUTE($CD181,"-","~",2))+1,FIND("~",SUBSTITUTE($CD181,"-","~",3))-FIND("~",SUBSTITUTE($CD181,"-","~",2))-1))</f>
        <v/>
      </c>
      <c r="CG181">
        <f>IF($CE181="","",IFERROR(VLOOKUP($CE181,DECODE!$A$3:$C$8,3,FALSE),"?"))</f>
        <v/>
      </c>
      <c r="CH181">
        <f>IF($CF181="","",IFERROR(VLOOKUP($CE181&amp;"-"&amp;$CF181,DECODE!$E$3:$F$21,2,FALSE),"?"))</f>
        <v/>
      </c>
      <c r="CI181">
        <f>IF($CD181="","",IFERROR(VALUE(RIGHT($CD181,3)),""))</f>
        <v/>
      </c>
      <c r="CJ181">
        <f>IF($Y181="","",IFERROR(IF(ISNUMBER($Y181),$Y181,DATEVALUE(TRIM($Y181))),""))</f>
        <v/>
      </c>
      <c r="CK181">
        <f>IF($CJ181="","",IF(MONTH($CJ181)&gt;=12,"Cold Winter",IF(MONTH($CJ181)&gt;=10,"Post-Monsoon",IF(MONTH($CJ181)&gt;=6,"Hot Humid",IF(MONTH($CJ181)&gt;=3,"Hot Dry","Cold Winter")))))</f>
        <v/>
      </c>
      <c r="CL181">
        <f>IF($CE181="","",IFERROR(VLOOKUP($CE181,DECODE!$A$3:$C$8,2,FALSE),"?"))</f>
        <v/>
      </c>
      <c r="CM181">
        <f>IF($AN181="","",AN181)</f>
        <v/>
      </c>
      <c r="CN181">
        <f>IF($AO181="","",AO181)</f>
        <v/>
      </c>
      <c r="CO181">
        <f>IF($AP181="","",AP181)</f>
        <v/>
      </c>
      <c r="CP181">
        <f>IF($CM181="","",IF($CM181="Aloe Vera Gel","Aloe Vera Gel "&amp;$CO181&amp;"g",CN181&amp;" "&amp;$CO181&amp;"g"))</f>
        <v/>
      </c>
      <c r="CQ181">
        <f>IF($AT181="",0,1)</f>
        <v/>
      </c>
      <c r="CR181">
        <f>IF($CQ181=0,"",AW181)</f>
        <v/>
      </c>
      <c r="CS181">
        <f>IF($CQ181=0,"",AX181)</f>
        <v/>
      </c>
      <c r="CT181">
        <f>IF($CQ181=0,"",AY181)</f>
        <v/>
      </c>
      <c r="CU181">
        <f>IF($CR181="","",IF($CR181="Aloe Vera Gel","Aloe Vera Gel "&amp;$CT181&amp;"g",CS181&amp;" "&amp;$CT181&amp;"g"))</f>
        <v/>
      </c>
      <c r="CV181">
        <f>IF($CQ181=0,"",IF($CP181=$CU181,"Repeat Exact",IF($CT181&gt;$CO181,"Upsized",IF($CT181&lt;$CO181,"Downsized",IF($CM181&lt;&gt;$CR181,"Lateral","Same Size Diff Variant")))))</f>
        <v/>
      </c>
      <c r="CW181">
        <f>IF($CQ181=0,"",AZ181-AQ181)</f>
        <v/>
      </c>
      <c r="CX181">
        <f>IF($CQ181=0,0,IF(CS181=CN181,1,0))</f>
        <v/>
      </c>
      <c r="CY181">
        <f>IF($CQ181=0,0,IF(CR181=CM181,1,0))</f>
        <v/>
      </c>
      <c r="CZ181">
        <f>IF($A181="","",IF(AND(IF(DASHBOARD!$C$4="All",TRUE,$CM181=DASHBOARD!$C$4),IF(DASHBOARD!$C$6="All",TRUE,$CP181=DASHBOARD!$C$6),IF(DASHBOARD!$C$8="All",TRUE,$AF181&gt;=DASHBOARD!$C$8),IF(DASHBOARD!$C$10="All",TRUE,$AF181&lt;=DASHBOARD!$C$10),IF(DASHBOARD!$C$12="All",TRUE,$AH181=VALUE(DASHBOARD!$C$12)),IF(DASHBOARD!$C$14="All",TRUE,$AJ181=DASHBOARD!$C$14)),1,0))</f>
        <v/>
      </c>
    </row>
    <row r="182">
      <c r="A182" t="n">
        <v>124380</v>
      </c>
      <c r="B182" t="inlineStr">
        <is>
          <t>Face Malai</t>
        </is>
      </c>
      <c r="H182" t="inlineStr">
        <is>
          <t>Tomato Vetiver (Hot Humid) 20 - 35 Yrs Face Malai</t>
        </is>
      </c>
      <c r="N182" t="inlineStr">
        <is>
          <t>FC-HHDM-TV-030</t>
        </is>
      </c>
      <c r="T182" t="inlineStr">
        <is>
          <t>Mar 16, 2024</t>
        </is>
      </c>
      <c r="AE182" t="inlineStr">
        <is>
          <t>Gurgaon</t>
        </is>
      </c>
      <c r="AF182" t="inlineStr">
        <is>
          <t>2024-03</t>
        </is>
      </c>
      <c r="AG182" t="n">
        <v>3</v>
      </c>
      <c r="AH182" t="n">
        <v>1</v>
      </c>
      <c r="AI182" t="n">
        <v>0</v>
      </c>
      <c r="AJ182">
        <f>IF($AE182="","",IFERROR(VLOOKUP(TRIM($AE182),DECODE!$H$3:$I$60,2,FALSE),"Rest of India"))</f>
        <v/>
      </c>
      <c r="AK182">
        <f>IF($N182="","",UPPER(TRIM(LEFT($N182&amp;",",FIND(",",$N182&amp;",")-1))))</f>
        <v/>
      </c>
      <c r="AL182">
        <f>IF($AK182="","",MID($AK182,4,FIND("~",SUBSTITUTE($AK182,"-","~",2))-4))</f>
        <v/>
      </c>
      <c r="AM182">
        <f>IF($AK182="","",MID($AK182,FIND("~",SUBSTITUTE($AK182,"-","~",2))+1,FIND("~",SUBSTITUTE($AK182,"-","~",3))-FIND("~",SUBSTITUTE($AK182,"-","~",2))-1))</f>
        <v/>
      </c>
      <c r="AN182">
        <f>IF($AL182="","",IFERROR(VLOOKUP($AL182,DECODE!$A$3:$C$8,3,FALSE),"?"))</f>
        <v/>
      </c>
      <c r="AO182">
        <f>IF($AM182="","",IFERROR(VLOOKUP($AL182&amp;"-"&amp;$AM182,DECODE!$E$3:$F$21,2,FALSE),"?"))</f>
        <v/>
      </c>
      <c r="AP182">
        <f>IF($AK182="","",IFERROR(VALUE(RIGHT($AK182,3)),""))</f>
        <v/>
      </c>
      <c r="AQ182">
        <f>IF($T182="","",IFERROR(IF(ISNUMBER($T182),$T182,DATEVALUE(TRIM($T182))),""))</f>
        <v/>
      </c>
      <c r="AR182">
        <f>IF($AQ182="","",IF(MONTH($AQ182)&gt;=12,"Cold Winter",IF(MONTH($AQ182)&gt;=10,"Post-Monsoon",IF(MONTH($AQ182)&gt;=6,"Hot Humid",IF(MONTH($AQ182)&gt;=3,"Hot Dry","Cold Winter")))))</f>
        <v/>
      </c>
      <c r="AS182">
        <f>IF($AL182="","",IFERROR(VLOOKUP($AL182,DECODE!$A$3:$C$8,2,FALSE),"?"))</f>
        <v/>
      </c>
      <c r="AT182">
        <f>IF($O182="","",UPPER(TRIM(LEFT($O182&amp;",",FIND(",",$O182&amp;",")-1))))</f>
        <v/>
      </c>
      <c r="AU182">
        <f>IF($AT182="","",MID($AT182,4,FIND("~",SUBSTITUTE($AT182,"-","~",2))-4))</f>
        <v/>
      </c>
      <c r="AV182">
        <f>IF($AT182="","",MID($AT182,FIND("~",SUBSTITUTE($AT182,"-","~",2))+1,FIND("~",SUBSTITUTE($AT182,"-","~",3))-FIND("~",SUBSTITUTE($AT182,"-","~",2))-1))</f>
        <v/>
      </c>
      <c r="AW182">
        <f>IF($AU182="","",IFERROR(VLOOKUP($AU182,DECODE!$A$3:$C$8,3,FALSE),"?"))</f>
        <v/>
      </c>
      <c r="AX182">
        <f>IF($AV182="","",IFERROR(VLOOKUP($AU182&amp;"-"&amp;$AV182,DECODE!$E$3:$F$21,2,FALSE),"?"))</f>
        <v/>
      </c>
      <c r="AY182">
        <f>IF($AT182="","",IFERROR(VALUE(RIGHT($AT182,3)),""))</f>
        <v/>
      </c>
      <c r="AZ182">
        <f>IF($U182="","",IFERROR(IF(ISNUMBER($U182),$U182,DATEVALUE(TRIM($U182))),""))</f>
        <v/>
      </c>
      <c r="BA182">
        <f>IF($AZ182="","",IF(MONTH($AZ182)&gt;=12,"Cold Winter",IF(MONTH($AZ182)&gt;=10,"Post-Monsoon",IF(MONTH($AZ182)&gt;=6,"Hot Humid",IF(MONTH($AZ182)&gt;=3,"Hot Dry","Cold Winter")))))</f>
        <v/>
      </c>
      <c r="BB182">
        <f>IF($AU182="","",IFERROR(VLOOKUP($AU182,DECODE!$A$3:$C$8,2,FALSE),"?"))</f>
        <v/>
      </c>
      <c r="BC182">
        <f>IF($P182="","",UPPER(TRIM(LEFT($P182&amp;",",FIND(",",$P182&amp;",")-1))))</f>
        <v/>
      </c>
      <c r="BD182">
        <f>IF($BC182="","",MID($BC182,4,FIND("~",SUBSTITUTE($BC182,"-","~",2))-4))</f>
        <v/>
      </c>
      <c r="BE182">
        <f>IF($BC182="","",MID($BC182,FIND("~",SUBSTITUTE($BC182,"-","~",2))+1,FIND("~",SUBSTITUTE($BC182,"-","~",3))-FIND("~",SUBSTITUTE($BC182,"-","~",2))-1))</f>
        <v/>
      </c>
      <c r="BF182">
        <f>IF($BD182="","",IFERROR(VLOOKUP($BD182,DECODE!$A$3:$C$8,3,FALSE),"?"))</f>
        <v/>
      </c>
      <c r="BG182">
        <f>IF($BE182="","",IFERROR(VLOOKUP($BD182&amp;"-"&amp;$BE182,DECODE!$E$3:$F$21,2,FALSE),"?"))</f>
        <v/>
      </c>
      <c r="BH182">
        <f>IF($BC182="","",IFERROR(VALUE(RIGHT($BC182,3)),""))</f>
        <v/>
      </c>
      <c r="BI182">
        <f>IF($V182="","",IFERROR(IF(ISNUMBER($V182),$V182,DATEVALUE(TRIM($V182))),""))</f>
        <v/>
      </c>
      <c r="BJ182">
        <f>IF($BI182="","",IF(MONTH($BI182)&gt;=12,"Cold Winter",IF(MONTH($BI182)&gt;=10,"Post-Monsoon",IF(MONTH($BI182)&gt;=6,"Hot Humid",IF(MONTH($BI182)&gt;=3,"Hot Dry","Cold Winter")))))</f>
        <v/>
      </c>
      <c r="BK182">
        <f>IF($BD182="","",IFERROR(VLOOKUP($BD182,DECODE!$A$3:$C$8,2,FALSE),"?"))</f>
        <v/>
      </c>
      <c r="BL182">
        <f>IF($Q182="","",UPPER(TRIM(LEFT($Q182&amp;",",FIND(",",$Q182&amp;",")-1))))</f>
        <v/>
      </c>
      <c r="BM182">
        <f>IF($BL182="","",MID($BL182,4,FIND("~",SUBSTITUTE($BL182,"-","~",2))-4))</f>
        <v/>
      </c>
      <c r="BN182">
        <f>IF($BL182="","",MID($BL182,FIND("~",SUBSTITUTE($BL182,"-","~",2))+1,FIND("~",SUBSTITUTE($BL182,"-","~",3))-FIND("~",SUBSTITUTE($BL182,"-","~",2))-1))</f>
        <v/>
      </c>
      <c r="BO182">
        <f>IF($BM182="","",IFERROR(VLOOKUP($BM182,DECODE!$A$3:$C$8,3,FALSE),"?"))</f>
        <v/>
      </c>
      <c r="BP182">
        <f>IF($BN182="","",IFERROR(VLOOKUP($BM182&amp;"-"&amp;$BN182,DECODE!$E$3:$F$21,2,FALSE),"?"))</f>
        <v/>
      </c>
      <c r="BQ182">
        <f>IF($BL182="","",IFERROR(VALUE(RIGHT($BL182,3)),""))</f>
        <v/>
      </c>
      <c r="BR182">
        <f>IF($W182="","",IFERROR(IF(ISNUMBER($W182),$W182,DATEVALUE(TRIM($W182))),""))</f>
        <v/>
      </c>
      <c r="BS182">
        <f>IF($BR182="","",IF(MONTH($BR182)&gt;=12,"Cold Winter",IF(MONTH($BR182)&gt;=10,"Post-Monsoon",IF(MONTH($BR182)&gt;=6,"Hot Humid",IF(MONTH($BR182)&gt;=3,"Hot Dry","Cold Winter")))))</f>
        <v/>
      </c>
      <c r="BT182">
        <f>IF($BM182="","",IFERROR(VLOOKUP($BM182,DECODE!$A$3:$C$8,2,FALSE),"?"))</f>
        <v/>
      </c>
      <c r="BU182">
        <f>IF($R182="","",UPPER(TRIM(LEFT($R182&amp;",",FIND(",",$R182&amp;",")-1))))</f>
        <v/>
      </c>
      <c r="BV182">
        <f>IF($BU182="","",MID($BU182,4,FIND("~",SUBSTITUTE($BU182,"-","~",2))-4))</f>
        <v/>
      </c>
      <c r="BW182">
        <f>IF($BU182="","",MID($BU182,FIND("~",SUBSTITUTE($BU182,"-","~",2))+1,FIND("~",SUBSTITUTE($BU182,"-","~",3))-FIND("~",SUBSTITUTE($BU182,"-","~",2))-1))</f>
        <v/>
      </c>
      <c r="BX182">
        <f>IF($BV182="","",IFERROR(VLOOKUP($BV182,DECODE!$A$3:$C$8,3,FALSE),"?"))</f>
        <v/>
      </c>
      <c r="BY182">
        <f>IF($BW182="","",IFERROR(VLOOKUP($BV182&amp;"-"&amp;$BW182,DECODE!$E$3:$F$21,2,FALSE),"?"))</f>
        <v/>
      </c>
      <c r="BZ182">
        <f>IF($BU182="","",IFERROR(VALUE(RIGHT($BU182,3)),""))</f>
        <v/>
      </c>
      <c r="CA182">
        <f>IF($X182="","",IFERROR(IF(ISNUMBER($X182),$X182,DATEVALUE(TRIM($X182))),""))</f>
        <v/>
      </c>
      <c r="CB182">
        <f>IF($CA182="","",IF(MONTH($CA182)&gt;=12,"Cold Winter",IF(MONTH($CA182)&gt;=10,"Post-Monsoon",IF(MONTH($CA182)&gt;=6,"Hot Humid",IF(MONTH($CA182)&gt;=3,"Hot Dry","Cold Winter")))))</f>
        <v/>
      </c>
      <c r="CC182">
        <f>IF($BV182="","",IFERROR(VLOOKUP($BV182,DECODE!$A$3:$C$8,2,FALSE),"?"))</f>
        <v/>
      </c>
      <c r="CD182">
        <f>IF($S182="","",UPPER(TRIM(LEFT($S182&amp;",",FIND(",",$S182&amp;",")-1))))</f>
        <v/>
      </c>
      <c r="CE182">
        <f>IF($CD182="","",MID($CD182,4,FIND("~",SUBSTITUTE($CD182,"-","~",2))-4))</f>
        <v/>
      </c>
      <c r="CF182">
        <f>IF($CD182="","",MID($CD182,FIND("~",SUBSTITUTE($CD182,"-","~",2))+1,FIND("~",SUBSTITUTE($CD182,"-","~",3))-FIND("~",SUBSTITUTE($CD182,"-","~",2))-1))</f>
        <v/>
      </c>
      <c r="CG182">
        <f>IF($CE182="","",IFERROR(VLOOKUP($CE182,DECODE!$A$3:$C$8,3,FALSE),"?"))</f>
        <v/>
      </c>
      <c r="CH182">
        <f>IF($CF182="","",IFERROR(VLOOKUP($CE182&amp;"-"&amp;$CF182,DECODE!$E$3:$F$21,2,FALSE),"?"))</f>
        <v/>
      </c>
      <c r="CI182">
        <f>IF($CD182="","",IFERROR(VALUE(RIGHT($CD182,3)),""))</f>
        <v/>
      </c>
      <c r="CJ182">
        <f>IF($Y182="","",IFERROR(IF(ISNUMBER($Y182),$Y182,DATEVALUE(TRIM($Y182))),""))</f>
        <v/>
      </c>
      <c r="CK182">
        <f>IF($CJ182="","",IF(MONTH($CJ182)&gt;=12,"Cold Winter",IF(MONTH($CJ182)&gt;=10,"Post-Monsoon",IF(MONTH($CJ182)&gt;=6,"Hot Humid",IF(MONTH($CJ182)&gt;=3,"Hot Dry","Cold Winter")))))</f>
        <v/>
      </c>
      <c r="CL182">
        <f>IF($CE182="","",IFERROR(VLOOKUP($CE182,DECODE!$A$3:$C$8,2,FALSE),"?"))</f>
        <v/>
      </c>
      <c r="CM182">
        <f>IF($AN182="","",AN182)</f>
        <v/>
      </c>
      <c r="CN182">
        <f>IF($AO182="","",AO182)</f>
        <v/>
      </c>
      <c r="CO182">
        <f>IF($AP182="","",AP182)</f>
        <v/>
      </c>
      <c r="CP182">
        <f>IF($CM182="","",IF($CM182="Aloe Vera Gel","Aloe Vera Gel "&amp;$CO182&amp;"g",CN182&amp;" "&amp;$CO182&amp;"g"))</f>
        <v/>
      </c>
      <c r="CQ182">
        <f>IF($AT182="",0,1)</f>
        <v/>
      </c>
      <c r="CR182">
        <f>IF($CQ182=0,"",AW182)</f>
        <v/>
      </c>
      <c r="CS182">
        <f>IF($CQ182=0,"",AX182)</f>
        <v/>
      </c>
      <c r="CT182">
        <f>IF($CQ182=0,"",AY182)</f>
        <v/>
      </c>
      <c r="CU182">
        <f>IF($CR182="","",IF($CR182="Aloe Vera Gel","Aloe Vera Gel "&amp;$CT182&amp;"g",CS182&amp;" "&amp;$CT182&amp;"g"))</f>
        <v/>
      </c>
      <c r="CV182">
        <f>IF($CQ182=0,"",IF($CP182=$CU182,"Repeat Exact",IF($CT182&gt;$CO182,"Upsized",IF($CT182&lt;$CO182,"Downsized",IF($CM182&lt;&gt;$CR182,"Lateral","Same Size Diff Variant")))))</f>
        <v/>
      </c>
      <c r="CW182">
        <f>IF($CQ182=0,"",AZ182-AQ182)</f>
        <v/>
      </c>
      <c r="CX182">
        <f>IF($CQ182=0,0,IF(CS182=CN182,1,0))</f>
        <v/>
      </c>
      <c r="CY182">
        <f>IF($CQ182=0,0,IF(CR182=CM182,1,0))</f>
        <v/>
      </c>
      <c r="CZ182">
        <f>IF($A182="","",IF(AND(IF(DASHBOARD!$C$4="All",TRUE,$CM182=DASHBOARD!$C$4),IF(DASHBOARD!$C$6="All",TRUE,$CP182=DASHBOARD!$C$6),IF(DASHBOARD!$C$8="All",TRUE,$AF182&gt;=DASHBOARD!$C$8),IF(DASHBOARD!$C$10="All",TRUE,$AF182&lt;=DASHBOARD!$C$10),IF(DASHBOARD!$C$12="All",TRUE,$AH182=VALUE(DASHBOARD!$C$12)),IF(DASHBOARD!$C$14="All",TRUE,$AJ182=DASHBOARD!$C$14)),1,0))</f>
        <v/>
      </c>
    </row>
    <row r="183">
      <c r="A183" t="n">
        <v>125254</v>
      </c>
      <c r="B183" t="inlineStr">
        <is>
          <t>Aloe Vera Gel</t>
        </is>
      </c>
      <c r="H183" t="inlineStr">
        <is>
          <t>Aloe Vera Gel - 80 gms</t>
        </is>
      </c>
      <c r="N183" t="inlineStr">
        <is>
          <t>FC-HG-PA-080</t>
        </is>
      </c>
      <c r="T183" t="inlineStr">
        <is>
          <t>Jul 5, 2026</t>
        </is>
      </c>
      <c r="AE183" t="inlineStr">
        <is>
          <t>Gurgaon</t>
        </is>
      </c>
      <c r="AF183" t="inlineStr">
        <is>
          <t>2026-07</t>
        </is>
      </c>
      <c r="AG183" t="n">
        <v>7</v>
      </c>
      <c r="AH183" t="n">
        <v>1</v>
      </c>
      <c r="AI183" t="n">
        <v>0</v>
      </c>
      <c r="AJ183">
        <f>IF($AE183="","",IFERROR(VLOOKUP(TRIM($AE183),DECODE!$H$3:$I$60,2,FALSE),"Rest of India"))</f>
        <v/>
      </c>
      <c r="AK183">
        <f>IF($N183="","",UPPER(TRIM(LEFT($N183&amp;",",FIND(",",$N183&amp;",")-1))))</f>
        <v/>
      </c>
      <c r="AL183">
        <f>IF($AK183="","",MID($AK183,4,FIND("~",SUBSTITUTE($AK183,"-","~",2))-4))</f>
        <v/>
      </c>
      <c r="AM183">
        <f>IF($AK183="","",MID($AK183,FIND("~",SUBSTITUTE($AK183,"-","~",2))+1,FIND("~",SUBSTITUTE($AK183,"-","~",3))-FIND("~",SUBSTITUTE($AK183,"-","~",2))-1))</f>
        <v/>
      </c>
      <c r="AN183">
        <f>IF($AL183="","",IFERROR(VLOOKUP($AL183,DECODE!$A$3:$C$8,3,FALSE),"?"))</f>
        <v/>
      </c>
      <c r="AO183">
        <f>IF($AM183="","",IFERROR(VLOOKUP($AL183&amp;"-"&amp;$AM183,DECODE!$E$3:$F$21,2,FALSE),"?"))</f>
        <v/>
      </c>
      <c r="AP183">
        <f>IF($AK183="","",IFERROR(VALUE(RIGHT($AK183,3)),""))</f>
        <v/>
      </c>
      <c r="AQ183">
        <f>IF($T183="","",IFERROR(IF(ISNUMBER($T183),$T183,DATEVALUE(TRIM($T183))),""))</f>
        <v/>
      </c>
      <c r="AR183">
        <f>IF($AQ183="","",IF(MONTH($AQ183)&gt;=12,"Cold Winter",IF(MONTH($AQ183)&gt;=10,"Post-Monsoon",IF(MONTH($AQ183)&gt;=6,"Hot Humid",IF(MONTH($AQ183)&gt;=3,"Hot Dry","Cold Winter")))))</f>
        <v/>
      </c>
      <c r="AS183">
        <f>IF($AL183="","",IFERROR(VLOOKUP($AL183,DECODE!$A$3:$C$8,2,FALSE),"?"))</f>
        <v/>
      </c>
      <c r="AT183">
        <f>IF($O183="","",UPPER(TRIM(LEFT($O183&amp;",",FIND(",",$O183&amp;",")-1))))</f>
        <v/>
      </c>
      <c r="AU183">
        <f>IF($AT183="","",MID($AT183,4,FIND("~",SUBSTITUTE($AT183,"-","~",2))-4))</f>
        <v/>
      </c>
      <c r="AV183">
        <f>IF($AT183="","",MID($AT183,FIND("~",SUBSTITUTE($AT183,"-","~",2))+1,FIND("~",SUBSTITUTE($AT183,"-","~",3))-FIND("~",SUBSTITUTE($AT183,"-","~",2))-1))</f>
        <v/>
      </c>
      <c r="AW183">
        <f>IF($AU183="","",IFERROR(VLOOKUP($AU183,DECODE!$A$3:$C$8,3,FALSE),"?"))</f>
        <v/>
      </c>
      <c r="AX183">
        <f>IF($AV183="","",IFERROR(VLOOKUP($AU183&amp;"-"&amp;$AV183,DECODE!$E$3:$F$21,2,FALSE),"?"))</f>
        <v/>
      </c>
      <c r="AY183">
        <f>IF($AT183="","",IFERROR(VALUE(RIGHT($AT183,3)),""))</f>
        <v/>
      </c>
      <c r="AZ183">
        <f>IF($U183="","",IFERROR(IF(ISNUMBER($U183),$U183,DATEVALUE(TRIM($U183))),""))</f>
        <v/>
      </c>
      <c r="BA183">
        <f>IF($AZ183="","",IF(MONTH($AZ183)&gt;=12,"Cold Winter",IF(MONTH($AZ183)&gt;=10,"Post-Monsoon",IF(MONTH($AZ183)&gt;=6,"Hot Humid",IF(MONTH($AZ183)&gt;=3,"Hot Dry","Cold Winter")))))</f>
        <v/>
      </c>
      <c r="BB183">
        <f>IF($AU183="","",IFERROR(VLOOKUP($AU183,DECODE!$A$3:$C$8,2,FALSE),"?"))</f>
        <v/>
      </c>
      <c r="BC183">
        <f>IF($P183="","",UPPER(TRIM(LEFT($P183&amp;",",FIND(",",$P183&amp;",")-1))))</f>
        <v/>
      </c>
      <c r="BD183">
        <f>IF($BC183="","",MID($BC183,4,FIND("~",SUBSTITUTE($BC183,"-","~",2))-4))</f>
        <v/>
      </c>
      <c r="BE183">
        <f>IF($BC183="","",MID($BC183,FIND("~",SUBSTITUTE($BC183,"-","~",2))+1,FIND("~",SUBSTITUTE($BC183,"-","~",3))-FIND("~",SUBSTITUTE($BC183,"-","~",2))-1))</f>
        <v/>
      </c>
      <c r="BF183">
        <f>IF($BD183="","",IFERROR(VLOOKUP($BD183,DECODE!$A$3:$C$8,3,FALSE),"?"))</f>
        <v/>
      </c>
      <c r="BG183">
        <f>IF($BE183="","",IFERROR(VLOOKUP($BD183&amp;"-"&amp;$BE183,DECODE!$E$3:$F$21,2,FALSE),"?"))</f>
        <v/>
      </c>
      <c r="BH183">
        <f>IF($BC183="","",IFERROR(VALUE(RIGHT($BC183,3)),""))</f>
        <v/>
      </c>
      <c r="BI183">
        <f>IF($V183="","",IFERROR(IF(ISNUMBER($V183),$V183,DATEVALUE(TRIM($V183))),""))</f>
        <v/>
      </c>
      <c r="BJ183">
        <f>IF($BI183="","",IF(MONTH($BI183)&gt;=12,"Cold Winter",IF(MONTH($BI183)&gt;=10,"Post-Monsoon",IF(MONTH($BI183)&gt;=6,"Hot Humid",IF(MONTH($BI183)&gt;=3,"Hot Dry","Cold Winter")))))</f>
        <v/>
      </c>
      <c r="BK183">
        <f>IF($BD183="","",IFERROR(VLOOKUP($BD183,DECODE!$A$3:$C$8,2,FALSE),"?"))</f>
        <v/>
      </c>
      <c r="BL183">
        <f>IF($Q183="","",UPPER(TRIM(LEFT($Q183&amp;",",FIND(",",$Q183&amp;",")-1))))</f>
        <v/>
      </c>
      <c r="BM183">
        <f>IF($BL183="","",MID($BL183,4,FIND("~",SUBSTITUTE($BL183,"-","~",2))-4))</f>
        <v/>
      </c>
      <c r="BN183">
        <f>IF($BL183="","",MID($BL183,FIND("~",SUBSTITUTE($BL183,"-","~",2))+1,FIND("~",SUBSTITUTE($BL183,"-","~",3))-FIND("~",SUBSTITUTE($BL183,"-","~",2))-1))</f>
        <v/>
      </c>
      <c r="BO183">
        <f>IF($BM183="","",IFERROR(VLOOKUP($BM183,DECODE!$A$3:$C$8,3,FALSE),"?"))</f>
        <v/>
      </c>
      <c r="BP183">
        <f>IF($BN183="","",IFERROR(VLOOKUP($BM183&amp;"-"&amp;$BN183,DECODE!$E$3:$F$21,2,FALSE),"?"))</f>
        <v/>
      </c>
      <c r="BQ183">
        <f>IF($BL183="","",IFERROR(VALUE(RIGHT($BL183,3)),""))</f>
        <v/>
      </c>
      <c r="BR183">
        <f>IF($W183="","",IFERROR(IF(ISNUMBER($W183),$W183,DATEVALUE(TRIM($W183))),""))</f>
        <v/>
      </c>
      <c r="BS183">
        <f>IF($BR183="","",IF(MONTH($BR183)&gt;=12,"Cold Winter",IF(MONTH($BR183)&gt;=10,"Post-Monsoon",IF(MONTH($BR183)&gt;=6,"Hot Humid",IF(MONTH($BR183)&gt;=3,"Hot Dry","Cold Winter")))))</f>
        <v/>
      </c>
      <c r="BT183">
        <f>IF($BM183="","",IFERROR(VLOOKUP($BM183,DECODE!$A$3:$C$8,2,FALSE),"?"))</f>
        <v/>
      </c>
      <c r="BU183">
        <f>IF($R183="","",UPPER(TRIM(LEFT($R183&amp;",",FIND(",",$R183&amp;",")-1))))</f>
        <v/>
      </c>
      <c r="BV183">
        <f>IF($BU183="","",MID($BU183,4,FIND("~",SUBSTITUTE($BU183,"-","~",2))-4))</f>
        <v/>
      </c>
      <c r="BW183">
        <f>IF($BU183="","",MID($BU183,FIND("~",SUBSTITUTE($BU183,"-","~",2))+1,FIND("~",SUBSTITUTE($BU183,"-","~",3))-FIND("~",SUBSTITUTE($BU183,"-","~",2))-1))</f>
        <v/>
      </c>
      <c r="BX183">
        <f>IF($BV183="","",IFERROR(VLOOKUP($BV183,DECODE!$A$3:$C$8,3,FALSE),"?"))</f>
        <v/>
      </c>
      <c r="BY183">
        <f>IF($BW183="","",IFERROR(VLOOKUP($BV183&amp;"-"&amp;$BW183,DECODE!$E$3:$F$21,2,FALSE),"?"))</f>
        <v/>
      </c>
      <c r="BZ183">
        <f>IF($BU183="","",IFERROR(VALUE(RIGHT($BU183,3)),""))</f>
        <v/>
      </c>
      <c r="CA183">
        <f>IF($X183="","",IFERROR(IF(ISNUMBER($X183),$X183,DATEVALUE(TRIM($X183))),""))</f>
        <v/>
      </c>
      <c r="CB183">
        <f>IF($CA183="","",IF(MONTH($CA183)&gt;=12,"Cold Winter",IF(MONTH($CA183)&gt;=10,"Post-Monsoon",IF(MONTH($CA183)&gt;=6,"Hot Humid",IF(MONTH($CA183)&gt;=3,"Hot Dry","Cold Winter")))))</f>
        <v/>
      </c>
      <c r="CC183">
        <f>IF($BV183="","",IFERROR(VLOOKUP($BV183,DECODE!$A$3:$C$8,2,FALSE),"?"))</f>
        <v/>
      </c>
      <c r="CD183">
        <f>IF($S183="","",UPPER(TRIM(LEFT($S183&amp;",",FIND(",",$S183&amp;",")-1))))</f>
        <v/>
      </c>
      <c r="CE183">
        <f>IF($CD183="","",MID($CD183,4,FIND("~",SUBSTITUTE($CD183,"-","~",2))-4))</f>
        <v/>
      </c>
      <c r="CF183">
        <f>IF($CD183="","",MID($CD183,FIND("~",SUBSTITUTE($CD183,"-","~",2))+1,FIND("~",SUBSTITUTE($CD183,"-","~",3))-FIND("~",SUBSTITUTE($CD183,"-","~",2))-1))</f>
        <v/>
      </c>
      <c r="CG183">
        <f>IF($CE183="","",IFERROR(VLOOKUP($CE183,DECODE!$A$3:$C$8,3,FALSE),"?"))</f>
        <v/>
      </c>
      <c r="CH183">
        <f>IF($CF183="","",IFERROR(VLOOKUP($CE183&amp;"-"&amp;$CF183,DECODE!$E$3:$F$21,2,FALSE),"?"))</f>
        <v/>
      </c>
      <c r="CI183">
        <f>IF($CD183="","",IFERROR(VALUE(RIGHT($CD183,3)),""))</f>
        <v/>
      </c>
      <c r="CJ183">
        <f>IF($Y183="","",IFERROR(IF(ISNUMBER($Y183),$Y183,DATEVALUE(TRIM($Y183))),""))</f>
        <v/>
      </c>
      <c r="CK183">
        <f>IF($CJ183="","",IF(MONTH($CJ183)&gt;=12,"Cold Winter",IF(MONTH($CJ183)&gt;=10,"Post-Monsoon",IF(MONTH($CJ183)&gt;=6,"Hot Humid",IF(MONTH($CJ183)&gt;=3,"Hot Dry","Cold Winter")))))</f>
        <v/>
      </c>
      <c r="CL183">
        <f>IF($CE183="","",IFERROR(VLOOKUP($CE183,DECODE!$A$3:$C$8,2,FALSE),"?"))</f>
        <v/>
      </c>
      <c r="CM183">
        <f>IF($AN183="","",AN183)</f>
        <v/>
      </c>
      <c r="CN183">
        <f>IF($AO183="","",AO183)</f>
        <v/>
      </c>
      <c r="CO183">
        <f>IF($AP183="","",AP183)</f>
        <v/>
      </c>
      <c r="CP183">
        <f>IF($CM183="","",IF($CM183="Aloe Vera Gel","Aloe Vera Gel "&amp;$CO183&amp;"g",CN183&amp;" "&amp;$CO183&amp;"g"))</f>
        <v/>
      </c>
      <c r="CQ183">
        <f>IF($AT183="",0,1)</f>
        <v/>
      </c>
      <c r="CR183">
        <f>IF($CQ183=0,"",AW183)</f>
        <v/>
      </c>
      <c r="CS183">
        <f>IF($CQ183=0,"",AX183)</f>
        <v/>
      </c>
      <c r="CT183">
        <f>IF($CQ183=0,"",AY183)</f>
        <v/>
      </c>
      <c r="CU183">
        <f>IF($CR183="","",IF($CR183="Aloe Vera Gel","Aloe Vera Gel "&amp;$CT183&amp;"g",CS183&amp;" "&amp;$CT183&amp;"g"))</f>
        <v/>
      </c>
      <c r="CV183">
        <f>IF($CQ183=0,"",IF($CP183=$CU183,"Repeat Exact",IF($CT183&gt;$CO183,"Upsized",IF($CT183&lt;$CO183,"Downsized",IF($CM183&lt;&gt;$CR183,"Lateral","Same Size Diff Variant")))))</f>
        <v/>
      </c>
      <c r="CW183">
        <f>IF($CQ183=0,"",AZ183-AQ183)</f>
        <v/>
      </c>
      <c r="CX183">
        <f>IF($CQ183=0,0,IF(CS183=CN183,1,0))</f>
        <v/>
      </c>
      <c r="CY183">
        <f>IF($CQ183=0,0,IF(CR183=CM183,1,0))</f>
        <v/>
      </c>
      <c r="CZ183">
        <f>IF($A183="","",IF(AND(IF(DASHBOARD!$C$4="All",TRUE,$CM183=DASHBOARD!$C$4),IF(DASHBOARD!$C$6="All",TRUE,$CP183=DASHBOARD!$C$6),IF(DASHBOARD!$C$8="All",TRUE,$AF183&gt;=DASHBOARD!$C$8),IF(DASHBOARD!$C$10="All",TRUE,$AF183&lt;=DASHBOARD!$C$10),IF(DASHBOARD!$C$12="All",TRUE,$AH183=VALUE(DASHBOARD!$C$12)),IF(DASHBOARD!$C$14="All",TRUE,$AJ183=DASHBOARD!$C$14)),1,0))</f>
        <v/>
      </c>
    </row>
    <row r="184">
      <c r="A184" t="n">
        <v>125572</v>
      </c>
      <c r="B184" t="inlineStr">
        <is>
          <t>Aloe Vera Gel</t>
        </is>
      </c>
      <c r="H184" t="inlineStr">
        <is>
          <t>Aloe Vera Gel - 80 gms</t>
        </is>
      </c>
      <c r="N184" t="inlineStr">
        <is>
          <t>FC-HG-PA-080</t>
        </is>
      </c>
      <c r="T184" t="inlineStr">
        <is>
          <t>Apr 12, 2025</t>
        </is>
      </c>
      <c r="AE184" t="inlineStr">
        <is>
          <t>Pune</t>
        </is>
      </c>
      <c r="AF184" t="inlineStr">
        <is>
          <t>2025-04</t>
        </is>
      </c>
      <c r="AG184" t="n">
        <v>4</v>
      </c>
      <c r="AH184" t="n">
        <v>1</v>
      </c>
      <c r="AI184" t="n">
        <v>0</v>
      </c>
      <c r="AJ184">
        <f>IF($AE184="","",IFERROR(VLOOKUP(TRIM($AE184),DECODE!$H$3:$I$60,2,FALSE),"Rest of India"))</f>
        <v/>
      </c>
      <c r="AK184">
        <f>IF($N184="","",UPPER(TRIM(LEFT($N184&amp;",",FIND(",",$N184&amp;",")-1))))</f>
        <v/>
      </c>
      <c r="AL184">
        <f>IF($AK184="","",MID($AK184,4,FIND("~",SUBSTITUTE($AK184,"-","~",2))-4))</f>
        <v/>
      </c>
      <c r="AM184">
        <f>IF($AK184="","",MID($AK184,FIND("~",SUBSTITUTE($AK184,"-","~",2))+1,FIND("~",SUBSTITUTE($AK184,"-","~",3))-FIND("~",SUBSTITUTE($AK184,"-","~",2))-1))</f>
        <v/>
      </c>
      <c r="AN184">
        <f>IF($AL184="","",IFERROR(VLOOKUP($AL184,DECODE!$A$3:$C$8,3,FALSE),"?"))</f>
        <v/>
      </c>
      <c r="AO184">
        <f>IF($AM184="","",IFERROR(VLOOKUP($AL184&amp;"-"&amp;$AM184,DECODE!$E$3:$F$21,2,FALSE),"?"))</f>
        <v/>
      </c>
      <c r="AP184">
        <f>IF($AK184="","",IFERROR(VALUE(RIGHT($AK184,3)),""))</f>
        <v/>
      </c>
      <c r="AQ184">
        <f>IF($T184="","",IFERROR(IF(ISNUMBER($T184),$T184,DATEVALUE(TRIM($T184))),""))</f>
        <v/>
      </c>
      <c r="AR184">
        <f>IF($AQ184="","",IF(MONTH($AQ184)&gt;=12,"Cold Winter",IF(MONTH($AQ184)&gt;=10,"Post-Monsoon",IF(MONTH($AQ184)&gt;=6,"Hot Humid",IF(MONTH($AQ184)&gt;=3,"Hot Dry","Cold Winter")))))</f>
        <v/>
      </c>
      <c r="AS184">
        <f>IF($AL184="","",IFERROR(VLOOKUP($AL184,DECODE!$A$3:$C$8,2,FALSE),"?"))</f>
        <v/>
      </c>
      <c r="AT184">
        <f>IF($O184="","",UPPER(TRIM(LEFT($O184&amp;",",FIND(",",$O184&amp;",")-1))))</f>
        <v/>
      </c>
      <c r="AU184">
        <f>IF($AT184="","",MID($AT184,4,FIND("~",SUBSTITUTE($AT184,"-","~",2))-4))</f>
        <v/>
      </c>
      <c r="AV184">
        <f>IF($AT184="","",MID($AT184,FIND("~",SUBSTITUTE($AT184,"-","~",2))+1,FIND("~",SUBSTITUTE($AT184,"-","~",3))-FIND("~",SUBSTITUTE($AT184,"-","~",2))-1))</f>
        <v/>
      </c>
      <c r="AW184">
        <f>IF($AU184="","",IFERROR(VLOOKUP($AU184,DECODE!$A$3:$C$8,3,FALSE),"?"))</f>
        <v/>
      </c>
      <c r="AX184">
        <f>IF($AV184="","",IFERROR(VLOOKUP($AU184&amp;"-"&amp;$AV184,DECODE!$E$3:$F$21,2,FALSE),"?"))</f>
        <v/>
      </c>
      <c r="AY184">
        <f>IF($AT184="","",IFERROR(VALUE(RIGHT($AT184,3)),""))</f>
        <v/>
      </c>
      <c r="AZ184">
        <f>IF($U184="","",IFERROR(IF(ISNUMBER($U184),$U184,DATEVALUE(TRIM($U184))),""))</f>
        <v/>
      </c>
      <c r="BA184">
        <f>IF($AZ184="","",IF(MONTH($AZ184)&gt;=12,"Cold Winter",IF(MONTH($AZ184)&gt;=10,"Post-Monsoon",IF(MONTH($AZ184)&gt;=6,"Hot Humid",IF(MONTH($AZ184)&gt;=3,"Hot Dry","Cold Winter")))))</f>
        <v/>
      </c>
      <c r="BB184">
        <f>IF($AU184="","",IFERROR(VLOOKUP($AU184,DECODE!$A$3:$C$8,2,FALSE),"?"))</f>
        <v/>
      </c>
      <c r="BC184">
        <f>IF($P184="","",UPPER(TRIM(LEFT($P184&amp;",",FIND(",",$P184&amp;",")-1))))</f>
        <v/>
      </c>
      <c r="BD184">
        <f>IF($BC184="","",MID($BC184,4,FIND("~",SUBSTITUTE($BC184,"-","~",2))-4))</f>
        <v/>
      </c>
      <c r="BE184">
        <f>IF($BC184="","",MID($BC184,FIND("~",SUBSTITUTE($BC184,"-","~",2))+1,FIND("~",SUBSTITUTE($BC184,"-","~",3))-FIND("~",SUBSTITUTE($BC184,"-","~",2))-1))</f>
        <v/>
      </c>
      <c r="BF184">
        <f>IF($BD184="","",IFERROR(VLOOKUP($BD184,DECODE!$A$3:$C$8,3,FALSE),"?"))</f>
        <v/>
      </c>
      <c r="BG184">
        <f>IF($BE184="","",IFERROR(VLOOKUP($BD184&amp;"-"&amp;$BE184,DECODE!$E$3:$F$21,2,FALSE),"?"))</f>
        <v/>
      </c>
      <c r="BH184">
        <f>IF($BC184="","",IFERROR(VALUE(RIGHT($BC184,3)),""))</f>
        <v/>
      </c>
      <c r="BI184">
        <f>IF($V184="","",IFERROR(IF(ISNUMBER($V184),$V184,DATEVALUE(TRIM($V184))),""))</f>
        <v/>
      </c>
      <c r="BJ184">
        <f>IF($BI184="","",IF(MONTH($BI184)&gt;=12,"Cold Winter",IF(MONTH($BI184)&gt;=10,"Post-Monsoon",IF(MONTH($BI184)&gt;=6,"Hot Humid",IF(MONTH($BI184)&gt;=3,"Hot Dry","Cold Winter")))))</f>
        <v/>
      </c>
      <c r="BK184">
        <f>IF($BD184="","",IFERROR(VLOOKUP($BD184,DECODE!$A$3:$C$8,2,FALSE),"?"))</f>
        <v/>
      </c>
      <c r="BL184">
        <f>IF($Q184="","",UPPER(TRIM(LEFT($Q184&amp;",",FIND(",",$Q184&amp;",")-1))))</f>
        <v/>
      </c>
      <c r="BM184">
        <f>IF($BL184="","",MID($BL184,4,FIND("~",SUBSTITUTE($BL184,"-","~",2))-4))</f>
        <v/>
      </c>
      <c r="BN184">
        <f>IF($BL184="","",MID($BL184,FIND("~",SUBSTITUTE($BL184,"-","~",2))+1,FIND("~",SUBSTITUTE($BL184,"-","~",3))-FIND("~",SUBSTITUTE($BL184,"-","~",2))-1))</f>
        <v/>
      </c>
      <c r="BO184">
        <f>IF($BM184="","",IFERROR(VLOOKUP($BM184,DECODE!$A$3:$C$8,3,FALSE),"?"))</f>
        <v/>
      </c>
      <c r="BP184">
        <f>IF($BN184="","",IFERROR(VLOOKUP($BM184&amp;"-"&amp;$BN184,DECODE!$E$3:$F$21,2,FALSE),"?"))</f>
        <v/>
      </c>
      <c r="BQ184">
        <f>IF($BL184="","",IFERROR(VALUE(RIGHT($BL184,3)),""))</f>
        <v/>
      </c>
      <c r="BR184">
        <f>IF($W184="","",IFERROR(IF(ISNUMBER($W184),$W184,DATEVALUE(TRIM($W184))),""))</f>
        <v/>
      </c>
      <c r="BS184">
        <f>IF($BR184="","",IF(MONTH($BR184)&gt;=12,"Cold Winter",IF(MONTH($BR184)&gt;=10,"Post-Monsoon",IF(MONTH($BR184)&gt;=6,"Hot Humid",IF(MONTH($BR184)&gt;=3,"Hot Dry","Cold Winter")))))</f>
        <v/>
      </c>
      <c r="BT184">
        <f>IF($BM184="","",IFERROR(VLOOKUP($BM184,DECODE!$A$3:$C$8,2,FALSE),"?"))</f>
        <v/>
      </c>
      <c r="BU184">
        <f>IF($R184="","",UPPER(TRIM(LEFT($R184&amp;",",FIND(",",$R184&amp;",")-1))))</f>
        <v/>
      </c>
      <c r="BV184">
        <f>IF($BU184="","",MID($BU184,4,FIND("~",SUBSTITUTE($BU184,"-","~",2))-4))</f>
        <v/>
      </c>
      <c r="BW184">
        <f>IF($BU184="","",MID($BU184,FIND("~",SUBSTITUTE($BU184,"-","~",2))+1,FIND("~",SUBSTITUTE($BU184,"-","~",3))-FIND("~",SUBSTITUTE($BU184,"-","~",2))-1))</f>
        <v/>
      </c>
      <c r="BX184">
        <f>IF($BV184="","",IFERROR(VLOOKUP($BV184,DECODE!$A$3:$C$8,3,FALSE),"?"))</f>
        <v/>
      </c>
      <c r="BY184">
        <f>IF($BW184="","",IFERROR(VLOOKUP($BV184&amp;"-"&amp;$BW184,DECODE!$E$3:$F$21,2,FALSE),"?"))</f>
        <v/>
      </c>
      <c r="BZ184">
        <f>IF($BU184="","",IFERROR(VALUE(RIGHT($BU184,3)),""))</f>
        <v/>
      </c>
      <c r="CA184">
        <f>IF($X184="","",IFERROR(IF(ISNUMBER($X184),$X184,DATEVALUE(TRIM($X184))),""))</f>
        <v/>
      </c>
      <c r="CB184">
        <f>IF($CA184="","",IF(MONTH($CA184)&gt;=12,"Cold Winter",IF(MONTH($CA184)&gt;=10,"Post-Monsoon",IF(MONTH($CA184)&gt;=6,"Hot Humid",IF(MONTH($CA184)&gt;=3,"Hot Dry","Cold Winter")))))</f>
        <v/>
      </c>
      <c r="CC184">
        <f>IF($BV184="","",IFERROR(VLOOKUP($BV184,DECODE!$A$3:$C$8,2,FALSE),"?"))</f>
        <v/>
      </c>
      <c r="CD184">
        <f>IF($S184="","",UPPER(TRIM(LEFT($S184&amp;",",FIND(",",$S184&amp;",")-1))))</f>
        <v/>
      </c>
      <c r="CE184">
        <f>IF($CD184="","",MID($CD184,4,FIND("~",SUBSTITUTE($CD184,"-","~",2))-4))</f>
        <v/>
      </c>
      <c r="CF184">
        <f>IF($CD184="","",MID($CD184,FIND("~",SUBSTITUTE($CD184,"-","~",2))+1,FIND("~",SUBSTITUTE($CD184,"-","~",3))-FIND("~",SUBSTITUTE($CD184,"-","~",2))-1))</f>
        <v/>
      </c>
      <c r="CG184">
        <f>IF($CE184="","",IFERROR(VLOOKUP($CE184,DECODE!$A$3:$C$8,3,FALSE),"?"))</f>
        <v/>
      </c>
      <c r="CH184">
        <f>IF($CF184="","",IFERROR(VLOOKUP($CE184&amp;"-"&amp;$CF184,DECODE!$E$3:$F$21,2,FALSE),"?"))</f>
        <v/>
      </c>
      <c r="CI184">
        <f>IF($CD184="","",IFERROR(VALUE(RIGHT($CD184,3)),""))</f>
        <v/>
      </c>
      <c r="CJ184">
        <f>IF($Y184="","",IFERROR(IF(ISNUMBER($Y184),$Y184,DATEVALUE(TRIM($Y184))),""))</f>
        <v/>
      </c>
      <c r="CK184">
        <f>IF($CJ184="","",IF(MONTH($CJ184)&gt;=12,"Cold Winter",IF(MONTH($CJ184)&gt;=10,"Post-Monsoon",IF(MONTH($CJ184)&gt;=6,"Hot Humid",IF(MONTH($CJ184)&gt;=3,"Hot Dry","Cold Winter")))))</f>
        <v/>
      </c>
      <c r="CL184">
        <f>IF($CE184="","",IFERROR(VLOOKUP($CE184,DECODE!$A$3:$C$8,2,FALSE),"?"))</f>
        <v/>
      </c>
      <c r="CM184">
        <f>IF($AN184="","",AN184)</f>
        <v/>
      </c>
      <c r="CN184">
        <f>IF($AO184="","",AO184)</f>
        <v/>
      </c>
      <c r="CO184">
        <f>IF($AP184="","",AP184)</f>
        <v/>
      </c>
      <c r="CP184">
        <f>IF($CM184="","",IF($CM184="Aloe Vera Gel","Aloe Vera Gel "&amp;$CO184&amp;"g",CN184&amp;" "&amp;$CO184&amp;"g"))</f>
        <v/>
      </c>
      <c r="CQ184">
        <f>IF($AT184="",0,1)</f>
        <v/>
      </c>
      <c r="CR184">
        <f>IF($CQ184=0,"",AW184)</f>
        <v/>
      </c>
      <c r="CS184">
        <f>IF($CQ184=0,"",AX184)</f>
        <v/>
      </c>
      <c r="CT184">
        <f>IF($CQ184=0,"",AY184)</f>
        <v/>
      </c>
      <c r="CU184">
        <f>IF($CR184="","",IF($CR184="Aloe Vera Gel","Aloe Vera Gel "&amp;$CT184&amp;"g",CS184&amp;" "&amp;$CT184&amp;"g"))</f>
        <v/>
      </c>
      <c r="CV184">
        <f>IF($CQ184=0,"",IF($CP184=$CU184,"Repeat Exact",IF($CT184&gt;$CO184,"Upsized",IF($CT184&lt;$CO184,"Downsized",IF($CM184&lt;&gt;$CR184,"Lateral","Same Size Diff Variant")))))</f>
        <v/>
      </c>
      <c r="CW184">
        <f>IF($CQ184=0,"",AZ184-AQ184)</f>
        <v/>
      </c>
      <c r="CX184">
        <f>IF($CQ184=0,0,IF(CS184=CN184,1,0))</f>
        <v/>
      </c>
      <c r="CY184">
        <f>IF($CQ184=0,0,IF(CR184=CM184,1,0))</f>
        <v/>
      </c>
      <c r="CZ184">
        <f>IF($A184="","",IF(AND(IF(DASHBOARD!$C$4="All",TRUE,$CM184=DASHBOARD!$C$4),IF(DASHBOARD!$C$6="All",TRUE,$CP184=DASHBOARD!$C$6),IF(DASHBOARD!$C$8="All",TRUE,$AF184&gt;=DASHBOARD!$C$8),IF(DASHBOARD!$C$10="All",TRUE,$AF184&lt;=DASHBOARD!$C$10),IF(DASHBOARD!$C$12="All",TRUE,$AH184=VALUE(DASHBOARD!$C$12)),IF(DASHBOARD!$C$14="All",TRUE,$AJ184=DASHBOARD!$C$14)),1,0))</f>
        <v/>
      </c>
    </row>
    <row r="185">
      <c r="A185" t="n">
        <v>126012</v>
      </c>
      <c r="B185" t="inlineStr">
        <is>
          <t>Face Malai</t>
        </is>
      </c>
      <c r="H185" t="inlineStr">
        <is>
          <t>Tomato Patchouli (Cold) 20 - 35 Yrs Face Malai</t>
        </is>
      </c>
      <c r="N185" t="inlineStr">
        <is>
          <t>FC-CWDM-TP-030</t>
        </is>
      </c>
      <c r="T185" t="inlineStr">
        <is>
          <t>Feb 4, 2026</t>
        </is>
      </c>
      <c r="AE185" t="inlineStr">
        <is>
          <t>Gautam Buddha Nagar</t>
        </is>
      </c>
      <c r="AF185" t="inlineStr">
        <is>
          <t>2026-02</t>
        </is>
      </c>
      <c r="AG185" t="n">
        <v>2</v>
      </c>
      <c r="AH185" t="n">
        <v>1</v>
      </c>
      <c r="AI185" t="n">
        <v>0</v>
      </c>
      <c r="AJ185">
        <f>IF($AE185="","",IFERROR(VLOOKUP(TRIM($AE185),DECODE!$H$3:$I$60,2,FALSE),"Rest of India"))</f>
        <v/>
      </c>
      <c r="AK185">
        <f>IF($N185="","",UPPER(TRIM(LEFT($N185&amp;",",FIND(",",$N185&amp;",")-1))))</f>
        <v/>
      </c>
      <c r="AL185">
        <f>IF($AK185="","",MID($AK185,4,FIND("~",SUBSTITUTE($AK185,"-","~",2))-4))</f>
        <v/>
      </c>
      <c r="AM185">
        <f>IF($AK185="","",MID($AK185,FIND("~",SUBSTITUTE($AK185,"-","~",2))+1,FIND("~",SUBSTITUTE($AK185,"-","~",3))-FIND("~",SUBSTITUTE($AK185,"-","~",2))-1))</f>
        <v/>
      </c>
      <c r="AN185">
        <f>IF($AL185="","",IFERROR(VLOOKUP($AL185,DECODE!$A$3:$C$8,3,FALSE),"?"))</f>
        <v/>
      </c>
      <c r="AO185">
        <f>IF($AM185="","",IFERROR(VLOOKUP($AL185&amp;"-"&amp;$AM185,DECODE!$E$3:$F$21,2,FALSE),"?"))</f>
        <v/>
      </c>
      <c r="AP185">
        <f>IF($AK185="","",IFERROR(VALUE(RIGHT($AK185,3)),""))</f>
        <v/>
      </c>
      <c r="AQ185">
        <f>IF($T185="","",IFERROR(IF(ISNUMBER($T185),$T185,DATEVALUE(TRIM($T185))),""))</f>
        <v/>
      </c>
      <c r="AR185">
        <f>IF($AQ185="","",IF(MONTH($AQ185)&gt;=12,"Cold Winter",IF(MONTH($AQ185)&gt;=10,"Post-Monsoon",IF(MONTH($AQ185)&gt;=6,"Hot Humid",IF(MONTH($AQ185)&gt;=3,"Hot Dry","Cold Winter")))))</f>
        <v/>
      </c>
      <c r="AS185">
        <f>IF($AL185="","",IFERROR(VLOOKUP($AL185,DECODE!$A$3:$C$8,2,FALSE),"?"))</f>
        <v/>
      </c>
      <c r="AT185">
        <f>IF($O185="","",UPPER(TRIM(LEFT($O185&amp;",",FIND(",",$O185&amp;",")-1))))</f>
        <v/>
      </c>
      <c r="AU185">
        <f>IF($AT185="","",MID($AT185,4,FIND("~",SUBSTITUTE($AT185,"-","~",2))-4))</f>
        <v/>
      </c>
      <c r="AV185">
        <f>IF($AT185="","",MID($AT185,FIND("~",SUBSTITUTE($AT185,"-","~",2))+1,FIND("~",SUBSTITUTE($AT185,"-","~",3))-FIND("~",SUBSTITUTE($AT185,"-","~",2))-1))</f>
        <v/>
      </c>
      <c r="AW185">
        <f>IF($AU185="","",IFERROR(VLOOKUP($AU185,DECODE!$A$3:$C$8,3,FALSE),"?"))</f>
        <v/>
      </c>
      <c r="AX185">
        <f>IF($AV185="","",IFERROR(VLOOKUP($AU185&amp;"-"&amp;$AV185,DECODE!$E$3:$F$21,2,FALSE),"?"))</f>
        <v/>
      </c>
      <c r="AY185">
        <f>IF($AT185="","",IFERROR(VALUE(RIGHT($AT185,3)),""))</f>
        <v/>
      </c>
      <c r="AZ185">
        <f>IF($U185="","",IFERROR(IF(ISNUMBER($U185),$U185,DATEVALUE(TRIM($U185))),""))</f>
        <v/>
      </c>
      <c r="BA185">
        <f>IF($AZ185="","",IF(MONTH($AZ185)&gt;=12,"Cold Winter",IF(MONTH($AZ185)&gt;=10,"Post-Monsoon",IF(MONTH($AZ185)&gt;=6,"Hot Humid",IF(MONTH($AZ185)&gt;=3,"Hot Dry","Cold Winter")))))</f>
        <v/>
      </c>
      <c r="BB185">
        <f>IF($AU185="","",IFERROR(VLOOKUP($AU185,DECODE!$A$3:$C$8,2,FALSE),"?"))</f>
        <v/>
      </c>
      <c r="BC185">
        <f>IF($P185="","",UPPER(TRIM(LEFT($P185&amp;",",FIND(",",$P185&amp;",")-1))))</f>
        <v/>
      </c>
      <c r="BD185">
        <f>IF($BC185="","",MID($BC185,4,FIND("~",SUBSTITUTE($BC185,"-","~",2))-4))</f>
        <v/>
      </c>
      <c r="BE185">
        <f>IF($BC185="","",MID($BC185,FIND("~",SUBSTITUTE($BC185,"-","~",2))+1,FIND("~",SUBSTITUTE($BC185,"-","~",3))-FIND("~",SUBSTITUTE($BC185,"-","~",2))-1))</f>
        <v/>
      </c>
      <c r="BF185">
        <f>IF($BD185="","",IFERROR(VLOOKUP($BD185,DECODE!$A$3:$C$8,3,FALSE),"?"))</f>
        <v/>
      </c>
      <c r="BG185">
        <f>IF($BE185="","",IFERROR(VLOOKUP($BD185&amp;"-"&amp;$BE185,DECODE!$E$3:$F$21,2,FALSE),"?"))</f>
        <v/>
      </c>
      <c r="BH185">
        <f>IF($BC185="","",IFERROR(VALUE(RIGHT($BC185,3)),""))</f>
        <v/>
      </c>
      <c r="BI185">
        <f>IF($V185="","",IFERROR(IF(ISNUMBER($V185),$V185,DATEVALUE(TRIM($V185))),""))</f>
        <v/>
      </c>
      <c r="BJ185">
        <f>IF($BI185="","",IF(MONTH($BI185)&gt;=12,"Cold Winter",IF(MONTH($BI185)&gt;=10,"Post-Monsoon",IF(MONTH($BI185)&gt;=6,"Hot Humid",IF(MONTH($BI185)&gt;=3,"Hot Dry","Cold Winter")))))</f>
        <v/>
      </c>
      <c r="BK185">
        <f>IF($BD185="","",IFERROR(VLOOKUP($BD185,DECODE!$A$3:$C$8,2,FALSE),"?"))</f>
        <v/>
      </c>
      <c r="BL185">
        <f>IF($Q185="","",UPPER(TRIM(LEFT($Q185&amp;",",FIND(",",$Q185&amp;",")-1))))</f>
        <v/>
      </c>
      <c r="BM185">
        <f>IF($BL185="","",MID($BL185,4,FIND("~",SUBSTITUTE($BL185,"-","~",2))-4))</f>
        <v/>
      </c>
      <c r="BN185">
        <f>IF($BL185="","",MID($BL185,FIND("~",SUBSTITUTE($BL185,"-","~",2))+1,FIND("~",SUBSTITUTE($BL185,"-","~",3))-FIND("~",SUBSTITUTE($BL185,"-","~",2))-1))</f>
        <v/>
      </c>
      <c r="BO185">
        <f>IF($BM185="","",IFERROR(VLOOKUP($BM185,DECODE!$A$3:$C$8,3,FALSE),"?"))</f>
        <v/>
      </c>
      <c r="BP185">
        <f>IF($BN185="","",IFERROR(VLOOKUP($BM185&amp;"-"&amp;$BN185,DECODE!$E$3:$F$21,2,FALSE),"?"))</f>
        <v/>
      </c>
      <c r="BQ185">
        <f>IF($BL185="","",IFERROR(VALUE(RIGHT($BL185,3)),""))</f>
        <v/>
      </c>
      <c r="BR185">
        <f>IF($W185="","",IFERROR(IF(ISNUMBER($W185),$W185,DATEVALUE(TRIM($W185))),""))</f>
        <v/>
      </c>
      <c r="BS185">
        <f>IF($BR185="","",IF(MONTH($BR185)&gt;=12,"Cold Winter",IF(MONTH($BR185)&gt;=10,"Post-Monsoon",IF(MONTH($BR185)&gt;=6,"Hot Humid",IF(MONTH($BR185)&gt;=3,"Hot Dry","Cold Winter")))))</f>
        <v/>
      </c>
      <c r="BT185">
        <f>IF($BM185="","",IFERROR(VLOOKUP($BM185,DECODE!$A$3:$C$8,2,FALSE),"?"))</f>
        <v/>
      </c>
      <c r="BU185">
        <f>IF($R185="","",UPPER(TRIM(LEFT($R185&amp;",",FIND(",",$R185&amp;",")-1))))</f>
        <v/>
      </c>
      <c r="BV185">
        <f>IF($BU185="","",MID($BU185,4,FIND("~",SUBSTITUTE($BU185,"-","~",2))-4))</f>
        <v/>
      </c>
      <c r="BW185">
        <f>IF($BU185="","",MID($BU185,FIND("~",SUBSTITUTE($BU185,"-","~",2))+1,FIND("~",SUBSTITUTE($BU185,"-","~",3))-FIND("~",SUBSTITUTE($BU185,"-","~",2))-1))</f>
        <v/>
      </c>
      <c r="BX185">
        <f>IF($BV185="","",IFERROR(VLOOKUP($BV185,DECODE!$A$3:$C$8,3,FALSE),"?"))</f>
        <v/>
      </c>
      <c r="BY185">
        <f>IF($BW185="","",IFERROR(VLOOKUP($BV185&amp;"-"&amp;$BW185,DECODE!$E$3:$F$21,2,FALSE),"?"))</f>
        <v/>
      </c>
      <c r="BZ185">
        <f>IF($BU185="","",IFERROR(VALUE(RIGHT($BU185,3)),""))</f>
        <v/>
      </c>
      <c r="CA185">
        <f>IF($X185="","",IFERROR(IF(ISNUMBER($X185),$X185,DATEVALUE(TRIM($X185))),""))</f>
        <v/>
      </c>
      <c r="CB185">
        <f>IF($CA185="","",IF(MONTH($CA185)&gt;=12,"Cold Winter",IF(MONTH($CA185)&gt;=10,"Post-Monsoon",IF(MONTH($CA185)&gt;=6,"Hot Humid",IF(MONTH($CA185)&gt;=3,"Hot Dry","Cold Winter")))))</f>
        <v/>
      </c>
      <c r="CC185">
        <f>IF($BV185="","",IFERROR(VLOOKUP($BV185,DECODE!$A$3:$C$8,2,FALSE),"?"))</f>
        <v/>
      </c>
      <c r="CD185">
        <f>IF($S185="","",UPPER(TRIM(LEFT($S185&amp;",",FIND(",",$S185&amp;",")-1))))</f>
        <v/>
      </c>
      <c r="CE185">
        <f>IF($CD185="","",MID($CD185,4,FIND("~",SUBSTITUTE($CD185,"-","~",2))-4))</f>
        <v/>
      </c>
      <c r="CF185">
        <f>IF($CD185="","",MID($CD185,FIND("~",SUBSTITUTE($CD185,"-","~",2))+1,FIND("~",SUBSTITUTE($CD185,"-","~",3))-FIND("~",SUBSTITUTE($CD185,"-","~",2))-1))</f>
        <v/>
      </c>
      <c r="CG185">
        <f>IF($CE185="","",IFERROR(VLOOKUP($CE185,DECODE!$A$3:$C$8,3,FALSE),"?"))</f>
        <v/>
      </c>
      <c r="CH185">
        <f>IF($CF185="","",IFERROR(VLOOKUP($CE185&amp;"-"&amp;$CF185,DECODE!$E$3:$F$21,2,FALSE),"?"))</f>
        <v/>
      </c>
      <c r="CI185">
        <f>IF($CD185="","",IFERROR(VALUE(RIGHT($CD185,3)),""))</f>
        <v/>
      </c>
      <c r="CJ185">
        <f>IF($Y185="","",IFERROR(IF(ISNUMBER($Y185),$Y185,DATEVALUE(TRIM($Y185))),""))</f>
        <v/>
      </c>
      <c r="CK185">
        <f>IF($CJ185="","",IF(MONTH($CJ185)&gt;=12,"Cold Winter",IF(MONTH($CJ185)&gt;=10,"Post-Monsoon",IF(MONTH($CJ185)&gt;=6,"Hot Humid",IF(MONTH($CJ185)&gt;=3,"Hot Dry","Cold Winter")))))</f>
        <v/>
      </c>
      <c r="CL185">
        <f>IF($CE185="","",IFERROR(VLOOKUP($CE185,DECODE!$A$3:$C$8,2,FALSE),"?"))</f>
        <v/>
      </c>
      <c r="CM185">
        <f>IF($AN185="","",AN185)</f>
        <v/>
      </c>
      <c r="CN185">
        <f>IF($AO185="","",AO185)</f>
        <v/>
      </c>
      <c r="CO185">
        <f>IF($AP185="","",AP185)</f>
        <v/>
      </c>
      <c r="CP185">
        <f>IF($CM185="","",IF($CM185="Aloe Vera Gel","Aloe Vera Gel "&amp;$CO185&amp;"g",CN185&amp;" "&amp;$CO185&amp;"g"))</f>
        <v/>
      </c>
      <c r="CQ185">
        <f>IF($AT185="",0,1)</f>
        <v/>
      </c>
      <c r="CR185">
        <f>IF($CQ185=0,"",AW185)</f>
        <v/>
      </c>
      <c r="CS185">
        <f>IF($CQ185=0,"",AX185)</f>
        <v/>
      </c>
      <c r="CT185">
        <f>IF($CQ185=0,"",AY185)</f>
        <v/>
      </c>
      <c r="CU185">
        <f>IF($CR185="","",IF($CR185="Aloe Vera Gel","Aloe Vera Gel "&amp;$CT185&amp;"g",CS185&amp;" "&amp;$CT185&amp;"g"))</f>
        <v/>
      </c>
      <c r="CV185">
        <f>IF($CQ185=0,"",IF($CP185=$CU185,"Repeat Exact",IF($CT185&gt;$CO185,"Upsized",IF($CT185&lt;$CO185,"Downsized",IF($CM185&lt;&gt;$CR185,"Lateral","Same Size Diff Variant")))))</f>
        <v/>
      </c>
      <c r="CW185">
        <f>IF($CQ185=0,"",AZ185-AQ185)</f>
        <v/>
      </c>
      <c r="CX185">
        <f>IF($CQ185=0,0,IF(CS185=CN185,1,0))</f>
        <v/>
      </c>
      <c r="CY185">
        <f>IF($CQ185=0,0,IF(CR185=CM185,1,0))</f>
        <v/>
      </c>
      <c r="CZ185">
        <f>IF($A185="","",IF(AND(IF(DASHBOARD!$C$4="All",TRUE,$CM185=DASHBOARD!$C$4),IF(DASHBOARD!$C$6="All",TRUE,$CP185=DASHBOARD!$C$6),IF(DASHBOARD!$C$8="All",TRUE,$AF185&gt;=DASHBOARD!$C$8),IF(DASHBOARD!$C$10="All",TRUE,$AF185&lt;=DASHBOARD!$C$10),IF(DASHBOARD!$C$12="All",TRUE,$AH185=VALUE(DASHBOARD!$C$12)),IF(DASHBOARD!$C$14="All",TRUE,$AJ185=DASHBOARD!$C$14)),1,0))</f>
        <v/>
      </c>
    </row>
    <row r="186">
      <c r="A186" t="n">
        <v>126023</v>
      </c>
      <c r="B186" t="inlineStr">
        <is>
          <t>Face Malai</t>
        </is>
      </c>
      <c r="H186" t="inlineStr">
        <is>
          <t>Flax Carrot (Hot Humid) 35+ Face Malai - 30g</t>
        </is>
      </c>
      <c r="N186" t="inlineStr">
        <is>
          <t>FC-HHDM-FC-030</t>
        </is>
      </c>
      <c r="T186" t="inlineStr">
        <is>
          <t>Aug 5, 2025</t>
        </is>
      </c>
      <c r="AE186" t="inlineStr">
        <is>
          <t>Mumbai</t>
        </is>
      </c>
      <c r="AF186" t="inlineStr">
        <is>
          <t>2025-08</t>
        </is>
      </c>
      <c r="AG186" t="n">
        <v>8</v>
      </c>
      <c r="AH186" t="n">
        <v>1</v>
      </c>
      <c r="AI186" t="n">
        <v>0</v>
      </c>
      <c r="AJ186">
        <f>IF($AE186="","",IFERROR(VLOOKUP(TRIM($AE186),DECODE!$H$3:$I$60,2,FALSE),"Rest of India"))</f>
        <v/>
      </c>
      <c r="AK186">
        <f>IF($N186="","",UPPER(TRIM(LEFT($N186&amp;",",FIND(",",$N186&amp;",")-1))))</f>
        <v/>
      </c>
      <c r="AL186">
        <f>IF($AK186="","",MID($AK186,4,FIND("~",SUBSTITUTE($AK186,"-","~",2))-4))</f>
        <v/>
      </c>
      <c r="AM186">
        <f>IF($AK186="","",MID($AK186,FIND("~",SUBSTITUTE($AK186,"-","~",2))+1,FIND("~",SUBSTITUTE($AK186,"-","~",3))-FIND("~",SUBSTITUTE($AK186,"-","~",2))-1))</f>
        <v/>
      </c>
      <c r="AN186">
        <f>IF($AL186="","",IFERROR(VLOOKUP($AL186,DECODE!$A$3:$C$8,3,FALSE),"?"))</f>
        <v/>
      </c>
      <c r="AO186">
        <f>IF($AM186="","",IFERROR(VLOOKUP($AL186&amp;"-"&amp;$AM186,DECODE!$E$3:$F$21,2,FALSE),"?"))</f>
        <v/>
      </c>
      <c r="AP186">
        <f>IF($AK186="","",IFERROR(VALUE(RIGHT($AK186,3)),""))</f>
        <v/>
      </c>
      <c r="AQ186">
        <f>IF($T186="","",IFERROR(IF(ISNUMBER($T186),$T186,DATEVALUE(TRIM($T186))),""))</f>
        <v/>
      </c>
      <c r="AR186">
        <f>IF($AQ186="","",IF(MONTH($AQ186)&gt;=12,"Cold Winter",IF(MONTH($AQ186)&gt;=10,"Post-Monsoon",IF(MONTH($AQ186)&gt;=6,"Hot Humid",IF(MONTH($AQ186)&gt;=3,"Hot Dry","Cold Winter")))))</f>
        <v/>
      </c>
      <c r="AS186">
        <f>IF($AL186="","",IFERROR(VLOOKUP($AL186,DECODE!$A$3:$C$8,2,FALSE),"?"))</f>
        <v/>
      </c>
      <c r="AT186">
        <f>IF($O186="","",UPPER(TRIM(LEFT($O186&amp;",",FIND(",",$O186&amp;",")-1))))</f>
        <v/>
      </c>
      <c r="AU186">
        <f>IF($AT186="","",MID($AT186,4,FIND("~",SUBSTITUTE($AT186,"-","~",2))-4))</f>
        <v/>
      </c>
      <c r="AV186">
        <f>IF($AT186="","",MID($AT186,FIND("~",SUBSTITUTE($AT186,"-","~",2))+1,FIND("~",SUBSTITUTE($AT186,"-","~",3))-FIND("~",SUBSTITUTE($AT186,"-","~",2))-1))</f>
        <v/>
      </c>
      <c r="AW186">
        <f>IF($AU186="","",IFERROR(VLOOKUP($AU186,DECODE!$A$3:$C$8,3,FALSE),"?"))</f>
        <v/>
      </c>
      <c r="AX186">
        <f>IF($AV186="","",IFERROR(VLOOKUP($AU186&amp;"-"&amp;$AV186,DECODE!$E$3:$F$21,2,FALSE),"?"))</f>
        <v/>
      </c>
      <c r="AY186">
        <f>IF($AT186="","",IFERROR(VALUE(RIGHT($AT186,3)),""))</f>
        <v/>
      </c>
      <c r="AZ186">
        <f>IF($U186="","",IFERROR(IF(ISNUMBER($U186),$U186,DATEVALUE(TRIM($U186))),""))</f>
        <v/>
      </c>
      <c r="BA186">
        <f>IF($AZ186="","",IF(MONTH($AZ186)&gt;=12,"Cold Winter",IF(MONTH($AZ186)&gt;=10,"Post-Monsoon",IF(MONTH($AZ186)&gt;=6,"Hot Humid",IF(MONTH($AZ186)&gt;=3,"Hot Dry","Cold Winter")))))</f>
        <v/>
      </c>
      <c r="BB186">
        <f>IF($AU186="","",IFERROR(VLOOKUP($AU186,DECODE!$A$3:$C$8,2,FALSE),"?"))</f>
        <v/>
      </c>
      <c r="BC186">
        <f>IF($P186="","",UPPER(TRIM(LEFT($P186&amp;",",FIND(",",$P186&amp;",")-1))))</f>
        <v/>
      </c>
      <c r="BD186">
        <f>IF($BC186="","",MID($BC186,4,FIND("~",SUBSTITUTE($BC186,"-","~",2))-4))</f>
        <v/>
      </c>
      <c r="BE186">
        <f>IF($BC186="","",MID($BC186,FIND("~",SUBSTITUTE($BC186,"-","~",2))+1,FIND("~",SUBSTITUTE($BC186,"-","~",3))-FIND("~",SUBSTITUTE($BC186,"-","~",2))-1))</f>
        <v/>
      </c>
      <c r="BF186">
        <f>IF($BD186="","",IFERROR(VLOOKUP($BD186,DECODE!$A$3:$C$8,3,FALSE),"?"))</f>
        <v/>
      </c>
      <c r="BG186">
        <f>IF($BE186="","",IFERROR(VLOOKUP($BD186&amp;"-"&amp;$BE186,DECODE!$E$3:$F$21,2,FALSE),"?"))</f>
        <v/>
      </c>
      <c r="BH186">
        <f>IF($BC186="","",IFERROR(VALUE(RIGHT($BC186,3)),""))</f>
        <v/>
      </c>
      <c r="BI186">
        <f>IF($V186="","",IFERROR(IF(ISNUMBER($V186),$V186,DATEVALUE(TRIM($V186))),""))</f>
        <v/>
      </c>
      <c r="BJ186">
        <f>IF($BI186="","",IF(MONTH($BI186)&gt;=12,"Cold Winter",IF(MONTH($BI186)&gt;=10,"Post-Monsoon",IF(MONTH($BI186)&gt;=6,"Hot Humid",IF(MONTH($BI186)&gt;=3,"Hot Dry","Cold Winter")))))</f>
        <v/>
      </c>
      <c r="BK186">
        <f>IF($BD186="","",IFERROR(VLOOKUP($BD186,DECODE!$A$3:$C$8,2,FALSE),"?"))</f>
        <v/>
      </c>
      <c r="BL186">
        <f>IF($Q186="","",UPPER(TRIM(LEFT($Q186&amp;",",FIND(",",$Q186&amp;",")-1))))</f>
        <v/>
      </c>
      <c r="BM186">
        <f>IF($BL186="","",MID($BL186,4,FIND("~",SUBSTITUTE($BL186,"-","~",2))-4))</f>
        <v/>
      </c>
      <c r="BN186">
        <f>IF($BL186="","",MID($BL186,FIND("~",SUBSTITUTE($BL186,"-","~",2))+1,FIND("~",SUBSTITUTE($BL186,"-","~",3))-FIND("~",SUBSTITUTE($BL186,"-","~",2))-1))</f>
        <v/>
      </c>
      <c r="BO186">
        <f>IF($BM186="","",IFERROR(VLOOKUP($BM186,DECODE!$A$3:$C$8,3,FALSE),"?"))</f>
        <v/>
      </c>
      <c r="BP186">
        <f>IF($BN186="","",IFERROR(VLOOKUP($BM186&amp;"-"&amp;$BN186,DECODE!$E$3:$F$21,2,FALSE),"?"))</f>
        <v/>
      </c>
      <c r="BQ186">
        <f>IF($BL186="","",IFERROR(VALUE(RIGHT($BL186,3)),""))</f>
        <v/>
      </c>
      <c r="BR186">
        <f>IF($W186="","",IFERROR(IF(ISNUMBER($W186),$W186,DATEVALUE(TRIM($W186))),""))</f>
        <v/>
      </c>
      <c r="BS186">
        <f>IF($BR186="","",IF(MONTH($BR186)&gt;=12,"Cold Winter",IF(MONTH($BR186)&gt;=10,"Post-Monsoon",IF(MONTH($BR186)&gt;=6,"Hot Humid",IF(MONTH($BR186)&gt;=3,"Hot Dry","Cold Winter")))))</f>
        <v/>
      </c>
      <c r="BT186">
        <f>IF($BM186="","",IFERROR(VLOOKUP($BM186,DECODE!$A$3:$C$8,2,FALSE),"?"))</f>
        <v/>
      </c>
      <c r="BU186">
        <f>IF($R186="","",UPPER(TRIM(LEFT($R186&amp;",",FIND(",",$R186&amp;",")-1))))</f>
        <v/>
      </c>
      <c r="BV186">
        <f>IF($BU186="","",MID($BU186,4,FIND("~",SUBSTITUTE($BU186,"-","~",2))-4))</f>
        <v/>
      </c>
      <c r="BW186">
        <f>IF($BU186="","",MID($BU186,FIND("~",SUBSTITUTE($BU186,"-","~",2))+1,FIND("~",SUBSTITUTE($BU186,"-","~",3))-FIND("~",SUBSTITUTE($BU186,"-","~",2))-1))</f>
        <v/>
      </c>
      <c r="BX186">
        <f>IF($BV186="","",IFERROR(VLOOKUP($BV186,DECODE!$A$3:$C$8,3,FALSE),"?"))</f>
        <v/>
      </c>
      <c r="BY186">
        <f>IF($BW186="","",IFERROR(VLOOKUP($BV186&amp;"-"&amp;$BW186,DECODE!$E$3:$F$21,2,FALSE),"?"))</f>
        <v/>
      </c>
      <c r="BZ186">
        <f>IF($BU186="","",IFERROR(VALUE(RIGHT($BU186,3)),""))</f>
        <v/>
      </c>
      <c r="CA186">
        <f>IF($X186="","",IFERROR(IF(ISNUMBER($X186),$X186,DATEVALUE(TRIM($X186))),""))</f>
        <v/>
      </c>
      <c r="CB186">
        <f>IF($CA186="","",IF(MONTH($CA186)&gt;=12,"Cold Winter",IF(MONTH($CA186)&gt;=10,"Post-Monsoon",IF(MONTH($CA186)&gt;=6,"Hot Humid",IF(MONTH($CA186)&gt;=3,"Hot Dry","Cold Winter")))))</f>
        <v/>
      </c>
      <c r="CC186">
        <f>IF($BV186="","",IFERROR(VLOOKUP($BV186,DECODE!$A$3:$C$8,2,FALSE),"?"))</f>
        <v/>
      </c>
      <c r="CD186">
        <f>IF($S186="","",UPPER(TRIM(LEFT($S186&amp;",",FIND(",",$S186&amp;",")-1))))</f>
        <v/>
      </c>
      <c r="CE186">
        <f>IF($CD186="","",MID($CD186,4,FIND("~",SUBSTITUTE($CD186,"-","~",2))-4))</f>
        <v/>
      </c>
      <c r="CF186">
        <f>IF($CD186="","",MID($CD186,FIND("~",SUBSTITUTE($CD186,"-","~",2))+1,FIND("~",SUBSTITUTE($CD186,"-","~",3))-FIND("~",SUBSTITUTE($CD186,"-","~",2))-1))</f>
        <v/>
      </c>
      <c r="CG186">
        <f>IF($CE186="","",IFERROR(VLOOKUP($CE186,DECODE!$A$3:$C$8,3,FALSE),"?"))</f>
        <v/>
      </c>
      <c r="CH186">
        <f>IF($CF186="","",IFERROR(VLOOKUP($CE186&amp;"-"&amp;$CF186,DECODE!$E$3:$F$21,2,FALSE),"?"))</f>
        <v/>
      </c>
      <c r="CI186">
        <f>IF($CD186="","",IFERROR(VALUE(RIGHT($CD186,3)),""))</f>
        <v/>
      </c>
      <c r="CJ186">
        <f>IF($Y186="","",IFERROR(IF(ISNUMBER($Y186),$Y186,DATEVALUE(TRIM($Y186))),""))</f>
        <v/>
      </c>
      <c r="CK186">
        <f>IF($CJ186="","",IF(MONTH($CJ186)&gt;=12,"Cold Winter",IF(MONTH($CJ186)&gt;=10,"Post-Monsoon",IF(MONTH($CJ186)&gt;=6,"Hot Humid",IF(MONTH($CJ186)&gt;=3,"Hot Dry","Cold Winter")))))</f>
        <v/>
      </c>
      <c r="CL186">
        <f>IF($CE186="","",IFERROR(VLOOKUP($CE186,DECODE!$A$3:$C$8,2,FALSE),"?"))</f>
        <v/>
      </c>
      <c r="CM186">
        <f>IF($AN186="","",AN186)</f>
        <v/>
      </c>
      <c r="CN186">
        <f>IF($AO186="","",AO186)</f>
        <v/>
      </c>
      <c r="CO186">
        <f>IF($AP186="","",AP186)</f>
        <v/>
      </c>
      <c r="CP186">
        <f>IF($CM186="","",IF($CM186="Aloe Vera Gel","Aloe Vera Gel "&amp;$CO186&amp;"g",CN186&amp;" "&amp;$CO186&amp;"g"))</f>
        <v/>
      </c>
      <c r="CQ186">
        <f>IF($AT186="",0,1)</f>
        <v/>
      </c>
      <c r="CR186">
        <f>IF($CQ186=0,"",AW186)</f>
        <v/>
      </c>
      <c r="CS186">
        <f>IF($CQ186=0,"",AX186)</f>
        <v/>
      </c>
      <c r="CT186">
        <f>IF($CQ186=0,"",AY186)</f>
        <v/>
      </c>
      <c r="CU186">
        <f>IF($CR186="","",IF($CR186="Aloe Vera Gel","Aloe Vera Gel "&amp;$CT186&amp;"g",CS186&amp;" "&amp;$CT186&amp;"g"))</f>
        <v/>
      </c>
      <c r="CV186">
        <f>IF($CQ186=0,"",IF($CP186=$CU186,"Repeat Exact",IF($CT186&gt;$CO186,"Upsized",IF($CT186&lt;$CO186,"Downsized",IF($CM186&lt;&gt;$CR186,"Lateral","Same Size Diff Variant")))))</f>
        <v/>
      </c>
      <c r="CW186">
        <f>IF($CQ186=0,"",AZ186-AQ186)</f>
        <v/>
      </c>
      <c r="CX186">
        <f>IF($CQ186=0,0,IF(CS186=CN186,1,0))</f>
        <v/>
      </c>
      <c r="CY186">
        <f>IF($CQ186=0,0,IF(CR186=CM186,1,0))</f>
        <v/>
      </c>
      <c r="CZ186">
        <f>IF($A186="","",IF(AND(IF(DASHBOARD!$C$4="All",TRUE,$CM186=DASHBOARD!$C$4),IF(DASHBOARD!$C$6="All",TRUE,$CP186=DASHBOARD!$C$6),IF(DASHBOARD!$C$8="All",TRUE,$AF186&gt;=DASHBOARD!$C$8),IF(DASHBOARD!$C$10="All",TRUE,$AF186&lt;=DASHBOARD!$C$10),IF(DASHBOARD!$C$12="All",TRUE,$AH186=VALUE(DASHBOARD!$C$12)),IF(DASHBOARD!$C$14="All",TRUE,$AJ186=DASHBOARD!$C$14)),1,0))</f>
        <v/>
      </c>
    </row>
    <row r="187">
      <c r="A187" t="n">
        <v>126309</v>
      </c>
      <c r="B187" t="inlineStr">
        <is>
          <t>Face Malai</t>
        </is>
      </c>
      <c r="H187" t="inlineStr">
        <is>
          <t>Flax Walnut (Cold) 35+ Face Malai</t>
        </is>
      </c>
      <c r="N187" t="inlineStr">
        <is>
          <t>FC-CWDM-FW-030</t>
        </is>
      </c>
      <c r="T187" t="inlineStr">
        <is>
          <t>Sep 28, 2025</t>
        </is>
      </c>
      <c r="AE187" t="inlineStr">
        <is>
          <t>Ghaziabad</t>
        </is>
      </c>
      <c r="AF187" t="inlineStr">
        <is>
          <t>2025-09</t>
        </is>
      </c>
      <c r="AG187" t="n">
        <v>9</v>
      </c>
      <c r="AH187" t="n">
        <v>1</v>
      </c>
      <c r="AI187" t="n">
        <v>0</v>
      </c>
      <c r="AJ187">
        <f>IF($AE187="","",IFERROR(VLOOKUP(TRIM($AE187),DECODE!$H$3:$I$60,2,FALSE),"Rest of India"))</f>
        <v/>
      </c>
      <c r="AK187">
        <f>IF($N187="","",UPPER(TRIM(LEFT($N187&amp;",",FIND(",",$N187&amp;",")-1))))</f>
        <v/>
      </c>
      <c r="AL187">
        <f>IF($AK187="","",MID($AK187,4,FIND("~",SUBSTITUTE($AK187,"-","~",2))-4))</f>
        <v/>
      </c>
      <c r="AM187">
        <f>IF($AK187="","",MID($AK187,FIND("~",SUBSTITUTE($AK187,"-","~",2))+1,FIND("~",SUBSTITUTE($AK187,"-","~",3))-FIND("~",SUBSTITUTE($AK187,"-","~",2))-1))</f>
        <v/>
      </c>
      <c r="AN187">
        <f>IF($AL187="","",IFERROR(VLOOKUP($AL187,DECODE!$A$3:$C$8,3,FALSE),"?"))</f>
        <v/>
      </c>
      <c r="AO187">
        <f>IF($AM187="","",IFERROR(VLOOKUP($AL187&amp;"-"&amp;$AM187,DECODE!$E$3:$F$21,2,FALSE),"?"))</f>
        <v/>
      </c>
      <c r="AP187">
        <f>IF($AK187="","",IFERROR(VALUE(RIGHT($AK187,3)),""))</f>
        <v/>
      </c>
      <c r="AQ187">
        <f>IF($T187="","",IFERROR(IF(ISNUMBER($T187),$T187,DATEVALUE(TRIM($T187))),""))</f>
        <v/>
      </c>
      <c r="AR187">
        <f>IF($AQ187="","",IF(MONTH($AQ187)&gt;=12,"Cold Winter",IF(MONTH($AQ187)&gt;=10,"Post-Monsoon",IF(MONTH($AQ187)&gt;=6,"Hot Humid",IF(MONTH($AQ187)&gt;=3,"Hot Dry","Cold Winter")))))</f>
        <v/>
      </c>
      <c r="AS187">
        <f>IF($AL187="","",IFERROR(VLOOKUP($AL187,DECODE!$A$3:$C$8,2,FALSE),"?"))</f>
        <v/>
      </c>
      <c r="AT187">
        <f>IF($O187="","",UPPER(TRIM(LEFT($O187&amp;",",FIND(",",$O187&amp;",")-1))))</f>
        <v/>
      </c>
      <c r="AU187">
        <f>IF($AT187="","",MID($AT187,4,FIND("~",SUBSTITUTE($AT187,"-","~",2))-4))</f>
        <v/>
      </c>
      <c r="AV187">
        <f>IF($AT187="","",MID($AT187,FIND("~",SUBSTITUTE($AT187,"-","~",2))+1,FIND("~",SUBSTITUTE($AT187,"-","~",3))-FIND("~",SUBSTITUTE($AT187,"-","~",2))-1))</f>
        <v/>
      </c>
      <c r="AW187">
        <f>IF($AU187="","",IFERROR(VLOOKUP($AU187,DECODE!$A$3:$C$8,3,FALSE),"?"))</f>
        <v/>
      </c>
      <c r="AX187">
        <f>IF($AV187="","",IFERROR(VLOOKUP($AU187&amp;"-"&amp;$AV187,DECODE!$E$3:$F$21,2,FALSE),"?"))</f>
        <v/>
      </c>
      <c r="AY187">
        <f>IF($AT187="","",IFERROR(VALUE(RIGHT($AT187,3)),""))</f>
        <v/>
      </c>
      <c r="AZ187">
        <f>IF($U187="","",IFERROR(IF(ISNUMBER($U187),$U187,DATEVALUE(TRIM($U187))),""))</f>
        <v/>
      </c>
      <c r="BA187">
        <f>IF($AZ187="","",IF(MONTH($AZ187)&gt;=12,"Cold Winter",IF(MONTH($AZ187)&gt;=10,"Post-Monsoon",IF(MONTH($AZ187)&gt;=6,"Hot Humid",IF(MONTH($AZ187)&gt;=3,"Hot Dry","Cold Winter")))))</f>
        <v/>
      </c>
      <c r="BB187">
        <f>IF($AU187="","",IFERROR(VLOOKUP($AU187,DECODE!$A$3:$C$8,2,FALSE),"?"))</f>
        <v/>
      </c>
      <c r="BC187">
        <f>IF($P187="","",UPPER(TRIM(LEFT($P187&amp;",",FIND(",",$P187&amp;",")-1))))</f>
        <v/>
      </c>
      <c r="BD187">
        <f>IF($BC187="","",MID($BC187,4,FIND("~",SUBSTITUTE($BC187,"-","~",2))-4))</f>
        <v/>
      </c>
      <c r="BE187">
        <f>IF($BC187="","",MID($BC187,FIND("~",SUBSTITUTE($BC187,"-","~",2))+1,FIND("~",SUBSTITUTE($BC187,"-","~",3))-FIND("~",SUBSTITUTE($BC187,"-","~",2))-1))</f>
        <v/>
      </c>
      <c r="BF187">
        <f>IF($BD187="","",IFERROR(VLOOKUP($BD187,DECODE!$A$3:$C$8,3,FALSE),"?"))</f>
        <v/>
      </c>
      <c r="BG187">
        <f>IF($BE187="","",IFERROR(VLOOKUP($BD187&amp;"-"&amp;$BE187,DECODE!$E$3:$F$21,2,FALSE),"?"))</f>
        <v/>
      </c>
      <c r="BH187">
        <f>IF($BC187="","",IFERROR(VALUE(RIGHT($BC187,3)),""))</f>
        <v/>
      </c>
      <c r="BI187">
        <f>IF($V187="","",IFERROR(IF(ISNUMBER($V187),$V187,DATEVALUE(TRIM($V187))),""))</f>
        <v/>
      </c>
      <c r="BJ187">
        <f>IF($BI187="","",IF(MONTH($BI187)&gt;=12,"Cold Winter",IF(MONTH($BI187)&gt;=10,"Post-Monsoon",IF(MONTH($BI187)&gt;=6,"Hot Humid",IF(MONTH($BI187)&gt;=3,"Hot Dry","Cold Winter")))))</f>
        <v/>
      </c>
      <c r="BK187">
        <f>IF($BD187="","",IFERROR(VLOOKUP($BD187,DECODE!$A$3:$C$8,2,FALSE),"?"))</f>
        <v/>
      </c>
      <c r="BL187">
        <f>IF($Q187="","",UPPER(TRIM(LEFT($Q187&amp;",",FIND(",",$Q187&amp;",")-1))))</f>
        <v/>
      </c>
      <c r="BM187">
        <f>IF($BL187="","",MID($BL187,4,FIND("~",SUBSTITUTE($BL187,"-","~",2))-4))</f>
        <v/>
      </c>
      <c r="BN187">
        <f>IF($BL187="","",MID($BL187,FIND("~",SUBSTITUTE($BL187,"-","~",2))+1,FIND("~",SUBSTITUTE($BL187,"-","~",3))-FIND("~",SUBSTITUTE($BL187,"-","~",2))-1))</f>
        <v/>
      </c>
      <c r="BO187">
        <f>IF($BM187="","",IFERROR(VLOOKUP($BM187,DECODE!$A$3:$C$8,3,FALSE),"?"))</f>
        <v/>
      </c>
      <c r="BP187">
        <f>IF($BN187="","",IFERROR(VLOOKUP($BM187&amp;"-"&amp;$BN187,DECODE!$E$3:$F$21,2,FALSE),"?"))</f>
        <v/>
      </c>
      <c r="BQ187">
        <f>IF($BL187="","",IFERROR(VALUE(RIGHT($BL187,3)),""))</f>
        <v/>
      </c>
      <c r="BR187">
        <f>IF($W187="","",IFERROR(IF(ISNUMBER($W187),$W187,DATEVALUE(TRIM($W187))),""))</f>
        <v/>
      </c>
      <c r="BS187">
        <f>IF($BR187="","",IF(MONTH($BR187)&gt;=12,"Cold Winter",IF(MONTH($BR187)&gt;=10,"Post-Monsoon",IF(MONTH($BR187)&gt;=6,"Hot Humid",IF(MONTH($BR187)&gt;=3,"Hot Dry","Cold Winter")))))</f>
        <v/>
      </c>
      <c r="BT187">
        <f>IF($BM187="","",IFERROR(VLOOKUP($BM187,DECODE!$A$3:$C$8,2,FALSE),"?"))</f>
        <v/>
      </c>
      <c r="BU187">
        <f>IF($R187="","",UPPER(TRIM(LEFT($R187&amp;",",FIND(",",$R187&amp;",")-1))))</f>
        <v/>
      </c>
      <c r="BV187">
        <f>IF($BU187="","",MID($BU187,4,FIND("~",SUBSTITUTE($BU187,"-","~",2))-4))</f>
        <v/>
      </c>
      <c r="BW187">
        <f>IF($BU187="","",MID($BU187,FIND("~",SUBSTITUTE($BU187,"-","~",2))+1,FIND("~",SUBSTITUTE($BU187,"-","~",3))-FIND("~",SUBSTITUTE($BU187,"-","~",2))-1))</f>
        <v/>
      </c>
      <c r="BX187">
        <f>IF($BV187="","",IFERROR(VLOOKUP($BV187,DECODE!$A$3:$C$8,3,FALSE),"?"))</f>
        <v/>
      </c>
      <c r="BY187">
        <f>IF($BW187="","",IFERROR(VLOOKUP($BV187&amp;"-"&amp;$BW187,DECODE!$E$3:$F$21,2,FALSE),"?"))</f>
        <v/>
      </c>
      <c r="BZ187">
        <f>IF($BU187="","",IFERROR(VALUE(RIGHT($BU187,3)),""))</f>
        <v/>
      </c>
      <c r="CA187">
        <f>IF($X187="","",IFERROR(IF(ISNUMBER($X187),$X187,DATEVALUE(TRIM($X187))),""))</f>
        <v/>
      </c>
      <c r="CB187">
        <f>IF($CA187="","",IF(MONTH($CA187)&gt;=12,"Cold Winter",IF(MONTH($CA187)&gt;=10,"Post-Monsoon",IF(MONTH($CA187)&gt;=6,"Hot Humid",IF(MONTH($CA187)&gt;=3,"Hot Dry","Cold Winter")))))</f>
        <v/>
      </c>
      <c r="CC187">
        <f>IF($BV187="","",IFERROR(VLOOKUP($BV187,DECODE!$A$3:$C$8,2,FALSE),"?"))</f>
        <v/>
      </c>
      <c r="CD187">
        <f>IF($S187="","",UPPER(TRIM(LEFT($S187&amp;",",FIND(",",$S187&amp;",")-1))))</f>
        <v/>
      </c>
      <c r="CE187">
        <f>IF($CD187="","",MID($CD187,4,FIND("~",SUBSTITUTE($CD187,"-","~",2))-4))</f>
        <v/>
      </c>
      <c r="CF187">
        <f>IF($CD187="","",MID($CD187,FIND("~",SUBSTITUTE($CD187,"-","~",2))+1,FIND("~",SUBSTITUTE($CD187,"-","~",3))-FIND("~",SUBSTITUTE($CD187,"-","~",2))-1))</f>
        <v/>
      </c>
      <c r="CG187">
        <f>IF($CE187="","",IFERROR(VLOOKUP($CE187,DECODE!$A$3:$C$8,3,FALSE),"?"))</f>
        <v/>
      </c>
      <c r="CH187">
        <f>IF($CF187="","",IFERROR(VLOOKUP($CE187&amp;"-"&amp;$CF187,DECODE!$E$3:$F$21,2,FALSE),"?"))</f>
        <v/>
      </c>
      <c r="CI187">
        <f>IF($CD187="","",IFERROR(VALUE(RIGHT($CD187,3)),""))</f>
        <v/>
      </c>
      <c r="CJ187">
        <f>IF($Y187="","",IFERROR(IF(ISNUMBER($Y187),$Y187,DATEVALUE(TRIM($Y187))),""))</f>
        <v/>
      </c>
      <c r="CK187">
        <f>IF($CJ187="","",IF(MONTH($CJ187)&gt;=12,"Cold Winter",IF(MONTH($CJ187)&gt;=10,"Post-Monsoon",IF(MONTH($CJ187)&gt;=6,"Hot Humid",IF(MONTH($CJ187)&gt;=3,"Hot Dry","Cold Winter")))))</f>
        <v/>
      </c>
      <c r="CL187">
        <f>IF($CE187="","",IFERROR(VLOOKUP($CE187,DECODE!$A$3:$C$8,2,FALSE),"?"))</f>
        <v/>
      </c>
      <c r="CM187">
        <f>IF($AN187="","",AN187)</f>
        <v/>
      </c>
      <c r="CN187">
        <f>IF($AO187="","",AO187)</f>
        <v/>
      </c>
      <c r="CO187">
        <f>IF($AP187="","",AP187)</f>
        <v/>
      </c>
      <c r="CP187">
        <f>IF($CM187="","",IF($CM187="Aloe Vera Gel","Aloe Vera Gel "&amp;$CO187&amp;"g",CN187&amp;" "&amp;$CO187&amp;"g"))</f>
        <v/>
      </c>
      <c r="CQ187">
        <f>IF($AT187="",0,1)</f>
        <v/>
      </c>
      <c r="CR187">
        <f>IF($CQ187=0,"",AW187)</f>
        <v/>
      </c>
      <c r="CS187">
        <f>IF($CQ187=0,"",AX187)</f>
        <v/>
      </c>
      <c r="CT187">
        <f>IF($CQ187=0,"",AY187)</f>
        <v/>
      </c>
      <c r="CU187">
        <f>IF($CR187="","",IF($CR187="Aloe Vera Gel","Aloe Vera Gel "&amp;$CT187&amp;"g",CS187&amp;" "&amp;$CT187&amp;"g"))</f>
        <v/>
      </c>
      <c r="CV187">
        <f>IF($CQ187=0,"",IF($CP187=$CU187,"Repeat Exact",IF($CT187&gt;$CO187,"Upsized",IF($CT187&lt;$CO187,"Downsized",IF($CM187&lt;&gt;$CR187,"Lateral","Same Size Diff Variant")))))</f>
        <v/>
      </c>
      <c r="CW187">
        <f>IF($CQ187=0,"",AZ187-AQ187)</f>
        <v/>
      </c>
      <c r="CX187">
        <f>IF($CQ187=0,0,IF(CS187=CN187,1,0))</f>
        <v/>
      </c>
      <c r="CY187">
        <f>IF($CQ187=0,0,IF(CR187=CM187,1,0))</f>
        <v/>
      </c>
      <c r="CZ187">
        <f>IF($A187="","",IF(AND(IF(DASHBOARD!$C$4="All",TRUE,$CM187=DASHBOARD!$C$4),IF(DASHBOARD!$C$6="All",TRUE,$CP187=DASHBOARD!$C$6),IF(DASHBOARD!$C$8="All",TRUE,$AF187&gt;=DASHBOARD!$C$8),IF(DASHBOARD!$C$10="All",TRUE,$AF187&lt;=DASHBOARD!$C$10),IF(DASHBOARD!$C$12="All",TRUE,$AH187=VALUE(DASHBOARD!$C$12)),IF(DASHBOARD!$C$14="All",TRUE,$AJ187=DASHBOARD!$C$14)),1,0))</f>
        <v/>
      </c>
    </row>
    <row r="188">
      <c r="A188" t="n">
        <v>126755</v>
      </c>
      <c r="B188" t="inlineStr">
        <is>
          <t>Aloe Vera Gel</t>
        </is>
      </c>
      <c r="H188" t="inlineStr">
        <is>
          <t>Aloe Vera Gel - 80 gms</t>
        </is>
      </c>
      <c r="N188" t="inlineStr">
        <is>
          <t>FC-HG-PA-080</t>
        </is>
      </c>
      <c r="T188" t="inlineStr">
        <is>
          <t>Mar 2, 2025</t>
        </is>
      </c>
      <c r="AE188" t="inlineStr">
        <is>
          <t>Mumbai</t>
        </is>
      </c>
      <c r="AF188" t="inlineStr">
        <is>
          <t>2025-03</t>
        </is>
      </c>
      <c r="AG188" t="n">
        <v>3</v>
      </c>
      <c r="AH188" t="n">
        <v>1</v>
      </c>
      <c r="AI188" t="n">
        <v>0</v>
      </c>
      <c r="AJ188">
        <f>IF($AE188="","",IFERROR(VLOOKUP(TRIM($AE188),DECODE!$H$3:$I$60,2,FALSE),"Rest of India"))</f>
        <v/>
      </c>
      <c r="AK188">
        <f>IF($N188="","",UPPER(TRIM(LEFT($N188&amp;",",FIND(",",$N188&amp;",")-1))))</f>
        <v/>
      </c>
      <c r="AL188">
        <f>IF($AK188="","",MID($AK188,4,FIND("~",SUBSTITUTE($AK188,"-","~",2))-4))</f>
        <v/>
      </c>
      <c r="AM188">
        <f>IF($AK188="","",MID($AK188,FIND("~",SUBSTITUTE($AK188,"-","~",2))+1,FIND("~",SUBSTITUTE($AK188,"-","~",3))-FIND("~",SUBSTITUTE($AK188,"-","~",2))-1))</f>
        <v/>
      </c>
      <c r="AN188">
        <f>IF($AL188="","",IFERROR(VLOOKUP($AL188,DECODE!$A$3:$C$8,3,FALSE),"?"))</f>
        <v/>
      </c>
      <c r="AO188">
        <f>IF($AM188="","",IFERROR(VLOOKUP($AL188&amp;"-"&amp;$AM188,DECODE!$E$3:$F$21,2,FALSE),"?"))</f>
        <v/>
      </c>
      <c r="AP188">
        <f>IF($AK188="","",IFERROR(VALUE(RIGHT($AK188,3)),""))</f>
        <v/>
      </c>
      <c r="AQ188">
        <f>IF($T188="","",IFERROR(IF(ISNUMBER($T188),$T188,DATEVALUE(TRIM($T188))),""))</f>
        <v/>
      </c>
      <c r="AR188">
        <f>IF($AQ188="","",IF(MONTH($AQ188)&gt;=12,"Cold Winter",IF(MONTH($AQ188)&gt;=10,"Post-Monsoon",IF(MONTH($AQ188)&gt;=6,"Hot Humid",IF(MONTH($AQ188)&gt;=3,"Hot Dry","Cold Winter")))))</f>
        <v/>
      </c>
      <c r="AS188">
        <f>IF($AL188="","",IFERROR(VLOOKUP($AL188,DECODE!$A$3:$C$8,2,FALSE),"?"))</f>
        <v/>
      </c>
      <c r="AT188">
        <f>IF($O188="","",UPPER(TRIM(LEFT($O188&amp;",",FIND(",",$O188&amp;",")-1))))</f>
        <v/>
      </c>
      <c r="AU188">
        <f>IF($AT188="","",MID($AT188,4,FIND("~",SUBSTITUTE($AT188,"-","~",2))-4))</f>
        <v/>
      </c>
      <c r="AV188">
        <f>IF($AT188="","",MID($AT188,FIND("~",SUBSTITUTE($AT188,"-","~",2))+1,FIND("~",SUBSTITUTE($AT188,"-","~",3))-FIND("~",SUBSTITUTE($AT188,"-","~",2))-1))</f>
        <v/>
      </c>
      <c r="AW188">
        <f>IF($AU188="","",IFERROR(VLOOKUP($AU188,DECODE!$A$3:$C$8,3,FALSE),"?"))</f>
        <v/>
      </c>
      <c r="AX188">
        <f>IF($AV188="","",IFERROR(VLOOKUP($AU188&amp;"-"&amp;$AV188,DECODE!$E$3:$F$21,2,FALSE),"?"))</f>
        <v/>
      </c>
      <c r="AY188">
        <f>IF($AT188="","",IFERROR(VALUE(RIGHT($AT188,3)),""))</f>
        <v/>
      </c>
      <c r="AZ188">
        <f>IF($U188="","",IFERROR(IF(ISNUMBER($U188),$U188,DATEVALUE(TRIM($U188))),""))</f>
        <v/>
      </c>
      <c r="BA188">
        <f>IF($AZ188="","",IF(MONTH($AZ188)&gt;=12,"Cold Winter",IF(MONTH($AZ188)&gt;=10,"Post-Monsoon",IF(MONTH($AZ188)&gt;=6,"Hot Humid",IF(MONTH($AZ188)&gt;=3,"Hot Dry","Cold Winter")))))</f>
        <v/>
      </c>
      <c r="BB188">
        <f>IF($AU188="","",IFERROR(VLOOKUP($AU188,DECODE!$A$3:$C$8,2,FALSE),"?"))</f>
        <v/>
      </c>
      <c r="BC188">
        <f>IF($P188="","",UPPER(TRIM(LEFT($P188&amp;",",FIND(",",$P188&amp;",")-1))))</f>
        <v/>
      </c>
      <c r="BD188">
        <f>IF($BC188="","",MID($BC188,4,FIND("~",SUBSTITUTE($BC188,"-","~",2))-4))</f>
        <v/>
      </c>
      <c r="BE188">
        <f>IF($BC188="","",MID($BC188,FIND("~",SUBSTITUTE($BC188,"-","~",2))+1,FIND("~",SUBSTITUTE($BC188,"-","~",3))-FIND("~",SUBSTITUTE($BC188,"-","~",2))-1))</f>
        <v/>
      </c>
      <c r="BF188">
        <f>IF($BD188="","",IFERROR(VLOOKUP($BD188,DECODE!$A$3:$C$8,3,FALSE),"?"))</f>
        <v/>
      </c>
      <c r="BG188">
        <f>IF($BE188="","",IFERROR(VLOOKUP($BD188&amp;"-"&amp;$BE188,DECODE!$E$3:$F$21,2,FALSE),"?"))</f>
        <v/>
      </c>
      <c r="BH188">
        <f>IF($BC188="","",IFERROR(VALUE(RIGHT($BC188,3)),""))</f>
        <v/>
      </c>
      <c r="BI188">
        <f>IF($V188="","",IFERROR(IF(ISNUMBER($V188),$V188,DATEVALUE(TRIM($V188))),""))</f>
        <v/>
      </c>
      <c r="BJ188">
        <f>IF($BI188="","",IF(MONTH($BI188)&gt;=12,"Cold Winter",IF(MONTH($BI188)&gt;=10,"Post-Monsoon",IF(MONTH($BI188)&gt;=6,"Hot Humid",IF(MONTH($BI188)&gt;=3,"Hot Dry","Cold Winter")))))</f>
        <v/>
      </c>
      <c r="BK188">
        <f>IF($BD188="","",IFERROR(VLOOKUP($BD188,DECODE!$A$3:$C$8,2,FALSE),"?"))</f>
        <v/>
      </c>
      <c r="BL188">
        <f>IF($Q188="","",UPPER(TRIM(LEFT($Q188&amp;",",FIND(",",$Q188&amp;",")-1))))</f>
        <v/>
      </c>
      <c r="BM188">
        <f>IF($BL188="","",MID($BL188,4,FIND("~",SUBSTITUTE($BL188,"-","~",2))-4))</f>
        <v/>
      </c>
      <c r="BN188">
        <f>IF($BL188="","",MID($BL188,FIND("~",SUBSTITUTE($BL188,"-","~",2))+1,FIND("~",SUBSTITUTE($BL188,"-","~",3))-FIND("~",SUBSTITUTE($BL188,"-","~",2))-1))</f>
        <v/>
      </c>
      <c r="BO188">
        <f>IF($BM188="","",IFERROR(VLOOKUP($BM188,DECODE!$A$3:$C$8,3,FALSE),"?"))</f>
        <v/>
      </c>
      <c r="BP188">
        <f>IF($BN188="","",IFERROR(VLOOKUP($BM188&amp;"-"&amp;$BN188,DECODE!$E$3:$F$21,2,FALSE),"?"))</f>
        <v/>
      </c>
      <c r="BQ188">
        <f>IF($BL188="","",IFERROR(VALUE(RIGHT($BL188,3)),""))</f>
        <v/>
      </c>
      <c r="BR188">
        <f>IF($W188="","",IFERROR(IF(ISNUMBER($W188),$W188,DATEVALUE(TRIM($W188))),""))</f>
        <v/>
      </c>
      <c r="BS188">
        <f>IF($BR188="","",IF(MONTH($BR188)&gt;=12,"Cold Winter",IF(MONTH($BR188)&gt;=10,"Post-Monsoon",IF(MONTH($BR188)&gt;=6,"Hot Humid",IF(MONTH($BR188)&gt;=3,"Hot Dry","Cold Winter")))))</f>
        <v/>
      </c>
      <c r="BT188">
        <f>IF($BM188="","",IFERROR(VLOOKUP($BM188,DECODE!$A$3:$C$8,2,FALSE),"?"))</f>
        <v/>
      </c>
      <c r="BU188">
        <f>IF($R188="","",UPPER(TRIM(LEFT($R188&amp;",",FIND(",",$R188&amp;",")-1))))</f>
        <v/>
      </c>
      <c r="BV188">
        <f>IF($BU188="","",MID($BU188,4,FIND("~",SUBSTITUTE($BU188,"-","~",2))-4))</f>
        <v/>
      </c>
      <c r="BW188">
        <f>IF($BU188="","",MID($BU188,FIND("~",SUBSTITUTE($BU188,"-","~",2))+1,FIND("~",SUBSTITUTE($BU188,"-","~",3))-FIND("~",SUBSTITUTE($BU188,"-","~",2))-1))</f>
        <v/>
      </c>
      <c r="BX188">
        <f>IF($BV188="","",IFERROR(VLOOKUP($BV188,DECODE!$A$3:$C$8,3,FALSE),"?"))</f>
        <v/>
      </c>
      <c r="BY188">
        <f>IF($BW188="","",IFERROR(VLOOKUP($BV188&amp;"-"&amp;$BW188,DECODE!$E$3:$F$21,2,FALSE),"?"))</f>
        <v/>
      </c>
      <c r="BZ188">
        <f>IF($BU188="","",IFERROR(VALUE(RIGHT($BU188,3)),""))</f>
        <v/>
      </c>
      <c r="CA188">
        <f>IF($X188="","",IFERROR(IF(ISNUMBER($X188),$X188,DATEVALUE(TRIM($X188))),""))</f>
        <v/>
      </c>
      <c r="CB188">
        <f>IF($CA188="","",IF(MONTH($CA188)&gt;=12,"Cold Winter",IF(MONTH($CA188)&gt;=10,"Post-Monsoon",IF(MONTH($CA188)&gt;=6,"Hot Humid",IF(MONTH($CA188)&gt;=3,"Hot Dry","Cold Winter")))))</f>
        <v/>
      </c>
      <c r="CC188">
        <f>IF($BV188="","",IFERROR(VLOOKUP($BV188,DECODE!$A$3:$C$8,2,FALSE),"?"))</f>
        <v/>
      </c>
      <c r="CD188">
        <f>IF($S188="","",UPPER(TRIM(LEFT($S188&amp;",",FIND(",",$S188&amp;",")-1))))</f>
        <v/>
      </c>
      <c r="CE188">
        <f>IF($CD188="","",MID($CD188,4,FIND("~",SUBSTITUTE($CD188,"-","~",2))-4))</f>
        <v/>
      </c>
      <c r="CF188">
        <f>IF($CD188="","",MID($CD188,FIND("~",SUBSTITUTE($CD188,"-","~",2))+1,FIND("~",SUBSTITUTE($CD188,"-","~",3))-FIND("~",SUBSTITUTE($CD188,"-","~",2))-1))</f>
        <v/>
      </c>
      <c r="CG188">
        <f>IF($CE188="","",IFERROR(VLOOKUP($CE188,DECODE!$A$3:$C$8,3,FALSE),"?"))</f>
        <v/>
      </c>
      <c r="CH188">
        <f>IF($CF188="","",IFERROR(VLOOKUP($CE188&amp;"-"&amp;$CF188,DECODE!$E$3:$F$21,2,FALSE),"?"))</f>
        <v/>
      </c>
      <c r="CI188">
        <f>IF($CD188="","",IFERROR(VALUE(RIGHT($CD188,3)),""))</f>
        <v/>
      </c>
      <c r="CJ188">
        <f>IF($Y188="","",IFERROR(IF(ISNUMBER($Y188),$Y188,DATEVALUE(TRIM($Y188))),""))</f>
        <v/>
      </c>
      <c r="CK188">
        <f>IF($CJ188="","",IF(MONTH($CJ188)&gt;=12,"Cold Winter",IF(MONTH($CJ188)&gt;=10,"Post-Monsoon",IF(MONTH($CJ188)&gt;=6,"Hot Humid",IF(MONTH($CJ188)&gt;=3,"Hot Dry","Cold Winter")))))</f>
        <v/>
      </c>
      <c r="CL188">
        <f>IF($CE188="","",IFERROR(VLOOKUP($CE188,DECODE!$A$3:$C$8,2,FALSE),"?"))</f>
        <v/>
      </c>
      <c r="CM188">
        <f>IF($AN188="","",AN188)</f>
        <v/>
      </c>
      <c r="CN188">
        <f>IF($AO188="","",AO188)</f>
        <v/>
      </c>
      <c r="CO188">
        <f>IF($AP188="","",AP188)</f>
        <v/>
      </c>
      <c r="CP188">
        <f>IF($CM188="","",IF($CM188="Aloe Vera Gel","Aloe Vera Gel "&amp;$CO188&amp;"g",CN188&amp;" "&amp;$CO188&amp;"g"))</f>
        <v/>
      </c>
      <c r="CQ188">
        <f>IF($AT188="",0,1)</f>
        <v/>
      </c>
      <c r="CR188">
        <f>IF($CQ188=0,"",AW188)</f>
        <v/>
      </c>
      <c r="CS188">
        <f>IF($CQ188=0,"",AX188)</f>
        <v/>
      </c>
      <c r="CT188">
        <f>IF($CQ188=0,"",AY188)</f>
        <v/>
      </c>
      <c r="CU188">
        <f>IF($CR188="","",IF($CR188="Aloe Vera Gel","Aloe Vera Gel "&amp;$CT188&amp;"g",CS188&amp;" "&amp;$CT188&amp;"g"))</f>
        <v/>
      </c>
      <c r="CV188">
        <f>IF($CQ188=0,"",IF($CP188=$CU188,"Repeat Exact",IF($CT188&gt;$CO188,"Upsized",IF($CT188&lt;$CO188,"Downsized",IF($CM188&lt;&gt;$CR188,"Lateral","Same Size Diff Variant")))))</f>
        <v/>
      </c>
      <c r="CW188">
        <f>IF($CQ188=0,"",AZ188-AQ188)</f>
        <v/>
      </c>
      <c r="CX188">
        <f>IF($CQ188=0,0,IF(CS188=CN188,1,0))</f>
        <v/>
      </c>
      <c r="CY188">
        <f>IF($CQ188=0,0,IF(CR188=CM188,1,0))</f>
        <v/>
      </c>
      <c r="CZ188">
        <f>IF($A188="","",IF(AND(IF(DASHBOARD!$C$4="All",TRUE,$CM188=DASHBOARD!$C$4),IF(DASHBOARD!$C$6="All",TRUE,$CP188=DASHBOARD!$C$6),IF(DASHBOARD!$C$8="All",TRUE,$AF188&gt;=DASHBOARD!$C$8),IF(DASHBOARD!$C$10="All",TRUE,$AF188&lt;=DASHBOARD!$C$10),IF(DASHBOARD!$C$12="All",TRUE,$AH188=VALUE(DASHBOARD!$C$12)),IF(DASHBOARD!$C$14="All",TRUE,$AJ188=DASHBOARD!$C$14)),1,0))</f>
        <v/>
      </c>
    </row>
    <row r="189">
      <c r="A189" t="n">
        <v>126760</v>
      </c>
      <c r="B189" t="inlineStr">
        <is>
          <t>Face Malai</t>
        </is>
      </c>
      <c r="H189" t="inlineStr">
        <is>
          <t>Turmeric Nutmeg (Pigmentation)  Face Malai - 30g</t>
        </is>
      </c>
      <c r="N189" t="inlineStr">
        <is>
          <t>FC-DM-PG-030</t>
        </is>
      </c>
      <c r="T189" t="inlineStr">
        <is>
          <t>Feb 17, 2026</t>
        </is>
      </c>
      <c r="AE189" t="inlineStr">
        <is>
          <t>Bengaluru</t>
        </is>
      </c>
      <c r="AF189" t="inlineStr">
        <is>
          <t>2026-02</t>
        </is>
      </c>
      <c r="AG189" t="n">
        <v>2</v>
      </c>
      <c r="AH189" t="n">
        <v>1</v>
      </c>
      <c r="AI189" t="n">
        <v>0</v>
      </c>
      <c r="AJ189">
        <f>IF($AE189="","",IFERROR(VLOOKUP(TRIM($AE189),DECODE!$H$3:$I$60,2,FALSE),"Rest of India"))</f>
        <v/>
      </c>
      <c r="AK189">
        <f>IF($N189="","",UPPER(TRIM(LEFT($N189&amp;",",FIND(",",$N189&amp;",")-1))))</f>
        <v/>
      </c>
      <c r="AL189">
        <f>IF($AK189="","",MID($AK189,4,FIND("~",SUBSTITUTE($AK189,"-","~",2))-4))</f>
        <v/>
      </c>
      <c r="AM189">
        <f>IF($AK189="","",MID($AK189,FIND("~",SUBSTITUTE($AK189,"-","~",2))+1,FIND("~",SUBSTITUTE($AK189,"-","~",3))-FIND("~",SUBSTITUTE($AK189,"-","~",2))-1))</f>
        <v/>
      </c>
      <c r="AN189">
        <f>IF($AL189="","",IFERROR(VLOOKUP($AL189,DECODE!$A$3:$C$8,3,FALSE),"?"))</f>
        <v/>
      </c>
      <c r="AO189">
        <f>IF($AM189="","",IFERROR(VLOOKUP($AL189&amp;"-"&amp;$AM189,DECODE!$E$3:$F$21,2,FALSE),"?"))</f>
        <v/>
      </c>
      <c r="AP189">
        <f>IF($AK189="","",IFERROR(VALUE(RIGHT($AK189,3)),""))</f>
        <v/>
      </c>
      <c r="AQ189">
        <f>IF($T189="","",IFERROR(IF(ISNUMBER($T189),$T189,DATEVALUE(TRIM($T189))),""))</f>
        <v/>
      </c>
      <c r="AR189">
        <f>IF($AQ189="","",IF(MONTH($AQ189)&gt;=12,"Cold Winter",IF(MONTH($AQ189)&gt;=10,"Post-Monsoon",IF(MONTH($AQ189)&gt;=6,"Hot Humid",IF(MONTH($AQ189)&gt;=3,"Hot Dry","Cold Winter")))))</f>
        <v/>
      </c>
      <c r="AS189">
        <f>IF($AL189="","",IFERROR(VLOOKUP($AL189,DECODE!$A$3:$C$8,2,FALSE),"?"))</f>
        <v/>
      </c>
      <c r="AT189">
        <f>IF($O189="","",UPPER(TRIM(LEFT($O189&amp;",",FIND(",",$O189&amp;",")-1))))</f>
        <v/>
      </c>
      <c r="AU189">
        <f>IF($AT189="","",MID($AT189,4,FIND("~",SUBSTITUTE($AT189,"-","~",2))-4))</f>
        <v/>
      </c>
      <c r="AV189">
        <f>IF($AT189="","",MID($AT189,FIND("~",SUBSTITUTE($AT189,"-","~",2))+1,FIND("~",SUBSTITUTE($AT189,"-","~",3))-FIND("~",SUBSTITUTE($AT189,"-","~",2))-1))</f>
        <v/>
      </c>
      <c r="AW189">
        <f>IF($AU189="","",IFERROR(VLOOKUP($AU189,DECODE!$A$3:$C$8,3,FALSE),"?"))</f>
        <v/>
      </c>
      <c r="AX189">
        <f>IF($AV189="","",IFERROR(VLOOKUP($AU189&amp;"-"&amp;$AV189,DECODE!$E$3:$F$21,2,FALSE),"?"))</f>
        <v/>
      </c>
      <c r="AY189">
        <f>IF($AT189="","",IFERROR(VALUE(RIGHT($AT189,3)),""))</f>
        <v/>
      </c>
      <c r="AZ189">
        <f>IF($U189="","",IFERROR(IF(ISNUMBER($U189),$U189,DATEVALUE(TRIM($U189))),""))</f>
        <v/>
      </c>
      <c r="BA189">
        <f>IF($AZ189="","",IF(MONTH($AZ189)&gt;=12,"Cold Winter",IF(MONTH($AZ189)&gt;=10,"Post-Monsoon",IF(MONTH($AZ189)&gt;=6,"Hot Humid",IF(MONTH($AZ189)&gt;=3,"Hot Dry","Cold Winter")))))</f>
        <v/>
      </c>
      <c r="BB189">
        <f>IF($AU189="","",IFERROR(VLOOKUP($AU189,DECODE!$A$3:$C$8,2,FALSE),"?"))</f>
        <v/>
      </c>
      <c r="BC189">
        <f>IF($P189="","",UPPER(TRIM(LEFT($P189&amp;",",FIND(",",$P189&amp;",")-1))))</f>
        <v/>
      </c>
      <c r="BD189">
        <f>IF($BC189="","",MID($BC189,4,FIND("~",SUBSTITUTE($BC189,"-","~",2))-4))</f>
        <v/>
      </c>
      <c r="BE189">
        <f>IF($BC189="","",MID($BC189,FIND("~",SUBSTITUTE($BC189,"-","~",2))+1,FIND("~",SUBSTITUTE($BC189,"-","~",3))-FIND("~",SUBSTITUTE($BC189,"-","~",2))-1))</f>
        <v/>
      </c>
      <c r="BF189">
        <f>IF($BD189="","",IFERROR(VLOOKUP($BD189,DECODE!$A$3:$C$8,3,FALSE),"?"))</f>
        <v/>
      </c>
      <c r="BG189">
        <f>IF($BE189="","",IFERROR(VLOOKUP($BD189&amp;"-"&amp;$BE189,DECODE!$E$3:$F$21,2,FALSE),"?"))</f>
        <v/>
      </c>
      <c r="BH189">
        <f>IF($BC189="","",IFERROR(VALUE(RIGHT($BC189,3)),""))</f>
        <v/>
      </c>
      <c r="BI189">
        <f>IF($V189="","",IFERROR(IF(ISNUMBER($V189),$V189,DATEVALUE(TRIM($V189))),""))</f>
        <v/>
      </c>
      <c r="BJ189">
        <f>IF($BI189="","",IF(MONTH($BI189)&gt;=12,"Cold Winter",IF(MONTH($BI189)&gt;=10,"Post-Monsoon",IF(MONTH($BI189)&gt;=6,"Hot Humid",IF(MONTH($BI189)&gt;=3,"Hot Dry","Cold Winter")))))</f>
        <v/>
      </c>
      <c r="BK189">
        <f>IF($BD189="","",IFERROR(VLOOKUP($BD189,DECODE!$A$3:$C$8,2,FALSE),"?"))</f>
        <v/>
      </c>
      <c r="BL189">
        <f>IF($Q189="","",UPPER(TRIM(LEFT($Q189&amp;",",FIND(",",$Q189&amp;",")-1))))</f>
        <v/>
      </c>
      <c r="BM189">
        <f>IF($BL189="","",MID($BL189,4,FIND("~",SUBSTITUTE($BL189,"-","~",2))-4))</f>
        <v/>
      </c>
      <c r="BN189">
        <f>IF($BL189="","",MID($BL189,FIND("~",SUBSTITUTE($BL189,"-","~",2))+1,FIND("~",SUBSTITUTE($BL189,"-","~",3))-FIND("~",SUBSTITUTE($BL189,"-","~",2))-1))</f>
        <v/>
      </c>
      <c r="BO189">
        <f>IF($BM189="","",IFERROR(VLOOKUP($BM189,DECODE!$A$3:$C$8,3,FALSE),"?"))</f>
        <v/>
      </c>
      <c r="BP189">
        <f>IF($BN189="","",IFERROR(VLOOKUP($BM189&amp;"-"&amp;$BN189,DECODE!$E$3:$F$21,2,FALSE),"?"))</f>
        <v/>
      </c>
      <c r="BQ189">
        <f>IF($BL189="","",IFERROR(VALUE(RIGHT($BL189,3)),""))</f>
        <v/>
      </c>
      <c r="BR189">
        <f>IF($W189="","",IFERROR(IF(ISNUMBER($W189),$W189,DATEVALUE(TRIM($W189))),""))</f>
        <v/>
      </c>
      <c r="BS189">
        <f>IF($BR189="","",IF(MONTH($BR189)&gt;=12,"Cold Winter",IF(MONTH($BR189)&gt;=10,"Post-Monsoon",IF(MONTH($BR189)&gt;=6,"Hot Humid",IF(MONTH($BR189)&gt;=3,"Hot Dry","Cold Winter")))))</f>
        <v/>
      </c>
      <c r="BT189">
        <f>IF($BM189="","",IFERROR(VLOOKUP($BM189,DECODE!$A$3:$C$8,2,FALSE),"?"))</f>
        <v/>
      </c>
      <c r="BU189">
        <f>IF($R189="","",UPPER(TRIM(LEFT($R189&amp;",",FIND(",",$R189&amp;",")-1))))</f>
        <v/>
      </c>
      <c r="BV189">
        <f>IF($BU189="","",MID($BU189,4,FIND("~",SUBSTITUTE($BU189,"-","~",2))-4))</f>
        <v/>
      </c>
      <c r="BW189">
        <f>IF($BU189="","",MID($BU189,FIND("~",SUBSTITUTE($BU189,"-","~",2))+1,FIND("~",SUBSTITUTE($BU189,"-","~",3))-FIND("~",SUBSTITUTE($BU189,"-","~",2))-1))</f>
        <v/>
      </c>
      <c r="BX189">
        <f>IF($BV189="","",IFERROR(VLOOKUP($BV189,DECODE!$A$3:$C$8,3,FALSE),"?"))</f>
        <v/>
      </c>
      <c r="BY189">
        <f>IF($BW189="","",IFERROR(VLOOKUP($BV189&amp;"-"&amp;$BW189,DECODE!$E$3:$F$21,2,FALSE),"?"))</f>
        <v/>
      </c>
      <c r="BZ189">
        <f>IF($BU189="","",IFERROR(VALUE(RIGHT($BU189,3)),""))</f>
        <v/>
      </c>
      <c r="CA189">
        <f>IF($X189="","",IFERROR(IF(ISNUMBER($X189),$X189,DATEVALUE(TRIM($X189))),""))</f>
        <v/>
      </c>
      <c r="CB189">
        <f>IF($CA189="","",IF(MONTH($CA189)&gt;=12,"Cold Winter",IF(MONTH($CA189)&gt;=10,"Post-Monsoon",IF(MONTH($CA189)&gt;=6,"Hot Humid",IF(MONTH($CA189)&gt;=3,"Hot Dry","Cold Winter")))))</f>
        <v/>
      </c>
      <c r="CC189">
        <f>IF($BV189="","",IFERROR(VLOOKUP($BV189,DECODE!$A$3:$C$8,2,FALSE),"?"))</f>
        <v/>
      </c>
      <c r="CD189">
        <f>IF($S189="","",UPPER(TRIM(LEFT($S189&amp;",",FIND(",",$S189&amp;",")-1))))</f>
        <v/>
      </c>
      <c r="CE189">
        <f>IF($CD189="","",MID($CD189,4,FIND("~",SUBSTITUTE($CD189,"-","~",2))-4))</f>
        <v/>
      </c>
      <c r="CF189">
        <f>IF($CD189="","",MID($CD189,FIND("~",SUBSTITUTE($CD189,"-","~",2))+1,FIND("~",SUBSTITUTE($CD189,"-","~",3))-FIND("~",SUBSTITUTE($CD189,"-","~",2))-1))</f>
        <v/>
      </c>
      <c r="CG189">
        <f>IF($CE189="","",IFERROR(VLOOKUP($CE189,DECODE!$A$3:$C$8,3,FALSE),"?"))</f>
        <v/>
      </c>
      <c r="CH189">
        <f>IF($CF189="","",IFERROR(VLOOKUP($CE189&amp;"-"&amp;$CF189,DECODE!$E$3:$F$21,2,FALSE),"?"))</f>
        <v/>
      </c>
      <c r="CI189">
        <f>IF($CD189="","",IFERROR(VALUE(RIGHT($CD189,3)),""))</f>
        <v/>
      </c>
      <c r="CJ189">
        <f>IF($Y189="","",IFERROR(IF(ISNUMBER($Y189),$Y189,DATEVALUE(TRIM($Y189))),""))</f>
        <v/>
      </c>
      <c r="CK189">
        <f>IF($CJ189="","",IF(MONTH($CJ189)&gt;=12,"Cold Winter",IF(MONTH($CJ189)&gt;=10,"Post-Monsoon",IF(MONTH($CJ189)&gt;=6,"Hot Humid",IF(MONTH($CJ189)&gt;=3,"Hot Dry","Cold Winter")))))</f>
        <v/>
      </c>
      <c r="CL189">
        <f>IF($CE189="","",IFERROR(VLOOKUP($CE189,DECODE!$A$3:$C$8,2,FALSE),"?"))</f>
        <v/>
      </c>
      <c r="CM189">
        <f>IF($AN189="","",AN189)</f>
        <v/>
      </c>
      <c r="CN189">
        <f>IF($AO189="","",AO189)</f>
        <v/>
      </c>
      <c r="CO189">
        <f>IF($AP189="","",AP189)</f>
        <v/>
      </c>
      <c r="CP189">
        <f>IF($CM189="","",IF($CM189="Aloe Vera Gel","Aloe Vera Gel "&amp;$CO189&amp;"g",CN189&amp;" "&amp;$CO189&amp;"g"))</f>
        <v/>
      </c>
      <c r="CQ189">
        <f>IF($AT189="",0,1)</f>
        <v/>
      </c>
      <c r="CR189">
        <f>IF($CQ189=0,"",AW189)</f>
        <v/>
      </c>
      <c r="CS189">
        <f>IF($CQ189=0,"",AX189)</f>
        <v/>
      </c>
      <c r="CT189">
        <f>IF($CQ189=0,"",AY189)</f>
        <v/>
      </c>
      <c r="CU189">
        <f>IF($CR189="","",IF($CR189="Aloe Vera Gel","Aloe Vera Gel "&amp;$CT189&amp;"g",CS189&amp;" "&amp;$CT189&amp;"g"))</f>
        <v/>
      </c>
      <c r="CV189">
        <f>IF($CQ189=0,"",IF($CP189=$CU189,"Repeat Exact",IF($CT189&gt;$CO189,"Upsized",IF($CT189&lt;$CO189,"Downsized",IF($CM189&lt;&gt;$CR189,"Lateral","Same Size Diff Variant")))))</f>
        <v/>
      </c>
      <c r="CW189">
        <f>IF($CQ189=0,"",AZ189-AQ189)</f>
        <v/>
      </c>
      <c r="CX189">
        <f>IF($CQ189=0,0,IF(CS189=CN189,1,0))</f>
        <v/>
      </c>
      <c r="CY189">
        <f>IF($CQ189=0,0,IF(CR189=CM189,1,0))</f>
        <v/>
      </c>
      <c r="CZ189">
        <f>IF($A189="","",IF(AND(IF(DASHBOARD!$C$4="All",TRUE,$CM189=DASHBOARD!$C$4),IF(DASHBOARD!$C$6="All",TRUE,$CP189=DASHBOARD!$C$6),IF(DASHBOARD!$C$8="All",TRUE,$AF189&gt;=DASHBOARD!$C$8),IF(DASHBOARD!$C$10="All",TRUE,$AF189&lt;=DASHBOARD!$C$10),IF(DASHBOARD!$C$12="All",TRUE,$AH189=VALUE(DASHBOARD!$C$12)),IF(DASHBOARD!$C$14="All",TRUE,$AJ189=DASHBOARD!$C$14)),1,0))</f>
        <v/>
      </c>
    </row>
    <row r="190">
      <c r="A190" t="n">
        <v>126914</v>
      </c>
      <c r="B190" t="inlineStr">
        <is>
          <t>Face Malai</t>
        </is>
      </c>
      <c r="H190" t="inlineStr">
        <is>
          <t>Clove Tea-Tree (Anti-Acne) Face Malai</t>
        </is>
      </c>
      <c r="N190" t="inlineStr">
        <is>
          <t>FC-DM-AA-030</t>
        </is>
      </c>
      <c r="T190" t="inlineStr">
        <is>
          <t>Jan 4, 2025</t>
        </is>
      </c>
      <c r="AE190" t="inlineStr">
        <is>
          <t>Goa</t>
        </is>
      </c>
      <c r="AF190" t="inlineStr">
        <is>
          <t>2025-01</t>
        </is>
      </c>
      <c r="AG190" t="n">
        <v>1</v>
      </c>
      <c r="AH190" t="n">
        <v>1</v>
      </c>
      <c r="AI190" t="n">
        <v>0</v>
      </c>
      <c r="AJ190">
        <f>IF($AE190="","",IFERROR(VLOOKUP(TRIM($AE190),DECODE!$H$3:$I$60,2,FALSE),"Rest of India"))</f>
        <v/>
      </c>
      <c r="AK190">
        <f>IF($N190="","",UPPER(TRIM(LEFT($N190&amp;",",FIND(",",$N190&amp;",")-1))))</f>
        <v/>
      </c>
      <c r="AL190">
        <f>IF($AK190="","",MID($AK190,4,FIND("~",SUBSTITUTE($AK190,"-","~",2))-4))</f>
        <v/>
      </c>
      <c r="AM190">
        <f>IF($AK190="","",MID($AK190,FIND("~",SUBSTITUTE($AK190,"-","~",2))+1,FIND("~",SUBSTITUTE($AK190,"-","~",3))-FIND("~",SUBSTITUTE($AK190,"-","~",2))-1))</f>
        <v/>
      </c>
      <c r="AN190">
        <f>IF($AL190="","",IFERROR(VLOOKUP($AL190,DECODE!$A$3:$C$8,3,FALSE),"?"))</f>
        <v/>
      </c>
      <c r="AO190">
        <f>IF($AM190="","",IFERROR(VLOOKUP($AL190&amp;"-"&amp;$AM190,DECODE!$E$3:$F$21,2,FALSE),"?"))</f>
        <v/>
      </c>
      <c r="AP190">
        <f>IF($AK190="","",IFERROR(VALUE(RIGHT($AK190,3)),""))</f>
        <v/>
      </c>
      <c r="AQ190">
        <f>IF($T190="","",IFERROR(IF(ISNUMBER($T190),$T190,DATEVALUE(TRIM($T190))),""))</f>
        <v/>
      </c>
      <c r="AR190">
        <f>IF($AQ190="","",IF(MONTH($AQ190)&gt;=12,"Cold Winter",IF(MONTH($AQ190)&gt;=10,"Post-Monsoon",IF(MONTH($AQ190)&gt;=6,"Hot Humid",IF(MONTH($AQ190)&gt;=3,"Hot Dry","Cold Winter")))))</f>
        <v/>
      </c>
      <c r="AS190">
        <f>IF($AL190="","",IFERROR(VLOOKUP($AL190,DECODE!$A$3:$C$8,2,FALSE),"?"))</f>
        <v/>
      </c>
      <c r="AT190">
        <f>IF($O190="","",UPPER(TRIM(LEFT($O190&amp;",",FIND(",",$O190&amp;",")-1))))</f>
        <v/>
      </c>
      <c r="AU190">
        <f>IF($AT190="","",MID($AT190,4,FIND("~",SUBSTITUTE($AT190,"-","~",2))-4))</f>
        <v/>
      </c>
      <c r="AV190">
        <f>IF($AT190="","",MID($AT190,FIND("~",SUBSTITUTE($AT190,"-","~",2))+1,FIND("~",SUBSTITUTE($AT190,"-","~",3))-FIND("~",SUBSTITUTE($AT190,"-","~",2))-1))</f>
        <v/>
      </c>
      <c r="AW190">
        <f>IF($AU190="","",IFERROR(VLOOKUP($AU190,DECODE!$A$3:$C$8,3,FALSE),"?"))</f>
        <v/>
      </c>
      <c r="AX190">
        <f>IF($AV190="","",IFERROR(VLOOKUP($AU190&amp;"-"&amp;$AV190,DECODE!$E$3:$F$21,2,FALSE),"?"))</f>
        <v/>
      </c>
      <c r="AY190">
        <f>IF($AT190="","",IFERROR(VALUE(RIGHT($AT190,3)),""))</f>
        <v/>
      </c>
      <c r="AZ190">
        <f>IF($U190="","",IFERROR(IF(ISNUMBER($U190),$U190,DATEVALUE(TRIM($U190))),""))</f>
        <v/>
      </c>
      <c r="BA190">
        <f>IF($AZ190="","",IF(MONTH($AZ190)&gt;=12,"Cold Winter",IF(MONTH($AZ190)&gt;=10,"Post-Monsoon",IF(MONTH($AZ190)&gt;=6,"Hot Humid",IF(MONTH($AZ190)&gt;=3,"Hot Dry","Cold Winter")))))</f>
        <v/>
      </c>
      <c r="BB190">
        <f>IF($AU190="","",IFERROR(VLOOKUP($AU190,DECODE!$A$3:$C$8,2,FALSE),"?"))</f>
        <v/>
      </c>
      <c r="BC190">
        <f>IF($P190="","",UPPER(TRIM(LEFT($P190&amp;",",FIND(",",$P190&amp;",")-1))))</f>
        <v/>
      </c>
      <c r="BD190">
        <f>IF($BC190="","",MID($BC190,4,FIND("~",SUBSTITUTE($BC190,"-","~",2))-4))</f>
        <v/>
      </c>
      <c r="BE190">
        <f>IF($BC190="","",MID($BC190,FIND("~",SUBSTITUTE($BC190,"-","~",2))+1,FIND("~",SUBSTITUTE($BC190,"-","~",3))-FIND("~",SUBSTITUTE($BC190,"-","~",2))-1))</f>
        <v/>
      </c>
      <c r="BF190">
        <f>IF($BD190="","",IFERROR(VLOOKUP($BD190,DECODE!$A$3:$C$8,3,FALSE),"?"))</f>
        <v/>
      </c>
      <c r="BG190">
        <f>IF($BE190="","",IFERROR(VLOOKUP($BD190&amp;"-"&amp;$BE190,DECODE!$E$3:$F$21,2,FALSE),"?"))</f>
        <v/>
      </c>
      <c r="BH190">
        <f>IF($BC190="","",IFERROR(VALUE(RIGHT($BC190,3)),""))</f>
        <v/>
      </c>
      <c r="BI190">
        <f>IF($V190="","",IFERROR(IF(ISNUMBER($V190),$V190,DATEVALUE(TRIM($V190))),""))</f>
        <v/>
      </c>
      <c r="BJ190">
        <f>IF($BI190="","",IF(MONTH($BI190)&gt;=12,"Cold Winter",IF(MONTH($BI190)&gt;=10,"Post-Monsoon",IF(MONTH($BI190)&gt;=6,"Hot Humid",IF(MONTH($BI190)&gt;=3,"Hot Dry","Cold Winter")))))</f>
        <v/>
      </c>
      <c r="BK190">
        <f>IF($BD190="","",IFERROR(VLOOKUP($BD190,DECODE!$A$3:$C$8,2,FALSE),"?"))</f>
        <v/>
      </c>
      <c r="BL190">
        <f>IF($Q190="","",UPPER(TRIM(LEFT($Q190&amp;",",FIND(",",$Q190&amp;",")-1))))</f>
        <v/>
      </c>
      <c r="BM190">
        <f>IF($BL190="","",MID($BL190,4,FIND("~",SUBSTITUTE($BL190,"-","~",2))-4))</f>
        <v/>
      </c>
      <c r="BN190">
        <f>IF($BL190="","",MID($BL190,FIND("~",SUBSTITUTE($BL190,"-","~",2))+1,FIND("~",SUBSTITUTE($BL190,"-","~",3))-FIND("~",SUBSTITUTE($BL190,"-","~",2))-1))</f>
        <v/>
      </c>
      <c r="BO190">
        <f>IF($BM190="","",IFERROR(VLOOKUP($BM190,DECODE!$A$3:$C$8,3,FALSE),"?"))</f>
        <v/>
      </c>
      <c r="BP190">
        <f>IF($BN190="","",IFERROR(VLOOKUP($BM190&amp;"-"&amp;$BN190,DECODE!$E$3:$F$21,2,FALSE),"?"))</f>
        <v/>
      </c>
      <c r="BQ190">
        <f>IF($BL190="","",IFERROR(VALUE(RIGHT($BL190,3)),""))</f>
        <v/>
      </c>
      <c r="BR190">
        <f>IF($W190="","",IFERROR(IF(ISNUMBER($W190),$W190,DATEVALUE(TRIM($W190))),""))</f>
        <v/>
      </c>
      <c r="BS190">
        <f>IF($BR190="","",IF(MONTH($BR190)&gt;=12,"Cold Winter",IF(MONTH($BR190)&gt;=10,"Post-Monsoon",IF(MONTH($BR190)&gt;=6,"Hot Humid",IF(MONTH($BR190)&gt;=3,"Hot Dry","Cold Winter")))))</f>
        <v/>
      </c>
      <c r="BT190">
        <f>IF($BM190="","",IFERROR(VLOOKUP($BM190,DECODE!$A$3:$C$8,2,FALSE),"?"))</f>
        <v/>
      </c>
      <c r="BU190">
        <f>IF($R190="","",UPPER(TRIM(LEFT($R190&amp;",",FIND(",",$R190&amp;",")-1))))</f>
        <v/>
      </c>
      <c r="BV190">
        <f>IF($BU190="","",MID($BU190,4,FIND("~",SUBSTITUTE($BU190,"-","~",2))-4))</f>
        <v/>
      </c>
      <c r="BW190">
        <f>IF($BU190="","",MID($BU190,FIND("~",SUBSTITUTE($BU190,"-","~",2))+1,FIND("~",SUBSTITUTE($BU190,"-","~",3))-FIND("~",SUBSTITUTE($BU190,"-","~",2))-1))</f>
        <v/>
      </c>
      <c r="BX190">
        <f>IF($BV190="","",IFERROR(VLOOKUP($BV190,DECODE!$A$3:$C$8,3,FALSE),"?"))</f>
        <v/>
      </c>
      <c r="BY190">
        <f>IF($BW190="","",IFERROR(VLOOKUP($BV190&amp;"-"&amp;$BW190,DECODE!$E$3:$F$21,2,FALSE),"?"))</f>
        <v/>
      </c>
      <c r="BZ190">
        <f>IF($BU190="","",IFERROR(VALUE(RIGHT($BU190,3)),""))</f>
        <v/>
      </c>
      <c r="CA190">
        <f>IF($X190="","",IFERROR(IF(ISNUMBER($X190),$X190,DATEVALUE(TRIM($X190))),""))</f>
        <v/>
      </c>
      <c r="CB190">
        <f>IF($CA190="","",IF(MONTH($CA190)&gt;=12,"Cold Winter",IF(MONTH($CA190)&gt;=10,"Post-Monsoon",IF(MONTH($CA190)&gt;=6,"Hot Humid",IF(MONTH($CA190)&gt;=3,"Hot Dry","Cold Winter")))))</f>
        <v/>
      </c>
      <c r="CC190">
        <f>IF($BV190="","",IFERROR(VLOOKUP($BV190,DECODE!$A$3:$C$8,2,FALSE),"?"))</f>
        <v/>
      </c>
      <c r="CD190">
        <f>IF($S190="","",UPPER(TRIM(LEFT($S190&amp;",",FIND(",",$S190&amp;",")-1))))</f>
        <v/>
      </c>
      <c r="CE190">
        <f>IF($CD190="","",MID($CD190,4,FIND("~",SUBSTITUTE($CD190,"-","~",2))-4))</f>
        <v/>
      </c>
      <c r="CF190">
        <f>IF($CD190="","",MID($CD190,FIND("~",SUBSTITUTE($CD190,"-","~",2))+1,FIND("~",SUBSTITUTE($CD190,"-","~",3))-FIND("~",SUBSTITUTE($CD190,"-","~",2))-1))</f>
        <v/>
      </c>
      <c r="CG190">
        <f>IF($CE190="","",IFERROR(VLOOKUP($CE190,DECODE!$A$3:$C$8,3,FALSE),"?"))</f>
        <v/>
      </c>
      <c r="CH190">
        <f>IF($CF190="","",IFERROR(VLOOKUP($CE190&amp;"-"&amp;$CF190,DECODE!$E$3:$F$21,2,FALSE),"?"))</f>
        <v/>
      </c>
      <c r="CI190">
        <f>IF($CD190="","",IFERROR(VALUE(RIGHT($CD190,3)),""))</f>
        <v/>
      </c>
      <c r="CJ190">
        <f>IF($Y190="","",IFERROR(IF(ISNUMBER($Y190),$Y190,DATEVALUE(TRIM($Y190))),""))</f>
        <v/>
      </c>
      <c r="CK190">
        <f>IF($CJ190="","",IF(MONTH($CJ190)&gt;=12,"Cold Winter",IF(MONTH($CJ190)&gt;=10,"Post-Monsoon",IF(MONTH($CJ190)&gt;=6,"Hot Humid",IF(MONTH($CJ190)&gt;=3,"Hot Dry","Cold Winter")))))</f>
        <v/>
      </c>
      <c r="CL190">
        <f>IF($CE190="","",IFERROR(VLOOKUP($CE190,DECODE!$A$3:$C$8,2,FALSE),"?"))</f>
        <v/>
      </c>
      <c r="CM190">
        <f>IF($AN190="","",AN190)</f>
        <v/>
      </c>
      <c r="CN190">
        <f>IF($AO190="","",AO190)</f>
        <v/>
      </c>
      <c r="CO190">
        <f>IF($AP190="","",AP190)</f>
        <v/>
      </c>
      <c r="CP190">
        <f>IF($CM190="","",IF($CM190="Aloe Vera Gel","Aloe Vera Gel "&amp;$CO190&amp;"g",CN190&amp;" "&amp;$CO190&amp;"g"))</f>
        <v/>
      </c>
      <c r="CQ190">
        <f>IF($AT190="",0,1)</f>
        <v/>
      </c>
      <c r="CR190">
        <f>IF($CQ190=0,"",AW190)</f>
        <v/>
      </c>
      <c r="CS190">
        <f>IF($CQ190=0,"",AX190)</f>
        <v/>
      </c>
      <c r="CT190">
        <f>IF($CQ190=0,"",AY190)</f>
        <v/>
      </c>
      <c r="CU190">
        <f>IF($CR190="","",IF($CR190="Aloe Vera Gel","Aloe Vera Gel "&amp;$CT190&amp;"g",CS190&amp;" "&amp;$CT190&amp;"g"))</f>
        <v/>
      </c>
      <c r="CV190">
        <f>IF($CQ190=0,"",IF($CP190=$CU190,"Repeat Exact",IF($CT190&gt;$CO190,"Upsized",IF($CT190&lt;$CO190,"Downsized",IF($CM190&lt;&gt;$CR190,"Lateral","Same Size Diff Variant")))))</f>
        <v/>
      </c>
      <c r="CW190">
        <f>IF($CQ190=0,"",AZ190-AQ190)</f>
        <v/>
      </c>
      <c r="CX190">
        <f>IF($CQ190=0,0,IF(CS190=CN190,1,0))</f>
        <v/>
      </c>
      <c r="CY190">
        <f>IF($CQ190=0,0,IF(CR190=CM190,1,0))</f>
        <v/>
      </c>
      <c r="CZ190">
        <f>IF($A190="","",IF(AND(IF(DASHBOARD!$C$4="All",TRUE,$CM190=DASHBOARD!$C$4),IF(DASHBOARD!$C$6="All",TRUE,$CP190=DASHBOARD!$C$6),IF(DASHBOARD!$C$8="All",TRUE,$AF190&gt;=DASHBOARD!$C$8),IF(DASHBOARD!$C$10="All",TRUE,$AF190&lt;=DASHBOARD!$C$10),IF(DASHBOARD!$C$12="All",TRUE,$AH190=VALUE(DASHBOARD!$C$12)),IF(DASHBOARD!$C$14="All",TRUE,$AJ190=DASHBOARD!$C$14)),1,0))</f>
        <v/>
      </c>
    </row>
    <row r="191">
      <c r="A191" t="n">
        <v>127174</v>
      </c>
      <c r="B191" t="inlineStr">
        <is>
          <t>Face Malai</t>
        </is>
      </c>
      <c r="H191" t="inlineStr">
        <is>
          <t>Tomato Vetiver (Hot Humid) 20 - 35 Yrs Face Malai, Flax Carrot (Hot Humid) 35+ Face Malai - 50g, GreenApple Tulsi (Hot Humid) 13 - 19 Yrs Face Malai</t>
        </is>
      </c>
      <c r="N191" t="inlineStr">
        <is>
          <t>FC-HHDM-GAT-030, FC-HHDM-TV-030, FC-HHDM-FC-050</t>
        </is>
      </c>
      <c r="T191" t="inlineStr">
        <is>
          <t>Jun 22, 2025</t>
        </is>
      </c>
      <c r="AE191" t="inlineStr">
        <is>
          <t>Thane</t>
        </is>
      </c>
      <c r="AF191" t="inlineStr">
        <is>
          <t>2025-06</t>
        </is>
      </c>
      <c r="AG191" t="n">
        <v>6</v>
      </c>
      <c r="AH191" t="n">
        <v>1</v>
      </c>
      <c r="AI191" t="n">
        <v>0</v>
      </c>
      <c r="AJ191">
        <f>IF($AE191="","",IFERROR(VLOOKUP(TRIM($AE191),DECODE!$H$3:$I$60,2,FALSE),"Rest of India"))</f>
        <v/>
      </c>
      <c r="AK191">
        <f>IF($N191="","",UPPER(TRIM(LEFT($N191&amp;",",FIND(",",$N191&amp;",")-1))))</f>
        <v/>
      </c>
      <c r="AL191">
        <f>IF($AK191="","",MID($AK191,4,FIND("~",SUBSTITUTE($AK191,"-","~",2))-4))</f>
        <v/>
      </c>
      <c r="AM191">
        <f>IF($AK191="","",MID($AK191,FIND("~",SUBSTITUTE($AK191,"-","~",2))+1,FIND("~",SUBSTITUTE($AK191,"-","~",3))-FIND("~",SUBSTITUTE($AK191,"-","~",2))-1))</f>
        <v/>
      </c>
      <c r="AN191">
        <f>IF($AL191="","",IFERROR(VLOOKUP($AL191,DECODE!$A$3:$C$8,3,FALSE),"?"))</f>
        <v/>
      </c>
      <c r="AO191">
        <f>IF($AM191="","",IFERROR(VLOOKUP($AL191&amp;"-"&amp;$AM191,DECODE!$E$3:$F$21,2,FALSE),"?"))</f>
        <v/>
      </c>
      <c r="AP191">
        <f>IF($AK191="","",IFERROR(VALUE(RIGHT($AK191,3)),""))</f>
        <v/>
      </c>
      <c r="AQ191">
        <f>IF($T191="","",IFERROR(IF(ISNUMBER($T191),$T191,DATEVALUE(TRIM($T191))),""))</f>
        <v/>
      </c>
      <c r="AR191">
        <f>IF($AQ191="","",IF(MONTH($AQ191)&gt;=12,"Cold Winter",IF(MONTH($AQ191)&gt;=10,"Post-Monsoon",IF(MONTH($AQ191)&gt;=6,"Hot Humid",IF(MONTH($AQ191)&gt;=3,"Hot Dry","Cold Winter")))))</f>
        <v/>
      </c>
      <c r="AS191">
        <f>IF($AL191="","",IFERROR(VLOOKUP($AL191,DECODE!$A$3:$C$8,2,FALSE),"?"))</f>
        <v/>
      </c>
      <c r="AT191">
        <f>IF($O191="","",UPPER(TRIM(LEFT($O191&amp;",",FIND(",",$O191&amp;",")-1))))</f>
        <v/>
      </c>
      <c r="AU191">
        <f>IF($AT191="","",MID($AT191,4,FIND("~",SUBSTITUTE($AT191,"-","~",2))-4))</f>
        <v/>
      </c>
      <c r="AV191">
        <f>IF($AT191="","",MID($AT191,FIND("~",SUBSTITUTE($AT191,"-","~",2))+1,FIND("~",SUBSTITUTE($AT191,"-","~",3))-FIND("~",SUBSTITUTE($AT191,"-","~",2))-1))</f>
        <v/>
      </c>
      <c r="AW191">
        <f>IF($AU191="","",IFERROR(VLOOKUP($AU191,DECODE!$A$3:$C$8,3,FALSE),"?"))</f>
        <v/>
      </c>
      <c r="AX191">
        <f>IF($AV191="","",IFERROR(VLOOKUP($AU191&amp;"-"&amp;$AV191,DECODE!$E$3:$F$21,2,FALSE),"?"))</f>
        <v/>
      </c>
      <c r="AY191">
        <f>IF($AT191="","",IFERROR(VALUE(RIGHT($AT191,3)),""))</f>
        <v/>
      </c>
      <c r="AZ191">
        <f>IF($U191="","",IFERROR(IF(ISNUMBER($U191),$U191,DATEVALUE(TRIM($U191))),""))</f>
        <v/>
      </c>
      <c r="BA191">
        <f>IF($AZ191="","",IF(MONTH($AZ191)&gt;=12,"Cold Winter",IF(MONTH($AZ191)&gt;=10,"Post-Monsoon",IF(MONTH($AZ191)&gt;=6,"Hot Humid",IF(MONTH($AZ191)&gt;=3,"Hot Dry","Cold Winter")))))</f>
        <v/>
      </c>
      <c r="BB191">
        <f>IF($AU191="","",IFERROR(VLOOKUP($AU191,DECODE!$A$3:$C$8,2,FALSE),"?"))</f>
        <v/>
      </c>
      <c r="BC191">
        <f>IF($P191="","",UPPER(TRIM(LEFT($P191&amp;",",FIND(",",$P191&amp;",")-1))))</f>
        <v/>
      </c>
      <c r="BD191">
        <f>IF($BC191="","",MID($BC191,4,FIND("~",SUBSTITUTE($BC191,"-","~",2))-4))</f>
        <v/>
      </c>
      <c r="BE191">
        <f>IF($BC191="","",MID($BC191,FIND("~",SUBSTITUTE($BC191,"-","~",2))+1,FIND("~",SUBSTITUTE($BC191,"-","~",3))-FIND("~",SUBSTITUTE($BC191,"-","~",2))-1))</f>
        <v/>
      </c>
      <c r="BF191">
        <f>IF($BD191="","",IFERROR(VLOOKUP($BD191,DECODE!$A$3:$C$8,3,FALSE),"?"))</f>
        <v/>
      </c>
      <c r="BG191">
        <f>IF($BE191="","",IFERROR(VLOOKUP($BD191&amp;"-"&amp;$BE191,DECODE!$E$3:$F$21,2,FALSE),"?"))</f>
        <v/>
      </c>
      <c r="BH191">
        <f>IF($BC191="","",IFERROR(VALUE(RIGHT($BC191,3)),""))</f>
        <v/>
      </c>
      <c r="BI191">
        <f>IF($V191="","",IFERROR(IF(ISNUMBER($V191),$V191,DATEVALUE(TRIM($V191))),""))</f>
        <v/>
      </c>
      <c r="BJ191">
        <f>IF($BI191="","",IF(MONTH($BI191)&gt;=12,"Cold Winter",IF(MONTH($BI191)&gt;=10,"Post-Monsoon",IF(MONTH($BI191)&gt;=6,"Hot Humid",IF(MONTH($BI191)&gt;=3,"Hot Dry","Cold Winter")))))</f>
        <v/>
      </c>
      <c r="BK191">
        <f>IF($BD191="","",IFERROR(VLOOKUP($BD191,DECODE!$A$3:$C$8,2,FALSE),"?"))</f>
        <v/>
      </c>
      <c r="BL191">
        <f>IF($Q191="","",UPPER(TRIM(LEFT($Q191&amp;",",FIND(",",$Q191&amp;",")-1))))</f>
        <v/>
      </c>
      <c r="BM191">
        <f>IF($BL191="","",MID($BL191,4,FIND("~",SUBSTITUTE($BL191,"-","~",2))-4))</f>
        <v/>
      </c>
      <c r="BN191">
        <f>IF($BL191="","",MID($BL191,FIND("~",SUBSTITUTE($BL191,"-","~",2))+1,FIND("~",SUBSTITUTE($BL191,"-","~",3))-FIND("~",SUBSTITUTE($BL191,"-","~",2))-1))</f>
        <v/>
      </c>
      <c r="BO191">
        <f>IF($BM191="","",IFERROR(VLOOKUP($BM191,DECODE!$A$3:$C$8,3,FALSE),"?"))</f>
        <v/>
      </c>
      <c r="BP191">
        <f>IF($BN191="","",IFERROR(VLOOKUP($BM191&amp;"-"&amp;$BN191,DECODE!$E$3:$F$21,2,FALSE),"?"))</f>
        <v/>
      </c>
      <c r="BQ191">
        <f>IF($BL191="","",IFERROR(VALUE(RIGHT($BL191,3)),""))</f>
        <v/>
      </c>
      <c r="BR191">
        <f>IF($W191="","",IFERROR(IF(ISNUMBER($W191),$W191,DATEVALUE(TRIM($W191))),""))</f>
        <v/>
      </c>
      <c r="BS191">
        <f>IF($BR191="","",IF(MONTH($BR191)&gt;=12,"Cold Winter",IF(MONTH($BR191)&gt;=10,"Post-Monsoon",IF(MONTH($BR191)&gt;=6,"Hot Humid",IF(MONTH($BR191)&gt;=3,"Hot Dry","Cold Winter")))))</f>
        <v/>
      </c>
      <c r="BT191">
        <f>IF($BM191="","",IFERROR(VLOOKUP($BM191,DECODE!$A$3:$C$8,2,FALSE),"?"))</f>
        <v/>
      </c>
      <c r="BU191">
        <f>IF($R191="","",UPPER(TRIM(LEFT($R191&amp;",",FIND(",",$R191&amp;",")-1))))</f>
        <v/>
      </c>
      <c r="BV191">
        <f>IF($BU191="","",MID($BU191,4,FIND("~",SUBSTITUTE($BU191,"-","~",2))-4))</f>
        <v/>
      </c>
      <c r="BW191">
        <f>IF($BU191="","",MID($BU191,FIND("~",SUBSTITUTE($BU191,"-","~",2))+1,FIND("~",SUBSTITUTE($BU191,"-","~",3))-FIND("~",SUBSTITUTE($BU191,"-","~",2))-1))</f>
        <v/>
      </c>
      <c r="BX191">
        <f>IF($BV191="","",IFERROR(VLOOKUP($BV191,DECODE!$A$3:$C$8,3,FALSE),"?"))</f>
        <v/>
      </c>
      <c r="BY191">
        <f>IF($BW191="","",IFERROR(VLOOKUP($BV191&amp;"-"&amp;$BW191,DECODE!$E$3:$F$21,2,FALSE),"?"))</f>
        <v/>
      </c>
      <c r="BZ191">
        <f>IF($BU191="","",IFERROR(VALUE(RIGHT($BU191,3)),""))</f>
        <v/>
      </c>
      <c r="CA191">
        <f>IF($X191="","",IFERROR(IF(ISNUMBER($X191),$X191,DATEVALUE(TRIM($X191))),""))</f>
        <v/>
      </c>
      <c r="CB191">
        <f>IF($CA191="","",IF(MONTH($CA191)&gt;=12,"Cold Winter",IF(MONTH($CA191)&gt;=10,"Post-Monsoon",IF(MONTH($CA191)&gt;=6,"Hot Humid",IF(MONTH($CA191)&gt;=3,"Hot Dry","Cold Winter")))))</f>
        <v/>
      </c>
      <c r="CC191">
        <f>IF($BV191="","",IFERROR(VLOOKUP($BV191,DECODE!$A$3:$C$8,2,FALSE),"?"))</f>
        <v/>
      </c>
      <c r="CD191">
        <f>IF($S191="","",UPPER(TRIM(LEFT($S191&amp;",",FIND(",",$S191&amp;",")-1))))</f>
        <v/>
      </c>
      <c r="CE191">
        <f>IF($CD191="","",MID($CD191,4,FIND("~",SUBSTITUTE($CD191,"-","~",2))-4))</f>
        <v/>
      </c>
      <c r="CF191">
        <f>IF($CD191="","",MID($CD191,FIND("~",SUBSTITUTE($CD191,"-","~",2))+1,FIND("~",SUBSTITUTE($CD191,"-","~",3))-FIND("~",SUBSTITUTE($CD191,"-","~",2))-1))</f>
        <v/>
      </c>
      <c r="CG191">
        <f>IF($CE191="","",IFERROR(VLOOKUP($CE191,DECODE!$A$3:$C$8,3,FALSE),"?"))</f>
        <v/>
      </c>
      <c r="CH191">
        <f>IF($CF191="","",IFERROR(VLOOKUP($CE191&amp;"-"&amp;$CF191,DECODE!$E$3:$F$21,2,FALSE),"?"))</f>
        <v/>
      </c>
      <c r="CI191">
        <f>IF($CD191="","",IFERROR(VALUE(RIGHT($CD191,3)),""))</f>
        <v/>
      </c>
      <c r="CJ191">
        <f>IF($Y191="","",IFERROR(IF(ISNUMBER($Y191),$Y191,DATEVALUE(TRIM($Y191))),""))</f>
        <v/>
      </c>
      <c r="CK191">
        <f>IF($CJ191="","",IF(MONTH($CJ191)&gt;=12,"Cold Winter",IF(MONTH($CJ191)&gt;=10,"Post-Monsoon",IF(MONTH($CJ191)&gt;=6,"Hot Humid",IF(MONTH($CJ191)&gt;=3,"Hot Dry","Cold Winter")))))</f>
        <v/>
      </c>
      <c r="CL191">
        <f>IF($CE191="","",IFERROR(VLOOKUP($CE191,DECODE!$A$3:$C$8,2,FALSE),"?"))</f>
        <v/>
      </c>
      <c r="CM191">
        <f>IF($AN191="","",AN191)</f>
        <v/>
      </c>
      <c r="CN191">
        <f>IF($AO191="","",AO191)</f>
        <v/>
      </c>
      <c r="CO191">
        <f>IF($AP191="","",AP191)</f>
        <v/>
      </c>
      <c r="CP191">
        <f>IF($CM191="","",IF($CM191="Aloe Vera Gel","Aloe Vera Gel "&amp;$CO191&amp;"g",CN191&amp;" "&amp;$CO191&amp;"g"))</f>
        <v/>
      </c>
      <c r="CQ191">
        <f>IF($AT191="",0,1)</f>
        <v/>
      </c>
      <c r="CR191">
        <f>IF($CQ191=0,"",AW191)</f>
        <v/>
      </c>
      <c r="CS191">
        <f>IF($CQ191=0,"",AX191)</f>
        <v/>
      </c>
      <c r="CT191">
        <f>IF($CQ191=0,"",AY191)</f>
        <v/>
      </c>
      <c r="CU191">
        <f>IF($CR191="","",IF($CR191="Aloe Vera Gel","Aloe Vera Gel "&amp;$CT191&amp;"g",CS191&amp;" "&amp;$CT191&amp;"g"))</f>
        <v/>
      </c>
      <c r="CV191">
        <f>IF($CQ191=0,"",IF($CP191=$CU191,"Repeat Exact",IF($CT191&gt;$CO191,"Upsized",IF($CT191&lt;$CO191,"Downsized",IF($CM191&lt;&gt;$CR191,"Lateral","Same Size Diff Variant")))))</f>
        <v/>
      </c>
      <c r="CW191">
        <f>IF($CQ191=0,"",AZ191-AQ191)</f>
        <v/>
      </c>
      <c r="CX191">
        <f>IF($CQ191=0,0,IF(CS191=CN191,1,0))</f>
        <v/>
      </c>
      <c r="CY191">
        <f>IF($CQ191=0,0,IF(CR191=CM191,1,0))</f>
        <v/>
      </c>
      <c r="CZ191">
        <f>IF($A191="","",IF(AND(IF(DASHBOARD!$C$4="All",TRUE,$CM191=DASHBOARD!$C$4),IF(DASHBOARD!$C$6="All",TRUE,$CP191=DASHBOARD!$C$6),IF(DASHBOARD!$C$8="All",TRUE,$AF191&gt;=DASHBOARD!$C$8),IF(DASHBOARD!$C$10="All",TRUE,$AF191&lt;=DASHBOARD!$C$10),IF(DASHBOARD!$C$12="All",TRUE,$AH191=VALUE(DASHBOARD!$C$12)),IF(DASHBOARD!$C$14="All",TRUE,$AJ191=DASHBOARD!$C$14)),1,0))</f>
        <v/>
      </c>
    </row>
    <row r="192">
      <c r="A192" t="n">
        <v>127179</v>
      </c>
      <c r="B192" t="inlineStr">
        <is>
          <t>Aloe Vera Gel</t>
        </is>
      </c>
      <c r="H192" t="inlineStr">
        <is>
          <t>Aloe Vera Gel - 80 gms</t>
        </is>
      </c>
      <c r="N192" t="inlineStr">
        <is>
          <t>FC-HG-PA-080</t>
        </is>
      </c>
      <c r="T192" t="inlineStr">
        <is>
          <t>Jan 16, 2025</t>
        </is>
      </c>
      <c r="AE192" t="inlineStr">
        <is>
          <t>Ajmer</t>
        </is>
      </c>
      <c r="AF192" t="inlineStr">
        <is>
          <t>2025-01</t>
        </is>
      </c>
      <c r="AG192" t="n">
        <v>1</v>
      </c>
      <c r="AH192" t="n">
        <v>1</v>
      </c>
      <c r="AI192" t="n">
        <v>0</v>
      </c>
      <c r="AJ192">
        <f>IF($AE192="","",IFERROR(VLOOKUP(TRIM($AE192),DECODE!$H$3:$I$60,2,FALSE),"Rest of India"))</f>
        <v/>
      </c>
      <c r="AK192">
        <f>IF($N192="","",UPPER(TRIM(LEFT($N192&amp;",",FIND(",",$N192&amp;",")-1))))</f>
        <v/>
      </c>
      <c r="AL192">
        <f>IF($AK192="","",MID($AK192,4,FIND("~",SUBSTITUTE($AK192,"-","~",2))-4))</f>
        <v/>
      </c>
      <c r="AM192">
        <f>IF($AK192="","",MID($AK192,FIND("~",SUBSTITUTE($AK192,"-","~",2))+1,FIND("~",SUBSTITUTE($AK192,"-","~",3))-FIND("~",SUBSTITUTE($AK192,"-","~",2))-1))</f>
        <v/>
      </c>
      <c r="AN192">
        <f>IF($AL192="","",IFERROR(VLOOKUP($AL192,DECODE!$A$3:$C$8,3,FALSE),"?"))</f>
        <v/>
      </c>
      <c r="AO192">
        <f>IF($AM192="","",IFERROR(VLOOKUP($AL192&amp;"-"&amp;$AM192,DECODE!$E$3:$F$21,2,FALSE),"?"))</f>
        <v/>
      </c>
      <c r="AP192">
        <f>IF($AK192="","",IFERROR(VALUE(RIGHT($AK192,3)),""))</f>
        <v/>
      </c>
      <c r="AQ192">
        <f>IF($T192="","",IFERROR(IF(ISNUMBER($T192),$T192,DATEVALUE(TRIM($T192))),""))</f>
        <v/>
      </c>
      <c r="AR192">
        <f>IF($AQ192="","",IF(MONTH($AQ192)&gt;=12,"Cold Winter",IF(MONTH($AQ192)&gt;=10,"Post-Monsoon",IF(MONTH($AQ192)&gt;=6,"Hot Humid",IF(MONTH($AQ192)&gt;=3,"Hot Dry","Cold Winter")))))</f>
        <v/>
      </c>
      <c r="AS192">
        <f>IF($AL192="","",IFERROR(VLOOKUP($AL192,DECODE!$A$3:$C$8,2,FALSE),"?"))</f>
        <v/>
      </c>
      <c r="AT192">
        <f>IF($O192="","",UPPER(TRIM(LEFT($O192&amp;",",FIND(",",$O192&amp;",")-1))))</f>
        <v/>
      </c>
      <c r="AU192">
        <f>IF($AT192="","",MID($AT192,4,FIND("~",SUBSTITUTE($AT192,"-","~",2))-4))</f>
        <v/>
      </c>
      <c r="AV192">
        <f>IF($AT192="","",MID($AT192,FIND("~",SUBSTITUTE($AT192,"-","~",2))+1,FIND("~",SUBSTITUTE($AT192,"-","~",3))-FIND("~",SUBSTITUTE($AT192,"-","~",2))-1))</f>
        <v/>
      </c>
      <c r="AW192">
        <f>IF($AU192="","",IFERROR(VLOOKUP($AU192,DECODE!$A$3:$C$8,3,FALSE),"?"))</f>
        <v/>
      </c>
      <c r="AX192">
        <f>IF($AV192="","",IFERROR(VLOOKUP($AU192&amp;"-"&amp;$AV192,DECODE!$E$3:$F$21,2,FALSE),"?"))</f>
        <v/>
      </c>
      <c r="AY192">
        <f>IF($AT192="","",IFERROR(VALUE(RIGHT($AT192,3)),""))</f>
        <v/>
      </c>
      <c r="AZ192">
        <f>IF($U192="","",IFERROR(IF(ISNUMBER($U192),$U192,DATEVALUE(TRIM($U192))),""))</f>
        <v/>
      </c>
      <c r="BA192">
        <f>IF($AZ192="","",IF(MONTH($AZ192)&gt;=12,"Cold Winter",IF(MONTH($AZ192)&gt;=10,"Post-Monsoon",IF(MONTH($AZ192)&gt;=6,"Hot Humid",IF(MONTH($AZ192)&gt;=3,"Hot Dry","Cold Winter")))))</f>
        <v/>
      </c>
      <c r="BB192">
        <f>IF($AU192="","",IFERROR(VLOOKUP($AU192,DECODE!$A$3:$C$8,2,FALSE),"?"))</f>
        <v/>
      </c>
      <c r="BC192">
        <f>IF($P192="","",UPPER(TRIM(LEFT($P192&amp;",",FIND(",",$P192&amp;",")-1))))</f>
        <v/>
      </c>
      <c r="BD192">
        <f>IF($BC192="","",MID($BC192,4,FIND("~",SUBSTITUTE($BC192,"-","~",2))-4))</f>
        <v/>
      </c>
      <c r="BE192">
        <f>IF($BC192="","",MID($BC192,FIND("~",SUBSTITUTE($BC192,"-","~",2))+1,FIND("~",SUBSTITUTE($BC192,"-","~",3))-FIND("~",SUBSTITUTE($BC192,"-","~",2))-1))</f>
        <v/>
      </c>
      <c r="BF192">
        <f>IF($BD192="","",IFERROR(VLOOKUP($BD192,DECODE!$A$3:$C$8,3,FALSE),"?"))</f>
        <v/>
      </c>
      <c r="BG192">
        <f>IF($BE192="","",IFERROR(VLOOKUP($BD192&amp;"-"&amp;$BE192,DECODE!$E$3:$F$21,2,FALSE),"?"))</f>
        <v/>
      </c>
      <c r="BH192">
        <f>IF($BC192="","",IFERROR(VALUE(RIGHT($BC192,3)),""))</f>
        <v/>
      </c>
      <c r="BI192">
        <f>IF($V192="","",IFERROR(IF(ISNUMBER($V192),$V192,DATEVALUE(TRIM($V192))),""))</f>
        <v/>
      </c>
      <c r="BJ192">
        <f>IF($BI192="","",IF(MONTH($BI192)&gt;=12,"Cold Winter",IF(MONTH($BI192)&gt;=10,"Post-Monsoon",IF(MONTH($BI192)&gt;=6,"Hot Humid",IF(MONTH($BI192)&gt;=3,"Hot Dry","Cold Winter")))))</f>
        <v/>
      </c>
      <c r="BK192">
        <f>IF($BD192="","",IFERROR(VLOOKUP($BD192,DECODE!$A$3:$C$8,2,FALSE),"?"))</f>
        <v/>
      </c>
      <c r="BL192">
        <f>IF($Q192="","",UPPER(TRIM(LEFT($Q192&amp;",",FIND(",",$Q192&amp;",")-1))))</f>
        <v/>
      </c>
      <c r="BM192">
        <f>IF($BL192="","",MID($BL192,4,FIND("~",SUBSTITUTE($BL192,"-","~",2))-4))</f>
        <v/>
      </c>
      <c r="BN192">
        <f>IF($BL192="","",MID($BL192,FIND("~",SUBSTITUTE($BL192,"-","~",2))+1,FIND("~",SUBSTITUTE($BL192,"-","~",3))-FIND("~",SUBSTITUTE($BL192,"-","~",2))-1))</f>
        <v/>
      </c>
      <c r="BO192">
        <f>IF($BM192="","",IFERROR(VLOOKUP($BM192,DECODE!$A$3:$C$8,3,FALSE),"?"))</f>
        <v/>
      </c>
      <c r="BP192">
        <f>IF($BN192="","",IFERROR(VLOOKUP($BM192&amp;"-"&amp;$BN192,DECODE!$E$3:$F$21,2,FALSE),"?"))</f>
        <v/>
      </c>
      <c r="BQ192">
        <f>IF($BL192="","",IFERROR(VALUE(RIGHT($BL192,3)),""))</f>
        <v/>
      </c>
      <c r="BR192">
        <f>IF($W192="","",IFERROR(IF(ISNUMBER($W192),$W192,DATEVALUE(TRIM($W192))),""))</f>
        <v/>
      </c>
      <c r="BS192">
        <f>IF($BR192="","",IF(MONTH($BR192)&gt;=12,"Cold Winter",IF(MONTH($BR192)&gt;=10,"Post-Monsoon",IF(MONTH($BR192)&gt;=6,"Hot Humid",IF(MONTH($BR192)&gt;=3,"Hot Dry","Cold Winter")))))</f>
        <v/>
      </c>
      <c r="BT192">
        <f>IF($BM192="","",IFERROR(VLOOKUP($BM192,DECODE!$A$3:$C$8,2,FALSE),"?"))</f>
        <v/>
      </c>
      <c r="BU192">
        <f>IF($R192="","",UPPER(TRIM(LEFT($R192&amp;",",FIND(",",$R192&amp;",")-1))))</f>
        <v/>
      </c>
      <c r="BV192">
        <f>IF($BU192="","",MID($BU192,4,FIND("~",SUBSTITUTE($BU192,"-","~",2))-4))</f>
        <v/>
      </c>
      <c r="BW192">
        <f>IF($BU192="","",MID($BU192,FIND("~",SUBSTITUTE($BU192,"-","~",2))+1,FIND("~",SUBSTITUTE($BU192,"-","~",3))-FIND("~",SUBSTITUTE($BU192,"-","~",2))-1))</f>
        <v/>
      </c>
      <c r="BX192">
        <f>IF($BV192="","",IFERROR(VLOOKUP($BV192,DECODE!$A$3:$C$8,3,FALSE),"?"))</f>
        <v/>
      </c>
      <c r="BY192">
        <f>IF($BW192="","",IFERROR(VLOOKUP($BV192&amp;"-"&amp;$BW192,DECODE!$E$3:$F$21,2,FALSE),"?"))</f>
        <v/>
      </c>
      <c r="BZ192">
        <f>IF($BU192="","",IFERROR(VALUE(RIGHT($BU192,3)),""))</f>
        <v/>
      </c>
      <c r="CA192">
        <f>IF($X192="","",IFERROR(IF(ISNUMBER($X192),$X192,DATEVALUE(TRIM($X192))),""))</f>
        <v/>
      </c>
      <c r="CB192">
        <f>IF($CA192="","",IF(MONTH($CA192)&gt;=12,"Cold Winter",IF(MONTH($CA192)&gt;=10,"Post-Monsoon",IF(MONTH($CA192)&gt;=6,"Hot Humid",IF(MONTH($CA192)&gt;=3,"Hot Dry","Cold Winter")))))</f>
        <v/>
      </c>
      <c r="CC192">
        <f>IF($BV192="","",IFERROR(VLOOKUP($BV192,DECODE!$A$3:$C$8,2,FALSE),"?"))</f>
        <v/>
      </c>
      <c r="CD192">
        <f>IF($S192="","",UPPER(TRIM(LEFT($S192&amp;",",FIND(",",$S192&amp;",")-1))))</f>
        <v/>
      </c>
      <c r="CE192">
        <f>IF($CD192="","",MID($CD192,4,FIND("~",SUBSTITUTE($CD192,"-","~",2))-4))</f>
        <v/>
      </c>
      <c r="CF192">
        <f>IF($CD192="","",MID($CD192,FIND("~",SUBSTITUTE($CD192,"-","~",2))+1,FIND("~",SUBSTITUTE($CD192,"-","~",3))-FIND("~",SUBSTITUTE($CD192,"-","~",2))-1))</f>
        <v/>
      </c>
      <c r="CG192">
        <f>IF($CE192="","",IFERROR(VLOOKUP($CE192,DECODE!$A$3:$C$8,3,FALSE),"?"))</f>
        <v/>
      </c>
      <c r="CH192">
        <f>IF($CF192="","",IFERROR(VLOOKUP($CE192&amp;"-"&amp;$CF192,DECODE!$E$3:$F$21,2,FALSE),"?"))</f>
        <v/>
      </c>
      <c r="CI192">
        <f>IF($CD192="","",IFERROR(VALUE(RIGHT($CD192,3)),""))</f>
        <v/>
      </c>
      <c r="CJ192">
        <f>IF($Y192="","",IFERROR(IF(ISNUMBER($Y192),$Y192,DATEVALUE(TRIM($Y192))),""))</f>
        <v/>
      </c>
      <c r="CK192">
        <f>IF($CJ192="","",IF(MONTH($CJ192)&gt;=12,"Cold Winter",IF(MONTH($CJ192)&gt;=10,"Post-Monsoon",IF(MONTH($CJ192)&gt;=6,"Hot Humid",IF(MONTH($CJ192)&gt;=3,"Hot Dry","Cold Winter")))))</f>
        <v/>
      </c>
      <c r="CL192">
        <f>IF($CE192="","",IFERROR(VLOOKUP($CE192,DECODE!$A$3:$C$8,2,FALSE),"?"))</f>
        <v/>
      </c>
      <c r="CM192">
        <f>IF($AN192="","",AN192)</f>
        <v/>
      </c>
      <c r="CN192">
        <f>IF($AO192="","",AO192)</f>
        <v/>
      </c>
      <c r="CO192">
        <f>IF($AP192="","",AP192)</f>
        <v/>
      </c>
      <c r="CP192">
        <f>IF($CM192="","",IF($CM192="Aloe Vera Gel","Aloe Vera Gel "&amp;$CO192&amp;"g",CN192&amp;" "&amp;$CO192&amp;"g"))</f>
        <v/>
      </c>
      <c r="CQ192">
        <f>IF($AT192="",0,1)</f>
        <v/>
      </c>
      <c r="CR192">
        <f>IF($CQ192=0,"",AW192)</f>
        <v/>
      </c>
      <c r="CS192">
        <f>IF($CQ192=0,"",AX192)</f>
        <v/>
      </c>
      <c r="CT192">
        <f>IF($CQ192=0,"",AY192)</f>
        <v/>
      </c>
      <c r="CU192">
        <f>IF($CR192="","",IF($CR192="Aloe Vera Gel","Aloe Vera Gel "&amp;$CT192&amp;"g",CS192&amp;" "&amp;$CT192&amp;"g"))</f>
        <v/>
      </c>
      <c r="CV192">
        <f>IF($CQ192=0,"",IF($CP192=$CU192,"Repeat Exact",IF($CT192&gt;$CO192,"Upsized",IF($CT192&lt;$CO192,"Downsized",IF($CM192&lt;&gt;$CR192,"Lateral","Same Size Diff Variant")))))</f>
        <v/>
      </c>
      <c r="CW192">
        <f>IF($CQ192=0,"",AZ192-AQ192)</f>
        <v/>
      </c>
      <c r="CX192">
        <f>IF($CQ192=0,0,IF(CS192=CN192,1,0))</f>
        <v/>
      </c>
      <c r="CY192">
        <f>IF($CQ192=0,0,IF(CR192=CM192,1,0))</f>
        <v/>
      </c>
      <c r="CZ192">
        <f>IF($A192="","",IF(AND(IF(DASHBOARD!$C$4="All",TRUE,$CM192=DASHBOARD!$C$4),IF(DASHBOARD!$C$6="All",TRUE,$CP192=DASHBOARD!$C$6),IF(DASHBOARD!$C$8="All",TRUE,$AF192&gt;=DASHBOARD!$C$8),IF(DASHBOARD!$C$10="All",TRUE,$AF192&lt;=DASHBOARD!$C$10),IF(DASHBOARD!$C$12="All",TRUE,$AH192=VALUE(DASHBOARD!$C$12)),IF(DASHBOARD!$C$14="All",TRUE,$AJ192=DASHBOARD!$C$14)),1,0))</f>
        <v/>
      </c>
    </row>
    <row r="193">
      <c r="A193" t="n">
        <v>127381</v>
      </c>
      <c r="B193" t="inlineStr">
        <is>
          <t>Face Malai</t>
        </is>
      </c>
      <c r="H193" t="inlineStr">
        <is>
          <t>Flax Bakuchi (Hot Dry) 35+ Face Malai - 50g</t>
        </is>
      </c>
      <c r="N193" t="inlineStr">
        <is>
          <t>FC-HDDM-FB-050</t>
        </is>
      </c>
      <c r="T193" t="inlineStr">
        <is>
          <t>Apr 6, 2026</t>
        </is>
      </c>
      <c r="AE193" t="inlineStr">
        <is>
          <t>Gautam Buddha Nagar</t>
        </is>
      </c>
      <c r="AF193" t="inlineStr">
        <is>
          <t>2026-04</t>
        </is>
      </c>
      <c r="AG193" t="n">
        <v>4</v>
      </c>
      <c r="AH193" t="n">
        <v>1</v>
      </c>
      <c r="AI193" t="n">
        <v>0</v>
      </c>
      <c r="AJ193">
        <f>IF($AE193="","",IFERROR(VLOOKUP(TRIM($AE193),DECODE!$H$3:$I$60,2,FALSE),"Rest of India"))</f>
        <v/>
      </c>
      <c r="AK193">
        <f>IF($N193="","",UPPER(TRIM(LEFT($N193&amp;",",FIND(",",$N193&amp;",")-1))))</f>
        <v/>
      </c>
      <c r="AL193">
        <f>IF($AK193="","",MID($AK193,4,FIND("~",SUBSTITUTE($AK193,"-","~",2))-4))</f>
        <v/>
      </c>
      <c r="AM193">
        <f>IF($AK193="","",MID($AK193,FIND("~",SUBSTITUTE($AK193,"-","~",2))+1,FIND("~",SUBSTITUTE($AK193,"-","~",3))-FIND("~",SUBSTITUTE($AK193,"-","~",2))-1))</f>
        <v/>
      </c>
      <c r="AN193">
        <f>IF($AL193="","",IFERROR(VLOOKUP($AL193,DECODE!$A$3:$C$8,3,FALSE),"?"))</f>
        <v/>
      </c>
      <c r="AO193">
        <f>IF($AM193="","",IFERROR(VLOOKUP($AL193&amp;"-"&amp;$AM193,DECODE!$E$3:$F$21,2,FALSE),"?"))</f>
        <v/>
      </c>
      <c r="AP193">
        <f>IF($AK193="","",IFERROR(VALUE(RIGHT($AK193,3)),""))</f>
        <v/>
      </c>
      <c r="AQ193">
        <f>IF($T193="","",IFERROR(IF(ISNUMBER($T193),$T193,DATEVALUE(TRIM($T193))),""))</f>
        <v/>
      </c>
      <c r="AR193">
        <f>IF($AQ193="","",IF(MONTH($AQ193)&gt;=12,"Cold Winter",IF(MONTH($AQ193)&gt;=10,"Post-Monsoon",IF(MONTH($AQ193)&gt;=6,"Hot Humid",IF(MONTH($AQ193)&gt;=3,"Hot Dry","Cold Winter")))))</f>
        <v/>
      </c>
      <c r="AS193">
        <f>IF($AL193="","",IFERROR(VLOOKUP($AL193,DECODE!$A$3:$C$8,2,FALSE),"?"))</f>
        <v/>
      </c>
      <c r="AT193">
        <f>IF($O193="","",UPPER(TRIM(LEFT($O193&amp;",",FIND(",",$O193&amp;",")-1))))</f>
        <v/>
      </c>
      <c r="AU193">
        <f>IF($AT193="","",MID($AT193,4,FIND("~",SUBSTITUTE($AT193,"-","~",2))-4))</f>
        <v/>
      </c>
      <c r="AV193">
        <f>IF($AT193="","",MID($AT193,FIND("~",SUBSTITUTE($AT193,"-","~",2))+1,FIND("~",SUBSTITUTE($AT193,"-","~",3))-FIND("~",SUBSTITUTE($AT193,"-","~",2))-1))</f>
        <v/>
      </c>
      <c r="AW193">
        <f>IF($AU193="","",IFERROR(VLOOKUP($AU193,DECODE!$A$3:$C$8,3,FALSE),"?"))</f>
        <v/>
      </c>
      <c r="AX193">
        <f>IF($AV193="","",IFERROR(VLOOKUP($AU193&amp;"-"&amp;$AV193,DECODE!$E$3:$F$21,2,FALSE),"?"))</f>
        <v/>
      </c>
      <c r="AY193">
        <f>IF($AT193="","",IFERROR(VALUE(RIGHT($AT193,3)),""))</f>
        <v/>
      </c>
      <c r="AZ193">
        <f>IF($U193="","",IFERROR(IF(ISNUMBER($U193),$U193,DATEVALUE(TRIM($U193))),""))</f>
        <v/>
      </c>
      <c r="BA193">
        <f>IF($AZ193="","",IF(MONTH($AZ193)&gt;=12,"Cold Winter",IF(MONTH($AZ193)&gt;=10,"Post-Monsoon",IF(MONTH($AZ193)&gt;=6,"Hot Humid",IF(MONTH($AZ193)&gt;=3,"Hot Dry","Cold Winter")))))</f>
        <v/>
      </c>
      <c r="BB193">
        <f>IF($AU193="","",IFERROR(VLOOKUP($AU193,DECODE!$A$3:$C$8,2,FALSE),"?"))</f>
        <v/>
      </c>
      <c r="BC193">
        <f>IF($P193="","",UPPER(TRIM(LEFT($P193&amp;",",FIND(",",$P193&amp;",")-1))))</f>
        <v/>
      </c>
      <c r="BD193">
        <f>IF($BC193="","",MID($BC193,4,FIND("~",SUBSTITUTE($BC193,"-","~",2))-4))</f>
        <v/>
      </c>
      <c r="BE193">
        <f>IF($BC193="","",MID($BC193,FIND("~",SUBSTITUTE($BC193,"-","~",2))+1,FIND("~",SUBSTITUTE($BC193,"-","~",3))-FIND("~",SUBSTITUTE($BC193,"-","~",2))-1))</f>
        <v/>
      </c>
      <c r="BF193">
        <f>IF($BD193="","",IFERROR(VLOOKUP($BD193,DECODE!$A$3:$C$8,3,FALSE),"?"))</f>
        <v/>
      </c>
      <c r="BG193">
        <f>IF($BE193="","",IFERROR(VLOOKUP($BD193&amp;"-"&amp;$BE193,DECODE!$E$3:$F$21,2,FALSE),"?"))</f>
        <v/>
      </c>
      <c r="BH193">
        <f>IF($BC193="","",IFERROR(VALUE(RIGHT($BC193,3)),""))</f>
        <v/>
      </c>
      <c r="BI193">
        <f>IF($V193="","",IFERROR(IF(ISNUMBER($V193),$V193,DATEVALUE(TRIM($V193))),""))</f>
        <v/>
      </c>
      <c r="BJ193">
        <f>IF($BI193="","",IF(MONTH($BI193)&gt;=12,"Cold Winter",IF(MONTH($BI193)&gt;=10,"Post-Monsoon",IF(MONTH($BI193)&gt;=6,"Hot Humid",IF(MONTH($BI193)&gt;=3,"Hot Dry","Cold Winter")))))</f>
        <v/>
      </c>
      <c r="BK193">
        <f>IF($BD193="","",IFERROR(VLOOKUP($BD193,DECODE!$A$3:$C$8,2,FALSE),"?"))</f>
        <v/>
      </c>
      <c r="BL193">
        <f>IF($Q193="","",UPPER(TRIM(LEFT($Q193&amp;",",FIND(",",$Q193&amp;",")-1))))</f>
        <v/>
      </c>
      <c r="BM193">
        <f>IF($BL193="","",MID($BL193,4,FIND("~",SUBSTITUTE($BL193,"-","~",2))-4))</f>
        <v/>
      </c>
      <c r="BN193">
        <f>IF($BL193="","",MID($BL193,FIND("~",SUBSTITUTE($BL193,"-","~",2))+1,FIND("~",SUBSTITUTE($BL193,"-","~",3))-FIND("~",SUBSTITUTE($BL193,"-","~",2))-1))</f>
        <v/>
      </c>
      <c r="BO193">
        <f>IF($BM193="","",IFERROR(VLOOKUP($BM193,DECODE!$A$3:$C$8,3,FALSE),"?"))</f>
        <v/>
      </c>
      <c r="BP193">
        <f>IF($BN193="","",IFERROR(VLOOKUP($BM193&amp;"-"&amp;$BN193,DECODE!$E$3:$F$21,2,FALSE),"?"))</f>
        <v/>
      </c>
      <c r="BQ193">
        <f>IF($BL193="","",IFERROR(VALUE(RIGHT($BL193,3)),""))</f>
        <v/>
      </c>
      <c r="BR193">
        <f>IF($W193="","",IFERROR(IF(ISNUMBER($W193),$W193,DATEVALUE(TRIM($W193))),""))</f>
        <v/>
      </c>
      <c r="BS193">
        <f>IF($BR193="","",IF(MONTH($BR193)&gt;=12,"Cold Winter",IF(MONTH($BR193)&gt;=10,"Post-Monsoon",IF(MONTH($BR193)&gt;=6,"Hot Humid",IF(MONTH($BR193)&gt;=3,"Hot Dry","Cold Winter")))))</f>
        <v/>
      </c>
      <c r="BT193">
        <f>IF($BM193="","",IFERROR(VLOOKUP($BM193,DECODE!$A$3:$C$8,2,FALSE),"?"))</f>
        <v/>
      </c>
      <c r="BU193">
        <f>IF($R193="","",UPPER(TRIM(LEFT($R193&amp;",",FIND(",",$R193&amp;",")-1))))</f>
        <v/>
      </c>
      <c r="BV193">
        <f>IF($BU193="","",MID($BU193,4,FIND("~",SUBSTITUTE($BU193,"-","~",2))-4))</f>
        <v/>
      </c>
      <c r="BW193">
        <f>IF($BU193="","",MID($BU193,FIND("~",SUBSTITUTE($BU193,"-","~",2))+1,FIND("~",SUBSTITUTE($BU193,"-","~",3))-FIND("~",SUBSTITUTE($BU193,"-","~",2))-1))</f>
        <v/>
      </c>
      <c r="BX193">
        <f>IF($BV193="","",IFERROR(VLOOKUP($BV193,DECODE!$A$3:$C$8,3,FALSE),"?"))</f>
        <v/>
      </c>
      <c r="BY193">
        <f>IF($BW193="","",IFERROR(VLOOKUP($BV193&amp;"-"&amp;$BW193,DECODE!$E$3:$F$21,2,FALSE),"?"))</f>
        <v/>
      </c>
      <c r="BZ193">
        <f>IF($BU193="","",IFERROR(VALUE(RIGHT($BU193,3)),""))</f>
        <v/>
      </c>
      <c r="CA193">
        <f>IF($X193="","",IFERROR(IF(ISNUMBER($X193),$X193,DATEVALUE(TRIM($X193))),""))</f>
        <v/>
      </c>
      <c r="CB193">
        <f>IF($CA193="","",IF(MONTH($CA193)&gt;=12,"Cold Winter",IF(MONTH($CA193)&gt;=10,"Post-Monsoon",IF(MONTH($CA193)&gt;=6,"Hot Humid",IF(MONTH($CA193)&gt;=3,"Hot Dry","Cold Winter")))))</f>
        <v/>
      </c>
      <c r="CC193">
        <f>IF($BV193="","",IFERROR(VLOOKUP($BV193,DECODE!$A$3:$C$8,2,FALSE),"?"))</f>
        <v/>
      </c>
      <c r="CD193">
        <f>IF($S193="","",UPPER(TRIM(LEFT($S193&amp;",",FIND(",",$S193&amp;",")-1))))</f>
        <v/>
      </c>
      <c r="CE193">
        <f>IF($CD193="","",MID($CD193,4,FIND("~",SUBSTITUTE($CD193,"-","~",2))-4))</f>
        <v/>
      </c>
      <c r="CF193">
        <f>IF($CD193="","",MID($CD193,FIND("~",SUBSTITUTE($CD193,"-","~",2))+1,FIND("~",SUBSTITUTE($CD193,"-","~",3))-FIND("~",SUBSTITUTE($CD193,"-","~",2))-1))</f>
        <v/>
      </c>
      <c r="CG193">
        <f>IF($CE193="","",IFERROR(VLOOKUP($CE193,DECODE!$A$3:$C$8,3,FALSE),"?"))</f>
        <v/>
      </c>
      <c r="CH193">
        <f>IF($CF193="","",IFERROR(VLOOKUP($CE193&amp;"-"&amp;$CF193,DECODE!$E$3:$F$21,2,FALSE),"?"))</f>
        <v/>
      </c>
      <c r="CI193">
        <f>IF($CD193="","",IFERROR(VALUE(RIGHT($CD193,3)),""))</f>
        <v/>
      </c>
      <c r="CJ193">
        <f>IF($Y193="","",IFERROR(IF(ISNUMBER($Y193),$Y193,DATEVALUE(TRIM($Y193))),""))</f>
        <v/>
      </c>
      <c r="CK193">
        <f>IF($CJ193="","",IF(MONTH($CJ193)&gt;=12,"Cold Winter",IF(MONTH($CJ193)&gt;=10,"Post-Monsoon",IF(MONTH($CJ193)&gt;=6,"Hot Humid",IF(MONTH($CJ193)&gt;=3,"Hot Dry","Cold Winter")))))</f>
        <v/>
      </c>
      <c r="CL193">
        <f>IF($CE193="","",IFERROR(VLOOKUP($CE193,DECODE!$A$3:$C$8,2,FALSE),"?"))</f>
        <v/>
      </c>
      <c r="CM193">
        <f>IF($AN193="","",AN193)</f>
        <v/>
      </c>
      <c r="CN193">
        <f>IF($AO193="","",AO193)</f>
        <v/>
      </c>
      <c r="CO193">
        <f>IF($AP193="","",AP193)</f>
        <v/>
      </c>
      <c r="CP193">
        <f>IF($CM193="","",IF($CM193="Aloe Vera Gel","Aloe Vera Gel "&amp;$CO193&amp;"g",CN193&amp;" "&amp;$CO193&amp;"g"))</f>
        <v/>
      </c>
      <c r="CQ193">
        <f>IF($AT193="",0,1)</f>
        <v/>
      </c>
      <c r="CR193">
        <f>IF($CQ193=0,"",AW193)</f>
        <v/>
      </c>
      <c r="CS193">
        <f>IF($CQ193=0,"",AX193)</f>
        <v/>
      </c>
      <c r="CT193">
        <f>IF($CQ193=0,"",AY193)</f>
        <v/>
      </c>
      <c r="CU193">
        <f>IF($CR193="","",IF($CR193="Aloe Vera Gel","Aloe Vera Gel "&amp;$CT193&amp;"g",CS193&amp;" "&amp;$CT193&amp;"g"))</f>
        <v/>
      </c>
      <c r="CV193">
        <f>IF($CQ193=0,"",IF($CP193=$CU193,"Repeat Exact",IF($CT193&gt;$CO193,"Upsized",IF($CT193&lt;$CO193,"Downsized",IF($CM193&lt;&gt;$CR193,"Lateral","Same Size Diff Variant")))))</f>
        <v/>
      </c>
      <c r="CW193">
        <f>IF($CQ193=0,"",AZ193-AQ193)</f>
        <v/>
      </c>
      <c r="CX193">
        <f>IF($CQ193=0,0,IF(CS193=CN193,1,0))</f>
        <v/>
      </c>
      <c r="CY193">
        <f>IF($CQ193=0,0,IF(CR193=CM193,1,0))</f>
        <v/>
      </c>
      <c r="CZ193">
        <f>IF($A193="","",IF(AND(IF(DASHBOARD!$C$4="All",TRUE,$CM193=DASHBOARD!$C$4),IF(DASHBOARD!$C$6="All",TRUE,$CP193=DASHBOARD!$C$6),IF(DASHBOARD!$C$8="All",TRUE,$AF193&gt;=DASHBOARD!$C$8),IF(DASHBOARD!$C$10="All",TRUE,$AF193&lt;=DASHBOARD!$C$10),IF(DASHBOARD!$C$12="All",TRUE,$AH193=VALUE(DASHBOARD!$C$12)),IF(DASHBOARD!$C$14="All",TRUE,$AJ193=DASHBOARD!$C$14)),1,0))</f>
        <v/>
      </c>
    </row>
    <row r="194">
      <c r="A194" t="n">
        <v>127831</v>
      </c>
      <c r="B194" t="inlineStr">
        <is>
          <t>Face Malai</t>
        </is>
      </c>
      <c r="C194" t="inlineStr">
        <is>
          <t>Aloe Vera Gel</t>
        </is>
      </c>
      <c r="H194" t="inlineStr">
        <is>
          <t>Cocoa Mogra (Overnight) Face Malai - 30g</t>
        </is>
      </c>
      <c r="I194" t="inlineStr">
        <is>
          <t>Aloe Vera Gel - 80 gms</t>
        </is>
      </c>
      <c r="N194" t="inlineStr">
        <is>
          <t>FC-DM-NR-030</t>
        </is>
      </c>
      <c r="O194" t="inlineStr">
        <is>
          <t>FC-HG-PA-080</t>
        </is>
      </c>
      <c r="T194" t="inlineStr">
        <is>
          <t>Jul 17, 2024</t>
        </is>
      </c>
      <c r="U194" t="inlineStr">
        <is>
          <t>Aug 8, 2025</t>
        </is>
      </c>
      <c r="Z194" t="n">
        <v>387</v>
      </c>
      <c r="AE194" t="inlineStr">
        <is>
          <t>Mahesana</t>
        </is>
      </c>
      <c r="AF194" t="inlineStr">
        <is>
          <t>2024-07</t>
        </is>
      </c>
      <c r="AG194" t="n">
        <v>7</v>
      </c>
      <c r="AH194" t="n">
        <v>2</v>
      </c>
      <c r="AI194" t="n">
        <v>1</v>
      </c>
      <c r="AJ194">
        <f>IF($AE194="","",IFERROR(VLOOKUP(TRIM($AE194),DECODE!$H$3:$I$60,2,FALSE),"Rest of India"))</f>
        <v/>
      </c>
      <c r="AK194">
        <f>IF($N194="","",UPPER(TRIM(LEFT($N194&amp;",",FIND(",",$N194&amp;",")-1))))</f>
        <v/>
      </c>
      <c r="AL194">
        <f>IF($AK194="","",MID($AK194,4,FIND("~",SUBSTITUTE($AK194,"-","~",2))-4))</f>
        <v/>
      </c>
      <c r="AM194">
        <f>IF($AK194="","",MID($AK194,FIND("~",SUBSTITUTE($AK194,"-","~",2))+1,FIND("~",SUBSTITUTE($AK194,"-","~",3))-FIND("~",SUBSTITUTE($AK194,"-","~",2))-1))</f>
        <v/>
      </c>
      <c r="AN194">
        <f>IF($AL194="","",IFERROR(VLOOKUP($AL194,DECODE!$A$3:$C$8,3,FALSE),"?"))</f>
        <v/>
      </c>
      <c r="AO194">
        <f>IF($AM194="","",IFERROR(VLOOKUP($AL194&amp;"-"&amp;$AM194,DECODE!$E$3:$F$21,2,FALSE),"?"))</f>
        <v/>
      </c>
      <c r="AP194">
        <f>IF($AK194="","",IFERROR(VALUE(RIGHT($AK194,3)),""))</f>
        <v/>
      </c>
      <c r="AQ194">
        <f>IF($T194="","",IFERROR(IF(ISNUMBER($T194),$T194,DATEVALUE(TRIM($T194))),""))</f>
        <v/>
      </c>
      <c r="AR194">
        <f>IF($AQ194="","",IF(MONTH($AQ194)&gt;=12,"Cold Winter",IF(MONTH($AQ194)&gt;=10,"Post-Monsoon",IF(MONTH($AQ194)&gt;=6,"Hot Humid",IF(MONTH($AQ194)&gt;=3,"Hot Dry","Cold Winter")))))</f>
        <v/>
      </c>
      <c r="AS194">
        <f>IF($AL194="","",IFERROR(VLOOKUP($AL194,DECODE!$A$3:$C$8,2,FALSE),"?"))</f>
        <v/>
      </c>
      <c r="AT194">
        <f>IF($O194="","",UPPER(TRIM(LEFT($O194&amp;",",FIND(",",$O194&amp;",")-1))))</f>
        <v/>
      </c>
      <c r="AU194">
        <f>IF($AT194="","",MID($AT194,4,FIND("~",SUBSTITUTE($AT194,"-","~",2))-4))</f>
        <v/>
      </c>
      <c r="AV194">
        <f>IF($AT194="","",MID($AT194,FIND("~",SUBSTITUTE($AT194,"-","~",2))+1,FIND("~",SUBSTITUTE($AT194,"-","~",3))-FIND("~",SUBSTITUTE($AT194,"-","~",2))-1))</f>
        <v/>
      </c>
      <c r="AW194">
        <f>IF($AU194="","",IFERROR(VLOOKUP($AU194,DECODE!$A$3:$C$8,3,FALSE),"?"))</f>
        <v/>
      </c>
      <c r="AX194">
        <f>IF($AV194="","",IFERROR(VLOOKUP($AU194&amp;"-"&amp;$AV194,DECODE!$E$3:$F$21,2,FALSE),"?"))</f>
        <v/>
      </c>
      <c r="AY194">
        <f>IF($AT194="","",IFERROR(VALUE(RIGHT($AT194,3)),""))</f>
        <v/>
      </c>
      <c r="AZ194">
        <f>IF($U194="","",IFERROR(IF(ISNUMBER($U194),$U194,DATEVALUE(TRIM($U194))),""))</f>
        <v/>
      </c>
      <c r="BA194">
        <f>IF($AZ194="","",IF(MONTH($AZ194)&gt;=12,"Cold Winter",IF(MONTH($AZ194)&gt;=10,"Post-Monsoon",IF(MONTH($AZ194)&gt;=6,"Hot Humid",IF(MONTH($AZ194)&gt;=3,"Hot Dry","Cold Winter")))))</f>
        <v/>
      </c>
      <c r="BB194">
        <f>IF($AU194="","",IFERROR(VLOOKUP($AU194,DECODE!$A$3:$C$8,2,FALSE),"?"))</f>
        <v/>
      </c>
      <c r="BC194">
        <f>IF($P194="","",UPPER(TRIM(LEFT($P194&amp;",",FIND(",",$P194&amp;",")-1))))</f>
        <v/>
      </c>
      <c r="BD194">
        <f>IF($BC194="","",MID($BC194,4,FIND("~",SUBSTITUTE($BC194,"-","~",2))-4))</f>
        <v/>
      </c>
      <c r="BE194">
        <f>IF($BC194="","",MID($BC194,FIND("~",SUBSTITUTE($BC194,"-","~",2))+1,FIND("~",SUBSTITUTE($BC194,"-","~",3))-FIND("~",SUBSTITUTE($BC194,"-","~",2))-1))</f>
        <v/>
      </c>
      <c r="BF194">
        <f>IF($BD194="","",IFERROR(VLOOKUP($BD194,DECODE!$A$3:$C$8,3,FALSE),"?"))</f>
        <v/>
      </c>
      <c r="BG194">
        <f>IF($BE194="","",IFERROR(VLOOKUP($BD194&amp;"-"&amp;$BE194,DECODE!$E$3:$F$21,2,FALSE),"?"))</f>
        <v/>
      </c>
      <c r="BH194">
        <f>IF($BC194="","",IFERROR(VALUE(RIGHT($BC194,3)),""))</f>
        <v/>
      </c>
      <c r="BI194">
        <f>IF($V194="","",IFERROR(IF(ISNUMBER($V194),$V194,DATEVALUE(TRIM($V194))),""))</f>
        <v/>
      </c>
      <c r="BJ194">
        <f>IF($BI194="","",IF(MONTH($BI194)&gt;=12,"Cold Winter",IF(MONTH($BI194)&gt;=10,"Post-Monsoon",IF(MONTH($BI194)&gt;=6,"Hot Humid",IF(MONTH($BI194)&gt;=3,"Hot Dry","Cold Winter")))))</f>
        <v/>
      </c>
      <c r="BK194">
        <f>IF($BD194="","",IFERROR(VLOOKUP($BD194,DECODE!$A$3:$C$8,2,FALSE),"?"))</f>
        <v/>
      </c>
      <c r="BL194">
        <f>IF($Q194="","",UPPER(TRIM(LEFT($Q194&amp;",",FIND(",",$Q194&amp;",")-1))))</f>
        <v/>
      </c>
      <c r="BM194">
        <f>IF($BL194="","",MID($BL194,4,FIND("~",SUBSTITUTE($BL194,"-","~",2))-4))</f>
        <v/>
      </c>
      <c r="BN194">
        <f>IF($BL194="","",MID($BL194,FIND("~",SUBSTITUTE($BL194,"-","~",2))+1,FIND("~",SUBSTITUTE($BL194,"-","~",3))-FIND("~",SUBSTITUTE($BL194,"-","~",2))-1))</f>
        <v/>
      </c>
      <c r="BO194">
        <f>IF($BM194="","",IFERROR(VLOOKUP($BM194,DECODE!$A$3:$C$8,3,FALSE),"?"))</f>
        <v/>
      </c>
      <c r="BP194">
        <f>IF($BN194="","",IFERROR(VLOOKUP($BM194&amp;"-"&amp;$BN194,DECODE!$E$3:$F$21,2,FALSE),"?"))</f>
        <v/>
      </c>
      <c r="BQ194">
        <f>IF($BL194="","",IFERROR(VALUE(RIGHT($BL194,3)),""))</f>
        <v/>
      </c>
      <c r="BR194">
        <f>IF($W194="","",IFERROR(IF(ISNUMBER($W194),$W194,DATEVALUE(TRIM($W194))),""))</f>
        <v/>
      </c>
      <c r="BS194">
        <f>IF($BR194="","",IF(MONTH($BR194)&gt;=12,"Cold Winter",IF(MONTH($BR194)&gt;=10,"Post-Monsoon",IF(MONTH($BR194)&gt;=6,"Hot Humid",IF(MONTH($BR194)&gt;=3,"Hot Dry","Cold Winter")))))</f>
        <v/>
      </c>
      <c r="BT194">
        <f>IF($BM194="","",IFERROR(VLOOKUP($BM194,DECODE!$A$3:$C$8,2,FALSE),"?"))</f>
        <v/>
      </c>
      <c r="BU194">
        <f>IF($R194="","",UPPER(TRIM(LEFT($R194&amp;",",FIND(",",$R194&amp;",")-1))))</f>
        <v/>
      </c>
      <c r="BV194">
        <f>IF($BU194="","",MID($BU194,4,FIND("~",SUBSTITUTE($BU194,"-","~",2))-4))</f>
        <v/>
      </c>
      <c r="BW194">
        <f>IF($BU194="","",MID($BU194,FIND("~",SUBSTITUTE($BU194,"-","~",2))+1,FIND("~",SUBSTITUTE($BU194,"-","~",3))-FIND("~",SUBSTITUTE($BU194,"-","~",2))-1))</f>
        <v/>
      </c>
      <c r="BX194">
        <f>IF($BV194="","",IFERROR(VLOOKUP($BV194,DECODE!$A$3:$C$8,3,FALSE),"?"))</f>
        <v/>
      </c>
      <c r="BY194">
        <f>IF($BW194="","",IFERROR(VLOOKUP($BV194&amp;"-"&amp;$BW194,DECODE!$E$3:$F$21,2,FALSE),"?"))</f>
        <v/>
      </c>
      <c r="BZ194">
        <f>IF($BU194="","",IFERROR(VALUE(RIGHT($BU194,3)),""))</f>
        <v/>
      </c>
      <c r="CA194">
        <f>IF($X194="","",IFERROR(IF(ISNUMBER($X194),$X194,DATEVALUE(TRIM($X194))),""))</f>
        <v/>
      </c>
      <c r="CB194">
        <f>IF($CA194="","",IF(MONTH($CA194)&gt;=12,"Cold Winter",IF(MONTH($CA194)&gt;=10,"Post-Monsoon",IF(MONTH($CA194)&gt;=6,"Hot Humid",IF(MONTH($CA194)&gt;=3,"Hot Dry","Cold Winter")))))</f>
        <v/>
      </c>
      <c r="CC194">
        <f>IF($BV194="","",IFERROR(VLOOKUP($BV194,DECODE!$A$3:$C$8,2,FALSE),"?"))</f>
        <v/>
      </c>
      <c r="CD194">
        <f>IF($S194="","",UPPER(TRIM(LEFT($S194&amp;",",FIND(",",$S194&amp;",")-1))))</f>
        <v/>
      </c>
      <c r="CE194">
        <f>IF($CD194="","",MID($CD194,4,FIND("~",SUBSTITUTE($CD194,"-","~",2))-4))</f>
        <v/>
      </c>
      <c r="CF194">
        <f>IF($CD194="","",MID($CD194,FIND("~",SUBSTITUTE($CD194,"-","~",2))+1,FIND("~",SUBSTITUTE($CD194,"-","~",3))-FIND("~",SUBSTITUTE($CD194,"-","~",2))-1))</f>
        <v/>
      </c>
      <c r="CG194">
        <f>IF($CE194="","",IFERROR(VLOOKUP($CE194,DECODE!$A$3:$C$8,3,FALSE),"?"))</f>
        <v/>
      </c>
      <c r="CH194">
        <f>IF($CF194="","",IFERROR(VLOOKUP($CE194&amp;"-"&amp;$CF194,DECODE!$E$3:$F$21,2,FALSE),"?"))</f>
        <v/>
      </c>
      <c r="CI194">
        <f>IF($CD194="","",IFERROR(VALUE(RIGHT($CD194,3)),""))</f>
        <v/>
      </c>
      <c r="CJ194">
        <f>IF($Y194="","",IFERROR(IF(ISNUMBER($Y194),$Y194,DATEVALUE(TRIM($Y194))),""))</f>
        <v/>
      </c>
      <c r="CK194">
        <f>IF($CJ194="","",IF(MONTH($CJ194)&gt;=12,"Cold Winter",IF(MONTH($CJ194)&gt;=10,"Post-Monsoon",IF(MONTH($CJ194)&gt;=6,"Hot Humid",IF(MONTH($CJ194)&gt;=3,"Hot Dry","Cold Winter")))))</f>
        <v/>
      </c>
      <c r="CL194">
        <f>IF($CE194="","",IFERROR(VLOOKUP($CE194,DECODE!$A$3:$C$8,2,FALSE),"?"))</f>
        <v/>
      </c>
      <c r="CM194">
        <f>IF($AN194="","",AN194)</f>
        <v/>
      </c>
      <c r="CN194">
        <f>IF($AO194="","",AO194)</f>
        <v/>
      </c>
      <c r="CO194">
        <f>IF($AP194="","",AP194)</f>
        <v/>
      </c>
      <c r="CP194">
        <f>IF($CM194="","",IF($CM194="Aloe Vera Gel","Aloe Vera Gel "&amp;$CO194&amp;"g",CN194&amp;" "&amp;$CO194&amp;"g"))</f>
        <v/>
      </c>
      <c r="CQ194">
        <f>IF($AT194="",0,1)</f>
        <v/>
      </c>
      <c r="CR194">
        <f>IF($CQ194=0,"",AW194)</f>
        <v/>
      </c>
      <c r="CS194">
        <f>IF($CQ194=0,"",AX194)</f>
        <v/>
      </c>
      <c r="CT194">
        <f>IF($CQ194=0,"",AY194)</f>
        <v/>
      </c>
      <c r="CU194">
        <f>IF($CR194="","",IF($CR194="Aloe Vera Gel","Aloe Vera Gel "&amp;$CT194&amp;"g",CS194&amp;" "&amp;$CT194&amp;"g"))</f>
        <v/>
      </c>
      <c r="CV194">
        <f>IF($CQ194=0,"",IF($CP194=$CU194,"Repeat Exact",IF($CT194&gt;$CO194,"Upsized",IF($CT194&lt;$CO194,"Downsized",IF($CM194&lt;&gt;$CR194,"Lateral","Same Size Diff Variant")))))</f>
        <v/>
      </c>
      <c r="CW194">
        <f>IF($CQ194=0,"",AZ194-AQ194)</f>
        <v/>
      </c>
      <c r="CX194">
        <f>IF($CQ194=0,0,IF(CS194=CN194,1,0))</f>
        <v/>
      </c>
      <c r="CY194">
        <f>IF($CQ194=0,0,IF(CR194=CM194,1,0))</f>
        <v/>
      </c>
      <c r="CZ194">
        <f>IF($A194="","",IF(AND(IF(DASHBOARD!$C$4="All",TRUE,$CM194=DASHBOARD!$C$4),IF(DASHBOARD!$C$6="All",TRUE,$CP194=DASHBOARD!$C$6),IF(DASHBOARD!$C$8="All",TRUE,$AF194&gt;=DASHBOARD!$C$8),IF(DASHBOARD!$C$10="All",TRUE,$AF194&lt;=DASHBOARD!$C$10),IF(DASHBOARD!$C$12="All",TRUE,$AH194=VALUE(DASHBOARD!$C$12)),IF(DASHBOARD!$C$14="All",TRUE,$AJ194=DASHBOARD!$C$14)),1,0))</f>
        <v/>
      </c>
    </row>
    <row r="195">
      <c r="A195" t="n">
        <v>129271</v>
      </c>
      <c r="B195" t="inlineStr">
        <is>
          <t>Face Malai</t>
        </is>
      </c>
      <c r="C195" t="inlineStr">
        <is>
          <t>Face Malai</t>
        </is>
      </c>
      <c r="D195" t="inlineStr">
        <is>
          <t>Aloe Vera Gel, Face Malai</t>
        </is>
      </c>
      <c r="E195" t="inlineStr">
        <is>
          <t>Face Malai</t>
        </is>
      </c>
      <c r="F195" t="inlineStr">
        <is>
          <t>Active Gel, Face Malai</t>
        </is>
      </c>
      <c r="H195" t="inlineStr">
        <is>
          <t>Flax Walnut (Cold) 35+ Face Malai</t>
        </is>
      </c>
      <c r="I195" t="inlineStr">
        <is>
          <t>Winter Blackseed Tulsi (Cold) 13 - 19 Yrs Face Malai</t>
        </is>
      </c>
      <c r="J195" t="inlineStr">
        <is>
          <t>Aloe Vera Gel - 40 gms, Flax Walnut (Cold) 35+ Face Malai</t>
        </is>
      </c>
      <c r="K195" t="inlineStr">
        <is>
          <t>Flax Carrot (Hot Humid) 35+ Face Malai - 50g</t>
        </is>
      </c>
      <c r="L195" t="inlineStr">
        <is>
          <t>Flax Carrot (Hot Humid) 35+ Face Malai - 50g, Active Aloe Cactus Hydra Lift Gel</t>
        </is>
      </c>
      <c r="N195" t="inlineStr">
        <is>
          <t>FC-CWDM-FW-030</t>
        </is>
      </c>
      <c r="O195" t="inlineStr">
        <is>
          <t>FC-CWDM-BT-030</t>
        </is>
      </c>
      <c r="P195" t="inlineStr">
        <is>
          <t>FC-CWDM-FW-030, FC-HG-PA-040</t>
        </is>
      </c>
      <c r="Q195" t="inlineStr">
        <is>
          <t>FC-HHDM-FC-050</t>
        </is>
      </c>
      <c r="R195" t="inlineStr">
        <is>
          <t>FC-AC-AC-050, FC-HHDM-FC-050</t>
        </is>
      </c>
      <c r="T195" t="inlineStr">
        <is>
          <t>Nov 15, 2024</t>
        </is>
      </c>
      <c r="U195" t="inlineStr">
        <is>
          <t>Nov 21, 2024</t>
        </is>
      </c>
      <c r="V195" t="inlineStr">
        <is>
          <t>Jan 5, 2025</t>
        </is>
      </c>
      <c r="W195" t="inlineStr">
        <is>
          <t>Feb 16, 2025</t>
        </is>
      </c>
      <c r="X195" t="inlineStr">
        <is>
          <t>Apr 10, 2025</t>
        </is>
      </c>
      <c r="Z195" t="n">
        <v>6</v>
      </c>
      <c r="AA195" t="n">
        <v>45</v>
      </c>
      <c r="AB195" t="n">
        <v>42</v>
      </c>
      <c r="AC195" t="n">
        <v>53</v>
      </c>
      <c r="AE195" t="inlineStr">
        <is>
          <t>Mumbai</t>
        </is>
      </c>
      <c r="AF195" t="inlineStr">
        <is>
          <t>2024-11</t>
        </is>
      </c>
      <c r="AG195" t="n">
        <v>11</v>
      </c>
      <c r="AH195" t="n">
        <v>5</v>
      </c>
      <c r="AI195" t="n">
        <v>1</v>
      </c>
      <c r="AJ195">
        <f>IF($AE195="","",IFERROR(VLOOKUP(TRIM($AE195),DECODE!$H$3:$I$60,2,FALSE),"Rest of India"))</f>
        <v/>
      </c>
      <c r="AK195">
        <f>IF($N195="","",UPPER(TRIM(LEFT($N195&amp;",",FIND(",",$N195&amp;",")-1))))</f>
        <v/>
      </c>
      <c r="AL195">
        <f>IF($AK195="","",MID($AK195,4,FIND("~",SUBSTITUTE($AK195,"-","~",2))-4))</f>
        <v/>
      </c>
      <c r="AM195">
        <f>IF($AK195="","",MID($AK195,FIND("~",SUBSTITUTE($AK195,"-","~",2))+1,FIND("~",SUBSTITUTE($AK195,"-","~",3))-FIND("~",SUBSTITUTE($AK195,"-","~",2))-1))</f>
        <v/>
      </c>
      <c r="AN195">
        <f>IF($AL195="","",IFERROR(VLOOKUP($AL195,DECODE!$A$3:$C$8,3,FALSE),"?"))</f>
        <v/>
      </c>
      <c r="AO195">
        <f>IF($AM195="","",IFERROR(VLOOKUP($AL195&amp;"-"&amp;$AM195,DECODE!$E$3:$F$21,2,FALSE),"?"))</f>
        <v/>
      </c>
      <c r="AP195">
        <f>IF($AK195="","",IFERROR(VALUE(RIGHT($AK195,3)),""))</f>
        <v/>
      </c>
      <c r="AQ195">
        <f>IF($T195="","",IFERROR(IF(ISNUMBER($T195),$T195,DATEVALUE(TRIM($T195))),""))</f>
        <v/>
      </c>
      <c r="AR195">
        <f>IF($AQ195="","",IF(MONTH($AQ195)&gt;=12,"Cold Winter",IF(MONTH($AQ195)&gt;=10,"Post-Monsoon",IF(MONTH($AQ195)&gt;=6,"Hot Humid",IF(MONTH($AQ195)&gt;=3,"Hot Dry","Cold Winter")))))</f>
        <v/>
      </c>
      <c r="AS195">
        <f>IF($AL195="","",IFERROR(VLOOKUP($AL195,DECODE!$A$3:$C$8,2,FALSE),"?"))</f>
        <v/>
      </c>
      <c r="AT195">
        <f>IF($O195="","",UPPER(TRIM(LEFT($O195&amp;",",FIND(",",$O195&amp;",")-1))))</f>
        <v/>
      </c>
      <c r="AU195">
        <f>IF($AT195="","",MID($AT195,4,FIND("~",SUBSTITUTE($AT195,"-","~",2))-4))</f>
        <v/>
      </c>
      <c r="AV195">
        <f>IF($AT195="","",MID($AT195,FIND("~",SUBSTITUTE($AT195,"-","~",2))+1,FIND("~",SUBSTITUTE($AT195,"-","~",3))-FIND("~",SUBSTITUTE($AT195,"-","~",2))-1))</f>
        <v/>
      </c>
      <c r="AW195">
        <f>IF($AU195="","",IFERROR(VLOOKUP($AU195,DECODE!$A$3:$C$8,3,FALSE),"?"))</f>
        <v/>
      </c>
      <c r="AX195">
        <f>IF($AV195="","",IFERROR(VLOOKUP($AU195&amp;"-"&amp;$AV195,DECODE!$E$3:$F$21,2,FALSE),"?"))</f>
        <v/>
      </c>
      <c r="AY195">
        <f>IF($AT195="","",IFERROR(VALUE(RIGHT($AT195,3)),""))</f>
        <v/>
      </c>
      <c r="AZ195">
        <f>IF($U195="","",IFERROR(IF(ISNUMBER($U195),$U195,DATEVALUE(TRIM($U195))),""))</f>
        <v/>
      </c>
      <c r="BA195">
        <f>IF($AZ195="","",IF(MONTH($AZ195)&gt;=12,"Cold Winter",IF(MONTH($AZ195)&gt;=10,"Post-Monsoon",IF(MONTH($AZ195)&gt;=6,"Hot Humid",IF(MONTH($AZ195)&gt;=3,"Hot Dry","Cold Winter")))))</f>
        <v/>
      </c>
      <c r="BB195">
        <f>IF($AU195="","",IFERROR(VLOOKUP($AU195,DECODE!$A$3:$C$8,2,FALSE),"?"))</f>
        <v/>
      </c>
      <c r="BC195">
        <f>IF($P195="","",UPPER(TRIM(LEFT($P195&amp;",",FIND(",",$P195&amp;",")-1))))</f>
        <v/>
      </c>
      <c r="BD195">
        <f>IF($BC195="","",MID($BC195,4,FIND("~",SUBSTITUTE($BC195,"-","~",2))-4))</f>
        <v/>
      </c>
      <c r="BE195">
        <f>IF($BC195="","",MID($BC195,FIND("~",SUBSTITUTE($BC195,"-","~",2))+1,FIND("~",SUBSTITUTE($BC195,"-","~",3))-FIND("~",SUBSTITUTE($BC195,"-","~",2))-1))</f>
        <v/>
      </c>
      <c r="BF195">
        <f>IF($BD195="","",IFERROR(VLOOKUP($BD195,DECODE!$A$3:$C$8,3,FALSE),"?"))</f>
        <v/>
      </c>
      <c r="BG195">
        <f>IF($BE195="","",IFERROR(VLOOKUP($BD195&amp;"-"&amp;$BE195,DECODE!$E$3:$F$21,2,FALSE),"?"))</f>
        <v/>
      </c>
      <c r="BH195">
        <f>IF($BC195="","",IFERROR(VALUE(RIGHT($BC195,3)),""))</f>
        <v/>
      </c>
      <c r="BI195">
        <f>IF($V195="","",IFERROR(IF(ISNUMBER($V195),$V195,DATEVALUE(TRIM($V195))),""))</f>
        <v/>
      </c>
      <c r="BJ195">
        <f>IF($BI195="","",IF(MONTH($BI195)&gt;=12,"Cold Winter",IF(MONTH($BI195)&gt;=10,"Post-Monsoon",IF(MONTH($BI195)&gt;=6,"Hot Humid",IF(MONTH($BI195)&gt;=3,"Hot Dry","Cold Winter")))))</f>
        <v/>
      </c>
      <c r="BK195">
        <f>IF($BD195="","",IFERROR(VLOOKUP($BD195,DECODE!$A$3:$C$8,2,FALSE),"?"))</f>
        <v/>
      </c>
      <c r="BL195">
        <f>IF($Q195="","",UPPER(TRIM(LEFT($Q195&amp;",",FIND(",",$Q195&amp;",")-1))))</f>
        <v/>
      </c>
      <c r="BM195">
        <f>IF($BL195="","",MID($BL195,4,FIND("~",SUBSTITUTE($BL195,"-","~",2))-4))</f>
        <v/>
      </c>
      <c r="BN195">
        <f>IF($BL195="","",MID($BL195,FIND("~",SUBSTITUTE($BL195,"-","~",2))+1,FIND("~",SUBSTITUTE($BL195,"-","~",3))-FIND("~",SUBSTITUTE($BL195,"-","~",2))-1))</f>
        <v/>
      </c>
      <c r="BO195">
        <f>IF($BM195="","",IFERROR(VLOOKUP($BM195,DECODE!$A$3:$C$8,3,FALSE),"?"))</f>
        <v/>
      </c>
      <c r="BP195">
        <f>IF($BN195="","",IFERROR(VLOOKUP($BM195&amp;"-"&amp;$BN195,DECODE!$E$3:$F$21,2,FALSE),"?"))</f>
        <v/>
      </c>
      <c r="BQ195">
        <f>IF($BL195="","",IFERROR(VALUE(RIGHT($BL195,3)),""))</f>
        <v/>
      </c>
      <c r="BR195">
        <f>IF($W195="","",IFERROR(IF(ISNUMBER($W195),$W195,DATEVALUE(TRIM($W195))),""))</f>
        <v/>
      </c>
      <c r="BS195">
        <f>IF($BR195="","",IF(MONTH($BR195)&gt;=12,"Cold Winter",IF(MONTH($BR195)&gt;=10,"Post-Monsoon",IF(MONTH($BR195)&gt;=6,"Hot Humid",IF(MONTH($BR195)&gt;=3,"Hot Dry","Cold Winter")))))</f>
        <v/>
      </c>
      <c r="BT195">
        <f>IF($BM195="","",IFERROR(VLOOKUP($BM195,DECODE!$A$3:$C$8,2,FALSE),"?"))</f>
        <v/>
      </c>
      <c r="BU195">
        <f>IF($R195="","",UPPER(TRIM(LEFT($R195&amp;",",FIND(",",$R195&amp;",")-1))))</f>
        <v/>
      </c>
      <c r="BV195">
        <f>IF($BU195="","",MID($BU195,4,FIND("~",SUBSTITUTE($BU195,"-","~",2))-4))</f>
        <v/>
      </c>
      <c r="BW195">
        <f>IF($BU195="","",MID($BU195,FIND("~",SUBSTITUTE($BU195,"-","~",2))+1,FIND("~",SUBSTITUTE($BU195,"-","~",3))-FIND("~",SUBSTITUTE($BU195,"-","~",2))-1))</f>
        <v/>
      </c>
      <c r="BX195">
        <f>IF($BV195="","",IFERROR(VLOOKUP($BV195,DECODE!$A$3:$C$8,3,FALSE),"?"))</f>
        <v/>
      </c>
      <c r="BY195">
        <f>IF($BW195="","",IFERROR(VLOOKUP($BV195&amp;"-"&amp;$BW195,DECODE!$E$3:$F$21,2,FALSE),"?"))</f>
        <v/>
      </c>
      <c r="BZ195">
        <f>IF($BU195="","",IFERROR(VALUE(RIGHT($BU195,3)),""))</f>
        <v/>
      </c>
      <c r="CA195">
        <f>IF($X195="","",IFERROR(IF(ISNUMBER($X195),$X195,DATEVALUE(TRIM($X195))),""))</f>
        <v/>
      </c>
      <c r="CB195">
        <f>IF($CA195="","",IF(MONTH($CA195)&gt;=12,"Cold Winter",IF(MONTH($CA195)&gt;=10,"Post-Monsoon",IF(MONTH($CA195)&gt;=6,"Hot Humid",IF(MONTH($CA195)&gt;=3,"Hot Dry","Cold Winter")))))</f>
        <v/>
      </c>
      <c r="CC195">
        <f>IF($BV195="","",IFERROR(VLOOKUP($BV195,DECODE!$A$3:$C$8,2,FALSE),"?"))</f>
        <v/>
      </c>
      <c r="CD195">
        <f>IF($S195="","",UPPER(TRIM(LEFT($S195&amp;",",FIND(",",$S195&amp;",")-1))))</f>
        <v/>
      </c>
      <c r="CE195">
        <f>IF($CD195="","",MID($CD195,4,FIND("~",SUBSTITUTE($CD195,"-","~",2))-4))</f>
        <v/>
      </c>
      <c r="CF195">
        <f>IF($CD195="","",MID($CD195,FIND("~",SUBSTITUTE($CD195,"-","~",2))+1,FIND("~",SUBSTITUTE($CD195,"-","~",3))-FIND("~",SUBSTITUTE($CD195,"-","~",2))-1))</f>
        <v/>
      </c>
      <c r="CG195">
        <f>IF($CE195="","",IFERROR(VLOOKUP($CE195,DECODE!$A$3:$C$8,3,FALSE),"?"))</f>
        <v/>
      </c>
      <c r="CH195">
        <f>IF($CF195="","",IFERROR(VLOOKUP($CE195&amp;"-"&amp;$CF195,DECODE!$E$3:$F$21,2,FALSE),"?"))</f>
        <v/>
      </c>
      <c r="CI195">
        <f>IF($CD195="","",IFERROR(VALUE(RIGHT($CD195,3)),""))</f>
        <v/>
      </c>
      <c r="CJ195">
        <f>IF($Y195="","",IFERROR(IF(ISNUMBER($Y195),$Y195,DATEVALUE(TRIM($Y195))),""))</f>
        <v/>
      </c>
      <c r="CK195">
        <f>IF($CJ195="","",IF(MONTH($CJ195)&gt;=12,"Cold Winter",IF(MONTH($CJ195)&gt;=10,"Post-Monsoon",IF(MONTH($CJ195)&gt;=6,"Hot Humid",IF(MONTH($CJ195)&gt;=3,"Hot Dry","Cold Winter")))))</f>
        <v/>
      </c>
      <c r="CL195">
        <f>IF($CE195="","",IFERROR(VLOOKUP($CE195,DECODE!$A$3:$C$8,2,FALSE),"?"))</f>
        <v/>
      </c>
      <c r="CM195">
        <f>IF($AN195="","",AN195)</f>
        <v/>
      </c>
      <c r="CN195">
        <f>IF($AO195="","",AO195)</f>
        <v/>
      </c>
      <c r="CO195">
        <f>IF($AP195="","",AP195)</f>
        <v/>
      </c>
      <c r="CP195">
        <f>IF($CM195="","",IF($CM195="Aloe Vera Gel","Aloe Vera Gel "&amp;$CO195&amp;"g",CN195&amp;" "&amp;$CO195&amp;"g"))</f>
        <v/>
      </c>
      <c r="CQ195">
        <f>IF($AT195="",0,1)</f>
        <v/>
      </c>
      <c r="CR195">
        <f>IF($CQ195=0,"",AW195)</f>
        <v/>
      </c>
      <c r="CS195">
        <f>IF($CQ195=0,"",AX195)</f>
        <v/>
      </c>
      <c r="CT195">
        <f>IF($CQ195=0,"",AY195)</f>
        <v/>
      </c>
      <c r="CU195">
        <f>IF($CR195="","",IF($CR195="Aloe Vera Gel","Aloe Vera Gel "&amp;$CT195&amp;"g",CS195&amp;" "&amp;$CT195&amp;"g"))</f>
        <v/>
      </c>
      <c r="CV195">
        <f>IF($CQ195=0,"",IF($CP195=$CU195,"Repeat Exact",IF($CT195&gt;$CO195,"Upsized",IF($CT195&lt;$CO195,"Downsized",IF($CM195&lt;&gt;$CR195,"Lateral","Same Size Diff Variant")))))</f>
        <v/>
      </c>
      <c r="CW195">
        <f>IF($CQ195=0,"",AZ195-AQ195)</f>
        <v/>
      </c>
      <c r="CX195">
        <f>IF($CQ195=0,0,IF(CS195=CN195,1,0))</f>
        <v/>
      </c>
      <c r="CY195">
        <f>IF($CQ195=0,0,IF(CR195=CM195,1,0))</f>
        <v/>
      </c>
      <c r="CZ195">
        <f>IF($A195="","",IF(AND(IF(DASHBOARD!$C$4="All",TRUE,$CM195=DASHBOARD!$C$4),IF(DASHBOARD!$C$6="All",TRUE,$CP195=DASHBOARD!$C$6),IF(DASHBOARD!$C$8="All",TRUE,$AF195&gt;=DASHBOARD!$C$8),IF(DASHBOARD!$C$10="All",TRUE,$AF195&lt;=DASHBOARD!$C$10),IF(DASHBOARD!$C$12="All",TRUE,$AH195=VALUE(DASHBOARD!$C$12)),IF(DASHBOARD!$C$14="All",TRUE,$AJ195=DASHBOARD!$C$14)),1,0))</f>
        <v/>
      </c>
    </row>
    <row r="196">
      <c r="A196" t="n">
        <v>130125</v>
      </c>
      <c r="B196" t="inlineStr">
        <is>
          <t>Active Gel, Face Malai</t>
        </is>
      </c>
      <c r="H196" t="inlineStr">
        <is>
          <t>Flax Bakuchi (Hot Dry) 35+ Face Malai - 50g, Active Orange Kiwi Vit-C Gel</t>
        </is>
      </c>
      <c r="N196" t="inlineStr">
        <is>
          <t>FC-HDDM-FB-050, FC-AC-OK-050</t>
        </is>
      </c>
      <c r="T196" t="inlineStr">
        <is>
          <t>Oct 13, 2024</t>
        </is>
      </c>
      <c r="AE196" t="inlineStr">
        <is>
          <t>Pune</t>
        </is>
      </c>
      <c r="AF196" t="inlineStr">
        <is>
          <t>2024-10</t>
        </is>
      </c>
      <c r="AG196" t="n">
        <v>10</v>
      </c>
      <c r="AH196" t="n">
        <v>1</v>
      </c>
      <c r="AI196" t="n">
        <v>0</v>
      </c>
      <c r="AJ196">
        <f>IF($AE196="","",IFERROR(VLOOKUP(TRIM($AE196),DECODE!$H$3:$I$60,2,FALSE),"Rest of India"))</f>
        <v/>
      </c>
      <c r="AK196">
        <f>IF($N196="","",UPPER(TRIM(LEFT($N196&amp;",",FIND(",",$N196&amp;",")-1))))</f>
        <v/>
      </c>
      <c r="AL196">
        <f>IF($AK196="","",MID($AK196,4,FIND("~",SUBSTITUTE($AK196,"-","~",2))-4))</f>
        <v/>
      </c>
      <c r="AM196">
        <f>IF($AK196="","",MID($AK196,FIND("~",SUBSTITUTE($AK196,"-","~",2))+1,FIND("~",SUBSTITUTE($AK196,"-","~",3))-FIND("~",SUBSTITUTE($AK196,"-","~",2))-1))</f>
        <v/>
      </c>
      <c r="AN196">
        <f>IF($AL196="","",IFERROR(VLOOKUP($AL196,DECODE!$A$3:$C$8,3,FALSE),"?"))</f>
        <v/>
      </c>
      <c r="AO196">
        <f>IF($AM196="","",IFERROR(VLOOKUP($AL196&amp;"-"&amp;$AM196,DECODE!$E$3:$F$21,2,FALSE),"?"))</f>
        <v/>
      </c>
      <c r="AP196">
        <f>IF($AK196="","",IFERROR(VALUE(RIGHT($AK196,3)),""))</f>
        <v/>
      </c>
      <c r="AQ196">
        <f>IF($T196="","",IFERROR(IF(ISNUMBER($T196),$T196,DATEVALUE(TRIM($T196))),""))</f>
        <v/>
      </c>
      <c r="AR196">
        <f>IF($AQ196="","",IF(MONTH($AQ196)&gt;=12,"Cold Winter",IF(MONTH($AQ196)&gt;=10,"Post-Monsoon",IF(MONTH($AQ196)&gt;=6,"Hot Humid",IF(MONTH($AQ196)&gt;=3,"Hot Dry","Cold Winter")))))</f>
        <v/>
      </c>
      <c r="AS196">
        <f>IF($AL196="","",IFERROR(VLOOKUP($AL196,DECODE!$A$3:$C$8,2,FALSE),"?"))</f>
        <v/>
      </c>
      <c r="AT196">
        <f>IF($O196="","",UPPER(TRIM(LEFT($O196&amp;",",FIND(",",$O196&amp;",")-1))))</f>
        <v/>
      </c>
      <c r="AU196">
        <f>IF($AT196="","",MID($AT196,4,FIND("~",SUBSTITUTE($AT196,"-","~",2))-4))</f>
        <v/>
      </c>
      <c r="AV196">
        <f>IF($AT196="","",MID($AT196,FIND("~",SUBSTITUTE($AT196,"-","~",2))+1,FIND("~",SUBSTITUTE($AT196,"-","~",3))-FIND("~",SUBSTITUTE($AT196,"-","~",2))-1))</f>
        <v/>
      </c>
      <c r="AW196">
        <f>IF($AU196="","",IFERROR(VLOOKUP($AU196,DECODE!$A$3:$C$8,3,FALSE),"?"))</f>
        <v/>
      </c>
      <c r="AX196">
        <f>IF($AV196="","",IFERROR(VLOOKUP($AU196&amp;"-"&amp;$AV196,DECODE!$E$3:$F$21,2,FALSE),"?"))</f>
        <v/>
      </c>
      <c r="AY196">
        <f>IF($AT196="","",IFERROR(VALUE(RIGHT($AT196,3)),""))</f>
        <v/>
      </c>
      <c r="AZ196">
        <f>IF($U196="","",IFERROR(IF(ISNUMBER($U196),$U196,DATEVALUE(TRIM($U196))),""))</f>
        <v/>
      </c>
      <c r="BA196">
        <f>IF($AZ196="","",IF(MONTH($AZ196)&gt;=12,"Cold Winter",IF(MONTH($AZ196)&gt;=10,"Post-Monsoon",IF(MONTH($AZ196)&gt;=6,"Hot Humid",IF(MONTH($AZ196)&gt;=3,"Hot Dry","Cold Winter")))))</f>
        <v/>
      </c>
      <c r="BB196">
        <f>IF($AU196="","",IFERROR(VLOOKUP($AU196,DECODE!$A$3:$C$8,2,FALSE),"?"))</f>
        <v/>
      </c>
      <c r="BC196">
        <f>IF($P196="","",UPPER(TRIM(LEFT($P196&amp;",",FIND(",",$P196&amp;",")-1))))</f>
        <v/>
      </c>
      <c r="BD196">
        <f>IF($BC196="","",MID($BC196,4,FIND("~",SUBSTITUTE($BC196,"-","~",2))-4))</f>
        <v/>
      </c>
      <c r="BE196">
        <f>IF($BC196="","",MID($BC196,FIND("~",SUBSTITUTE($BC196,"-","~",2))+1,FIND("~",SUBSTITUTE($BC196,"-","~",3))-FIND("~",SUBSTITUTE($BC196,"-","~",2))-1))</f>
        <v/>
      </c>
      <c r="BF196">
        <f>IF($BD196="","",IFERROR(VLOOKUP($BD196,DECODE!$A$3:$C$8,3,FALSE),"?"))</f>
        <v/>
      </c>
      <c r="BG196">
        <f>IF($BE196="","",IFERROR(VLOOKUP($BD196&amp;"-"&amp;$BE196,DECODE!$E$3:$F$21,2,FALSE),"?"))</f>
        <v/>
      </c>
      <c r="BH196">
        <f>IF($BC196="","",IFERROR(VALUE(RIGHT($BC196,3)),""))</f>
        <v/>
      </c>
      <c r="BI196">
        <f>IF($V196="","",IFERROR(IF(ISNUMBER($V196),$V196,DATEVALUE(TRIM($V196))),""))</f>
        <v/>
      </c>
      <c r="BJ196">
        <f>IF($BI196="","",IF(MONTH($BI196)&gt;=12,"Cold Winter",IF(MONTH($BI196)&gt;=10,"Post-Monsoon",IF(MONTH($BI196)&gt;=6,"Hot Humid",IF(MONTH($BI196)&gt;=3,"Hot Dry","Cold Winter")))))</f>
        <v/>
      </c>
      <c r="BK196">
        <f>IF($BD196="","",IFERROR(VLOOKUP($BD196,DECODE!$A$3:$C$8,2,FALSE),"?"))</f>
        <v/>
      </c>
      <c r="BL196">
        <f>IF($Q196="","",UPPER(TRIM(LEFT($Q196&amp;",",FIND(",",$Q196&amp;",")-1))))</f>
        <v/>
      </c>
      <c r="BM196">
        <f>IF($BL196="","",MID($BL196,4,FIND("~",SUBSTITUTE($BL196,"-","~",2))-4))</f>
        <v/>
      </c>
      <c r="BN196">
        <f>IF($BL196="","",MID($BL196,FIND("~",SUBSTITUTE($BL196,"-","~",2))+1,FIND("~",SUBSTITUTE($BL196,"-","~",3))-FIND("~",SUBSTITUTE($BL196,"-","~",2))-1))</f>
        <v/>
      </c>
      <c r="BO196">
        <f>IF($BM196="","",IFERROR(VLOOKUP($BM196,DECODE!$A$3:$C$8,3,FALSE),"?"))</f>
        <v/>
      </c>
      <c r="BP196">
        <f>IF($BN196="","",IFERROR(VLOOKUP($BM196&amp;"-"&amp;$BN196,DECODE!$E$3:$F$21,2,FALSE),"?"))</f>
        <v/>
      </c>
      <c r="BQ196">
        <f>IF($BL196="","",IFERROR(VALUE(RIGHT($BL196,3)),""))</f>
        <v/>
      </c>
      <c r="BR196">
        <f>IF($W196="","",IFERROR(IF(ISNUMBER($W196),$W196,DATEVALUE(TRIM($W196))),""))</f>
        <v/>
      </c>
      <c r="BS196">
        <f>IF($BR196="","",IF(MONTH($BR196)&gt;=12,"Cold Winter",IF(MONTH($BR196)&gt;=10,"Post-Monsoon",IF(MONTH($BR196)&gt;=6,"Hot Humid",IF(MONTH($BR196)&gt;=3,"Hot Dry","Cold Winter")))))</f>
        <v/>
      </c>
      <c r="BT196">
        <f>IF($BM196="","",IFERROR(VLOOKUP($BM196,DECODE!$A$3:$C$8,2,FALSE),"?"))</f>
        <v/>
      </c>
      <c r="BU196">
        <f>IF($R196="","",UPPER(TRIM(LEFT($R196&amp;",",FIND(",",$R196&amp;",")-1))))</f>
        <v/>
      </c>
      <c r="BV196">
        <f>IF($BU196="","",MID($BU196,4,FIND("~",SUBSTITUTE($BU196,"-","~",2))-4))</f>
        <v/>
      </c>
      <c r="BW196">
        <f>IF($BU196="","",MID($BU196,FIND("~",SUBSTITUTE($BU196,"-","~",2))+1,FIND("~",SUBSTITUTE($BU196,"-","~",3))-FIND("~",SUBSTITUTE($BU196,"-","~",2))-1))</f>
        <v/>
      </c>
      <c r="BX196">
        <f>IF($BV196="","",IFERROR(VLOOKUP($BV196,DECODE!$A$3:$C$8,3,FALSE),"?"))</f>
        <v/>
      </c>
      <c r="BY196">
        <f>IF($BW196="","",IFERROR(VLOOKUP($BV196&amp;"-"&amp;$BW196,DECODE!$E$3:$F$21,2,FALSE),"?"))</f>
        <v/>
      </c>
      <c r="BZ196">
        <f>IF($BU196="","",IFERROR(VALUE(RIGHT($BU196,3)),""))</f>
        <v/>
      </c>
      <c r="CA196">
        <f>IF($X196="","",IFERROR(IF(ISNUMBER($X196),$X196,DATEVALUE(TRIM($X196))),""))</f>
        <v/>
      </c>
      <c r="CB196">
        <f>IF($CA196="","",IF(MONTH($CA196)&gt;=12,"Cold Winter",IF(MONTH($CA196)&gt;=10,"Post-Monsoon",IF(MONTH($CA196)&gt;=6,"Hot Humid",IF(MONTH($CA196)&gt;=3,"Hot Dry","Cold Winter")))))</f>
        <v/>
      </c>
      <c r="CC196">
        <f>IF($BV196="","",IFERROR(VLOOKUP($BV196,DECODE!$A$3:$C$8,2,FALSE),"?"))</f>
        <v/>
      </c>
      <c r="CD196">
        <f>IF($S196="","",UPPER(TRIM(LEFT($S196&amp;",",FIND(",",$S196&amp;",")-1))))</f>
        <v/>
      </c>
      <c r="CE196">
        <f>IF($CD196="","",MID($CD196,4,FIND("~",SUBSTITUTE($CD196,"-","~",2))-4))</f>
        <v/>
      </c>
      <c r="CF196">
        <f>IF($CD196="","",MID($CD196,FIND("~",SUBSTITUTE($CD196,"-","~",2))+1,FIND("~",SUBSTITUTE($CD196,"-","~",3))-FIND("~",SUBSTITUTE($CD196,"-","~",2))-1))</f>
        <v/>
      </c>
      <c r="CG196">
        <f>IF($CE196="","",IFERROR(VLOOKUP($CE196,DECODE!$A$3:$C$8,3,FALSE),"?"))</f>
        <v/>
      </c>
      <c r="CH196">
        <f>IF($CF196="","",IFERROR(VLOOKUP($CE196&amp;"-"&amp;$CF196,DECODE!$E$3:$F$21,2,FALSE),"?"))</f>
        <v/>
      </c>
      <c r="CI196">
        <f>IF($CD196="","",IFERROR(VALUE(RIGHT($CD196,3)),""))</f>
        <v/>
      </c>
      <c r="CJ196">
        <f>IF($Y196="","",IFERROR(IF(ISNUMBER($Y196),$Y196,DATEVALUE(TRIM($Y196))),""))</f>
        <v/>
      </c>
      <c r="CK196">
        <f>IF($CJ196="","",IF(MONTH($CJ196)&gt;=12,"Cold Winter",IF(MONTH($CJ196)&gt;=10,"Post-Monsoon",IF(MONTH($CJ196)&gt;=6,"Hot Humid",IF(MONTH($CJ196)&gt;=3,"Hot Dry","Cold Winter")))))</f>
        <v/>
      </c>
      <c r="CL196">
        <f>IF($CE196="","",IFERROR(VLOOKUP($CE196,DECODE!$A$3:$C$8,2,FALSE),"?"))</f>
        <v/>
      </c>
      <c r="CM196">
        <f>IF($AN196="","",AN196)</f>
        <v/>
      </c>
      <c r="CN196">
        <f>IF($AO196="","",AO196)</f>
        <v/>
      </c>
      <c r="CO196">
        <f>IF($AP196="","",AP196)</f>
        <v/>
      </c>
      <c r="CP196">
        <f>IF($CM196="","",IF($CM196="Aloe Vera Gel","Aloe Vera Gel "&amp;$CO196&amp;"g",CN196&amp;" "&amp;$CO196&amp;"g"))</f>
        <v/>
      </c>
      <c r="CQ196">
        <f>IF($AT196="",0,1)</f>
        <v/>
      </c>
      <c r="CR196">
        <f>IF($CQ196=0,"",AW196)</f>
        <v/>
      </c>
      <c r="CS196">
        <f>IF($CQ196=0,"",AX196)</f>
        <v/>
      </c>
      <c r="CT196">
        <f>IF($CQ196=0,"",AY196)</f>
        <v/>
      </c>
      <c r="CU196">
        <f>IF($CR196="","",IF($CR196="Aloe Vera Gel","Aloe Vera Gel "&amp;$CT196&amp;"g",CS196&amp;" "&amp;$CT196&amp;"g"))</f>
        <v/>
      </c>
      <c r="CV196">
        <f>IF($CQ196=0,"",IF($CP196=$CU196,"Repeat Exact",IF($CT196&gt;$CO196,"Upsized",IF($CT196&lt;$CO196,"Downsized",IF($CM196&lt;&gt;$CR196,"Lateral","Same Size Diff Variant")))))</f>
        <v/>
      </c>
      <c r="CW196">
        <f>IF($CQ196=0,"",AZ196-AQ196)</f>
        <v/>
      </c>
      <c r="CX196">
        <f>IF($CQ196=0,0,IF(CS196=CN196,1,0))</f>
        <v/>
      </c>
      <c r="CY196">
        <f>IF($CQ196=0,0,IF(CR196=CM196,1,0))</f>
        <v/>
      </c>
      <c r="CZ196">
        <f>IF($A196="","",IF(AND(IF(DASHBOARD!$C$4="All",TRUE,$CM196=DASHBOARD!$C$4),IF(DASHBOARD!$C$6="All",TRUE,$CP196=DASHBOARD!$C$6),IF(DASHBOARD!$C$8="All",TRUE,$AF196&gt;=DASHBOARD!$C$8),IF(DASHBOARD!$C$10="All",TRUE,$AF196&lt;=DASHBOARD!$C$10),IF(DASHBOARD!$C$12="All",TRUE,$AH196=VALUE(DASHBOARD!$C$12)),IF(DASHBOARD!$C$14="All",TRUE,$AJ196=DASHBOARD!$C$14)),1,0))</f>
        <v/>
      </c>
    </row>
    <row r="197">
      <c r="A197" t="n">
        <v>130418</v>
      </c>
      <c r="B197" t="inlineStr">
        <is>
          <t>Aloe Vera Gel</t>
        </is>
      </c>
      <c r="H197" t="inlineStr">
        <is>
          <t>Aloe Vera Gel - 40 gms</t>
        </is>
      </c>
      <c r="N197" t="inlineStr">
        <is>
          <t>FC-HG-PA-040</t>
        </is>
      </c>
      <c r="T197" t="inlineStr">
        <is>
          <t>Jul 30, 2024</t>
        </is>
      </c>
      <c r="AE197" t="inlineStr">
        <is>
          <t>Jaipur</t>
        </is>
      </c>
      <c r="AF197" t="inlineStr">
        <is>
          <t>2024-07</t>
        </is>
      </c>
      <c r="AG197" t="n">
        <v>7</v>
      </c>
      <c r="AH197" t="n">
        <v>1</v>
      </c>
      <c r="AI197" t="n">
        <v>0</v>
      </c>
      <c r="AJ197">
        <f>IF($AE197="","",IFERROR(VLOOKUP(TRIM($AE197),DECODE!$H$3:$I$60,2,FALSE),"Rest of India"))</f>
        <v/>
      </c>
      <c r="AK197">
        <f>IF($N197="","",UPPER(TRIM(LEFT($N197&amp;",",FIND(",",$N197&amp;",")-1))))</f>
        <v/>
      </c>
      <c r="AL197">
        <f>IF($AK197="","",MID($AK197,4,FIND("~",SUBSTITUTE($AK197,"-","~",2))-4))</f>
        <v/>
      </c>
      <c r="AM197">
        <f>IF($AK197="","",MID($AK197,FIND("~",SUBSTITUTE($AK197,"-","~",2))+1,FIND("~",SUBSTITUTE($AK197,"-","~",3))-FIND("~",SUBSTITUTE($AK197,"-","~",2))-1))</f>
        <v/>
      </c>
      <c r="AN197">
        <f>IF($AL197="","",IFERROR(VLOOKUP($AL197,DECODE!$A$3:$C$8,3,FALSE),"?"))</f>
        <v/>
      </c>
      <c r="AO197">
        <f>IF($AM197="","",IFERROR(VLOOKUP($AL197&amp;"-"&amp;$AM197,DECODE!$E$3:$F$21,2,FALSE),"?"))</f>
        <v/>
      </c>
      <c r="AP197">
        <f>IF($AK197="","",IFERROR(VALUE(RIGHT($AK197,3)),""))</f>
        <v/>
      </c>
      <c r="AQ197">
        <f>IF($T197="","",IFERROR(IF(ISNUMBER($T197),$T197,DATEVALUE(TRIM($T197))),""))</f>
        <v/>
      </c>
      <c r="AR197">
        <f>IF($AQ197="","",IF(MONTH($AQ197)&gt;=12,"Cold Winter",IF(MONTH($AQ197)&gt;=10,"Post-Monsoon",IF(MONTH($AQ197)&gt;=6,"Hot Humid",IF(MONTH($AQ197)&gt;=3,"Hot Dry","Cold Winter")))))</f>
        <v/>
      </c>
      <c r="AS197">
        <f>IF($AL197="","",IFERROR(VLOOKUP($AL197,DECODE!$A$3:$C$8,2,FALSE),"?"))</f>
        <v/>
      </c>
      <c r="AT197">
        <f>IF($O197="","",UPPER(TRIM(LEFT($O197&amp;",",FIND(",",$O197&amp;",")-1))))</f>
        <v/>
      </c>
      <c r="AU197">
        <f>IF($AT197="","",MID($AT197,4,FIND("~",SUBSTITUTE($AT197,"-","~",2))-4))</f>
        <v/>
      </c>
      <c r="AV197">
        <f>IF($AT197="","",MID($AT197,FIND("~",SUBSTITUTE($AT197,"-","~",2))+1,FIND("~",SUBSTITUTE($AT197,"-","~",3))-FIND("~",SUBSTITUTE($AT197,"-","~",2))-1))</f>
        <v/>
      </c>
      <c r="AW197">
        <f>IF($AU197="","",IFERROR(VLOOKUP($AU197,DECODE!$A$3:$C$8,3,FALSE),"?"))</f>
        <v/>
      </c>
      <c r="AX197">
        <f>IF($AV197="","",IFERROR(VLOOKUP($AU197&amp;"-"&amp;$AV197,DECODE!$E$3:$F$21,2,FALSE),"?"))</f>
        <v/>
      </c>
      <c r="AY197">
        <f>IF($AT197="","",IFERROR(VALUE(RIGHT($AT197,3)),""))</f>
        <v/>
      </c>
      <c r="AZ197">
        <f>IF($U197="","",IFERROR(IF(ISNUMBER($U197),$U197,DATEVALUE(TRIM($U197))),""))</f>
        <v/>
      </c>
      <c r="BA197">
        <f>IF($AZ197="","",IF(MONTH($AZ197)&gt;=12,"Cold Winter",IF(MONTH($AZ197)&gt;=10,"Post-Monsoon",IF(MONTH($AZ197)&gt;=6,"Hot Humid",IF(MONTH($AZ197)&gt;=3,"Hot Dry","Cold Winter")))))</f>
        <v/>
      </c>
      <c r="BB197">
        <f>IF($AU197="","",IFERROR(VLOOKUP($AU197,DECODE!$A$3:$C$8,2,FALSE),"?"))</f>
        <v/>
      </c>
      <c r="BC197">
        <f>IF($P197="","",UPPER(TRIM(LEFT($P197&amp;",",FIND(",",$P197&amp;",")-1))))</f>
        <v/>
      </c>
      <c r="BD197">
        <f>IF($BC197="","",MID($BC197,4,FIND("~",SUBSTITUTE($BC197,"-","~",2))-4))</f>
        <v/>
      </c>
      <c r="BE197">
        <f>IF($BC197="","",MID($BC197,FIND("~",SUBSTITUTE($BC197,"-","~",2))+1,FIND("~",SUBSTITUTE($BC197,"-","~",3))-FIND("~",SUBSTITUTE($BC197,"-","~",2))-1))</f>
        <v/>
      </c>
      <c r="BF197">
        <f>IF($BD197="","",IFERROR(VLOOKUP($BD197,DECODE!$A$3:$C$8,3,FALSE),"?"))</f>
        <v/>
      </c>
      <c r="BG197">
        <f>IF($BE197="","",IFERROR(VLOOKUP($BD197&amp;"-"&amp;$BE197,DECODE!$E$3:$F$21,2,FALSE),"?"))</f>
        <v/>
      </c>
      <c r="BH197">
        <f>IF($BC197="","",IFERROR(VALUE(RIGHT($BC197,3)),""))</f>
        <v/>
      </c>
      <c r="BI197">
        <f>IF($V197="","",IFERROR(IF(ISNUMBER($V197),$V197,DATEVALUE(TRIM($V197))),""))</f>
        <v/>
      </c>
      <c r="BJ197">
        <f>IF($BI197="","",IF(MONTH($BI197)&gt;=12,"Cold Winter",IF(MONTH($BI197)&gt;=10,"Post-Monsoon",IF(MONTH($BI197)&gt;=6,"Hot Humid",IF(MONTH($BI197)&gt;=3,"Hot Dry","Cold Winter")))))</f>
        <v/>
      </c>
      <c r="BK197">
        <f>IF($BD197="","",IFERROR(VLOOKUP($BD197,DECODE!$A$3:$C$8,2,FALSE),"?"))</f>
        <v/>
      </c>
      <c r="BL197">
        <f>IF($Q197="","",UPPER(TRIM(LEFT($Q197&amp;",",FIND(",",$Q197&amp;",")-1))))</f>
        <v/>
      </c>
      <c r="BM197">
        <f>IF($BL197="","",MID($BL197,4,FIND("~",SUBSTITUTE($BL197,"-","~",2))-4))</f>
        <v/>
      </c>
      <c r="BN197">
        <f>IF($BL197="","",MID($BL197,FIND("~",SUBSTITUTE($BL197,"-","~",2))+1,FIND("~",SUBSTITUTE($BL197,"-","~",3))-FIND("~",SUBSTITUTE($BL197,"-","~",2))-1))</f>
        <v/>
      </c>
      <c r="BO197">
        <f>IF($BM197="","",IFERROR(VLOOKUP($BM197,DECODE!$A$3:$C$8,3,FALSE),"?"))</f>
        <v/>
      </c>
      <c r="BP197">
        <f>IF($BN197="","",IFERROR(VLOOKUP($BM197&amp;"-"&amp;$BN197,DECODE!$E$3:$F$21,2,FALSE),"?"))</f>
        <v/>
      </c>
      <c r="BQ197">
        <f>IF($BL197="","",IFERROR(VALUE(RIGHT($BL197,3)),""))</f>
        <v/>
      </c>
      <c r="BR197">
        <f>IF($W197="","",IFERROR(IF(ISNUMBER($W197),$W197,DATEVALUE(TRIM($W197))),""))</f>
        <v/>
      </c>
      <c r="BS197">
        <f>IF($BR197="","",IF(MONTH($BR197)&gt;=12,"Cold Winter",IF(MONTH($BR197)&gt;=10,"Post-Monsoon",IF(MONTH($BR197)&gt;=6,"Hot Humid",IF(MONTH($BR197)&gt;=3,"Hot Dry","Cold Winter")))))</f>
        <v/>
      </c>
      <c r="BT197">
        <f>IF($BM197="","",IFERROR(VLOOKUP($BM197,DECODE!$A$3:$C$8,2,FALSE),"?"))</f>
        <v/>
      </c>
      <c r="BU197">
        <f>IF($R197="","",UPPER(TRIM(LEFT($R197&amp;",",FIND(",",$R197&amp;",")-1))))</f>
        <v/>
      </c>
      <c r="BV197">
        <f>IF($BU197="","",MID($BU197,4,FIND("~",SUBSTITUTE($BU197,"-","~",2))-4))</f>
        <v/>
      </c>
      <c r="BW197">
        <f>IF($BU197="","",MID($BU197,FIND("~",SUBSTITUTE($BU197,"-","~",2))+1,FIND("~",SUBSTITUTE($BU197,"-","~",3))-FIND("~",SUBSTITUTE($BU197,"-","~",2))-1))</f>
        <v/>
      </c>
      <c r="BX197">
        <f>IF($BV197="","",IFERROR(VLOOKUP($BV197,DECODE!$A$3:$C$8,3,FALSE),"?"))</f>
        <v/>
      </c>
      <c r="BY197">
        <f>IF($BW197="","",IFERROR(VLOOKUP($BV197&amp;"-"&amp;$BW197,DECODE!$E$3:$F$21,2,FALSE),"?"))</f>
        <v/>
      </c>
      <c r="BZ197">
        <f>IF($BU197="","",IFERROR(VALUE(RIGHT($BU197,3)),""))</f>
        <v/>
      </c>
      <c r="CA197">
        <f>IF($X197="","",IFERROR(IF(ISNUMBER($X197),$X197,DATEVALUE(TRIM($X197))),""))</f>
        <v/>
      </c>
      <c r="CB197">
        <f>IF($CA197="","",IF(MONTH($CA197)&gt;=12,"Cold Winter",IF(MONTH($CA197)&gt;=10,"Post-Monsoon",IF(MONTH($CA197)&gt;=6,"Hot Humid",IF(MONTH($CA197)&gt;=3,"Hot Dry","Cold Winter")))))</f>
        <v/>
      </c>
      <c r="CC197">
        <f>IF($BV197="","",IFERROR(VLOOKUP($BV197,DECODE!$A$3:$C$8,2,FALSE),"?"))</f>
        <v/>
      </c>
      <c r="CD197">
        <f>IF($S197="","",UPPER(TRIM(LEFT($S197&amp;",",FIND(",",$S197&amp;",")-1))))</f>
        <v/>
      </c>
      <c r="CE197">
        <f>IF($CD197="","",MID($CD197,4,FIND("~",SUBSTITUTE($CD197,"-","~",2))-4))</f>
        <v/>
      </c>
      <c r="CF197">
        <f>IF($CD197="","",MID($CD197,FIND("~",SUBSTITUTE($CD197,"-","~",2))+1,FIND("~",SUBSTITUTE($CD197,"-","~",3))-FIND("~",SUBSTITUTE($CD197,"-","~",2))-1))</f>
        <v/>
      </c>
      <c r="CG197">
        <f>IF($CE197="","",IFERROR(VLOOKUP($CE197,DECODE!$A$3:$C$8,3,FALSE),"?"))</f>
        <v/>
      </c>
      <c r="CH197">
        <f>IF($CF197="","",IFERROR(VLOOKUP($CE197&amp;"-"&amp;$CF197,DECODE!$E$3:$F$21,2,FALSE),"?"))</f>
        <v/>
      </c>
      <c r="CI197">
        <f>IF($CD197="","",IFERROR(VALUE(RIGHT($CD197,3)),""))</f>
        <v/>
      </c>
      <c r="CJ197">
        <f>IF($Y197="","",IFERROR(IF(ISNUMBER($Y197),$Y197,DATEVALUE(TRIM($Y197))),""))</f>
        <v/>
      </c>
      <c r="CK197">
        <f>IF($CJ197="","",IF(MONTH($CJ197)&gt;=12,"Cold Winter",IF(MONTH($CJ197)&gt;=10,"Post-Monsoon",IF(MONTH($CJ197)&gt;=6,"Hot Humid",IF(MONTH($CJ197)&gt;=3,"Hot Dry","Cold Winter")))))</f>
        <v/>
      </c>
      <c r="CL197">
        <f>IF($CE197="","",IFERROR(VLOOKUP($CE197,DECODE!$A$3:$C$8,2,FALSE),"?"))</f>
        <v/>
      </c>
      <c r="CM197">
        <f>IF($AN197="","",AN197)</f>
        <v/>
      </c>
      <c r="CN197">
        <f>IF($AO197="","",AO197)</f>
        <v/>
      </c>
      <c r="CO197">
        <f>IF($AP197="","",AP197)</f>
        <v/>
      </c>
      <c r="CP197">
        <f>IF($CM197="","",IF($CM197="Aloe Vera Gel","Aloe Vera Gel "&amp;$CO197&amp;"g",CN197&amp;" "&amp;$CO197&amp;"g"))</f>
        <v/>
      </c>
      <c r="CQ197">
        <f>IF($AT197="",0,1)</f>
        <v/>
      </c>
      <c r="CR197">
        <f>IF($CQ197=0,"",AW197)</f>
        <v/>
      </c>
      <c r="CS197">
        <f>IF($CQ197=0,"",AX197)</f>
        <v/>
      </c>
      <c r="CT197">
        <f>IF($CQ197=0,"",AY197)</f>
        <v/>
      </c>
      <c r="CU197">
        <f>IF($CR197="","",IF($CR197="Aloe Vera Gel","Aloe Vera Gel "&amp;$CT197&amp;"g",CS197&amp;" "&amp;$CT197&amp;"g"))</f>
        <v/>
      </c>
      <c r="CV197">
        <f>IF($CQ197=0,"",IF($CP197=$CU197,"Repeat Exact",IF($CT197&gt;$CO197,"Upsized",IF($CT197&lt;$CO197,"Downsized",IF($CM197&lt;&gt;$CR197,"Lateral","Same Size Diff Variant")))))</f>
        <v/>
      </c>
      <c r="CW197">
        <f>IF($CQ197=0,"",AZ197-AQ197)</f>
        <v/>
      </c>
      <c r="CX197">
        <f>IF($CQ197=0,0,IF(CS197=CN197,1,0))</f>
        <v/>
      </c>
      <c r="CY197">
        <f>IF($CQ197=0,0,IF(CR197=CM197,1,0))</f>
        <v/>
      </c>
      <c r="CZ197">
        <f>IF($A197="","",IF(AND(IF(DASHBOARD!$C$4="All",TRUE,$CM197=DASHBOARD!$C$4),IF(DASHBOARD!$C$6="All",TRUE,$CP197=DASHBOARD!$C$6),IF(DASHBOARD!$C$8="All",TRUE,$AF197&gt;=DASHBOARD!$C$8),IF(DASHBOARD!$C$10="All",TRUE,$AF197&lt;=DASHBOARD!$C$10),IF(DASHBOARD!$C$12="All",TRUE,$AH197=VALUE(DASHBOARD!$C$12)),IF(DASHBOARD!$C$14="All",TRUE,$AJ197=DASHBOARD!$C$14)),1,0))</f>
        <v/>
      </c>
    </row>
    <row r="198">
      <c r="A198" t="n">
        <v>131157</v>
      </c>
      <c r="B198" t="inlineStr">
        <is>
          <t>Aloe Vera Gel</t>
        </is>
      </c>
      <c r="H198" t="inlineStr">
        <is>
          <t>Aloe Vera Gel - 40 gms</t>
        </is>
      </c>
      <c r="N198" t="inlineStr">
        <is>
          <t>FC-HG-PA-040</t>
        </is>
      </c>
      <c r="T198" t="inlineStr">
        <is>
          <t>Sep 18, 2024</t>
        </is>
      </c>
      <c r="AE198" t="inlineStr">
        <is>
          <t>Barasat</t>
        </is>
      </c>
      <c r="AF198" t="inlineStr">
        <is>
          <t>2024-09</t>
        </is>
      </c>
      <c r="AG198" t="n">
        <v>9</v>
      </c>
      <c r="AH198" t="n">
        <v>1</v>
      </c>
      <c r="AI198" t="n">
        <v>0</v>
      </c>
      <c r="AJ198">
        <f>IF($AE198="","",IFERROR(VLOOKUP(TRIM($AE198),DECODE!$H$3:$I$60,2,FALSE),"Rest of India"))</f>
        <v/>
      </c>
      <c r="AK198">
        <f>IF($N198="","",UPPER(TRIM(LEFT($N198&amp;",",FIND(",",$N198&amp;",")-1))))</f>
        <v/>
      </c>
      <c r="AL198">
        <f>IF($AK198="","",MID($AK198,4,FIND("~",SUBSTITUTE($AK198,"-","~",2))-4))</f>
        <v/>
      </c>
      <c r="AM198">
        <f>IF($AK198="","",MID($AK198,FIND("~",SUBSTITUTE($AK198,"-","~",2))+1,FIND("~",SUBSTITUTE($AK198,"-","~",3))-FIND("~",SUBSTITUTE($AK198,"-","~",2))-1))</f>
        <v/>
      </c>
      <c r="AN198">
        <f>IF($AL198="","",IFERROR(VLOOKUP($AL198,DECODE!$A$3:$C$8,3,FALSE),"?"))</f>
        <v/>
      </c>
      <c r="AO198">
        <f>IF($AM198="","",IFERROR(VLOOKUP($AL198&amp;"-"&amp;$AM198,DECODE!$E$3:$F$21,2,FALSE),"?"))</f>
        <v/>
      </c>
      <c r="AP198">
        <f>IF($AK198="","",IFERROR(VALUE(RIGHT($AK198,3)),""))</f>
        <v/>
      </c>
      <c r="AQ198">
        <f>IF($T198="","",IFERROR(IF(ISNUMBER($T198),$T198,DATEVALUE(TRIM($T198))),""))</f>
        <v/>
      </c>
      <c r="AR198">
        <f>IF($AQ198="","",IF(MONTH($AQ198)&gt;=12,"Cold Winter",IF(MONTH($AQ198)&gt;=10,"Post-Monsoon",IF(MONTH($AQ198)&gt;=6,"Hot Humid",IF(MONTH($AQ198)&gt;=3,"Hot Dry","Cold Winter")))))</f>
        <v/>
      </c>
      <c r="AS198">
        <f>IF($AL198="","",IFERROR(VLOOKUP($AL198,DECODE!$A$3:$C$8,2,FALSE),"?"))</f>
        <v/>
      </c>
      <c r="AT198">
        <f>IF($O198="","",UPPER(TRIM(LEFT($O198&amp;",",FIND(",",$O198&amp;",")-1))))</f>
        <v/>
      </c>
      <c r="AU198">
        <f>IF($AT198="","",MID($AT198,4,FIND("~",SUBSTITUTE($AT198,"-","~",2))-4))</f>
        <v/>
      </c>
      <c r="AV198">
        <f>IF($AT198="","",MID($AT198,FIND("~",SUBSTITUTE($AT198,"-","~",2))+1,FIND("~",SUBSTITUTE($AT198,"-","~",3))-FIND("~",SUBSTITUTE($AT198,"-","~",2))-1))</f>
        <v/>
      </c>
      <c r="AW198">
        <f>IF($AU198="","",IFERROR(VLOOKUP($AU198,DECODE!$A$3:$C$8,3,FALSE),"?"))</f>
        <v/>
      </c>
      <c r="AX198">
        <f>IF($AV198="","",IFERROR(VLOOKUP($AU198&amp;"-"&amp;$AV198,DECODE!$E$3:$F$21,2,FALSE),"?"))</f>
        <v/>
      </c>
      <c r="AY198">
        <f>IF($AT198="","",IFERROR(VALUE(RIGHT($AT198,3)),""))</f>
        <v/>
      </c>
      <c r="AZ198">
        <f>IF($U198="","",IFERROR(IF(ISNUMBER($U198),$U198,DATEVALUE(TRIM($U198))),""))</f>
        <v/>
      </c>
      <c r="BA198">
        <f>IF($AZ198="","",IF(MONTH($AZ198)&gt;=12,"Cold Winter",IF(MONTH($AZ198)&gt;=10,"Post-Monsoon",IF(MONTH($AZ198)&gt;=6,"Hot Humid",IF(MONTH($AZ198)&gt;=3,"Hot Dry","Cold Winter")))))</f>
        <v/>
      </c>
      <c r="BB198">
        <f>IF($AU198="","",IFERROR(VLOOKUP($AU198,DECODE!$A$3:$C$8,2,FALSE),"?"))</f>
        <v/>
      </c>
      <c r="BC198">
        <f>IF($P198="","",UPPER(TRIM(LEFT($P198&amp;",",FIND(",",$P198&amp;",")-1))))</f>
        <v/>
      </c>
      <c r="BD198">
        <f>IF($BC198="","",MID($BC198,4,FIND("~",SUBSTITUTE($BC198,"-","~",2))-4))</f>
        <v/>
      </c>
      <c r="BE198">
        <f>IF($BC198="","",MID($BC198,FIND("~",SUBSTITUTE($BC198,"-","~",2))+1,FIND("~",SUBSTITUTE($BC198,"-","~",3))-FIND("~",SUBSTITUTE($BC198,"-","~",2))-1))</f>
        <v/>
      </c>
      <c r="BF198">
        <f>IF($BD198="","",IFERROR(VLOOKUP($BD198,DECODE!$A$3:$C$8,3,FALSE),"?"))</f>
        <v/>
      </c>
      <c r="BG198">
        <f>IF($BE198="","",IFERROR(VLOOKUP($BD198&amp;"-"&amp;$BE198,DECODE!$E$3:$F$21,2,FALSE),"?"))</f>
        <v/>
      </c>
      <c r="BH198">
        <f>IF($BC198="","",IFERROR(VALUE(RIGHT($BC198,3)),""))</f>
        <v/>
      </c>
      <c r="BI198">
        <f>IF($V198="","",IFERROR(IF(ISNUMBER($V198),$V198,DATEVALUE(TRIM($V198))),""))</f>
        <v/>
      </c>
      <c r="BJ198">
        <f>IF($BI198="","",IF(MONTH($BI198)&gt;=12,"Cold Winter",IF(MONTH($BI198)&gt;=10,"Post-Monsoon",IF(MONTH($BI198)&gt;=6,"Hot Humid",IF(MONTH($BI198)&gt;=3,"Hot Dry","Cold Winter")))))</f>
        <v/>
      </c>
      <c r="BK198">
        <f>IF($BD198="","",IFERROR(VLOOKUP($BD198,DECODE!$A$3:$C$8,2,FALSE),"?"))</f>
        <v/>
      </c>
      <c r="BL198">
        <f>IF($Q198="","",UPPER(TRIM(LEFT($Q198&amp;",",FIND(",",$Q198&amp;",")-1))))</f>
        <v/>
      </c>
      <c r="BM198">
        <f>IF($BL198="","",MID($BL198,4,FIND("~",SUBSTITUTE($BL198,"-","~",2))-4))</f>
        <v/>
      </c>
      <c r="BN198">
        <f>IF($BL198="","",MID($BL198,FIND("~",SUBSTITUTE($BL198,"-","~",2))+1,FIND("~",SUBSTITUTE($BL198,"-","~",3))-FIND("~",SUBSTITUTE($BL198,"-","~",2))-1))</f>
        <v/>
      </c>
      <c r="BO198">
        <f>IF($BM198="","",IFERROR(VLOOKUP($BM198,DECODE!$A$3:$C$8,3,FALSE),"?"))</f>
        <v/>
      </c>
      <c r="BP198">
        <f>IF($BN198="","",IFERROR(VLOOKUP($BM198&amp;"-"&amp;$BN198,DECODE!$E$3:$F$21,2,FALSE),"?"))</f>
        <v/>
      </c>
      <c r="BQ198">
        <f>IF($BL198="","",IFERROR(VALUE(RIGHT($BL198,3)),""))</f>
        <v/>
      </c>
      <c r="BR198">
        <f>IF($W198="","",IFERROR(IF(ISNUMBER($W198),$W198,DATEVALUE(TRIM($W198))),""))</f>
        <v/>
      </c>
      <c r="BS198">
        <f>IF($BR198="","",IF(MONTH($BR198)&gt;=12,"Cold Winter",IF(MONTH($BR198)&gt;=10,"Post-Monsoon",IF(MONTH($BR198)&gt;=6,"Hot Humid",IF(MONTH($BR198)&gt;=3,"Hot Dry","Cold Winter")))))</f>
        <v/>
      </c>
      <c r="BT198">
        <f>IF($BM198="","",IFERROR(VLOOKUP($BM198,DECODE!$A$3:$C$8,2,FALSE),"?"))</f>
        <v/>
      </c>
      <c r="BU198">
        <f>IF($R198="","",UPPER(TRIM(LEFT($R198&amp;",",FIND(",",$R198&amp;",")-1))))</f>
        <v/>
      </c>
      <c r="BV198">
        <f>IF($BU198="","",MID($BU198,4,FIND("~",SUBSTITUTE($BU198,"-","~",2))-4))</f>
        <v/>
      </c>
      <c r="BW198">
        <f>IF($BU198="","",MID($BU198,FIND("~",SUBSTITUTE($BU198,"-","~",2))+1,FIND("~",SUBSTITUTE($BU198,"-","~",3))-FIND("~",SUBSTITUTE($BU198,"-","~",2))-1))</f>
        <v/>
      </c>
      <c r="BX198">
        <f>IF($BV198="","",IFERROR(VLOOKUP($BV198,DECODE!$A$3:$C$8,3,FALSE),"?"))</f>
        <v/>
      </c>
      <c r="BY198">
        <f>IF($BW198="","",IFERROR(VLOOKUP($BV198&amp;"-"&amp;$BW198,DECODE!$E$3:$F$21,2,FALSE),"?"))</f>
        <v/>
      </c>
      <c r="BZ198">
        <f>IF($BU198="","",IFERROR(VALUE(RIGHT($BU198,3)),""))</f>
        <v/>
      </c>
      <c r="CA198">
        <f>IF($X198="","",IFERROR(IF(ISNUMBER($X198),$X198,DATEVALUE(TRIM($X198))),""))</f>
        <v/>
      </c>
      <c r="CB198">
        <f>IF($CA198="","",IF(MONTH($CA198)&gt;=12,"Cold Winter",IF(MONTH($CA198)&gt;=10,"Post-Monsoon",IF(MONTH($CA198)&gt;=6,"Hot Humid",IF(MONTH($CA198)&gt;=3,"Hot Dry","Cold Winter")))))</f>
        <v/>
      </c>
      <c r="CC198">
        <f>IF($BV198="","",IFERROR(VLOOKUP($BV198,DECODE!$A$3:$C$8,2,FALSE),"?"))</f>
        <v/>
      </c>
      <c r="CD198">
        <f>IF($S198="","",UPPER(TRIM(LEFT($S198&amp;",",FIND(",",$S198&amp;",")-1))))</f>
        <v/>
      </c>
      <c r="CE198">
        <f>IF($CD198="","",MID($CD198,4,FIND("~",SUBSTITUTE($CD198,"-","~",2))-4))</f>
        <v/>
      </c>
      <c r="CF198">
        <f>IF($CD198="","",MID($CD198,FIND("~",SUBSTITUTE($CD198,"-","~",2))+1,FIND("~",SUBSTITUTE($CD198,"-","~",3))-FIND("~",SUBSTITUTE($CD198,"-","~",2))-1))</f>
        <v/>
      </c>
      <c r="CG198">
        <f>IF($CE198="","",IFERROR(VLOOKUP($CE198,DECODE!$A$3:$C$8,3,FALSE),"?"))</f>
        <v/>
      </c>
      <c r="CH198">
        <f>IF($CF198="","",IFERROR(VLOOKUP($CE198&amp;"-"&amp;$CF198,DECODE!$E$3:$F$21,2,FALSE),"?"))</f>
        <v/>
      </c>
      <c r="CI198">
        <f>IF($CD198="","",IFERROR(VALUE(RIGHT($CD198,3)),""))</f>
        <v/>
      </c>
      <c r="CJ198">
        <f>IF($Y198="","",IFERROR(IF(ISNUMBER($Y198),$Y198,DATEVALUE(TRIM($Y198))),""))</f>
        <v/>
      </c>
      <c r="CK198">
        <f>IF($CJ198="","",IF(MONTH($CJ198)&gt;=12,"Cold Winter",IF(MONTH($CJ198)&gt;=10,"Post-Monsoon",IF(MONTH($CJ198)&gt;=6,"Hot Humid",IF(MONTH($CJ198)&gt;=3,"Hot Dry","Cold Winter")))))</f>
        <v/>
      </c>
      <c r="CL198">
        <f>IF($CE198="","",IFERROR(VLOOKUP($CE198,DECODE!$A$3:$C$8,2,FALSE),"?"))</f>
        <v/>
      </c>
      <c r="CM198">
        <f>IF($AN198="","",AN198)</f>
        <v/>
      </c>
      <c r="CN198">
        <f>IF($AO198="","",AO198)</f>
        <v/>
      </c>
      <c r="CO198">
        <f>IF($AP198="","",AP198)</f>
        <v/>
      </c>
      <c r="CP198">
        <f>IF($CM198="","",IF($CM198="Aloe Vera Gel","Aloe Vera Gel "&amp;$CO198&amp;"g",CN198&amp;" "&amp;$CO198&amp;"g"))</f>
        <v/>
      </c>
      <c r="CQ198">
        <f>IF($AT198="",0,1)</f>
        <v/>
      </c>
      <c r="CR198">
        <f>IF($CQ198=0,"",AW198)</f>
        <v/>
      </c>
      <c r="CS198">
        <f>IF($CQ198=0,"",AX198)</f>
        <v/>
      </c>
      <c r="CT198">
        <f>IF($CQ198=0,"",AY198)</f>
        <v/>
      </c>
      <c r="CU198">
        <f>IF($CR198="","",IF($CR198="Aloe Vera Gel","Aloe Vera Gel "&amp;$CT198&amp;"g",CS198&amp;" "&amp;$CT198&amp;"g"))</f>
        <v/>
      </c>
      <c r="CV198">
        <f>IF($CQ198=0,"",IF($CP198=$CU198,"Repeat Exact",IF($CT198&gt;$CO198,"Upsized",IF($CT198&lt;$CO198,"Downsized",IF($CM198&lt;&gt;$CR198,"Lateral","Same Size Diff Variant")))))</f>
        <v/>
      </c>
      <c r="CW198">
        <f>IF($CQ198=0,"",AZ198-AQ198)</f>
        <v/>
      </c>
      <c r="CX198">
        <f>IF($CQ198=0,0,IF(CS198=CN198,1,0))</f>
        <v/>
      </c>
      <c r="CY198">
        <f>IF($CQ198=0,0,IF(CR198=CM198,1,0))</f>
        <v/>
      </c>
      <c r="CZ198">
        <f>IF($A198="","",IF(AND(IF(DASHBOARD!$C$4="All",TRUE,$CM198=DASHBOARD!$C$4),IF(DASHBOARD!$C$6="All",TRUE,$CP198=DASHBOARD!$C$6),IF(DASHBOARD!$C$8="All",TRUE,$AF198&gt;=DASHBOARD!$C$8),IF(DASHBOARD!$C$10="All",TRUE,$AF198&lt;=DASHBOARD!$C$10),IF(DASHBOARD!$C$12="All",TRUE,$AH198=VALUE(DASHBOARD!$C$12)),IF(DASHBOARD!$C$14="All",TRUE,$AJ198=DASHBOARD!$C$14)),1,0))</f>
        <v/>
      </c>
    </row>
    <row r="199">
      <c r="A199" t="n">
        <v>131375</v>
      </c>
      <c r="B199" t="inlineStr">
        <is>
          <t>Face Malai</t>
        </is>
      </c>
      <c r="H199" t="inlineStr">
        <is>
          <t>Tomato Vetiver (Hot Humid) 20 - 35 Yrs Face Malai</t>
        </is>
      </c>
      <c r="N199" t="inlineStr">
        <is>
          <t>FC-HHDM-TV-030</t>
        </is>
      </c>
      <c r="T199" t="inlineStr">
        <is>
          <t>Oct 23, 2024</t>
        </is>
      </c>
      <c r="AE199" t="inlineStr">
        <is>
          <t>Chennai</t>
        </is>
      </c>
      <c r="AF199" t="inlineStr">
        <is>
          <t>2024-10</t>
        </is>
      </c>
      <c r="AG199" t="n">
        <v>10</v>
      </c>
      <c r="AH199" t="n">
        <v>1</v>
      </c>
      <c r="AI199" t="n">
        <v>0</v>
      </c>
      <c r="AJ199">
        <f>IF($AE199="","",IFERROR(VLOOKUP(TRIM($AE199),DECODE!$H$3:$I$60,2,FALSE),"Rest of India"))</f>
        <v/>
      </c>
      <c r="AK199">
        <f>IF($N199="","",UPPER(TRIM(LEFT($N199&amp;",",FIND(",",$N199&amp;",")-1))))</f>
        <v/>
      </c>
      <c r="AL199">
        <f>IF($AK199="","",MID($AK199,4,FIND("~",SUBSTITUTE($AK199,"-","~",2))-4))</f>
        <v/>
      </c>
      <c r="AM199">
        <f>IF($AK199="","",MID($AK199,FIND("~",SUBSTITUTE($AK199,"-","~",2))+1,FIND("~",SUBSTITUTE($AK199,"-","~",3))-FIND("~",SUBSTITUTE($AK199,"-","~",2))-1))</f>
        <v/>
      </c>
      <c r="AN199">
        <f>IF($AL199="","",IFERROR(VLOOKUP($AL199,DECODE!$A$3:$C$8,3,FALSE),"?"))</f>
        <v/>
      </c>
      <c r="AO199">
        <f>IF($AM199="","",IFERROR(VLOOKUP($AL199&amp;"-"&amp;$AM199,DECODE!$E$3:$F$21,2,FALSE),"?"))</f>
        <v/>
      </c>
      <c r="AP199">
        <f>IF($AK199="","",IFERROR(VALUE(RIGHT($AK199,3)),""))</f>
        <v/>
      </c>
      <c r="AQ199">
        <f>IF($T199="","",IFERROR(IF(ISNUMBER($T199),$T199,DATEVALUE(TRIM($T199))),""))</f>
        <v/>
      </c>
      <c r="AR199">
        <f>IF($AQ199="","",IF(MONTH($AQ199)&gt;=12,"Cold Winter",IF(MONTH($AQ199)&gt;=10,"Post-Monsoon",IF(MONTH($AQ199)&gt;=6,"Hot Humid",IF(MONTH($AQ199)&gt;=3,"Hot Dry","Cold Winter")))))</f>
        <v/>
      </c>
      <c r="AS199">
        <f>IF($AL199="","",IFERROR(VLOOKUP($AL199,DECODE!$A$3:$C$8,2,FALSE),"?"))</f>
        <v/>
      </c>
      <c r="AT199">
        <f>IF($O199="","",UPPER(TRIM(LEFT($O199&amp;",",FIND(",",$O199&amp;",")-1))))</f>
        <v/>
      </c>
      <c r="AU199">
        <f>IF($AT199="","",MID($AT199,4,FIND("~",SUBSTITUTE($AT199,"-","~",2))-4))</f>
        <v/>
      </c>
      <c r="AV199">
        <f>IF($AT199="","",MID($AT199,FIND("~",SUBSTITUTE($AT199,"-","~",2))+1,FIND("~",SUBSTITUTE($AT199,"-","~",3))-FIND("~",SUBSTITUTE($AT199,"-","~",2))-1))</f>
        <v/>
      </c>
      <c r="AW199">
        <f>IF($AU199="","",IFERROR(VLOOKUP($AU199,DECODE!$A$3:$C$8,3,FALSE),"?"))</f>
        <v/>
      </c>
      <c r="AX199">
        <f>IF($AV199="","",IFERROR(VLOOKUP($AU199&amp;"-"&amp;$AV199,DECODE!$E$3:$F$21,2,FALSE),"?"))</f>
        <v/>
      </c>
      <c r="AY199">
        <f>IF($AT199="","",IFERROR(VALUE(RIGHT($AT199,3)),""))</f>
        <v/>
      </c>
      <c r="AZ199">
        <f>IF($U199="","",IFERROR(IF(ISNUMBER($U199),$U199,DATEVALUE(TRIM($U199))),""))</f>
        <v/>
      </c>
      <c r="BA199">
        <f>IF($AZ199="","",IF(MONTH($AZ199)&gt;=12,"Cold Winter",IF(MONTH($AZ199)&gt;=10,"Post-Monsoon",IF(MONTH($AZ199)&gt;=6,"Hot Humid",IF(MONTH($AZ199)&gt;=3,"Hot Dry","Cold Winter")))))</f>
        <v/>
      </c>
      <c r="BB199">
        <f>IF($AU199="","",IFERROR(VLOOKUP($AU199,DECODE!$A$3:$C$8,2,FALSE),"?"))</f>
        <v/>
      </c>
      <c r="BC199">
        <f>IF($P199="","",UPPER(TRIM(LEFT($P199&amp;",",FIND(",",$P199&amp;",")-1))))</f>
        <v/>
      </c>
      <c r="BD199">
        <f>IF($BC199="","",MID($BC199,4,FIND("~",SUBSTITUTE($BC199,"-","~",2))-4))</f>
        <v/>
      </c>
      <c r="BE199">
        <f>IF($BC199="","",MID($BC199,FIND("~",SUBSTITUTE($BC199,"-","~",2))+1,FIND("~",SUBSTITUTE($BC199,"-","~",3))-FIND("~",SUBSTITUTE($BC199,"-","~",2))-1))</f>
        <v/>
      </c>
      <c r="BF199">
        <f>IF($BD199="","",IFERROR(VLOOKUP($BD199,DECODE!$A$3:$C$8,3,FALSE),"?"))</f>
        <v/>
      </c>
      <c r="BG199">
        <f>IF($BE199="","",IFERROR(VLOOKUP($BD199&amp;"-"&amp;$BE199,DECODE!$E$3:$F$21,2,FALSE),"?"))</f>
        <v/>
      </c>
      <c r="BH199">
        <f>IF($BC199="","",IFERROR(VALUE(RIGHT($BC199,3)),""))</f>
        <v/>
      </c>
      <c r="BI199">
        <f>IF($V199="","",IFERROR(IF(ISNUMBER($V199),$V199,DATEVALUE(TRIM($V199))),""))</f>
        <v/>
      </c>
      <c r="BJ199">
        <f>IF($BI199="","",IF(MONTH($BI199)&gt;=12,"Cold Winter",IF(MONTH($BI199)&gt;=10,"Post-Monsoon",IF(MONTH($BI199)&gt;=6,"Hot Humid",IF(MONTH($BI199)&gt;=3,"Hot Dry","Cold Winter")))))</f>
        <v/>
      </c>
      <c r="BK199">
        <f>IF($BD199="","",IFERROR(VLOOKUP($BD199,DECODE!$A$3:$C$8,2,FALSE),"?"))</f>
        <v/>
      </c>
      <c r="BL199">
        <f>IF($Q199="","",UPPER(TRIM(LEFT($Q199&amp;",",FIND(",",$Q199&amp;",")-1))))</f>
        <v/>
      </c>
      <c r="BM199">
        <f>IF($BL199="","",MID($BL199,4,FIND("~",SUBSTITUTE($BL199,"-","~",2))-4))</f>
        <v/>
      </c>
      <c r="BN199">
        <f>IF($BL199="","",MID($BL199,FIND("~",SUBSTITUTE($BL199,"-","~",2))+1,FIND("~",SUBSTITUTE($BL199,"-","~",3))-FIND("~",SUBSTITUTE($BL199,"-","~",2))-1))</f>
        <v/>
      </c>
      <c r="BO199">
        <f>IF($BM199="","",IFERROR(VLOOKUP($BM199,DECODE!$A$3:$C$8,3,FALSE),"?"))</f>
        <v/>
      </c>
      <c r="BP199">
        <f>IF($BN199="","",IFERROR(VLOOKUP($BM199&amp;"-"&amp;$BN199,DECODE!$E$3:$F$21,2,FALSE),"?"))</f>
        <v/>
      </c>
      <c r="BQ199">
        <f>IF($BL199="","",IFERROR(VALUE(RIGHT($BL199,3)),""))</f>
        <v/>
      </c>
      <c r="BR199">
        <f>IF($W199="","",IFERROR(IF(ISNUMBER($W199),$W199,DATEVALUE(TRIM($W199))),""))</f>
        <v/>
      </c>
      <c r="BS199">
        <f>IF($BR199="","",IF(MONTH($BR199)&gt;=12,"Cold Winter",IF(MONTH($BR199)&gt;=10,"Post-Monsoon",IF(MONTH($BR199)&gt;=6,"Hot Humid",IF(MONTH($BR199)&gt;=3,"Hot Dry","Cold Winter")))))</f>
        <v/>
      </c>
      <c r="BT199">
        <f>IF($BM199="","",IFERROR(VLOOKUP($BM199,DECODE!$A$3:$C$8,2,FALSE),"?"))</f>
        <v/>
      </c>
      <c r="BU199">
        <f>IF($R199="","",UPPER(TRIM(LEFT($R199&amp;",",FIND(",",$R199&amp;",")-1))))</f>
        <v/>
      </c>
      <c r="BV199">
        <f>IF($BU199="","",MID($BU199,4,FIND("~",SUBSTITUTE($BU199,"-","~",2))-4))</f>
        <v/>
      </c>
      <c r="BW199">
        <f>IF($BU199="","",MID($BU199,FIND("~",SUBSTITUTE($BU199,"-","~",2))+1,FIND("~",SUBSTITUTE($BU199,"-","~",3))-FIND("~",SUBSTITUTE($BU199,"-","~",2))-1))</f>
        <v/>
      </c>
      <c r="BX199">
        <f>IF($BV199="","",IFERROR(VLOOKUP($BV199,DECODE!$A$3:$C$8,3,FALSE),"?"))</f>
        <v/>
      </c>
      <c r="BY199">
        <f>IF($BW199="","",IFERROR(VLOOKUP($BV199&amp;"-"&amp;$BW199,DECODE!$E$3:$F$21,2,FALSE),"?"))</f>
        <v/>
      </c>
      <c r="BZ199">
        <f>IF($BU199="","",IFERROR(VALUE(RIGHT($BU199,3)),""))</f>
        <v/>
      </c>
      <c r="CA199">
        <f>IF($X199="","",IFERROR(IF(ISNUMBER($X199),$X199,DATEVALUE(TRIM($X199))),""))</f>
        <v/>
      </c>
      <c r="CB199">
        <f>IF($CA199="","",IF(MONTH($CA199)&gt;=12,"Cold Winter",IF(MONTH($CA199)&gt;=10,"Post-Monsoon",IF(MONTH($CA199)&gt;=6,"Hot Humid",IF(MONTH($CA199)&gt;=3,"Hot Dry","Cold Winter")))))</f>
        <v/>
      </c>
      <c r="CC199">
        <f>IF($BV199="","",IFERROR(VLOOKUP($BV199,DECODE!$A$3:$C$8,2,FALSE),"?"))</f>
        <v/>
      </c>
      <c r="CD199">
        <f>IF($S199="","",UPPER(TRIM(LEFT($S199&amp;",",FIND(",",$S199&amp;",")-1))))</f>
        <v/>
      </c>
      <c r="CE199">
        <f>IF($CD199="","",MID($CD199,4,FIND("~",SUBSTITUTE($CD199,"-","~",2))-4))</f>
        <v/>
      </c>
      <c r="CF199">
        <f>IF($CD199="","",MID($CD199,FIND("~",SUBSTITUTE($CD199,"-","~",2))+1,FIND("~",SUBSTITUTE($CD199,"-","~",3))-FIND("~",SUBSTITUTE($CD199,"-","~",2))-1))</f>
        <v/>
      </c>
      <c r="CG199">
        <f>IF($CE199="","",IFERROR(VLOOKUP($CE199,DECODE!$A$3:$C$8,3,FALSE),"?"))</f>
        <v/>
      </c>
      <c r="CH199">
        <f>IF($CF199="","",IFERROR(VLOOKUP($CE199&amp;"-"&amp;$CF199,DECODE!$E$3:$F$21,2,FALSE),"?"))</f>
        <v/>
      </c>
      <c r="CI199">
        <f>IF($CD199="","",IFERROR(VALUE(RIGHT($CD199,3)),""))</f>
        <v/>
      </c>
      <c r="CJ199">
        <f>IF($Y199="","",IFERROR(IF(ISNUMBER($Y199),$Y199,DATEVALUE(TRIM($Y199))),""))</f>
        <v/>
      </c>
      <c r="CK199">
        <f>IF($CJ199="","",IF(MONTH($CJ199)&gt;=12,"Cold Winter",IF(MONTH($CJ199)&gt;=10,"Post-Monsoon",IF(MONTH($CJ199)&gt;=6,"Hot Humid",IF(MONTH($CJ199)&gt;=3,"Hot Dry","Cold Winter")))))</f>
        <v/>
      </c>
      <c r="CL199">
        <f>IF($CE199="","",IFERROR(VLOOKUP($CE199,DECODE!$A$3:$C$8,2,FALSE),"?"))</f>
        <v/>
      </c>
      <c r="CM199">
        <f>IF($AN199="","",AN199)</f>
        <v/>
      </c>
      <c r="CN199">
        <f>IF($AO199="","",AO199)</f>
        <v/>
      </c>
      <c r="CO199">
        <f>IF($AP199="","",AP199)</f>
        <v/>
      </c>
      <c r="CP199">
        <f>IF($CM199="","",IF($CM199="Aloe Vera Gel","Aloe Vera Gel "&amp;$CO199&amp;"g",CN199&amp;" "&amp;$CO199&amp;"g"))</f>
        <v/>
      </c>
      <c r="CQ199">
        <f>IF($AT199="",0,1)</f>
        <v/>
      </c>
      <c r="CR199">
        <f>IF($CQ199=0,"",AW199)</f>
        <v/>
      </c>
      <c r="CS199">
        <f>IF($CQ199=0,"",AX199)</f>
        <v/>
      </c>
      <c r="CT199">
        <f>IF($CQ199=0,"",AY199)</f>
        <v/>
      </c>
      <c r="CU199">
        <f>IF($CR199="","",IF($CR199="Aloe Vera Gel","Aloe Vera Gel "&amp;$CT199&amp;"g",CS199&amp;" "&amp;$CT199&amp;"g"))</f>
        <v/>
      </c>
      <c r="CV199">
        <f>IF($CQ199=0,"",IF($CP199=$CU199,"Repeat Exact",IF($CT199&gt;$CO199,"Upsized",IF($CT199&lt;$CO199,"Downsized",IF($CM199&lt;&gt;$CR199,"Lateral","Same Size Diff Variant")))))</f>
        <v/>
      </c>
      <c r="CW199">
        <f>IF($CQ199=0,"",AZ199-AQ199)</f>
        <v/>
      </c>
      <c r="CX199">
        <f>IF($CQ199=0,0,IF(CS199=CN199,1,0))</f>
        <v/>
      </c>
      <c r="CY199">
        <f>IF($CQ199=0,0,IF(CR199=CM199,1,0))</f>
        <v/>
      </c>
      <c r="CZ199">
        <f>IF($A199="","",IF(AND(IF(DASHBOARD!$C$4="All",TRUE,$CM199=DASHBOARD!$C$4),IF(DASHBOARD!$C$6="All",TRUE,$CP199=DASHBOARD!$C$6),IF(DASHBOARD!$C$8="All",TRUE,$AF199&gt;=DASHBOARD!$C$8),IF(DASHBOARD!$C$10="All",TRUE,$AF199&lt;=DASHBOARD!$C$10),IF(DASHBOARD!$C$12="All",TRUE,$AH199=VALUE(DASHBOARD!$C$12)),IF(DASHBOARD!$C$14="All",TRUE,$AJ199=DASHBOARD!$C$14)),1,0))</f>
        <v/>
      </c>
    </row>
    <row r="200">
      <c r="A200" t="n">
        <v>131465</v>
      </c>
      <c r="B200" t="inlineStr">
        <is>
          <t>Aloe Vera Gel, Face Malai</t>
        </is>
      </c>
      <c r="H200" t="inlineStr">
        <is>
          <t>Aloe Vera Gel - 40 gms, Flax Bakuchi (Hot Dry) 35+ Face Malai - 30g</t>
        </is>
      </c>
      <c r="N200" t="inlineStr">
        <is>
          <t>FC-HG-PA-040, FC-HDDM-FB-030</t>
        </is>
      </c>
      <c r="T200" t="inlineStr">
        <is>
          <t>Oct 27, 2024</t>
        </is>
      </c>
      <c r="AE200" t="inlineStr">
        <is>
          <t>Pune</t>
        </is>
      </c>
      <c r="AF200" t="inlineStr">
        <is>
          <t>2024-10</t>
        </is>
      </c>
      <c r="AG200" t="n">
        <v>10</v>
      </c>
      <c r="AH200" t="n">
        <v>1</v>
      </c>
      <c r="AI200" t="n">
        <v>0</v>
      </c>
      <c r="AJ200">
        <f>IF($AE200="","",IFERROR(VLOOKUP(TRIM($AE200),DECODE!$H$3:$I$60,2,FALSE),"Rest of India"))</f>
        <v/>
      </c>
      <c r="AK200">
        <f>IF($N200="","",UPPER(TRIM(LEFT($N200&amp;",",FIND(",",$N200&amp;",")-1))))</f>
        <v/>
      </c>
      <c r="AL200">
        <f>IF($AK200="","",MID($AK200,4,FIND("~",SUBSTITUTE($AK200,"-","~",2))-4))</f>
        <v/>
      </c>
      <c r="AM200">
        <f>IF($AK200="","",MID($AK200,FIND("~",SUBSTITUTE($AK200,"-","~",2))+1,FIND("~",SUBSTITUTE($AK200,"-","~",3))-FIND("~",SUBSTITUTE($AK200,"-","~",2))-1))</f>
        <v/>
      </c>
      <c r="AN200">
        <f>IF($AL200="","",IFERROR(VLOOKUP($AL200,DECODE!$A$3:$C$8,3,FALSE),"?"))</f>
        <v/>
      </c>
      <c r="AO200">
        <f>IF($AM200="","",IFERROR(VLOOKUP($AL200&amp;"-"&amp;$AM200,DECODE!$E$3:$F$21,2,FALSE),"?"))</f>
        <v/>
      </c>
      <c r="AP200">
        <f>IF($AK200="","",IFERROR(VALUE(RIGHT($AK200,3)),""))</f>
        <v/>
      </c>
      <c r="AQ200">
        <f>IF($T200="","",IFERROR(IF(ISNUMBER($T200),$T200,DATEVALUE(TRIM($T200))),""))</f>
        <v/>
      </c>
      <c r="AR200">
        <f>IF($AQ200="","",IF(MONTH($AQ200)&gt;=12,"Cold Winter",IF(MONTH($AQ200)&gt;=10,"Post-Monsoon",IF(MONTH($AQ200)&gt;=6,"Hot Humid",IF(MONTH($AQ200)&gt;=3,"Hot Dry","Cold Winter")))))</f>
        <v/>
      </c>
      <c r="AS200">
        <f>IF($AL200="","",IFERROR(VLOOKUP($AL200,DECODE!$A$3:$C$8,2,FALSE),"?"))</f>
        <v/>
      </c>
      <c r="AT200">
        <f>IF($O200="","",UPPER(TRIM(LEFT($O200&amp;",",FIND(",",$O200&amp;",")-1))))</f>
        <v/>
      </c>
      <c r="AU200">
        <f>IF($AT200="","",MID($AT200,4,FIND("~",SUBSTITUTE($AT200,"-","~",2))-4))</f>
        <v/>
      </c>
      <c r="AV200">
        <f>IF($AT200="","",MID($AT200,FIND("~",SUBSTITUTE($AT200,"-","~",2))+1,FIND("~",SUBSTITUTE($AT200,"-","~",3))-FIND("~",SUBSTITUTE($AT200,"-","~",2))-1))</f>
        <v/>
      </c>
      <c r="AW200">
        <f>IF($AU200="","",IFERROR(VLOOKUP($AU200,DECODE!$A$3:$C$8,3,FALSE),"?"))</f>
        <v/>
      </c>
      <c r="AX200">
        <f>IF($AV200="","",IFERROR(VLOOKUP($AU200&amp;"-"&amp;$AV200,DECODE!$E$3:$F$21,2,FALSE),"?"))</f>
        <v/>
      </c>
      <c r="AY200">
        <f>IF($AT200="","",IFERROR(VALUE(RIGHT($AT200,3)),""))</f>
        <v/>
      </c>
      <c r="AZ200">
        <f>IF($U200="","",IFERROR(IF(ISNUMBER($U200),$U200,DATEVALUE(TRIM($U200))),""))</f>
        <v/>
      </c>
      <c r="BA200">
        <f>IF($AZ200="","",IF(MONTH($AZ200)&gt;=12,"Cold Winter",IF(MONTH($AZ200)&gt;=10,"Post-Monsoon",IF(MONTH($AZ200)&gt;=6,"Hot Humid",IF(MONTH($AZ200)&gt;=3,"Hot Dry","Cold Winter")))))</f>
        <v/>
      </c>
      <c r="BB200">
        <f>IF($AU200="","",IFERROR(VLOOKUP($AU200,DECODE!$A$3:$C$8,2,FALSE),"?"))</f>
        <v/>
      </c>
      <c r="BC200">
        <f>IF($P200="","",UPPER(TRIM(LEFT($P200&amp;",",FIND(",",$P200&amp;",")-1))))</f>
        <v/>
      </c>
      <c r="BD200">
        <f>IF($BC200="","",MID($BC200,4,FIND("~",SUBSTITUTE($BC200,"-","~",2))-4))</f>
        <v/>
      </c>
      <c r="BE200">
        <f>IF($BC200="","",MID($BC200,FIND("~",SUBSTITUTE($BC200,"-","~",2))+1,FIND("~",SUBSTITUTE($BC200,"-","~",3))-FIND("~",SUBSTITUTE($BC200,"-","~",2))-1))</f>
        <v/>
      </c>
      <c r="BF200">
        <f>IF($BD200="","",IFERROR(VLOOKUP($BD200,DECODE!$A$3:$C$8,3,FALSE),"?"))</f>
        <v/>
      </c>
      <c r="BG200">
        <f>IF($BE200="","",IFERROR(VLOOKUP($BD200&amp;"-"&amp;$BE200,DECODE!$E$3:$F$21,2,FALSE),"?"))</f>
        <v/>
      </c>
      <c r="BH200">
        <f>IF($BC200="","",IFERROR(VALUE(RIGHT($BC200,3)),""))</f>
        <v/>
      </c>
      <c r="BI200">
        <f>IF($V200="","",IFERROR(IF(ISNUMBER($V200),$V200,DATEVALUE(TRIM($V200))),""))</f>
        <v/>
      </c>
      <c r="BJ200">
        <f>IF($BI200="","",IF(MONTH($BI200)&gt;=12,"Cold Winter",IF(MONTH($BI200)&gt;=10,"Post-Monsoon",IF(MONTH($BI200)&gt;=6,"Hot Humid",IF(MONTH($BI200)&gt;=3,"Hot Dry","Cold Winter")))))</f>
        <v/>
      </c>
      <c r="BK200">
        <f>IF($BD200="","",IFERROR(VLOOKUP($BD200,DECODE!$A$3:$C$8,2,FALSE),"?"))</f>
        <v/>
      </c>
      <c r="BL200">
        <f>IF($Q200="","",UPPER(TRIM(LEFT($Q200&amp;",",FIND(",",$Q200&amp;",")-1))))</f>
        <v/>
      </c>
      <c r="BM200">
        <f>IF($BL200="","",MID($BL200,4,FIND("~",SUBSTITUTE($BL200,"-","~",2))-4))</f>
        <v/>
      </c>
      <c r="BN200">
        <f>IF($BL200="","",MID($BL200,FIND("~",SUBSTITUTE($BL200,"-","~",2))+1,FIND("~",SUBSTITUTE($BL200,"-","~",3))-FIND("~",SUBSTITUTE($BL200,"-","~",2))-1))</f>
        <v/>
      </c>
      <c r="BO200">
        <f>IF($BM200="","",IFERROR(VLOOKUP($BM200,DECODE!$A$3:$C$8,3,FALSE),"?"))</f>
        <v/>
      </c>
      <c r="BP200">
        <f>IF($BN200="","",IFERROR(VLOOKUP($BM200&amp;"-"&amp;$BN200,DECODE!$E$3:$F$21,2,FALSE),"?"))</f>
        <v/>
      </c>
      <c r="BQ200">
        <f>IF($BL200="","",IFERROR(VALUE(RIGHT($BL200,3)),""))</f>
        <v/>
      </c>
      <c r="BR200">
        <f>IF($W200="","",IFERROR(IF(ISNUMBER($W200),$W200,DATEVALUE(TRIM($W200))),""))</f>
        <v/>
      </c>
      <c r="BS200">
        <f>IF($BR200="","",IF(MONTH($BR200)&gt;=12,"Cold Winter",IF(MONTH($BR200)&gt;=10,"Post-Monsoon",IF(MONTH($BR200)&gt;=6,"Hot Humid",IF(MONTH($BR200)&gt;=3,"Hot Dry","Cold Winter")))))</f>
        <v/>
      </c>
      <c r="BT200">
        <f>IF($BM200="","",IFERROR(VLOOKUP($BM200,DECODE!$A$3:$C$8,2,FALSE),"?"))</f>
        <v/>
      </c>
      <c r="BU200">
        <f>IF($R200="","",UPPER(TRIM(LEFT($R200&amp;",",FIND(",",$R200&amp;",")-1))))</f>
        <v/>
      </c>
      <c r="BV200">
        <f>IF($BU200="","",MID($BU200,4,FIND("~",SUBSTITUTE($BU200,"-","~",2))-4))</f>
        <v/>
      </c>
      <c r="BW200">
        <f>IF($BU200="","",MID($BU200,FIND("~",SUBSTITUTE($BU200,"-","~",2))+1,FIND("~",SUBSTITUTE($BU200,"-","~",3))-FIND("~",SUBSTITUTE($BU200,"-","~",2))-1))</f>
        <v/>
      </c>
      <c r="BX200">
        <f>IF($BV200="","",IFERROR(VLOOKUP($BV200,DECODE!$A$3:$C$8,3,FALSE),"?"))</f>
        <v/>
      </c>
      <c r="BY200">
        <f>IF($BW200="","",IFERROR(VLOOKUP($BV200&amp;"-"&amp;$BW200,DECODE!$E$3:$F$21,2,FALSE),"?"))</f>
        <v/>
      </c>
      <c r="BZ200">
        <f>IF($BU200="","",IFERROR(VALUE(RIGHT($BU200,3)),""))</f>
        <v/>
      </c>
      <c r="CA200">
        <f>IF($X200="","",IFERROR(IF(ISNUMBER($X200),$X200,DATEVALUE(TRIM($X200))),""))</f>
        <v/>
      </c>
      <c r="CB200">
        <f>IF($CA200="","",IF(MONTH($CA200)&gt;=12,"Cold Winter",IF(MONTH($CA200)&gt;=10,"Post-Monsoon",IF(MONTH($CA200)&gt;=6,"Hot Humid",IF(MONTH($CA200)&gt;=3,"Hot Dry","Cold Winter")))))</f>
        <v/>
      </c>
      <c r="CC200">
        <f>IF($BV200="","",IFERROR(VLOOKUP($BV200,DECODE!$A$3:$C$8,2,FALSE),"?"))</f>
        <v/>
      </c>
      <c r="CD200">
        <f>IF($S200="","",UPPER(TRIM(LEFT($S200&amp;",",FIND(",",$S200&amp;",")-1))))</f>
        <v/>
      </c>
      <c r="CE200">
        <f>IF($CD200="","",MID($CD200,4,FIND("~",SUBSTITUTE($CD200,"-","~",2))-4))</f>
        <v/>
      </c>
      <c r="CF200">
        <f>IF($CD200="","",MID($CD200,FIND("~",SUBSTITUTE($CD200,"-","~",2))+1,FIND("~",SUBSTITUTE($CD200,"-","~",3))-FIND("~",SUBSTITUTE($CD200,"-","~",2))-1))</f>
        <v/>
      </c>
      <c r="CG200">
        <f>IF($CE200="","",IFERROR(VLOOKUP($CE200,DECODE!$A$3:$C$8,3,FALSE),"?"))</f>
        <v/>
      </c>
      <c r="CH200">
        <f>IF($CF200="","",IFERROR(VLOOKUP($CE200&amp;"-"&amp;$CF200,DECODE!$E$3:$F$21,2,FALSE),"?"))</f>
        <v/>
      </c>
      <c r="CI200">
        <f>IF($CD200="","",IFERROR(VALUE(RIGHT($CD200,3)),""))</f>
        <v/>
      </c>
      <c r="CJ200">
        <f>IF($Y200="","",IFERROR(IF(ISNUMBER($Y200),$Y200,DATEVALUE(TRIM($Y200))),""))</f>
        <v/>
      </c>
      <c r="CK200">
        <f>IF($CJ200="","",IF(MONTH($CJ200)&gt;=12,"Cold Winter",IF(MONTH($CJ200)&gt;=10,"Post-Monsoon",IF(MONTH($CJ200)&gt;=6,"Hot Humid",IF(MONTH($CJ200)&gt;=3,"Hot Dry","Cold Winter")))))</f>
        <v/>
      </c>
      <c r="CL200">
        <f>IF($CE200="","",IFERROR(VLOOKUP($CE200,DECODE!$A$3:$C$8,2,FALSE),"?"))</f>
        <v/>
      </c>
      <c r="CM200">
        <f>IF($AN200="","",AN200)</f>
        <v/>
      </c>
      <c r="CN200">
        <f>IF($AO200="","",AO200)</f>
        <v/>
      </c>
      <c r="CO200">
        <f>IF($AP200="","",AP200)</f>
        <v/>
      </c>
      <c r="CP200">
        <f>IF($CM200="","",IF($CM200="Aloe Vera Gel","Aloe Vera Gel "&amp;$CO200&amp;"g",CN200&amp;" "&amp;$CO200&amp;"g"))</f>
        <v/>
      </c>
      <c r="CQ200">
        <f>IF($AT200="",0,1)</f>
        <v/>
      </c>
      <c r="CR200">
        <f>IF($CQ200=0,"",AW200)</f>
        <v/>
      </c>
      <c r="CS200">
        <f>IF($CQ200=0,"",AX200)</f>
        <v/>
      </c>
      <c r="CT200">
        <f>IF($CQ200=0,"",AY200)</f>
        <v/>
      </c>
      <c r="CU200">
        <f>IF($CR200="","",IF($CR200="Aloe Vera Gel","Aloe Vera Gel "&amp;$CT200&amp;"g",CS200&amp;" "&amp;$CT200&amp;"g"))</f>
        <v/>
      </c>
      <c r="CV200">
        <f>IF($CQ200=0,"",IF($CP200=$CU200,"Repeat Exact",IF($CT200&gt;$CO200,"Upsized",IF($CT200&lt;$CO200,"Downsized",IF($CM200&lt;&gt;$CR200,"Lateral","Same Size Diff Variant")))))</f>
        <v/>
      </c>
      <c r="CW200">
        <f>IF($CQ200=0,"",AZ200-AQ200)</f>
        <v/>
      </c>
      <c r="CX200">
        <f>IF($CQ200=0,0,IF(CS200=CN200,1,0))</f>
        <v/>
      </c>
      <c r="CY200">
        <f>IF($CQ200=0,0,IF(CR200=CM200,1,0))</f>
        <v/>
      </c>
      <c r="CZ200">
        <f>IF($A200="","",IF(AND(IF(DASHBOARD!$C$4="All",TRUE,$CM200=DASHBOARD!$C$4),IF(DASHBOARD!$C$6="All",TRUE,$CP200=DASHBOARD!$C$6),IF(DASHBOARD!$C$8="All",TRUE,$AF200&gt;=DASHBOARD!$C$8),IF(DASHBOARD!$C$10="All",TRUE,$AF200&lt;=DASHBOARD!$C$10),IF(DASHBOARD!$C$12="All",TRUE,$AH200=VALUE(DASHBOARD!$C$12)),IF(DASHBOARD!$C$14="All",TRUE,$AJ200=DASHBOARD!$C$14)),1,0))</f>
        <v/>
      </c>
    </row>
    <row r="201">
      <c r="A201" t="n">
        <v>131634</v>
      </c>
      <c r="B201" t="inlineStr">
        <is>
          <t>Face Malai</t>
        </is>
      </c>
      <c r="H201" t="inlineStr">
        <is>
          <t>Tomato Vetiver (Hot Humid) 20 - 35 Yrs Face Malai</t>
        </is>
      </c>
      <c r="N201" t="inlineStr">
        <is>
          <t>FC-HHDM-TV-030</t>
        </is>
      </c>
      <c r="T201" t="inlineStr">
        <is>
          <t>Dec 25, 2024</t>
        </is>
      </c>
      <c r="AE201" t="inlineStr">
        <is>
          <t>Mandya</t>
        </is>
      </c>
      <c r="AF201" t="inlineStr">
        <is>
          <t>2024-12</t>
        </is>
      </c>
      <c r="AG201" t="n">
        <v>12</v>
      </c>
      <c r="AH201" t="n">
        <v>1</v>
      </c>
      <c r="AI201" t="n">
        <v>0</v>
      </c>
      <c r="AJ201">
        <f>IF($AE201="","",IFERROR(VLOOKUP(TRIM($AE201),DECODE!$H$3:$I$60,2,FALSE),"Rest of India"))</f>
        <v/>
      </c>
      <c r="AK201">
        <f>IF($N201="","",UPPER(TRIM(LEFT($N201&amp;",",FIND(",",$N201&amp;",")-1))))</f>
        <v/>
      </c>
      <c r="AL201">
        <f>IF($AK201="","",MID($AK201,4,FIND("~",SUBSTITUTE($AK201,"-","~",2))-4))</f>
        <v/>
      </c>
      <c r="AM201">
        <f>IF($AK201="","",MID($AK201,FIND("~",SUBSTITUTE($AK201,"-","~",2))+1,FIND("~",SUBSTITUTE($AK201,"-","~",3))-FIND("~",SUBSTITUTE($AK201,"-","~",2))-1))</f>
        <v/>
      </c>
      <c r="AN201">
        <f>IF($AL201="","",IFERROR(VLOOKUP($AL201,DECODE!$A$3:$C$8,3,FALSE),"?"))</f>
        <v/>
      </c>
      <c r="AO201">
        <f>IF($AM201="","",IFERROR(VLOOKUP($AL201&amp;"-"&amp;$AM201,DECODE!$E$3:$F$21,2,FALSE),"?"))</f>
        <v/>
      </c>
      <c r="AP201">
        <f>IF($AK201="","",IFERROR(VALUE(RIGHT($AK201,3)),""))</f>
        <v/>
      </c>
      <c r="AQ201">
        <f>IF($T201="","",IFERROR(IF(ISNUMBER($T201),$T201,DATEVALUE(TRIM($T201))),""))</f>
        <v/>
      </c>
      <c r="AR201">
        <f>IF($AQ201="","",IF(MONTH($AQ201)&gt;=12,"Cold Winter",IF(MONTH($AQ201)&gt;=10,"Post-Monsoon",IF(MONTH($AQ201)&gt;=6,"Hot Humid",IF(MONTH($AQ201)&gt;=3,"Hot Dry","Cold Winter")))))</f>
        <v/>
      </c>
      <c r="AS201">
        <f>IF($AL201="","",IFERROR(VLOOKUP($AL201,DECODE!$A$3:$C$8,2,FALSE),"?"))</f>
        <v/>
      </c>
      <c r="AT201">
        <f>IF($O201="","",UPPER(TRIM(LEFT($O201&amp;",",FIND(",",$O201&amp;",")-1))))</f>
        <v/>
      </c>
      <c r="AU201">
        <f>IF($AT201="","",MID($AT201,4,FIND("~",SUBSTITUTE($AT201,"-","~",2))-4))</f>
        <v/>
      </c>
      <c r="AV201">
        <f>IF($AT201="","",MID($AT201,FIND("~",SUBSTITUTE($AT201,"-","~",2))+1,FIND("~",SUBSTITUTE($AT201,"-","~",3))-FIND("~",SUBSTITUTE($AT201,"-","~",2))-1))</f>
        <v/>
      </c>
      <c r="AW201">
        <f>IF($AU201="","",IFERROR(VLOOKUP($AU201,DECODE!$A$3:$C$8,3,FALSE),"?"))</f>
        <v/>
      </c>
      <c r="AX201">
        <f>IF($AV201="","",IFERROR(VLOOKUP($AU201&amp;"-"&amp;$AV201,DECODE!$E$3:$F$21,2,FALSE),"?"))</f>
        <v/>
      </c>
      <c r="AY201">
        <f>IF($AT201="","",IFERROR(VALUE(RIGHT($AT201,3)),""))</f>
        <v/>
      </c>
      <c r="AZ201">
        <f>IF($U201="","",IFERROR(IF(ISNUMBER($U201),$U201,DATEVALUE(TRIM($U201))),""))</f>
        <v/>
      </c>
      <c r="BA201">
        <f>IF($AZ201="","",IF(MONTH($AZ201)&gt;=12,"Cold Winter",IF(MONTH($AZ201)&gt;=10,"Post-Monsoon",IF(MONTH($AZ201)&gt;=6,"Hot Humid",IF(MONTH($AZ201)&gt;=3,"Hot Dry","Cold Winter")))))</f>
        <v/>
      </c>
      <c r="BB201">
        <f>IF($AU201="","",IFERROR(VLOOKUP($AU201,DECODE!$A$3:$C$8,2,FALSE),"?"))</f>
        <v/>
      </c>
      <c r="BC201">
        <f>IF($P201="","",UPPER(TRIM(LEFT($P201&amp;",",FIND(",",$P201&amp;",")-1))))</f>
        <v/>
      </c>
      <c r="BD201">
        <f>IF($BC201="","",MID($BC201,4,FIND("~",SUBSTITUTE($BC201,"-","~",2))-4))</f>
        <v/>
      </c>
      <c r="BE201">
        <f>IF($BC201="","",MID($BC201,FIND("~",SUBSTITUTE($BC201,"-","~",2))+1,FIND("~",SUBSTITUTE($BC201,"-","~",3))-FIND("~",SUBSTITUTE($BC201,"-","~",2))-1))</f>
        <v/>
      </c>
      <c r="BF201">
        <f>IF($BD201="","",IFERROR(VLOOKUP($BD201,DECODE!$A$3:$C$8,3,FALSE),"?"))</f>
        <v/>
      </c>
      <c r="BG201">
        <f>IF($BE201="","",IFERROR(VLOOKUP($BD201&amp;"-"&amp;$BE201,DECODE!$E$3:$F$21,2,FALSE),"?"))</f>
        <v/>
      </c>
      <c r="BH201">
        <f>IF($BC201="","",IFERROR(VALUE(RIGHT($BC201,3)),""))</f>
        <v/>
      </c>
      <c r="BI201">
        <f>IF($V201="","",IFERROR(IF(ISNUMBER($V201),$V201,DATEVALUE(TRIM($V201))),""))</f>
        <v/>
      </c>
      <c r="BJ201">
        <f>IF($BI201="","",IF(MONTH($BI201)&gt;=12,"Cold Winter",IF(MONTH($BI201)&gt;=10,"Post-Monsoon",IF(MONTH($BI201)&gt;=6,"Hot Humid",IF(MONTH($BI201)&gt;=3,"Hot Dry","Cold Winter")))))</f>
        <v/>
      </c>
      <c r="BK201">
        <f>IF($BD201="","",IFERROR(VLOOKUP($BD201,DECODE!$A$3:$C$8,2,FALSE),"?"))</f>
        <v/>
      </c>
      <c r="BL201">
        <f>IF($Q201="","",UPPER(TRIM(LEFT($Q201&amp;",",FIND(",",$Q201&amp;",")-1))))</f>
        <v/>
      </c>
      <c r="BM201">
        <f>IF($BL201="","",MID($BL201,4,FIND("~",SUBSTITUTE($BL201,"-","~",2))-4))</f>
        <v/>
      </c>
      <c r="BN201">
        <f>IF($BL201="","",MID($BL201,FIND("~",SUBSTITUTE($BL201,"-","~",2))+1,FIND("~",SUBSTITUTE($BL201,"-","~",3))-FIND("~",SUBSTITUTE($BL201,"-","~",2))-1))</f>
        <v/>
      </c>
      <c r="BO201">
        <f>IF($BM201="","",IFERROR(VLOOKUP($BM201,DECODE!$A$3:$C$8,3,FALSE),"?"))</f>
        <v/>
      </c>
      <c r="BP201">
        <f>IF($BN201="","",IFERROR(VLOOKUP($BM201&amp;"-"&amp;$BN201,DECODE!$E$3:$F$21,2,FALSE),"?"))</f>
        <v/>
      </c>
      <c r="BQ201">
        <f>IF($BL201="","",IFERROR(VALUE(RIGHT($BL201,3)),""))</f>
        <v/>
      </c>
      <c r="BR201">
        <f>IF($W201="","",IFERROR(IF(ISNUMBER($W201),$W201,DATEVALUE(TRIM($W201))),""))</f>
        <v/>
      </c>
      <c r="BS201">
        <f>IF($BR201="","",IF(MONTH($BR201)&gt;=12,"Cold Winter",IF(MONTH($BR201)&gt;=10,"Post-Monsoon",IF(MONTH($BR201)&gt;=6,"Hot Humid",IF(MONTH($BR201)&gt;=3,"Hot Dry","Cold Winter")))))</f>
        <v/>
      </c>
      <c r="BT201">
        <f>IF($BM201="","",IFERROR(VLOOKUP($BM201,DECODE!$A$3:$C$8,2,FALSE),"?"))</f>
        <v/>
      </c>
      <c r="BU201">
        <f>IF($R201="","",UPPER(TRIM(LEFT($R201&amp;",",FIND(",",$R201&amp;",")-1))))</f>
        <v/>
      </c>
      <c r="BV201">
        <f>IF($BU201="","",MID($BU201,4,FIND("~",SUBSTITUTE($BU201,"-","~",2))-4))</f>
        <v/>
      </c>
      <c r="BW201">
        <f>IF($BU201="","",MID($BU201,FIND("~",SUBSTITUTE($BU201,"-","~",2))+1,FIND("~",SUBSTITUTE($BU201,"-","~",3))-FIND("~",SUBSTITUTE($BU201,"-","~",2))-1))</f>
        <v/>
      </c>
      <c r="BX201">
        <f>IF($BV201="","",IFERROR(VLOOKUP($BV201,DECODE!$A$3:$C$8,3,FALSE),"?"))</f>
        <v/>
      </c>
      <c r="BY201">
        <f>IF($BW201="","",IFERROR(VLOOKUP($BV201&amp;"-"&amp;$BW201,DECODE!$E$3:$F$21,2,FALSE),"?"))</f>
        <v/>
      </c>
      <c r="BZ201">
        <f>IF($BU201="","",IFERROR(VALUE(RIGHT($BU201,3)),""))</f>
        <v/>
      </c>
      <c r="CA201">
        <f>IF($X201="","",IFERROR(IF(ISNUMBER($X201),$X201,DATEVALUE(TRIM($X201))),""))</f>
        <v/>
      </c>
      <c r="CB201">
        <f>IF($CA201="","",IF(MONTH($CA201)&gt;=12,"Cold Winter",IF(MONTH($CA201)&gt;=10,"Post-Monsoon",IF(MONTH($CA201)&gt;=6,"Hot Humid",IF(MONTH($CA201)&gt;=3,"Hot Dry","Cold Winter")))))</f>
        <v/>
      </c>
      <c r="CC201">
        <f>IF($BV201="","",IFERROR(VLOOKUP($BV201,DECODE!$A$3:$C$8,2,FALSE),"?"))</f>
        <v/>
      </c>
      <c r="CD201">
        <f>IF($S201="","",UPPER(TRIM(LEFT($S201&amp;",",FIND(",",$S201&amp;",")-1))))</f>
        <v/>
      </c>
      <c r="CE201">
        <f>IF($CD201="","",MID($CD201,4,FIND("~",SUBSTITUTE($CD201,"-","~",2))-4))</f>
        <v/>
      </c>
      <c r="CF201">
        <f>IF($CD201="","",MID($CD201,FIND("~",SUBSTITUTE($CD201,"-","~",2))+1,FIND("~",SUBSTITUTE($CD201,"-","~",3))-FIND("~",SUBSTITUTE($CD201,"-","~",2))-1))</f>
        <v/>
      </c>
      <c r="CG201">
        <f>IF($CE201="","",IFERROR(VLOOKUP($CE201,DECODE!$A$3:$C$8,3,FALSE),"?"))</f>
        <v/>
      </c>
      <c r="CH201">
        <f>IF($CF201="","",IFERROR(VLOOKUP($CE201&amp;"-"&amp;$CF201,DECODE!$E$3:$F$21,2,FALSE),"?"))</f>
        <v/>
      </c>
      <c r="CI201">
        <f>IF($CD201="","",IFERROR(VALUE(RIGHT($CD201,3)),""))</f>
        <v/>
      </c>
      <c r="CJ201">
        <f>IF($Y201="","",IFERROR(IF(ISNUMBER($Y201),$Y201,DATEVALUE(TRIM($Y201))),""))</f>
        <v/>
      </c>
      <c r="CK201">
        <f>IF($CJ201="","",IF(MONTH($CJ201)&gt;=12,"Cold Winter",IF(MONTH($CJ201)&gt;=10,"Post-Monsoon",IF(MONTH($CJ201)&gt;=6,"Hot Humid",IF(MONTH($CJ201)&gt;=3,"Hot Dry","Cold Winter")))))</f>
        <v/>
      </c>
      <c r="CL201">
        <f>IF($CE201="","",IFERROR(VLOOKUP($CE201,DECODE!$A$3:$C$8,2,FALSE),"?"))</f>
        <v/>
      </c>
      <c r="CM201">
        <f>IF($AN201="","",AN201)</f>
        <v/>
      </c>
      <c r="CN201">
        <f>IF($AO201="","",AO201)</f>
        <v/>
      </c>
      <c r="CO201">
        <f>IF($AP201="","",AP201)</f>
        <v/>
      </c>
      <c r="CP201">
        <f>IF($CM201="","",IF($CM201="Aloe Vera Gel","Aloe Vera Gel "&amp;$CO201&amp;"g",CN201&amp;" "&amp;$CO201&amp;"g"))</f>
        <v/>
      </c>
      <c r="CQ201">
        <f>IF($AT201="",0,1)</f>
        <v/>
      </c>
      <c r="CR201">
        <f>IF($CQ201=0,"",AW201)</f>
        <v/>
      </c>
      <c r="CS201">
        <f>IF($CQ201=0,"",AX201)</f>
        <v/>
      </c>
      <c r="CT201">
        <f>IF($CQ201=0,"",AY201)</f>
        <v/>
      </c>
      <c r="CU201">
        <f>IF($CR201="","",IF($CR201="Aloe Vera Gel","Aloe Vera Gel "&amp;$CT201&amp;"g",CS201&amp;" "&amp;$CT201&amp;"g"))</f>
        <v/>
      </c>
      <c r="CV201">
        <f>IF($CQ201=0,"",IF($CP201=$CU201,"Repeat Exact",IF($CT201&gt;$CO201,"Upsized",IF($CT201&lt;$CO201,"Downsized",IF($CM201&lt;&gt;$CR201,"Lateral","Same Size Diff Variant")))))</f>
        <v/>
      </c>
      <c r="CW201">
        <f>IF($CQ201=0,"",AZ201-AQ201)</f>
        <v/>
      </c>
      <c r="CX201">
        <f>IF($CQ201=0,0,IF(CS201=CN201,1,0))</f>
        <v/>
      </c>
      <c r="CY201">
        <f>IF($CQ201=0,0,IF(CR201=CM201,1,0))</f>
        <v/>
      </c>
      <c r="CZ201">
        <f>IF($A201="","",IF(AND(IF(DASHBOARD!$C$4="All",TRUE,$CM201=DASHBOARD!$C$4),IF(DASHBOARD!$C$6="All",TRUE,$CP201=DASHBOARD!$C$6),IF(DASHBOARD!$C$8="All",TRUE,$AF201&gt;=DASHBOARD!$C$8),IF(DASHBOARD!$C$10="All",TRUE,$AF201&lt;=DASHBOARD!$C$10),IF(DASHBOARD!$C$12="All",TRUE,$AH201=VALUE(DASHBOARD!$C$12)),IF(DASHBOARD!$C$14="All",TRUE,$AJ201=DASHBOARD!$C$14)),1,0))</f>
        <v/>
      </c>
    </row>
    <row r="202">
      <c r="A202" t="n">
        <v>131722</v>
      </c>
      <c r="B202" t="inlineStr">
        <is>
          <t>Face Malai</t>
        </is>
      </c>
      <c r="C202" t="inlineStr">
        <is>
          <t>Active Gel</t>
        </is>
      </c>
      <c r="D202" t="inlineStr">
        <is>
          <t>Face Malai</t>
        </is>
      </c>
      <c r="H202" t="inlineStr">
        <is>
          <t>Flax Bakuchi (Hot Dry) 35+ Face Malai - 30g</t>
        </is>
      </c>
      <c r="I202" t="inlineStr">
        <is>
          <t>Active Orange Kiwi Vit-C Gel</t>
        </is>
      </c>
      <c r="J202" t="inlineStr">
        <is>
          <t>Flax Walnut (Cold) 35+ Face Malai</t>
        </is>
      </c>
      <c r="N202" t="inlineStr">
        <is>
          <t>FC-HDDM-FB-030</t>
        </is>
      </c>
      <c r="O202" t="inlineStr">
        <is>
          <t>FC-AC-OK-050</t>
        </is>
      </c>
      <c r="P202" t="inlineStr">
        <is>
          <t>FC-CWDM-FW-030</t>
        </is>
      </c>
      <c r="T202" t="inlineStr">
        <is>
          <t>Apr 13, 2024</t>
        </is>
      </c>
      <c r="U202" t="inlineStr">
        <is>
          <t>Jul 2, 2024</t>
        </is>
      </c>
      <c r="V202" t="inlineStr">
        <is>
          <t>Jan 19, 2025</t>
        </is>
      </c>
      <c r="Z202" t="n">
        <v>80</v>
      </c>
      <c r="AA202" t="n">
        <v>201</v>
      </c>
      <c r="AE202" t="inlineStr">
        <is>
          <t>New Delhi</t>
        </is>
      </c>
      <c r="AF202" t="inlineStr">
        <is>
          <t>2024-04</t>
        </is>
      </c>
      <c r="AG202" t="n">
        <v>4</v>
      </c>
      <c r="AH202" t="n">
        <v>3</v>
      </c>
      <c r="AI202" t="n">
        <v>1</v>
      </c>
      <c r="AJ202">
        <f>IF($AE202="","",IFERROR(VLOOKUP(TRIM($AE202),DECODE!$H$3:$I$60,2,FALSE),"Rest of India"))</f>
        <v/>
      </c>
      <c r="AK202">
        <f>IF($N202="","",UPPER(TRIM(LEFT($N202&amp;",",FIND(",",$N202&amp;",")-1))))</f>
        <v/>
      </c>
      <c r="AL202">
        <f>IF($AK202="","",MID($AK202,4,FIND("~",SUBSTITUTE($AK202,"-","~",2))-4))</f>
        <v/>
      </c>
      <c r="AM202">
        <f>IF($AK202="","",MID($AK202,FIND("~",SUBSTITUTE($AK202,"-","~",2))+1,FIND("~",SUBSTITUTE($AK202,"-","~",3))-FIND("~",SUBSTITUTE($AK202,"-","~",2))-1))</f>
        <v/>
      </c>
      <c r="AN202">
        <f>IF($AL202="","",IFERROR(VLOOKUP($AL202,DECODE!$A$3:$C$8,3,FALSE),"?"))</f>
        <v/>
      </c>
      <c r="AO202">
        <f>IF($AM202="","",IFERROR(VLOOKUP($AL202&amp;"-"&amp;$AM202,DECODE!$E$3:$F$21,2,FALSE),"?"))</f>
        <v/>
      </c>
      <c r="AP202">
        <f>IF($AK202="","",IFERROR(VALUE(RIGHT($AK202,3)),""))</f>
        <v/>
      </c>
      <c r="AQ202">
        <f>IF($T202="","",IFERROR(IF(ISNUMBER($T202),$T202,DATEVALUE(TRIM($T202))),""))</f>
        <v/>
      </c>
      <c r="AR202">
        <f>IF($AQ202="","",IF(MONTH($AQ202)&gt;=12,"Cold Winter",IF(MONTH($AQ202)&gt;=10,"Post-Monsoon",IF(MONTH($AQ202)&gt;=6,"Hot Humid",IF(MONTH($AQ202)&gt;=3,"Hot Dry","Cold Winter")))))</f>
        <v/>
      </c>
      <c r="AS202">
        <f>IF($AL202="","",IFERROR(VLOOKUP($AL202,DECODE!$A$3:$C$8,2,FALSE),"?"))</f>
        <v/>
      </c>
      <c r="AT202">
        <f>IF($O202="","",UPPER(TRIM(LEFT($O202&amp;",",FIND(",",$O202&amp;",")-1))))</f>
        <v/>
      </c>
      <c r="AU202">
        <f>IF($AT202="","",MID($AT202,4,FIND("~",SUBSTITUTE($AT202,"-","~",2))-4))</f>
        <v/>
      </c>
      <c r="AV202">
        <f>IF($AT202="","",MID($AT202,FIND("~",SUBSTITUTE($AT202,"-","~",2))+1,FIND("~",SUBSTITUTE($AT202,"-","~",3))-FIND("~",SUBSTITUTE($AT202,"-","~",2))-1))</f>
        <v/>
      </c>
      <c r="AW202">
        <f>IF($AU202="","",IFERROR(VLOOKUP($AU202,DECODE!$A$3:$C$8,3,FALSE),"?"))</f>
        <v/>
      </c>
      <c r="AX202">
        <f>IF($AV202="","",IFERROR(VLOOKUP($AU202&amp;"-"&amp;$AV202,DECODE!$E$3:$F$21,2,FALSE),"?"))</f>
        <v/>
      </c>
      <c r="AY202">
        <f>IF($AT202="","",IFERROR(VALUE(RIGHT($AT202,3)),""))</f>
        <v/>
      </c>
      <c r="AZ202">
        <f>IF($U202="","",IFERROR(IF(ISNUMBER($U202),$U202,DATEVALUE(TRIM($U202))),""))</f>
        <v/>
      </c>
      <c r="BA202">
        <f>IF($AZ202="","",IF(MONTH($AZ202)&gt;=12,"Cold Winter",IF(MONTH($AZ202)&gt;=10,"Post-Monsoon",IF(MONTH($AZ202)&gt;=6,"Hot Humid",IF(MONTH($AZ202)&gt;=3,"Hot Dry","Cold Winter")))))</f>
        <v/>
      </c>
      <c r="BB202">
        <f>IF($AU202="","",IFERROR(VLOOKUP($AU202,DECODE!$A$3:$C$8,2,FALSE),"?"))</f>
        <v/>
      </c>
      <c r="BC202">
        <f>IF($P202="","",UPPER(TRIM(LEFT($P202&amp;",",FIND(",",$P202&amp;",")-1))))</f>
        <v/>
      </c>
      <c r="BD202">
        <f>IF($BC202="","",MID($BC202,4,FIND("~",SUBSTITUTE($BC202,"-","~",2))-4))</f>
        <v/>
      </c>
      <c r="BE202">
        <f>IF($BC202="","",MID($BC202,FIND("~",SUBSTITUTE($BC202,"-","~",2))+1,FIND("~",SUBSTITUTE($BC202,"-","~",3))-FIND("~",SUBSTITUTE($BC202,"-","~",2))-1))</f>
        <v/>
      </c>
      <c r="BF202">
        <f>IF($BD202="","",IFERROR(VLOOKUP($BD202,DECODE!$A$3:$C$8,3,FALSE),"?"))</f>
        <v/>
      </c>
      <c r="BG202">
        <f>IF($BE202="","",IFERROR(VLOOKUP($BD202&amp;"-"&amp;$BE202,DECODE!$E$3:$F$21,2,FALSE),"?"))</f>
        <v/>
      </c>
      <c r="BH202">
        <f>IF($BC202="","",IFERROR(VALUE(RIGHT($BC202,3)),""))</f>
        <v/>
      </c>
      <c r="BI202">
        <f>IF($V202="","",IFERROR(IF(ISNUMBER($V202),$V202,DATEVALUE(TRIM($V202))),""))</f>
        <v/>
      </c>
      <c r="BJ202">
        <f>IF($BI202="","",IF(MONTH($BI202)&gt;=12,"Cold Winter",IF(MONTH($BI202)&gt;=10,"Post-Monsoon",IF(MONTH($BI202)&gt;=6,"Hot Humid",IF(MONTH($BI202)&gt;=3,"Hot Dry","Cold Winter")))))</f>
        <v/>
      </c>
      <c r="BK202">
        <f>IF($BD202="","",IFERROR(VLOOKUP($BD202,DECODE!$A$3:$C$8,2,FALSE),"?"))</f>
        <v/>
      </c>
      <c r="BL202">
        <f>IF($Q202="","",UPPER(TRIM(LEFT($Q202&amp;",",FIND(",",$Q202&amp;",")-1))))</f>
        <v/>
      </c>
      <c r="BM202">
        <f>IF($BL202="","",MID($BL202,4,FIND("~",SUBSTITUTE($BL202,"-","~",2))-4))</f>
        <v/>
      </c>
      <c r="BN202">
        <f>IF($BL202="","",MID($BL202,FIND("~",SUBSTITUTE($BL202,"-","~",2))+1,FIND("~",SUBSTITUTE($BL202,"-","~",3))-FIND("~",SUBSTITUTE($BL202,"-","~",2))-1))</f>
        <v/>
      </c>
      <c r="BO202">
        <f>IF($BM202="","",IFERROR(VLOOKUP($BM202,DECODE!$A$3:$C$8,3,FALSE),"?"))</f>
        <v/>
      </c>
      <c r="BP202">
        <f>IF($BN202="","",IFERROR(VLOOKUP($BM202&amp;"-"&amp;$BN202,DECODE!$E$3:$F$21,2,FALSE),"?"))</f>
        <v/>
      </c>
      <c r="BQ202">
        <f>IF($BL202="","",IFERROR(VALUE(RIGHT($BL202,3)),""))</f>
        <v/>
      </c>
      <c r="BR202">
        <f>IF($W202="","",IFERROR(IF(ISNUMBER($W202),$W202,DATEVALUE(TRIM($W202))),""))</f>
        <v/>
      </c>
      <c r="BS202">
        <f>IF($BR202="","",IF(MONTH($BR202)&gt;=12,"Cold Winter",IF(MONTH($BR202)&gt;=10,"Post-Monsoon",IF(MONTH($BR202)&gt;=6,"Hot Humid",IF(MONTH($BR202)&gt;=3,"Hot Dry","Cold Winter")))))</f>
        <v/>
      </c>
      <c r="BT202">
        <f>IF($BM202="","",IFERROR(VLOOKUP($BM202,DECODE!$A$3:$C$8,2,FALSE),"?"))</f>
        <v/>
      </c>
      <c r="BU202">
        <f>IF($R202="","",UPPER(TRIM(LEFT($R202&amp;",",FIND(",",$R202&amp;",")-1))))</f>
        <v/>
      </c>
      <c r="BV202">
        <f>IF($BU202="","",MID($BU202,4,FIND("~",SUBSTITUTE($BU202,"-","~",2))-4))</f>
        <v/>
      </c>
      <c r="BW202">
        <f>IF($BU202="","",MID($BU202,FIND("~",SUBSTITUTE($BU202,"-","~",2))+1,FIND("~",SUBSTITUTE($BU202,"-","~",3))-FIND("~",SUBSTITUTE($BU202,"-","~",2))-1))</f>
        <v/>
      </c>
      <c r="BX202">
        <f>IF($BV202="","",IFERROR(VLOOKUP($BV202,DECODE!$A$3:$C$8,3,FALSE),"?"))</f>
        <v/>
      </c>
      <c r="BY202">
        <f>IF($BW202="","",IFERROR(VLOOKUP($BV202&amp;"-"&amp;$BW202,DECODE!$E$3:$F$21,2,FALSE),"?"))</f>
        <v/>
      </c>
      <c r="BZ202">
        <f>IF($BU202="","",IFERROR(VALUE(RIGHT($BU202,3)),""))</f>
        <v/>
      </c>
      <c r="CA202">
        <f>IF($X202="","",IFERROR(IF(ISNUMBER($X202),$X202,DATEVALUE(TRIM($X202))),""))</f>
        <v/>
      </c>
      <c r="CB202">
        <f>IF($CA202="","",IF(MONTH($CA202)&gt;=12,"Cold Winter",IF(MONTH($CA202)&gt;=10,"Post-Monsoon",IF(MONTH($CA202)&gt;=6,"Hot Humid",IF(MONTH($CA202)&gt;=3,"Hot Dry","Cold Winter")))))</f>
        <v/>
      </c>
      <c r="CC202">
        <f>IF($BV202="","",IFERROR(VLOOKUP($BV202,DECODE!$A$3:$C$8,2,FALSE),"?"))</f>
        <v/>
      </c>
      <c r="CD202">
        <f>IF($S202="","",UPPER(TRIM(LEFT($S202&amp;",",FIND(",",$S202&amp;",")-1))))</f>
        <v/>
      </c>
      <c r="CE202">
        <f>IF($CD202="","",MID($CD202,4,FIND("~",SUBSTITUTE($CD202,"-","~",2))-4))</f>
        <v/>
      </c>
      <c r="CF202">
        <f>IF($CD202="","",MID($CD202,FIND("~",SUBSTITUTE($CD202,"-","~",2))+1,FIND("~",SUBSTITUTE($CD202,"-","~",3))-FIND("~",SUBSTITUTE($CD202,"-","~",2))-1))</f>
        <v/>
      </c>
      <c r="CG202">
        <f>IF($CE202="","",IFERROR(VLOOKUP($CE202,DECODE!$A$3:$C$8,3,FALSE),"?"))</f>
        <v/>
      </c>
      <c r="CH202">
        <f>IF($CF202="","",IFERROR(VLOOKUP($CE202&amp;"-"&amp;$CF202,DECODE!$E$3:$F$21,2,FALSE),"?"))</f>
        <v/>
      </c>
      <c r="CI202">
        <f>IF($CD202="","",IFERROR(VALUE(RIGHT($CD202,3)),""))</f>
        <v/>
      </c>
      <c r="CJ202">
        <f>IF($Y202="","",IFERROR(IF(ISNUMBER($Y202),$Y202,DATEVALUE(TRIM($Y202))),""))</f>
        <v/>
      </c>
      <c r="CK202">
        <f>IF($CJ202="","",IF(MONTH($CJ202)&gt;=12,"Cold Winter",IF(MONTH($CJ202)&gt;=10,"Post-Monsoon",IF(MONTH($CJ202)&gt;=6,"Hot Humid",IF(MONTH($CJ202)&gt;=3,"Hot Dry","Cold Winter")))))</f>
        <v/>
      </c>
      <c r="CL202">
        <f>IF($CE202="","",IFERROR(VLOOKUP($CE202,DECODE!$A$3:$C$8,2,FALSE),"?"))</f>
        <v/>
      </c>
      <c r="CM202">
        <f>IF($AN202="","",AN202)</f>
        <v/>
      </c>
      <c r="CN202">
        <f>IF($AO202="","",AO202)</f>
        <v/>
      </c>
      <c r="CO202">
        <f>IF($AP202="","",AP202)</f>
        <v/>
      </c>
      <c r="CP202">
        <f>IF($CM202="","",IF($CM202="Aloe Vera Gel","Aloe Vera Gel "&amp;$CO202&amp;"g",CN202&amp;" "&amp;$CO202&amp;"g"))</f>
        <v/>
      </c>
      <c r="CQ202">
        <f>IF($AT202="",0,1)</f>
        <v/>
      </c>
      <c r="CR202">
        <f>IF($CQ202=0,"",AW202)</f>
        <v/>
      </c>
      <c r="CS202">
        <f>IF($CQ202=0,"",AX202)</f>
        <v/>
      </c>
      <c r="CT202">
        <f>IF($CQ202=0,"",AY202)</f>
        <v/>
      </c>
      <c r="CU202">
        <f>IF($CR202="","",IF($CR202="Aloe Vera Gel","Aloe Vera Gel "&amp;$CT202&amp;"g",CS202&amp;" "&amp;$CT202&amp;"g"))</f>
        <v/>
      </c>
      <c r="CV202">
        <f>IF($CQ202=0,"",IF($CP202=$CU202,"Repeat Exact",IF($CT202&gt;$CO202,"Upsized",IF($CT202&lt;$CO202,"Downsized",IF($CM202&lt;&gt;$CR202,"Lateral","Same Size Diff Variant")))))</f>
        <v/>
      </c>
      <c r="CW202">
        <f>IF($CQ202=0,"",AZ202-AQ202)</f>
        <v/>
      </c>
      <c r="CX202">
        <f>IF($CQ202=0,0,IF(CS202=CN202,1,0))</f>
        <v/>
      </c>
      <c r="CY202">
        <f>IF($CQ202=0,0,IF(CR202=CM202,1,0))</f>
        <v/>
      </c>
      <c r="CZ202">
        <f>IF($A202="","",IF(AND(IF(DASHBOARD!$C$4="All",TRUE,$CM202=DASHBOARD!$C$4),IF(DASHBOARD!$C$6="All",TRUE,$CP202=DASHBOARD!$C$6),IF(DASHBOARD!$C$8="All",TRUE,$AF202&gt;=DASHBOARD!$C$8),IF(DASHBOARD!$C$10="All",TRUE,$AF202&lt;=DASHBOARD!$C$10),IF(DASHBOARD!$C$12="All",TRUE,$AH202=VALUE(DASHBOARD!$C$12)),IF(DASHBOARD!$C$14="All",TRUE,$AJ202=DASHBOARD!$C$14)),1,0))</f>
        <v/>
      </c>
    </row>
    <row r="203">
      <c r="A203" t="n">
        <v>131780</v>
      </c>
      <c r="B203" t="inlineStr">
        <is>
          <t>Face Malai</t>
        </is>
      </c>
      <c r="H203" t="inlineStr">
        <is>
          <t>Turmeric Nutmeg (Pigmentation)  Face Malai - 30g</t>
        </is>
      </c>
      <c r="N203" t="inlineStr">
        <is>
          <t>FC-DM-PG-030</t>
        </is>
      </c>
      <c r="T203" t="inlineStr">
        <is>
          <t>Apr 25, 2024</t>
        </is>
      </c>
      <c r="AE203" t="inlineStr">
        <is>
          <t>Mumbai</t>
        </is>
      </c>
      <c r="AF203" t="inlineStr">
        <is>
          <t>2024-04</t>
        </is>
      </c>
      <c r="AG203" t="n">
        <v>4</v>
      </c>
      <c r="AH203" t="n">
        <v>1</v>
      </c>
      <c r="AI203" t="n">
        <v>0</v>
      </c>
      <c r="AJ203">
        <f>IF($AE203="","",IFERROR(VLOOKUP(TRIM($AE203),DECODE!$H$3:$I$60,2,FALSE),"Rest of India"))</f>
        <v/>
      </c>
      <c r="AK203">
        <f>IF($N203="","",UPPER(TRIM(LEFT($N203&amp;",",FIND(",",$N203&amp;",")-1))))</f>
        <v/>
      </c>
      <c r="AL203">
        <f>IF($AK203="","",MID($AK203,4,FIND("~",SUBSTITUTE($AK203,"-","~",2))-4))</f>
        <v/>
      </c>
      <c r="AM203">
        <f>IF($AK203="","",MID($AK203,FIND("~",SUBSTITUTE($AK203,"-","~",2))+1,FIND("~",SUBSTITUTE($AK203,"-","~",3))-FIND("~",SUBSTITUTE($AK203,"-","~",2))-1))</f>
        <v/>
      </c>
      <c r="AN203">
        <f>IF($AL203="","",IFERROR(VLOOKUP($AL203,DECODE!$A$3:$C$8,3,FALSE),"?"))</f>
        <v/>
      </c>
      <c r="AO203">
        <f>IF($AM203="","",IFERROR(VLOOKUP($AL203&amp;"-"&amp;$AM203,DECODE!$E$3:$F$21,2,FALSE),"?"))</f>
        <v/>
      </c>
      <c r="AP203">
        <f>IF($AK203="","",IFERROR(VALUE(RIGHT($AK203,3)),""))</f>
        <v/>
      </c>
      <c r="AQ203">
        <f>IF($T203="","",IFERROR(IF(ISNUMBER($T203),$T203,DATEVALUE(TRIM($T203))),""))</f>
        <v/>
      </c>
      <c r="AR203">
        <f>IF($AQ203="","",IF(MONTH($AQ203)&gt;=12,"Cold Winter",IF(MONTH($AQ203)&gt;=10,"Post-Monsoon",IF(MONTH($AQ203)&gt;=6,"Hot Humid",IF(MONTH($AQ203)&gt;=3,"Hot Dry","Cold Winter")))))</f>
        <v/>
      </c>
      <c r="AS203">
        <f>IF($AL203="","",IFERROR(VLOOKUP($AL203,DECODE!$A$3:$C$8,2,FALSE),"?"))</f>
        <v/>
      </c>
      <c r="AT203">
        <f>IF($O203="","",UPPER(TRIM(LEFT($O203&amp;",",FIND(",",$O203&amp;",")-1))))</f>
        <v/>
      </c>
      <c r="AU203">
        <f>IF($AT203="","",MID($AT203,4,FIND("~",SUBSTITUTE($AT203,"-","~",2))-4))</f>
        <v/>
      </c>
      <c r="AV203">
        <f>IF($AT203="","",MID($AT203,FIND("~",SUBSTITUTE($AT203,"-","~",2))+1,FIND("~",SUBSTITUTE($AT203,"-","~",3))-FIND("~",SUBSTITUTE($AT203,"-","~",2))-1))</f>
        <v/>
      </c>
      <c r="AW203">
        <f>IF($AU203="","",IFERROR(VLOOKUP($AU203,DECODE!$A$3:$C$8,3,FALSE),"?"))</f>
        <v/>
      </c>
      <c r="AX203">
        <f>IF($AV203="","",IFERROR(VLOOKUP($AU203&amp;"-"&amp;$AV203,DECODE!$E$3:$F$21,2,FALSE),"?"))</f>
        <v/>
      </c>
      <c r="AY203">
        <f>IF($AT203="","",IFERROR(VALUE(RIGHT($AT203,3)),""))</f>
        <v/>
      </c>
      <c r="AZ203">
        <f>IF($U203="","",IFERROR(IF(ISNUMBER($U203),$U203,DATEVALUE(TRIM($U203))),""))</f>
        <v/>
      </c>
      <c r="BA203">
        <f>IF($AZ203="","",IF(MONTH($AZ203)&gt;=12,"Cold Winter",IF(MONTH($AZ203)&gt;=10,"Post-Monsoon",IF(MONTH($AZ203)&gt;=6,"Hot Humid",IF(MONTH($AZ203)&gt;=3,"Hot Dry","Cold Winter")))))</f>
        <v/>
      </c>
      <c r="BB203">
        <f>IF($AU203="","",IFERROR(VLOOKUP($AU203,DECODE!$A$3:$C$8,2,FALSE),"?"))</f>
        <v/>
      </c>
      <c r="BC203">
        <f>IF($P203="","",UPPER(TRIM(LEFT($P203&amp;",",FIND(",",$P203&amp;",")-1))))</f>
        <v/>
      </c>
      <c r="BD203">
        <f>IF($BC203="","",MID($BC203,4,FIND("~",SUBSTITUTE($BC203,"-","~",2))-4))</f>
        <v/>
      </c>
      <c r="BE203">
        <f>IF($BC203="","",MID($BC203,FIND("~",SUBSTITUTE($BC203,"-","~",2))+1,FIND("~",SUBSTITUTE($BC203,"-","~",3))-FIND("~",SUBSTITUTE($BC203,"-","~",2))-1))</f>
        <v/>
      </c>
      <c r="BF203">
        <f>IF($BD203="","",IFERROR(VLOOKUP($BD203,DECODE!$A$3:$C$8,3,FALSE),"?"))</f>
        <v/>
      </c>
      <c r="BG203">
        <f>IF($BE203="","",IFERROR(VLOOKUP($BD203&amp;"-"&amp;$BE203,DECODE!$E$3:$F$21,2,FALSE),"?"))</f>
        <v/>
      </c>
      <c r="BH203">
        <f>IF($BC203="","",IFERROR(VALUE(RIGHT($BC203,3)),""))</f>
        <v/>
      </c>
      <c r="BI203">
        <f>IF($V203="","",IFERROR(IF(ISNUMBER($V203),$V203,DATEVALUE(TRIM($V203))),""))</f>
        <v/>
      </c>
      <c r="BJ203">
        <f>IF($BI203="","",IF(MONTH($BI203)&gt;=12,"Cold Winter",IF(MONTH($BI203)&gt;=10,"Post-Monsoon",IF(MONTH($BI203)&gt;=6,"Hot Humid",IF(MONTH($BI203)&gt;=3,"Hot Dry","Cold Winter")))))</f>
        <v/>
      </c>
      <c r="BK203">
        <f>IF($BD203="","",IFERROR(VLOOKUP($BD203,DECODE!$A$3:$C$8,2,FALSE),"?"))</f>
        <v/>
      </c>
      <c r="BL203">
        <f>IF($Q203="","",UPPER(TRIM(LEFT($Q203&amp;",",FIND(",",$Q203&amp;",")-1))))</f>
        <v/>
      </c>
      <c r="BM203">
        <f>IF($BL203="","",MID($BL203,4,FIND("~",SUBSTITUTE($BL203,"-","~",2))-4))</f>
        <v/>
      </c>
      <c r="BN203">
        <f>IF($BL203="","",MID($BL203,FIND("~",SUBSTITUTE($BL203,"-","~",2))+1,FIND("~",SUBSTITUTE($BL203,"-","~",3))-FIND("~",SUBSTITUTE($BL203,"-","~",2))-1))</f>
        <v/>
      </c>
      <c r="BO203">
        <f>IF($BM203="","",IFERROR(VLOOKUP($BM203,DECODE!$A$3:$C$8,3,FALSE),"?"))</f>
        <v/>
      </c>
      <c r="BP203">
        <f>IF($BN203="","",IFERROR(VLOOKUP($BM203&amp;"-"&amp;$BN203,DECODE!$E$3:$F$21,2,FALSE),"?"))</f>
        <v/>
      </c>
      <c r="BQ203">
        <f>IF($BL203="","",IFERROR(VALUE(RIGHT($BL203,3)),""))</f>
        <v/>
      </c>
      <c r="BR203">
        <f>IF($W203="","",IFERROR(IF(ISNUMBER($W203),$W203,DATEVALUE(TRIM($W203))),""))</f>
        <v/>
      </c>
      <c r="BS203">
        <f>IF($BR203="","",IF(MONTH($BR203)&gt;=12,"Cold Winter",IF(MONTH($BR203)&gt;=10,"Post-Monsoon",IF(MONTH($BR203)&gt;=6,"Hot Humid",IF(MONTH($BR203)&gt;=3,"Hot Dry","Cold Winter")))))</f>
        <v/>
      </c>
      <c r="BT203">
        <f>IF($BM203="","",IFERROR(VLOOKUP($BM203,DECODE!$A$3:$C$8,2,FALSE),"?"))</f>
        <v/>
      </c>
      <c r="BU203">
        <f>IF($R203="","",UPPER(TRIM(LEFT($R203&amp;",",FIND(",",$R203&amp;",")-1))))</f>
        <v/>
      </c>
      <c r="BV203">
        <f>IF($BU203="","",MID($BU203,4,FIND("~",SUBSTITUTE($BU203,"-","~",2))-4))</f>
        <v/>
      </c>
      <c r="BW203">
        <f>IF($BU203="","",MID($BU203,FIND("~",SUBSTITUTE($BU203,"-","~",2))+1,FIND("~",SUBSTITUTE($BU203,"-","~",3))-FIND("~",SUBSTITUTE($BU203,"-","~",2))-1))</f>
        <v/>
      </c>
      <c r="BX203">
        <f>IF($BV203="","",IFERROR(VLOOKUP($BV203,DECODE!$A$3:$C$8,3,FALSE),"?"))</f>
        <v/>
      </c>
      <c r="BY203">
        <f>IF($BW203="","",IFERROR(VLOOKUP($BV203&amp;"-"&amp;$BW203,DECODE!$E$3:$F$21,2,FALSE),"?"))</f>
        <v/>
      </c>
      <c r="BZ203">
        <f>IF($BU203="","",IFERROR(VALUE(RIGHT($BU203,3)),""))</f>
        <v/>
      </c>
      <c r="CA203">
        <f>IF($X203="","",IFERROR(IF(ISNUMBER($X203),$X203,DATEVALUE(TRIM($X203))),""))</f>
        <v/>
      </c>
      <c r="CB203">
        <f>IF($CA203="","",IF(MONTH($CA203)&gt;=12,"Cold Winter",IF(MONTH($CA203)&gt;=10,"Post-Monsoon",IF(MONTH($CA203)&gt;=6,"Hot Humid",IF(MONTH($CA203)&gt;=3,"Hot Dry","Cold Winter")))))</f>
        <v/>
      </c>
      <c r="CC203">
        <f>IF($BV203="","",IFERROR(VLOOKUP($BV203,DECODE!$A$3:$C$8,2,FALSE),"?"))</f>
        <v/>
      </c>
      <c r="CD203">
        <f>IF($S203="","",UPPER(TRIM(LEFT($S203&amp;",",FIND(",",$S203&amp;",")-1))))</f>
        <v/>
      </c>
      <c r="CE203">
        <f>IF($CD203="","",MID($CD203,4,FIND("~",SUBSTITUTE($CD203,"-","~",2))-4))</f>
        <v/>
      </c>
      <c r="CF203">
        <f>IF($CD203="","",MID($CD203,FIND("~",SUBSTITUTE($CD203,"-","~",2))+1,FIND("~",SUBSTITUTE($CD203,"-","~",3))-FIND("~",SUBSTITUTE($CD203,"-","~",2))-1))</f>
        <v/>
      </c>
      <c r="CG203">
        <f>IF($CE203="","",IFERROR(VLOOKUP($CE203,DECODE!$A$3:$C$8,3,FALSE),"?"))</f>
        <v/>
      </c>
      <c r="CH203">
        <f>IF($CF203="","",IFERROR(VLOOKUP($CE203&amp;"-"&amp;$CF203,DECODE!$E$3:$F$21,2,FALSE),"?"))</f>
        <v/>
      </c>
      <c r="CI203">
        <f>IF($CD203="","",IFERROR(VALUE(RIGHT($CD203,3)),""))</f>
        <v/>
      </c>
      <c r="CJ203">
        <f>IF($Y203="","",IFERROR(IF(ISNUMBER($Y203),$Y203,DATEVALUE(TRIM($Y203))),""))</f>
        <v/>
      </c>
      <c r="CK203">
        <f>IF($CJ203="","",IF(MONTH($CJ203)&gt;=12,"Cold Winter",IF(MONTH($CJ203)&gt;=10,"Post-Monsoon",IF(MONTH($CJ203)&gt;=6,"Hot Humid",IF(MONTH($CJ203)&gt;=3,"Hot Dry","Cold Winter")))))</f>
        <v/>
      </c>
      <c r="CL203">
        <f>IF($CE203="","",IFERROR(VLOOKUP($CE203,DECODE!$A$3:$C$8,2,FALSE),"?"))</f>
        <v/>
      </c>
      <c r="CM203">
        <f>IF($AN203="","",AN203)</f>
        <v/>
      </c>
      <c r="CN203">
        <f>IF($AO203="","",AO203)</f>
        <v/>
      </c>
      <c r="CO203">
        <f>IF($AP203="","",AP203)</f>
        <v/>
      </c>
      <c r="CP203">
        <f>IF($CM203="","",IF($CM203="Aloe Vera Gel","Aloe Vera Gel "&amp;$CO203&amp;"g",CN203&amp;" "&amp;$CO203&amp;"g"))</f>
        <v/>
      </c>
      <c r="CQ203">
        <f>IF($AT203="",0,1)</f>
        <v/>
      </c>
      <c r="CR203">
        <f>IF($CQ203=0,"",AW203)</f>
        <v/>
      </c>
      <c r="CS203">
        <f>IF($CQ203=0,"",AX203)</f>
        <v/>
      </c>
      <c r="CT203">
        <f>IF($CQ203=0,"",AY203)</f>
        <v/>
      </c>
      <c r="CU203">
        <f>IF($CR203="","",IF($CR203="Aloe Vera Gel","Aloe Vera Gel "&amp;$CT203&amp;"g",CS203&amp;" "&amp;$CT203&amp;"g"))</f>
        <v/>
      </c>
      <c r="CV203">
        <f>IF($CQ203=0,"",IF($CP203=$CU203,"Repeat Exact",IF($CT203&gt;$CO203,"Upsized",IF($CT203&lt;$CO203,"Downsized",IF($CM203&lt;&gt;$CR203,"Lateral","Same Size Diff Variant")))))</f>
        <v/>
      </c>
      <c r="CW203">
        <f>IF($CQ203=0,"",AZ203-AQ203)</f>
        <v/>
      </c>
      <c r="CX203">
        <f>IF($CQ203=0,0,IF(CS203=CN203,1,0))</f>
        <v/>
      </c>
      <c r="CY203">
        <f>IF($CQ203=0,0,IF(CR203=CM203,1,0))</f>
        <v/>
      </c>
      <c r="CZ203">
        <f>IF($A203="","",IF(AND(IF(DASHBOARD!$C$4="All",TRUE,$CM203=DASHBOARD!$C$4),IF(DASHBOARD!$C$6="All",TRUE,$CP203=DASHBOARD!$C$6),IF(DASHBOARD!$C$8="All",TRUE,$AF203&gt;=DASHBOARD!$C$8),IF(DASHBOARD!$C$10="All",TRUE,$AF203&lt;=DASHBOARD!$C$10),IF(DASHBOARD!$C$12="All",TRUE,$AH203=VALUE(DASHBOARD!$C$12)),IF(DASHBOARD!$C$14="All",TRUE,$AJ203=DASHBOARD!$C$14)),1,0))</f>
        <v/>
      </c>
    </row>
    <row r="204">
      <c r="A204" t="n">
        <v>131968</v>
      </c>
      <c r="B204" t="inlineStr">
        <is>
          <t>Aloe Vera Gel</t>
        </is>
      </c>
      <c r="H204" t="inlineStr">
        <is>
          <t>Aloe Vera Gel - 40 gms</t>
        </is>
      </c>
      <c r="N204" t="inlineStr">
        <is>
          <t>FC-HG-PA-040</t>
        </is>
      </c>
      <c r="T204" t="inlineStr">
        <is>
          <t>Dec 1, 2024</t>
        </is>
      </c>
      <c r="AE204" t="inlineStr">
        <is>
          <t>Chandigarh</t>
        </is>
      </c>
      <c r="AF204" t="inlineStr">
        <is>
          <t>2024-12</t>
        </is>
      </c>
      <c r="AG204" t="n">
        <v>12</v>
      </c>
      <c r="AH204" t="n">
        <v>1</v>
      </c>
      <c r="AI204" t="n">
        <v>0</v>
      </c>
      <c r="AJ204">
        <f>IF($AE204="","",IFERROR(VLOOKUP(TRIM($AE204),DECODE!$H$3:$I$60,2,FALSE),"Rest of India"))</f>
        <v/>
      </c>
      <c r="AK204">
        <f>IF($N204="","",UPPER(TRIM(LEFT($N204&amp;",",FIND(",",$N204&amp;",")-1))))</f>
        <v/>
      </c>
      <c r="AL204">
        <f>IF($AK204="","",MID($AK204,4,FIND("~",SUBSTITUTE($AK204,"-","~",2))-4))</f>
        <v/>
      </c>
      <c r="AM204">
        <f>IF($AK204="","",MID($AK204,FIND("~",SUBSTITUTE($AK204,"-","~",2))+1,FIND("~",SUBSTITUTE($AK204,"-","~",3))-FIND("~",SUBSTITUTE($AK204,"-","~",2))-1))</f>
        <v/>
      </c>
      <c r="AN204">
        <f>IF($AL204="","",IFERROR(VLOOKUP($AL204,DECODE!$A$3:$C$8,3,FALSE),"?"))</f>
        <v/>
      </c>
      <c r="AO204">
        <f>IF($AM204="","",IFERROR(VLOOKUP($AL204&amp;"-"&amp;$AM204,DECODE!$E$3:$F$21,2,FALSE),"?"))</f>
        <v/>
      </c>
      <c r="AP204">
        <f>IF($AK204="","",IFERROR(VALUE(RIGHT($AK204,3)),""))</f>
        <v/>
      </c>
      <c r="AQ204">
        <f>IF($T204="","",IFERROR(IF(ISNUMBER($T204),$T204,DATEVALUE(TRIM($T204))),""))</f>
        <v/>
      </c>
      <c r="AR204">
        <f>IF($AQ204="","",IF(MONTH($AQ204)&gt;=12,"Cold Winter",IF(MONTH($AQ204)&gt;=10,"Post-Monsoon",IF(MONTH($AQ204)&gt;=6,"Hot Humid",IF(MONTH($AQ204)&gt;=3,"Hot Dry","Cold Winter")))))</f>
        <v/>
      </c>
      <c r="AS204">
        <f>IF($AL204="","",IFERROR(VLOOKUP($AL204,DECODE!$A$3:$C$8,2,FALSE),"?"))</f>
        <v/>
      </c>
      <c r="AT204">
        <f>IF($O204="","",UPPER(TRIM(LEFT($O204&amp;",",FIND(",",$O204&amp;",")-1))))</f>
        <v/>
      </c>
      <c r="AU204">
        <f>IF($AT204="","",MID($AT204,4,FIND("~",SUBSTITUTE($AT204,"-","~",2))-4))</f>
        <v/>
      </c>
      <c r="AV204">
        <f>IF($AT204="","",MID($AT204,FIND("~",SUBSTITUTE($AT204,"-","~",2))+1,FIND("~",SUBSTITUTE($AT204,"-","~",3))-FIND("~",SUBSTITUTE($AT204,"-","~",2))-1))</f>
        <v/>
      </c>
      <c r="AW204">
        <f>IF($AU204="","",IFERROR(VLOOKUP($AU204,DECODE!$A$3:$C$8,3,FALSE),"?"))</f>
        <v/>
      </c>
      <c r="AX204">
        <f>IF($AV204="","",IFERROR(VLOOKUP($AU204&amp;"-"&amp;$AV204,DECODE!$E$3:$F$21,2,FALSE),"?"))</f>
        <v/>
      </c>
      <c r="AY204">
        <f>IF($AT204="","",IFERROR(VALUE(RIGHT($AT204,3)),""))</f>
        <v/>
      </c>
      <c r="AZ204">
        <f>IF($U204="","",IFERROR(IF(ISNUMBER($U204),$U204,DATEVALUE(TRIM($U204))),""))</f>
        <v/>
      </c>
      <c r="BA204">
        <f>IF($AZ204="","",IF(MONTH($AZ204)&gt;=12,"Cold Winter",IF(MONTH($AZ204)&gt;=10,"Post-Monsoon",IF(MONTH($AZ204)&gt;=6,"Hot Humid",IF(MONTH($AZ204)&gt;=3,"Hot Dry","Cold Winter")))))</f>
        <v/>
      </c>
      <c r="BB204">
        <f>IF($AU204="","",IFERROR(VLOOKUP($AU204,DECODE!$A$3:$C$8,2,FALSE),"?"))</f>
        <v/>
      </c>
      <c r="BC204">
        <f>IF($P204="","",UPPER(TRIM(LEFT($P204&amp;",",FIND(",",$P204&amp;",")-1))))</f>
        <v/>
      </c>
      <c r="BD204">
        <f>IF($BC204="","",MID($BC204,4,FIND("~",SUBSTITUTE($BC204,"-","~",2))-4))</f>
        <v/>
      </c>
      <c r="BE204">
        <f>IF($BC204="","",MID($BC204,FIND("~",SUBSTITUTE($BC204,"-","~",2))+1,FIND("~",SUBSTITUTE($BC204,"-","~",3))-FIND("~",SUBSTITUTE($BC204,"-","~",2))-1))</f>
        <v/>
      </c>
      <c r="BF204">
        <f>IF($BD204="","",IFERROR(VLOOKUP($BD204,DECODE!$A$3:$C$8,3,FALSE),"?"))</f>
        <v/>
      </c>
      <c r="BG204">
        <f>IF($BE204="","",IFERROR(VLOOKUP($BD204&amp;"-"&amp;$BE204,DECODE!$E$3:$F$21,2,FALSE),"?"))</f>
        <v/>
      </c>
      <c r="BH204">
        <f>IF($BC204="","",IFERROR(VALUE(RIGHT($BC204,3)),""))</f>
        <v/>
      </c>
      <c r="BI204">
        <f>IF($V204="","",IFERROR(IF(ISNUMBER($V204),$V204,DATEVALUE(TRIM($V204))),""))</f>
        <v/>
      </c>
      <c r="BJ204">
        <f>IF($BI204="","",IF(MONTH($BI204)&gt;=12,"Cold Winter",IF(MONTH($BI204)&gt;=10,"Post-Monsoon",IF(MONTH($BI204)&gt;=6,"Hot Humid",IF(MONTH($BI204)&gt;=3,"Hot Dry","Cold Winter")))))</f>
        <v/>
      </c>
      <c r="BK204">
        <f>IF($BD204="","",IFERROR(VLOOKUP($BD204,DECODE!$A$3:$C$8,2,FALSE),"?"))</f>
        <v/>
      </c>
      <c r="BL204">
        <f>IF($Q204="","",UPPER(TRIM(LEFT($Q204&amp;",",FIND(",",$Q204&amp;",")-1))))</f>
        <v/>
      </c>
      <c r="BM204">
        <f>IF($BL204="","",MID($BL204,4,FIND("~",SUBSTITUTE($BL204,"-","~",2))-4))</f>
        <v/>
      </c>
      <c r="BN204">
        <f>IF($BL204="","",MID($BL204,FIND("~",SUBSTITUTE($BL204,"-","~",2))+1,FIND("~",SUBSTITUTE($BL204,"-","~",3))-FIND("~",SUBSTITUTE($BL204,"-","~",2))-1))</f>
        <v/>
      </c>
      <c r="BO204">
        <f>IF($BM204="","",IFERROR(VLOOKUP($BM204,DECODE!$A$3:$C$8,3,FALSE),"?"))</f>
        <v/>
      </c>
      <c r="BP204">
        <f>IF($BN204="","",IFERROR(VLOOKUP($BM204&amp;"-"&amp;$BN204,DECODE!$E$3:$F$21,2,FALSE),"?"))</f>
        <v/>
      </c>
      <c r="BQ204">
        <f>IF($BL204="","",IFERROR(VALUE(RIGHT($BL204,3)),""))</f>
        <v/>
      </c>
      <c r="BR204">
        <f>IF($W204="","",IFERROR(IF(ISNUMBER($W204),$W204,DATEVALUE(TRIM($W204))),""))</f>
        <v/>
      </c>
      <c r="BS204">
        <f>IF($BR204="","",IF(MONTH($BR204)&gt;=12,"Cold Winter",IF(MONTH($BR204)&gt;=10,"Post-Monsoon",IF(MONTH($BR204)&gt;=6,"Hot Humid",IF(MONTH($BR204)&gt;=3,"Hot Dry","Cold Winter")))))</f>
        <v/>
      </c>
      <c r="BT204">
        <f>IF($BM204="","",IFERROR(VLOOKUP($BM204,DECODE!$A$3:$C$8,2,FALSE),"?"))</f>
        <v/>
      </c>
      <c r="BU204">
        <f>IF($R204="","",UPPER(TRIM(LEFT($R204&amp;",",FIND(",",$R204&amp;",")-1))))</f>
        <v/>
      </c>
      <c r="BV204">
        <f>IF($BU204="","",MID($BU204,4,FIND("~",SUBSTITUTE($BU204,"-","~",2))-4))</f>
        <v/>
      </c>
      <c r="BW204">
        <f>IF($BU204="","",MID($BU204,FIND("~",SUBSTITUTE($BU204,"-","~",2))+1,FIND("~",SUBSTITUTE($BU204,"-","~",3))-FIND("~",SUBSTITUTE($BU204,"-","~",2))-1))</f>
        <v/>
      </c>
      <c r="BX204">
        <f>IF($BV204="","",IFERROR(VLOOKUP($BV204,DECODE!$A$3:$C$8,3,FALSE),"?"))</f>
        <v/>
      </c>
      <c r="BY204">
        <f>IF($BW204="","",IFERROR(VLOOKUP($BV204&amp;"-"&amp;$BW204,DECODE!$E$3:$F$21,2,FALSE),"?"))</f>
        <v/>
      </c>
      <c r="BZ204">
        <f>IF($BU204="","",IFERROR(VALUE(RIGHT($BU204,3)),""))</f>
        <v/>
      </c>
      <c r="CA204">
        <f>IF($X204="","",IFERROR(IF(ISNUMBER($X204),$X204,DATEVALUE(TRIM($X204))),""))</f>
        <v/>
      </c>
      <c r="CB204">
        <f>IF($CA204="","",IF(MONTH($CA204)&gt;=12,"Cold Winter",IF(MONTH($CA204)&gt;=10,"Post-Monsoon",IF(MONTH($CA204)&gt;=6,"Hot Humid",IF(MONTH($CA204)&gt;=3,"Hot Dry","Cold Winter")))))</f>
        <v/>
      </c>
      <c r="CC204">
        <f>IF($BV204="","",IFERROR(VLOOKUP($BV204,DECODE!$A$3:$C$8,2,FALSE),"?"))</f>
        <v/>
      </c>
      <c r="CD204">
        <f>IF($S204="","",UPPER(TRIM(LEFT($S204&amp;",",FIND(",",$S204&amp;",")-1))))</f>
        <v/>
      </c>
      <c r="CE204">
        <f>IF($CD204="","",MID($CD204,4,FIND("~",SUBSTITUTE($CD204,"-","~",2))-4))</f>
        <v/>
      </c>
      <c r="CF204">
        <f>IF($CD204="","",MID($CD204,FIND("~",SUBSTITUTE($CD204,"-","~",2))+1,FIND("~",SUBSTITUTE($CD204,"-","~",3))-FIND("~",SUBSTITUTE($CD204,"-","~",2))-1))</f>
        <v/>
      </c>
      <c r="CG204">
        <f>IF($CE204="","",IFERROR(VLOOKUP($CE204,DECODE!$A$3:$C$8,3,FALSE),"?"))</f>
        <v/>
      </c>
      <c r="CH204">
        <f>IF($CF204="","",IFERROR(VLOOKUP($CE204&amp;"-"&amp;$CF204,DECODE!$E$3:$F$21,2,FALSE),"?"))</f>
        <v/>
      </c>
      <c r="CI204">
        <f>IF($CD204="","",IFERROR(VALUE(RIGHT($CD204,3)),""))</f>
        <v/>
      </c>
      <c r="CJ204">
        <f>IF($Y204="","",IFERROR(IF(ISNUMBER($Y204),$Y204,DATEVALUE(TRIM($Y204))),""))</f>
        <v/>
      </c>
      <c r="CK204">
        <f>IF($CJ204="","",IF(MONTH($CJ204)&gt;=12,"Cold Winter",IF(MONTH($CJ204)&gt;=10,"Post-Monsoon",IF(MONTH($CJ204)&gt;=6,"Hot Humid",IF(MONTH($CJ204)&gt;=3,"Hot Dry","Cold Winter")))))</f>
        <v/>
      </c>
      <c r="CL204">
        <f>IF($CE204="","",IFERROR(VLOOKUP($CE204,DECODE!$A$3:$C$8,2,FALSE),"?"))</f>
        <v/>
      </c>
      <c r="CM204">
        <f>IF($AN204="","",AN204)</f>
        <v/>
      </c>
      <c r="CN204">
        <f>IF($AO204="","",AO204)</f>
        <v/>
      </c>
      <c r="CO204">
        <f>IF($AP204="","",AP204)</f>
        <v/>
      </c>
      <c r="CP204">
        <f>IF($CM204="","",IF($CM204="Aloe Vera Gel","Aloe Vera Gel "&amp;$CO204&amp;"g",CN204&amp;" "&amp;$CO204&amp;"g"))</f>
        <v/>
      </c>
      <c r="CQ204">
        <f>IF($AT204="",0,1)</f>
        <v/>
      </c>
      <c r="CR204">
        <f>IF($CQ204=0,"",AW204)</f>
        <v/>
      </c>
      <c r="CS204">
        <f>IF($CQ204=0,"",AX204)</f>
        <v/>
      </c>
      <c r="CT204">
        <f>IF($CQ204=0,"",AY204)</f>
        <v/>
      </c>
      <c r="CU204">
        <f>IF($CR204="","",IF($CR204="Aloe Vera Gel","Aloe Vera Gel "&amp;$CT204&amp;"g",CS204&amp;" "&amp;$CT204&amp;"g"))</f>
        <v/>
      </c>
      <c r="CV204">
        <f>IF($CQ204=0,"",IF($CP204=$CU204,"Repeat Exact",IF($CT204&gt;$CO204,"Upsized",IF($CT204&lt;$CO204,"Downsized",IF($CM204&lt;&gt;$CR204,"Lateral","Same Size Diff Variant")))))</f>
        <v/>
      </c>
      <c r="CW204">
        <f>IF($CQ204=0,"",AZ204-AQ204)</f>
        <v/>
      </c>
      <c r="CX204">
        <f>IF($CQ204=0,0,IF(CS204=CN204,1,0))</f>
        <v/>
      </c>
      <c r="CY204">
        <f>IF($CQ204=0,0,IF(CR204=CM204,1,0))</f>
        <v/>
      </c>
      <c r="CZ204">
        <f>IF($A204="","",IF(AND(IF(DASHBOARD!$C$4="All",TRUE,$CM204=DASHBOARD!$C$4),IF(DASHBOARD!$C$6="All",TRUE,$CP204=DASHBOARD!$C$6),IF(DASHBOARD!$C$8="All",TRUE,$AF204&gt;=DASHBOARD!$C$8),IF(DASHBOARD!$C$10="All",TRUE,$AF204&lt;=DASHBOARD!$C$10),IF(DASHBOARD!$C$12="All",TRUE,$AH204=VALUE(DASHBOARD!$C$12)),IF(DASHBOARD!$C$14="All",TRUE,$AJ204=DASHBOARD!$C$14)),1,0))</f>
        <v/>
      </c>
    </row>
    <row r="205">
      <c r="A205" t="n">
        <v>131982</v>
      </c>
      <c r="B205" t="inlineStr">
        <is>
          <t>Face Malai</t>
        </is>
      </c>
      <c r="H205" t="inlineStr">
        <is>
          <t>Clove Tea-Tree (Anti-Acne) Face Malai</t>
        </is>
      </c>
      <c r="N205" t="inlineStr">
        <is>
          <t>FC-DM-AA-030</t>
        </is>
      </c>
      <c r="T205" t="inlineStr">
        <is>
          <t>Dec 26, 2024</t>
        </is>
      </c>
      <c r="AE205" t="inlineStr">
        <is>
          <t>Bengaluru</t>
        </is>
      </c>
      <c r="AF205" t="inlineStr">
        <is>
          <t>2024-12</t>
        </is>
      </c>
      <c r="AG205" t="n">
        <v>12</v>
      </c>
      <c r="AH205" t="n">
        <v>1</v>
      </c>
      <c r="AI205" t="n">
        <v>0</v>
      </c>
      <c r="AJ205">
        <f>IF($AE205="","",IFERROR(VLOOKUP(TRIM($AE205),DECODE!$H$3:$I$60,2,FALSE),"Rest of India"))</f>
        <v/>
      </c>
      <c r="AK205">
        <f>IF($N205="","",UPPER(TRIM(LEFT($N205&amp;",",FIND(",",$N205&amp;",")-1))))</f>
        <v/>
      </c>
      <c r="AL205">
        <f>IF($AK205="","",MID($AK205,4,FIND("~",SUBSTITUTE($AK205,"-","~",2))-4))</f>
        <v/>
      </c>
      <c r="AM205">
        <f>IF($AK205="","",MID($AK205,FIND("~",SUBSTITUTE($AK205,"-","~",2))+1,FIND("~",SUBSTITUTE($AK205,"-","~",3))-FIND("~",SUBSTITUTE($AK205,"-","~",2))-1))</f>
        <v/>
      </c>
      <c r="AN205">
        <f>IF($AL205="","",IFERROR(VLOOKUP($AL205,DECODE!$A$3:$C$8,3,FALSE),"?"))</f>
        <v/>
      </c>
      <c r="AO205">
        <f>IF($AM205="","",IFERROR(VLOOKUP($AL205&amp;"-"&amp;$AM205,DECODE!$E$3:$F$21,2,FALSE),"?"))</f>
        <v/>
      </c>
      <c r="AP205">
        <f>IF($AK205="","",IFERROR(VALUE(RIGHT($AK205,3)),""))</f>
        <v/>
      </c>
      <c r="AQ205">
        <f>IF($T205="","",IFERROR(IF(ISNUMBER($T205),$T205,DATEVALUE(TRIM($T205))),""))</f>
        <v/>
      </c>
      <c r="AR205">
        <f>IF($AQ205="","",IF(MONTH($AQ205)&gt;=12,"Cold Winter",IF(MONTH($AQ205)&gt;=10,"Post-Monsoon",IF(MONTH($AQ205)&gt;=6,"Hot Humid",IF(MONTH($AQ205)&gt;=3,"Hot Dry","Cold Winter")))))</f>
        <v/>
      </c>
      <c r="AS205">
        <f>IF($AL205="","",IFERROR(VLOOKUP($AL205,DECODE!$A$3:$C$8,2,FALSE),"?"))</f>
        <v/>
      </c>
      <c r="AT205">
        <f>IF($O205="","",UPPER(TRIM(LEFT($O205&amp;",",FIND(",",$O205&amp;",")-1))))</f>
        <v/>
      </c>
      <c r="AU205">
        <f>IF($AT205="","",MID($AT205,4,FIND("~",SUBSTITUTE($AT205,"-","~",2))-4))</f>
        <v/>
      </c>
      <c r="AV205">
        <f>IF($AT205="","",MID($AT205,FIND("~",SUBSTITUTE($AT205,"-","~",2))+1,FIND("~",SUBSTITUTE($AT205,"-","~",3))-FIND("~",SUBSTITUTE($AT205,"-","~",2))-1))</f>
        <v/>
      </c>
      <c r="AW205">
        <f>IF($AU205="","",IFERROR(VLOOKUP($AU205,DECODE!$A$3:$C$8,3,FALSE),"?"))</f>
        <v/>
      </c>
      <c r="AX205">
        <f>IF($AV205="","",IFERROR(VLOOKUP($AU205&amp;"-"&amp;$AV205,DECODE!$E$3:$F$21,2,FALSE),"?"))</f>
        <v/>
      </c>
      <c r="AY205">
        <f>IF($AT205="","",IFERROR(VALUE(RIGHT($AT205,3)),""))</f>
        <v/>
      </c>
      <c r="AZ205">
        <f>IF($U205="","",IFERROR(IF(ISNUMBER($U205),$U205,DATEVALUE(TRIM($U205))),""))</f>
        <v/>
      </c>
      <c r="BA205">
        <f>IF($AZ205="","",IF(MONTH($AZ205)&gt;=12,"Cold Winter",IF(MONTH($AZ205)&gt;=10,"Post-Monsoon",IF(MONTH($AZ205)&gt;=6,"Hot Humid",IF(MONTH($AZ205)&gt;=3,"Hot Dry","Cold Winter")))))</f>
        <v/>
      </c>
      <c r="BB205">
        <f>IF($AU205="","",IFERROR(VLOOKUP($AU205,DECODE!$A$3:$C$8,2,FALSE),"?"))</f>
        <v/>
      </c>
      <c r="BC205">
        <f>IF($P205="","",UPPER(TRIM(LEFT($P205&amp;",",FIND(",",$P205&amp;",")-1))))</f>
        <v/>
      </c>
      <c r="BD205">
        <f>IF($BC205="","",MID($BC205,4,FIND("~",SUBSTITUTE($BC205,"-","~",2))-4))</f>
        <v/>
      </c>
      <c r="BE205">
        <f>IF($BC205="","",MID($BC205,FIND("~",SUBSTITUTE($BC205,"-","~",2))+1,FIND("~",SUBSTITUTE($BC205,"-","~",3))-FIND("~",SUBSTITUTE($BC205,"-","~",2))-1))</f>
        <v/>
      </c>
      <c r="BF205">
        <f>IF($BD205="","",IFERROR(VLOOKUP($BD205,DECODE!$A$3:$C$8,3,FALSE),"?"))</f>
        <v/>
      </c>
      <c r="BG205">
        <f>IF($BE205="","",IFERROR(VLOOKUP($BD205&amp;"-"&amp;$BE205,DECODE!$E$3:$F$21,2,FALSE),"?"))</f>
        <v/>
      </c>
      <c r="BH205">
        <f>IF($BC205="","",IFERROR(VALUE(RIGHT($BC205,3)),""))</f>
        <v/>
      </c>
      <c r="BI205">
        <f>IF($V205="","",IFERROR(IF(ISNUMBER($V205),$V205,DATEVALUE(TRIM($V205))),""))</f>
        <v/>
      </c>
      <c r="BJ205">
        <f>IF($BI205="","",IF(MONTH($BI205)&gt;=12,"Cold Winter",IF(MONTH($BI205)&gt;=10,"Post-Monsoon",IF(MONTH($BI205)&gt;=6,"Hot Humid",IF(MONTH($BI205)&gt;=3,"Hot Dry","Cold Winter")))))</f>
        <v/>
      </c>
      <c r="BK205">
        <f>IF($BD205="","",IFERROR(VLOOKUP($BD205,DECODE!$A$3:$C$8,2,FALSE),"?"))</f>
        <v/>
      </c>
      <c r="BL205">
        <f>IF($Q205="","",UPPER(TRIM(LEFT($Q205&amp;",",FIND(",",$Q205&amp;",")-1))))</f>
        <v/>
      </c>
      <c r="BM205">
        <f>IF($BL205="","",MID($BL205,4,FIND("~",SUBSTITUTE($BL205,"-","~",2))-4))</f>
        <v/>
      </c>
      <c r="BN205">
        <f>IF($BL205="","",MID($BL205,FIND("~",SUBSTITUTE($BL205,"-","~",2))+1,FIND("~",SUBSTITUTE($BL205,"-","~",3))-FIND("~",SUBSTITUTE($BL205,"-","~",2))-1))</f>
        <v/>
      </c>
      <c r="BO205">
        <f>IF($BM205="","",IFERROR(VLOOKUP($BM205,DECODE!$A$3:$C$8,3,FALSE),"?"))</f>
        <v/>
      </c>
      <c r="BP205">
        <f>IF($BN205="","",IFERROR(VLOOKUP($BM205&amp;"-"&amp;$BN205,DECODE!$E$3:$F$21,2,FALSE),"?"))</f>
        <v/>
      </c>
      <c r="BQ205">
        <f>IF($BL205="","",IFERROR(VALUE(RIGHT($BL205,3)),""))</f>
        <v/>
      </c>
      <c r="BR205">
        <f>IF($W205="","",IFERROR(IF(ISNUMBER($W205),$W205,DATEVALUE(TRIM($W205))),""))</f>
        <v/>
      </c>
      <c r="BS205">
        <f>IF($BR205="","",IF(MONTH($BR205)&gt;=12,"Cold Winter",IF(MONTH($BR205)&gt;=10,"Post-Monsoon",IF(MONTH($BR205)&gt;=6,"Hot Humid",IF(MONTH($BR205)&gt;=3,"Hot Dry","Cold Winter")))))</f>
        <v/>
      </c>
      <c r="BT205">
        <f>IF($BM205="","",IFERROR(VLOOKUP($BM205,DECODE!$A$3:$C$8,2,FALSE),"?"))</f>
        <v/>
      </c>
      <c r="BU205">
        <f>IF($R205="","",UPPER(TRIM(LEFT($R205&amp;",",FIND(",",$R205&amp;",")-1))))</f>
        <v/>
      </c>
      <c r="BV205">
        <f>IF($BU205="","",MID($BU205,4,FIND("~",SUBSTITUTE($BU205,"-","~",2))-4))</f>
        <v/>
      </c>
      <c r="BW205">
        <f>IF($BU205="","",MID($BU205,FIND("~",SUBSTITUTE($BU205,"-","~",2))+1,FIND("~",SUBSTITUTE($BU205,"-","~",3))-FIND("~",SUBSTITUTE($BU205,"-","~",2))-1))</f>
        <v/>
      </c>
      <c r="BX205">
        <f>IF($BV205="","",IFERROR(VLOOKUP($BV205,DECODE!$A$3:$C$8,3,FALSE),"?"))</f>
        <v/>
      </c>
      <c r="BY205">
        <f>IF($BW205="","",IFERROR(VLOOKUP($BV205&amp;"-"&amp;$BW205,DECODE!$E$3:$F$21,2,FALSE),"?"))</f>
        <v/>
      </c>
      <c r="BZ205">
        <f>IF($BU205="","",IFERROR(VALUE(RIGHT($BU205,3)),""))</f>
        <v/>
      </c>
      <c r="CA205">
        <f>IF($X205="","",IFERROR(IF(ISNUMBER($X205),$X205,DATEVALUE(TRIM($X205))),""))</f>
        <v/>
      </c>
      <c r="CB205">
        <f>IF($CA205="","",IF(MONTH($CA205)&gt;=12,"Cold Winter",IF(MONTH($CA205)&gt;=10,"Post-Monsoon",IF(MONTH($CA205)&gt;=6,"Hot Humid",IF(MONTH($CA205)&gt;=3,"Hot Dry","Cold Winter")))))</f>
        <v/>
      </c>
      <c r="CC205">
        <f>IF($BV205="","",IFERROR(VLOOKUP($BV205,DECODE!$A$3:$C$8,2,FALSE),"?"))</f>
        <v/>
      </c>
      <c r="CD205">
        <f>IF($S205="","",UPPER(TRIM(LEFT($S205&amp;",",FIND(",",$S205&amp;",")-1))))</f>
        <v/>
      </c>
      <c r="CE205">
        <f>IF($CD205="","",MID($CD205,4,FIND("~",SUBSTITUTE($CD205,"-","~",2))-4))</f>
        <v/>
      </c>
      <c r="CF205">
        <f>IF($CD205="","",MID($CD205,FIND("~",SUBSTITUTE($CD205,"-","~",2))+1,FIND("~",SUBSTITUTE($CD205,"-","~",3))-FIND("~",SUBSTITUTE($CD205,"-","~",2))-1))</f>
        <v/>
      </c>
      <c r="CG205">
        <f>IF($CE205="","",IFERROR(VLOOKUP($CE205,DECODE!$A$3:$C$8,3,FALSE),"?"))</f>
        <v/>
      </c>
      <c r="CH205">
        <f>IF($CF205="","",IFERROR(VLOOKUP($CE205&amp;"-"&amp;$CF205,DECODE!$E$3:$F$21,2,FALSE),"?"))</f>
        <v/>
      </c>
      <c r="CI205">
        <f>IF($CD205="","",IFERROR(VALUE(RIGHT($CD205,3)),""))</f>
        <v/>
      </c>
      <c r="CJ205">
        <f>IF($Y205="","",IFERROR(IF(ISNUMBER($Y205),$Y205,DATEVALUE(TRIM($Y205))),""))</f>
        <v/>
      </c>
      <c r="CK205">
        <f>IF($CJ205="","",IF(MONTH($CJ205)&gt;=12,"Cold Winter",IF(MONTH($CJ205)&gt;=10,"Post-Monsoon",IF(MONTH($CJ205)&gt;=6,"Hot Humid",IF(MONTH($CJ205)&gt;=3,"Hot Dry","Cold Winter")))))</f>
        <v/>
      </c>
      <c r="CL205">
        <f>IF($CE205="","",IFERROR(VLOOKUP($CE205,DECODE!$A$3:$C$8,2,FALSE),"?"))</f>
        <v/>
      </c>
      <c r="CM205">
        <f>IF($AN205="","",AN205)</f>
        <v/>
      </c>
      <c r="CN205">
        <f>IF($AO205="","",AO205)</f>
        <v/>
      </c>
      <c r="CO205">
        <f>IF($AP205="","",AP205)</f>
        <v/>
      </c>
      <c r="CP205">
        <f>IF($CM205="","",IF($CM205="Aloe Vera Gel","Aloe Vera Gel "&amp;$CO205&amp;"g",CN205&amp;" "&amp;$CO205&amp;"g"))</f>
        <v/>
      </c>
      <c r="CQ205">
        <f>IF($AT205="",0,1)</f>
        <v/>
      </c>
      <c r="CR205">
        <f>IF($CQ205=0,"",AW205)</f>
        <v/>
      </c>
      <c r="CS205">
        <f>IF($CQ205=0,"",AX205)</f>
        <v/>
      </c>
      <c r="CT205">
        <f>IF($CQ205=0,"",AY205)</f>
        <v/>
      </c>
      <c r="CU205">
        <f>IF($CR205="","",IF($CR205="Aloe Vera Gel","Aloe Vera Gel "&amp;$CT205&amp;"g",CS205&amp;" "&amp;$CT205&amp;"g"))</f>
        <v/>
      </c>
      <c r="CV205">
        <f>IF($CQ205=0,"",IF($CP205=$CU205,"Repeat Exact",IF($CT205&gt;$CO205,"Upsized",IF($CT205&lt;$CO205,"Downsized",IF($CM205&lt;&gt;$CR205,"Lateral","Same Size Diff Variant")))))</f>
        <v/>
      </c>
      <c r="CW205">
        <f>IF($CQ205=0,"",AZ205-AQ205)</f>
        <v/>
      </c>
      <c r="CX205">
        <f>IF($CQ205=0,0,IF(CS205=CN205,1,0))</f>
        <v/>
      </c>
      <c r="CY205">
        <f>IF($CQ205=0,0,IF(CR205=CM205,1,0))</f>
        <v/>
      </c>
      <c r="CZ205">
        <f>IF($A205="","",IF(AND(IF(DASHBOARD!$C$4="All",TRUE,$CM205=DASHBOARD!$C$4),IF(DASHBOARD!$C$6="All",TRUE,$CP205=DASHBOARD!$C$6),IF(DASHBOARD!$C$8="All",TRUE,$AF205&gt;=DASHBOARD!$C$8),IF(DASHBOARD!$C$10="All",TRUE,$AF205&lt;=DASHBOARD!$C$10),IF(DASHBOARD!$C$12="All",TRUE,$AH205=VALUE(DASHBOARD!$C$12)),IF(DASHBOARD!$C$14="All",TRUE,$AJ205=DASHBOARD!$C$14)),1,0))</f>
        <v/>
      </c>
    </row>
    <row r="206">
      <c r="A206" t="n">
        <v>132049</v>
      </c>
      <c r="B206" t="inlineStr">
        <is>
          <t>Face Malai</t>
        </is>
      </c>
      <c r="H206" t="inlineStr">
        <is>
          <t>Tomato Vetiver (Hot Humid) 20 - 35 Yrs Face Malai - 50g</t>
        </is>
      </c>
      <c r="N206" t="inlineStr">
        <is>
          <t>FC-HHDM-TV-050</t>
        </is>
      </c>
      <c r="T206" t="inlineStr">
        <is>
          <t>Apr 30, 2026</t>
        </is>
      </c>
      <c r="AE206" t="inlineStr">
        <is>
          <t>Nanded</t>
        </is>
      </c>
      <c r="AF206" t="inlineStr">
        <is>
          <t>2026-04</t>
        </is>
      </c>
      <c r="AG206" t="n">
        <v>4</v>
      </c>
      <c r="AH206" t="n">
        <v>1</v>
      </c>
      <c r="AI206" t="n">
        <v>0</v>
      </c>
      <c r="AJ206">
        <f>IF($AE206="","",IFERROR(VLOOKUP(TRIM($AE206),DECODE!$H$3:$I$60,2,FALSE),"Rest of India"))</f>
        <v/>
      </c>
      <c r="AK206">
        <f>IF($N206="","",UPPER(TRIM(LEFT($N206&amp;",",FIND(",",$N206&amp;",")-1))))</f>
        <v/>
      </c>
      <c r="AL206">
        <f>IF($AK206="","",MID($AK206,4,FIND("~",SUBSTITUTE($AK206,"-","~",2))-4))</f>
        <v/>
      </c>
      <c r="AM206">
        <f>IF($AK206="","",MID($AK206,FIND("~",SUBSTITUTE($AK206,"-","~",2))+1,FIND("~",SUBSTITUTE($AK206,"-","~",3))-FIND("~",SUBSTITUTE($AK206,"-","~",2))-1))</f>
        <v/>
      </c>
      <c r="AN206">
        <f>IF($AL206="","",IFERROR(VLOOKUP($AL206,DECODE!$A$3:$C$8,3,FALSE),"?"))</f>
        <v/>
      </c>
      <c r="AO206">
        <f>IF($AM206="","",IFERROR(VLOOKUP($AL206&amp;"-"&amp;$AM206,DECODE!$E$3:$F$21,2,FALSE),"?"))</f>
        <v/>
      </c>
      <c r="AP206">
        <f>IF($AK206="","",IFERROR(VALUE(RIGHT($AK206,3)),""))</f>
        <v/>
      </c>
      <c r="AQ206">
        <f>IF($T206="","",IFERROR(IF(ISNUMBER($T206),$T206,DATEVALUE(TRIM($T206))),""))</f>
        <v/>
      </c>
      <c r="AR206">
        <f>IF($AQ206="","",IF(MONTH($AQ206)&gt;=12,"Cold Winter",IF(MONTH($AQ206)&gt;=10,"Post-Monsoon",IF(MONTH($AQ206)&gt;=6,"Hot Humid",IF(MONTH($AQ206)&gt;=3,"Hot Dry","Cold Winter")))))</f>
        <v/>
      </c>
      <c r="AS206">
        <f>IF($AL206="","",IFERROR(VLOOKUP($AL206,DECODE!$A$3:$C$8,2,FALSE),"?"))</f>
        <v/>
      </c>
      <c r="AT206">
        <f>IF($O206="","",UPPER(TRIM(LEFT($O206&amp;",",FIND(",",$O206&amp;",")-1))))</f>
        <v/>
      </c>
      <c r="AU206">
        <f>IF($AT206="","",MID($AT206,4,FIND("~",SUBSTITUTE($AT206,"-","~",2))-4))</f>
        <v/>
      </c>
      <c r="AV206">
        <f>IF($AT206="","",MID($AT206,FIND("~",SUBSTITUTE($AT206,"-","~",2))+1,FIND("~",SUBSTITUTE($AT206,"-","~",3))-FIND("~",SUBSTITUTE($AT206,"-","~",2))-1))</f>
        <v/>
      </c>
      <c r="AW206">
        <f>IF($AU206="","",IFERROR(VLOOKUP($AU206,DECODE!$A$3:$C$8,3,FALSE),"?"))</f>
        <v/>
      </c>
      <c r="AX206">
        <f>IF($AV206="","",IFERROR(VLOOKUP($AU206&amp;"-"&amp;$AV206,DECODE!$E$3:$F$21,2,FALSE),"?"))</f>
        <v/>
      </c>
      <c r="AY206">
        <f>IF($AT206="","",IFERROR(VALUE(RIGHT($AT206,3)),""))</f>
        <v/>
      </c>
      <c r="AZ206">
        <f>IF($U206="","",IFERROR(IF(ISNUMBER($U206),$U206,DATEVALUE(TRIM($U206))),""))</f>
        <v/>
      </c>
      <c r="BA206">
        <f>IF($AZ206="","",IF(MONTH($AZ206)&gt;=12,"Cold Winter",IF(MONTH($AZ206)&gt;=10,"Post-Monsoon",IF(MONTH($AZ206)&gt;=6,"Hot Humid",IF(MONTH($AZ206)&gt;=3,"Hot Dry","Cold Winter")))))</f>
        <v/>
      </c>
      <c r="BB206">
        <f>IF($AU206="","",IFERROR(VLOOKUP($AU206,DECODE!$A$3:$C$8,2,FALSE),"?"))</f>
        <v/>
      </c>
      <c r="BC206">
        <f>IF($P206="","",UPPER(TRIM(LEFT($P206&amp;",",FIND(",",$P206&amp;",")-1))))</f>
        <v/>
      </c>
      <c r="BD206">
        <f>IF($BC206="","",MID($BC206,4,FIND("~",SUBSTITUTE($BC206,"-","~",2))-4))</f>
        <v/>
      </c>
      <c r="BE206">
        <f>IF($BC206="","",MID($BC206,FIND("~",SUBSTITUTE($BC206,"-","~",2))+1,FIND("~",SUBSTITUTE($BC206,"-","~",3))-FIND("~",SUBSTITUTE($BC206,"-","~",2))-1))</f>
        <v/>
      </c>
      <c r="BF206">
        <f>IF($BD206="","",IFERROR(VLOOKUP($BD206,DECODE!$A$3:$C$8,3,FALSE),"?"))</f>
        <v/>
      </c>
      <c r="BG206">
        <f>IF($BE206="","",IFERROR(VLOOKUP($BD206&amp;"-"&amp;$BE206,DECODE!$E$3:$F$21,2,FALSE),"?"))</f>
        <v/>
      </c>
      <c r="BH206">
        <f>IF($BC206="","",IFERROR(VALUE(RIGHT($BC206,3)),""))</f>
        <v/>
      </c>
      <c r="BI206">
        <f>IF($V206="","",IFERROR(IF(ISNUMBER($V206),$V206,DATEVALUE(TRIM($V206))),""))</f>
        <v/>
      </c>
      <c r="BJ206">
        <f>IF($BI206="","",IF(MONTH($BI206)&gt;=12,"Cold Winter",IF(MONTH($BI206)&gt;=10,"Post-Monsoon",IF(MONTH($BI206)&gt;=6,"Hot Humid",IF(MONTH($BI206)&gt;=3,"Hot Dry","Cold Winter")))))</f>
        <v/>
      </c>
      <c r="BK206">
        <f>IF($BD206="","",IFERROR(VLOOKUP($BD206,DECODE!$A$3:$C$8,2,FALSE),"?"))</f>
        <v/>
      </c>
      <c r="BL206">
        <f>IF($Q206="","",UPPER(TRIM(LEFT($Q206&amp;",",FIND(",",$Q206&amp;",")-1))))</f>
        <v/>
      </c>
      <c r="BM206">
        <f>IF($BL206="","",MID($BL206,4,FIND("~",SUBSTITUTE($BL206,"-","~",2))-4))</f>
        <v/>
      </c>
      <c r="BN206">
        <f>IF($BL206="","",MID($BL206,FIND("~",SUBSTITUTE($BL206,"-","~",2))+1,FIND("~",SUBSTITUTE($BL206,"-","~",3))-FIND("~",SUBSTITUTE($BL206,"-","~",2))-1))</f>
        <v/>
      </c>
      <c r="BO206">
        <f>IF($BM206="","",IFERROR(VLOOKUP($BM206,DECODE!$A$3:$C$8,3,FALSE),"?"))</f>
        <v/>
      </c>
      <c r="BP206">
        <f>IF($BN206="","",IFERROR(VLOOKUP($BM206&amp;"-"&amp;$BN206,DECODE!$E$3:$F$21,2,FALSE),"?"))</f>
        <v/>
      </c>
      <c r="BQ206">
        <f>IF($BL206="","",IFERROR(VALUE(RIGHT($BL206,3)),""))</f>
        <v/>
      </c>
      <c r="BR206">
        <f>IF($W206="","",IFERROR(IF(ISNUMBER($W206),$W206,DATEVALUE(TRIM($W206))),""))</f>
        <v/>
      </c>
      <c r="BS206">
        <f>IF($BR206="","",IF(MONTH($BR206)&gt;=12,"Cold Winter",IF(MONTH($BR206)&gt;=10,"Post-Monsoon",IF(MONTH($BR206)&gt;=6,"Hot Humid",IF(MONTH($BR206)&gt;=3,"Hot Dry","Cold Winter")))))</f>
        <v/>
      </c>
      <c r="BT206">
        <f>IF($BM206="","",IFERROR(VLOOKUP($BM206,DECODE!$A$3:$C$8,2,FALSE),"?"))</f>
        <v/>
      </c>
      <c r="BU206">
        <f>IF($R206="","",UPPER(TRIM(LEFT($R206&amp;",",FIND(",",$R206&amp;",")-1))))</f>
        <v/>
      </c>
      <c r="BV206">
        <f>IF($BU206="","",MID($BU206,4,FIND("~",SUBSTITUTE($BU206,"-","~",2))-4))</f>
        <v/>
      </c>
      <c r="BW206">
        <f>IF($BU206="","",MID($BU206,FIND("~",SUBSTITUTE($BU206,"-","~",2))+1,FIND("~",SUBSTITUTE($BU206,"-","~",3))-FIND("~",SUBSTITUTE($BU206,"-","~",2))-1))</f>
        <v/>
      </c>
      <c r="BX206">
        <f>IF($BV206="","",IFERROR(VLOOKUP($BV206,DECODE!$A$3:$C$8,3,FALSE),"?"))</f>
        <v/>
      </c>
      <c r="BY206">
        <f>IF($BW206="","",IFERROR(VLOOKUP($BV206&amp;"-"&amp;$BW206,DECODE!$E$3:$F$21,2,FALSE),"?"))</f>
        <v/>
      </c>
      <c r="BZ206">
        <f>IF($BU206="","",IFERROR(VALUE(RIGHT($BU206,3)),""))</f>
        <v/>
      </c>
      <c r="CA206">
        <f>IF($X206="","",IFERROR(IF(ISNUMBER($X206),$X206,DATEVALUE(TRIM($X206))),""))</f>
        <v/>
      </c>
      <c r="CB206">
        <f>IF($CA206="","",IF(MONTH($CA206)&gt;=12,"Cold Winter",IF(MONTH($CA206)&gt;=10,"Post-Monsoon",IF(MONTH($CA206)&gt;=6,"Hot Humid",IF(MONTH($CA206)&gt;=3,"Hot Dry","Cold Winter")))))</f>
        <v/>
      </c>
      <c r="CC206">
        <f>IF($BV206="","",IFERROR(VLOOKUP($BV206,DECODE!$A$3:$C$8,2,FALSE),"?"))</f>
        <v/>
      </c>
      <c r="CD206">
        <f>IF($S206="","",UPPER(TRIM(LEFT($S206&amp;",",FIND(",",$S206&amp;",")-1))))</f>
        <v/>
      </c>
      <c r="CE206">
        <f>IF($CD206="","",MID($CD206,4,FIND("~",SUBSTITUTE($CD206,"-","~",2))-4))</f>
        <v/>
      </c>
      <c r="CF206">
        <f>IF($CD206="","",MID($CD206,FIND("~",SUBSTITUTE($CD206,"-","~",2))+1,FIND("~",SUBSTITUTE($CD206,"-","~",3))-FIND("~",SUBSTITUTE($CD206,"-","~",2))-1))</f>
        <v/>
      </c>
      <c r="CG206">
        <f>IF($CE206="","",IFERROR(VLOOKUP($CE206,DECODE!$A$3:$C$8,3,FALSE),"?"))</f>
        <v/>
      </c>
      <c r="CH206">
        <f>IF($CF206="","",IFERROR(VLOOKUP($CE206&amp;"-"&amp;$CF206,DECODE!$E$3:$F$21,2,FALSE),"?"))</f>
        <v/>
      </c>
      <c r="CI206">
        <f>IF($CD206="","",IFERROR(VALUE(RIGHT($CD206,3)),""))</f>
        <v/>
      </c>
      <c r="CJ206">
        <f>IF($Y206="","",IFERROR(IF(ISNUMBER($Y206),$Y206,DATEVALUE(TRIM($Y206))),""))</f>
        <v/>
      </c>
      <c r="CK206">
        <f>IF($CJ206="","",IF(MONTH($CJ206)&gt;=12,"Cold Winter",IF(MONTH($CJ206)&gt;=10,"Post-Monsoon",IF(MONTH($CJ206)&gt;=6,"Hot Humid",IF(MONTH($CJ206)&gt;=3,"Hot Dry","Cold Winter")))))</f>
        <v/>
      </c>
      <c r="CL206">
        <f>IF($CE206="","",IFERROR(VLOOKUP($CE206,DECODE!$A$3:$C$8,2,FALSE),"?"))</f>
        <v/>
      </c>
      <c r="CM206">
        <f>IF($AN206="","",AN206)</f>
        <v/>
      </c>
      <c r="CN206">
        <f>IF($AO206="","",AO206)</f>
        <v/>
      </c>
      <c r="CO206">
        <f>IF($AP206="","",AP206)</f>
        <v/>
      </c>
      <c r="CP206">
        <f>IF($CM206="","",IF($CM206="Aloe Vera Gel","Aloe Vera Gel "&amp;$CO206&amp;"g",CN206&amp;" "&amp;$CO206&amp;"g"))</f>
        <v/>
      </c>
      <c r="CQ206">
        <f>IF($AT206="",0,1)</f>
        <v/>
      </c>
      <c r="CR206">
        <f>IF($CQ206=0,"",AW206)</f>
        <v/>
      </c>
      <c r="CS206">
        <f>IF($CQ206=0,"",AX206)</f>
        <v/>
      </c>
      <c r="CT206">
        <f>IF($CQ206=0,"",AY206)</f>
        <v/>
      </c>
      <c r="CU206">
        <f>IF($CR206="","",IF($CR206="Aloe Vera Gel","Aloe Vera Gel "&amp;$CT206&amp;"g",CS206&amp;" "&amp;$CT206&amp;"g"))</f>
        <v/>
      </c>
      <c r="CV206">
        <f>IF($CQ206=0,"",IF($CP206=$CU206,"Repeat Exact",IF($CT206&gt;$CO206,"Upsized",IF($CT206&lt;$CO206,"Downsized",IF($CM206&lt;&gt;$CR206,"Lateral","Same Size Diff Variant")))))</f>
        <v/>
      </c>
      <c r="CW206">
        <f>IF($CQ206=0,"",AZ206-AQ206)</f>
        <v/>
      </c>
      <c r="CX206">
        <f>IF($CQ206=0,0,IF(CS206=CN206,1,0))</f>
        <v/>
      </c>
      <c r="CY206">
        <f>IF($CQ206=0,0,IF(CR206=CM206,1,0))</f>
        <v/>
      </c>
      <c r="CZ206">
        <f>IF($A206="","",IF(AND(IF(DASHBOARD!$C$4="All",TRUE,$CM206=DASHBOARD!$C$4),IF(DASHBOARD!$C$6="All",TRUE,$CP206=DASHBOARD!$C$6),IF(DASHBOARD!$C$8="All",TRUE,$AF206&gt;=DASHBOARD!$C$8),IF(DASHBOARD!$C$10="All",TRUE,$AF206&lt;=DASHBOARD!$C$10),IF(DASHBOARD!$C$12="All",TRUE,$AH206=VALUE(DASHBOARD!$C$12)),IF(DASHBOARD!$C$14="All",TRUE,$AJ206=DASHBOARD!$C$14)),1,0))</f>
        <v/>
      </c>
    </row>
    <row r="207">
      <c r="A207" t="n">
        <v>132062</v>
      </c>
      <c r="B207" t="inlineStr">
        <is>
          <t>Aloe Vera Gel</t>
        </is>
      </c>
      <c r="H207" t="inlineStr">
        <is>
          <t>Aloe Vera Gel - 40 gms</t>
        </is>
      </c>
      <c r="N207" t="inlineStr">
        <is>
          <t>FC-HG-PA-040</t>
        </is>
      </c>
      <c r="T207" t="inlineStr">
        <is>
          <t>Mar 25, 2024</t>
        </is>
      </c>
      <c r="AF207" t="inlineStr">
        <is>
          <t>2024-03</t>
        </is>
      </c>
      <c r="AG207" t="n">
        <v>3</v>
      </c>
      <c r="AH207" t="n">
        <v>1</v>
      </c>
      <c r="AI207" t="n">
        <v>0</v>
      </c>
      <c r="AJ207">
        <f>IF($AE207="","",IFERROR(VLOOKUP(TRIM($AE207),DECODE!$H$3:$I$60,2,FALSE),"Rest of India"))</f>
        <v/>
      </c>
      <c r="AK207">
        <f>IF($N207="","",UPPER(TRIM(LEFT($N207&amp;",",FIND(",",$N207&amp;",")-1))))</f>
        <v/>
      </c>
      <c r="AL207">
        <f>IF($AK207="","",MID($AK207,4,FIND("~",SUBSTITUTE($AK207,"-","~",2))-4))</f>
        <v/>
      </c>
      <c r="AM207">
        <f>IF($AK207="","",MID($AK207,FIND("~",SUBSTITUTE($AK207,"-","~",2))+1,FIND("~",SUBSTITUTE($AK207,"-","~",3))-FIND("~",SUBSTITUTE($AK207,"-","~",2))-1))</f>
        <v/>
      </c>
      <c r="AN207">
        <f>IF($AL207="","",IFERROR(VLOOKUP($AL207,DECODE!$A$3:$C$8,3,FALSE),"?"))</f>
        <v/>
      </c>
      <c r="AO207">
        <f>IF($AM207="","",IFERROR(VLOOKUP($AL207&amp;"-"&amp;$AM207,DECODE!$E$3:$F$21,2,FALSE),"?"))</f>
        <v/>
      </c>
      <c r="AP207">
        <f>IF($AK207="","",IFERROR(VALUE(RIGHT($AK207,3)),""))</f>
        <v/>
      </c>
      <c r="AQ207">
        <f>IF($T207="","",IFERROR(IF(ISNUMBER($T207),$T207,DATEVALUE(TRIM($T207))),""))</f>
        <v/>
      </c>
      <c r="AR207">
        <f>IF($AQ207="","",IF(MONTH($AQ207)&gt;=12,"Cold Winter",IF(MONTH($AQ207)&gt;=10,"Post-Monsoon",IF(MONTH($AQ207)&gt;=6,"Hot Humid",IF(MONTH($AQ207)&gt;=3,"Hot Dry","Cold Winter")))))</f>
        <v/>
      </c>
      <c r="AS207">
        <f>IF($AL207="","",IFERROR(VLOOKUP($AL207,DECODE!$A$3:$C$8,2,FALSE),"?"))</f>
        <v/>
      </c>
      <c r="AT207">
        <f>IF($O207="","",UPPER(TRIM(LEFT($O207&amp;",",FIND(",",$O207&amp;",")-1))))</f>
        <v/>
      </c>
      <c r="AU207">
        <f>IF($AT207="","",MID($AT207,4,FIND("~",SUBSTITUTE($AT207,"-","~",2))-4))</f>
        <v/>
      </c>
      <c r="AV207">
        <f>IF($AT207="","",MID($AT207,FIND("~",SUBSTITUTE($AT207,"-","~",2))+1,FIND("~",SUBSTITUTE($AT207,"-","~",3))-FIND("~",SUBSTITUTE($AT207,"-","~",2))-1))</f>
        <v/>
      </c>
      <c r="AW207">
        <f>IF($AU207="","",IFERROR(VLOOKUP($AU207,DECODE!$A$3:$C$8,3,FALSE),"?"))</f>
        <v/>
      </c>
      <c r="AX207">
        <f>IF($AV207="","",IFERROR(VLOOKUP($AU207&amp;"-"&amp;$AV207,DECODE!$E$3:$F$21,2,FALSE),"?"))</f>
        <v/>
      </c>
      <c r="AY207">
        <f>IF($AT207="","",IFERROR(VALUE(RIGHT($AT207,3)),""))</f>
        <v/>
      </c>
      <c r="AZ207">
        <f>IF($U207="","",IFERROR(IF(ISNUMBER($U207),$U207,DATEVALUE(TRIM($U207))),""))</f>
        <v/>
      </c>
      <c r="BA207">
        <f>IF($AZ207="","",IF(MONTH($AZ207)&gt;=12,"Cold Winter",IF(MONTH($AZ207)&gt;=10,"Post-Monsoon",IF(MONTH($AZ207)&gt;=6,"Hot Humid",IF(MONTH($AZ207)&gt;=3,"Hot Dry","Cold Winter")))))</f>
        <v/>
      </c>
      <c r="BB207">
        <f>IF($AU207="","",IFERROR(VLOOKUP($AU207,DECODE!$A$3:$C$8,2,FALSE),"?"))</f>
        <v/>
      </c>
      <c r="BC207">
        <f>IF($P207="","",UPPER(TRIM(LEFT($P207&amp;",",FIND(",",$P207&amp;",")-1))))</f>
        <v/>
      </c>
      <c r="BD207">
        <f>IF($BC207="","",MID($BC207,4,FIND("~",SUBSTITUTE($BC207,"-","~",2))-4))</f>
        <v/>
      </c>
      <c r="BE207">
        <f>IF($BC207="","",MID($BC207,FIND("~",SUBSTITUTE($BC207,"-","~",2))+1,FIND("~",SUBSTITUTE($BC207,"-","~",3))-FIND("~",SUBSTITUTE($BC207,"-","~",2))-1))</f>
        <v/>
      </c>
      <c r="BF207">
        <f>IF($BD207="","",IFERROR(VLOOKUP($BD207,DECODE!$A$3:$C$8,3,FALSE),"?"))</f>
        <v/>
      </c>
      <c r="BG207">
        <f>IF($BE207="","",IFERROR(VLOOKUP($BD207&amp;"-"&amp;$BE207,DECODE!$E$3:$F$21,2,FALSE),"?"))</f>
        <v/>
      </c>
      <c r="BH207">
        <f>IF($BC207="","",IFERROR(VALUE(RIGHT($BC207,3)),""))</f>
        <v/>
      </c>
      <c r="BI207">
        <f>IF($V207="","",IFERROR(IF(ISNUMBER($V207),$V207,DATEVALUE(TRIM($V207))),""))</f>
        <v/>
      </c>
      <c r="BJ207">
        <f>IF($BI207="","",IF(MONTH($BI207)&gt;=12,"Cold Winter",IF(MONTH($BI207)&gt;=10,"Post-Monsoon",IF(MONTH($BI207)&gt;=6,"Hot Humid",IF(MONTH($BI207)&gt;=3,"Hot Dry","Cold Winter")))))</f>
        <v/>
      </c>
      <c r="BK207">
        <f>IF($BD207="","",IFERROR(VLOOKUP($BD207,DECODE!$A$3:$C$8,2,FALSE),"?"))</f>
        <v/>
      </c>
      <c r="BL207">
        <f>IF($Q207="","",UPPER(TRIM(LEFT($Q207&amp;",",FIND(",",$Q207&amp;",")-1))))</f>
        <v/>
      </c>
      <c r="BM207">
        <f>IF($BL207="","",MID($BL207,4,FIND("~",SUBSTITUTE($BL207,"-","~",2))-4))</f>
        <v/>
      </c>
      <c r="BN207">
        <f>IF($BL207="","",MID($BL207,FIND("~",SUBSTITUTE($BL207,"-","~",2))+1,FIND("~",SUBSTITUTE($BL207,"-","~",3))-FIND("~",SUBSTITUTE($BL207,"-","~",2))-1))</f>
        <v/>
      </c>
      <c r="BO207">
        <f>IF($BM207="","",IFERROR(VLOOKUP($BM207,DECODE!$A$3:$C$8,3,FALSE),"?"))</f>
        <v/>
      </c>
      <c r="BP207">
        <f>IF($BN207="","",IFERROR(VLOOKUP($BM207&amp;"-"&amp;$BN207,DECODE!$E$3:$F$21,2,FALSE),"?"))</f>
        <v/>
      </c>
      <c r="BQ207">
        <f>IF($BL207="","",IFERROR(VALUE(RIGHT($BL207,3)),""))</f>
        <v/>
      </c>
      <c r="BR207">
        <f>IF($W207="","",IFERROR(IF(ISNUMBER($W207),$W207,DATEVALUE(TRIM($W207))),""))</f>
        <v/>
      </c>
      <c r="BS207">
        <f>IF($BR207="","",IF(MONTH($BR207)&gt;=12,"Cold Winter",IF(MONTH($BR207)&gt;=10,"Post-Monsoon",IF(MONTH($BR207)&gt;=6,"Hot Humid",IF(MONTH($BR207)&gt;=3,"Hot Dry","Cold Winter")))))</f>
        <v/>
      </c>
      <c r="BT207">
        <f>IF($BM207="","",IFERROR(VLOOKUP($BM207,DECODE!$A$3:$C$8,2,FALSE),"?"))</f>
        <v/>
      </c>
      <c r="BU207">
        <f>IF($R207="","",UPPER(TRIM(LEFT($R207&amp;",",FIND(",",$R207&amp;",")-1))))</f>
        <v/>
      </c>
      <c r="BV207">
        <f>IF($BU207="","",MID($BU207,4,FIND("~",SUBSTITUTE($BU207,"-","~",2))-4))</f>
        <v/>
      </c>
      <c r="BW207">
        <f>IF($BU207="","",MID($BU207,FIND("~",SUBSTITUTE($BU207,"-","~",2))+1,FIND("~",SUBSTITUTE($BU207,"-","~",3))-FIND("~",SUBSTITUTE($BU207,"-","~",2))-1))</f>
        <v/>
      </c>
      <c r="BX207">
        <f>IF($BV207="","",IFERROR(VLOOKUP($BV207,DECODE!$A$3:$C$8,3,FALSE),"?"))</f>
        <v/>
      </c>
      <c r="BY207">
        <f>IF($BW207="","",IFERROR(VLOOKUP($BV207&amp;"-"&amp;$BW207,DECODE!$E$3:$F$21,2,FALSE),"?"))</f>
        <v/>
      </c>
      <c r="BZ207">
        <f>IF($BU207="","",IFERROR(VALUE(RIGHT($BU207,3)),""))</f>
        <v/>
      </c>
      <c r="CA207">
        <f>IF($X207="","",IFERROR(IF(ISNUMBER($X207),$X207,DATEVALUE(TRIM($X207))),""))</f>
        <v/>
      </c>
      <c r="CB207">
        <f>IF($CA207="","",IF(MONTH($CA207)&gt;=12,"Cold Winter",IF(MONTH($CA207)&gt;=10,"Post-Monsoon",IF(MONTH($CA207)&gt;=6,"Hot Humid",IF(MONTH($CA207)&gt;=3,"Hot Dry","Cold Winter")))))</f>
        <v/>
      </c>
      <c r="CC207">
        <f>IF($BV207="","",IFERROR(VLOOKUP($BV207,DECODE!$A$3:$C$8,2,FALSE),"?"))</f>
        <v/>
      </c>
      <c r="CD207">
        <f>IF($S207="","",UPPER(TRIM(LEFT($S207&amp;",",FIND(",",$S207&amp;",")-1))))</f>
        <v/>
      </c>
      <c r="CE207">
        <f>IF($CD207="","",MID($CD207,4,FIND("~",SUBSTITUTE($CD207,"-","~",2))-4))</f>
        <v/>
      </c>
      <c r="CF207">
        <f>IF($CD207="","",MID($CD207,FIND("~",SUBSTITUTE($CD207,"-","~",2))+1,FIND("~",SUBSTITUTE($CD207,"-","~",3))-FIND("~",SUBSTITUTE($CD207,"-","~",2))-1))</f>
        <v/>
      </c>
      <c r="CG207">
        <f>IF($CE207="","",IFERROR(VLOOKUP($CE207,DECODE!$A$3:$C$8,3,FALSE),"?"))</f>
        <v/>
      </c>
      <c r="CH207">
        <f>IF($CF207="","",IFERROR(VLOOKUP($CE207&amp;"-"&amp;$CF207,DECODE!$E$3:$F$21,2,FALSE),"?"))</f>
        <v/>
      </c>
      <c r="CI207">
        <f>IF($CD207="","",IFERROR(VALUE(RIGHT($CD207,3)),""))</f>
        <v/>
      </c>
      <c r="CJ207">
        <f>IF($Y207="","",IFERROR(IF(ISNUMBER($Y207),$Y207,DATEVALUE(TRIM($Y207))),""))</f>
        <v/>
      </c>
      <c r="CK207">
        <f>IF($CJ207="","",IF(MONTH($CJ207)&gt;=12,"Cold Winter",IF(MONTH($CJ207)&gt;=10,"Post-Monsoon",IF(MONTH($CJ207)&gt;=6,"Hot Humid",IF(MONTH($CJ207)&gt;=3,"Hot Dry","Cold Winter")))))</f>
        <v/>
      </c>
      <c r="CL207">
        <f>IF($CE207="","",IFERROR(VLOOKUP($CE207,DECODE!$A$3:$C$8,2,FALSE),"?"))</f>
        <v/>
      </c>
      <c r="CM207">
        <f>IF($AN207="","",AN207)</f>
        <v/>
      </c>
      <c r="CN207">
        <f>IF($AO207="","",AO207)</f>
        <v/>
      </c>
      <c r="CO207">
        <f>IF($AP207="","",AP207)</f>
        <v/>
      </c>
      <c r="CP207">
        <f>IF($CM207="","",IF($CM207="Aloe Vera Gel","Aloe Vera Gel "&amp;$CO207&amp;"g",CN207&amp;" "&amp;$CO207&amp;"g"))</f>
        <v/>
      </c>
      <c r="CQ207">
        <f>IF($AT207="",0,1)</f>
        <v/>
      </c>
      <c r="CR207">
        <f>IF($CQ207=0,"",AW207)</f>
        <v/>
      </c>
      <c r="CS207">
        <f>IF($CQ207=0,"",AX207)</f>
        <v/>
      </c>
      <c r="CT207">
        <f>IF($CQ207=0,"",AY207)</f>
        <v/>
      </c>
      <c r="CU207">
        <f>IF($CR207="","",IF($CR207="Aloe Vera Gel","Aloe Vera Gel "&amp;$CT207&amp;"g",CS207&amp;" "&amp;$CT207&amp;"g"))</f>
        <v/>
      </c>
      <c r="CV207">
        <f>IF($CQ207=0,"",IF($CP207=$CU207,"Repeat Exact",IF($CT207&gt;$CO207,"Upsized",IF($CT207&lt;$CO207,"Downsized",IF($CM207&lt;&gt;$CR207,"Lateral","Same Size Diff Variant")))))</f>
        <v/>
      </c>
      <c r="CW207">
        <f>IF($CQ207=0,"",AZ207-AQ207)</f>
        <v/>
      </c>
      <c r="CX207">
        <f>IF($CQ207=0,0,IF(CS207=CN207,1,0))</f>
        <v/>
      </c>
      <c r="CY207">
        <f>IF($CQ207=0,0,IF(CR207=CM207,1,0))</f>
        <v/>
      </c>
      <c r="CZ207">
        <f>IF($A207="","",IF(AND(IF(DASHBOARD!$C$4="All",TRUE,$CM207=DASHBOARD!$C$4),IF(DASHBOARD!$C$6="All",TRUE,$CP207=DASHBOARD!$C$6),IF(DASHBOARD!$C$8="All",TRUE,$AF207&gt;=DASHBOARD!$C$8),IF(DASHBOARD!$C$10="All",TRUE,$AF207&lt;=DASHBOARD!$C$10),IF(DASHBOARD!$C$12="All",TRUE,$AH207=VALUE(DASHBOARD!$C$12)),IF(DASHBOARD!$C$14="All",TRUE,$AJ207=DASHBOARD!$C$14)),1,0))</f>
        <v/>
      </c>
    </row>
    <row r="208">
      <c r="A208" t="n">
        <v>132277</v>
      </c>
      <c r="B208" t="inlineStr">
        <is>
          <t>Aloe Vera Gel</t>
        </is>
      </c>
      <c r="H208" t="inlineStr">
        <is>
          <t>Aloe Vera Gel - 40 gms</t>
        </is>
      </c>
      <c r="N208" t="inlineStr">
        <is>
          <t>FC-HG-PA-040</t>
        </is>
      </c>
      <c r="T208" t="inlineStr">
        <is>
          <t>May 20, 2024</t>
        </is>
      </c>
      <c r="AE208" t="inlineStr">
        <is>
          <t>Mumbai</t>
        </is>
      </c>
      <c r="AF208" t="inlineStr">
        <is>
          <t>2024-05</t>
        </is>
      </c>
      <c r="AG208" t="n">
        <v>5</v>
      </c>
      <c r="AH208" t="n">
        <v>1</v>
      </c>
      <c r="AI208" t="n">
        <v>0</v>
      </c>
      <c r="AJ208">
        <f>IF($AE208="","",IFERROR(VLOOKUP(TRIM($AE208),DECODE!$H$3:$I$60,2,FALSE),"Rest of India"))</f>
        <v/>
      </c>
      <c r="AK208">
        <f>IF($N208="","",UPPER(TRIM(LEFT($N208&amp;",",FIND(",",$N208&amp;",")-1))))</f>
        <v/>
      </c>
      <c r="AL208">
        <f>IF($AK208="","",MID($AK208,4,FIND("~",SUBSTITUTE($AK208,"-","~",2))-4))</f>
        <v/>
      </c>
      <c r="AM208">
        <f>IF($AK208="","",MID($AK208,FIND("~",SUBSTITUTE($AK208,"-","~",2))+1,FIND("~",SUBSTITUTE($AK208,"-","~",3))-FIND("~",SUBSTITUTE($AK208,"-","~",2))-1))</f>
        <v/>
      </c>
      <c r="AN208">
        <f>IF($AL208="","",IFERROR(VLOOKUP($AL208,DECODE!$A$3:$C$8,3,FALSE),"?"))</f>
        <v/>
      </c>
      <c r="AO208">
        <f>IF($AM208="","",IFERROR(VLOOKUP($AL208&amp;"-"&amp;$AM208,DECODE!$E$3:$F$21,2,FALSE),"?"))</f>
        <v/>
      </c>
      <c r="AP208">
        <f>IF($AK208="","",IFERROR(VALUE(RIGHT($AK208,3)),""))</f>
        <v/>
      </c>
      <c r="AQ208">
        <f>IF($T208="","",IFERROR(IF(ISNUMBER($T208),$T208,DATEVALUE(TRIM($T208))),""))</f>
        <v/>
      </c>
      <c r="AR208">
        <f>IF($AQ208="","",IF(MONTH($AQ208)&gt;=12,"Cold Winter",IF(MONTH($AQ208)&gt;=10,"Post-Monsoon",IF(MONTH($AQ208)&gt;=6,"Hot Humid",IF(MONTH($AQ208)&gt;=3,"Hot Dry","Cold Winter")))))</f>
        <v/>
      </c>
      <c r="AS208">
        <f>IF($AL208="","",IFERROR(VLOOKUP($AL208,DECODE!$A$3:$C$8,2,FALSE),"?"))</f>
        <v/>
      </c>
      <c r="AT208">
        <f>IF($O208="","",UPPER(TRIM(LEFT($O208&amp;",",FIND(",",$O208&amp;",")-1))))</f>
        <v/>
      </c>
      <c r="AU208">
        <f>IF($AT208="","",MID($AT208,4,FIND("~",SUBSTITUTE($AT208,"-","~",2))-4))</f>
        <v/>
      </c>
      <c r="AV208">
        <f>IF($AT208="","",MID($AT208,FIND("~",SUBSTITUTE($AT208,"-","~",2))+1,FIND("~",SUBSTITUTE($AT208,"-","~",3))-FIND("~",SUBSTITUTE($AT208,"-","~",2))-1))</f>
        <v/>
      </c>
      <c r="AW208">
        <f>IF($AU208="","",IFERROR(VLOOKUP($AU208,DECODE!$A$3:$C$8,3,FALSE),"?"))</f>
        <v/>
      </c>
      <c r="AX208">
        <f>IF($AV208="","",IFERROR(VLOOKUP($AU208&amp;"-"&amp;$AV208,DECODE!$E$3:$F$21,2,FALSE),"?"))</f>
        <v/>
      </c>
      <c r="AY208">
        <f>IF($AT208="","",IFERROR(VALUE(RIGHT($AT208,3)),""))</f>
        <v/>
      </c>
      <c r="AZ208">
        <f>IF($U208="","",IFERROR(IF(ISNUMBER($U208),$U208,DATEVALUE(TRIM($U208))),""))</f>
        <v/>
      </c>
      <c r="BA208">
        <f>IF($AZ208="","",IF(MONTH($AZ208)&gt;=12,"Cold Winter",IF(MONTH($AZ208)&gt;=10,"Post-Monsoon",IF(MONTH($AZ208)&gt;=6,"Hot Humid",IF(MONTH($AZ208)&gt;=3,"Hot Dry","Cold Winter")))))</f>
        <v/>
      </c>
      <c r="BB208">
        <f>IF($AU208="","",IFERROR(VLOOKUP($AU208,DECODE!$A$3:$C$8,2,FALSE),"?"))</f>
        <v/>
      </c>
      <c r="BC208">
        <f>IF($P208="","",UPPER(TRIM(LEFT($P208&amp;",",FIND(",",$P208&amp;",")-1))))</f>
        <v/>
      </c>
      <c r="BD208">
        <f>IF($BC208="","",MID($BC208,4,FIND("~",SUBSTITUTE($BC208,"-","~",2))-4))</f>
        <v/>
      </c>
      <c r="BE208">
        <f>IF($BC208="","",MID($BC208,FIND("~",SUBSTITUTE($BC208,"-","~",2))+1,FIND("~",SUBSTITUTE($BC208,"-","~",3))-FIND("~",SUBSTITUTE($BC208,"-","~",2))-1))</f>
        <v/>
      </c>
      <c r="BF208">
        <f>IF($BD208="","",IFERROR(VLOOKUP($BD208,DECODE!$A$3:$C$8,3,FALSE),"?"))</f>
        <v/>
      </c>
      <c r="BG208">
        <f>IF($BE208="","",IFERROR(VLOOKUP($BD208&amp;"-"&amp;$BE208,DECODE!$E$3:$F$21,2,FALSE),"?"))</f>
        <v/>
      </c>
      <c r="BH208">
        <f>IF($BC208="","",IFERROR(VALUE(RIGHT($BC208,3)),""))</f>
        <v/>
      </c>
      <c r="BI208">
        <f>IF($V208="","",IFERROR(IF(ISNUMBER($V208),$V208,DATEVALUE(TRIM($V208))),""))</f>
        <v/>
      </c>
      <c r="BJ208">
        <f>IF($BI208="","",IF(MONTH($BI208)&gt;=12,"Cold Winter",IF(MONTH($BI208)&gt;=10,"Post-Monsoon",IF(MONTH($BI208)&gt;=6,"Hot Humid",IF(MONTH($BI208)&gt;=3,"Hot Dry","Cold Winter")))))</f>
        <v/>
      </c>
      <c r="BK208">
        <f>IF($BD208="","",IFERROR(VLOOKUP($BD208,DECODE!$A$3:$C$8,2,FALSE),"?"))</f>
        <v/>
      </c>
      <c r="BL208">
        <f>IF($Q208="","",UPPER(TRIM(LEFT($Q208&amp;",",FIND(",",$Q208&amp;",")-1))))</f>
        <v/>
      </c>
      <c r="BM208">
        <f>IF($BL208="","",MID($BL208,4,FIND("~",SUBSTITUTE($BL208,"-","~",2))-4))</f>
        <v/>
      </c>
      <c r="BN208">
        <f>IF($BL208="","",MID($BL208,FIND("~",SUBSTITUTE($BL208,"-","~",2))+1,FIND("~",SUBSTITUTE($BL208,"-","~",3))-FIND("~",SUBSTITUTE($BL208,"-","~",2))-1))</f>
        <v/>
      </c>
      <c r="BO208">
        <f>IF($BM208="","",IFERROR(VLOOKUP($BM208,DECODE!$A$3:$C$8,3,FALSE),"?"))</f>
        <v/>
      </c>
      <c r="BP208">
        <f>IF($BN208="","",IFERROR(VLOOKUP($BM208&amp;"-"&amp;$BN208,DECODE!$E$3:$F$21,2,FALSE),"?"))</f>
        <v/>
      </c>
      <c r="BQ208">
        <f>IF($BL208="","",IFERROR(VALUE(RIGHT($BL208,3)),""))</f>
        <v/>
      </c>
      <c r="BR208">
        <f>IF($W208="","",IFERROR(IF(ISNUMBER($W208),$W208,DATEVALUE(TRIM($W208))),""))</f>
        <v/>
      </c>
      <c r="BS208">
        <f>IF($BR208="","",IF(MONTH($BR208)&gt;=12,"Cold Winter",IF(MONTH($BR208)&gt;=10,"Post-Monsoon",IF(MONTH($BR208)&gt;=6,"Hot Humid",IF(MONTH($BR208)&gt;=3,"Hot Dry","Cold Winter")))))</f>
        <v/>
      </c>
      <c r="BT208">
        <f>IF($BM208="","",IFERROR(VLOOKUP($BM208,DECODE!$A$3:$C$8,2,FALSE),"?"))</f>
        <v/>
      </c>
      <c r="BU208">
        <f>IF($R208="","",UPPER(TRIM(LEFT($R208&amp;",",FIND(",",$R208&amp;",")-1))))</f>
        <v/>
      </c>
      <c r="BV208">
        <f>IF($BU208="","",MID($BU208,4,FIND("~",SUBSTITUTE($BU208,"-","~",2))-4))</f>
        <v/>
      </c>
      <c r="BW208">
        <f>IF($BU208="","",MID($BU208,FIND("~",SUBSTITUTE($BU208,"-","~",2))+1,FIND("~",SUBSTITUTE($BU208,"-","~",3))-FIND("~",SUBSTITUTE($BU208,"-","~",2))-1))</f>
        <v/>
      </c>
      <c r="BX208">
        <f>IF($BV208="","",IFERROR(VLOOKUP($BV208,DECODE!$A$3:$C$8,3,FALSE),"?"))</f>
        <v/>
      </c>
      <c r="BY208">
        <f>IF($BW208="","",IFERROR(VLOOKUP($BV208&amp;"-"&amp;$BW208,DECODE!$E$3:$F$21,2,FALSE),"?"))</f>
        <v/>
      </c>
      <c r="BZ208">
        <f>IF($BU208="","",IFERROR(VALUE(RIGHT($BU208,3)),""))</f>
        <v/>
      </c>
      <c r="CA208">
        <f>IF($X208="","",IFERROR(IF(ISNUMBER($X208),$X208,DATEVALUE(TRIM($X208))),""))</f>
        <v/>
      </c>
      <c r="CB208">
        <f>IF($CA208="","",IF(MONTH($CA208)&gt;=12,"Cold Winter",IF(MONTH($CA208)&gt;=10,"Post-Monsoon",IF(MONTH($CA208)&gt;=6,"Hot Humid",IF(MONTH($CA208)&gt;=3,"Hot Dry","Cold Winter")))))</f>
        <v/>
      </c>
      <c r="CC208">
        <f>IF($BV208="","",IFERROR(VLOOKUP($BV208,DECODE!$A$3:$C$8,2,FALSE),"?"))</f>
        <v/>
      </c>
      <c r="CD208">
        <f>IF($S208="","",UPPER(TRIM(LEFT($S208&amp;",",FIND(",",$S208&amp;",")-1))))</f>
        <v/>
      </c>
      <c r="CE208">
        <f>IF($CD208="","",MID($CD208,4,FIND("~",SUBSTITUTE($CD208,"-","~",2))-4))</f>
        <v/>
      </c>
      <c r="CF208">
        <f>IF($CD208="","",MID($CD208,FIND("~",SUBSTITUTE($CD208,"-","~",2))+1,FIND("~",SUBSTITUTE($CD208,"-","~",3))-FIND("~",SUBSTITUTE($CD208,"-","~",2))-1))</f>
        <v/>
      </c>
      <c r="CG208">
        <f>IF($CE208="","",IFERROR(VLOOKUP($CE208,DECODE!$A$3:$C$8,3,FALSE),"?"))</f>
        <v/>
      </c>
      <c r="CH208">
        <f>IF($CF208="","",IFERROR(VLOOKUP($CE208&amp;"-"&amp;$CF208,DECODE!$E$3:$F$21,2,FALSE),"?"))</f>
        <v/>
      </c>
      <c r="CI208">
        <f>IF($CD208="","",IFERROR(VALUE(RIGHT($CD208,3)),""))</f>
        <v/>
      </c>
      <c r="CJ208">
        <f>IF($Y208="","",IFERROR(IF(ISNUMBER($Y208),$Y208,DATEVALUE(TRIM($Y208))),""))</f>
        <v/>
      </c>
      <c r="CK208">
        <f>IF($CJ208="","",IF(MONTH($CJ208)&gt;=12,"Cold Winter",IF(MONTH($CJ208)&gt;=10,"Post-Monsoon",IF(MONTH($CJ208)&gt;=6,"Hot Humid",IF(MONTH($CJ208)&gt;=3,"Hot Dry","Cold Winter")))))</f>
        <v/>
      </c>
      <c r="CL208">
        <f>IF($CE208="","",IFERROR(VLOOKUP($CE208,DECODE!$A$3:$C$8,2,FALSE),"?"))</f>
        <v/>
      </c>
      <c r="CM208">
        <f>IF($AN208="","",AN208)</f>
        <v/>
      </c>
      <c r="CN208">
        <f>IF($AO208="","",AO208)</f>
        <v/>
      </c>
      <c r="CO208">
        <f>IF($AP208="","",AP208)</f>
        <v/>
      </c>
      <c r="CP208">
        <f>IF($CM208="","",IF($CM208="Aloe Vera Gel","Aloe Vera Gel "&amp;$CO208&amp;"g",CN208&amp;" "&amp;$CO208&amp;"g"))</f>
        <v/>
      </c>
      <c r="CQ208">
        <f>IF($AT208="",0,1)</f>
        <v/>
      </c>
      <c r="CR208">
        <f>IF($CQ208=0,"",AW208)</f>
        <v/>
      </c>
      <c r="CS208">
        <f>IF($CQ208=0,"",AX208)</f>
        <v/>
      </c>
      <c r="CT208">
        <f>IF($CQ208=0,"",AY208)</f>
        <v/>
      </c>
      <c r="CU208">
        <f>IF($CR208="","",IF($CR208="Aloe Vera Gel","Aloe Vera Gel "&amp;$CT208&amp;"g",CS208&amp;" "&amp;$CT208&amp;"g"))</f>
        <v/>
      </c>
      <c r="CV208">
        <f>IF($CQ208=0,"",IF($CP208=$CU208,"Repeat Exact",IF($CT208&gt;$CO208,"Upsized",IF($CT208&lt;$CO208,"Downsized",IF($CM208&lt;&gt;$CR208,"Lateral","Same Size Diff Variant")))))</f>
        <v/>
      </c>
      <c r="CW208">
        <f>IF($CQ208=0,"",AZ208-AQ208)</f>
        <v/>
      </c>
      <c r="CX208">
        <f>IF($CQ208=0,0,IF(CS208=CN208,1,0))</f>
        <v/>
      </c>
      <c r="CY208">
        <f>IF($CQ208=0,0,IF(CR208=CM208,1,0))</f>
        <v/>
      </c>
      <c r="CZ208">
        <f>IF($A208="","",IF(AND(IF(DASHBOARD!$C$4="All",TRUE,$CM208=DASHBOARD!$C$4),IF(DASHBOARD!$C$6="All",TRUE,$CP208=DASHBOARD!$C$6),IF(DASHBOARD!$C$8="All",TRUE,$AF208&gt;=DASHBOARD!$C$8),IF(DASHBOARD!$C$10="All",TRUE,$AF208&lt;=DASHBOARD!$C$10),IF(DASHBOARD!$C$12="All",TRUE,$AH208=VALUE(DASHBOARD!$C$12)),IF(DASHBOARD!$C$14="All",TRUE,$AJ208=DASHBOARD!$C$14)),1,0))</f>
        <v/>
      </c>
    </row>
    <row r="209">
      <c r="A209" t="n">
        <v>132454</v>
      </c>
      <c r="B209" t="inlineStr">
        <is>
          <t>Aloe Vera Gel</t>
        </is>
      </c>
      <c r="H209" t="inlineStr">
        <is>
          <t>Aloe Vera Gel - 80 gms</t>
        </is>
      </c>
      <c r="N209" t="inlineStr">
        <is>
          <t>FC-HG-PA-080</t>
        </is>
      </c>
      <c r="T209" t="inlineStr">
        <is>
          <t>May 6, 2025</t>
        </is>
      </c>
      <c r="AE209" t="inlineStr">
        <is>
          <t>Surat</t>
        </is>
      </c>
      <c r="AF209" t="inlineStr">
        <is>
          <t>2025-05</t>
        </is>
      </c>
      <c r="AG209" t="n">
        <v>5</v>
      </c>
      <c r="AH209" t="n">
        <v>1</v>
      </c>
      <c r="AI209" t="n">
        <v>0</v>
      </c>
      <c r="AJ209">
        <f>IF($AE209="","",IFERROR(VLOOKUP(TRIM($AE209),DECODE!$H$3:$I$60,2,FALSE),"Rest of India"))</f>
        <v/>
      </c>
      <c r="AK209">
        <f>IF($N209="","",UPPER(TRIM(LEFT($N209&amp;",",FIND(",",$N209&amp;",")-1))))</f>
        <v/>
      </c>
      <c r="AL209">
        <f>IF($AK209="","",MID($AK209,4,FIND("~",SUBSTITUTE($AK209,"-","~",2))-4))</f>
        <v/>
      </c>
      <c r="AM209">
        <f>IF($AK209="","",MID($AK209,FIND("~",SUBSTITUTE($AK209,"-","~",2))+1,FIND("~",SUBSTITUTE($AK209,"-","~",3))-FIND("~",SUBSTITUTE($AK209,"-","~",2))-1))</f>
        <v/>
      </c>
      <c r="AN209">
        <f>IF($AL209="","",IFERROR(VLOOKUP($AL209,DECODE!$A$3:$C$8,3,FALSE),"?"))</f>
        <v/>
      </c>
      <c r="AO209">
        <f>IF($AM209="","",IFERROR(VLOOKUP($AL209&amp;"-"&amp;$AM209,DECODE!$E$3:$F$21,2,FALSE),"?"))</f>
        <v/>
      </c>
      <c r="AP209">
        <f>IF($AK209="","",IFERROR(VALUE(RIGHT($AK209,3)),""))</f>
        <v/>
      </c>
      <c r="AQ209">
        <f>IF($T209="","",IFERROR(IF(ISNUMBER($T209),$T209,DATEVALUE(TRIM($T209))),""))</f>
        <v/>
      </c>
      <c r="AR209">
        <f>IF($AQ209="","",IF(MONTH($AQ209)&gt;=12,"Cold Winter",IF(MONTH($AQ209)&gt;=10,"Post-Monsoon",IF(MONTH($AQ209)&gt;=6,"Hot Humid",IF(MONTH($AQ209)&gt;=3,"Hot Dry","Cold Winter")))))</f>
        <v/>
      </c>
      <c r="AS209">
        <f>IF($AL209="","",IFERROR(VLOOKUP($AL209,DECODE!$A$3:$C$8,2,FALSE),"?"))</f>
        <v/>
      </c>
      <c r="AT209">
        <f>IF($O209="","",UPPER(TRIM(LEFT($O209&amp;",",FIND(",",$O209&amp;",")-1))))</f>
        <v/>
      </c>
      <c r="AU209">
        <f>IF($AT209="","",MID($AT209,4,FIND("~",SUBSTITUTE($AT209,"-","~",2))-4))</f>
        <v/>
      </c>
      <c r="AV209">
        <f>IF($AT209="","",MID($AT209,FIND("~",SUBSTITUTE($AT209,"-","~",2))+1,FIND("~",SUBSTITUTE($AT209,"-","~",3))-FIND("~",SUBSTITUTE($AT209,"-","~",2))-1))</f>
        <v/>
      </c>
      <c r="AW209">
        <f>IF($AU209="","",IFERROR(VLOOKUP($AU209,DECODE!$A$3:$C$8,3,FALSE),"?"))</f>
        <v/>
      </c>
      <c r="AX209">
        <f>IF($AV209="","",IFERROR(VLOOKUP($AU209&amp;"-"&amp;$AV209,DECODE!$E$3:$F$21,2,FALSE),"?"))</f>
        <v/>
      </c>
      <c r="AY209">
        <f>IF($AT209="","",IFERROR(VALUE(RIGHT($AT209,3)),""))</f>
        <v/>
      </c>
      <c r="AZ209">
        <f>IF($U209="","",IFERROR(IF(ISNUMBER($U209),$U209,DATEVALUE(TRIM($U209))),""))</f>
        <v/>
      </c>
      <c r="BA209">
        <f>IF($AZ209="","",IF(MONTH($AZ209)&gt;=12,"Cold Winter",IF(MONTH($AZ209)&gt;=10,"Post-Monsoon",IF(MONTH($AZ209)&gt;=6,"Hot Humid",IF(MONTH($AZ209)&gt;=3,"Hot Dry","Cold Winter")))))</f>
        <v/>
      </c>
      <c r="BB209">
        <f>IF($AU209="","",IFERROR(VLOOKUP($AU209,DECODE!$A$3:$C$8,2,FALSE),"?"))</f>
        <v/>
      </c>
      <c r="BC209">
        <f>IF($P209="","",UPPER(TRIM(LEFT($P209&amp;",",FIND(",",$P209&amp;",")-1))))</f>
        <v/>
      </c>
      <c r="BD209">
        <f>IF($BC209="","",MID($BC209,4,FIND("~",SUBSTITUTE($BC209,"-","~",2))-4))</f>
        <v/>
      </c>
      <c r="BE209">
        <f>IF($BC209="","",MID($BC209,FIND("~",SUBSTITUTE($BC209,"-","~",2))+1,FIND("~",SUBSTITUTE($BC209,"-","~",3))-FIND("~",SUBSTITUTE($BC209,"-","~",2))-1))</f>
        <v/>
      </c>
      <c r="BF209">
        <f>IF($BD209="","",IFERROR(VLOOKUP($BD209,DECODE!$A$3:$C$8,3,FALSE),"?"))</f>
        <v/>
      </c>
      <c r="BG209">
        <f>IF($BE209="","",IFERROR(VLOOKUP($BD209&amp;"-"&amp;$BE209,DECODE!$E$3:$F$21,2,FALSE),"?"))</f>
        <v/>
      </c>
      <c r="BH209">
        <f>IF($BC209="","",IFERROR(VALUE(RIGHT($BC209,3)),""))</f>
        <v/>
      </c>
      <c r="BI209">
        <f>IF($V209="","",IFERROR(IF(ISNUMBER($V209),$V209,DATEVALUE(TRIM($V209))),""))</f>
        <v/>
      </c>
      <c r="BJ209">
        <f>IF($BI209="","",IF(MONTH($BI209)&gt;=12,"Cold Winter",IF(MONTH($BI209)&gt;=10,"Post-Monsoon",IF(MONTH($BI209)&gt;=6,"Hot Humid",IF(MONTH($BI209)&gt;=3,"Hot Dry","Cold Winter")))))</f>
        <v/>
      </c>
      <c r="BK209">
        <f>IF($BD209="","",IFERROR(VLOOKUP($BD209,DECODE!$A$3:$C$8,2,FALSE),"?"))</f>
        <v/>
      </c>
      <c r="BL209">
        <f>IF($Q209="","",UPPER(TRIM(LEFT($Q209&amp;",",FIND(",",$Q209&amp;",")-1))))</f>
        <v/>
      </c>
      <c r="BM209">
        <f>IF($BL209="","",MID($BL209,4,FIND("~",SUBSTITUTE($BL209,"-","~",2))-4))</f>
        <v/>
      </c>
      <c r="BN209">
        <f>IF($BL209="","",MID($BL209,FIND("~",SUBSTITUTE($BL209,"-","~",2))+1,FIND("~",SUBSTITUTE($BL209,"-","~",3))-FIND("~",SUBSTITUTE($BL209,"-","~",2))-1))</f>
        <v/>
      </c>
      <c r="BO209">
        <f>IF($BM209="","",IFERROR(VLOOKUP($BM209,DECODE!$A$3:$C$8,3,FALSE),"?"))</f>
        <v/>
      </c>
      <c r="BP209">
        <f>IF($BN209="","",IFERROR(VLOOKUP($BM209&amp;"-"&amp;$BN209,DECODE!$E$3:$F$21,2,FALSE),"?"))</f>
        <v/>
      </c>
      <c r="BQ209">
        <f>IF($BL209="","",IFERROR(VALUE(RIGHT($BL209,3)),""))</f>
        <v/>
      </c>
      <c r="BR209">
        <f>IF($W209="","",IFERROR(IF(ISNUMBER($W209),$W209,DATEVALUE(TRIM($W209))),""))</f>
        <v/>
      </c>
      <c r="BS209">
        <f>IF($BR209="","",IF(MONTH($BR209)&gt;=12,"Cold Winter",IF(MONTH($BR209)&gt;=10,"Post-Monsoon",IF(MONTH($BR209)&gt;=6,"Hot Humid",IF(MONTH($BR209)&gt;=3,"Hot Dry","Cold Winter")))))</f>
        <v/>
      </c>
      <c r="BT209">
        <f>IF($BM209="","",IFERROR(VLOOKUP($BM209,DECODE!$A$3:$C$8,2,FALSE),"?"))</f>
        <v/>
      </c>
      <c r="BU209">
        <f>IF($R209="","",UPPER(TRIM(LEFT($R209&amp;",",FIND(",",$R209&amp;",")-1))))</f>
        <v/>
      </c>
      <c r="BV209">
        <f>IF($BU209="","",MID($BU209,4,FIND("~",SUBSTITUTE($BU209,"-","~",2))-4))</f>
        <v/>
      </c>
      <c r="BW209">
        <f>IF($BU209="","",MID($BU209,FIND("~",SUBSTITUTE($BU209,"-","~",2))+1,FIND("~",SUBSTITUTE($BU209,"-","~",3))-FIND("~",SUBSTITUTE($BU209,"-","~",2))-1))</f>
        <v/>
      </c>
      <c r="BX209">
        <f>IF($BV209="","",IFERROR(VLOOKUP($BV209,DECODE!$A$3:$C$8,3,FALSE),"?"))</f>
        <v/>
      </c>
      <c r="BY209">
        <f>IF($BW209="","",IFERROR(VLOOKUP($BV209&amp;"-"&amp;$BW209,DECODE!$E$3:$F$21,2,FALSE),"?"))</f>
        <v/>
      </c>
      <c r="BZ209">
        <f>IF($BU209="","",IFERROR(VALUE(RIGHT($BU209,3)),""))</f>
        <v/>
      </c>
      <c r="CA209">
        <f>IF($X209="","",IFERROR(IF(ISNUMBER($X209),$X209,DATEVALUE(TRIM($X209))),""))</f>
        <v/>
      </c>
      <c r="CB209">
        <f>IF($CA209="","",IF(MONTH($CA209)&gt;=12,"Cold Winter",IF(MONTH($CA209)&gt;=10,"Post-Monsoon",IF(MONTH($CA209)&gt;=6,"Hot Humid",IF(MONTH($CA209)&gt;=3,"Hot Dry","Cold Winter")))))</f>
        <v/>
      </c>
      <c r="CC209">
        <f>IF($BV209="","",IFERROR(VLOOKUP($BV209,DECODE!$A$3:$C$8,2,FALSE),"?"))</f>
        <v/>
      </c>
      <c r="CD209">
        <f>IF($S209="","",UPPER(TRIM(LEFT($S209&amp;",",FIND(",",$S209&amp;",")-1))))</f>
        <v/>
      </c>
      <c r="CE209">
        <f>IF($CD209="","",MID($CD209,4,FIND("~",SUBSTITUTE($CD209,"-","~",2))-4))</f>
        <v/>
      </c>
      <c r="CF209">
        <f>IF($CD209="","",MID($CD209,FIND("~",SUBSTITUTE($CD209,"-","~",2))+1,FIND("~",SUBSTITUTE($CD209,"-","~",3))-FIND("~",SUBSTITUTE($CD209,"-","~",2))-1))</f>
        <v/>
      </c>
      <c r="CG209">
        <f>IF($CE209="","",IFERROR(VLOOKUP($CE209,DECODE!$A$3:$C$8,3,FALSE),"?"))</f>
        <v/>
      </c>
      <c r="CH209">
        <f>IF($CF209="","",IFERROR(VLOOKUP($CE209&amp;"-"&amp;$CF209,DECODE!$E$3:$F$21,2,FALSE),"?"))</f>
        <v/>
      </c>
      <c r="CI209">
        <f>IF($CD209="","",IFERROR(VALUE(RIGHT($CD209,3)),""))</f>
        <v/>
      </c>
      <c r="CJ209">
        <f>IF($Y209="","",IFERROR(IF(ISNUMBER($Y209),$Y209,DATEVALUE(TRIM($Y209))),""))</f>
        <v/>
      </c>
      <c r="CK209">
        <f>IF($CJ209="","",IF(MONTH($CJ209)&gt;=12,"Cold Winter",IF(MONTH($CJ209)&gt;=10,"Post-Monsoon",IF(MONTH($CJ209)&gt;=6,"Hot Humid",IF(MONTH($CJ209)&gt;=3,"Hot Dry","Cold Winter")))))</f>
        <v/>
      </c>
      <c r="CL209">
        <f>IF($CE209="","",IFERROR(VLOOKUP($CE209,DECODE!$A$3:$C$8,2,FALSE),"?"))</f>
        <v/>
      </c>
      <c r="CM209">
        <f>IF($AN209="","",AN209)</f>
        <v/>
      </c>
      <c r="CN209">
        <f>IF($AO209="","",AO209)</f>
        <v/>
      </c>
      <c r="CO209">
        <f>IF($AP209="","",AP209)</f>
        <v/>
      </c>
      <c r="CP209">
        <f>IF($CM209="","",IF($CM209="Aloe Vera Gel","Aloe Vera Gel "&amp;$CO209&amp;"g",CN209&amp;" "&amp;$CO209&amp;"g"))</f>
        <v/>
      </c>
      <c r="CQ209">
        <f>IF($AT209="",0,1)</f>
        <v/>
      </c>
      <c r="CR209">
        <f>IF($CQ209=0,"",AW209)</f>
        <v/>
      </c>
      <c r="CS209">
        <f>IF($CQ209=0,"",AX209)</f>
        <v/>
      </c>
      <c r="CT209">
        <f>IF($CQ209=0,"",AY209)</f>
        <v/>
      </c>
      <c r="CU209">
        <f>IF($CR209="","",IF($CR209="Aloe Vera Gel","Aloe Vera Gel "&amp;$CT209&amp;"g",CS209&amp;" "&amp;$CT209&amp;"g"))</f>
        <v/>
      </c>
      <c r="CV209">
        <f>IF($CQ209=0,"",IF($CP209=$CU209,"Repeat Exact",IF($CT209&gt;$CO209,"Upsized",IF($CT209&lt;$CO209,"Downsized",IF($CM209&lt;&gt;$CR209,"Lateral","Same Size Diff Variant")))))</f>
        <v/>
      </c>
      <c r="CW209">
        <f>IF($CQ209=0,"",AZ209-AQ209)</f>
        <v/>
      </c>
      <c r="CX209">
        <f>IF($CQ209=0,0,IF(CS209=CN209,1,0))</f>
        <v/>
      </c>
      <c r="CY209">
        <f>IF($CQ209=0,0,IF(CR209=CM209,1,0))</f>
        <v/>
      </c>
      <c r="CZ209">
        <f>IF($A209="","",IF(AND(IF(DASHBOARD!$C$4="All",TRUE,$CM209=DASHBOARD!$C$4),IF(DASHBOARD!$C$6="All",TRUE,$CP209=DASHBOARD!$C$6),IF(DASHBOARD!$C$8="All",TRUE,$AF209&gt;=DASHBOARD!$C$8),IF(DASHBOARD!$C$10="All",TRUE,$AF209&lt;=DASHBOARD!$C$10),IF(DASHBOARD!$C$12="All",TRUE,$AH209=VALUE(DASHBOARD!$C$12)),IF(DASHBOARD!$C$14="All",TRUE,$AJ209=DASHBOARD!$C$14)),1,0))</f>
        <v/>
      </c>
    </row>
    <row r="210">
      <c r="A210" t="n">
        <v>132615</v>
      </c>
      <c r="B210" t="inlineStr">
        <is>
          <t>Aloe Vera Gel</t>
        </is>
      </c>
      <c r="H210" t="inlineStr">
        <is>
          <t>Aloe Vera Gel - 40 gms</t>
        </is>
      </c>
      <c r="N210" t="inlineStr">
        <is>
          <t>FC-HG-PA-040</t>
        </is>
      </c>
      <c r="T210" t="inlineStr">
        <is>
          <t>Jan 24, 2024</t>
        </is>
      </c>
      <c r="AE210" t="inlineStr">
        <is>
          <t>Hyderabad</t>
        </is>
      </c>
      <c r="AF210" t="inlineStr">
        <is>
          <t>2024-01</t>
        </is>
      </c>
      <c r="AG210" t="n">
        <v>1</v>
      </c>
      <c r="AH210" t="n">
        <v>1</v>
      </c>
      <c r="AI210" t="n">
        <v>0</v>
      </c>
      <c r="AJ210">
        <f>IF($AE210="","",IFERROR(VLOOKUP(TRIM($AE210),DECODE!$H$3:$I$60,2,FALSE),"Rest of India"))</f>
        <v/>
      </c>
      <c r="AK210">
        <f>IF($N210="","",UPPER(TRIM(LEFT($N210&amp;",",FIND(",",$N210&amp;",")-1))))</f>
        <v/>
      </c>
      <c r="AL210">
        <f>IF($AK210="","",MID($AK210,4,FIND("~",SUBSTITUTE($AK210,"-","~",2))-4))</f>
        <v/>
      </c>
      <c r="AM210">
        <f>IF($AK210="","",MID($AK210,FIND("~",SUBSTITUTE($AK210,"-","~",2))+1,FIND("~",SUBSTITUTE($AK210,"-","~",3))-FIND("~",SUBSTITUTE($AK210,"-","~",2))-1))</f>
        <v/>
      </c>
      <c r="AN210">
        <f>IF($AL210="","",IFERROR(VLOOKUP($AL210,DECODE!$A$3:$C$8,3,FALSE),"?"))</f>
        <v/>
      </c>
      <c r="AO210">
        <f>IF($AM210="","",IFERROR(VLOOKUP($AL210&amp;"-"&amp;$AM210,DECODE!$E$3:$F$21,2,FALSE),"?"))</f>
        <v/>
      </c>
      <c r="AP210">
        <f>IF($AK210="","",IFERROR(VALUE(RIGHT($AK210,3)),""))</f>
        <v/>
      </c>
      <c r="AQ210">
        <f>IF($T210="","",IFERROR(IF(ISNUMBER($T210),$T210,DATEVALUE(TRIM($T210))),""))</f>
        <v/>
      </c>
      <c r="AR210">
        <f>IF($AQ210="","",IF(MONTH($AQ210)&gt;=12,"Cold Winter",IF(MONTH($AQ210)&gt;=10,"Post-Monsoon",IF(MONTH($AQ210)&gt;=6,"Hot Humid",IF(MONTH($AQ210)&gt;=3,"Hot Dry","Cold Winter")))))</f>
        <v/>
      </c>
      <c r="AS210">
        <f>IF($AL210="","",IFERROR(VLOOKUP($AL210,DECODE!$A$3:$C$8,2,FALSE),"?"))</f>
        <v/>
      </c>
      <c r="AT210">
        <f>IF($O210="","",UPPER(TRIM(LEFT($O210&amp;",",FIND(",",$O210&amp;",")-1))))</f>
        <v/>
      </c>
      <c r="AU210">
        <f>IF($AT210="","",MID($AT210,4,FIND("~",SUBSTITUTE($AT210,"-","~",2))-4))</f>
        <v/>
      </c>
      <c r="AV210">
        <f>IF($AT210="","",MID($AT210,FIND("~",SUBSTITUTE($AT210,"-","~",2))+1,FIND("~",SUBSTITUTE($AT210,"-","~",3))-FIND("~",SUBSTITUTE($AT210,"-","~",2))-1))</f>
        <v/>
      </c>
      <c r="AW210">
        <f>IF($AU210="","",IFERROR(VLOOKUP($AU210,DECODE!$A$3:$C$8,3,FALSE),"?"))</f>
        <v/>
      </c>
      <c r="AX210">
        <f>IF($AV210="","",IFERROR(VLOOKUP($AU210&amp;"-"&amp;$AV210,DECODE!$E$3:$F$21,2,FALSE),"?"))</f>
        <v/>
      </c>
      <c r="AY210">
        <f>IF($AT210="","",IFERROR(VALUE(RIGHT($AT210,3)),""))</f>
        <v/>
      </c>
      <c r="AZ210">
        <f>IF($U210="","",IFERROR(IF(ISNUMBER($U210),$U210,DATEVALUE(TRIM($U210))),""))</f>
        <v/>
      </c>
      <c r="BA210">
        <f>IF($AZ210="","",IF(MONTH($AZ210)&gt;=12,"Cold Winter",IF(MONTH($AZ210)&gt;=10,"Post-Monsoon",IF(MONTH($AZ210)&gt;=6,"Hot Humid",IF(MONTH($AZ210)&gt;=3,"Hot Dry","Cold Winter")))))</f>
        <v/>
      </c>
      <c r="BB210">
        <f>IF($AU210="","",IFERROR(VLOOKUP($AU210,DECODE!$A$3:$C$8,2,FALSE),"?"))</f>
        <v/>
      </c>
      <c r="BC210">
        <f>IF($P210="","",UPPER(TRIM(LEFT($P210&amp;",",FIND(",",$P210&amp;",")-1))))</f>
        <v/>
      </c>
      <c r="BD210">
        <f>IF($BC210="","",MID($BC210,4,FIND("~",SUBSTITUTE($BC210,"-","~",2))-4))</f>
        <v/>
      </c>
      <c r="BE210">
        <f>IF($BC210="","",MID($BC210,FIND("~",SUBSTITUTE($BC210,"-","~",2))+1,FIND("~",SUBSTITUTE($BC210,"-","~",3))-FIND("~",SUBSTITUTE($BC210,"-","~",2))-1))</f>
        <v/>
      </c>
      <c r="BF210">
        <f>IF($BD210="","",IFERROR(VLOOKUP($BD210,DECODE!$A$3:$C$8,3,FALSE),"?"))</f>
        <v/>
      </c>
      <c r="BG210">
        <f>IF($BE210="","",IFERROR(VLOOKUP($BD210&amp;"-"&amp;$BE210,DECODE!$E$3:$F$21,2,FALSE),"?"))</f>
        <v/>
      </c>
      <c r="BH210">
        <f>IF($BC210="","",IFERROR(VALUE(RIGHT($BC210,3)),""))</f>
        <v/>
      </c>
      <c r="BI210">
        <f>IF($V210="","",IFERROR(IF(ISNUMBER($V210),$V210,DATEVALUE(TRIM($V210))),""))</f>
        <v/>
      </c>
      <c r="BJ210">
        <f>IF($BI210="","",IF(MONTH($BI210)&gt;=12,"Cold Winter",IF(MONTH($BI210)&gt;=10,"Post-Monsoon",IF(MONTH($BI210)&gt;=6,"Hot Humid",IF(MONTH($BI210)&gt;=3,"Hot Dry","Cold Winter")))))</f>
        <v/>
      </c>
      <c r="BK210">
        <f>IF($BD210="","",IFERROR(VLOOKUP($BD210,DECODE!$A$3:$C$8,2,FALSE),"?"))</f>
        <v/>
      </c>
      <c r="BL210">
        <f>IF($Q210="","",UPPER(TRIM(LEFT($Q210&amp;",",FIND(",",$Q210&amp;",")-1))))</f>
        <v/>
      </c>
      <c r="BM210">
        <f>IF($BL210="","",MID($BL210,4,FIND("~",SUBSTITUTE($BL210,"-","~",2))-4))</f>
        <v/>
      </c>
      <c r="BN210">
        <f>IF($BL210="","",MID($BL210,FIND("~",SUBSTITUTE($BL210,"-","~",2))+1,FIND("~",SUBSTITUTE($BL210,"-","~",3))-FIND("~",SUBSTITUTE($BL210,"-","~",2))-1))</f>
        <v/>
      </c>
      <c r="BO210">
        <f>IF($BM210="","",IFERROR(VLOOKUP($BM210,DECODE!$A$3:$C$8,3,FALSE),"?"))</f>
        <v/>
      </c>
      <c r="BP210">
        <f>IF($BN210="","",IFERROR(VLOOKUP($BM210&amp;"-"&amp;$BN210,DECODE!$E$3:$F$21,2,FALSE),"?"))</f>
        <v/>
      </c>
      <c r="BQ210">
        <f>IF($BL210="","",IFERROR(VALUE(RIGHT($BL210,3)),""))</f>
        <v/>
      </c>
      <c r="BR210">
        <f>IF($W210="","",IFERROR(IF(ISNUMBER($W210),$W210,DATEVALUE(TRIM($W210))),""))</f>
        <v/>
      </c>
      <c r="BS210">
        <f>IF($BR210="","",IF(MONTH($BR210)&gt;=12,"Cold Winter",IF(MONTH($BR210)&gt;=10,"Post-Monsoon",IF(MONTH($BR210)&gt;=6,"Hot Humid",IF(MONTH($BR210)&gt;=3,"Hot Dry","Cold Winter")))))</f>
        <v/>
      </c>
      <c r="BT210">
        <f>IF($BM210="","",IFERROR(VLOOKUP($BM210,DECODE!$A$3:$C$8,2,FALSE),"?"))</f>
        <v/>
      </c>
      <c r="BU210">
        <f>IF($R210="","",UPPER(TRIM(LEFT($R210&amp;",",FIND(",",$R210&amp;",")-1))))</f>
        <v/>
      </c>
      <c r="BV210">
        <f>IF($BU210="","",MID($BU210,4,FIND("~",SUBSTITUTE($BU210,"-","~",2))-4))</f>
        <v/>
      </c>
      <c r="BW210">
        <f>IF($BU210="","",MID($BU210,FIND("~",SUBSTITUTE($BU210,"-","~",2))+1,FIND("~",SUBSTITUTE($BU210,"-","~",3))-FIND("~",SUBSTITUTE($BU210,"-","~",2))-1))</f>
        <v/>
      </c>
      <c r="BX210">
        <f>IF($BV210="","",IFERROR(VLOOKUP($BV210,DECODE!$A$3:$C$8,3,FALSE),"?"))</f>
        <v/>
      </c>
      <c r="BY210">
        <f>IF($BW210="","",IFERROR(VLOOKUP($BV210&amp;"-"&amp;$BW210,DECODE!$E$3:$F$21,2,FALSE),"?"))</f>
        <v/>
      </c>
      <c r="BZ210">
        <f>IF($BU210="","",IFERROR(VALUE(RIGHT($BU210,3)),""))</f>
        <v/>
      </c>
      <c r="CA210">
        <f>IF($X210="","",IFERROR(IF(ISNUMBER($X210),$X210,DATEVALUE(TRIM($X210))),""))</f>
        <v/>
      </c>
      <c r="CB210">
        <f>IF($CA210="","",IF(MONTH($CA210)&gt;=12,"Cold Winter",IF(MONTH($CA210)&gt;=10,"Post-Monsoon",IF(MONTH($CA210)&gt;=6,"Hot Humid",IF(MONTH($CA210)&gt;=3,"Hot Dry","Cold Winter")))))</f>
        <v/>
      </c>
      <c r="CC210">
        <f>IF($BV210="","",IFERROR(VLOOKUP($BV210,DECODE!$A$3:$C$8,2,FALSE),"?"))</f>
        <v/>
      </c>
      <c r="CD210">
        <f>IF($S210="","",UPPER(TRIM(LEFT($S210&amp;",",FIND(",",$S210&amp;",")-1))))</f>
        <v/>
      </c>
      <c r="CE210">
        <f>IF($CD210="","",MID($CD210,4,FIND("~",SUBSTITUTE($CD210,"-","~",2))-4))</f>
        <v/>
      </c>
      <c r="CF210">
        <f>IF($CD210="","",MID($CD210,FIND("~",SUBSTITUTE($CD210,"-","~",2))+1,FIND("~",SUBSTITUTE($CD210,"-","~",3))-FIND("~",SUBSTITUTE($CD210,"-","~",2))-1))</f>
        <v/>
      </c>
      <c r="CG210">
        <f>IF($CE210="","",IFERROR(VLOOKUP($CE210,DECODE!$A$3:$C$8,3,FALSE),"?"))</f>
        <v/>
      </c>
      <c r="CH210">
        <f>IF($CF210="","",IFERROR(VLOOKUP($CE210&amp;"-"&amp;$CF210,DECODE!$E$3:$F$21,2,FALSE),"?"))</f>
        <v/>
      </c>
      <c r="CI210">
        <f>IF($CD210="","",IFERROR(VALUE(RIGHT($CD210,3)),""))</f>
        <v/>
      </c>
      <c r="CJ210">
        <f>IF($Y210="","",IFERROR(IF(ISNUMBER($Y210),$Y210,DATEVALUE(TRIM($Y210))),""))</f>
        <v/>
      </c>
      <c r="CK210">
        <f>IF($CJ210="","",IF(MONTH($CJ210)&gt;=12,"Cold Winter",IF(MONTH($CJ210)&gt;=10,"Post-Monsoon",IF(MONTH($CJ210)&gt;=6,"Hot Humid",IF(MONTH($CJ210)&gt;=3,"Hot Dry","Cold Winter")))))</f>
        <v/>
      </c>
      <c r="CL210">
        <f>IF($CE210="","",IFERROR(VLOOKUP($CE210,DECODE!$A$3:$C$8,2,FALSE),"?"))</f>
        <v/>
      </c>
      <c r="CM210">
        <f>IF($AN210="","",AN210)</f>
        <v/>
      </c>
      <c r="CN210">
        <f>IF($AO210="","",AO210)</f>
        <v/>
      </c>
      <c r="CO210">
        <f>IF($AP210="","",AP210)</f>
        <v/>
      </c>
      <c r="CP210">
        <f>IF($CM210="","",IF($CM210="Aloe Vera Gel","Aloe Vera Gel "&amp;$CO210&amp;"g",CN210&amp;" "&amp;$CO210&amp;"g"))</f>
        <v/>
      </c>
      <c r="CQ210">
        <f>IF($AT210="",0,1)</f>
        <v/>
      </c>
      <c r="CR210">
        <f>IF($CQ210=0,"",AW210)</f>
        <v/>
      </c>
      <c r="CS210">
        <f>IF($CQ210=0,"",AX210)</f>
        <v/>
      </c>
      <c r="CT210">
        <f>IF($CQ210=0,"",AY210)</f>
        <v/>
      </c>
      <c r="CU210">
        <f>IF($CR210="","",IF($CR210="Aloe Vera Gel","Aloe Vera Gel "&amp;$CT210&amp;"g",CS210&amp;" "&amp;$CT210&amp;"g"))</f>
        <v/>
      </c>
      <c r="CV210">
        <f>IF($CQ210=0,"",IF($CP210=$CU210,"Repeat Exact",IF($CT210&gt;$CO210,"Upsized",IF($CT210&lt;$CO210,"Downsized",IF($CM210&lt;&gt;$CR210,"Lateral","Same Size Diff Variant")))))</f>
        <v/>
      </c>
      <c r="CW210">
        <f>IF($CQ210=0,"",AZ210-AQ210)</f>
        <v/>
      </c>
      <c r="CX210">
        <f>IF($CQ210=0,0,IF(CS210=CN210,1,0))</f>
        <v/>
      </c>
      <c r="CY210">
        <f>IF($CQ210=0,0,IF(CR210=CM210,1,0))</f>
        <v/>
      </c>
      <c r="CZ210">
        <f>IF($A210="","",IF(AND(IF(DASHBOARD!$C$4="All",TRUE,$CM210=DASHBOARD!$C$4),IF(DASHBOARD!$C$6="All",TRUE,$CP210=DASHBOARD!$C$6),IF(DASHBOARD!$C$8="All",TRUE,$AF210&gt;=DASHBOARD!$C$8),IF(DASHBOARD!$C$10="All",TRUE,$AF210&lt;=DASHBOARD!$C$10),IF(DASHBOARD!$C$12="All",TRUE,$AH210=VALUE(DASHBOARD!$C$12)),IF(DASHBOARD!$C$14="All",TRUE,$AJ210=DASHBOARD!$C$14)),1,0))</f>
        <v/>
      </c>
    </row>
    <row r="211">
      <c r="A211" t="n">
        <v>133448</v>
      </c>
      <c r="B211" t="inlineStr">
        <is>
          <t>Face Malai</t>
        </is>
      </c>
      <c r="C211" t="inlineStr">
        <is>
          <t>Face Malai</t>
        </is>
      </c>
      <c r="H211" t="inlineStr">
        <is>
          <t>Flax Carrot (Hot Humid) 35+ Face Malai - 30g</t>
        </is>
      </c>
      <c r="I211" t="inlineStr">
        <is>
          <t>Flax Carrot (Hot Humid) 35+ Face Malai - 50g, Cocoa Mogra (Overnight) Face Malai - 30g</t>
        </is>
      </c>
      <c r="N211" t="inlineStr">
        <is>
          <t>FC-HHDM-FC-030</t>
        </is>
      </c>
      <c r="O211" t="inlineStr">
        <is>
          <t>FC-HHDM-FC-050, FC-DM-NR-030</t>
        </is>
      </c>
      <c r="T211" t="inlineStr">
        <is>
          <t>May 28, 2024</t>
        </is>
      </c>
      <c r="U211" t="inlineStr">
        <is>
          <t>Jul 13, 2024</t>
        </is>
      </c>
      <c r="Z211" t="n">
        <v>46</v>
      </c>
      <c r="AE211" t="inlineStr">
        <is>
          <t>Ahmedabad</t>
        </is>
      </c>
      <c r="AF211" t="inlineStr">
        <is>
          <t>2024-05</t>
        </is>
      </c>
      <c r="AG211" t="n">
        <v>5</v>
      </c>
      <c r="AH211" t="n">
        <v>2</v>
      </c>
      <c r="AI211" t="n">
        <v>1</v>
      </c>
      <c r="AJ211">
        <f>IF($AE211="","",IFERROR(VLOOKUP(TRIM($AE211),DECODE!$H$3:$I$60,2,FALSE),"Rest of India"))</f>
        <v/>
      </c>
      <c r="AK211">
        <f>IF($N211="","",UPPER(TRIM(LEFT($N211&amp;",",FIND(",",$N211&amp;",")-1))))</f>
        <v/>
      </c>
      <c r="AL211">
        <f>IF($AK211="","",MID($AK211,4,FIND("~",SUBSTITUTE($AK211,"-","~",2))-4))</f>
        <v/>
      </c>
      <c r="AM211">
        <f>IF($AK211="","",MID($AK211,FIND("~",SUBSTITUTE($AK211,"-","~",2))+1,FIND("~",SUBSTITUTE($AK211,"-","~",3))-FIND("~",SUBSTITUTE($AK211,"-","~",2))-1))</f>
        <v/>
      </c>
      <c r="AN211">
        <f>IF($AL211="","",IFERROR(VLOOKUP($AL211,DECODE!$A$3:$C$8,3,FALSE),"?"))</f>
        <v/>
      </c>
      <c r="AO211">
        <f>IF($AM211="","",IFERROR(VLOOKUP($AL211&amp;"-"&amp;$AM211,DECODE!$E$3:$F$21,2,FALSE),"?"))</f>
        <v/>
      </c>
      <c r="AP211">
        <f>IF($AK211="","",IFERROR(VALUE(RIGHT($AK211,3)),""))</f>
        <v/>
      </c>
      <c r="AQ211">
        <f>IF($T211="","",IFERROR(IF(ISNUMBER($T211),$T211,DATEVALUE(TRIM($T211))),""))</f>
        <v/>
      </c>
      <c r="AR211">
        <f>IF($AQ211="","",IF(MONTH($AQ211)&gt;=12,"Cold Winter",IF(MONTH($AQ211)&gt;=10,"Post-Monsoon",IF(MONTH($AQ211)&gt;=6,"Hot Humid",IF(MONTH($AQ211)&gt;=3,"Hot Dry","Cold Winter")))))</f>
        <v/>
      </c>
      <c r="AS211">
        <f>IF($AL211="","",IFERROR(VLOOKUP($AL211,DECODE!$A$3:$C$8,2,FALSE),"?"))</f>
        <v/>
      </c>
      <c r="AT211">
        <f>IF($O211="","",UPPER(TRIM(LEFT($O211&amp;",",FIND(",",$O211&amp;",")-1))))</f>
        <v/>
      </c>
      <c r="AU211">
        <f>IF($AT211="","",MID($AT211,4,FIND("~",SUBSTITUTE($AT211,"-","~",2))-4))</f>
        <v/>
      </c>
      <c r="AV211">
        <f>IF($AT211="","",MID($AT211,FIND("~",SUBSTITUTE($AT211,"-","~",2))+1,FIND("~",SUBSTITUTE($AT211,"-","~",3))-FIND("~",SUBSTITUTE($AT211,"-","~",2))-1))</f>
        <v/>
      </c>
      <c r="AW211">
        <f>IF($AU211="","",IFERROR(VLOOKUP($AU211,DECODE!$A$3:$C$8,3,FALSE),"?"))</f>
        <v/>
      </c>
      <c r="AX211">
        <f>IF($AV211="","",IFERROR(VLOOKUP($AU211&amp;"-"&amp;$AV211,DECODE!$E$3:$F$21,2,FALSE),"?"))</f>
        <v/>
      </c>
      <c r="AY211">
        <f>IF($AT211="","",IFERROR(VALUE(RIGHT($AT211,3)),""))</f>
        <v/>
      </c>
      <c r="AZ211">
        <f>IF($U211="","",IFERROR(IF(ISNUMBER($U211),$U211,DATEVALUE(TRIM($U211))),""))</f>
        <v/>
      </c>
      <c r="BA211">
        <f>IF($AZ211="","",IF(MONTH($AZ211)&gt;=12,"Cold Winter",IF(MONTH($AZ211)&gt;=10,"Post-Monsoon",IF(MONTH($AZ211)&gt;=6,"Hot Humid",IF(MONTH($AZ211)&gt;=3,"Hot Dry","Cold Winter")))))</f>
        <v/>
      </c>
      <c r="BB211">
        <f>IF($AU211="","",IFERROR(VLOOKUP($AU211,DECODE!$A$3:$C$8,2,FALSE),"?"))</f>
        <v/>
      </c>
      <c r="BC211">
        <f>IF($P211="","",UPPER(TRIM(LEFT($P211&amp;",",FIND(",",$P211&amp;",")-1))))</f>
        <v/>
      </c>
      <c r="BD211">
        <f>IF($BC211="","",MID($BC211,4,FIND("~",SUBSTITUTE($BC211,"-","~",2))-4))</f>
        <v/>
      </c>
      <c r="BE211">
        <f>IF($BC211="","",MID($BC211,FIND("~",SUBSTITUTE($BC211,"-","~",2))+1,FIND("~",SUBSTITUTE($BC211,"-","~",3))-FIND("~",SUBSTITUTE($BC211,"-","~",2))-1))</f>
        <v/>
      </c>
      <c r="BF211">
        <f>IF($BD211="","",IFERROR(VLOOKUP($BD211,DECODE!$A$3:$C$8,3,FALSE),"?"))</f>
        <v/>
      </c>
      <c r="BG211">
        <f>IF($BE211="","",IFERROR(VLOOKUP($BD211&amp;"-"&amp;$BE211,DECODE!$E$3:$F$21,2,FALSE),"?"))</f>
        <v/>
      </c>
      <c r="BH211">
        <f>IF($BC211="","",IFERROR(VALUE(RIGHT($BC211,3)),""))</f>
        <v/>
      </c>
      <c r="BI211">
        <f>IF($V211="","",IFERROR(IF(ISNUMBER($V211),$V211,DATEVALUE(TRIM($V211))),""))</f>
        <v/>
      </c>
      <c r="BJ211">
        <f>IF($BI211="","",IF(MONTH($BI211)&gt;=12,"Cold Winter",IF(MONTH($BI211)&gt;=10,"Post-Monsoon",IF(MONTH($BI211)&gt;=6,"Hot Humid",IF(MONTH($BI211)&gt;=3,"Hot Dry","Cold Winter")))))</f>
        <v/>
      </c>
      <c r="BK211">
        <f>IF($BD211="","",IFERROR(VLOOKUP($BD211,DECODE!$A$3:$C$8,2,FALSE),"?"))</f>
        <v/>
      </c>
      <c r="BL211">
        <f>IF($Q211="","",UPPER(TRIM(LEFT($Q211&amp;",",FIND(",",$Q211&amp;",")-1))))</f>
        <v/>
      </c>
      <c r="BM211">
        <f>IF($BL211="","",MID($BL211,4,FIND("~",SUBSTITUTE($BL211,"-","~",2))-4))</f>
        <v/>
      </c>
      <c r="BN211">
        <f>IF($BL211="","",MID($BL211,FIND("~",SUBSTITUTE($BL211,"-","~",2))+1,FIND("~",SUBSTITUTE($BL211,"-","~",3))-FIND("~",SUBSTITUTE($BL211,"-","~",2))-1))</f>
        <v/>
      </c>
      <c r="BO211">
        <f>IF($BM211="","",IFERROR(VLOOKUP($BM211,DECODE!$A$3:$C$8,3,FALSE),"?"))</f>
        <v/>
      </c>
      <c r="BP211">
        <f>IF($BN211="","",IFERROR(VLOOKUP($BM211&amp;"-"&amp;$BN211,DECODE!$E$3:$F$21,2,FALSE),"?"))</f>
        <v/>
      </c>
      <c r="BQ211">
        <f>IF($BL211="","",IFERROR(VALUE(RIGHT($BL211,3)),""))</f>
        <v/>
      </c>
      <c r="BR211">
        <f>IF($W211="","",IFERROR(IF(ISNUMBER($W211),$W211,DATEVALUE(TRIM($W211))),""))</f>
        <v/>
      </c>
      <c r="BS211">
        <f>IF($BR211="","",IF(MONTH($BR211)&gt;=12,"Cold Winter",IF(MONTH($BR211)&gt;=10,"Post-Monsoon",IF(MONTH($BR211)&gt;=6,"Hot Humid",IF(MONTH($BR211)&gt;=3,"Hot Dry","Cold Winter")))))</f>
        <v/>
      </c>
      <c r="BT211">
        <f>IF($BM211="","",IFERROR(VLOOKUP($BM211,DECODE!$A$3:$C$8,2,FALSE),"?"))</f>
        <v/>
      </c>
      <c r="BU211">
        <f>IF($R211="","",UPPER(TRIM(LEFT($R211&amp;",",FIND(",",$R211&amp;",")-1))))</f>
        <v/>
      </c>
      <c r="BV211">
        <f>IF($BU211="","",MID($BU211,4,FIND("~",SUBSTITUTE($BU211,"-","~",2))-4))</f>
        <v/>
      </c>
      <c r="BW211">
        <f>IF($BU211="","",MID($BU211,FIND("~",SUBSTITUTE($BU211,"-","~",2))+1,FIND("~",SUBSTITUTE($BU211,"-","~",3))-FIND("~",SUBSTITUTE($BU211,"-","~",2))-1))</f>
        <v/>
      </c>
      <c r="BX211">
        <f>IF($BV211="","",IFERROR(VLOOKUP($BV211,DECODE!$A$3:$C$8,3,FALSE),"?"))</f>
        <v/>
      </c>
      <c r="BY211">
        <f>IF($BW211="","",IFERROR(VLOOKUP($BV211&amp;"-"&amp;$BW211,DECODE!$E$3:$F$21,2,FALSE),"?"))</f>
        <v/>
      </c>
      <c r="BZ211">
        <f>IF($BU211="","",IFERROR(VALUE(RIGHT($BU211,3)),""))</f>
        <v/>
      </c>
      <c r="CA211">
        <f>IF($X211="","",IFERROR(IF(ISNUMBER($X211),$X211,DATEVALUE(TRIM($X211))),""))</f>
        <v/>
      </c>
      <c r="CB211">
        <f>IF($CA211="","",IF(MONTH($CA211)&gt;=12,"Cold Winter",IF(MONTH($CA211)&gt;=10,"Post-Monsoon",IF(MONTH($CA211)&gt;=6,"Hot Humid",IF(MONTH($CA211)&gt;=3,"Hot Dry","Cold Winter")))))</f>
        <v/>
      </c>
      <c r="CC211">
        <f>IF($BV211="","",IFERROR(VLOOKUP($BV211,DECODE!$A$3:$C$8,2,FALSE),"?"))</f>
        <v/>
      </c>
      <c r="CD211">
        <f>IF($S211="","",UPPER(TRIM(LEFT($S211&amp;",",FIND(",",$S211&amp;",")-1))))</f>
        <v/>
      </c>
      <c r="CE211">
        <f>IF($CD211="","",MID($CD211,4,FIND("~",SUBSTITUTE($CD211,"-","~",2))-4))</f>
        <v/>
      </c>
      <c r="CF211">
        <f>IF($CD211="","",MID($CD211,FIND("~",SUBSTITUTE($CD211,"-","~",2))+1,FIND("~",SUBSTITUTE($CD211,"-","~",3))-FIND("~",SUBSTITUTE($CD211,"-","~",2))-1))</f>
        <v/>
      </c>
      <c r="CG211">
        <f>IF($CE211="","",IFERROR(VLOOKUP($CE211,DECODE!$A$3:$C$8,3,FALSE),"?"))</f>
        <v/>
      </c>
      <c r="CH211">
        <f>IF($CF211="","",IFERROR(VLOOKUP($CE211&amp;"-"&amp;$CF211,DECODE!$E$3:$F$21,2,FALSE),"?"))</f>
        <v/>
      </c>
      <c r="CI211">
        <f>IF($CD211="","",IFERROR(VALUE(RIGHT($CD211,3)),""))</f>
        <v/>
      </c>
      <c r="CJ211">
        <f>IF($Y211="","",IFERROR(IF(ISNUMBER($Y211),$Y211,DATEVALUE(TRIM($Y211))),""))</f>
        <v/>
      </c>
      <c r="CK211">
        <f>IF($CJ211="","",IF(MONTH($CJ211)&gt;=12,"Cold Winter",IF(MONTH($CJ211)&gt;=10,"Post-Monsoon",IF(MONTH($CJ211)&gt;=6,"Hot Humid",IF(MONTH($CJ211)&gt;=3,"Hot Dry","Cold Winter")))))</f>
        <v/>
      </c>
      <c r="CL211">
        <f>IF($CE211="","",IFERROR(VLOOKUP($CE211,DECODE!$A$3:$C$8,2,FALSE),"?"))</f>
        <v/>
      </c>
      <c r="CM211">
        <f>IF($AN211="","",AN211)</f>
        <v/>
      </c>
      <c r="CN211">
        <f>IF($AO211="","",AO211)</f>
        <v/>
      </c>
      <c r="CO211">
        <f>IF($AP211="","",AP211)</f>
        <v/>
      </c>
      <c r="CP211">
        <f>IF($CM211="","",IF($CM211="Aloe Vera Gel","Aloe Vera Gel "&amp;$CO211&amp;"g",CN211&amp;" "&amp;$CO211&amp;"g"))</f>
        <v/>
      </c>
      <c r="CQ211">
        <f>IF($AT211="",0,1)</f>
        <v/>
      </c>
      <c r="CR211">
        <f>IF($CQ211=0,"",AW211)</f>
        <v/>
      </c>
      <c r="CS211">
        <f>IF($CQ211=0,"",AX211)</f>
        <v/>
      </c>
      <c r="CT211">
        <f>IF($CQ211=0,"",AY211)</f>
        <v/>
      </c>
      <c r="CU211">
        <f>IF($CR211="","",IF($CR211="Aloe Vera Gel","Aloe Vera Gel "&amp;$CT211&amp;"g",CS211&amp;" "&amp;$CT211&amp;"g"))</f>
        <v/>
      </c>
      <c r="CV211">
        <f>IF($CQ211=0,"",IF($CP211=$CU211,"Repeat Exact",IF($CT211&gt;$CO211,"Upsized",IF($CT211&lt;$CO211,"Downsized",IF($CM211&lt;&gt;$CR211,"Lateral","Same Size Diff Variant")))))</f>
        <v/>
      </c>
      <c r="CW211">
        <f>IF($CQ211=0,"",AZ211-AQ211)</f>
        <v/>
      </c>
      <c r="CX211">
        <f>IF($CQ211=0,0,IF(CS211=CN211,1,0))</f>
        <v/>
      </c>
      <c r="CY211">
        <f>IF($CQ211=0,0,IF(CR211=CM211,1,0))</f>
        <v/>
      </c>
      <c r="CZ211">
        <f>IF($A211="","",IF(AND(IF(DASHBOARD!$C$4="All",TRUE,$CM211=DASHBOARD!$C$4),IF(DASHBOARD!$C$6="All",TRUE,$CP211=DASHBOARD!$C$6),IF(DASHBOARD!$C$8="All",TRUE,$AF211&gt;=DASHBOARD!$C$8),IF(DASHBOARD!$C$10="All",TRUE,$AF211&lt;=DASHBOARD!$C$10),IF(DASHBOARD!$C$12="All",TRUE,$AH211=VALUE(DASHBOARD!$C$12)),IF(DASHBOARD!$C$14="All",TRUE,$AJ211=DASHBOARD!$C$14)),1,0))</f>
        <v/>
      </c>
    </row>
    <row r="212">
      <c r="A212" t="n">
        <v>133922</v>
      </c>
      <c r="B212" t="inlineStr">
        <is>
          <t>Aloe Vera Gel</t>
        </is>
      </c>
      <c r="H212" t="inlineStr">
        <is>
          <t>Aloe Vera Gel - 40 gms</t>
        </is>
      </c>
      <c r="N212" t="inlineStr">
        <is>
          <t>FC-HG-PA-040</t>
        </is>
      </c>
      <c r="T212" t="inlineStr">
        <is>
          <t>Feb 20, 2024</t>
        </is>
      </c>
      <c r="AE212" t="inlineStr">
        <is>
          <t>Pune</t>
        </is>
      </c>
      <c r="AF212" t="inlineStr">
        <is>
          <t>2024-02</t>
        </is>
      </c>
      <c r="AG212" t="n">
        <v>2</v>
      </c>
      <c r="AH212" t="n">
        <v>1</v>
      </c>
      <c r="AI212" t="n">
        <v>0</v>
      </c>
      <c r="AJ212">
        <f>IF($AE212="","",IFERROR(VLOOKUP(TRIM($AE212),DECODE!$H$3:$I$60,2,FALSE),"Rest of India"))</f>
        <v/>
      </c>
      <c r="AK212">
        <f>IF($N212="","",UPPER(TRIM(LEFT($N212&amp;",",FIND(",",$N212&amp;",")-1))))</f>
        <v/>
      </c>
      <c r="AL212">
        <f>IF($AK212="","",MID($AK212,4,FIND("~",SUBSTITUTE($AK212,"-","~",2))-4))</f>
        <v/>
      </c>
      <c r="AM212">
        <f>IF($AK212="","",MID($AK212,FIND("~",SUBSTITUTE($AK212,"-","~",2))+1,FIND("~",SUBSTITUTE($AK212,"-","~",3))-FIND("~",SUBSTITUTE($AK212,"-","~",2))-1))</f>
        <v/>
      </c>
      <c r="AN212">
        <f>IF($AL212="","",IFERROR(VLOOKUP($AL212,DECODE!$A$3:$C$8,3,FALSE),"?"))</f>
        <v/>
      </c>
      <c r="AO212">
        <f>IF($AM212="","",IFERROR(VLOOKUP($AL212&amp;"-"&amp;$AM212,DECODE!$E$3:$F$21,2,FALSE),"?"))</f>
        <v/>
      </c>
      <c r="AP212">
        <f>IF($AK212="","",IFERROR(VALUE(RIGHT($AK212,3)),""))</f>
        <v/>
      </c>
      <c r="AQ212">
        <f>IF($T212="","",IFERROR(IF(ISNUMBER($T212),$T212,DATEVALUE(TRIM($T212))),""))</f>
        <v/>
      </c>
      <c r="AR212">
        <f>IF($AQ212="","",IF(MONTH($AQ212)&gt;=12,"Cold Winter",IF(MONTH($AQ212)&gt;=10,"Post-Monsoon",IF(MONTH($AQ212)&gt;=6,"Hot Humid",IF(MONTH($AQ212)&gt;=3,"Hot Dry","Cold Winter")))))</f>
        <v/>
      </c>
      <c r="AS212">
        <f>IF($AL212="","",IFERROR(VLOOKUP($AL212,DECODE!$A$3:$C$8,2,FALSE),"?"))</f>
        <v/>
      </c>
      <c r="AT212">
        <f>IF($O212="","",UPPER(TRIM(LEFT($O212&amp;",",FIND(",",$O212&amp;",")-1))))</f>
        <v/>
      </c>
      <c r="AU212">
        <f>IF($AT212="","",MID($AT212,4,FIND("~",SUBSTITUTE($AT212,"-","~",2))-4))</f>
        <v/>
      </c>
      <c r="AV212">
        <f>IF($AT212="","",MID($AT212,FIND("~",SUBSTITUTE($AT212,"-","~",2))+1,FIND("~",SUBSTITUTE($AT212,"-","~",3))-FIND("~",SUBSTITUTE($AT212,"-","~",2))-1))</f>
        <v/>
      </c>
      <c r="AW212">
        <f>IF($AU212="","",IFERROR(VLOOKUP($AU212,DECODE!$A$3:$C$8,3,FALSE),"?"))</f>
        <v/>
      </c>
      <c r="AX212">
        <f>IF($AV212="","",IFERROR(VLOOKUP($AU212&amp;"-"&amp;$AV212,DECODE!$E$3:$F$21,2,FALSE),"?"))</f>
        <v/>
      </c>
      <c r="AY212">
        <f>IF($AT212="","",IFERROR(VALUE(RIGHT($AT212,3)),""))</f>
        <v/>
      </c>
      <c r="AZ212">
        <f>IF($U212="","",IFERROR(IF(ISNUMBER($U212),$U212,DATEVALUE(TRIM($U212))),""))</f>
        <v/>
      </c>
      <c r="BA212">
        <f>IF($AZ212="","",IF(MONTH($AZ212)&gt;=12,"Cold Winter",IF(MONTH($AZ212)&gt;=10,"Post-Monsoon",IF(MONTH($AZ212)&gt;=6,"Hot Humid",IF(MONTH($AZ212)&gt;=3,"Hot Dry","Cold Winter")))))</f>
        <v/>
      </c>
      <c r="BB212">
        <f>IF($AU212="","",IFERROR(VLOOKUP($AU212,DECODE!$A$3:$C$8,2,FALSE),"?"))</f>
        <v/>
      </c>
      <c r="BC212">
        <f>IF($P212="","",UPPER(TRIM(LEFT($P212&amp;",",FIND(",",$P212&amp;",")-1))))</f>
        <v/>
      </c>
      <c r="BD212">
        <f>IF($BC212="","",MID($BC212,4,FIND("~",SUBSTITUTE($BC212,"-","~",2))-4))</f>
        <v/>
      </c>
      <c r="BE212">
        <f>IF($BC212="","",MID($BC212,FIND("~",SUBSTITUTE($BC212,"-","~",2))+1,FIND("~",SUBSTITUTE($BC212,"-","~",3))-FIND("~",SUBSTITUTE($BC212,"-","~",2))-1))</f>
        <v/>
      </c>
      <c r="BF212">
        <f>IF($BD212="","",IFERROR(VLOOKUP($BD212,DECODE!$A$3:$C$8,3,FALSE),"?"))</f>
        <v/>
      </c>
      <c r="BG212">
        <f>IF($BE212="","",IFERROR(VLOOKUP($BD212&amp;"-"&amp;$BE212,DECODE!$E$3:$F$21,2,FALSE),"?"))</f>
        <v/>
      </c>
      <c r="BH212">
        <f>IF($BC212="","",IFERROR(VALUE(RIGHT($BC212,3)),""))</f>
        <v/>
      </c>
      <c r="BI212">
        <f>IF($V212="","",IFERROR(IF(ISNUMBER($V212),$V212,DATEVALUE(TRIM($V212))),""))</f>
        <v/>
      </c>
      <c r="BJ212">
        <f>IF($BI212="","",IF(MONTH($BI212)&gt;=12,"Cold Winter",IF(MONTH($BI212)&gt;=10,"Post-Monsoon",IF(MONTH($BI212)&gt;=6,"Hot Humid",IF(MONTH($BI212)&gt;=3,"Hot Dry","Cold Winter")))))</f>
        <v/>
      </c>
      <c r="BK212">
        <f>IF($BD212="","",IFERROR(VLOOKUP($BD212,DECODE!$A$3:$C$8,2,FALSE),"?"))</f>
        <v/>
      </c>
      <c r="BL212">
        <f>IF($Q212="","",UPPER(TRIM(LEFT($Q212&amp;",",FIND(",",$Q212&amp;",")-1))))</f>
        <v/>
      </c>
      <c r="BM212">
        <f>IF($BL212="","",MID($BL212,4,FIND("~",SUBSTITUTE($BL212,"-","~",2))-4))</f>
        <v/>
      </c>
      <c r="BN212">
        <f>IF($BL212="","",MID($BL212,FIND("~",SUBSTITUTE($BL212,"-","~",2))+1,FIND("~",SUBSTITUTE($BL212,"-","~",3))-FIND("~",SUBSTITUTE($BL212,"-","~",2))-1))</f>
        <v/>
      </c>
      <c r="BO212">
        <f>IF($BM212="","",IFERROR(VLOOKUP($BM212,DECODE!$A$3:$C$8,3,FALSE),"?"))</f>
        <v/>
      </c>
      <c r="BP212">
        <f>IF($BN212="","",IFERROR(VLOOKUP($BM212&amp;"-"&amp;$BN212,DECODE!$E$3:$F$21,2,FALSE),"?"))</f>
        <v/>
      </c>
      <c r="BQ212">
        <f>IF($BL212="","",IFERROR(VALUE(RIGHT($BL212,3)),""))</f>
        <v/>
      </c>
      <c r="BR212">
        <f>IF($W212="","",IFERROR(IF(ISNUMBER($W212),$W212,DATEVALUE(TRIM($W212))),""))</f>
        <v/>
      </c>
      <c r="BS212">
        <f>IF($BR212="","",IF(MONTH($BR212)&gt;=12,"Cold Winter",IF(MONTH($BR212)&gt;=10,"Post-Monsoon",IF(MONTH($BR212)&gt;=6,"Hot Humid",IF(MONTH($BR212)&gt;=3,"Hot Dry","Cold Winter")))))</f>
        <v/>
      </c>
      <c r="BT212">
        <f>IF($BM212="","",IFERROR(VLOOKUP($BM212,DECODE!$A$3:$C$8,2,FALSE),"?"))</f>
        <v/>
      </c>
      <c r="BU212">
        <f>IF($R212="","",UPPER(TRIM(LEFT($R212&amp;",",FIND(",",$R212&amp;",")-1))))</f>
        <v/>
      </c>
      <c r="BV212">
        <f>IF($BU212="","",MID($BU212,4,FIND("~",SUBSTITUTE($BU212,"-","~",2))-4))</f>
        <v/>
      </c>
      <c r="BW212">
        <f>IF($BU212="","",MID($BU212,FIND("~",SUBSTITUTE($BU212,"-","~",2))+1,FIND("~",SUBSTITUTE($BU212,"-","~",3))-FIND("~",SUBSTITUTE($BU212,"-","~",2))-1))</f>
        <v/>
      </c>
      <c r="BX212">
        <f>IF($BV212="","",IFERROR(VLOOKUP($BV212,DECODE!$A$3:$C$8,3,FALSE),"?"))</f>
        <v/>
      </c>
      <c r="BY212">
        <f>IF($BW212="","",IFERROR(VLOOKUP($BV212&amp;"-"&amp;$BW212,DECODE!$E$3:$F$21,2,FALSE),"?"))</f>
        <v/>
      </c>
      <c r="BZ212">
        <f>IF($BU212="","",IFERROR(VALUE(RIGHT($BU212,3)),""))</f>
        <v/>
      </c>
      <c r="CA212">
        <f>IF($X212="","",IFERROR(IF(ISNUMBER($X212),$X212,DATEVALUE(TRIM($X212))),""))</f>
        <v/>
      </c>
      <c r="CB212">
        <f>IF($CA212="","",IF(MONTH($CA212)&gt;=12,"Cold Winter",IF(MONTH($CA212)&gt;=10,"Post-Monsoon",IF(MONTH($CA212)&gt;=6,"Hot Humid",IF(MONTH($CA212)&gt;=3,"Hot Dry","Cold Winter")))))</f>
        <v/>
      </c>
      <c r="CC212">
        <f>IF($BV212="","",IFERROR(VLOOKUP($BV212,DECODE!$A$3:$C$8,2,FALSE),"?"))</f>
        <v/>
      </c>
      <c r="CD212">
        <f>IF($S212="","",UPPER(TRIM(LEFT($S212&amp;",",FIND(",",$S212&amp;",")-1))))</f>
        <v/>
      </c>
      <c r="CE212">
        <f>IF($CD212="","",MID($CD212,4,FIND("~",SUBSTITUTE($CD212,"-","~",2))-4))</f>
        <v/>
      </c>
      <c r="CF212">
        <f>IF($CD212="","",MID($CD212,FIND("~",SUBSTITUTE($CD212,"-","~",2))+1,FIND("~",SUBSTITUTE($CD212,"-","~",3))-FIND("~",SUBSTITUTE($CD212,"-","~",2))-1))</f>
        <v/>
      </c>
      <c r="CG212">
        <f>IF($CE212="","",IFERROR(VLOOKUP($CE212,DECODE!$A$3:$C$8,3,FALSE),"?"))</f>
        <v/>
      </c>
      <c r="CH212">
        <f>IF($CF212="","",IFERROR(VLOOKUP($CE212&amp;"-"&amp;$CF212,DECODE!$E$3:$F$21,2,FALSE),"?"))</f>
        <v/>
      </c>
      <c r="CI212">
        <f>IF($CD212="","",IFERROR(VALUE(RIGHT($CD212,3)),""))</f>
        <v/>
      </c>
      <c r="CJ212">
        <f>IF($Y212="","",IFERROR(IF(ISNUMBER($Y212),$Y212,DATEVALUE(TRIM($Y212))),""))</f>
        <v/>
      </c>
      <c r="CK212">
        <f>IF($CJ212="","",IF(MONTH($CJ212)&gt;=12,"Cold Winter",IF(MONTH($CJ212)&gt;=10,"Post-Monsoon",IF(MONTH($CJ212)&gt;=6,"Hot Humid",IF(MONTH($CJ212)&gt;=3,"Hot Dry","Cold Winter")))))</f>
        <v/>
      </c>
      <c r="CL212">
        <f>IF($CE212="","",IFERROR(VLOOKUP($CE212,DECODE!$A$3:$C$8,2,FALSE),"?"))</f>
        <v/>
      </c>
      <c r="CM212">
        <f>IF($AN212="","",AN212)</f>
        <v/>
      </c>
      <c r="CN212">
        <f>IF($AO212="","",AO212)</f>
        <v/>
      </c>
      <c r="CO212">
        <f>IF($AP212="","",AP212)</f>
        <v/>
      </c>
      <c r="CP212">
        <f>IF($CM212="","",IF($CM212="Aloe Vera Gel","Aloe Vera Gel "&amp;$CO212&amp;"g",CN212&amp;" "&amp;$CO212&amp;"g"))</f>
        <v/>
      </c>
      <c r="CQ212">
        <f>IF($AT212="",0,1)</f>
        <v/>
      </c>
      <c r="CR212">
        <f>IF($CQ212=0,"",AW212)</f>
        <v/>
      </c>
      <c r="CS212">
        <f>IF($CQ212=0,"",AX212)</f>
        <v/>
      </c>
      <c r="CT212">
        <f>IF($CQ212=0,"",AY212)</f>
        <v/>
      </c>
      <c r="CU212">
        <f>IF($CR212="","",IF($CR212="Aloe Vera Gel","Aloe Vera Gel "&amp;$CT212&amp;"g",CS212&amp;" "&amp;$CT212&amp;"g"))</f>
        <v/>
      </c>
      <c r="CV212">
        <f>IF($CQ212=0,"",IF($CP212=$CU212,"Repeat Exact",IF($CT212&gt;$CO212,"Upsized",IF($CT212&lt;$CO212,"Downsized",IF($CM212&lt;&gt;$CR212,"Lateral","Same Size Diff Variant")))))</f>
        <v/>
      </c>
      <c r="CW212">
        <f>IF($CQ212=0,"",AZ212-AQ212)</f>
        <v/>
      </c>
      <c r="CX212">
        <f>IF($CQ212=0,0,IF(CS212=CN212,1,0))</f>
        <v/>
      </c>
      <c r="CY212">
        <f>IF($CQ212=0,0,IF(CR212=CM212,1,0))</f>
        <v/>
      </c>
      <c r="CZ212">
        <f>IF($A212="","",IF(AND(IF(DASHBOARD!$C$4="All",TRUE,$CM212=DASHBOARD!$C$4),IF(DASHBOARD!$C$6="All",TRUE,$CP212=DASHBOARD!$C$6),IF(DASHBOARD!$C$8="All",TRUE,$AF212&gt;=DASHBOARD!$C$8),IF(DASHBOARD!$C$10="All",TRUE,$AF212&lt;=DASHBOARD!$C$10),IF(DASHBOARD!$C$12="All",TRUE,$AH212=VALUE(DASHBOARD!$C$12)),IF(DASHBOARD!$C$14="All",TRUE,$AJ212=DASHBOARD!$C$14)),1,0))</f>
        <v/>
      </c>
    </row>
    <row r="213">
      <c r="A213" t="n">
        <v>134167</v>
      </c>
      <c r="B213" t="inlineStr">
        <is>
          <t>Face Malai</t>
        </is>
      </c>
      <c r="H213" t="inlineStr">
        <is>
          <t>GreenApple Tulsi (Hot Humid) 13 - 19 Yrs Face Malai</t>
        </is>
      </c>
      <c r="N213" t="inlineStr">
        <is>
          <t>FC-HHDM-GAT-030</t>
        </is>
      </c>
      <c r="T213" t="inlineStr">
        <is>
          <t>May 20, 2024</t>
        </is>
      </c>
      <c r="AE213" t="inlineStr">
        <is>
          <t>Kalaburagi</t>
        </is>
      </c>
      <c r="AF213" t="inlineStr">
        <is>
          <t>2024-05</t>
        </is>
      </c>
      <c r="AG213" t="n">
        <v>5</v>
      </c>
      <c r="AH213" t="n">
        <v>1</v>
      </c>
      <c r="AI213" t="n">
        <v>0</v>
      </c>
      <c r="AJ213">
        <f>IF($AE213="","",IFERROR(VLOOKUP(TRIM($AE213),DECODE!$H$3:$I$60,2,FALSE),"Rest of India"))</f>
        <v/>
      </c>
      <c r="AK213">
        <f>IF($N213="","",UPPER(TRIM(LEFT($N213&amp;",",FIND(",",$N213&amp;",")-1))))</f>
        <v/>
      </c>
      <c r="AL213">
        <f>IF($AK213="","",MID($AK213,4,FIND("~",SUBSTITUTE($AK213,"-","~",2))-4))</f>
        <v/>
      </c>
      <c r="AM213">
        <f>IF($AK213="","",MID($AK213,FIND("~",SUBSTITUTE($AK213,"-","~",2))+1,FIND("~",SUBSTITUTE($AK213,"-","~",3))-FIND("~",SUBSTITUTE($AK213,"-","~",2))-1))</f>
        <v/>
      </c>
      <c r="AN213">
        <f>IF($AL213="","",IFERROR(VLOOKUP($AL213,DECODE!$A$3:$C$8,3,FALSE),"?"))</f>
        <v/>
      </c>
      <c r="AO213">
        <f>IF($AM213="","",IFERROR(VLOOKUP($AL213&amp;"-"&amp;$AM213,DECODE!$E$3:$F$21,2,FALSE),"?"))</f>
        <v/>
      </c>
      <c r="AP213">
        <f>IF($AK213="","",IFERROR(VALUE(RIGHT($AK213,3)),""))</f>
        <v/>
      </c>
      <c r="AQ213">
        <f>IF($T213="","",IFERROR(IF(ISNUMBER($T213),$T213,DATEVALUE(TRIM($T213))),""))</f>
        <v/>
      </c>
      <c r="AR213">
        <f>IF($AQ213="","",IF(MONTH($AQ213)&gt;=12,"Cold Winter",IF(MONTH($AQ213)&gt;=10,"Post-Monsoon",IF(MONTH($AQ213)&gt;=6,"Hot Humid",IF(MONTH($AQ213)&gt;=3,"Hot Dry","Cold Winter")))))</f>
        <v/>
      </c>
      <c r="AS213">
        <f>IF($AL213="","",IFERROR(VLOOKUP($AL213,DECODE!$A$3:$C$8,2,FALSE),"?"))</f>
        <v/>
      </c>
      <c r="AT213">
        <f>IF($O213="","",UPPER(TRIM(LEFT($O213&amp;",",FIND(",",$O213&amp;",")-1))))</f>
        <v/>
      </c>
      <c r="AU213">
        <f>IF($AT213="","",MID($AT213,4,FIND("~",SUBSTITUTE($AT213,"-","~",2))-4))</f>
        <v/>
      </c>
      <c r="AV213">
        <f>IF($AT213="","",MID($AT213,FIND("~",SUBSTITUTE($AT213,"-","~",2))+1,FIND("~",SUBSTITUTE($AT213,"-","~",3))-FIND("~",SUBSTITUTE($AT213,"-","~",2))-1))</f>
        <v/>
      </c>
      <c r="AW213">
        <f>IF($AU213="","",IFERROR(VLOOKUP($AU213,DECODE!$A$3:$C$8,3,FALSE),"?"))</f>
        <v/>
      </c>
      <c r="AX213">
        <f>IF($AV213="","",IFERROR(VLOOKUP($AU213&amp;"-"&amp;$AV213,DECODE!$E$3:$F$21,2,FALSE),"?"))</f>
        <v/>
      </c>
      <c r="AY213">
        <f>IF($AT213="","",IFERROR(VALUE(RIGHT($AT213,3)),""))</f>
        <v/>
      </c>
      <c r="AZ213">
        <f>IF($U213="","",IFERROR(IF(ISNUMBER($U213),$U213,DATEVALUE(TRIM($U213))),""))</f>
        <v/>
      </c>
      <c r="BA213">
        <f>IF($AZ213="","",IF(MONTH($AZ213)&gt;=12,"Cold Winter",IF(MONTH($AZ213)&gt;=10,"Post-Monsoon",IF(MONTH($AZ213)&gt;=6,"Hot Humid",IF(MONTH($AZ213)&gt;=3,"Hot Dry","Cold Winter")))))</f>
        <v/>
      </c>
      <c r="BB213">
        <f>IF($AU213="","",IFERROR(VLOOKUP($AU213,DECODE!$A$3:$C$8,2,FALSE),"?"))</f>
        <v/>
      </c>
      <c r="BC213">
        <f>IF($P213="","",UPPER(TRIM(LEFT($P213&amp;",",FIND(",",$P213&amp;",")-1))))</f>
        <v/>
      </c>
      <c r="BD213">
        <f>IF($BC213="","",MID($BC213,4,FIND("~",SUBSTITUTE($BC213,"-","~",2))-4))</f>
        <v/>
      </c>
      <c r="BE213">
        <f>IF($BC213="","",MID($BC213,FIND("~",SUBSTITUTE($BC213,"-","~",2))+1,FIND("~",SUBSTITUTE($BC213,"-","~",3))-FIND("~",SUBSTITUTE($BC213,"-","~",2))-1))</f>
        <v/>
      </c>
      <c r="BF213">
        <f>IF($BD213="","",IFERROR(VLOOKUP($BD213,DECODE!$A$3:$C$8,3,FALSE),"?"))</f>
        <v/>
      </c>
      <c r="BG213">
        <f>IF($BE213="","",IFERROR(VLOOKUP($BD213&amp;"-"&amp;$BE213,DECODE!$E$3:$F$21,2,FALSE),"?"))</f>
        <v/>
      </c>
      <c r="BH213">
        <f>IF($BC213="","",IFERROR(VALUE(RIGHT($BC213,3)),""))</f>
        <v/>
      </c>
      <c r="BI213">
        <f>IF($V213="","",IFERROR(IF(ISNUMBER($V213),$V213,DATEVALUE(TRIM($V213))),""))</f>
        <v/>
      </c>
      <c r="BJ213">
        <f>IF($BI213="","",IF(MONTH($BI213)&gt;=12,"Cold Winter",IF(MONTH($BI213)&gt;=10,"Post-Monsoon",IF(MONTH($BI213)&gt;=6,"Hot Humid",IF(MONTH($BI213)&gt;=3,"Hot Dry","Cold Winter")))))</f>
        <v/>
      </c>
      <c r="BK213">
        <f>IF($BD213="","",IFERROR(VLOOKUP($BD213,DECODE!$A$3:$C$8,2,FALSE),"?"))</f>
        <v/>
      </c>
      <c r="BL213">
        <f>IF($Q213="","",UPPER(TRIM(LEFT($Q213&amp;",",FIND(",",$Q213&amp;",")-1))))</f>
        <v/>
      </c>
      <c r="BM213">
        <f>IF($BL213="","",MID($BL213,4,FIND("~",SUBSTITUTE($BL213,"-","~",2))-4))</f>
        <v/>
      </c>
      <c r="BN213">
        <f>IF($BL213="","",MID($BL213,FIND("~",SUBSTITUTE($BL213,"-","~",2))+1,FIND("~",SUBSTITUTE($BL213,"-","~",3))-FIND("~",SUBSTITUTE($BL213,"-","~",2))-1))</f>
        <v/>
      </c>
      <c r="BO213">
        <f>IF($BM213="","",IFERROR(VLOOKUP($BM213,DECODE!$A$3:$C$8,3,FALSE),"?"))</f>
        <v/>
      </c>
      <c r="BP213">
        <f>IF($BN213="","",IFERROR(VLOOKUP($BM213&amp;"-"&amp;$BN213,DECODE!$E$3:$F$21,2,FALSE),"?"))</f>
        <v/>
      </c>
      <c r="BQ213">
        <f>IF($BL213="","",IFERROR(VALUE(RIGHT($BL213,3)),""))</f>
        <v/>
      </c>
      <c r="BR213">
        <f>IF($W213="","",IFERROR(IF(ISNUMBER($W213),$W213,DATEVALUE(TRIM($W213))),""))</f>
        <v/>
      </c>
      <c r="BS213">
        <f>IF($BR213="","",IF(MONTH($BR213)&gt;=12,"Cold Winter",IF(MONTH($BR213)&gt;=10,"Post-Monsoon",IF(MONTH($BR213)&gt;=6,"Hot Humid",IF(MONTH($BR213)&gt;=3,"Hot Dry","Cold Winter")))))</f>
        <v/>
      </c>
      <c r="BT213">
        <f>IF($BM213="","",IFERROR(VLOOKUP($BM213,DECODE!$A$3:$C$8,2,FALSE),"?"))</f>
        <v/>
      </c>
      <c r="BU213">
        <f>IF($R213="","",UPPER(TRIM(LEFT($R213&amp;",",FIND(",",$R213&amp;",")-1))))</f>
        <v/>
      </c>
      <c r="BV213">
        <f>IF($BU213="","",MID($BU213,4,FIND("~",SUBSTITUTE($BU213,"-","~",2))-4))</f>
        <v/>
      </c>
      <c r="BW213">
        <f>IF($BU213="","",MID($BU213,FIND("~",SUBSTITUTE($BU213,"-","~",2))+1,FIND("~",SUBSTITUTE($BU213,"-","~",3))-FIND("~",SUBSTITUTE($BU213,"-","~",2))-1))</f>
        <v/>
      </c>
      <c r="BX213">
        <f>IF($BV213="","",IFERROR(VLOOKUP($BV213,DECODE!$A$3:$C$8,3,FALSE),"?"))</f>
        <v/>
      </c>
      <c r="BY213">
        <f>IF($BW213="","",IFERROR(VLOOKUP($BV213&amp;"-"&amp;$BW213,DECODE!$E$3:$F$21,2,FALSE),"?"))</f>
        <v/>
      </c>
      <c r="BZ213">
        <f>IF($BU213="","",IFERROR(VALUE(RIGHT($BU213,3)),""))</f>
        <v/>
      </c>
      <c r="CA213">
        <f>IF($X213="","",IFERROR(IF(ISNUMBER($X213),$X213,DATEVALUE(TRIM($X213))),""))</f>
        <v/>
      </c>
      <c r="CB213">
        <f>IF($CA213="","",IF(MONTH($CA213)&gt;=12,"Cold Winter",IF(MONTH($CA213)&gt;=10,"Post-Monsoon",IF(MONTH($CA213)&gt;=6,"Hot Humid",IF(MONTH($CA213)&gt;=3,"Hot Dry","Cold Winter")))))</f>
        <v/>
      </c>
      <c r="CC213">
        <f>IF($BV213="","",IFERROR(VLOOKUP($BV213,DECODE!$A$3:$C$8,2,FALSE),"?"))</f>
        <v/>
      </c>
      <c r="CD213">
        <f>IF($S213="","",UPPER(TRIM(LEFT($S213&amp;",",FIND(",",$S213&amp;",")-1))))</f>
        <v/>
      </c>
      <c r="CE213">
        <f>IF($CD213="","",MID($CD213,4,FIND("~",SUBSTITUTE($CD213,"-","~",2))-4))</f>
        <v/>
      </c>
      <c r="CF213">
        <f>IF($CD213="","",MID($CD213,FIND("~",SUBSTITUTE($CD213,"-","~",2))+1,FIND("~",SUBSTITUTE($CD213,"-","~",3))-FIND("~",SUBSTITUTE($CD213,"-","~",2))-1))</f>
        <v/>
      </c>
      <c r="CG213">
        <f>IF($CE213="","",IFERROR(VLOOKUP($CE213,DECODE!$A$3:$C$8,3,FALSE),"?"))</f>
        <v/>
      </c>
      <c r="CH213">
        <f>IF($CF213="","",IFERROR(VLOOKUP($CE213&amp;"-"&amp;$CF213,DECODE!$E$3:$F$21,2,FALSE),"?"))</f>
        <v/>
      </c>
      <c r="CI213">
        <f>IF($CD213="","",IFERROR(VALUE(RIGHT($CD213,3)),""))</f>
        <v/>
      </c>
      <c r="CJ213">
        <f>IF($Y213="","",IFERROR(IF(ISNUMBER($Y213),$Y213,DATEVALUE(TRIM($Y213))),""))</f>
        <v/>
      </c>
      <c r="CK213">
        <f>IF($CJ213="","",IF(MONTH($CJ213)&gt;=12,"Cold Winter",IF(MONTH($CJ213)&gt;=10,"Post-Monsoon",IF(MONTH($CJ213)&gt;=6,"Hot Humid",IF(MONTH($CJ213)&gt;=3,"Hot Dry","Cold Winter")))))</f>
        <v/>
      </c>
      <c r="CL213">
        <f>IF($CE213="","",IFERROR(VLOOKUP($CE213,DECODE!$A$3:$C$8,2,FALSE),"?"))</f>
        <v/>
      </c>
      <c r="CM213">
        <f>IF($AN213="","",AN213)</f>
        <v/>
      </c>
      <c r="CN213">
        <f>IF($AO213="","",AO213)</f>
        <v/>
      </c>
      <c r="CO213">
        <f>IF($AP213="","",AP213)</f>
        <v/>
      </c>
      <c r="CP213">
        <f>IF($CM213="","",IF($CM213="Aloe Vera Gel","Aloe Vera Gel "&amp;$CO213&amp;"g",CN213&amp;" "&amp;$CO213&amp;"g"))</f>
        <v/>
      </c>
      <c r="CQ213">
        <f>IF($AT213="",0,1)</f>
        <v/>
      </c>
      <c r="CR213">
        <f>IF($CQ213=0,"",AW213)</f>
        <v/>
      </c>
      <c r="CS213">
        <f>IF($CQ213=0,"",AX213)</f>
        <v/>
      </c>
      <c r="CT213">
        <f>IF($CQ213=0,"",AY213)</f>
        <v/>
      </c>
      <c r="CU213">
        <f>IF($CR213="","",IF($CR213="Aloe Vera Gel","Aloe Vera Gel "&amp;$CT213&amp;"g",CS213&amp;" "&amp;$CT213&amp;"g"))</f>
        <v/>
      </c>
      <c r="CV213">
        <f>IF($CQ213=0,"",IF($CP213=$CU213,"Repeat Exact",IF($CT213&gt;$CO213,"Upsized",IF($CT213&lt;$CO213,"Downsized",IF($CM213&lt;&gt;$CR213,"Lateral","Same Size Diff Variant")))))</f>
        <v/>
      </c>
      <c r="CW213">
        <f>IF($CQ213=0,"",AZ213-AQ213)</f>
        <v/>
      </c>
      <c r="CX213">
        <f>IF($CQ213=0,0,IF(CS213=CN213,1,0))</f>
        <v/>
      </c>
      <c r="CY213">
        <f>IF($CQ213=0,0,IF(CR213=CM213,1,0))</f>
        <v/>
      </c>
      <c r="CZ213">
        <f>IF($A213="","",IF(AND(IF(DASHBOARD!$C$4="All",TRUE,$CM213=DASHBOARD!$C$4),IF(DASHBOARD!$C$6="All",TRUE,$CP213=DASHBOARD!$C$6),IF(DASHBOARD!$C$8="All",TRUE,$AF213&gt;=DASHBOARD!$C$8),IF(DASHBOARD!$C$10="All",TRUE,$AF213&lt;=DASHBOARD!$C$10),IF(DASHBOARD!$C$12="All",TRUE,$AH213=VALUE(DASHBOARD!$C$12)),IF(DASHBOARD!$C$14="All",TRUE,$AJ213=DASHBOARD!$C$14)),1,0))</f>
        <v/>
      </c>
    </row>
    <row r="214">
      <c r="A214" t="n">
        <v>134448</v>
      </c>
      <c r="B214" t="inlineStr">
        <is>
          <t>Face Malai</t>
        </is>
      </c>
      <c r="H214" t="inlineStr">
        <is>
          <t>Flax Carrot (Hot Humid) 35+ Face Malai - 30g</t>
        </is>
      </c>
      <c r="N214" t="inlineStr">
        <is>
          <t>FC-HHDM-FC-030</t>
        </is>
      </c>
      <c r="T214" t="inlineStr">
        <is>
          <t>Aug 1, 2024</t>
        </is>
      </c>
      <c r="AE214" t="inlineStr">
        <is>
          <t>Chennai</t>
        </is>
      </c>
      <c r="AF214" t="inlineStr">
        <is>
          <t>2024-08</t>
        </is>
      </c>
      <c r="AG214" t="n">
        <v>8</v>
      </c>
      <c r="AH214" t="n">
        <v>1</v>
      </c>
      <c r="AI214" t="n">
        <v>0</v>
      </c>
      <c r="AJ214">
        <f>IF($AE214="","",IFERROR(VLOOKUP(TRIM($AE214),DECODE!$H$3:$I$60,2,FALSE),"Rest of India"))</f>
        <v/>
      </c>
      <c r="AK214">
        <f>IF($N214="","",UPPER(TRIM(LEFT($N214&amp;",",FIND(",",$N214&amp;",")-1))))</f>
        <v/>
      </c>
      <c r="AL214">
        <f>IF($AK214="","",MID($AK214,4,FIND("~",SUBSTITUTE($AK214,"-","~",2))-4))</f>
        <v/>
      </c>
      <c r="AM214">
        <f>IF($AK214="","",MID($AK214,FIND("~",SUBSTITUTE($AK214,"-","~",2))+1,FIND("~",SUBSTITUTE($AK214,"-","~",3))-FIND("~",SUBSTITUTE($AK214,"-","~",2))-1))</f>
        <v/>
      </c>
      <c r="AN214">
        <f>IF($AL214="","",IFERROR(VLOOKUP($AL214,DECODE!$A$3:$C$8,3,FALSE),"?"))</f>
        <v/>
      </c>
      <c r="AO214">
        <f>IF($AM214="","",IFERROR(VLOOKUP($AL214&amp;"-"&amp;$AM214,DECODE!$E$3:$F$21,2,FALSE),"?"))</f>
        <v/>
      </c>
      <c r="AP214">
        <f>IF($AK214="","",IFERROR(VALUE(RIGHT($AK214,3)),""))</f>
        <v/>
      </c>
      <c r="AQ214">
        <f>IF($T214="","",IFERROR(IF(ISNUMBER($T214),$T214,DATEVALUE(TRIM($T214))),""))</f>
        <v/>
      </c>
      <c r="AR214">
        <f>IF($AQ214="","",IF(MONTH($AQ214)&gt;=12,"Cold Winter",IF(MONTH($AQ214)&gt;=10,"Post-Monsoon",IF(MONTH($AQ214)&gt;=6,"Hot Humid",IF(MONTH($AQ214)&gt;=3,"Hot Dry","Cold Winter")))))</f>
        <v/>
      </c>
      <c r="AS214">
        <f>IF($AL214="","",IFERROR(VLOOKUP($AL214,DECODE!$A$3:$C$8,2,FALSE),"?"))</f>
        <v/>
      </c>
      <c r="AT214">
        <f>IF($O214="","",UPPER(TRIM(LEFT($O214&amp;",",FIND(",",$O214&amp;",")-1))))</f>
        <v/>
      </c>
      <c r="AU214">
        <f>IF($AT214="","",MID($AT214,4,FIND("~",SUBSTITUTE($AT214,"-","~",2))-4))</f>
        <v/>
      </c>
      <c r="AV214">
        <f>IF($AT214="","",MID($AT214,FIND("~",SUBSTITUTE($AT214,"-","~",2))+1,FIND("~",SUBSTITUTE($AT214,"-","~",3))-FIND("~",SUBSTITUTE($AT214,"-","~",2))-1))</f>
        <v/>
      </c>
      <c r="AW214">
        <f>IF($AU214="","",IFERROR(VLOOKUP($AU214,DECODE!$A$3:$C$8,3,FALSE),"?"))</f>
        <v/>
      </c>
      <c r="AX214">
        <f>IF($AV214="","",IFERROR(VLOOKUP($AU214&amp;"-"&amp;$AV214,DECODE!$E$3:$F$21,2,FALSE),"?"))</f>
        <v/>
      </c>
      <c r="AY214">
        <f>IF($AT214="","",IFERROR(VALUE(RIGHT($AT214,3)),""))</f>
        <v/>
      </c>
      <c r="AZ214">
        <f>IF($U214="","",IFERROR(IF(ISNUMBER($U214),$U214,DATEVALUE(TRIM($U214))),""))</f>
        <v/>
      </c>
      <c r="BA214">
        <f>IF($AZ214="","",IF(MONTH($AZ214)&gt;=12,"Cold Winter",IF(MONTH($AZ214)&gt;=10,"Post-Monsoon",IF(MONTH($AZ214)&gt;=6,"Hot Humid",IF(MONTH($AZ214)&gt;=3,"Hot Dry","Cold Winter")))))</f>
        <v/>
      </c>
      <c r="BB214">
        <f>IF($AU214="","",IFERROR(VLOOKUP($AU214,DECODE!$A$3:$C$8,2,FALSE),"?"))</f>
        <v/>
      </c>
      <c r="BC214">
        <f>IF($P214="","",UPPER(TRIM(LEFT($P214&amp;",",FIND(",",$P214&amp;",")-1))))</f>
        <v/>
      </c>
      <c r="BD214">
        <f>IF($BC214="","",MID($BC214,4,FIND("~",SUBSTITUTE($BC214,"-","~",2))-4))</f>
        <v/>
      </c>
      <c r="BE214">
        <f>IF($BC214="","",MID($BC214,FIND("~",SUBSTITUTE($BC214,"-","~",2))+1,FIND("~",SUBSTITUTE($BC214,"-","~",3))-FIND("~",SUBSTITUTE($BC214,"-","~",2))-1))</f>
        <v/>
      </c>
      <c r="BF214">
        <f>IF($BD214="","",IFERROR(VLOOKUP($BD214,DECODE!$A$3:$C$8,3,FALSE),"?"))</f>
        <v/>
      </c>
      <c r="BG214">
        <f>IF($BE214="","",IFERROR(VLOOKUP($BD214&amp;"-"&amp;$BE214,DECODE!$E$3:$F$21,2,FALSE),"?"))</f>
        <v/>
      </c>
      <c r="BH214">
        <f>IF($BC214="","",IFERROR(VALUE(RIGHT($BC214,3)),""))</f>
        <v/>
      </c>
      <c r="BI214">
        <f>IF($V214="","",IFERROR(IF(ISNUMBER($V214),$V214,DATEVALUE(TRIM($V214))),""))</f>
        <v/>
      </c>
      <c r="BJ214">
        <f>IF($BI214="","",IF(MONTH($BI214)&gt;=12,"Cold Winter",IF(MONTH($BI214)&gt;=10,"Post-Monsoon",IF(MONTH($BI214)&gt;=6,"Hot Humid",IF(MONTH($BI214)&gt;=3,"Hot Dry","Cold Winter")))))</f>
        <v/>
      </c>
      <c r="BK214">
        <f>IF($BD214="","",IFERROR(VLOOKUP($BD214,DECODE!$A$3:$C$8,2,FALSE),"?"))</f>
        <v/>
      </c>
      <c r="BL214">
        <f>IF($Q214="","",UPPER(TRIM(LEFT($Q214&amp;",",FIND(",",$Q214&amp;",")-1))))</f>
        <v/>
      </c>
      <c r="BM214">
        <f>IF($BL214="","",MID($BL214,4,FIND("~",SUBSTITUTE($BL214,"-","~",2))-4))</f>
        <v/>
      </c>
      <c r="BN214">
        <f>IF($BL214="","",MID($BL214,FIND("~",SUBSTITUTE($BL214,"-","~",2))+1,FIND("~",SUBSTITUTE($BL214,"-","~",3))-FIND("~",SUBSTITUTE($BL214,"-","~",2))-1))</f>
        <v/>
      </c>
      <c r="BO214">
        <f>IF($BM214="","",IFERROR(VLOOKUP($BM214,DECODE!$A$3:$C$8,3,FALSE),"?"))</f>
        <v/>
      </c>
      <c r="BP214">
        <f>IF($BN214="","",IFERROR(VLOOKUP($BM214&amp;"-"&amp;$BN214,DECODE!$E$3:$F$21,2,FALSE),"?"))</f>
        <v/>
      </c>
      <c r="BQ214">
        <f>IF($BL214="","",IFERROR(VALUE(RIGHT($BL214,3)),""))</f>
        <v/>
      </c>
      <c r="BR214">
        <f>IF($W214="","",IFERROR(IF(ISNUMBER($W214),$W214,DATEVALUE(TRIM($W214))),""))</f>
        <v/>
      </c>
      <c r="BS214">
        <f>IF($BR214="","",IF(MONTH($BR214)&gt;=12,"Cold Winter",IF(MONTH($BR214)&gt;=10,"Post-Monsoon",IF(MONTH($BR214)&gt;=6,"Hot Humid",IF(MONTH($BR214)&gt;=3,"Hot Dry","Cold Winter")))))</f>
        <v/>
      </c>
      <c r="BT214">
        <f>IF($BM214="","",IFERROR(VLOOKUP($BM214,DECODE!$A$3:$C$8,2,FALSE),"?"))</f>
        <v/>
      </c>
      <c r="BU214">
        <f>IF($R214="","",UPPER(TRIM(LEFT($R214&amp;",",FIND(",",$R214&amp;",")-1))))</f>
        <v/>
      </c>
      <c r="BV214">
        <f>IF($BU214="","",MID($BU214,4,FIND("~",SUBSTITUTE($BU214,"-","~",2))-4))</f>
        <v/>
      </c>
      <c r="BW214">
        <f>IF($BU214="","",MID($BU214,FIND("~",SUBSTITUTE($BU214,"-","~",2))+1,FIND("~",SUBSTITUTE($BU214,"-","~",3))-FIND("~",SUBSTITUTE($BU214,"-","~",2))-1))</f>
        <v/>
      </c>
      <c r="BX214">
        <f>IF($BV214="","",IFERROR(VLOOKUP($BV214,DECODE!$A$3:$C$8,3,FALSE),"?"))</f>
        <v/>
      </c>
      <c r="BY214">
        <f>IF($BW214="","",IFERROR(VLOOKUP($BV214&amp;"-"&amp;$BW214,DECODE!$E$3:$F$21,2,FALSE),"?"))</f>
        <v/>
      </c>
      <c r="BZ214">
        <f>IF($BU214="","",IFERROR(VALUE(RIGHT($BU214,3)),""))</f>
        <v/>
      </c>
      <c r="CA214">
        <f>IF($X214="","",IFERROR(IF(ISNUMBER($X214),$X214,DATEVALUE(TRIM($X214))),""))</f>
        <v/>
      </c>
      <c r="CB214">
        <f>IF($CA214="","",IF(MONTH($CA214)&gt;=12,"Cold Winter",IF(MONTH($CA214)&gt;=10,"Post-Monsoon",IF(MONTH($CA214)&gt;=6,"Hot Humid",IF(MONTH($CA214)&gt;=3,"Hot Dry","Cold Winter")))))</f>
        <v/>
      </c>
      <c r="CC214">
        <f>IF($BV214="","",IFERROR(VLOOKUP($BV214,DECODE!$A$3:$C$8,2,FALSE),"?"))</f>
        <v/>
      </c>
      <c r="CD214">
        <f>IF($S214="","",UPPER(TRIM(LEFT($S214&amp;",",FIND(",",$S214&amp;",")-1))))</f>
        <v/>
      </c>
      <c r="CE214">
        <f>IF($CD214="","",MID($CD214,4,FIND("~",SUBSTITUTE($CD214,"-","~",2))-4))</f>
        <v/>
      </c>
      <c r="CF214">
        <f>IF($CD214="","",MID($CD214,FIND("~",SUBSTITUTE($CD214,"-","~",2))+1,FIND("~",SUBSTITUTE($CD214,"-","~",3))-FIND("~",SUBSTITUTE($CD214,"-","~",2))-1))</f>
        <v/>
      </c>
      <c r="CG214">
        <f>IF($CE214="","",IFERROR(VLOOKUP($CE214,DECODE!$A$3:$C$8,3,FALSE),"?"))</f>
        <v/>
      </c>
      <c r="CH214">
        <f>IF($CF214="","",IFERROR(VLOOKUP($CE214&amp;"-"&amp;$CF214,DECODE!$E$3:$F$21,2,FALSE),"?"))</f>
        <v/>
      </c>
      <c r="CI214">
        <f>IF($CD214="","",IFERROR(VALUE(RIGHT($CD214,3)),""))</f>
        <v/>
      </c>
      <c r="CJ214">
        <f>IF($Y214="","",IFERROR(IF(ISNUMBER($Y214),$Y214,DATEVALUE(TRIM($Y214))),""))</f>
        <v/>
      </c>
      <c r="CK214">
        <f>IF($CJ214="","",IF(MONTH($CJ214)&gt;=12,"Cold Winter",IF(MONTH($CJ214)&gt;=10,"Post-Monsoon",IF(MONTH($CJ214)&gt;=6,"Hot Humid",IF(MONTH($CJ214)&gt;=3,"Hot Dry","Cold Winter")))))</f>
        <v/>
      </c>
      <c r="CL214">
        <f>IF($CE214="","",IFERROR(VLOOKUP($CE214,DECODE!$A$3:$C$8,2,FALSE),"?"))</f>
        <v/>
      </c>
      <c r="CM214">
        <f>IF($AN214="","",AN214)</f>
        <v/>
      </c>
      <c r="CN214">
        <f>IF($AO214="","",AO214)</f>
        <v/>
      </c>
      <c r="CO214">
        <f>IF($AP214="","",AP214)</f>
        <v/>
      </c>
      <c r="CP214">
        <f>IF($CM214="","",IF($CM214="Aloe Vera Gel","Aloe Vera Gel "&amp;$CO214&amp;"g",CN214&amp;" "&amp;$CO214&amp;"g"))</f>
        <v/>
      </c>
      <c r="CQ214">
        <f>IF($AT214="",0,1)</f>
        <v/>
      </c>
      <c r="CR214">
        <f>IF($CQ214=0,"",AW214)</f>
        <v/>
      </c>
      <c r="CS214">
        <f>IF($CQ214=0,"",AX214)</f>
        <v/>
      </c>
      <c r="CT214">
        <f>IF($CQ214=0,"",AY214)</f>
        <v/>
      </c>
      <c r="CU214">
        <f>IF($CR214="","",IF($CR214="Aloe Vera Gel","Aloe Vera Gel "&amp;$CT214&amp;"g",CS214&amp;" "&amp;$CT214&amp;"g"))</f>
        <v/>
      </c>
      <c r="CV214">
        <f>IF($CQ214=0,"",IF($CP214=$CU214,"Repeat Exact",IF($CT214&gt;$CO214,"Upsized",IF($CT214&lt;$CO214,"Downsized",IF($CM214&lt;&gt;$CR214,"Lateral","Same Size Diff Variant")))))</f>
        <v/>
      </c>
      <c r="CW214">
        <f>IF($CQ214=0,"",AZ214-AQ214)</f>
        <v/>
      </c>
      <c r="CX214">
        <f>IF($CQ214=0,0,IF(CS214=CN214,1,0))</f>
        <v/>
      </c>
      <c r="CY214">
        <f>IF($CQ214=0,0,IF(CR214=CM214,1,0))</f>
        <v/>
      </c>
      <c r="CZ214">
        <f>IF($A214="","",IF(AND(IF(DASHBOARD!$C$4="All",TRUE,$CM214=DASHBOARD!$C$4),IF(DASHBOARD!$C$6="All",TRUE,$CP214=DASHBOARD!$C$6),IF(DASHBOARD!$C$8="All",TRUE,$AF214&gt;=DASHBOARD!$C$8),IF(DASHBOARD!$C$10="All",TRUE,$AF214&lt;=DASHBOARD!$C$10),IF(DASHBOARD!$C$12="All",TRUE,$AH214=VALUE(DASHBOARD!$C$12)),IF(DASHBOARD!$C$14="All",TRUE,$AJ214=DASHBOARD!$C$14)),1,0))</f>
        <v/>
      </c>
    </row>
    <row r="215">
      <c r="A215" t="n">
        <v>134805</v>
      </c>
      <c r="B215" t="inlineStr">
        <is>
          <t>Face Malai</t>
        </is>
      </c>
      <c r="H215" t="inlineStr">
        <is>
          <t>Tomato Vetiver (Hot Humid) 20 - 35 Yrs Face Malai</t>
        </is>
      </c>
      <c r="N215" t="inlineStr">
        <is>
          <t>FC-HHDM-TV-030</t>
        </is>
      </c>
      <c r="T215" t="inlineStr">
        <is>
          <t>Jun 21, 2025</t>
        </is>
      </c>
      <c r="AE215" t="inlineStr">
        <is>
          <t>Baruipur</t>
        </is>
      </c>
      <c r="AF215" t="inlineStr">
        <is>
          <t>2025-06</t>
        </is>
      </c>
      <c r="AG215" t="n">
        <v>6</v>
      </c>
      <c r="AH215" t="n">
        <v>1</v>
      </c>
      <c r="AI215" t="n">
        <v>0</v>
      </c>
      <c r="AJ215">
        <f>IF($AE215="","",IFERROR(VLOOKUP(TRIM($AE215),DECODE!$H$3:$I$60,2,FALSE),"Rest of India"))</f>
        <v/>
      </c>
      <c r="AK215">
        <f>IF($N215="","",UPPER(TRIM(LEFT($N215&amp;",",FIND(",",$N215&amp;",")-1))))</f>
        <v/>
      </c>
      <c r="AL215">
        <f>IF($AK215="","",MID($AK215,4,FIND("~",SUBSTITUTE($AK215,"-","~",2))-4))</f>
        <v/>
      </c>
      <c r="AM215">
        <f>IF($AK215="","",MID($AK215,FIND("~",SUBSTITUTE($AK215,"-","~",2))+1,FIND("~",SUBSTITUTE($AK215,"-","~",3))-FIND("~",SUBSTITUTE($AK215,"-","~",2))-1))</f>
        <v/>
      </c>
      <c r="AN215">
        <f>IF($AL215="","",IFERROR(VLOOKUP($AL215,DECODE!$A$3:$C$8,3,FALSE),"?"))</f>
        <v/>
      </c>
      <c r="AO215">
        <f>IF($AM215="","",IFERROR(VLOOKUP($AL215&amp;"-"&amp;$AM215,DECODE!$E$3:$F$21,2,FALSE),"?"))</f>
        <v/>
      </c>
      <c r="AP215">
        <f>IF($AK215="","",IFERROR(VALUE(RIGHT($AK215,3)),""))</f>
        <v/>
      </c>
      <c r="AQ215">
        <f>IF($T215="","",IFERROR(IF(ISNUMBER($T215),$T215,DATEVALUE(TRIM($T215))),""))</f>
        <v/>
      </c>
      <c r="AR215">
        <f>IF($AQ215="","",IF(MONTH($AQ215)&gt;=12,"Cold Winter",IF(MONTH($AQ215)&gt;=10,"Post-Monsoon",IF(MONTH($AQ215)&gt;=6,"Hot Humid",IF(MONTH($AQ215)&gt;=3,"Hot Dry","Cold Winter")))))</f>
        <v/>
      </c>
      <c r="AS215">
        <f>IF($AL215="","",IFERROR(VLOOKUP($AL215,DECODE!$A$3:$C$8,2,FALSE),"?"))</f>
        <v/>
      </c>
      <c r="AT215">
        <f>IF($O215="","",UPPER(TRIM(LEFT($O215&amp;",",FIND(",",$O215&amp;",")-1))))</f>
        <v/>
      </c>
      <c r="AU215">
        <f>IF($AT215="","",MID($AT215,4,FIND("~",SUBSTITUTE($AT215,"-","~",2))-4))</f>
        <v/>
      </c>
      <c r="AV215">
        <f>IF($AT215="","",MID($AT215,FIND("~",SUBSTITUTE($AT215,"-","~",2))+1,FIND("~",SUBSTITUTE($AT215,"-","~",3))-FIND("~",SUBSTITUTE($AT215,"-","~",2))-1))</f>
        <v/>
      </c>
      <c r="AW215">
        <f>IF($AU215="","",IFERROR(VLOOKUP($AU215,DECODE!$A$3:$C$8,3,FALSE),"?"))</f>
        <v/>
      </c>
      <c r="AX215">
        <f>IF($AV215="","",IFERROR(VLOOKUP($AU215&amp;"-"&amp;$AV215,DECODE!$E$3:$F$21,2,FALSE),"?"))</f>
        <v/>
      </c>
      <c r="AY215">
        <f>IF($AT215="","",IFERROR(VALUE(RIGHT($AT215,3)),""))</f>
        <v/>
      </c>
      <c r="AZ215">
        <f>IF($U215="","",IFERROR(IF(ISNUMBER($U215),$U215,DATEVALUE(TRIM($U215))),""))</f>
        <v/>
      </c>
      <c r="BA215">
        <f>IF($AZ215="","",IF(MONTH($AZ215)&gt;=12,"Cold Winter",IF(MONTH($AZ215)&gt;=10,"Post-Monsoon",IF(MONTH($AZ215)&gt;=6,"Hot Humid",IF(MONTH($AZ215)&gt;=3,"Hot Dry","Cold Winter")))))</f>
        <v/>
      </c>
      <c r="BB215">
        <f>IF($AU215="","",IFERROR(VLOOKUP($AU215,DECODE!$A$3:$C$8,2,FALSE),"?"))</f>
        <v/>
      </c>
      <c r="BC215">
        <f>IF($P215="","",UPPER(TRIM(LEFT($P215&amp;",",FIND(",",$P215&amp;",")-1))))</f>
        <v/>
      </c>
      <c r="BD215">
        <f>IF($BC215="","",MID($BC215,4,FIND("~",SUBSTITUTE($BC215,"-","~",2))-4))</f>
        <v/>
      </c>
      <c r="BE215">
        <f>IF($BC215="","",MID($BC215,FIND("~",SUBSTITUTE($BC215,"-","~",2))+1,FIND("~",SUBSTITUTE($BC215,"-","~",3))-FIND("~",SUBSTITUTE($BC215,"-","~",2))-1))</f>
        <v/>
      </c>
      <c r="BF215">
        <f>IF($BD215="","",IFERROR(VLOOKUP($BD215,DECODE!$A$3:$C$8,3,FALSE),"?"))</f>
        <v/>
      </c>
      <c r="BG215">
        <f>IF($BE215="","",IFERROR(VLOOKUP($BD215&amp;"-"&amp;$BE215,DECODE!$E$3:$F$21,2,FALSE),"?"))</f>
        <v/>
      </c>
      <c r="BH215">
        <f>IF($BC215="","",IFERROR(VALUE(RIGHT($BC215,3)),""))</f>
        <v/>
      </c>
      <c r="BI215">
        <f>IF($V215="","",IFERROR(IF(ISNUMBER($V215),$V215,DATEVALUE(TRIM($V215))),""))</f>
        <v/>
      </c>
      <c r="BJ215">
        <f>IF($BI215="","",IF(MONTH($BI215)&gt;=12,"Cold Winter",IF(MONTH($BI215)&gt;=10,"Post-Monsoon",IF(MONTH($BI215)&gt;=6,"Hot Humid",IF(MONTH($BI215)&gt;=3,"Hot Dry","Cold Winter")))))</f>
        <v/>
      </c>
      <c r="BK215">
        <f>IF($BD215="","",IFERROR(VLOOKUP($BD215,DECODE!$A$3:$C$8,2,FALSE),"?"))</f>
        <v/>
      </c>
      <c r="BL215">
        <f>IF($Q215="","",UPPER(TRIM(LEFT($Q215&amp;",",FIND(",",$Q215&amp;",")-1))))</f>
        <v/>
      </c>
      <c r="BM215">
        <f>IF($BL215="","",MID($BL215,4,FIND("~",SUBSTITUTE($BL215,"-","~",2))-4))</f>
        <v/>
      </c>
      <c r="BN215">
        <f>IF($BL215="","",MID($BL215,FIND("~",SUBSTITUTE($BL215,"-","~",2))+1,FIND("~",SUBSTITUTE($BL215,"-","~",3))-FIND("~",SUBSTITUTE($BL215,"-","~",2))-1))</f>
        <v/>
      </c>
      <c r="BO215">
        <f>IF($BM215="","",IFERROR(VLOOKUP($BM215,DECODE!$A$3:$C$8,3,FALSE),"?"))</f>
        <v/>
      </c>
      <c r="BP215">
        <f>IF($BN215="","",IFERROR(VLOOKUP($BM215&amp;"-"&amp;$BN215,DECODE!$E$3:$F$21,2,FALSE),"?"))</f>
        <v/>
      </c>
      <c r="BQ215">
        <f>IF($BL215="","",IFERROR(VALUE(RIGHT($BL215,3)),""))</f>
        <v/>
      </c>
      <c r="BR215">
        <f>IF($W215="","",IFERROR(IF(ISNUMBER($W215),$W215,DATEVALUE(TRIM($W215))),""))</f>
        <v/>
      </c>
      <c r="BS215">
        <f>IF($BR215="","",IF(MONTH($BR215)&gt;=12,"Cold Winter",IF(MONTH($BR215)&gt;=10,"Post-Monsoon",IF(MONTH($BR215)&gt;=6,"Hot Humid",IF(MONTH($BR215)&gt;=3,"Hot Dry","Cold Winter")))))</f>
        <v/>
      </c>
      <c r="BT215">
        <f>IF($BM215="","",IFERROR(VLOOKUP($BM215,DECODE!$A$3:$C$8,2,FALSE),"?"))</f>
        <v/>
      </c>
      <c r="BU215">
        <f>IF($R215="","",UPPER(TRIM(LEFT($R215&amp;",",FIND(",",$R215&amp;",")-1))))</f>
        <v/>
      </c>
      <c r="BV215">
        <f>IF($BU215="","",MID($BU215,4,FIND("~",SUBSTITUTE($BU215,"-","~",2))-4))</f>
        <v/>
      </c>
      <c r="BW215">
        <f>IF($BU215="","",MID($BU215,FIND("~",SUBSTITUTE($BU215,"-","~",2))+1,FIND("~",SUBSTITUTE($BU215,"-","~",3))-FIND("~",SUBSTITUTE($BU215,"-","~",2))-1))</f>
        <v/>
      </c>
      <c r="BX215">
        <f>IF($BV215="","",IFERROR(VLOOKUP($BV215,DECODE!$A$3:$C$8,3,FALSE),"?"))</f>
        <v/>
      </c>
      <c r="BY215">
        <f>IF($BW215="","",IFERROR(VLOOKUP($BV215&amp;"-"&amp;$BW215,DECODE!$E$3:$F$21,2,FALSE),"?"))</f>
        <v/>
      </c>
      <c r="BZ215">
        <f>IF($BU215="","",IFERROR(VALUE(RIGHT($BU215,3)),""))</f>
        <v/>
      </c>
      <c r="CA215">
        <f>IF($X215="","",IFERROR(IF(ISNUMBER($X215),$X215,DATEVALUE(TRIM($X215))),""))</f>
        <v/>
      </c>
      <c r="CB215">
        <f>IF($CA215="","",IF(MONTH($CA215)&gt;=12,"Cold Winter",IF(MONTH($CA215)&gt;=10,"Post-Monsoon",IF(MONTH($CA215)&gt;=6,"Hot Humid",IF(MONTH($CA215)&gt;=3,"Hot Dry","Cold Winter")))))</f>
        <v/>
      </c>
      <c r="CC215">
        <f>IF($BV215="","",IFERROR(VLOOKUP($BV215,DECODE!$A$3:$C$8,2,FALSE),"?"))</f>
        <v/>
      </c>
      <c r="CD215">
        <f>IF($S215="","",UPPER(TRIM(LEFT($S215&amp;",",FIND(",",$S215&amp;",")-1))))</f>
        <v/>
      </c>
      <c r="CE215">
        <f>IF($CD215="","",MID($CD215,4,FIND("~",SUBSTITUTE($CD215,"-","~",2))-4))</f>
        <v/>
      </c>
      <c r="CF215">
        <f>IF($CD215="","",MID($CD215,FIND("~",SUBSTITUTE($CD215,"-","~",2))+1,FIND("~",SUBSTITUTE($CD215,"-","~",3))-FIND("~",SUBSTITUTE($CD215,"-","~",2))-1))</f>
        <v/>
      </c>
      <c r="CG215">
        <f>IF($CE215="","",IFERROR(VLOOKUP($CE215,DECODE!$A$3:$C$8,3,FALSE),"?"))</f>
        <v/>
      </c>
      <c r="CH215">
        <f>IF($CF215="","",IFERROR(VLOOKUP($CE215&amp;"-"&amp;$CF215,DECODE!$E$3:$F$21,2,FALSE),"?"))</f>
        <v/>
      </c>
      <c r="CI215">
        <f>IF($CD215="","",IFERROR(VALUE(RIGHT($CD215,3)),""))</f>
        <v/>
      </c>
      <c r="CJ215">
        <f>IF($Y215="","",IFERROR(IF(ISNUMBER($Y215),$Y215,DATEVALUE(TRIM($Y215))),""))</f>
        <v/>
      </c>
      <c r="CK215">
        <f>IF($CJ215="","",IF(MONTH($CJ215)&gt;=12,"Cold Winter",IF(MONTH($CJ215)&gt;=10,"Post-Monsoon",IF(MONTH($CJ215)&gt;=6,"Hot Humid",IF(MONTH($CJ215)&gt;=3,"Hot Dry","Cold Winter")))))</f>
        <v/>
      </c>
      <c r="CL215">
        <f>IF($CE215="","",IFERROR(VLOOKUP($CE215,DECODE!$A$3:$C$8,2,FALSE),"?"))</f>
        <v/>
      </c>
      <c r="CM215">
        <f>IF($AN215="","",AN215)</f>
        <v/>
      </c>
      <c r="CN215">
        <f>IF($AO215="","",AO215)</f>
        <v/>
      </c>
      <c r="CO215">
        <f>IF($AP215="","",AP215)</f>
        <v/>
      </c>
      <c r="CP215">
        <f>IF($CM215="","",IF($CM215="Aloe Vera Gel","Aloe Vera Gel "&amp;$CO215&amp;"g",CN215&amp;" "&amp;$CO215&amp;"g"))</f>
        <v/>
      </c>
      <c r="CQ215">
        <f>IF($AT215="",0,1)</f>
        <v/>
      </c>
      <c r="CR215">
        <f>IF($CQ215=0,"",AW215)</f>
        <v/>
      </c>
      <c r="CS215">
        <f>IF($CQ215=0,"",AX215)</f>
        <v/>
      </c>
      <c r="CT215">
        <f>IF($CQ215=0,"",AY215)</f>
        <v/>
      </c>
      <c r="CU215">
        <f>IF($CR215="","",IF($CR215="Aloe Vera Gel","Aloe Vera Gel "&amp;$CT215&amp;"g",CS215&amp;" "&amp;$CT215&amp;"g"))</f>
        <v/>
      </c>
      <c r="CV215">
        <f>IF($CQ215=0,"",IF($CP215=$CU215,"Repeat Exact",IF($CT215&gt;$CO215,"Upsized",IF($CT215&lt;$CO215,"Downsized",IF($CM215&lt;&gt;$CR215,"Lateral","Same Size Diff Variant")))))</f>
        <v/>
      </c>
      <c r="CW215">
        <f>IF($CQ215=0,"",AZ215-AQ215)</f>
        <v/>
      </c>
      <c r="CX215">
        <f>IF($CQ215=0,0,IF(CS215=CN215,1,0))</f>
        <v/>
      </c>
      <c r="CY215">
        <f>IF($CQ215=0,0,IF(CR215=CM215,1,0))</f>
        <v/>
      </c>
      <c r="CZ215">
        <f>IF($A215="","",IF(AND(IF(DASHBOARD!$C$4="All",TRUE,$CM215=DASHBOARD!$C$4),IF(DASHBOARD!$C$6="All",TRUE,$CP215=DASHBOARD!$C$6),IF(DASHBOARD!$C$8="All",TRUE,$AF215&gt;=DASHBOARD!$C$8),IF(DASHBOARD!$C$10="All",TRUE,$AF215&lt;=DASHBOARD!$C$10),IF(DASHBOARD!$C$12="All",TRUE,$AH215=VALUE(DASHBOARD!$C$12)),IF(DASHBOARD!$C$14="All",TRUE,$AJ215=DASHBOARD!$C$14)),1,0))</f>
        <v/>
      </c>
    </row>
    <row r="216">
      <c r="A216" t="n">
        <v>135120</v>
      </c>
      <c r="B216" t="inlineStr">
        <is>
          <t>Aloe Vera Gel</t>
        </is>
      </c>
      <c r="H216" t="inlineStr">
        <is>
          <t>Aloe Vera Gel - 40 gms</t>
        </is>
      </c>
      <c r="N216" t="inlineStr">
        <is>
          <t>FC-HG-PA-040</t>
        </is>
      </c>
      <c r="T216" t="inlineStr">
        <is>
          <t>Mar 18, 2024</t>
        </is>
      </c>
      <c r="AE216" t="inlineStr">
        <is>
          <t>New Delhi</t>
        </is>
      </c>
      <c r="AF216" t="inlineStr">
        <is>
          <t>2024-03</t>
        </is>
      </c>
      <c r="AG216" t="n">
        <v>3</v>
      </c>
      <c r="AH216" t="n">
        <v>1</v>
      </c>
      <c r="AI216" t="n">
        <v>0</v>
      </c>
      <c r="AJ216">
        <f>IF($AE216="","",IFERROR(VLOOKUP(TRIM($AE216),DECODE!$H$3:$I$60,2,FALSE),"Rest of India"))</f>
        <v/>
      </c>
      <c r="AK216">
        <f>IF($N216="","",UPPER(TRIM(LEFT($N216&amp;",",FIND(",",$N216&amp;",")-1))))</f>
        <v/>
      </c>
      <c r="AL216">
        <f>IF($AK216="","",MID($AK216,4,FIND("~",SUBSTITUTE($AK216,"-","~",2))-4))</f>
        <v/>
      </c>
      <c r="AM216">
        <f>IF($AK216="","",MID($AK216,FIND("~",SUBSTITUTE($AK216,"-","~",2))+1,FIND("~",SUBSTITUTE($AK216,"-","~",3))-FIND("~",SUBSTITUTE($AK216,"-","~",2))-1))</f>
        <v/>
      </c>
      <c r="AN216">
        <f>IF($AL216="","",IFERROR(VLOOKUP($AL216,DECODE!$A$3:$C$8,3,FALSE),"?"))</f>
        <v/>
      </c>
      <c r="AO216">
        <f>IF($AM216="","",IFERROR(VLOOKUP($AL216&amp;"-"&amp;$AM216,DECODE!$E$3:$F$21,2,FALSE),"?"))</f>
        <v/>
      </c>
      <c r="AP216">
        <f>IF($AK216="","",IFERROR(VALUE(RIGHT($AK216,3)),""))</f>
        <v/>
      </c>
      <c r="AQ216">
        <f>IF($T216="","",IFERROR(IF(ISNUMBER($T216),$T216,DATEVALUE(TRIM($T216))),""))</f>
        <v/>
      </c>
      <c r="AR216">
        <f>IF($AQ216="","",IF(MONTH($AQ216)&gt;=12,"Cold Winter",IF(MONTH($AQ216)&gt;=10,"Post-Monsoon",IF(MONTH($AQ216)&gt;=6,"Hot Humid",IF(MONTH($AQ216)&gt;=3,"Hot Dry","Cold Winter")))))</f>
        <v/>
      </c>
      <c r="AS216">
        <f>IF($AL216="","",IFERROR(VLOOKUP($AL216,DECODE!$A$3:$C$8,2,FALSE),"?"))</f>
        <v/>
      </c>
      <c r="AT216">
        <f>IF($O216="","",UPPER(TRIM(LEFT($O216&amp;",",FIND(",",$O216&amp;",")-1))))</f>
        <v/>
      </c>
      <c r="AU216">
        <f>IF($AT216="","",MID($AT216,4,FIND("~",SUBSTITUTE($AT216,"-","~",2))-4))</f>
        <v/>
      </c>
      <c r="AV216">
        <f>IF($AT216="","",MID($AT216,FIND("~",SUBSTITUTE($AT216,"-","~",2))+1,FIND("~",SUBSTITUTE($AT216,"-","~",3))-FIND("~",SUBSTITUTE($AT216,"-","~",2))-1))</f>
        <v/>
      </c>
      <c r="AW216">
        <f>IF($AU216="","",IFERROR(VLOOKUP($AU216,DECODE!$A$3:$C$8,3,FALSE),"?"))</f>
        <v/>
      </c>
      <c r="AX216">
        <f>IF($AV216="","",IFERROR(VLOOKUP($AU216&amp;"-"&amp;$AV216,DECODE!$E$3:$F$21,2,FALSE),"?"))</f>
        <v/>
      </c>
      <c r="AY216">
        <f>IF($AT216="","",IFERROR(VALUE(RIGHT($AT216,3)),""))</f>
        <v/>
      </c>
      <c r="AZ216">
        <f>IF($U216="","",IFERROR(IF(ISNUMBER($U216),$U216,DATEVALUE(TRIM($U216))),""))</f>
        <v/>
      </c>
      <c r="BA216">
        <f>IF($AZ216="","",IF(MONTH($AZ216)&gt;=12,"Cold Winter",IF(MONTH($AZ216)&gt;=10,"Post-Monsoon",IF(MONTH($AZ216)&gt;=6,"Hot Humid",IF(MONTH($AZ216)&gt;=3,"Hot Dry","Cold Winter")))))</f>
        <v/>
      </c>
      <c r="BB216">
        <f>IF($AU216="","",IFERROR(VLOOKUP($AU216,DECODE!$A$3:$C$8,2,FALSE),"?"))</f>
        <v/>
      </c>
      <c r="BC216">
        <f>IF($P216="","",UPPER(TRIM(LEFT($P216&amp;",",FIND(",",$P216&amp;",")-1))))</f>
        <v/>
      </c>
      <c r="BD216">
        <f>IF($BC216="","",MID($BC216,4,FIND("~",SUBSTITUTE($BC216,"-","~",2))-4))</f>
        <v/>
      </c>
      <c r="BE216">
        <f>IF($BC216="","",MID($BC216,FIND("~",SUBSTITUTE($BC216,"-","~",2))+1,FIND("~",SUBSTITUTE($BC216,"-","~",3))-FIND("~",SUBSTITUTE($BC216,"-","~",2))-1))</f>
        <v/>
      </c>
      <c r="BF216">
        <f>IF($BD216="","",IFERROR(VLOOKUP($BD216,DECODE!$A$3:$C$8,3,FALSE),"?"))</f>
        <v/>
      </c>
      <c r="BG216">
        <f>IF($BE216="","",IFERROR(VLOOKUP($BD216&amp;"-"&amp;$BE216,DECODE!$E$3:$F$21,2,FALSE),"?"))</f>
        <v/>
      </c>
      <c r="BH216">
        <f>IF($BC216="","",IFERROR(VALUE(RIGHT($BC216,3)),""))</f>
        <v/>
      </c>
      <c r="BI216">
        <f>IF($V216="","",IFERROR(IF(ISNUMBER($V216),$V216,DATEVALUE(TRIM($V216))),""))</f>
        <v/>
      </c>
      <c r="BJ216">
        <f>IF($BI216="","",IF(MONTH($BI216)&gt;=12,"Cold Winter",IF(MONTH($BI216)&gt;=10,"Post-Monsoon",IF(MONTH($BI216)&gt;=6,"Hot Humid",IF(MONTH($BI216)&gt;=3,"Hot Dry","Cold Winter")))))</f>
        <v/>
      </c>
      <c r="BK216">
        <f>IF($BD216="","",IFERROR(VLOOKUP($BD216,DECODE!$A$3:$C$8,2,FALSE),"?"))</f>
        <v/>
      </c>
      <c r="BL216">
        <f>IF($Q216="","",UPPER(TRIM(LEFT($Q216&amp;",",FIND(",",$Q216&amp;",")-1))))</f>
        <v/>
      </c>
      <c r="BM216">
        <f>IF($BL216="","",MID($BL216,4,FIND("~",SUBSTITUTE($BL216,"-","~",2))-4))</f>
        <v/>
      </c>
      <c r="BN216">
        <f>IF($BL216="","",MID($BL216,FIND("~",SUBSTITUTE($BL216,"-","~",2))+1,FIND("~",SUBSTITUTE($BL216,"-","~",3))-FIND("~",SUBSTITUTE($BL216,"-","~",2))-1))</f>
        <v/>
      </c>
      <c r="BO216">
        <f>IF($BM216="","",IFERROR(VLOOKUP($BM216,DECODE!$A$3:$C$8,3,FALSE),"?"))</f>
        <v/>
      </c>
      <c r="BP216">
        <f>IF($BN216="","",IFERROR(VLOOKUP($BM216&amp;"-"&amp;$BN216,DECODE!$E$3:$F$21,2,FALSE),"?"))</f>
        <v/>
      </c>
      <c r="BQ216">
        <f>IF($BL216="","",IFERROR(VALUE(RIGHT($BL216,3)),""))</f>
        <v/>
      </c>
      <c r="BR216">
        <f>IF($W216="","",IFERROR(IF(ISNUMBER($W216),$W216,DATEVALUE(TRIM($W216))),""))</f>
        <v/>
      </c>
      <c r="BS216">
        <f>IF($BR216="","",IF(MONTH($BR216)&gt;=12,"Cold Winter",IF(MONTH($BR216)&gt;=10,"Post-Monsoon",IF(MONTH($BR216)&gt;=6,"Hot Humid",IF(MONTH($BR216)&gt;=3,"Hot Dry","Cold Winter")))))</f>
        <v/>
      </c>
      <c r="BT216">
        <f>IF($BM216="","",IFERROR(VLOOKUP($BM216,DECODE!$A$3:$C$8,2,FALSE),"?"))</f>
        <v/>
      </c>
      <c r="BU216">
        <f>IF($R216="","",UPPER(TRIM(LEFT($R216&amp;",",FIND(",",$R216&amp;",")-1))))</f>
        <v/>
      </c>
      <c r="BV216">
        <f>IF($BU216="","",MID($BU216,4,FIND("~",SUBSTITUTE($BU216,"-","~",2))-4))</f>
        <v/>
      </c>
      <c r="BW216">
        <f>IF($BU216="","",MID($BU216,FIND("~",SUBSTITUTE($BU216,"-","~",2))+1,FIND("~",SUBSTITUTE($BU216,"-","~",3))-FIND("~",SUBSTITUTE($BU216,"-","~",2))-1))</f>
        <v/>
      </c>
      <c r="BX216">
        <f>IF($BV216="","",IFERROR(VLOOKUP($BV216,DECODE!$A$3:$C$8,3,FALSE),"?"))</f>
        <v/>
      </c>
      <c r="BY216">
        <f>IF($BW216="","",IFERROR(VLOOKUP($BV216&amp;"-"&amp;$BW216,DECODE!$E$3:$F$21,2,FALSE),"?"))</f>
        <v/>
      </c>
      <c r="BZ216">
        <f>IF($BU216="","",IFERROR(VALUE(RIGHT($BU216,3)),""))</f>
        <v/>
      </c>
      <c r="CA216">
        <f>IF($X216="","",IFERROR(IF(ISNUMBER($X216),$X216,DATEVALUE(TRIM($X216))),""))</f>
        <v/>
      </c>
      <c r="CB216">
        <f>IF($CA216="","",IF(MONTH($CA216)&gt;=12,"Cold Winter",IF(MONTH($CA216)&gt;=10,"Post-Monsoon",IF(MONTH($CA216)&gt;=6,"Hot Humid",IF(MONTH($CA216)&gt;=3,"Hot Dry","Cold Winter")))))</f>
        <v/>
      </c>
      <c r="CC216">
        <f>IF($BV216="","",IFERROR(VLOOKUP($BV216,DECODE!$A$3:$C$8,2,FALSE),"?"))</f>
        <v/>
      </c>
      <c r="CD216">
        <f>IF($S216="","",UPPER(TRIM(LEFT($S216&amp;",",FIND(",",$S216&amp;",")-1))))</f>
        <v/>
      </c>
      <c r="CE216">
        <f>IF($CD216="","",MID($CD216,4,FIND("~",SUBSTITUTE($CD216,"-","~",2))-4))</f>
        <v/>
      </c>
      <c r="CF216">
        <f>IF($CD216="","",MID($CD216,FIND("~",SUBSTITUTE($CD216,"-","~",2))+1,FIND("~",SUBSTITUTE($CD216,"-","~",3))-FIND("~",SUBSTITUTE($CD216,"-","~",2))-1))</f>
        <v/>
      </c>
      <c r="CG216">
        <f>IF($CE216="","",IFERROR(VLOOKUP($CE216,DECODE!$A$3:$C$8,3,FALSE),"?"))</f>
        <v/>
      </c>
      <c r="CH216">
        <f>IF($CF216="","",IFERROR(VLOOKUP($CE216&amp;"-"&amp;$CF216,DECODE!$E$3:$F$21,2,FALSE),"?"))</f>
        <v/>
      </c>
      <c r="CI216">
        <f>IF($CD216="","",IFERROR(VALUE(RIGHT($CD216,3)),""))</f>
        <v/>
      </c>
      <c r="CJ216">
        <f>IF($Y216="","",IFERROR(IF(ISNUMBER($Y216),$Y216,DATEVALUE(TRIM($Y216))),""))</f>
        <v/>
      </c>
      <c r="CK216">
        <f>IF($CJ216="","",IF(MONTH($CJ216)&gt;=12,"Cold Winter",IF(MONTH($CJ216)&gt;=10,"Post-Monsoon",IF(MONTH($CJ216)&gt;=6,"Hot Humid",IF(MONTH($CJ216)&gt;=3,"Hot Dry","Cold Winter")))))</f>
        <v/>
      </c>
      <c r="CL216">
        <f>IF($CE216="","",IFERROR(VLOOKUP($CE216,DECODE!$A$3:$C$8,2,FALSE),"?"))</f>
        <v/>
      </c>
      <c r="CM216">
        <f>IF($AN216="","",AN216)</f>
        <v/>
      </c>
      <c r="CN216">
        <f>IF($AO216="","",AO216)</f>
        <v/>
      </c>
      <c r="CO216">
        <f>IF($AP216="","",AP216)</f>
        <v/>
      </c>
      <c r="CP216">
        <f>IF($CM216="","",IF($CM216="Aloe Vera Gel","Aloe Vera Gel "&amp;$CO216&amp;"g",CN216&amp;" "&amp;$CO216&amp;"g"))</f>
        <v/>
      </c>
      <c r="CQ216">
        <f>IF($AT216="",0,1)</f>
        <v/>
      </c>
      <c r="CR216">
        <f>IF($CQ216=0,"",AW216)</f>
        <v/>
      </c>
      <c r="CS216">
        <f>IF($CQ216=0,"",AX216)</f>
        <v/>
      </c>
      <c r="CT216">
        <f>IF($CQ216=0,"",AY216)</f>
        <v/>
      </c>
      <c r="CU216">
        <f>IF($CR216="","",IF($CR216="Aloe Vera Gel","Aloe Vera Gel "&amp;$CT216&amp;"g",CS216&amp;" "&amp;$CT216&amp;"g"))</f>
        <v/>
      </c>
      <c r="CV216">
        <f>IF($CQ216=0,"",IF($CP216=$CU216,"Repeat Exact",IF($CT216&gt;$CO216,"Upsized",IF($CT216&lt;$CO216,"Downsized",IF($CM216&lt;&gt;$CR216,"Lateral","Same Size Diff Variant")))))</f>
        <v/>
      </c>
      <c r="CW216">
        <f>IF($CQ216=0,"",AZ216-AQ216)</f>
        <v/>
      </c>
      <c r="CX216">
        <f>IF($CQ216=0,0,IF(CS216=CN216,1,0))</f>
        <v/>
      </c>
      <c r="CY216">
        <f>IF($CQ216=0,0,IF(CR216=CM216,1,0))</f>
        <v/>
      </c>
      <c r="CZ216">
        <f>IF($A216="","",IF(AND(IF(DASHBOARD!$C$4="All",TRUE,$CM216=DASHBOARD!$C$4),IF(DASHBOARD!$C$6="All",TRUE,$CP216=DASHBOARD!$C$6),IF(DASHBOARD!$C$8="All",TRUE,$AF216&gt;=DASHBOARD!$C$8),IF(DASHBOARD!$C$10="All",TRUE,$AF216&lt;=DASHBOARD!$C$10),IF(DASHBOARD!$C$12="All",TRUE,$AH216=VALUE(DASHBOARD!$C$12)),IF(DASHBOARD!$C$14="All",TRUE,$AJ216=DASHBOARD!$C$14)),1,0))</f>
        <v/>
      </c>
    </row>
    <row r="217">
      <c r="A217" t="n">
        <v>135144</v>
      </c>
      <c r="B217" t="inlineStr">
        <is>
          <t>Face Malai</t>
        </is>
      </c>
      <c r="H217" t="inlineStr">
        <is>
          <t>Flax Walnut (Cold) 35+ Face Malai</t>
        </is>
      </c>
      <c r="N217" t="inlineStr">
        <is>
          <t>FC-CWDM-FW-030</t>
        </is>
      </c>
      <c r="T217" t="inlineStr">
        <is>
          <t>Nov 23, 2024</t>
        </is>
      </c>
      <c r="AE217" t="inlineStr">
        <is>
          <t>Barrackpore</t>
        </is>
      </c>
      <c r="AF217" t="inlineStr">
        <is>
          <t>2024-11</t>
        </is>
      </c>
      <c r="AG217" t="n">
        <v>11</v>
      </c>
      <c r="AH217" t="n">
        <v>1</v>
      </c>
      <c r="AI217" t="n">
        <v>0</v>
      </c>
      <c r="AJ217">
        <f>IF($AE217="","",IFERROR(VLOOKUP(TRIM($AE217),DECODE!$H$3:$I$60,2,FALSE),"Rest of India"))</f>
        <v/>
      </c>
      <c r="AK217">
        <f>IF($N217="","",UPPER(TRIM(LEFT($N217&amp;",",FIND(",",$N217&amp;",")-1))))</f>
        <v/>
      </c>
      <c r="AL217">
        <f>IF($AK217="","",MID($AK217,4,FIND("~",SUBSTITUTE($AK217,"-","~",2))-4))</f>
        <v/>
      </c>
      <c r="AM217">
        <f>IF($AK217="","",MID($AK217,FIND("~",SUBSTITUTE($AK217,"-","~",2))+1,FIND("~",SUBSTITUTE($AK217,"-","~",3))-FIND("~",SUBSTITUTE($AK217,"-","~",2))-1))</f>
        <v/>
      </c>
      <c r="AN217">
        <f>IF($AL217="","",IFERROR(VLOOKUP($AL217,DECODE!$A$3:$C$8,3,FALSE),"?"))</f>
        <v/>
      </c>
      <c r="AO217">
        <f>IF($AM217="","",IFERROR(VLOOKUP($AL217&amp;"-"&amp;$AM217,DECODE!$E$3:$F$21,2,FALSE),"?"))</f>
        <v/>
      </c>
      <c r="AP217">
        <f>IF($AK217="","",IFERROR(VALUE(RIGHT($AK217,3)),""))</f>
        <v/>
      </c>
      <c r="AQ217">
        <f>IF($T217="","",IFERROR(IF(ISNUMBER($T217),$T217,DATEVALUE(TRIM($T217))),""))</f>
        <v/>
      </c>
      <c r="AR217">
        <f>IF($AQ217="","",IF(MONTH($AQ217)&gt;=12,"Cold Winter",IF(MONTH($AQ217)&gt;=10,"Post-Monsoon",IF(MONTH($AQ217)&gt;=6,"Hot Humid",IF(MONTH($AQ217)&gt;=3,"Hot Dry","Cold Winter")))))</f>
        <v/>
      </c>
      <c r="AS217">
        <f>IF($AL217="","",IFERROR(VLOOKUP($AL217,DECODE!$A$3:$C$8,2,FALSE),"?"))</f>
        <v/>
      </c>
      <c r="AT217">
        <f>IF($O217="","",UPPER(TRIM(LEFT($O217&amp;",",FIND(",",$O217&amp;",")-1))))</f>
        <v/>
      </c>
      <c r="AU217">
        <f>IF($AT217="","",MID($AT217,4,FIND("~",SUBSTITUTE($AT217,"-","~",2))-4))</f>
        <v/>
      </c>
      <c r="AV217">
        <f>IF($AT217="","",MID($AT217,FIND("~",SUBSTITUTE($AT217,"-","~",2))+1,FIND("~",SUBSTITUTE($AT217,"-","~",3))-FIND("~",SUBSTITUTE($AT217,"-","~",2))-1))</f>
        <v/>
      </c>
      <c r="AW217">
        <f>IF($AU217="","",IFERROR(VLOOKUP($AU217,DECODE!$A$3:$C$8,3,FALSE),"?"))</f>
        <v/>
      </c>
      <c r="AX217">
        <f>IF($AV217="","",IFERROR(VLOOKUP($AU217&amp;"-"&amp;$AV217,DECODE!$E$3:$F$21,2,FALSE),"?"))</f>
        <v/>
      </c>
      <c r="AY217">
        <f>IF($AT217="","",IFERROR(VALUE(RIGHT($AT217,3)),""))</f>
        <v/>
      </c>
      <c r="AZ217">
        <f>IF($U217="","",IFERROR(IF(ISNUMBER($U217),$U217,DATEVALUE(TRIM($U217))),""))</f>
        <v/>
      </c>
      <c r="BA217">
        <f>IF($AZ217="","",IF(MONTH($AZ217)&gt;=12,"Cold Winter",IF(MONTH($AZ217)&gt;=10,"Post-Monsoon",IF(MONTH($AZ217)&gt;=6,"Hot Humid",IF(MONTH($AZ217)&gt;=3,"Hot Dry","Cold Winter")))))</f>
        <v/>
      </c>
      <c r="BB217">
        <f>IF($AU217="","",IFERROR(VLOOKUP($AU217,DECODE!$A$3:$C$8,2,FALSE),"?"))</f>
        <v/>
      </c>
      <c r="BC217">
        <f>IF($P217="","",UPPER(TRIM(LEFT($P217&amp;",",FIND(",",$P217&amp;",")-1))))</f>
        <v/>
      </c>
      <c r="BD217">
        <f>IF($BC217="","",MID($BC217,4,FIND("~",SUBSTITUTE($BC217,"-","~",2))-4))</f>
        <v/>
      </c>
      <c r="BE217">
        <f>IF($BC217="","",MID($BC217,FIND("~",SUBSTITUTE($BC217,"-","~",2))+1,FIND("~",SUBSTITUTE($BC217,"-","~",3))-FIND("~",SUBSTITUTE($BC217,"-","~",2))-1))</f>
        <v/>
      </c>
      <c r="BF217">
        <f>IF($BD217="","",IFERROR(VLOOKUP($BD217,DECODE!$A$3:$C$8,3,FALSE),"?"))</f>
        <v/>
      </c>
      <c r="BG217">
        <f>IF($BE217="","",IFERROR(VLOOKUP($BD217&amp;"-"&amp;$BE217,DECODE!$E$3:$F$21,2,FALSE),"?"))</f>
        <v/>
      </c>
      <c r="BH217">
        <f>IF($BC217="","",IFERROR(VALUE(RIGHT($BC217,3)),""))</f>
        <v/>
      </c>
      <c r="BI217">
        <f>IF($V217="","",IFERROR(IF(ISNUMBER($V217),$V217,DATEVALUE(TRIM($V217))),""))</f>
        <v/>
      </c>
      <c r="BJ217">
        <f>IF($BI217="","",IF(MONTH($BI217)&gt;=12,"Cold Winter",IF(MONTH($BI217)&gt;=10,"Post-Monsoon",IF(MONTH($BI217)&gt;=6,"Hot Humid",IF(MONTH($BI217)&gt;=3,"Hot Dry","Cold Winter")))))</f>
        <v/>
      </c>
      <c r="BK217">
        <f>IF($BD217="","",IFERROR(VLOOKUP($BD217,DECODE!$A$3:$C$8,2,FALSE),"?"))</f>
        <v/>
      </c>
      <c r="BL217">
        <f>IF($Q217="","",UPPER(TRIM(LEFT($Q217&amp;",",FIND(",",$Q217&amp;",")-1))))</f>
        <v/>
      </c>
      <c r="BM217">
        <f>IF($BL217="","",MID($BL217,4,FIND("~",SUBSTITUTE($BL217,"-","~",2))-4))</f>
        <v/>
      </c>
      <c r="BN217">
        <f>IF($BL217="","",MID($BL217,FIND("~",SUBSTITUTE($BL217,"-","~",2))+1,FIND("~",SUBSTITUTE($BL217,"-","~",3))-FIND("~",SUBSTITUTE($BL217,"-","~",2))-1))</f>
        <v/>
      </c>
      <c r="BO217">
        <f>IF($BM217="","",IFERROR(VLOOKUP($BM217,DECODE!$A$3:$C$8,3,FALSE),"?"))</f>
        <v/>
      </c>
      <c r="BP217">
        <f>IF($BN217="","",IFERROR(VLOOKUP($BM217&amp;"-"&amp;$BN217,DECODE!$E$3:$F$21,2,FALSE),"?"))</f>
        <v/>
      </c>
      <c r="BQ217">
        <f>IF($BL217="","",IFERROR(VALUE(RIGHT($BL217,3)),""))</f>
        <v/>
      </c>
      <c r="BR217">
        <f>IF($W217="","",IFERROR(IF(ISNUMBER($W217),$W217,DATEVALUE(TRIM($W217))),""))</f>
        <v/>
      </c>
      <c r="BS217">
        <f>IF($BR217="","",IF(MONTH($BR217)&gt;=12,"Cold Winter",IF(MONTH($BR217)&gt;=10,"Post-Monsoon",IF(MONTH($BR217)&gt;=6,"Hot Humid",IF(MONTH($BR217)&gt;=3,"Hot Dry","Cold Winter")))))</f>
        <v/>
      </c>
      <c r="BT217">
        <f>IF($BM217="","",IFERROR(VLOOKUP($BM217,DECODE!$A$3:$C$8,2,FALSE),"?"))</f>
        <v/>
      </c>
      <c r="BU217">
        <f>IF($R217="","",UPPER(TRIM(LEFT($R217&amp;",",FIND(",",$R217&amp;",")-1))))</f>
        <v/>
      </c>
      <c r="BV217">
        <f>IF($BU217="","",MID($BU217,4,FIND("~",SUBSTITUTE($BU217,"-","~",2))-4))</f>
        <v/>
      </c>
      <c r="BW217">
        <f>IF($BU217="","",MID($BU217,FIND("~",SUBSTITUTE($BU217,"-","~",2))+1,FIND("~",SUBSTITUTE($BU217,"-","~",3))-FIND("~",SUBSTITUTE($BU217,"-","~",2))-1))</f>
        <v/>
      </c>
      <c r="BX217">
        <f>IF($BV217="","",IFERROR(VLOOKUP($BV217,DECODE!$A$3:$C$8,3,FALSE),"?"))</f>
        <v/>
      </c>
      <c r="BY217">
        <f>IF($BW217="","",IFERROR(VLOOKUP($BV217&amp;"-"&amp;$BW217,DECODE!$E$3:$F$21,2,FALSE),"?"))</f>
        <v/>
      </c>
      <c r="BZ217">
        <f>IF($BU217="","",IFERROR(VALUE(RIGHT($BU217,3)),""))</f>
        <v/>
      </c>
      <c r="CA217">
        <f>IF($X217="","",IFERROR(IF(ISNUMBER($X217),$X217,DATEVALUE(TRIM($X217))),""))</f>
        <v/>
      </c>
      <c r="CB217">
        <f>IF($CA217="","",IF(MONTH($CA217)&gt;=12,"Cold Winter",IF(MONTH($CA217)&gt;=10,"Post-Monsoon",IF(MONTH($CA217)&gt;=6,"Hot Humid",IF(MONTH($CA217)&gt;=3,"Hot Dry","Cold Winter")))))</f>
        <v/>
      </c>
      <c r="CC217">
        <f>IF($BV217="","",IFERROR(VLOOKUP($BV217,DECODE!$A$3:$C$8,2,FALSE),"?"))</f>
        <v/>
      </c>
      <c r="CD217">
        <f>IF($S217="","",UPPER(TRIM(LEFT($S217&amp;",",FIND(",",$S217&amp;",")-1))))</f>
        <v/>
      </c>
      <c r="CE217">
        <f>IF($CD217="","",MID($CD217,4,FIND("~",SUBSTITUTE($CD217,"-","~",2))-4))</f>
        <v/>
      </c>
      <c r="CF217">
        <f>IF($CD217="","",MID($CD217,FIND("~",SUBSTITUTE($CD217,"-","~",2))+1,FIND("~",SUBSTITUTE($CD217,"-","~",3))-FIND("~",SUBSTITUTE($CD217,"-","~",2))-1))</f>
        <v/>
      </c>
      <c r="CG217">
        <f>IF($CE217="","",IFERROR(VLOOKUP($CE217,DECODE!$A$3:$C$8,3,FALSE),"?"))</f>
        <v/>
      </c>
      <c r="CH217">
        <f>IF($CF217="","",IFERROR(VLOOKUP($CE217&amp;"-"&amp;$CF217,DECODE!$E$3:$F$21,2,FALSE),"?"))</f>
        <v/>
      </c>
      <c r="CI217">
        <f>IF($CD217="","",IFERROR(VALUE(RIGHT($CD217,3)),""))</f>
        <v/>
      </c>
      <c r="CJ217">
        <f>IF($Y217="","",IFERROR(IF(ISNUMBER($Y217),$Y217,DATEVALUE(TRIM($Y217))),""))</f>
        <v/>
      </c>
      <c r="CK217">
        <f>IF($CJ217="","",IF(MONTH($CJ217)&gt;=12,"Cold Winter",IF(MONTH($CJ217)&gt;=10,"Post-Monsoon",IF(MONTH($CJ217)&gt;=6,"Hot Humid",IF(MONTH($CJ217)&gt;=3,"Hot Dry","Cold Winter")))))</f>
        <v/>
      </c>
      <c r="CL217">
        <f>IF($CE217="","",IFERROR(VLOOKUP($CE217,DECODE!$A$3:$C$8,2,FALSE),"?"))</f>
        <v/>
      </c>
      <c r="CM217">
        <f>IF($AN217="","",AN217)</f>
        <v/>
      </c>
      <c r="CN217">
        <f>IF($AO217="","",AO217)</f>
        <v/>
      </c>
      <c r="CO217">
        <f>IF($AP217="","",AP217)</f>
        <v/>
      </c>
      <c r="CP217">
        <f>IF($CM217="","",IF($CM217="Aloe Vera Gel","Aloe Vera Gel "&amp;$CO217&amp;"g",CN217&amp;" "&amp;$CO217&amp;"g"))</f>
        <v/>
      </c>
      <c r="CQ217">
        <f>IF($AT217="",0,1)</f>
        <v/>
      </c>
      <c r="CR217">
        <f>IF($CQ217=0,"",AW217)</f>
        <v/>
      </c>
      <c r="CS217">
        <f>IF($CQ217=0,"",AX217)</f>
        <v/>
      </c>
      <c r="CT217">
        <f>IF($CQ217=0,"",AY217)</f>
        <v/>
      </c>
      <c r="CU217">
        <f>IF($CR217="","",IF($CR217="Aloe Vera Gel","Aloe Vera Gel "&amp;$CT217&amp;"g",CS217&amp;" "&amp;$CT217&amp;"g"))</f>
        <v/>
      </c>
      <c r="CV217">
        <f>IF($CQ217=0,"",IF($CP217=$CU217,"Repeat Exact",IF($CT217&gt;$CO217,"Upsized",IF($CT217&lt;$CO217,"Downsized",IF($CM217&lt;&gt;$CR217,"Lateral","Same Size Diff Variant")))))</f>
        <v/>
      </c>
      <c r="CW217">
        <f>IF($CQ217=0,"",AZ217-AQ217)</f>
        <v/>
      </c>
      <c r="CX217">
        <f>IF($CQ217=0,0,IF(CS217=CN217,1,0))</f>
        <v/>
      </c>
      <c r="CY217">
        <f>IF($CQ217=0,0,IF(CR217=CM217,1,0))</f>
        <v/>
      </c>
      <c r="CZ217">
        <f>IF($A217="","",IF(AND(IF(DASHBOARD!$C$4="All",TRUE,$CM217=DASHBOARD!$C$4),IF(DASHBOARD!$C$6="All",TRUE,$CP217=DASHBOARD!$C$6),IF(DASHBOARD!$C$8="All",TRUE,$AF217&gt;=DASHBOARD!$C$8),IF(DASHBOARD!$C$10="All",TRUE,$AF217&lt;=DASHBOARD!$C$10),IF(DASHBOARD!$C$12="All",TRUE,$AH217=VALUE(DASHBOARD!$C$12)),IF(DASHBOARD!$C$14="All",TRUE,$AJ217=DASHBOARD!$C$14)),1,0))</f>
        <v/>
      </c>
    </row>
    <row r="218">
      <c r="A218" t="n">
        <v>135377</v>
      </c>
      <c r="B218" t="inlineStr">
        <is>
          <t>Aloe Vera Gel</t>
        </is>
      </c>
      <c r="H218" t="inlineStr">
        <is>
          <t>Aloe Vera Gel - 40 gms</t>
        </is>
      </c>
      <c r="N218" t="inlineStr">
        <is>
          <t>FC-HG-PA-040</t>
        </is>
      </c>
      <c r="T218" t="inlineStr">
        <is>
          <t>Feb 27, 2024</t>
        </is>
      </c>
      <c r="AE218" t="inlineStr">
        <is>
          <t>Hyderabad</t>
        </is>
      </c>
      <c r="AF218" t="inlineStr">
        <is>
          <t>2024-02</t>
        </is>
      </c>
      <c r="AG218" t="n">
        <v>2</v>
      </c>
      <c r="AH218" t="n">
        <v>1</v>
      </c>
      <c r="AI218" t="n">
        <v>0</v>
      </c>
      <c r="AJ218">
        <f>IF($AE218="","",IFERROR(VLOOKUP(TRIM($AE218),DECODE!$H$3:$I$60,2,FALSE),"Rest of India"))</f>
        <v/>
      </c>
      <c r="AK218">
        <f>IF($N218="","",UPPER(TRIM(LEFT($N218&amp;",",FIND(",",$N218&amp;",")-1))))</f>
        <v/>
      </c>
      <c r="AL218">
        <f>IF($AK218="","",MID($AK218,4,FIND("~",SUBSTITUTE($AK218,"-","~",2))-4))</f>
        <v/>
      </c>
      <c r="AM218">
        <f>IF($AK218="","",MID($AK218,FIND("~",SUBSTITUTE($AK218,"-","~",2))+1,FIND("~",SUBSTITUTE($AK218,"-","~",3))-FIND("~",SUBSTITUTE($AK218,"-","~",2))-1))</f>
        <v/>
      </c>
      <c r="AN218">
        <f>IF($AL218="","",IFERROR(VLOOKUP($AL218,DECODE!$A$3:$C$8,3,FALSE),"?"))</f>
        <v/>
      </c>
      <c r="AO218">
        <f>IF($AM218="","",IFERROR(VLOOKUP($AL218&amp;"-"&amp;$AM218,DECODE!$E$3:$F$21,2,FALSE),"?"))</f>
        <v/>
      </c>
      <c r="AP218">
        <f>IF($AK218="","",IFERROR(VALUE(RIGHT($AK218,3)),""))</f>
        <v/>
      </c>
      <c r="AQ218">
        <f>IF($T218="","",IFERROR(IF(ISNUMBER($T218),$T218,DATEVALUE(TRIM($T218))),""))</f>
        <v/>
      </c>
      <c r="AR218">
        <f>IF($AQ218="","",IF(MONTH($AQ218)&gt;=12,"Cold Winter",IF(MONTH($AQ218)&gt;=10,"Post-Monsoon",IF(MONTH($AQ218)&gt;=6,"Hot Humid",IF(MONTH($AQ218)&gt;=3,"Hot Dry","Cold Winter")))))</f>
        <v/>
      </c>
      <c r="AS218">
        <f>IF($AL218="","",IFERROR(VLOOKUP($AL218,DECODE!$A$3:$C$8,2,FALSE),"?"))</f>
        <v/>
      </c>
      <c r="AT218">
        <f>IF($O218="","",UPPER(TRIM(LEFT($O218&amp;",",FIND(",",$O218&amp;",")-1))))</f>
        <v/>
      </c>
      <c r="AU218">
        <f>IF($AT218="","",MID($AT218,4,FIND("~",SUBSTITUTE($AT218,"-","~",2))-4))</f>
        <v/>
      </c>
      <c r="AV218">
        <f>IF($AT218="","",MID($AT218,FIND("~",SUBSTITUTE($AT218,"-","~",2))+1,FIND("~",SUBSTITUTE($AT218,"-","~",3))-FIND("~",SUBSTITUTE($AT218,"-","~",2))-1))</f>
        <v/>
      </c>
      <c r="AW218">
        <f>IF($AU218="","",IFERROR(VLOOKUP($AU218,DECODE!$A$3:$C$8,3,FALSE),"?"))</f>
        <v/>
      </c>
      <c r="AX218">
        <f>IF($AV218="","",IFERROR(VLOOKUP($AU218&amp;"-"&amp;$AV218,DECODE!$E$3:$F$21,2,FALSE),"?"))</f>
        <v/>
      </c>
      <c r="AY218">
        <f>IF($AT218="","",IFERROR(VALUE(RIGHT($AT218,3)),""))</f>
        <v/>
      </c>
      <c r="AZ218">
        <f>IF($U218="","",IFERROR(IF(ISNUMBER($U218),$U218,DATEVALUE(TRIM($U218))),""))</f>
        <v/>
      </c>
      <c r="BA218">
        <f>IF($AZ218="","",IF(MONTH($AZ218)&gt;=12,"Cold Winter",IF(MONTH($AZ218)&gt;=10,"Post-Monsoon",IF(MONTH($AZ218)&gt;=6,"Hot Humid",IF(MONTH($AZ218)&gt;=3,"Hot Dry","Cold Winter")))))</f>
        <v/>
      </c>
      <c r="BB218">
        <f>IF($AU218="","",IFERROR(VLOOKUP($AU218,DECODE!$A$3:$C$8,2,FALSE),"?"))</f>
        <v/>
      </c>
      <c r="BC218">
        <f>IF($P218="","",UPPER(TRIM(LEFT($P218&amp;",",FIND(",",$P218&amp;",")-1))))</f>
        <v/>
      </c>
      <c r="BD218">
        <f>IF($BC218="","",MID($BC218,4,FIND("~",SUBSTITUTE($BC218,"-","~",2))-4))</f>
        <v/>
      </c>
      <c r="BE218">
        <f>IF($BC218="","",MID($BC218,FIND("~",SUBSTITUTE($BC218,"-","~",2))+1,FIND("~",SUBSTITUTE($BC218,"-","~",3))-FIND("~",SUBSTITUTE($BC218,"-","~",2))-1))</f>
        <v/>
      </c>
      <c r="BF218">
        <f>IF($BD218="","",IFERROR(VLOOKUP($BD218,DECODE!$A$3:$C$8,3,FALSE),"?"))</f>
        <v/>
      </c>
      <c r="BG218">
        <f>IF($BE218="","",IFERROR(VLOOKUP($BD218&amp;"-"&amp;$BE218,DECODE!$E$3:$F$21,2,FALSE),"?"))</f>
        <v/>
      </c>
      <c r="BH218">
        <f>IF($BC218="","",IFERROR(VALUE(RIGHT($BC218,3)),""))</f>
        <v/>
      </c>
      <c r="BI218">
        <f>IF($V218="","",IFERROR(IF(ISNUMBER($V218),$V218,DATEVALUE(TRIM($V218))),""))</f>
        <v/>
      </c>
      <c r="BJ218">
        <f>IF($BI218="","",IF(MONTH($BI218)&gt;=12,"Cold Winter",IF(MONTH($BI218)&gt;=10,"Post-Monsoon",IF(MONTH($BI218)&gt;=6,"Hot Humid",IF(MONTH($BI218)&gt;=3,"Hot Dry","Cold Winter")))))</f>
        <v/>
      </c>
      <c r="BK218">
        <f>IF($BD218="","",IFERROR(VLOOKUP($BD218,DECODE!$A$3:$C$8,2,FALSE),"?"))</f>
        <v/>
      </c>
      <c r="BL218">
        <f>IF($Q218="","",UPPER(TRIM(LEFT($Q218&amp;",",FIND(",",$Q218&amp;",")-1))))</f>
        <v/>
      </c>
      <c r="BM218">
        <f>IF($BL218="","",MID($BL218,4,FIND("~",SUBSTITUTE($BL218,"-","~",2))-4))</f>
        <v/>
      </c>
      <c r="BN218">
        <f>IF($BL218="","",MID($BL218,FIND("~",SUBSTITUTE($BL218,"-","~",2))+1,FIND("~",SUBSTITUTE($BL218,"-","~",3))-FIND("~",SUBSTITUTE($BL218,"-","~",2))-1))</f>
        <v/>
      </c>
      <c r="BO218">
        <f>IF($BM218="","",IFERROR(VLOOKUP($BM218,DECODE!$A$3:$C$8,3,FALSE),"?"))</f>
        <v/>
      </c>
      <c r="BP218">
        <f>IF($BN218="","",IFERROR(VLOOKUP($BM218&amp;"-"&amp;$BN218,DECODE!$E$3:$F$21,2,FALSE),"?"))</f>
        <v/>
      </c>
      <c r="BQ218">
        <f>IF($BL218="","",IFERROR(VALUE(RIGHT($BL218,3)),""))</f>
        <v/>
      </c>
      <c r="BR218">
        <f>IF($W218="","",IFERROR(IF(ISNUMBER($W218),$W218,DATEVALUE(TRIM($W218))),""))</f>
        <v/>
      </c>
      <c r="BS218">
        <f>IF($BR218="","",IF(MONTH($BR218)&gt;=12,"Cold Winter",IF(MONTH($BR218)&gt;=10,"Post-Monsoon",IF(MONTH($BR218)&gt;=6,"Hot Humid",IF(MONTH($BR218)&gt;=3,"Hot Dry","Cold Winter")))))</f>
        <v/>
      </c>
      <c r="BT218">
        <f>IF($BM218="","",IFERROR(VLOOKUP($BM218,DECODE!$A$3:$C$8,2,FALSE),"?"))</f>
        <v/>
      </c>
      <c r="BU218">
        <f>IF($R218="","",UPPER(TRIM(LEFT($R218&amp;",",FIND(",",$R218&amp;",")-1))))</f>
        <v/>
      </c>
      <c r="BV218">
        <f>IF($BU218="","",MID($BU218,4,FIND("~",SUBSTITUTE($BU218,"-","~",2))-4))</f>
        <v/>
      </c>
      <c r="BW218">
        <f>IF($BU218="","",MID($BU218,FIND("~",SUBSTITUTE($BU218,"-","~",2))+1,FIND("~",SUBSTITUTE($BU218,"-","~",3))-FIND("~",SUBSTITUTE($BU218,"-","~",2))-1))</f>
        <v/>
      </c>
      <c r="BX218">
        <f>IF($BV218="","",IFERROR(VLOOKUP($BV218,DECODE!$A$3:$C$8,3,FALSE),"?"))</f>
        <v/>
      </c>
      <c r="BY218">
        <f>IF($BW218="","",IFERROR(VLOOKUP($BV218&amp;"-"&amp;$BW218,DECODE!$E$3:$F$21,2,FALSE),"?"))</f>
        <v/>
      </c>
      <c r="BZ218">
        <f>IF($BU218="","",IFERROR(VALUE(RIGHT($BU218,3)),""))</f>
        <v/>
      </c>
      <c r="CA218">
        <f>IF($X218="","",IFERROR(IF(ISNUMBER($X218),$X218,DATEVALUE(TRIM($X218))),""))</f>
        <v/>
      </c>
      <c r="CB218">
        <f>IF($CA218="","",IF(MONTH($CA218)&gt;=12,"Cold Winter",IF(MONTH($CA218)&gt;=10,"Post-Monsoon",IF(MONTH($CA218)&gt;=6,"Hot Humid",IF(MONTH($CA218)&gt;=3,"Hot Dry","Cold Winter")))))</f>
        <v/>
      </c>
      <c r="CC218">
        <f>IF($BV218="","",IFERROR(VLOOKUP($BV218,DECODE!$A$3:$C$8,2,FALSE),"?"))</f>
        <v/>
      </c>
      <c r="CD218">
        <f>IF($S218="","",UPPER(TRIM(LEFT($S218&amp;",",FIND(",",$S218&amp;",")-1))))</f>
        <v/>
      </c>
      <c r="CE218">
        <f>IF($CD218="","",MID($CD218,4,FIND("~",SUBSTITUTE($CD218,"-","~",2))-4))</f>
        <v/>
      </c>
      <c r="CF218">
        <f>IF($CD218="","",MID($CD218,FIND("~",SUBSTITUTE($CD218,"-","~",2))+1,FIND("~",SUBSTITUTE($CD218,"-","~",3))-FIND("~",SUBSTITUTE($CD218,"-","~",2))-1))</f>
        <v/>
      </c>
      <c r="CG218">
        <f>IF($CE218="","",IFERROR(VLOOKUP($CE218,DECODE!$A$3:$C$8,3,FALSE),"?"))</f>
        <v/>
      </c>
      <c r="CH218">
        <f>IF($CF218="","",IFERROR(VLOOKUP($CE218&amp;"-"&amp;$CF218,DECODE!$E$3:$F$21,2,FALSE),"?"))</f>
        <v/>
      </c>
      <c r="CI218">
        <f>IF($CD218="","",IFERROR(VALUE(RIGHT($CD218,3)),""))</f>
        <v/>
      </c>
      <c r="CJ218">
        <f>IF($Y218="","",IFERROR(IF(ISNUMBER($Y218),$Y218,DATEVALUE(TRIM($Y218))),""))</f>
        <v/>
      </c>
      <c r="CK218">
        <f>IF($CJ218="","",IF(MONTH($CJ218)&gt;=12,"Cold Winter",IF(MONTH($CJ218)&gt;=10,"Post-Monsoon",IF(MONTH($CJ218)&gt;=6,"Hot Humid",IF(MONTH($CJ218)&gt;=3,"Hot Dry","Cold Winter")))))</f>
        <v/>
      </c>
      <c r="CL218">
        <f>IF($CE218="","",IFERROR(VLOOKUP($CE218,DECODE!$A$3:$C$8,2,FALSE),"?"))</f>
        <v/>
      </c>
      <c r="CM218">
        <f>IF($AN218="","",AN218)</f>
        <v/>
      </c>
      <c r="CN218">
        <f>IF($AO218="","",AO218)</f>
        <v/>
      </c>
      <c r="CO218">
        <f>IF($AP218="","",AP218)</f>
        <v/>
      </c>
      <c r="CP218">
        <f>IF($CM218="","",IF($CM218="Aloe Vera Gel","Aloe Vera Gel "&amp;$CO218&amp;"g",CN218&amp;" "&amp;$CO218&amp;"g"))</f>
        <v/>
      </c>
      <c r="CQ218">
        <f>IF($AT218="",0,1)</f>
        <v/>
      </c>
      <c r="CR218">
        <f>IF($CQ218=0,"",AW218)</f>
        <v/>
      </c>
      <c r="CS218">
        <f>IF($CQ218=0,"",AX218)</f>
        <v/>
      </c>
      <c r="CT218">
        <f>IF($CQ218=0,"",AY218)</f>
        <v/>
      </c>
      <c r="CU218">
        <f>IF($CR218="","",IF($CR218="Aloe Vera Gel","Aloe Vera Gel "&amp;$CT218&amp;"g",CS218&amp;" "&amp;$CT218&amp;"g"))</f>
        <v/>
      </c>
      <c r="CV218">
        <f>IF($CQ218=0,"",IF($CP218=$CU218,"Repeat Exact",IF($CT218&gt;$CO218,"Upsized",IF($CT218&lt;$CO218,"Downsized",IF($CM218&lt;&gt;$CR218,"Lateral","Same Size Diff Variant")))))</f>
        <v/>
      </c>
      <c r="CW218">
        <f>IF($CQ218=0,"",AZ218-AQ218)</f>
        <v/>
      </c>
      <c r="CX218">
        <f>IF($CQ218=0,0,IF(CS218=CN218,1,0))</f>
        <v/>
      </c>
      <c r="CY218">
        <f>IF($CQ218=0,0,IF(CR218=CM218,1,0))</f>
        <v/>
      </c>
      <c r="CZ218">
        <f>IF($A218="","",IF(AND(IF(DASHBOARD!$C$4="All",TRUE,$CM218=DASHBOARD!$C$4),IF(DASHBOARD!$C$6="All",TRUE,$CP218=DASHBOARD!$C$6),IF(DASHBOARD!$C$8="All",TRUE,$AF218&gt;=DASHBOARD!$C$8),IF(DASHBOARD!$C$10="All",TRUE,$AF218&lt;=DASHBOARD!$C$10),IF(DASHBOARD!$C$12="All",TRUE,$AH218=VALUE(DASHBOARD!$C$12)),IF(DASHBOARD!$C$14="All",TRUE,$AJ218=DASHBOARD!$C$14)),1,0))</f>
        <v/>
      </c>
    </row>
    <row r="219">
      <c r="A219" t="n">
        <v>136796</v>
      </c>
      <c r="B219" t="inlineStr">
        <is>
          <t>Face Malai</t>
        </is>
      </c>
      <c r="H219" t="inlineStr">
        <is>
          <t>GreenApple Tulsi (Hot Humid) 13 - 19 Yrs Face Malai</t>
        </is>
      </c>
      <c r="N219" t="inlineStr">
        <is>
          <t>FC-HHDM-GAT-030</t>
        </is>
      </c>
      <c r="T219" t="inlineStr">
        <is>
          <t>Nov 5, 2025</t>
        </is>
      </c>
      <c r="AE219" t="inlineStr">
        <is>
          <t>Pune</t>
        </is>
      </c>
      <c r="AF219" t="inlineStr">
        <is>
          <t>2025-11</t>
        </is>
      </c>
      <c r="AG219" t="n">
        <v>11</v>
      </c>
      <c r="AH219" t="n">
        <v>1</v>
      </c>
      <c r="AI219" t="n">
        <v>0</v>
      </c>
      <c r="AJ219">
        <f>IF($AE219="","",IFERROR(VLOOKUP(TRIM($AE219),DECODE!$H$3:$I$60,2,FALSE),"Rest of India"))</f>
        <v/>
      </c>
      <c r="AK219">
        <f>IF($N219="","",UPPER(TRIM(LEFT($N219&amp;",",FIND(",",$N219&amp;",")-1))))</f>
        <v/>
      </c>
      <c r="AL219">
        <f>IF($AK219="","",MID($AK219,4,FIND("~",SUBSTITUTE($AK219,"-","~",2))-4))</f>
        <v/>
      </c>
      <c r="AM219">
        <f>IF($AK219="","",MID($AK219,FIND("~",SUBSTITUTE($AK219,"-","~",2))+1,FIND("~",SUBSTITUTE($AK219,"-","~",3))-FIND("~",SUBSTITUTE($AK219,"-","~",2))-1))</f>
        <v/>
      </c>
      <c r="AN219">
        <f>IF($AL219="","",IFERROR(VLOOKUP($AL219,DECODE!$A$3:$C$8,3,FALSE),"?"))</f>
        <v/>
      </c>
      <c r="AO219">
        <f>IF($AM219="","",IFERROR(VLOOKUP($AL219&amp;"-"&amp;$AM219,DECODE!$E$3:$F$21,2,FALSE),"?"))</f>
        <v/>
      </c>
      <c r="AP219">
        <f>IF($AK219="","",IFERROR(VALUE(RIGHT($AK219,3)),""))</f>
        <v/>
      </c>
      <c r="AQ219">
        <f>IF($T219="","",IFERROR(IF(ISNUMBER($T219),$T219,DATEVALUE(TRIM($T219))),""))</f>
        <v/>
      </c>
      <c r="AR219">
        <f>IF($AQ219="","",IF(MONTH($AQ219)&gt;=12,"Cold Winter",IF(MONTH($AQ219)&gt;=10,"Post-Monsoon",IF(MONTH($AQ219)&gt;=6,"Hot Humid",IF(MONTH($AQ219)&gt;=3,"Hot Dry","Cold Winter")))))</f>
        <v/>
      </c>
      <c r="AS219">
        <f>IF($AL219="","",IFERROR(VLOOKUP($AL219,DECODE!$A$3:$C$8,2,FALSE),"?"))</f>
        <v/>
      </c>
      <c r="AT219">
        <f>IF($O219="","",UPPER(TRIM(LEFT($O219&amp;",",FIND(",",$O219&amp;",")-1))))</f>
        <v/>
      </c>
      <c r="AU219">
        <f>IF($AT219="","",MID($AT219,4,FIND("~",SUBSTITUTE($AT219,"-","~",2))-4))</f>
        <v/>
      </c>
      <c r="AV219">
        <f>IF($AT219="","",MID($AT219,FIND("~",SUBSTITUTE($AT219,"-","~",2))+1,FIND("~",SUBSTITUTE($AT219,"-","~",3))-FIND("~",SUBSTITUTE($AT219,"-","~",2))-1))</f>
        <v/>
      </c>
      <c r="AW219">
        <f>IF($AU219="","",IFERROR(VLOOKUP($AU219,DECODE!$A$3:$C$8,3,FALSE),"?"))</f>
        <v/>
      </c>
      <c r="AX219">
        <f>IF($AV219="","",IFERROR(VLOOKUP($AU219&amp;"-"&amp;$AV219,DECODE!$E$3:$F$21,2,FALSE),"?"))</f>
        <v/>
      </c>
      <c r="AY219">
        <f>IF($AT219="","",IFERROR(VALUE(RIGHT($AT219,3)),""))</f>
        <v/>
      </c>
      <c r="AZ219">
        <f>IF($U219="","",IFERROR(IF(ISNUMBER($U219),$U219,DATEVALUE(TRIM($U219))),""))</f>
        <v/>
      </c>
      <c r="BA219">
        <f>IF($AZ219="","",IF(MONTH($AZ219)&gt;=12,"Cold Winter",IF(MONTH($AZ219)&gt;=10,"Post-Monsoon",IF(MONTH($AZ219)&gt;=6,"Hot Humid",IF(MONTH($AZ219)&gt;=3,"Hot Dry","Cold Winter")))))</f>
        <v/>
      </c>
      <c r="BB219">
        <f>IF($AU219="","",IFERROR(VLOOKUP($AU219,DECODE!$A$3:$C$8,2,FALSE),"?"))</f>
        <v/>
      </c>
      <c r="BC219">
        <f>IF($P219="","",UPPER(TRIM(LEFT($P219&amp;",",FIND(",",$P219&amp;",")-1))))</f>
        <v/>
      </c>
      <c r="BD219">
        <f>IF($BC219="","",MID($BC219,4,FIND("~",SUBSTITUTE($BC219,"-","~",2))-4))</f>
        <v/>
      </c>
      <c r="BE219">
        <f>IF($BC219="","",MID($BC219,FIND("~",SUBSTITUTE($BC219,"-","~",2))+1,FIND("~",SUBSTITUTE($BC219,"-","~",3))-FIND("~",SUBSTITUTE($BC219,"-","~",2))-1))</f>
        <v/>
      </c>
      <c r="BF219">
        <f>IF($BD219="","",IFERROR(VLOOKUP($BD219,DECODE!$A$3:$C$8,3,FALSE),"?"))</f>
        <v/>
      </c>
      <c r="BG219">
        <f>IF($BE219="","",IFERROR(VLOOKUP($BD219&amp;"-"&amp;$BE219,DECODE!$E$3:$F$21,2,FALSE),"?"))</f>
        <v/>
      </c>
      <c r="BH219">
        <f>IF($BC219="","",IFERROR(VALUE(RIGHT($BC219,3)),""))</f>
        <v/>
      </c>
      <c r="BI219">
        <f>IF($V219="","",IFERROR(IF(ISNUMBER($V219),$V219,DATEVALUE(TRIM($V219))),""))</f>
        <v/>
      </c>
      <c r="BJ219">
        <f>IF($BI219="","",IF(MONTH($BI219)&gt;=12,"Cold Winter",IF(MONTH($BI219)&gt;=10,"Post-Monsoon",IF(MONTH($BI219)&gt;=6,"Hot Humid",IF(MONTH($BI219)&gt;=3,"Hot Dry","Cold Winter")))))</f>
        <v/>
      </c>
      <c r="BK219">
        <f>IF($BD219="","",IFERROR(VLOOKUP($BD219,DECODE!$A$3:$C$8,2,FALSE),"?"))</f>
        <v/>
      </c>
      <c r="BL219">
        <f>IF($Q219="","",UPPER(TRIM(LEFT($Q219&amp;",",FIND(",",$Q219&amp;",")-1))))</f>
        <v/>
      </c>
      <c r="BM219">
        <f>IF($BL219="","",MID($BL219,4,FIND("~",SUBSTITUTE($BL219,"-","~",2))-4))</f>
        <v/>
      </c>
      <c r="BN219">
        <f>IF($BL219="","",MID($BL219,FIND("~",SUBSTITUTE($BL219,"-","~",2))+1,FIND("~",SUBSTITUTE($BL219,"-","~",3))-FIND("~",SUBSTITUTE($BL219,"-","~",2))-1))</f>
        <v/>
      </c>
      <c r="BO219">
        <f>IF($BM219="","",IFERROR(VLOOKUP($BM219,DECODE!$A$3:$C$8,3,FALSE),"?"))</f>
        <v/>
      </c>
      <c r="BP219">
        <f>IF($BN219="","",IFERROR(VLOOKUP($BM219&amp;"-"&amp;$BN219,DECODE!$E$3:$F$21,2,FALSE),"?"))</f>
        <v/>
      </c>
      <c r="BQ219">
        <f>IF($BL219="","",IFERROR(VALUE(RIGHT($BL219,3)),""))</f>
        <v/>
      </c>
      <c r="BR219">
        <f>IF($W219="","",IFERROR(IF(ISNUMBER($W219),$W219,DATEVALUE(TRIM($W219))),""))</f>
        <v/>
      </c>
      <c r="BS219">
        <f>IF($BR219="","",IF(MONTH($BR219)&gt;=12,"Cold Winter",IF(MONTH($BR219)&gt;=10,"Post-Monsoon",IF(MONTH($BR219)&gt;=6,"Hot Humid",IF(MONTH($BR219)&gt;=3,"Hot Dry","Cold Winter")))))</f>
        <v/>
      </c>
      <c r="BT219">
        <f>IF($BM219="","",IFERROR(VLOOKUP($BM219,DECODE!$A$3:$C$8,2,FALSE),"?"))</f>
        <v/>
      </c>
      <c r="BU219">
        <f>IF($R219="","",UPPER(TRIM(LEFT($R219&amp;",",FIND(",",$R219&amp;",")-1))))</f>
        <v/>
      </c>
      <c r="BV219">
        <f>IF($BU219="","",MID($BU219,4,FIND("~",SUBSTITUTE($BU219,"-","~",2))-4))</f>
        <v/>
      </c>
      <c r="BW219">
        <f>IF($BU219="","",MID($BU219,FIND("~",SUBSTITUTE($BU219,"-","~",2))+1,FIND("~",SUBSTITUTE($BU219,"-","~",3))-FIND("~",SUBSTITUTE($BU219,"-","~",2))-1))</f>
        <v/>
      </c>
      <c r="BX219">
        <f>IF($BV219="","",IFERROR(VLOOKUP($BV219,DECODE!$A$3:$C$8,3,FALSE),"?"))</f>
        <v/>
      </c>
      <c r="BY219">
        <f>IF($BW219="","",IFERROR(VLOOKUP($BV219&amp;"-"&amp;$BW219,DECODE!$E$3:$F$21,2,FALSE),"?"))</f>
        <v/>
      </c>
      <c r="BZ219">
        <f>IF($BU219="","",IFERROR(VALUE(RIGHT($BU219,3)),""))</f>
        <v/>
      </c>
      <c r="CA219">
        <f>IF($X219="","",IFERROR(IF(ISNUMBER($X219),$X219,DATEVALUE(TRIM($X219))),""))</f>
        <v/>
      </c>
      <c r="CB219">
        <f>IF($CA219="","",IF(MONTH($CA219)&gt;=12,"Cold Winter",IF(MONTH($CA219)&gt;=10,"Post-Monsoon",IF(MONTH($CA219)&gt;=6,"Hot Humid",IF(MONTH($CA219)&gt;=3,"Hot Dry","Cold Winter")))))</f>
        <v/>
      </c>
      <c r="CC219">
        <f>IF($BV219="","",IFERROR(VLOOKUP($BV219,DECODE!$A$3:$C$8,2,FALSE),"?"))</f>
        <v/>
      </c>
      <c r="CD219">
        <f>IF($S219="","",UPPER(TRIM(LEFT($S219&amp;",",FIND(",",$S219&amp;",")-1))))</f>
        <v/>
      </c>
      <c r="CE219">
        <f>IF($CD219="","",MID($CD219,4,FIND("~",SUBSTITUTE($CD219,"-","~",2))-4))</f>
        <v/>
      </c>
      <c r="CF219">
        <f>IF($CD219="","",MID($CD219,FIND("~",SUBSTITUTE($CD219,"-","~",2))+1,FIND("~",SUBSTITUTE($CD219,"-","~",3))-FIND("~",SUBSTITUTE($CD219,"-","~",2))-1))</f>
        <v/>
      </c>
      <c r="CG219">
        <f>IF($CE219="","",IFERROR(VLOOKUP($CE219,DECODE!$A$3:$C$8,3,FALSE),"?"))</f>
        <v/>
      </c>
      <c r="CH219">
        <f>IF($CF219="","",IFERROR(VLOOKUP($CE219&amp;"-"&amp;$CF219,DECODE!$E$3:$F$21,2,FALSE),"?"))</f>
        <v/>
      </c>
      <c r="CI219">
        <f>IF($CD219="","",IFERROR(VALUE(RIGHT($CD219,3)),""))</f>
        <v/>
      </c>
      <c r="CJ219">
        <f>IF($Y219="","",IFERROR(IF(ISNUMBER($Y219),$Y219,DATEVALUE(TRIM($Y219))),""))</f>
        <v/>
      </c>
      <c r="CK219">
        <f>IF($CJ219="","",IF(MONTH($CJ219)&gt;=12,"Cold Winter",IF(MONTH($CJ219)&gt;=10,"Post-Monsoon",IF(MONTH($CJ219)&gt;=6,"Hot Humid",IF(MONTH($CJ219)&gt;=3,"Hot Dry","Cold Winter")))))</f>
        <v/>
      </c>
      <c r="CL219">
        <f>IF($CE219="","",IFERROR(VLOOKUP($CE219,DECODE!$A$3:$C$8,2,FALSE),"?"))</f>
        <v/>
      </c>
      <c r="CM219">
        <f>IF($AN219="","",AN219)</f>
        <v/>
      </c>
      <c r="CN219">
        <f>IF($AO219="","",AO219)</f>
        <v/>
      </c>
      <c r="CO219">
        <f>IF($AP219="","",AP219)</f>
        <v/>
      </c>
      <c r="CP219">
        <f>IF($CM219="","",IF($CM219="Aloe Vera Gel","Aloe Vera Gel "&amp;$CO219&amp;"g",CN219&amp;" "&amp;$CO219&amp;"g"))</f>
        <v/>
      </c>
      <c r="CQ219">
        <f>IF($AT219="",0,1)</f>
        <v/>
      </c>
      <c r="CR219">
        <f>IF($CQ219=0,"",AW219)</f>
        <v/>
      </c>
      <c r="CS219">
        <f>IF($CQ219=0,"",AX219)</f>
        <v/>
      </c>
      <c r="CT219">
        <f>IF($CQ219=0,"",AY219)</f>
        <v/>
      </c>
      <c r="CU219">
        <f>IF($CR219="","",IF($CR219="Aloe Vera Gel","Aloe Vera Gel "&amp;$CT219&amp;"g",CS219&amp;" "&amp;$CT219&amp;"g"))</f>
        <v/>
      </c>
      <c r="CV219">
        <f>IF($CQ219=0,"",IF($CP219=$CU219,"Repeat Exact",IF($CT219&gt;$CO219,"Upsized",IF($CT219&lt;$CO219,"Downsized",IF($CM219&lt;&gt;$CR219,"Lateral","Same Size Diff Variant")))))</f>
        <v/>
      </c>
      <c r="CW219">
        <f>IF($CQ219=0,"",AZ219-AQ219)</f>
        <v/>
      </c>
      <c r="CX219">
        <f>IF($CQ219=0,0,IF(CS219=CN219,1,0))</f>
        <v/>
      </c>
      <c r="CY219">
        <f>IF($CQ219=0,0,IF(CR219=CM219,1,0))</f>
        <v/>
      </c>
      <c r="CZ219">
        <f>IF($A219="","",IF(AND(IF(DASHBOARD!$C$4="All",TRUE,$CM219=DASHBOARD!$C$4),IF(DASHBOARD!$C$6="All",TRUE,$CP219=DASHBOARD!$C$6),IF(DASHBOARD!$C$8="All",TRUE,$AF219&gt;=DASHBOARD!$C$8),IF(DASHBOARD!$C$10="All",TRUE,$AF219&lt;=DASHBOARD!$C$10),IF(DASHBOARD!$C$12="All",TRUE,$AH219=VALUE(DASHBOARD!$C$12)),IF(DASHBOARD!$C$14="All",TRUE,$AJ219=DASHBOARD!$C$14)),1,0))</f>
        <v/>
      </c>
    </row>
    <row r="220">
      <c r="A220" t="n">
        <v>137078</v>
      </c>
      <c r="B220" t="inlineStr">
        <is>
          <t>Aloe Vera Gel</t>
        </is>
      </c>
      <c r="H220" t="inlineStr">
        <is>
          <t>Aloe Vera Gel - 40 gms</t>
        </is>
      </c>
      <c r="N220" t="inlineStr">
        <is>
          <t>FC-HG-PA-040</t>
        </is>
      </c>
      <c r="T220" t="inlineStr">
        <is>
          <t>Apr 8, 2024</t>
        </is>
      </c>
      <c r="AE220" t="inlineStr">
        <is>
          <t>Anantapur</t>
        </is>
      </c>
      <c r="AF220" t="inlineStr">
        <is>
          <t>2024-04</t>
        </is>
      </c>
      <c r="AG220" t="n">
        <v>4</v>
      </c>
      <c r="AH220" t="n">
        <v>1</v>
      </c>
      <c r="AI220" t="n">
        <v>0</v>
      </c>
      <c r="AJ220">
        <f>IF($AE220="","",IFERROR(VLOOKUP(TRIM($AE220),DECODE!$H$3:$I$60,2,FALSE),"Rest of India"))</f>
        <v/>
      </c>
      <c r="AK220">
        <f>IF($N220="","",UPPER(TRIM(LEFT($N220&amp;",",FIND(",",$N220&amp;",")-1))))</f>
        <v/>
      </c>
      <c r="AL220">
        <f>IF($AK220="","",MID($AK220,4,FIND("~",SUBSTITUTE($AK220,"-","~",2))-4))</f>
        <v/>
      </c>
      <c r="AM220">
        <f>IF($AK220="","",MID($AK220,FIND("~",SUBSTITUTE($AK220,"-","~",2))+1,FIND("~",SUBSTITUTE($AK220,"-","~",3))-FIND("~",SUBSTITUTE($AK220,"-","~",2))-1))</f>
        <v/>
      </c>
      <c r="AN220">
        <f>IF($AL220="","",IFERROR(VLOOKUP($AL220,DECODE!$A$3:$C$8,3,FALSE),"?"))</f>
        <v/>
      </c>
      <c r="AO220">
        <f>IF($AM220="","",IFERROR(VLOOKUP($AL220&amp;"-"&amp;$AM220,DECODE!$E$3:$F$21,2,FALSE),"?"))</f>
        <v/>
      </c>
      <c r="AP220">
        <f>IF($AK220="","",IFERROR(VALUE(RIGHT($AK220,3)),""))</f>
        <v/>
      </c>
      <c r="AQ220">
        <f>IF($T220="","",IFERROR(IF(ISNUMBER($T220),$T220,DATEVALUE(TRIM($T220))),""))</f>
        <v/>
      </c>
      <c r="AR220">
        <f>IF($AQ220="","",IF(MONTH($AQ220)&gt;=12,"Cold Winter",IF(MONTH($AQ220)&gt;=10,"Post-Monsoon",IF(MONTH($AQ220)&gt;=6,"Hot Humid",IF(MONTH($AQ220)&gt;=3,"Hot Dry","Cold Winter")))))</f>
        <v/>
      </c>
      <c r="AS220">
        <f>IF($AL220="","",IFERROR(VLOOKUP($AL220,DECODE!$A$3:$C$8,2,FALSE),"?"))</f>
        <v/>
      </c>
      <c r="AT220">
        <f>IF($O220="","",UPPER(TRIM(LEFT($O220&amp;",",FIND(",",$O220&amp;",")-1))))</f>
        <v/>
      </c>
      <c r="AU220">
        <f>IF($AT220="","",MID($AT220,4,FIND("~",SUBSTITUTE($AT220,"-","~",2))-4))</f>
        <v/>
      </c>
      <c r="AV220">
        <f>IF($AT220="","",MID($AT220,FIND("~",SUBSTITUTE($AT220,"-","~",2))+1,FIND("~",SUBSTITUTE($AT220,"-","~",3))-FIND("~",SUBSTITUTE($AT220,"-","~",2))-1))</f>
        <v/>
      </c>
      <c r="AW220">
        <f>IF($AU220="","",IFERROR(VLOOKUP($AU220,DECODE!$A$3:$C$8,3,FALSE),"?"))</f>
        <v/>
      </c>
      <c r="AX220">
        <f>IF($AV220="","",IFERROR(VLOOKUP($AU220&amp;"-"&amp;$AV220,DECODE!$E$3:$F$21,2,FALSE),"?"))</f>
        <v/>
      </c>
      <c r="AY220">
        <f>IF($AT220="","",IFERROR(VALUE(RIGHT($AT220,3)),""))</f>
        <v/>
      </c>
      <c r="AZ220">
        <f>IF($U220="","",IFERROR(IF(ISNUMBER($U220),$U220,DATEVALUE(TRIM($U220))),""))</f>
        <v/>
      </c>
      <c r="BA220">
        <f>IF($AZ220="","",IF(MONTH($AZ220)&gt;=12,"Cold Winter",IF(MONTH($AZ220)&gt;=10,"Post-Monsoon",IF(MONTH($AZ220)&gt;=6,"Hot Humid",IF(MONTH($AZ220)&gt;=3,"Hot Dry","Cold Winter")))))</f>
        <v/>
      </c>
      <c r="BB220">
        <f>IF($AU220="","",IFERROR(VLOOKUP($AU220,DECODE!$A$3:$C$8,2,FALSE),"?"))</f>
        <v/>
      </c>
      <c r="BC220">
        <f>IF($P220="","",UPPER(TRIM(LEFT($P220&amp;",",FIND(",",$P220&amp;",")-1))))</f>
        <v/>
      </c>
      <c r="BD220">
        <f>IF($BC220="","",MID($BC220,4,FIND("~",SUBSTITUTE($BC220,"-","~",2))-4))</f>
        <v/>
      </c>
      <c r="BE220">
        <f>IF($BC220="","",MID($BC220,FIND("~",SUBSTITUTE($BC220,"-","~",2))+1,FIND("~",SUBSTITUTE($BC220,"-","~",3))-FIND("~",SUBSTITUTE($BC220,"-","~",2))-1))</f>
        <v/>
      </c>
      <c r="BF220">
        <f>IF($BD220="","",IFERROR(VLOOKUP($BD220,DECODE!$A$3:$C$8,3,FALSE),"?"))</f>
        <v/>
      </c>
      <c r="BG220">
        <f>IF($BE220="","",IFERROR(VLOOKUP($BD220&amp;"-"&amp;$BE220,DECODE!$E$3:$F$21,2,FALSE),"?"))</f>
        <v/>
      </c>
      <c r="BH220">
        <f>IF($BC220="","",IFERROR(VALUE(RIGHT($BC220,3)),""))</f>
        <v/>
      </c>
      <c r="BI220">
        <f>IF($V220="","",IFERROR(IF(ISNUMBER($V220),$V220,DATEVALUE(TRIM($V220))),""))</f>
        <v/>
      </c>
      <c r="BJ220">
        <f>IF($BI220="","",IF(MONTH($BI220)&gt;=12,"Cold Winter",IF(MONTH($BI220)&gt;=10,"Post-Monsoon",IF(MONTH($BI220)&gt;=6,"Hot Humid",IF(MONTH($BI220)&gt;=3,"Hot Dry","Cold Winter")))))</f>
        <v/>
      </c>
      <c r="BK220">
        <f>IF($BD220="","",IFERROR(VLOOKUP($BD220,DECODE!$A$3:$C$8,2,FALSE),"?"))</f>
        <v/>
      </c>
      <c r="BL220">
        <f>IF($Q220="","",UPPER(TRIM(LEFT($Q220&amp;",",FIND(",",$Q220&amp;",")-1))))</f>
        <v/>
      </c>
      <c r="BM220">
        <f>IF($BL220="","",MID($BL220,4,FIND("~",SUBSTITUTE($BL220,"-","~",2))-4))</f>
        <v/>
      </c>
      <c r="BN220">
        <f>IF($BL220="","",MID($BL220,FIND("~",SUBSTITUTE($BL220,"-","~",2))+1,FIND("~",SUBSTITUTE($BL220,"-","~",3))-FIND("~",SUBSTITUTE($BL220,"-","~",2))-1))</f>
        <v/>
      </c>
      <c r="BO220">
        <f>IF($BM220="","",IFERROR(VLOOKUP($BM220,DECODE!$A$3:$C$8,3,FALSE),"?"))</f>
        <v/>
      </c>
      <c r="BP220">
        <f>IF($BN220="","",IFERROR(VLOOKUP($BM220&amp;"-"&amp;$BN220,DECODE!$E$3:$F$21,2,FALSE),"?"))</f>
        <v/>
      </c>
      <c r="BQ220">
        <f>IF($BL220="","",IFERROR(VALUE(RIGHT($BL220,3)),""))</f>
        <v/>
      </c>
      <c r="BR220">
        <f>IF($W220="","",IFERROR(IF(ISNUMBER($W220),$W220,DATEVALUE(TRIM($W220))),""))</f>
        <v/>
      </c>
      <c r="BS220">
        <f>IF($BR220="","",IF(MONTH($BR220)&gt;=12,"Cold Winter",IF(MONTH($BR220)&gt;=10,"Post-Monsoon",IF(MONTH($BR220)&gt;=6,"Hot Humid",IF(MONTH($BR220)&gt;=3,"Hot Dry","Cold Winter")))))</f>
        <v/>
      </c>
      <c r="BT220">
        <f>IF($BM220="","",IFERROR(VLOOKUP($BM220,DECODE!$A$3:$C$8,2,FALSE),"?"))</f>
        <v/>
      </c>
      <c r="BU220">
        <f>IF($R220="","",UPPER(TRIM(LEFT($R220&amp;",",FIND(",",$R220&amp;",")-1))))</f>
        <v/>
      </c>
      <c r="BV220">
        <f>IF($BU220="","",MID($BU220,4,FIND("~",SUBSTITUTE($BU220,"-","~",2))-4))</f>
        <v/>
      </c>
      <c r="BW220">
        <f>IF($BU220="","",MID($BU220,FIND("~",SUBSTITUTE($BU220,"-","~",2))+1,FIND("~",SUBSTITUTE($BU220,"-","~",3))-FIND("~",SUBSTITUTE($BU220,"-","~",2))-1))</f>
        <v/>
      </c>
      <c r="BX220">
        <f>IF($BV220="","",IFERROR(VLOOKUP($BV220,DECODE!$A$3:$C$8,3,FALSE),"?"))</f>
        <v/>
      </c>
      <c r="BY220">
        <f>IF($BW220="","",IFERROR(VLOOKUP($BV220&amp;"-"&amp;$BW220,DECODE!$E$3:$F$21,2,FALSE),"?"))</f>
        <v/>
      </c>
      <c r="BZ220">
        <f>IF($BU220="","",IFERROR(VALUE(RIGHT($BU220,3)),""))</f>
        <v/>
      </c>
      <c r="CA220">
        <f>IF($X220="","",IFERROR(IF(ISNUMBER($X220),$X220,DATEVALUE(TRIM($X220))),""))</f>
        <v/>
      </c>
      <c r="CB220">
        <f>IF($CA220="","",IF(MONTH($CA220)&gt;=12,"Cold Winter",IF(MONTH($CA220)&gt;=10,"Post-Monsoon",IF(MONTH($CA220)&gt;=6,"Hot Humid",IF(MONTH($CA220)&gt;=3,"Hot Dry","Cold Winter")))))</f>
        <v/>
      </c>
      <c r="CC220">
        <f>IF($BV220="","",IFERROR(VLOOKUP($BV220,DECODE!$A$3:$C$8,2,FALSE),"?"))</f>
        <v/>
      </c>
      <c r="CD220">
        <f>IF($S220="","",UPPER(TRIM(LEFT($S220&amp;",",FIND(",",$S220&amp;",")-1))))</f>
        <v/>
      </c>
      <c r="CE220">
        <f>IF($CD220="","",MID($CD220,4,FIND("~",SUBSTITUTE($CD220,"-","~",2))-4))</f>
        <v/>
      </c>
      <c r="CF220">
        <f>IF($CD220="","",MID($CD220,FIND("~",SUBSTITUTE($CD220,"-","~",2))+1,FIND("~",SUBSTITUTE($CD220,"-","~",3))-FIND("~",SUBSTITUTE($CD220,"-","~",2))-1))</f>
        <v/>
      </c>
      <c r="CG220">
        <f>IF($CE220="","",IFERROR(VLOOKUP($CE220,DECODE!$A$3:$C$8,3,FALSE),"?"))</f>
        <v/>
      </c>
      <c r="CH220">
        <f>IF($CF220="","",IFERROR(VLOOKUP($CE220&amp;"-"&amp;$CF220,DECODE!$E$3:$F$21,2,FALSE),"?"))</f>
        <v/>
      </c>
      <c r="CI220">
        <f>IF($CD220="","",IFERROR(VALUE(RIGHT($CD220,3)),""))</f>
        <v/>
      </c>
      <c r="CJ220">
        <f>IF($Y220="","",IFERROR(IF(ISNUMBER($Y220),$Y220,DATEVALUE(TRIM($Y220))),""))</f>
        <v/>
      </c>
      <c r="CK220">
        <f>IF($CJ220="","",IF(MONTH($CJ220)&gt;=12,"Cold Winter",IF(MONTH($CJ220)&gt;=10,"Post-Monsoon",IF(MONTH($CJ220)&gt;=6,"Hot Humid",IF(MONTH($CJ220)&gt;=3,"Hot Dry","Cold Winter")))))</f>
        <v/>
      </c>
      <c r="CL220">
        <f>IF($CE220="","",IFERROR(VLOOKUP($CE220,DECODE!$A$3:$C$8,2,FALSE),"?"))</f>
        <v/>
      </c>
      <c r="CM220">
        <f>IF($AN220="","",AN220)</f>
        <v/>
      </c>
      <c r="CN220">
        <f>IF($AO220="","",AO220)</f>
        <v/>
      </c>
      <c r="CO220">
        <f>IF($AP220="","",AP220)</f>
        <v/>
      </c>
      <c r="CP220">
        <f>IF($CM220="","",IF($CM220="Aloe Vera Gel","Aloe Vera Gel "&amp;$CO220&amp;"g",CN220&amp;" "&amp;$CO220&amp;"g"))</f>
        <v/>
      </c>
      <c r="CQ220">
        <f>IF($AT220="",0,1)</f>
        <v/>
      </c>
      <c r="CR220">
        <f>IF($CQ220=0,"",AW220)</f>
        <v/>
      </c>
      <c r="CS220">
        <f>IF($CQ220=0,"",AX220)</f>
        <v/>
      </c>
      <c r="CT220">
        <f>IF($CQ220=0,"",AY220)</f>
        <v/>
      </c>
      <c r="CU220">
        <f>IF($CR220="","",IF($CR220="Aloe Vera Gel","Aloe Vera Gel "&amp;$CT220&amp;"g",CS220&amp;" "&amp;$CT220&amp;"g"))</f>
        <v/>
      </c>
      <c r="CV220">
        <f>IF($CQ220=0,"",IF($CP220=$CU220,"Repeat Exact",IF($CT220&gt;$CO220,"Upsized",IF($CT220&lt;$CO220,"Downsized",IF($CM220&lt;&gt;$CR220,"Lateral","Same Size Diff Variant")))))</f>
        <v/>
      </c>
      <c r="CW220">
        <f>IF($CQ220=0,"",AZ220-AQ220)</f>
        <v/>
      </c>
      <c r="CX220">
        <f>IF($CQ220=0,0,IF(CS220=CN220,1,0))</f>
        <v/>
      </c>
      <c r="CY220">
        <f>IF($CQ220=0,0,IF(CR220=CM220,1,0))</f>
        <v/>
      </c>
      <c r="CZ220">
        <f>IF($A220="","",IF(AND(IF(DASHBOARD!$C$4="All",TRUE,$CM220=DASHBOARD!$C$4),IF(DASHBOARD!$C$6="All",TRUE,$CP220=DASHBOARD!$C$6),IF(DASHBOARD!$C$8="All",TRUE,$AF220&gt;=DASHBOARD!$C$8),IF(DASHBOARD!$C$10="All",TRUE,$AF220&lt;=DASHBOARD!$C$10),IF(DASHBOARD!$C$12="All",TRUE,$AH220=VALUE(DASHBOARD!$C$12)),IF(DASHBOARD!$C$14="All",TRUE,$AJ220=DASHBOARD!$C$14)),1,0))</f>
        <v/>
      </c>
    </row>
    <row r="221">
      <c r="A221" t="n">
        <v>137891</v>
      </c>
      <c r="B221" t="inlineStr">
        <is>
          <t>Active Gel</t>
        </is>
      </c>
      <c r="H221" t="inlineStr">
        <is>
          <t>Active Orange Kiwi Vit-C Gel</t>
        </is>
      </c>
      <c r="N221" t="inlineStr">
        <is>
          <t>FC-AC-OK-050</t>
        </is>
      </c>
      <c r="T221" t="inlineStr">
        <is>
          <t>Jul 27, 2024</t>
        </is>
      </c>
      <c r="AE221" t="inlineStr">
        <is>
          <t>Bengaluru</t>
        </is>
      </c>
      <c r="AF221" t="inlineStr">
        <is>
          <t>2024-07</t>
        </is>
      </c>
      <c r="AG221" t="n">
        <v>7</v>
      </c>
      <c r="AH221" t="n">
        <v>1</v>
      </c>
      <c r="AI221" t="n">
        <v>0</v>
      </c>
      <c r="AJ221">
        <f>IF($AE221="","",IFERROR(VLOOKUP(TRIM($AE221),DECODE!$H$3:$I$60,2,FALSE),"Rest of India"))</f>
        <v/>
      </c>
      <c r="AK221">
        <f>IF($N221="","",UPPER(TRIM(LEFT($N221&amp;",",FIND(",",$N221&amp;",")-1))))</f>
        <v/>
      </c>
      <c r="AL221">
        <f>IF($AK221="","",MID($AK221,4,FIND("~",SUBSTITUTE($AK221,"-","~",2))-4))</f>
        <v/>
      </c>
      <c r="AM221">
        <f>IF($AK221="","",MID($AK221,FIND("~",SUBSTITUTE($AK221,"-","~",2))+1,FIND("~",SUBSTITUTE($AK221,"-","~",3))-FIND("~",SUBSTITUTE($AK221,"-","~",2))-1))</f>
        <v/>
      </c>
      <c r="AN221">
        <f>IF($AL221="","",IFERROR(VLOOKUP($AL221,DECODE!$A$3:$C$8,3,FALSE),"?"))</f>
        <v/>
      </c>
      <c r="AO221">
        <f>IF($AM221="","",IFERROR(VLOOKUP($AL221&amp;"-"&amp;$AM221,DECODE!$E$3:$F$21,2,FALSE),"?"))</f>
        <v/>
      </c>
      <c r="AP221">
        <f>IF($AK221="","",IFERROR(VALUE(RIGHT($AK221,3)),""))</f>
        <v/>
      </c>
      <c r="AQ221">
        <f>IF($T221="","",IFERROR(IF(ISNUMBER($T221),$T221,DATEVALUE(TRIM($T221))),""))</f>
        <v/>
      </c>
      <c r="AR221">
        <f>IF($AQ221="","",IF(MONTH($AQ221)&gt;=12,"Cold Winter",IF(MONTH($AQ221)&gt;=10,"Post-Monsoon",IF(MONTH($AQ221)&gt;=6,"Hot Humid",IF(MONTH($AQ221)&gt;=3,"Hot Dry","Cold Winter")))))</f>
        <v/>
      </c>
      <c r="AS221">
        <f>IF($AL221="","",IFERROR(VLOOKUP($AL221,DECODE!$A$3:$C$8,2,FALSE),"?"))</f>
        <v/>
      </c>
      <c r="AT221">
        <f>IF($O221="","",UPPER(TRIM(LEFT($O221&amp;",",FIND(",",$O221&amp;",")-1))))</f>
        <v/>
      </c>
      <c r="AU221">
        <f>IF($AT221="","",MID($AT221,4,FIND("~",SUBSTITUTE($AT221,"-","~",2))-4))</f>
        <v/>
      </c>
      <c r="AV221">
        <f>IF($AT221="","",MID($AT221,FIND("~",SUBSTITUTE($AT221,"-","~",2))+1,FIND("~",SUBSTITUTE($AT221,"-","~",3))-FIND("~",SUBSTITUTE($AT221,"-","~",2))-1))</f>
        <v/>
      </c>
      <c r="AW221">
        <f>IF($AU221="","",IFERROR(VLOOKUP($AU221,DECODE!$A$3:$C$8,3,FALSE),"?"))</f>
        <v/>
      </c>
      <c r="AX221">
        <f>IF($AV221="","",IFERROR(VLOOKUP($AU221&amp;"-"&amp;$AV221,DECODE!$E$3:$F$21,2,FALSE),"?"))</f>
        <v/>
      </c>
      <c r="AY221">
        <f>IF($AT221="","",IFERROR(VALUE(RIGHT($AT221,3)),""))</f>
        <v/>
      </c>
      <c r="AZ221">
        <f>IF($U221="","",IFERROR(IF(ISNUMBER($U221),$U221,DATEVALUE(TRIM($U221))),""))</f>
        <v/>
      </c>
      <c r="BA221">
        <f>IF($AZ221="","",IF(MONTH($AZ221)&gt;=12,"Cold Winter",IF(MONTH($AZ221)&gt;=10,"Post-Monsoon",IF(MONTH($AZ221)&gt;=6,"Hot Humid",IF(MONTH($AZ221)&gt;=3,"Hot Dry","Cold Winter")))))</f>
        <v/>
      </c>
      <c r="BB221">
        <f>IF($AU221="","",IFERROR(VLOOKUP($AU221,DECODE!$A$3:$C$8,2,FALSE),"?"))</f>
        <v/>
      </c>
      <c r="BC221">
        <f>IF($P221="","",UPPER(TRIM(LEFT($P221&amp;",",FIND(",",$P221&amp;",")-1))))</f>
        <v/>
      </c>
      <c r="BD221">
        <f>IF($BC221="","",MID($BC221,4,FIND("~",SUBSTITUTE($BC221,"-","~",2))-4))</f>
        <v/>
      </c>
      <c r="BE221">
        <f>IF($BC221="","",MID($BC221,FIND("~",SUBSTITUTE($BC221,"-","~",2))+1,FIND("~",SUBSTITUTE($BC221,"-","~",3))-FIND("~",SUBSTITUTE($BC221,"-","~",2))-1))</f>
        <v/>
      </c>
      <c r="BF221">
        <f>IF($BD221="","",IFERROR(VLOOKUP($BD221,DECODE!$A$3:$C$8,3,FALSE),"?"))</f>
        <v/>
      </c>
      <c r="BG221">
        <f>IF($BE221="","",IFERROR(VLOOKUP($BD221&amp;"-"&amp;$BE221,DECODE!$E$3:$F$21,2,FALSE),"?"))</f>
        <v/>
      </c>
      <c r="BH221">
        <f>IF($BC221="","",IFERROR(VALUE(RIGHT($BC221,3)),""))</f>
        <v/>
      </c>
      <c r="BI221">
        <f>IF($V221="","",IFERROR(IF(ISNUMBER($V221),$V221,DATEVALUE(TRIM($V221))),""))</f>
        <v/>
      </c>
      <c r="BJ221">
        <f>IF($BI221="","",IF(MONTH($BI221)&gt;=12,"Cold Winter",IF(MONTH($BI221)&gt;=10,"Post-Monsoon",IF(MONTH($BI221)&gt;=6,"Hot Humid",IF(MONTH($BI221)&gt;=3,"Hot Dry","Cold Winter")))))</f>
        <v/>
      </c>
      <c r="BK221">
        <f>IF($BD221="","",IFERROR(VLOOKUP($BD221,DECODE!$A$3:$C$8,2,FALSE),"?"))</f>
        <v/>
      </c>
      <c r="BL221">
        <f>IF($Q221="","",UPPER(TRIM(LEFT($Q221&amp;",",FIND(",",$Q221&amp;",")-1))))</f>
        <v/>
      </c>
      <c r="BM221">
        <f>IF($BL221="","",MID($BL221,4,FIND("~",SUBSTITUTE($BL221,"-","~",2))-4))</f>
        <v/>
      </c>
      <c r="BN221">
        <f>IF($BL221="","",MID($BL221,FIND("~",SUBSTITUTE($BL221,"-","~",2))+1,FIND("~",SUBSTITUTE($BL221,"-","~",3))-FIND("~",SUBSTITUTE($BL221,"-","~",2))-1))</f>
        <v/>
      </c>
      <c r="BO221">
        <f>IF($BM221="","",IFERROR(VLOOKUP($BM221,DECODE!$A$3:$C$8,3,FALSE),"?"))</f>
        <v/>
      </c>
      <c r="BP221">
        <f>IF($BN221="","",IFERROR(VLOOKUP($BM221&amp;"-"&amp;$BN221,DECODE!$E$3:$F$21,2,FALSE),"?"))</f>
        <v/>
      </c>
      <c r="BQ221">
        <f>IF($BL221="","",IFERROR(VALUE(RIGHT($BL221,3)),""))</f>
        <v/>
      </c>
      <c r="BR221">
        <f>IF($W221="","",IFERROR(IF(ISNUMBER($W221),$W221,DATEVALUE(TRIM($W221))),""))</f>
        <v/>
      </c>
      <c r="BS221">
        <f>IF($BR221="","",IF(MONTH($BR221)&gt;=12,"Cold Winter",IF(MONTH($BR221)&gt;=10,"Post-Monsoon",IF(MONTH($BR221)&gt;=6,"Hot Humid",IF(MONTH($BR221)&gt;=3,"Hot Dry","Cold Winter")))))</f>
        <v/>
      </c>
      <c r="BT221">
        <f>IF($BM221="","",IFERROR(VLOOKUP($BM221,DECODE!$A$3:$C$8,2,FALSE),"?"))</f>
        <v/>
      </c>
      <c r="BU221">
        <f>IF($R221="","",UPPER(TRIM(LEFT($R221&amp;",",FIND(",",$R221&amp;",")-1))))</f>
        <v/>
      </c>
      <c r="BV221">
        <f>IF($BU221="","",MID($BU221,4,FIND("~",SUBSTITUTE($BU221,"-","~",2))-4))</f>
        <v/>
      </c>
      <c r="BW221">
        <f>IF($BU221="","",MID($BU221,FIND("~",SUBSTITUTE($BU221,"-","~",2))+1,FIND("~",SUBSTITUTE($BU221,"-","~",3))-FIND("~",SUBSTITUTE($BU221,"-","~",2))-1))</f>
        <v/>
      </c>
      <c r="BX221">
        <f>IF($BV221="","",IFERROR(VLOOKUP($BV221,DECODE!$A$3:$C$8,3,FALSE),"?"))</f>
        <v/>
      </c>
      <c r="BY221">
        <f>IF($BW221="","",IFERROR(VLOOKUP($BV221&amp;"-"&amp;$BW221,DECODE!$E$3:$F$21,2,FALSE),"?"))</f>
        <v/>
      </c>
      <c r="BZ221">
        <f>IF($BU221="","",IFERROR(VALUE(RIGHT($BU221,3)),""))</f>
        <v/>
      </c>
      <c r="CA221">
        <f>IF($X221="","",IFERROR(IF(ISNUMBER($X221),$X221,DATEVALUE(TRIM($X221))),""))</f>
        <v/>
      </c>
      <c r="CB221">
        <f>IF($CA221="","",IF(MONTH($CA221)&gt;=12,"Cold Winter",IF(MONTH($CA221)&gt;=10,"Post-Monsoon",IF(MONTH($CA221)&gt;=6,"Hot Humid",IF(MONTH($CA221)&gt;=3,"Hot Dry","Cold Winter")))))</f>
        <v/>
      </c>
      <c r="CC221">
        <f>IF($BV221="","",IFERROR(VLOOKUP($BV221,DECODE!$A$3:$C$8,2,FALSE),"?"))</f>
        <v/>
      </c>
      <c r="CD221">
        <f>IF($S221="","",UPPER(TRIM(LEFT($S221&amp;",",FIND(",",$S221&amp;",")-1))))</f>
        <v/>
      </c>
      <c r="CE221">
        <f>IF($CD221="","",MID($CD221,4,FIND("~",SUBSTITUTE($CD221,"-","~",2))-4))</f>
        <v/>
      </c>
      <c r="CF221">
        <f>IF($CD221="","",MID($CD221,FIND("~",SUBSTITUTE($CD221,"-","~",2))+1,FIND("~",SUBSTITUTE($CD221,"-","~",3))-FIND("~",SUBSTITUTE($CD221,"-","~",2))-1))</f>
        <v/>
      </c>
      <c r="CG221">
        <f>IF($CE221="","",IFERROR(VLOOKUP($CE221,DECODE!$A$3:$C$8,3,FALSE),"?"))</f>
        <v/>
      </c>
      <c r="CH221">
        <f>IF($CF221="","",IFERROR(VLOOKUP($CE221&amp;"-"&amp;$CF221,DECODE!$E$3:$F$21,2,FALSE),"?"))</f>
        <v/>
      </c>
      <c r="CI221">
        <f>IF($CD221="","",IFERROR(VALUE(RIGHT($CD221,3)),""))</f>
        <v/>
      </c>
      <c r="CJ221">
        <f>IF($Y221="","",IFERROR(IF(ISNUMBER($Y221),$Y221,DATEVALUE(TRIM($Y221))),""))</f>
        <v/>
      </c>
      <c r="CK221">
        <f>IF($CJ221="","",IF(MONTH($CJ221)&gt;=12,"Cold Winter",IF(MONTH($CJ221)&gt;=10,"Post-Monsoon",IF(MONTH($CJ221)&gt;=6,"Hot Humid",IF(MONTH($CJ221)&gt;=3,"Hot Dry","Cold Winter")))))</f>
        <v/>
      </c>
      <c r="CL221">
        <f>IF($CE221="","",IFERROR(VLOOKUP($CE221,DECODE!$A$3:$C$8,2,FALSE),"?"))</f>
        <v/>
      </c>
      <c r="CM221">
        <f>IF($AN221="","",AN221)</f>
        <v/>
      </c>
      <c r="CN221">
        <f>IF($AO221="","",AO221)</f>
        <v/>
      </c>
      <c r="CO221">
        <f>IF($AP221="","",AP221)</f>
        <v/>
      </c>
      <c r="CP221">
        <f>IF($CM221="","",IF($CM221="Aloe Vera Gel","Aloe Vera Gel "&amp;$CO221&amp;"g",CN221&amp;" "&amp;$CO221&amp;"g"))</f>
        <v/>
      </c>
      <c r="CQ221">
        <f>IF($AT221="",0,1)</f>
        <v/>
      </c>
      <c r="CR221">
        <f>IF($CQ221=0,"",AW221)</f>
        <v/>
      </c>
      <c r="CS221">
        <f>IF($CQ221=0,"",AX221)</f>
        <v/>
      </c>
      <c r="CT221">
        <f>IF($CQ221=0,"",AY221)</f>
        <v/>
      </c>
      <c r="CU221">
        <f>IF($CR221="","",IF($CR221="Aloe Vera Gel","Aloe Vera Gel "&amp;$CT221&amp;"g",CS221&amp;" "&amp;$CT221&amp;"g"))</f>
        <v/>
      </c>
      <c r="CV221">
        <f>IF($CQ221=0,"",IF($CP221=$CU221,"Repeat Exact",IF($CT221&gt;$CO221,"Upsized",IF($CT221&lt;$CO221,"Downsized",IF($CM221&lt;&gt;$CR221,"Lateral","Same Size Diff Variant")))))</f>
        <v/>
      </c>
      <c r="CW221">
        <f>IF($CQ221=0,"",AZ221-AQ221)</f>
        <v/>
      </c>
      <c r="CX221">
        <f>IF($CQ221=0,0,IF(CS221=CN221,1,0))</f>
        <v/>
      </c>
      <c r="CY221">
        <f>IF($CQ221=0,0,IF(CR221=CM221,1,0))</f>
        <v/>
      </c>
      <c r="CZ221">
        <f>IF($A221="","",IF(AND(IF(DASHBOARD!$C$4="All",TRUE,$CM221=DASHBOARD!$C$4),IF(DASHBOARD!$C$6="All",TRUE,$CP221=DASHBOARD!$C$6),IF(DASHBOARD!$C$8="All",TRUE,$AF221&gt;=DASHBOARD!$C$8),IF(DASHBOARD!$C$10="All",TRUE,$AF221&lt;=DASHBOARD!$C$10),IF(DASHBOARD!$C$12="All",TRUE,$AH221=VALUE(DASHBOARD!$C$12)),IF(DASHBOARD!$C$14="All",TRUE,$AJ221=DASHBOARD!$C$14)),1,0))</f>
        <v/>
      </c>
    </row>
    <row r="222">
      <c r="A222" t="n">
        <v>138146</v>
      </c>
      <c r="B222" t="inlineStr">
        <is>
          <t>Face Malai</t>
        </is>
      </c>
      <c r="H222" t="inlineStr">
        <is>
          <t>Turmeric Nutmeg (Pigmentation)  Face Malai - 30g</t>
        </is>
      </c>
      <c r="N222" t="inlineStr">
        <is>
          <t>FC-DM-PG-030</t>
        </is>
      </c>
      <c r="T222" t="inlineStr">
        <is>
          <t>Oct 12, 2024</t>
        </is>
      </c>
      <c r="AE222" t="inlineStr">
        <is>
          <t>Jaipur</t>
        </is>
      </c>
      <c r="AF222" t="inlineStr">
        <is>
          <t>2024-10</t>
        </is>
      </c>
      <c r="AG222" t="n">
        <v>10</v>
      </c>
      <c r="AH222" t="n">
        <v>1</v>
      </c>
      <c r="AI222" t="n">
        <v>0</v>
      </c>
      <c r="AJ222">
        <f>IF($AE222="","",IFERROR(VLOOKUP(TRIM($AE222),DECODE!$H$3:$I$60,2,FALSE),"Rest of India"))</f>
        <v/>
      </c>
      <c r="AK222">
        <f>IF($N222="","",UPPER(TRIM(LEFT($N222&amp;",",FIND(",",$N222&amp;",")-1))))</f>
        <v/>
      </c>
      <c r="AL222">
        <f>IF($AK222="","",MID($AK222,4,FIND("~",SUBSTITUTE($AK222,"-","~",2))-4))</f>
        <v/>
      </c>
      <c r="AM222">
        <f>IF($AK222="","",MID($AK222,FIND("~",SUBSTITUTE($AK222,"-","~",2))+1,FIND("~",SUBSTITUTE($AK222,"-","~",3))-FIND("~",SUBSTITUTE($AK222,"-","~",2))-1))</f>
        <v/>
      </c>
      <c r="AN222">
        <f>IF($AL222="","",IFERROR(VLOOKUP($AL222,DECODE!$A$3:$C$8,3,FALSE),"?"))</f>
        <v/>
      </c>
      <c r="AO222">
        <f>IF($AM222="","",IFERROR(VLOOKUP($AL222&amp;"-"&amp;$AM222,DECODE!$E$3:$F$21,2,FALSE),"?"))</f>
        <v/>
      </c>
      <c r="AP222">
        <f>IF($AK222="","",IFERROR(VALUE(RIGHT($AK222,3)),""))</f>
        <v/>
      </c>
      <c r="AQ222">
        <f>IF($T222="","",IFERROR(IF(ISNUMBER($T222),$T222,DATEVALUE(TRIM($T222))),""))</f>
        <v/>
      </c>
      <c r="AR222">
        <f>IF($AQ222="","",IF(MONTH($AQ222)&gt;=12,"Cold Winter",IF(MONTH($AQ222)&gt;=10,"Post-Monsoon",IF(MONTH($AQ222)&gt;=6,"Hot Humid",IF(MONTH($AQ222)&gt;=3,"Hot Dry","Cold Winter")))))</f>
        <v/>
      </c>
      <c r="AS222">
        <f>IF($AL222="","",IFERROR(VLOOKUP($AL222,DECODE!$A$3:$C$8,2,FALSE),"?"))</f>
        <v/>
      </c>
      <c r="AT222">
        <f>IF($O222="","",UPPER(TRIM(LEFT($O222&amp;",",FIND(",",$O222&amp;",")-1))))</f>
        <v/>
      </c>
      <c r="AU222">
        <f>IF($AT222="","",MID($AT222,4,FIND("~",SUBSTITUTE($AT222,"-","~",2))-4))</f>
        <v/>
      </c>
      <c r="AV222">
        <f>IF($AT222="","",MID($AT222,FIND("~",SUBSTITUTE($AT222,"-","~",2))+1,FIND("~",SUBSTITUTE($AT222,"-","~",3))-FIND("~",SUBSTITUTE($AT222,"-","~",2))-1))</f>
        <v/>
      </c>
      <c r="AW222">
        <f>IF($AU222="","",IFERROR(VLOOKUP($AU222,DECODE!$A$3:$C$8,3,FALSE),"?"))</f>
        <v/>
      </c>
      <c r="AX222">
        <f>IF($AV222="","",IFERROR(VLOOKUP($AU222&amp;"-"&amp;$AV222,DECODE!$E$3:$F$21,2,FALSE),"?"))</f>
        <v/>
      </c>
      <c r="AY222">
        <f>IF($AT222="","",IFERROR(VALUE(RIGHT($AT222,3)),""))</f>
        <v/>
      </c>
      <c r="AZ222">
        <f>IF($U222="","",IFERROR(IF(ISNUMBER($U222),$U222,DATEVALUE(TRIM($U222))),""))</f>
        <v/>
      </c>
      <c r="BA222">
        <f>IF($AZ222="","",IF(MONTH($AZ222)&gt;=12,"Cold Winter",IF(MONTH($AZ222)&gt;=10,"Post-Monsoon",IF(MONTH($AZ222)&gt;=6,"Hot Humid",IF(MONTH($AZ222)&gt;=3,"Hot Dry","Cold Winter")))))</f>
        <v/>
      </c>
      <c r="BB222">
        <f>IF($AU222="","",IFERROR(VLOOKUP($AU222,DECODE!$A$3:$C$8,2,FALSE),"?"))</f>
        <v/>
      </c>
      <c r="BC222">
        <f>IF($P222="","",UPPER(TRIM(LEFT($P222&amp;",",FIND(",",$P222&amp;",")-1))))</f>
        <v/>
      </c>
      <c r="BD222">
        <f>IF($BC222="","",MID($BC222,4,FIND("~",SUBSTITUTE($BC222,"-","~",2))-4))</f>
        <v/>
      </c>
      <c r="BE222">
        <f>IF($BC222="","",MID($BC222,FIND("~",SUBSTITUTE($BC222,"-","~",2))+1,FIND("~",SUBSTITUTE($BC222,"-","~",3))-FIND("~",SUBSTITUTE($BC222,"-","~",2))-1))</f>
        <v/>
      </c>
      <c r="BF222">
        <f>IF($BD222="","",IFERROR(VLOOKUP($BD222,DECODE!$A$3:$C$8,3,FALSE),"?"))</f>
        <v/>
      </c>
      <c r="BG222">
        <f>IF($BE222="","",IFERROR(VLOOKUP($BD222&amp;"-"&amp;$BE222,DECODE!$E$3:$F$21,2,FALSE),"?"))</f>
        <v/>
      </c>
      <c r="BH222">
        <f>IF($BC222="","",IFERROR(VALUE(RIGHT($BC222,3)),""))</f>
        <v/>
      </c>
      <c r="BI222">
        <f>IF($V222="","",IFERROR(IF(ISNUMBER($V222),$V222,DATEVALUE(TRIM($V222))),""))</f>
        <v/>
      </c>
      <c r="BJ222">
        <f>IF($BI222="","",IF(MONTH($BI222)&gt;=12,"Cold Winter",IF(MONTH($BI222)&gt;=10,"Post-Monsoon",IF(MONTH($BI222)&gt;=6,"Hot Humid",IF(MONTH($BI222)&gt;=3,"Hot Dry","Cold Winter")))))</f>
        <v/>
      </c>
      <c r="BK222">
        <f>IF($BD222="","",IFERROR(VLOOKUP($BD222,DECODE!$A$3:$C$8,2,FALSE),"?"))</f>
        <v/>
      </c>
      <c r="BL222">
        <f>IF($Q222="","",UPPER(TRIM(LEFT($Q222&amp;",",FIND(",",$Q222&amp;",")-1))))</f>
        <v/>
      </c>
      <c r="BM222">
        <f>IF($BL222="","",MID($BL222,4,FIND("~",SUBSTITUTE($BL222,"-","~",2))-4))</f>
        <v/>
      </c>
      <c r="BN222">
        <f>IF($BL222="","",MID($BL222,FIND("~",SUBSTITUTE($BL222,"-","~",2))+1,FIND("~",SUBSTITUTE($BL222,"-","~",3))-FIND("~",SUBSTITUTE($BL222,"-","~",2))-1))</f>
        <v/>
      </c>
      <c r="BO222">
        <f>IF($BM222="","",IFERROR(VLOOKUP($BM222,DECODE!$A$3:$C$8,3,FALSE),"?"))</f>
        <v/>
      </c>
      <c r="BP222">
        <f>IF($BN222="","",IFERROR(VLOOKUP($BM222&amp;"-"&amp;$BN222,DECODE!$E$3:$F$21,2,FALSE),"?"))</f>
        <v/>
      </c>
      <c r="BQ222">
        <f>IF($BL222="","",IFERROR(VALUE(RIGHT($BL222,3)),""))</f>
        <v/>
      </c>
      <c r="BR222">
        <f>IF($W222="","",IFERROR(IF(ISNUMBER($W222),$W222,DATEVALUE(TRIM($W222))),""))</f>
        <v/>
      </c>
      <c r="BS222">
        <f>IF($BR222="","",IF(MONTH($BR222)&gt;=12,"Cold Winter",IF(MONTH($BR222)&gt;=10,"Post-Monsoon",IF(MONTH($BR222)&gt;=6,"Hot Humid",IF(MONTH($BR222)&gt;=3,"Hot Dry","Cold Winter")))))</f>
        <v/>
      </c>
      <c r="BT222">
        <f>IF($BM222="","",IFERROR(VLOOKUP($BM222,DECODE!$A$3:$C$8,2,FALSE),"?"))</f>
        <v/>
      </c>
      <c r="BU222">
        <f>IF($R222="","",UPPER(TRIM(LEFT($R222&amp;",",FIND(",",$R222&amp;",")-1))))</f>
        <v/>
      </c>
      <c r="BV222">
        <f>IF($BU222="","",MID($BU222,4,FIND("~",SUBSTITUTE($BU222,"-","~",2))-4))</f>
        <v/>
      </c>
      <c r="BW222">
        <f>IF($BU222="","",MID($BU222,FIND("~",SUBSTITUTE($BU222,"-","~",2))+1,FIND("~",SUBSTITUTE($BU222,"-","~",3))-FIND("~",SUBSTITUTE($BU222,"-","~",2))-1))</f>
        <v/>
      </c>
      <c r="BX222">
        <f>IF($BV222="","",IFERROR(VLOOKUP($BV222,DECODE!$A$3:$C$8,3,FALSE),"?"))</f>
        <v/>
      </c>
      <c r="BY222">
        <f>IF($BW222="","",IFERROR(VLOOKUP($BV222&amp;"-"&amp;$BW222,DECODE!$E$3:$F$21,2,FALSE),"?"))</f>
        <v/>
      </c>
      <c r="BZ222">
        <f>IF($BU222="","",IFERROR(VALUE(RIGHT($BU222,3)),""))</f>
        <v/>
      </c>
      <c r="CA222">
        <f>IF($X222="","",IFERROR(IF(ISNUMBER($X222),$X222,DATEVALUE(TRIM($X222))),""))</f>
        <v/>
      </c>
      <c r="CB222">
        <f>IF($CA222="","",IF(MONTH($CA222)&gt;=12,"Cold Winter",IF(MONTH($CA222)&gt;=10,"Post-Monsoon",IF(MONTH($CA222)&gt;=6,"Hot Humid",IF(MONTH($CA222)&gt;=3,"Hot Dry","Cold Winter")))))</f>
        <v/>
      </c>
      <c r="CC222">
        <f>IF($BV222="","",IFERROR(VLOOKUP($BV222,DECODE!$A$3:$C$8,2,FALSE),"?"))</f>
        <v/>
      </c>
      <c r="CD222">
        <f>IF($S222="","",UPPER(TRIM(LEFT($S222&amp;",",FIND(",",$S222&amp;",")-1))))</f>
        <v/>
      </c>
      <c r="CE222">
        <f>IF($CD222="","",MID($CD222,4,FIND("~",SUBSTITUTE($CD222,"-","~",2))-4))</f>
        <v/>
      </c>
      <c r="CF222">
        <f>IF($CD222="","",MID($CD222,FIND("~",SUBSTITUTE($CD222,"-","~",2))+1,FIND("~",SUBSTITUTE($CD222,"-","~",3))-FIND("~",SUBSTITUTE($CD222,"-","~",2))-1))</f>
        <v/>
      </c>
      <c r="CG222">
        <f>IF($CE222="","",IFERROR(VLOOKUP($CE222,DECODE!$A$3:$C$8,3,FALSE),"?"))</f>
        <v/>
      </c>
      <c r="CH222">
        <f>IF($CF222="","",IFERROR(VLOOKUP($CE222&amp;"-"&amp;$CF222,DECODE!$E$3:$F$21,2,FALSE),"?"))</f>
        <v/>
      </c>
      <c r="CI222">
        <f>IF($CD222="","",IFERROR(VALUE(RIGHT($CD222,3)),""))</f>
        <v/>
      </c>
      <c r="CJ222">
        <f>IF($Y222="","",IFERROR(IF(ISNUMBER($Y222),$Y222,DATEVALUE(TRIM($Y222))),""))</f>
        <v/>
      </c>
      <c r="CK222">
        <f>IF($CJ222="","",IF(MONTH($CJ222)&gt;=12,"Cold Winter",IF(MONTH($CJ222)&gt;=10,"Post-Monsoon",IF(MONTH($CJ222)&gt;=6,"Hot Humid",IF(MONTH($CJ222)&gt;=3,"Hot Dry","Cold Winter")))))</f>
        <v/>
      </c>
      <c r="CL222">
        <f>IF($CE222="","",IFERROR(VLOOKUP($CE222,DECODE!$A$3:$C$8,2,FALSE),"?"))</f>
        <v/>
      </c>
      <c r="CM222">
        <f>IF($AN222="","",AN222)</f>
        <v/>
      </c>
      <c r="CN222">
        <f>IF($AO222="","",AO222)</f>
        <v/>
      </c>
      <c r="CO222">
        <f>IF($AP222="","",AP222)</f>
        <v/>
      </c>
      <c r="CP222">
        <f>IF($CM222="","",IF($CM222="Aloe Vera Gel","Aloe Vera Gel "&amp;$CO222&amp;"g",CN222&amp;" "&amp;$CO222&amp;"g"))</f>
        <v/>
      </c>
      <c r="CQ222">
        <f>IF($AT222="",0,1)</f>
        <v/>
      </c>
      <c r="CR222">
        <f>IF($CQ222=0,"",AW222)</f>
        <v/>
      </c>
      <c r="CS222">
        <f>IF($CQ222=0,"",AX222)</f>
        <v/>
      </c>
      <c r="CT222">
        <f>IF($CQ222=0,"",AY222)</f>
        <v/>
      </c>
      <c r="CU222">
        <f>IF($CR222="","",IF($CR222="Aloe Vera Gel","Aloe Vera Gel "&amp;$CT222&amp;"g",CS222&amp;" "&amp;$CT222&amp;"g"))</f>
        <v/>
      </c>
      <c r="CV222">
        <f>IF($CQ222=0,"",IF($CP222=$CU222,"Repeat Exact",IF($CT222&gt;$CO222,"Upsized",IF($CT222&lt;$CO222,"Downsized",IF($CM222&lt;&gt;$CR222,"Lateral","Same Size Diff Variant")))))</f>
        <v/>
      </c>
      <c r="CW222">
        <f>IF($CQ222=0,"",AZ222-AQ222)</f>
        <v/>
      </c>
      <c r="CX222">
        <f>IF($CQ222=0,0,IF(CS222=CN222,1,0))</f>
        <v/>
      </c>
      <c r="CY222">
        <f>IF($CQ222=0,0,IF(CR222=CM222,1,0))</f>
        <v/>
      </c>
      <c r="CZ222">
        <f>IF($A222="","",IF(AND(IF(DASHBOARD!$C$4="All",TRUE,$CM222=DASHBOARD!$C$4),IF(DASHBOARD!$C$6="All",TRUE,$CP222=DASHBOARD!$C$6),IF(DASHBOARD!$C$8="All",TRUE,$AF222&gt;=DASHBOARD!$C$8),IF(DASHBOARD!$C$10="All",TRUE,$AF222&lt;=DASHBOARD!$C$10),IF(DASHBOARD!$C$12="All",TRUE,$AH222=VALUE(DASHBOARD!$C$12)),IF(DASHBOARD!$C$14="All",TRUE,$AJ222=DASHBOARD!$C$14)),1,0))</f>
        <v/>
      </c>
    </row>
    <row r="223">
      <c r="A223" t="n">
        <v>138345</v>
      </c>
      <c r="B223" t="inlineStr">
        <is>
          <t>Face Malai</t>
        </is>
      </c>
      <c r="H223" t="inlineStr">
        <is>
          <t>Honey Multi-Nut (Dry &amp; Peeling Skin) Face Malai, Turmeric Nutmeg (Pigmentation)  Face Malai - 30g</t>
        </is>
      </c>
      <c r="N223" t="inlineStr">
        <is>
          <t>FC-DM-DP-030, FC-DM-PG-030</t>
        </is>
      </c>
      <c r="T223" t="inlineStr">
        <is>
          <t>Dec 27, 2024</t>
        </is>
      </c>
      <c r="AE223" t="inlineStr">
        <is>
          <t>Gautam Buddha Nagar</t>
        </is>
      </c>
      <c r="AF223" t="inlineStr">
        <is>
          <t>2024-12</t>
        </is>
      </c>
      <c r="AG223" t="n">
        <v>12</v>
      </c>
      <c r="AH223" t="n">
        <v>1</v>
      </c>
      <c r="AI223" t="n">
        <v>0</v>
      </c>
      <c r="AJ223">
        <f>IF($AE223="","",IFERROR(VLOOKUP(TRIM($AE223),DECODE!$H$3:$I$60,2,FALSE),"Rest of India"))</f>
        <v/>
      </c>
      <c r="AK223">
        <f>IF($N223="","",UPPER(TRIM(LEFT($N223&amp;",",FIND(",",$N223&amp;",")-1))))</f>
        <v/>
      </c>
      <c r="AL223">
        <f>IF($AK223="","",MID($AK223,4,FIND("~",SUBSTITUTE($AK223,"-","~",2))-4))</f>
        <v/>
      </c>
      <c r="AM223">
        <f>IF($AK223="","",MID($AK223,FIND("~",SUBSTITUTE($AK223,"-","~",2))+1,FIND("~",SUBSTITUTE($AK223,"-","~",3))-FIND("~",SUBSTITUTE($AK223,"-","~",2))-1))</f>
        <v/>
      </c>
      <c r="AN223">
        <f>IF($AL223="","",IFERROR(VLOOKUP($AL223,DECODE!$A$3:$C$8,3,FALSE),"?"))</f>
        <v/>
      </c>
      <c r="AO223">
        <f>IF($AM223="","",IFERROR(VLOOKUP($AL223&amp;"-"&amp;$AM223,DECODE!$E$3:$F$21,2,FALSE),"?"))</f>
        <v/>
      </c>
      <c r="AP223">
        <f>IF($AK223="","",IFERROR(VALUE(RIGHT($AK223,3)),""))</f>
        <v/>
      </c>
      <c r="AQ223">
        <f>IF($T223="","",IFERROR(IF(ISNUMBER($T223),$T223,DATEVALUE(TRIM($T223))),""))</f>
        <v/>
      </c>
      <c r="AR223">
        <f>IF($AQ223="","",IF(MONTH($AQ223)&gt;=12,"Cold Winter",IF(MONTH($AQ223)&gt;=10,"Post-Monsoon",IF(MONTH($AQ223)&gt;=6,"Hot Humid",IF(MONTH($AQ223)&gt;=3,"Hot Dry","Cold Winter")))))</f>
        <v/>
      </c>
      <c r="AS223">
        <f>IF($AL223="","",IFERROR(VLOOKUP($AL223,DECODE!$A$3:$C$8,2,FALSE),"?"))</f>
        <v/>
      </c>
      <c r="AT223">
        <f>IF($O223="","",UPPER(TRIM(LEFT($O223&amp;",",FIND(",",$O223&amp;",")-1))))</f>
        <v/>
      </c>
      <c r="AU223">
        <f>IF($AT223="","",MID($AT223,4,FIND("~",SUBSTITUTE($AT223,"-","~",2))-4))</f>
        <v/>
      </c>
      <c r="AV223">
        <f>IF($AT223="","",MID($AT223,FIND("~",SUBSTITUTE($AT223,"-","~",2))+1,FIND("~",SUBSTITUTE($AT223,"-","~",3))-FIND("~",SUBSTITUTE($AT223,"-","~",2))-1))</f>
        <v/>
      </c>
      <c r="AW223">
        <f>IF($AU223="","",IFERROR(VLOOKUP($AU223,DECODE!$A$3:$C$8,3,FALSE),"?"))</f>
        <v/>
      </c>
      <c r="AX223">
        <f>IF($AV223="","",IFERROR(VLOOKUP($AU223&amp;"-"&amp;$AV223,DECODE!$E$3:$F$21,2,FALSE),"?"))</f>
        <v/>
      </c>
      <c r="AY223">
        <f>IF($AT223="","",IFERROR(VALUE(RIGHT($AT223,3)),""))</f>
        <v/>
      </c>
      <c r="AZ223">
        <f>IF($U223="","",IFERROR(IF(ISNUMBER($U223),$U223,DATEVALUE(TRIM($U223))),""))</f>
        <v/>
      </c>
      <c r="BA223">
        <f>IF($AZ223="","",IF(MONTH($AZ223)&gt;=12,"Cold Winter",IF(MONTH($AZ223)&gt;=10,"Post-Monsoon",IF(MONTH($AZ223)&gt;=6,"Hot Humid",IF(MONTH($AZ223)&gt;=3,"Hot Dry","Cold Winter")))))</f>
        <v/>
      </c>
      <c r="BB223">
        <f>IF($AU223="","",IFERROR(VLOOKUP($AU223,DECODE!$A$3:$C$8,2,FALSE),"?"))</f>
        <v/>
      </c>
      <c r="BC223">
        <f>IF($P223="","",UPPER(TRIM(LEFT($P223&amp;",",FIND(",",$P223&amp;",")-1))))</f>
        <v/>
      </c>
      <c r="BD223">
        <f>IF($BC223="","",MID($BC223,4,FIND("~",SUBSTITUTE($BC223,"-","~",2))-4))</f>
        <v/>
      </c>
      <c r="BE223">
        <f>IF($BC223="","",MID($BC223,FIND("~",SUBSTITUTE($BC223,"-","~",2))+1,FIND("~",SUBSTITUTE($BC223,"-","~",3))-FIND("~",SUBSTITUTE($BC223,"-","~",2))-1))</f>
        <v/>
      </c>
      <c r="BF223">
        <f>IF($BD223="","",IFERROR(VLOOKUP($BD223,DECODE!$A$3:$C$8,3,FALSE),"?"))</f>
        <v/>
      </c>
      <c r="BG223">
        <f>IF($BE223="","",IFERROR(VLOOKUP($BD223&amp;"-"&amp;$BE223,DECODE!$E$3:$F$21,2,FALSE),"?"))</f>
        <v/>
      </c>
      <c r="BH223">
        <f>IF($BC223="","",IFERROR(VALUE(RIGHT($BC223,3)),""))</f>
        <v/>
      </c>
      <c r="BI223">
        <f>IF($V223="","",IFERROR(IF(ISNUMBER($V223),$V223,DATEVALUE(TRIM($V223))),""))</f>
        <v/>
      </c>
      <c r="BJ223">
        <f>IF($BI223="","",IF(MONTH($BI223)&gt;=12,"Cold Winter",IF(MONTH($BI223)&gt;=10,"Post-Monsoon",IF(MONTH($BI223)&gt;=6,"Hot Humid",IF(MONTH($BI223)&gt;=3,"Hot Dry","Cold Winter")))))</f>
        <v/>
      </c>
      <c r="BK223">
        <f>IF($BD223="","",IFERROR(VLOOKUP($BD223,DECODE!$A$3:$C$8,2,FALSE),"?"))</f>
        <v/>
      </c>
      <c r="BL223">
        <f>IF($Q223="","",UPPER(TRIM(LEFT($Q223&amp;",",FIND(",",$Q223&amp;",")-1))))</f>
        <v/>
      </c>
      <c r="BM223">
        <f>IF($BL223="","",MID($BL223,4,FIND("~",SUBSTITUTE($BL223,"-","~",2))-4))</f>
        <v/>
      </c>
      <c r="BN223">
        <f>IF($BL223="","",MID($BL223,FIND("~",SUBSTITUTE($BL223,"-","~",2))+1,FIND("~",SUBSTITUTE($BL223,"-","~",3))-FIND("~",SUBSTITUTE($BL223,"-","~",2))-1))</f>
        <v/>
      </c>
      <c r="BO223">
        <f>IF($BM223="","",IFERROR(VLOOKUP($BM223,DECODE!$A$3:$C$8,3,FALSE),"?"))</f>
        <v/>
      </c>
      <c r="BP223">
        <f>IF($BN223="","",IFERROR(VLOOKUP($BM223&amp;"-"&amp;$BN223,DECODE!$E$3:$F$21,2,FALSE),"?"))</f>
        <v/>
      </c>
      <c r="BQ223">
        <f>IF($BL223="","",IFERROR(VALUE(RIGHT($BL223,3)),""))</f>
        <v/>
      </c>
      <c r="BR223">
        <f>IF($W223="","",IFERROR(IF(ISNUMBER($W223),$W223,DATEVALUE(TRIM($W223))),""))</f>
        <v/>
      </c>
      <c r="BS223">
        <f>IF($BR223="","",IF(MONTH($BR223)&gt;=12,"Cold Winter",IF(MONTH($BR223)&gt;=10,"Post-Monsoon",IF(MONTH($BR223)&gt;=6,"Hot Humid",IF(MONTH($BR223)&gt;=3,"Hot Dry","Cold Winter")))))</f>
        <v/>
      </c>
      <c r="BT223">
        <f>IF($BM223="","",IFERROR(VLOOKUP($BM223,DECODE!$A$3:$C$8,2,FALSE),"?"))</f>
        <v/>
      </c>
      <c r="BU223">
        <f>IF($R223="","",UPPER(TRIM(LEFT($R223&amp;",",FIND(",",$R223&amp;",")-1))))</f>
        <v/>
      </c>
      <c r="BV223">
        <f>IF($BU223="","",MID($BU223,4,FIND("~",SUBSTITUTE($BU223,"-","~",2))-4))</f>
        <v/>
      </c>
      <c r="BW223">
        <f>IF($BU223="","",MID($BU223,FIND("~",SUBSTITUTE($BU223,"-","~",2))+1,FIND("~",SUBSTITUTE($BU223,"-","~",3))-FIND("~",SUBSTITUTE($BU223,"-","~",2))-1))</f>
        <v/>
      </c>
      <c r="BX223">
        <f>IF($BV223="","",IFERROR(VLOOKUP($BV223,DECODE!$A$3:$C$8,3,FALSE),"?"))</f>
        <v/>
      </c>
      <c r="BY223">
        <f>IF($BW223="","",IFERROR(VLOOKUP($BV223&amp;"-"&amp;$BW223,DECODE!$E$3:$F$21,2,FALSE),"?"))</f>
        <v/>
      </c>
      <c r="BZ223">
        <f>IF($BU223="","",IFERROR(VALUE(RIGHT($BU223,3)),""))</f>
        <v/>
      </c>
      <c r="CA223">
        <f>IF($X223="","",IFERROR(IF(ISNUMBER($X223),$X223,DATEVALUE(TRIM($X223))),""))</f>
        <v/>
      </c>
      <c r="CB223">
        <f>IF($CA223="","",IF(MONTH($CA223)&gt;=12,"Cold Winter",IF(MONTH($CA223)&gt;=10,"Post-Monsoon",IF(MONTH($CA223)&gt;=6,"Hot Humid",IF(MONTH($CA223)&gt;=3,"Hot Dry","Cold Winter")))))</f>
        <v/>
      </c>
      <c r="CC223">
        <f>IF($BV223="","",IFERROR(VLOOKUP($BV223,DECODE!$A$3:$C$8,2,FALSE),"?"))</f>
        <v/>
      </c>
      <c r="CD223">
        <f>IF($S223="","",UPPER(TRIM(LEFT($S223&amp;",",FIND(",",$S223&amp;",")-1))))</f>
        <v/>
      </c>
      <c r="CE223">
        <f>IF($CD223="","",MID($CD223,4,FIND("~",SUBSTITUTE($CD223,"-","~",2))-4))</f>
        <v/>
      </c>
      <c r="CF223">
        <f>IF($CD223="","",MID($CD223,FIND("~",SUBSTITUTE($CD223,"-","~",2))+1,FIND("~",SUBSTITUTE($CD223,"-","~",3))-FIND("~",SUBSTITUTE($CD223,"-","~",2))-1))</f>
        <v/>
      </c>
      <c r="CG223">
        <f>IF($CE223="","",IFERROR(VLOOKUP($CE223,DECODE!$A$3:$C$8,3,FALSE),"?"))</f>
        <v/>
      </c>
      <c r="CH223">
        <f>IF($CF223="","",IFERROR(VLOOKUP($CE223&amp;"-"&amp;$CF223,DECODE!$E$3:$F$21,2,FALSE),"?"))</f>
        <v/>
      </c>
      <c r="CI223">
        <f>IF($CD223="","",IFERROR(VALUE(RIGHT($CD223,3)),""))</f>
        <v/>
      </c>
      <c r="CJ223">
        <f>IF($Y223="","",IFERROR(IF(ISNUMBER($Y223),$Y223,DATEVALUE(TRIM($Y223))),""))</f>
        <v/>
      </c>
      <c r="CK223">
        <f>IF($CJ223="","",IF(MONTH($CJ223)&gt;=12,"Cold Winter",IF(MONTH($CJ223)&gt;=10,"Post-Monsoon",IF(MONTH($CJ223)&gt;=6,"Hot Humid",IF(MONTH($CJ223)&gt;=3,"Hot Dry","Cold Winter")))))</f>
        <v/>
      </c>
      <c r="CL223">
        <f>IF($CE223="","",IFERROR(VLOOKUP($CE223,DECODE!$A$3:$C$8,2,FALSE),"?"))</f>
        <v/>
      </c>
      <c r="CM223">
        <f>IF($AN223="","",AN223)</f>
        <v/>
      </c>
      <c r="CN223">
        <f>IF($AO223="","",AO223)</f>
        <v/>
      </c>
      <c r="CO223">
        <f>IF($AP223="","",AP223)</f>
        <v/>
      </c>
      <c r="CP223">
        <f>IF($CM223="","",IF($CM223="Aloe Vera Gel","Aloe Vera Gel "&amp;$CO223&amp;"g",CN223&amp;" "&amp;$CO223&amp;"g"))</f>
        <v/>
      </c>
      <c r="CQ223">
        <f>IF($AT223="",0,1)</f>
        <v/>
      </c>
      <c r="CR223">
        <f>IF($CQ223=0,"",AW223)</f>
        <v/>
      </c>
      <c r="CS223">
        <f>IF($CQ223=0,"",AX223)</f>
        <v/>
      </c>
      <c r="CT223">
        <f>IF($CQ223=0,"",AY223)</f>
        <v/>
      </c>
      <c r="CU223">
        <f>IF($CR223="","",IF($CR223="Aloe Vera Gel","Aloe Vera Gel "&amp;$CT223&amp;"g",CS223&amp;" "&amp;$CT223&amp;"g"))</f>
        <v/>
      </c>
      <c r="CV223">
        <f>IF($CQ223=0,"",IF($CP223=$CU223,"Repeat Exact",IF($CT223&gt;$CO223,"Upsized",IF($CT223&lt;$CO223,"Downsized",IF($CM223&lt;&gt;$CR223,"Lateral","Same Size Diff Variant")))))</f>
        <v/>
      </c>
      <c r="CW223">
        <f>IF($CQ223=0,"",AZ223-AQ223)</f>
        <v/>
      </c>
      <c r="CX223">
        <f>IF($CQ223=0,0,IF(CS223=CN223,1,0))</f>
        <v/>
      </c>
      <c r="CY223">
        <f>IF($CQ223=0,0,IF(CR223=CM223,1,0))</f>
        <v/>
      </c>
      <c r="CZ223">
        <f>IF($A223="","",IF(AND(IF(DASHBOARD!$C$4="All",TRUE,$CM223=DASHBOARD!$C$4),IF(DASHBOARD!$C$6="All",TRUE,$CP223=DASHBOARD!$C$6),IF(DASHBOARD!$C$8="All",TRUE,$AF223&gt;=DASHBOARD!$C$8),IF(DASHBOARD!$C$10="All",TRUE,$AF223&lt;=DASHBOARD!$C$10),IF(DASHBOARD!$C$12="All",TRUE,$AH223=VALUE(DASHBOARD!$C$12)),IF(DASHBOARD!$C$14="All",TRUE,$AJ223=DASHBOARD!$C$14)),1,0))</f>
        <v/>
      </c>
    </row>
    <row r="224">
      <c r="A224" t="n">
        <v>140736</v>
      </c>
      <c r="B224" t="inlineStr">
        <is>
          <t>Face Malai</t>
        </is>
      </c>
      <c r="H224" t="inlineStr">
        <is>
          <t>Tomato Rosehip (Hot Dry) 20 - 35 Yrs Face Malai - 30g</t>
        </is>
      </c>
      <c r="N224" t="inlineStr">
        <is>
          <t>FC-HDDM-TR-030</t>
        </is>
      </c>
      <c r="T224" t="inlineStr">
        <is>
          <t>Apr 18, 2025</t>
        </is>
      </c>
      <c r="AE224" t="inlineStr">
        <is>
          <t>Vadodara</t>
        </is>
      </c>
      <c r="AF224" t="inlineStr">
        <is>
          <t>2025-04</t>
        </is>
      </c>
      <c r="AG224" t="n">
        <v>4</v>
      </c>
      <c r="AH224" t="n">
        <v>1</v>
      </c>
      <c r="AI224" t="n">
        <v>0</v>
      </c>
      <c r="AJ224">
        <f>IF($AE224="","",IFERROR(VLOOKUP(TRIM($AE224),DECODE!$H$3:$I$60,2,FALSE),"Rest of India"))</f>
        <v/>
      </c>
      <c r="AK224">
        <f>IF($N224="","",UPPER(TRIM(LEFT($N224&amp;",",FIND(",",$N224&amp;",")-1))))</f>
        <v/>
      </c>
      <c r="AL224">
        <f>IF($AK224="","",MID($AK224,4,FIND("~",SUBSTITUTE($AK224,"-","~",2))-4))</f>
        <v/>
      </c>
      <c r="AM224">
        <f>IF($AK224="","",MID($AK224,FIND("~",SUBSTITUTE($AK224,"-","~",2))+1,FIND("~",SUBSTITUTE($AK224,"-","~",3))-FIND("~",SUBSTITUTE($AK224,"-","~",2))-1))</f>
        <v/>
      </c>
      <c r="AN224">
        <f>IF($AL224="","",IFERROR(VLOOKUP($AL224,DECODE!$A$3:$C$8,3,FALSE),"?"))</f>
        <v/>
      </c>
      <c r="AO224">
        <f>IF($AM224="","",IFERROR(VLOOKUP($AL224&amp;"-"&amp;$AM224,DECODE!$E$3:$F$21,2,FALSE),"?"))</f>
        <v/>
      </c>
      <c r="AP224">
        <f>IF($AK224="","",IFERROR(VALUE(RIGHT($AK224,3)),""))</f>
        <v/>
      </c>
      <c r="AQ224">
        <f>IF($T224="","",IFERROR(IF(ISNUMBER($T224),$T224,DATEVALUE(TRIM($T224))),""))</f>
        <v/>
      </c>
      <c r="AR224">
        <f>IF($AQ224="","",IF(MONTH($AQ224)&gt;=12,"Cold Winter",IF(MONTH($AQ224)&gt;=10,"Post-Monsoon",IF(MONTH($AQ224)&gt;=6,"Hot Humid",IF(MONTH($AQ224)&gt;=3,"Hot Dry","Cold Winter")))))</f>
        <v/>
      </c>
      <c r="AS224">
        <f>IF($AL224="","",IFERROR(VLOOKUP($AL224,DECODE!$A$3:$C$8,2,FALSE),"?"))</f>
        <v/>
      </c>
      <c r="AT224">
        <f>IF($O224="","",UPPER(TRIM(LEFT($O224&amp;",",FIND(",",$O224&amp;",")-1))))</f>
        <v/>
      </c>
      <c r="AU224">
        <f>IF($AT224="","",MID($AT224,4,FIND("~",SUBSTITUTE($AT224,"-","~",2))-4))</f>
        <v/>
      </c>
      <c r="AV224">
        <f>IF($AT224="","",MID($AT224,FIND("~",SUBSTITUTE($AT224,"-","~",2))+1,FIND("~",SUBSTITUTE($AT224,"-","~",3))-FIND("~",SUBSTITUTE($AT224,"-","~",2))-1))</f>
        <v/>
      </c>
      <c r="AW224">
        <f>IF($AU224="","",IFERROR(VLOOKUP($AU224,DECODE!$A$3:$C$8,3,FALSE),"?"))</f>
        <v/>
      </c>
      <c r="AX224">
        <f>IF($AV224="","",IFERROR(VLOOKUP($AU224&amp;"-"&amp;$AV224,DECODE!$E$3:$F$21,2,FALSE),"?"))</f>
        <v/>
      </c>
      <c r="AY224">
        <f>IF($AT224="","",IFERROR(VALUE(RIGHT($AT224,3)),""))</f>
        <v/>
      </c>
      <c r="AZ224">
        <f>IF($U224="","",IFERROR(IF(ISNUMBER($U224),$U224,DATEVALUE(TRIM($U224))),""))</f>
        <v/>
      </c>
      <c r="BA224">
        <f>IF($AZ224="","",IF(MONTH($AZ224)&gt;=12,"Cold Winter",IF(MONTH($AZ224)&gt;=10,"Post-Monsoon",IF(MONTH($AZ224)&gt;=6,"Hot Humid",IF(MONTH($AZ224)&gt;=3,"Hot Dry","Cold Winter")))))</f>
        <v/>
      </c>
      <c r="BB224">
        <f>IF($AU224="","",IFERROR(VLOOKUP($AU224,DECODE!$A$3:$C$8,2,FALSE),"?"))</f>
        <v/>
      </c>
      <c r="BC224">
        <f>IF($P224="","",UPPER(TRIM(LEFT($P224&amp;",",FIND(",",$P224&amp;",")-1))))</f>
        <v/>
      </c>
      <c r="BD224">
        <f>IF($BC224="","",MID($BC224,4,FIND("~",SUBSTITUTE($BC224,"-","~",2))-4))</f>
        <v/>
      </c>
      <c r="BE224">
        <f>IF($BC224="","",MID($BC224,FIND("~",SUBSTITUTE($BC224,"-","~",2))+1,FIND("~",SUBSTITUTE($BC224,"-","~",3))-FIND("~",SUBSTITUTE($BC224,"-","~",2))-1))</f>
        <v/>
      </c>
      <c r="BF224">
        <f>IF($BD224="","",IFERROR(VLOOKUP($BD224,DECODE!$A$3:$C$8,3,FALSE),"?"))</f>
        <v/>
      </c>
      <c r="BG224">
        <f>IF($BE224="","",IFERROR(VLOOKUP($BD224&amp;"-"&amp;$BE224,DECODE!$E$3:$F$21,2,FALSE),"?"))</f>
        <v/>
      </c>
      <c r="BH224">
        <f>IF($BC224="","",IFERROR(VALUE(RIGHT($BC224,3)),""))</f>
        <v/>
      </c>
      <c r="BI224">
        <f>IF($V224="","",IFERROR(IF(ISNUMBER($V224),$V224,DATEVALUE(TRIM($V224))),""))</f>
        <v/>
      </c>
      <c r="BJ224">
        <f>IF($BI224="","",IF(MONTH($BI224)&gt;=12,"Cold Winter",IF(MONTH($BI224)&gt;=10,"Post-Monsoon",IF(MONTH($BI224)&gt;=6,"Hot Humid",IF(MONTH($BI224)&gt;=3,"Hot Dry","Cold Winter")))))</f>
        <v/>
      </c>
      <c r="BK224">
        <f>IF($BD224="","",IFERROR(VLOOKUP($BD224,DECODE!$A$3:$C$8,2,FALSE),"?"))</f>
        <v/>
      </c>
      <c r="BL224">
        <f>IF($Q224="","",UPPER(TRIM(LEFT($Q224&amp;",",FIND(",",$Q224&amp;",")-1))))</f>
        <v/>
      </c>
      <c r="BM224">
        <f>IF($BL224="","",MID($BL224,4,FIND("~",SUBSTITUTE($BL224,"-","~",2))-4))</f>
        <v/>
      </c>
      <c r="BN224">
        <f>IF($BL224="","",MID($BL224,FIND("~",SUBSTITUTE($BL224,"-","~",2))+1,FIND("~",SUBSTITUTE($BL224,"-","~",3))-FIND("~",SUBSTITUTE($BL224,"-","~",2))-1))</f>
        <v/>
      </c>
      <c r="BO224">
        <f>IF($BM224="","",IFERROR(VLOOKUP($BM224,DECODE!$A$3:$C$8,3,FALSE),"?"))</f>
        <v/>
      </c>
      <c r="BP224">
        <f>IF($BN224="","",IFERROR(VLOOKUP($BM224&amp;"-"&amp;$BN224,DECODE!$E$3:$F$21,2,FALSE),"?"))</f>
        <v/>
      </c>
      <c r="BQ224">
        <f>IF($BL224="","",IFERROR(VALUE(RIGHT($BL224,3)),""))</f>
        <v/>
      </c>
      <c r="BR224">
        <f>IF($W224="","",IFERROR(IF(ISNUMBER($W224),$W224,DATEVALUE(TRIM($W224))),""))</f>
        <v/>
      </c>
      <c r="BS224">
        <f>IF($BR224="","",IF(MONTH($BR224)&gt;=12,"Cold Winter",IF(MONTH($BR224)&gt;=10,"Post-Monsoon",IF(MONTH($BR224)&gt;=6,"Hot Humid",IF(MONTH($BR224)&gt;=3,"Hot Dry","Cold Winter")))))</f>
        <v/>
      </c>
      <c r="BT224">
        <f>IF($BM224="","",IFERROR(VLOOKUP($BM224,DECODE!$A$3:$C$8,2,FALSE),"?"))</f>
        <v/>
      </c>
      <c r="BU224">
        <f>IF($R224="","",UPPER(TRIM(LEFT($R224&amp;",",FIND(",",$R224&amp;",")-1))))</f>
        <v/>
      </c>
      <c r="BV224">
        <f>IF($BU224="","",MID($BU224,4,FIND("~",SUBSTITUTE($BU224,"-","~",2))-4))</f>
        <v/>
      </c>
      <c r="BW224">
        <f>IF($BU224="","",MID($BU224,FIND("~",SUBSTITUTE($BU224,"-","~",2))+1,FIND("~",SUBSTITUTE($BU224,"-","~",3))-FIND("~",SUBSTITUTE($BU224,"-","~",2))-1))</f>
        <v/>
      </c>
      <c r="BX224">
        <f>IF($BV224="","",IFERROR(VLOOKUP($BV224,DECODE!$A$3:$C$8,3,FALSE),"?"))</f>
        <v/>
      </c>
      <c r="BY224">
        <f>IF($BW224="","",IFERROR(VLOOKUP($BV224&amp;"-"&amp;$BW224,DECODE!$E$3:$F$21,2,FALSE),"?"))</f>
        <v/>
      </c>
      <c r="BZ224">
        <f>IF($BU224="","",IFERROR(VALUE(RIGHT($BU224,3)),""))</f>
        <v/>
      </c>
      <c r="CA224">
        <f>IF($X224="","",IFERROR(IF(ISNUMBER($X224),$X224,DATEVALUE(TRIM($X224))),""))</f>
        <v/>
      </c>
      <c r="CB224">
        <f>IF($CA224="","",IF(MONTH($CA224)&gt;=12,"Cold Winter",IF(MONTH($CA224)&gt;=10,"Post-Monsoon",IF(MONTH($CA224)&gt;=6,"Hot Humid",IF(MONTH($CA224)&gt;=3,"Hot Dry","Cold Winter")))))</f>
        <v/>
      </c>
      <c r="CC224">
        <f>IF($BV224="","",IFERROR(VLOOKUP($BV224,DECODE!$A$3:$C$8,2,FALSE),"?"))</f>
        <v/>
      </c>
      <c r="CD224">
        <f>IF($S224="","",UPPER(TRIM(LEFT($S224&amp;",",FIND(",",$S224&amp;",")-1))))</f>
        <v/>
      </c>
      <c r="CE224">
        <f>IF($CD224="","",MID($CD224,4,FIND("~",SUBSTITUTE($CD224,"-","~",2))-4))</f>
        <v/>
      </c>
      <c r="CF224">
        <f>IF($CD224="","",MID($CD224,FIND("~",SUBSTITUTE($CD224,"-","~",2))+1,FIND("~",SUBSTITUTE($CD224,"-","~",3))-FIND("~",SUBSTITUTE($CD224,"-","~",2))-1))</f>
        <v/>
      </c>
      <c r="CG224">
        <f>IF($CE224="","",IFERROR(VLOOKUP($CE224,DECODE!$A$3:$C$8,3,FALSE),"?"))</f>
        <v/>
      </c>
      <c r="CH224">
        <f>IF($CF224="","",IFERROR(VLOOKUP($CE224&amp;"-"&amp;$CF224,DECODE!$E$3:$F$21,2,FALSE),"?"))</f>
        <v/>
      </c>
      <c r="CI224">
        <f>IF($CD224="","",IFERROR(VALUE(RIGHT($CD224,3)),""))</f>
        <v/>
      </c>
      <c r="CJ224">
        <f>IF($Y224="","",IFERROR(IF(ISNUMBER($Y224),$Y224,DATEVALUE(TRIM($Y224))),""))</f>
        <v/>
      </c>
      <c r="CK224">
        <f>IF($CJ224="","",IF(MONTH($CJ224)&gt;=12,"Cold Winter",IF(MONTH($CJ224)&gt;=10,"Post-Monsoon",IF(MONTH($CJ224)&gt;=6,"Hot Humid",IF(MONTH($CJ224)&gt;=3,"Hot Dry","Cold Winter")))))</f>
        <v/>
      </c>
      <c r="CL224">
        <f>IF($CE224="","",IFERROR(VLOOKUP($CE224,DECODE!$A$3:$C$8,2,FALSE),"?"))</f>
        <v/>
      </c>
      <c r="CM224">
        <f>IF($AN224="","",AN224)</f>
        <v/>
      </c>
      <c r="CN224">
        <f>IF($AO224="","",AO224)</f>
        <v/>
      </c>
      <c r="CO224">
        <f>IF($AP224="","",AP224)</f>
        <v/>
      </c>
      <c r="CP224">
        <f>IF($CM224="","",IF($CM224="Aloe Vera Gel","Aloe Vera Gel "&amp;$CO224&amp;"g",CN224&amp;" "&amp;$CO224&amp;"g"))</f>
        <v/>
      </c>
      <c r="CQ224">
        <f>IF($AT224="",0,1)</f>
        <v/>
      </c>
      <c r="CR224">
        <f>IF($CQ224=0,"",AW224)</f>
        <v/>
      </c>
      <c r="CS224">
        <f>IF($CQ224=0,"",AX224)</f>
        <v/>
      </c>
      <c r="CT224">
        <f>IF($CQ224=0,"",AY224)</f>
        <v/>
      </c>
      <c r="CU224">
        <f>IF($CR224="","",IF($CR224="Aloe Vera Gel","Aloe Vera Gel "&amp;$CT224&amp;"g",CS224&amp;" "&amp;$CT224&amp;"g"))</f>
        <v/>
      </c>
      <c r="CV224">
        <f>IF($CQ224=0,"",IF($CP224=$CU224,"Repeat Exact",IF($CT224&gt;$CO224,"Upsized",IF($CT224&lt;$CO224,"Downsized",IF($CM224&lt;&gt;$CR224,"Lateral","Same Size Diff Variant")))))</f>
        <v/>
      </c>
      <c r="CW224">
        <f>IF($CQ224=0,"",AZ224-AQ224)</f>
        <v/>
      </c>
      <c r="CX224">
        <f>IF($CQ224=0,0,IF(CS224=CN224,1,0))</f>
        <v/>
      </c>
      <c r="CY224">
        <f>IF($CQ224=0,0,IF(CR224=CM224,1,0))</f>
        <v/>
      </c>
      <c r="CZ224">
        <f>IF($A224="","",IF(AND(IF(DASHBOARD!$C$4="All",TRUE,$CM224=DASHBOARD!$C$4),IF(DASHBOARD!$C$6="All",TRUE,$CP224=DASHBOARD!$C$6),IF(DASHBOARD!$C$8="All",TRUE,$AF224&gt;=DASHBOARD!$C$8),IF(DASHBOARD!$C$10="All",TRUE,$AF224&lt;=DASHBOARD!$C$10),IF(DASHBOARD!$C$12="All",TRUE,$AH224=VALUE(DASHBOARD!$C$12)),IF(DASHBOARD!$C$14="All",TRUE,$AJ224=DASHBOARD!$C$14)),1,0))</f>
        <v/>
      </c>
    </row>
    <row r="225">
      <c r="A225" t="n">
        <v>140841</v>
      </c>
      <c r="B225" t="inlineStr">
        <is>
          <t>Face Malai</t>
        </is>
      </c>
      <c r="H225" t="inlineStr">
        <is>
          <t>Flax Walnut (Cold) 35+ Face Malai, Cocoa Mogra (Overnight) Face Malai - 30g</t>
        </is>
      </c>
      <c r="N225" t="inlineStr">
        <is>
          <t>FC-CWDM-FW-030, FC-DM-NR-030</t>
        </is>
      </c>
      <c r="T225" t="inlineStr">
        <is>
          <t>Jan 10, 2025</t>
        </is>
      </c>
      <c r="AE225" t="inlineStr">
        <is>
          <t>Hyderabad</t>
        </is>
      </c>
      <c r="AF225" t="inlineStr">
        <is>
          <t>2025-01</t>
        </is>
      </c>
      <c r="AG225" t="n">
        <v>1</v>
      </c>
      <c r="AH225" t="n">
        <v>1</v>
      </c>
      <c r="AI225" t="n">
        <v>0</v>
      </c>
      <c r="AJ225">
        <f>IF($AE225="","",IFERROR(VLOOKUP(TRIM($AE225),DECODE!$H$3:$I$60,2,FALSE),"Rest of India"))</f>
        <v/>
      </c>
      <c r="AK225">
        <f>IF($N225="","",UPPER(TRIM(LEFT($N225&amp;",",FIND(",",$N225&amp;",")-1))))</f>
        <v/>
      </c>
      <c r="AL225">
        <f>IF($AK225="","",MID($AK225,4,FIND("~",SUBSTITUTE($AK225,"-","~",2))-4))</f>
        <v/>
      </c>
      <c r="AM225">
        <f>IF($AK225="","",MID($AK225,FIND("~",SUBSTITUTE($AK225,"-","~",2))+1,FIND("~",SUBSTITUTE($AK225,"-","~",3))-FIND("~",SUBSTITUTE($AK225,"-","~",2))-1))</f>
        <v/>
      </c>
      <c r="AN225">
        <f>IF($AL225="","",IFERROR(VLOOKUP($AL225,DECODE!$A$3:$C$8,3,FALSE),"?"))</f>
        <v/>
      </c>
      <c r="AO225">
        <f>IF($AM225="","",IFERROR(VLOOKUP($AL225&amp;"-"&amp;$AM225,DECODE!$E$3:$F$21,2,FALSE),"?"))</f>
        <v/>
      </c>
      <c r="AP225">
        <f>IF($AK225="","",IFERROR(VALUE(RIGHT($AK225,3)),""))</f>
        <v/>
      </c>
      <c r="AQ225">
        <f>IF($T225="","",IFERROR(IF(ISNUMBER($T225),$T225,DATEVALUE(TRIM($T225))),""))</f>
        <v/>
      </c>
      <c r="AR225">
        <f>IF($AQ225="","",IF(MONTH($AQ225)&gt;=12,"Cold Winter",IF(MONTH($AQ225)&gt;=10,"Post-Monsoon",IF(MONTH($AQ225)&gt;=6,"Hot Humid",IF(MONTH($AQ225)&gt;=3,"Hot Dry","Cold Winter")))))</f>
        <v/>
      </c>
      <c r="AS225">
        <f>IF($AL225="","",IFERROR(VLOOKUP($AL225,DECODE!$A$3:$C$8,2,FALSE),"?"))</f>
        <v/>
      </c>
      <c r="AT225">
        <f>IF($O225="","",UPPER(TRIM(LEFT($O225&amp;",",FIND(",",$O225&amp;",")-1))))</f>
        <v/>
      </c>
      <c r="AU225">
        <f>IF($AT225="","",MID($AT225,4,FIND("~",SUBSTITUTE($AT225,"-","~",2))-4))</f>
        <v/>
      </c>
      <c r="AV225">
        <f>IF($AT225="","",MID($AT225,FIND("~",SUBSTITUTE($AT225,"-","~",2))+1,FIND("~",SUBSTITUTE($AT225,"-","~",3))-FIND("~",SUBSTITUTE($AT225,"-","~",2))-1))</f>
        <v/>
      </c>
      <c r="AW225">
        <f>IF($AU225="","",IFERROR(VLOOKUP($AU225,DECODE!$A$3:$C$8,3,FALSE),"?"))</f>
        <v/>
      </c>
      <c r="AX225">
        <f>IF($AV225="","",IFERROR(VLOOKUP($AU225&amp;"-"&amp;$AV225,DECODE!$E$3:$F$21,2,FALSE),"?"))</f>
        <v/>
      </c>
      <c r="AY225">
        <f>IF($AT225="","",IFERROR(VALUE(RIGHT($AT225,3)),""))</f>
        <v/>
      </c>
      <c r="AZ225">
        <f>IF($U225="","",IFERROR(IF(ISNUMBER($U225),$U225,DATEVALUE(TRIM($U225))),""))</f>
        <v/>
      </c>
      <c r="BA225">
        <f>IF($AZ225="","",IF(MONTH($AZ225)&gt;=12,"Cold Winter",IF(MONTH($AZ225)&gt;=10,"Post-Monsoon",IF(MONTH($AZ225)&gt;=6,"Hot Humid",IF(MONTH($AZ225)&gt;=3,"Hot Dry","Cold Winter")))))</f>
        <v/>
      </c>
      <c r="BB225">
        <f>IF($AU225="","",IFERROR(VLOOKUP($AU225,DECODE!$A$3:$C$8,2,FALSE),"?"))</f>
        <v/>
      </c>
      <c r="BC225">
        <f>IF($P225="","",UPPER(TRIM(LEFT($P225&amp;",",FIND(",",$P225&amp;",")-1))))</f>
        <v/>
      </c>
      <c r="BD225">
        <f>IF($BC225="","",MID($BC225,4,FIND("~",SUBSTITUTE($BC225,"-","~",2))-4))</f>
        <v/>
      </c>
      <c r="BE225">
        <f>IF($BC225="","",MID($BC225,FIND("~",SUBSTITUTE($BC225,"-","~",2))+1,FIND("~",SUBSTITUTE($BC225,"-","~",3))-FIND("~",SUBSTITUTE($BC225,"-","~",2))-1))</f>
        <v/>
      </c>
      <c r="BF225">
        <f>IF($BD225="","",IFERROR(VLOOKUP($BD225,DECODE!$A$3:$C$8,3,FALSE),"?"))</f>
        <v/>
      </c>
      <c r="BG225">
        <f>IF($BE225="","",IFERROR(VLOOKUP($BD225&amp;"-"&amp;$BE225,DECODE!$E$3:$F$21,2,FALSE),"?"))</f>
        <v/>
      </c>
      <c r="BH225">
        <f>IF($BC225="","",IFERROR(VALUE(RIGHT($BC225,3)),""))</f>
        <v/>
      </c>
      <c r="BI225">
        <f>IF($V225="","",IFERROR(IF(ISNUMBER($V225),$V225,DATEVALUE(TRIM($V225))),""))</f>
        <v/>
      </c>
      <c r="BJ225">
        <f>IF($BI225="","",IF(MONTH($BI225)&gt;=12,"Cold Winter",IF(MONTH($BI225)&gt;=10,"Post-Monsoon",IF(MONTH($BI225)&gt;=6,"Hot Humid",IF(MONTH($BI225)&gt;=3,"Hot Dry","Cold Winter")))))</f>
        <v/>
      </c>
      <c r="BK225">
        <f>IF($BD225="","",IFERROR(VLOOKUP($BD225,DECODE!$A$3:$C$8,2,FALSE),"?"))</f>
        <v/>
      </c>
      <c r="BL225">
        <f>IF($Q225="","",UPPER(TRIM(LEFT($Q225&amp;",",FIND(",",$Q225&amp;",")-1))))</f>
        <v/>
      </c>
      <c r="BM225">
        <f>IF($BL225="","",MID($BL225,4,FIND("~",SUBSTITUTE($BL225,"-","~",2))-4))</f>
        <v/>
      </c>
      <c r="BN225">
        <f>IF($BL225="","",MID($BL225,FIND("~",SUBSTITUTE($BL225,"-","~",2))+1,FIND("~",SUBSTITUTE($BL225,"-","~",3))-FIND("~",SUBSTITUTE($BL225,"-","~",2))-1))</f>
        <v/>
      </c>
      <c r="BO225">
        <f>IF($BM225="","",IFERROR(VLOOKUP($BM225,DECODE!$A$3:$C$8,3,FALSE),"?"))</f>
        <v/>
      </c>
      <c r="BP225">
        <f>IF($BN225="","",IFERROR(VLOOKUP($BM225&amp;"-"&amp;$BN225,DECODE!$E$3:$F$21,2,FALSE),"?"))</f>
        <v/>
      </c>
      <c r="BQ225">
        <f>IF($BL225="","",IFERROR(VALUE(RIGHT($BL225,3)),""))</f>
        <v/>
      </c>
      <c r="BR225">
        <f>IF($W225="","",IFERROR(IF(ISNUMBER($W225),$W225,DATEVALUE(TRIM($W225))),""))</f>
        <v/>
      </c>
      <c r="BS225">
        <f>IF($BR225="","",IF(MONTH($BR225)&gt;=12,"Cold Winter",IF(MONTH($BR225)&gt;=10,"Post-Monsoon",IF(MONTH($BR225)&gt;=6,"Hot Humid",IF(MONTH($BR225)&gt;=3,"Hot Dry","Cold Winter")))))</f>
        <v/>
      </c>
      <c r="BT225">
        <f>IF($BM225="","",IFERROR(VLOOKUP($BM225,DECODE!$A$3:$C$8,2,FALSE),"?"))</f>
        <v/>
      </c>
      <c r="BU225">
        <f>IF($R225="","",UPPER(TRIM(LEFT($R225&amp;",",FIND(",",$R225&amp;",")-1))))</f>
        <v/>
      </c>
      <c r="BV225">
        <f>IF($BU225="","",MID($BU225,4,FIND("~",SUBSTITUTE($BU225,"-","~",2))-4))</f>
        <v/>
      </c>
      <c r="BW225">
        <f>IF($BU225="","",MID($BU225,FIND("~",SUBSTITUTE($BU225,"-","~",2))+1,FIND("~",SUBSTITUTE($BU225,"-","~",3))-FIND("~",SUBSTITUTE($BU225,"-","~",2))-1))</f>
        <v/>
      </c>
      <c r="BX225">
        <f>IF($BV225="","",IFERROR(VLOOKUP($BV225,DECODE!$A$3:$C$8,3,FALSE),"?"))</f>
        <v/>
      </c>
      <c r="BY225">
        <f>IF($BW225="","",IFERROR(VLOOKUP($BV225&amp;"-"&amp;$BW225,DECODE!$E$3:$F$21,2,FALSE),"?"))</f>
        <v/>
      </c>
      <c r="BZ225">
        <f>IF($BU225="","",IFERROR(VALUE(RIGHT($BU225,3)),""))</f>
        <v/>
      </c>
      <c r="CA225">
        <f>IF($X225="","",IFERROR(IF(ISNUMBER($X225),$X225,DATEVALUE(TRIM($X225))),""))</f>
        <v/>
      </c>
      <c r="CB225">
        <f>IF($CA225="","",IF(MONTH($CA225)&gt;=12,"Cold Winter",IF(MONTH($CA225)&gt;=10,"Post-Monsoon",IF(MONTH($CA225)&gt;=6,"Hot Humid",IF(MONTH($CA225)&gt;=3,"Hot Dry","Cold Winter")))))</f>
        <v/>
      </c>
      <c r="CC225">
        <f>IF($BV225="","",IFERROR(VLOOKUP($BV225,DECODE!$A$3:$C$8,2,FALSE),"?"))</f>
        <v/>
      </c>
      <c r="CD225">
        <f>IF($S225="","",UPPER(TRIM(LEFT($S225&amp;",",FIND(",",$S225&amp;",")-1))))</f>
        <v/>
      </c>
      <c r="CE225">
        <f>IF($CD225="","",MID($CD225,4,FIND("~",SUBSTITUTE($CD225,"-","~",2))-4))</f>
        <v/>
      </c>
      <c r="CF225">
        <f>IF($CD225="","",MID($CD225,FIND("~",SUBSTITUTE($CD225,"-","~",2))+1,FIND("~",SUBSTITUTE($CD225,"-","~",3))-FIND("~",SUBSTITUTE($CD225,"-","~",2))-1))</f>
        <v/>
      </c>
      <c r="CG225">
        <f>IF($CE225="","",IFERROR(VLOOKUP($CE225,DECODE!$A$3:$C$8,3,FALSE),"?"))</f>
        <v/>
      </c>
      <c r="CH225">
        <f>IF($CF225="","",IFERROR(VLOOKUP($CE225&amp;"-"&amp;$CF225,DECODE!$E$3:$F$21,2,FALSE),"?"))</f>
        <v/>
      </c>
      <c r="CI225">
        <f>IF($CD225="","",IFERROR(VALUE(RIGHT($CD225,3)),""))</f>
        <v/>
      </c>
      <c r="CJ225">
        <f>IF($Y225="","",IFERROR(IF(ISNUMBER($Y225),$Y225,DATEVALUE(TRIM($Y225))),""))</f>
        <v/>
      </c>
      <c r="CK225">
        <f>IF($CJ225="","",IF(MONTH($CJ225)&gt;=12,"Cold Winter",IF(MONTH($CJ225)&gt;=10,"Post-Monsoon",IF(MONTH($CJ225)&gt;=6,"Hot Humid",IF(MONTH($CJ225)&gt;=3,"Hot Dry","Cold Winter")))))</f>
        <v/>
      </c>
      <c r="CL225">
        <f>IF($CE225="","",IFERROR(VLOOKUP($CE225,DECODE!$A$3:$C$8,2,FALSE),"?"))</f>
        <v/>
      </c>
      <c r="CM225">
        <f>IF($AN225="","",AN225)</f>
        <v/>
      </c>
      <c r="CN225">
        <f>IF($AO225="","",AO225)</f>
        <v/>
      </c>
      <c r="CO225">
        <f>IF($AP225="","",AP225)</f>
        <v/>
      </c>
      <c r="CP225">
        <f>IF($CM225="","",IF($CM225="Aloe Vera Gel","Aloe Vera Gel "&amp;$CO225&amp;"g",CN225&amp;" "&amp;$CO225&amp;"g"))</f>
        <v/>
      </c>
      <c r="CQ225">
        <f>IF($AT225="",0,1)</f>
        <v/>
      </c>
      <c r="CR225">
        <f>IF($CQ225=0,"",AW225)</f>
        <v/>
      </c>
      <c r="CS225">
        <f>IF($CQ225=0,"",AX225)</f>
        <v/>
      </c>
      <c r="CT225">
        <f>IF($CQ225=0,"",AY225)</f>
        <v/>
      </c>
      <c r="CU225">
        <f>IF($CR225="","",IF($CR225="Aloe Vera Gel","Aloe Vera Gel "&amp;$CT225&amp;"g",CS225&amp;" "&amp;$CT225&amp;"g"))</f>
        <v/>
      </c>
      <c r="CV225">
        <f>IF($CQ225=0,"",IF($CP225=$CU225,"Repeat Exact",IF($CT225&gt;$CO225,"Upsized",IF($CT225&lt;$CO225,"Downsized",IF($CM225&lt;&gt;$CR225,"Lateral","Same Size Diff Variant")))))</f>
        <v/>
      </c>
      <c r="CW225">
        <f>IF($CQ225=0,"",AZ225-AQ225)</f>
        <v/>
      </c>
      <c r="CX225">
        <f>IF($CQ225=0,0,IF(CS225=CN225,1,0))</f>
        <v/>
      </c>
      <c r="CY225">
        <f>IF($CQ225=0,0,IF(CR225=CM225,1,0))</f>
        <v/>
      </c>
      <c r="CZ225">
        <f>IF($A225="","",IF(AND(IF(DASHBOARD!$C$4="All",TRUE,$CM225=DASHBOARD!$C$4),IF(DASHBOARD!$C$6="All",TRUE,$CP225=DASHBOARD!$C$6),IF(DASHBOARD!$C$8="All",TRUE,$AF225&gt;=DASHBOARD!$C$8),IF(DASHBOARD!$C$10="All",TRUE,$AF225&lt;=DASHBOARD!$C$10),IF(DASHBOARD!$C$12="All",TRUE,$AH225=VALUE(DASHBOARD!$C$12)),IF(DASHBOARD!$C$14="All",TRUE,$AJ225=DASHBOARD!$C$14)),1,0))</f>
        <v/>
      </c>
    </row>
    <row r="226">
      <c r="A226" t="n">
        <v>140868</v>
      </c>
      <c r="B226" t="inlineStr">
        <is>
          <t>Face Malai</t>
        </is>
      </c>
      <c r="H226" t="inlineStr">
        <is>
          <t>Tomato Vetiver (Hot Humid) 20 - 35 Yrs Face Malai, Flax Carrot (Hot Humid) 35+ Face Malai - 50g</t>
        </is>
      </c>
      <c r="N226" t="inlineStr">
        <is>
          <t>FC-HHDM-TV-030, FC-HHDM-FC-050</t>
        </is>
      </c>
      <c r="T226" t="inlineStr">
        <is>
          <t>Jun 21, 2025</t>
        </is>
      </c>
      <c r="AE226" t="inlineStr">
        <is>
          <t>Nagaon</t>
        </is>
      </c>
      <c r="AF226" t="inlineStr">
        <is>
          <t>2025-06</t>
        </is>
      </c>
      <c r="AG226" t="n">
        <v>6</v>
      </c>
      <c r="AH226" t="n">
        <v>1</v>
      </c>
      <c r="AI226" t="n">
        <v>0</v>
      </c>
      <c r="AJ226">
        <f>IF($AE226="","",IFERROR(VLOOKUP(TRIM($AE226),DECODE!$H$3:$I$60,2,FALSE),"Rest of India"))</f>
        <v/>
      </c>
      <c r="AK226">
        <f>IF($N226="","",UPPER(TRIM(LEFT($N226&amp;",",FIND(",",$N226&amp;",")-1))))</f>
        <v/>
      </c>
      <c r="AL226">
        <f>IF($AK226="","",MID($AK226,4,FIND("~",SUBSTITUTE($AK226,"-","~",2))-4))</f>
        <v/>
      </c>
      <c r="AM226">
        <f>IF($AK226="","",MID($AK226,FIND("~",SUBSTITUTE($AK226,"-","~",2))+1,FIND("~",SUBSTITUTE($AK226,"-","~",3))-FIND("~",SUBSTITUTE($AK226,"-","~",2))-1))</f>
        <v/>
      </c>
      <c r="AN226">
        <f>IF($AL226="","",IFERROR(VLOOKUP($AL226,DECODE!$A$3:$C$8,3,FALSE),"?"))</f>
        <v/>
      </c>
      <c r="AO226">
        <f>IF($AM226="","",IFERROR(VLOOKUP($AL226&amp;"-"&amp;$AM226,DECODE!$E$3:$F$21,2,FALSE),"?"))</f>
        <v/>
      </c>
      <c r="AP226">
        <f>IF($AK226="","",IFERROR(VALUE(RIGHT($AK226,3)),""))</f>
        <v/>
      </c>
      <c r="AQ226">
        <f>IF($T226="","",IFERROR(IF(ISNUMBER($T226),$T226,DATEVALUE(TRIM($T226))),""))</f>
        <v/>
      </c>
      <c r="AR226">
        <f>IF($AQ226="","",IF(MONTH($AQ226)&gt;=12,"Cold Winter",IF(MONTH($AQ226)&gt;=10,"Post-Monsoon",IF(MONTH($AQ226)&gt;=6,"Hot Humid",IF(MONTH($AQ226)&gt;=3,"Hot Dry","Cold Winter")))))</f>
        <v/>
      </c>
      <c r="AS226">
        <f>IF($AL226="","",IFERROR(VLOOKUP($AL226,DECODE!$A$3:$C$8,2,FALSE),"?"))</f>
        <v/>
      </c>
      <c r="AT226">
        <f>IF($O226="","",UPPER(TRIM(LEFT($O226&amp;",",FIND(",",$O226&amp;",")-1))))</f>
        <v/>
      </c>
      <c r="AU226">
        <f>IF($AT226="","",MID($AT226,4,FIND("~",SUBSTITUTE($AT226,"-","~",2))-4))</f>
        <v/>
      </c>
      <c r="AV226">
        <f>IF($AT226="","",MID($AT226,FIND("~",SUBSTITUTE($AT226,"-","~",2))+1,FIND("~",SUBSTITUTE($AT226,"-","~",3))-FIND("~",SUBSTITUTE($AT226,"-","~",2))-1))</f>
        <v/>
      </c>
      <c r="AW226">
        <f>IF($AU226="","",IFERROR(VLOOKUP($AU226,DECODE!$A$3:$C$8,3,FALSE),"?"))</f>
        <v/>
      </c>
      <c r="AX226">
        <f>IF($AV226="","",IFERROR(VLOOKUP($AU226&amp;"-"&amp;$AV226,DECODE!$E$3:$F$21,2,FALSE),"?"))</f>
        <v/>
      </c>
      <c r="AY226">
        <f>IF($AT226="","",IFERROR(VALUE(RIGHT($AT226,3)),""))</f>
        <v/>
      </c>
      <c r="AZ226">
        <f>IF($U226="","",IFERROR(IF(ISNUMBER($U226),$U226,DATEVALUE(TRIM($U226))),""))</f>
        <v/>
      </c>
      <c r="BA226">
        <f>IF($AZ226="","",IF(MONTH($AZ226)&gt;=12,"Cold Winter",IF(MONTH($AZ226)&gt;=10,"Post-Monsoon",IF(MONTH($AZ226)&gt;=6,"Hot Humid",IF(MONTH($AZ226)&gt;=3,"Hot Dry","Cold Winter")))))</f>
        <v/>
      </c>
      <c r="BB226">
        <f>IF($AU226="","",IFERROR(VLOOKUP($AU226,DECODE!$A$3:$C$8,2,FALSE),"?"))</f>
        <v/>
      </c>
      <c r="BC226">
        <f>IF($P226="","",UPPER(TRIM(LEFT($P226&amp;",",FIND(",",$P226&amp;",")-1))))</f>
        <v/>
      </c>
      <c r="BD226">
        <f>IF($BC226="","",MID($BC226,4,FIND("~",SUBSTITUTE($BC226,"-","~",2))-4))</f>
        <v/>
      </c>
      <c r="BE226">
        <f>IF($BC226="","",MID($BC226,FIND("~",SUBSTITUTE($BC226,"-","~",2))+1,FIND("~",SUBSTITUTE($BC226,"-","~",3))-FIND("~",SUBSTITUTE($BC226,"-","~",2))-1))</f>
        <v/>
      </c>
      <c r="BF226">
        <f>IF($BD226="","",IFERROR(VLOOKUP($BD226,DECODE!$A$3:$C$8,3,FALSE),"?"))</f>
        <v/>
      </c>
      <c r="BG226">
        <f>IF($BE226="","",IFERROR(VLOOKUP($BD226&amp;"-"&amp;$BE226,DECODE!$E$3:$F$21,2,FALSE),"?"))</f>
        <v/>
      </c>
      <c r="BH226">
        <f>IF($BC226="","",IFERROR(VALUE(RIGHT($BC226,3)),""))</f>
        <v/>
      </c>
      <c r="BI226">
        <f>IF($V226="","",IFERROR(IF(ISNUMBER($V226),$V226,DATEVALUE(TRIM($V226))),""))</f>
        <v/>
      </c>
      <c r="BJ226">
        <f>IF($BI226="","",IF(MONTH($BI226)&gt;=12,"Cold Winter",IF(MONTH($BI226)&gt;=10,"Post-Monsoon",IF(MONTH($BI226)&gt;=6,"Hot Humid",IF(MONTH($BI226)&gt;=3,"Hot Dry","Cold Winter")))))</f>
        <v/>
      </c>
      <c r="BK226">
        <f>IF($BD226="","",IFERROR(VLOOKUP($BD226,DECODE!$A$3:$C$8,2,FALSE),"?"))</f>
        <v/>
      </c>
      <c r="BL226">
        <f>IF($Q226="","",UPPER(TRIM(LEFT($Q226&amp;",",FIND(",",$Q226&amp;",")-1))))</f>
        <v/>
      </c>
      <c r="BM226">
        <f>IF($BL226="","",MID($BL226,4,FIND("~",SUBSTITUTE($BL226,"-","~",2))-4))</f>
        <v/>
      </c>
      <c r="BN226">
        <f>IF($BL226="","",MID($BL226,FIND("~",SUBSTITUTE($BL226,"-","~",2))+1,FIND("~",SUBSTITUTE($BL226,"-","~",3))-FIND("~",SUBSTITUTE($BL226,"-","~",2))-1))</f>
        <v/>
      </c>
      <c r="BO226">
        <f>IF($BM226="","",IFERROR(VLOOKUP($BM226,DECODE!$A$3:$C$8,3,FALSE),"?"))</f>
        <v/>
      </c>
      <c r="BP226">
        <f>IF($BN226="","",IFERROR(VLOOKUP($BM226&amp;"-"&amp;$BN226,DECODE!$E$3:$F$21,2,FALSE),"?"))</f>
        <v/>
      </c>
      <c r="BQ226">
        <f>IF($BL226="","",IFERROR(VALUE(RIGHT($BL226,3)),""))</f>
        <v/>
      </c>
      <c r="BR226">
        <f>IF($W226="","",IFERROR(IF(ISNUMBER($W226),$W226,DATEVALUE(TRIM($W226))),""))</f>
        <v/>
      </c>
      <c r="BS226">
        <f>IF($BR226="","",IF(MONTH($BR226)&gt;=12,"Cold Winter",IF(MONTH($BR226)&gt;=10,"Post-Monsoon",IF(MONTH($BR226)&gt;=6,"Hot Humid",IF(MONTH($BR226)&gt;=3,"Hot Dry","Cold Winter")))))</f>
        <v/>
      </c>
      <c r="BT226">
        <f>IF($BM226="","",IFERROR(VLOOKUP($BM226,DECODE!$A$3:$C$8,2,FALSE),"?"))</f>
        <v/>
      </c>
      <c r="BU226">
        <f>IF($R226="","",UPPER(TRIM(LEFT($R226&amp;",",FIND(",",$R226&amp;",")-1))))</f>
        <v/>
      </c>
      <c r="BV226">
        <f>IF($BU226="","",MID($BU226,4,FIND("~",SUBSTITUTE($BU226,"-","~",2))-4))</f>
        <v/>
      </c>
      <c r="BW226">
        <f>IF($BU226="","",MID($BU226,FIND("~",SUBSTITUTE($BU226,"-","~",2))+1,FIND("~",SUBSTITUTE($BU226,"-","~",3))-FIND("~",SUBSTITUTE($BU226,"-","~",2))-1))</f>
        <v/>
      </c>
      <c r="BX226">
        <f>IF($BV226="","",IFERROR(VLOOKUP($BV226,DECODE!$A$3:$C$8,3,FALSE),"?"))</f>
        <v/>
      </c>
      <c r="BY226">
        <f>IF($BW226="","",IFERROR(VLOOKUP($BV226&amp;"-"&amp;$BW226,DECODE!$E$3:$F$21,2,FALSE),"?"))</f>
        <v/>
      </c>
      <c r="BZ226">
        <f>IF($BU226="","",IFERROR(VALUE(RIGHT($BU226,3)),""))</f>
        <v/>
      </c>
      <c r="CA226">
        <f>IF($X226="","",IFERROR(IF(ISNUMBER($X226),$X226,DATEVALUE(TRIM($X226))),""))</f>
        <v/>
      </c>
      <c r="CB226">
        <f>IF($CA226="","",IF(MONTH($CA226)&gt;=12,"Cold Winter",IF(MONTH($CA226)&gt;=10,"Post-Monsoon",IF(MONTH($CA226)&gt;=6,"Hot Humid",IF(MONTH($CA226)&gt;=3,"Hot Dry","Cold Winter")))))</f>
        <v/>
      </c>
      <c r="CC226">
        <f>IF($BV226="","",IFERROR(VLOOKUP($BV226,DECODE!$A$3:$C$8,2,FALSE),"?"))</f>
        <v/>
      </c>
      <c r="CD226">
        <f>IF($S226="","",UPPER(TRIM(LEFT($S226&amp;",",FIND(",",$S226&amp;",")-1))))</f>
        <v/>
      </c>
      <c r="CE226">
        <f>IF($CD226="","",MID($CD226,4,FIND("~",SUBSTITUTE($CD226,"-","~",2))-4))</f>
        <v/>
      </c>
      <c r="CF226">
        <f>IF($CD226="","",MID($CD226,FIND("~",SUBSTITUTE($CD226,"-","~",2))+1,FIND("~",SUBSTITUTE($CD226,"-","~",3))-FIND("~",SUBSTITUTE($CD226,"-","~",2))-1))</f>
        <v/>
      </c>
      <c r="CG226">
        <f>IF($CE226="","",IFERROR(VLOOKUP($CE226,DECODE!$A$3:$C$8,3,FALSE),"?"))</f>
        <v/>
      </c>
      <c r="CH226">
        <f>IF($CF226="","",IFERROR(VLOOKUP($CE226&amp;"-"&amp;$CF226,DECODE!$E$3:$F$21,2,FALSE),"?"))</f>
        <v/>
      </c>
      <c r="CI226">
        <f>IF($CD226="","",IFERROR(VALUE(RIGHT($CD226,3)),""))</f>
        <v/>
      </c>
      <c r="CJ226">
        <f>IF($Y226="","",IFERROR(IF(ISNUMBER($Y226),$Y226,DATEVALUE(TRIM($Y226))),""))</f>
        <v/>
      </c>
      <c r="CK226">
        <f>IF($CJ226="","",IF(MONTH($CJ226)&gt;=12,"Cold Winter",IF(MONTH($CJ226)&gt;=10,"Post-Monsoon",IF(MONTH($CJ226)&gt;=6,"Hot Humid",IF(MONTH($CJ226)&gt;=3,"Hot Dry","Cold Winter")))))</f>
        <v/>
      </c>
      <c r="CL226">
        <f>IF($CE226="","",IFERROR(VLOOKUP($CE226,DECODE!$A$3:$C$8,2,FALSE),"?"))</f>
        <v/>
      </c>
      <c r="CM226">
        <f>IF($AN226="","",AN226)</f>
        <v/>
      </c>
      <c r="CN226">
        <f>IF($AO226="","",AO226)</f>
        <v/>
      </c>
      <c r="CO226">
        <f>IF($AP226="","",AP226)</f>
        <v/>
      </c>
      <c r="CP226">
        <f>IF($CM226="","",IF($CM226="Aloe Vera Gel","Aloe Vera Gel "&amp;$CO226&amp;"g",CN226&amp;" "&amp;$CO226&amp;"g"))</f>
        <v/>
      </c>
      <c r="CQ226">
        <f>IF($AT226="",0,1)</f>
        <v/>
      </c>
      <c r="CR226">
        <f>IF($CQ226=0,"",AW226)</f>
        <v/>
      </c>
      <c r="CS226">
        <f>IF($CQ226=0,"",AX226)</f>
        <v/>
      </c>
      <c r="CT226">
        <f>IF($CQ226=0,"",AY226)</f>
        <v/>
      </c>
      <c r="CU226">
        <f>IF($CR226="","",IF($CR226="Aloe Vera Gel","Aloe Vera Gel "&amp;$CT226&amp;"g",CS226&amp;" "&amp;$CT226&amp;"g"))</f>
        <v/>
      </c>
      <c r="CV226">
        <f>IF($CQ226=0,"",IF($CP226=$CU226,"Repeat Exact",IF($CT226&gt;$CO226,"Upsized",IF($CT226&lt;$CO226,"Downsized",IF($CM226&lt;&gt;$CR226,"Lateral","Same Size Diff Variant")))))</f>
        <v/>
      </c>
      <c r="CW226">
        <f>IF($CQ226=0,"",AZ226-AQ226)</f>
        <v/>
      </c>
      <c r="CX226">
        <f>IF($CQ226=0,0,IF(CS226=CN226,1,0))</f>
        <v/>
      </c>
      <c r="CY226">
        <f>IF($CQ226=0,0,IF(CR226=CM226,1,0))</f>
        <v/>
      </c>
      <c r="CZ226">
        <f>IF($A226="","",IF(AND(IF(DASHBOARD!$C$4="All",TRUE,$CM226=DASHBOARD!$C$4),IF(DASHBOARD!$C$6="All",TRUE,$CP226=DASHBOARD!$C$6),IF(DASHBOARD!$C$8="All",TRUE,$AF226&gt;=DASHBOARD!$C$8),IF(DASHBOARD!$C$10="All",TRUE,$AF226&lt;=DASHBOARD!$C$10),IF(DASHBOARD!$C$12="All",TRUE,$AH226=VALUE(DASHBOARD!$C$12)),IF(DASHBOARD!$C$14="All",TRUE,$AJ226=DASHBOARD!$C$14)),1,0))</f>
        <v/>
      </c>
    </row>
    <row r="227">
      <c r="A227" t="n">
        <v>141029</v>
      </c>
      <c r="B227" t="inlineStr">
        <is>
          <t>Active Gel</t>
        </is>
      </c>
      <c r="C227" t="inlineStr">
        <is>
          <t>Face Malai</t>
        </is>
      </c>
      <c r="D227" t="inlineStr">
        <is>
          <t>Active Gel</t>
        </is>
      </c>
      <c r="E227" t="inlineStr">
        <is>
          <t>Face Malai</t>
        </is>
      </c>
      <c r="F227" t="inlineStr">
        <is>
          <t>Active Gel</t>
        </is>
      </c>
      <c r="G227" t="inlineStr">
        <is>
          <t>Active Gel</t>
        </is>
      </c>
      <c r="H227" t="inlineStr">
        <is>
          <t>Active Neem TeaTree Gel</t>
        </is>
      </c>
      <c r="I227" t="inlineStr">
        <is>
          <t>Clove Tea-Tree (Anti-Acne) Face Malai</t>
        </is>
      </c>
      <c r="J227" t="inlineStr">
        <is>
          <t>Active Neem TeaTree Gel</t>
        </is>
      </c>
      <c r="K227" t="inlineStr">
        <is>
          <t>Clove Tea-Tree (Anti-Acne) Face Malai</t>
        </is>
      </c>
      <c r="L227" t="inlineStr">
        <is>
          <t>Active Neem TeaTree Gel</t>
        </is>
      </c>
      <c r="M227" t="inlineStr">
        <is>
          <t>Active Neem TeaTree Gel</t>
        </is>
      </c>
      <c r="N227" t="inlineStr">
        <is>
          <t>FC-AC-NT-050</t>
        </is>
      </c>
      <c r="O227" t="inlineStr">
        <is>
          <t>FC-DM-AA-030</t>
        </is>
      </c>
      <c r="P227" t="inlineStr">
        <is>
          <t>FC-AC-NT-050</t>
        </is>
      </c>
      <c r="Q227" t="inlineStr">
        <is>
          <t>FC-DM-AA-030</t>
        </is>
      </c>
      <c r="R227" t="inlineStr">
        <is>
          <t>FC-AC-NT-050</t>
        </is>
      </c>
      <c r="S227" t="inlineStr">
        <is>
          <t>FC-AC-NT-050</t>
        </is>
      </c>
      <c r="T227" t="inlineStr">
        <is>
          <t>Jan 1, 2024</t>
        </is>
      </c>
      <c r="U227" t="inlineStr">
        <is>
          <t>Feb 13, 2024</t>
        </is>
      </c>
      <c r="V227" t="inlineStr">
        <is>
          <t>Apr 14, 2024</t>
        </is>
      </c>
      <c r="W227" t="inlineStr">
        <is>
          <t>Apr 15, 2024</t>
        </is>
      </c>
      <c r="X227" t="inlineStr">
        <is>
          <t>Jul 28, 2024</t>
        </is>
      </c>
      <c r="Y227" t="inlineStr">
        <is>
          <t>Sep 2, 2024</t>
        </is>
      </c>
      <c r="Z227" t="n">
        <v>43</v>
      </c>
      <c r="AA227" t="n">
        <v>61</v>
      </c>
      <c r="AB227" t="n">
        <v>1</v>
      </c>
      <c r="AC227" t="n">
        <v>104</v>
      </c>
      <c r="AD227" t="n">
        <v>36</v>
      </c>
      <c r="AE227" t="inlineStr">
        <is>
          <t>Pali</t>
        </is>
      </c>
      <c r="AF227" t="inlineStr">
        <is>
          <t>2024-01</t>
        </is>
      </c>
      <c r="AG227" t="n">
        <v>1</v>
      </c>
      <c r="AH227" t="n">
        <v>6</v>
      </c>
      <c r="AI227" t="n">
        <v>1</v>
      </c>
      <c r="AJ227">
        <f>IF($AE227="","",IFERROR(VLOOKUP(TRIM($AE227),DECODE!$H$3:$I$60,2,FALSE),"Rest of India"))</f>
        <v/>
      </c>
      <c r="AK227">
        <f>IF($N227="","",UPPER(TRIM(LEFT($N227&amp;",",FIND(",",$N227&amp;",")-1))))</f>
        <v/>
      </c>
      <c r="AL227">
        <f>IF($AK227="","",MID($AK227,4,FIND("~",SUBSTITUTE($AK227,"-","~",2))-4))</f>
        <v/>
      </c>
      <c r="AM227">
        <f>IF($AK227="","",MID($AK227,FIND("~",SUBSTITUTE($AK227,"-","~",2))+1,FIND("~",SUBSTITUTE($AK227,"-","~",3))-FIND("~",SUBSTITUTE($AK227,"-","~",2))-1))</f>
        <v/>
      </c>
      <c r="AN227">
        <f>IF($AL227="","",IFERROR(VLOOKUP($AL227,DECODE!$A$3:$C$8,3,FALSE),"?"))</f>
        <v/>
      </c>
      <c r="AO227">
        <f>IF($AM227="","",IFERROR(VLOOKUP($AL227&amp;"-"&amp;$AM227,DECODE!$E$3:$F$21,2,FALSE),"?"))</f>
        <v/>
      </c>
      <c r="AP227">
        <f>IF($AK227="","",IFERROR(VALUE(RIGHT($AK227,3)),""))</f>
        <v/>
      </c>
      <c r="AQ227">
        <f>IF($T227="","",IFERROR(IF(ISNUMBER($T227),$T227,DATEVALUE(TRIM($T227))),""))</f>
        <v/>
      </c>
      <c r="AR227">
        <f>IF($AQ227="","",IF(MONTH($AQ227)&gt;=12,"Cold Winter",IF(MONTH($AQ227)&gt;=10,"Post-Monsoon",IF(MONTH($AQ227)&gt;=6,"Hot Humid",IF(MONTH($AQ227)&gt;=3,"Hot Dry","Cold Winter")))))</f>
        <v/>
      </c>
      <c r="AS227">
        <f>IF($AL227="","",IFERROR(VLOOKUP($AL227,DECODE!$A$3:$C$8,2,FALSE),"?"))</f>
        <v/>
      </c>
      <c r="AT227">
        <f>IF($O227="","",UPPER(TRIM(LEFT($O227&amp;",",FIND(",",$O227&amp;",")-1))))</f>
        <v/>
      </c>
      <c r="AU227">
        <f>IF($AT227="","",MID($AT227,4,FIND("~",SUBSTITUTE($AT227,"-","~",2))-4))</f>
        <v/>
      </c>
      <c r="AV227">
        <f>IF($AT227="","",MID($AT227,FIND("~",SUBSTITUTE($AT227,"-","~",2))+1,FIND("~",SUBSTITUTE($AT227,"-","~",3))-FIND("~",SUBSTITUTE($AT227,"-","~",2))-1))</f>
        <v/>
      </c>
      <c r="AW227">
        <f>IF($AU227="","",IFERROR(VLOOKUP($AU227,DECODE!$A$3:$C$8,3,FALSE),"?"))</f>
        <v/>
      </c>
      <c r="AX227">
        <f>IF($AV227="","",IFERROR(VLOOKUP($AU227&amp;"-"&amp;$AV227,DECODE!$E$3:$F$21,2,FALSE),"?"))</f>
        <v/>
      </c>
      <c r="AY227">
        <f>IF($AT227="","",IFERROR(VALUE(RIGHT($AT227,3)),""))</f>
        <v/>
      </c>
      <c r="AZ227">
        <f>IF($U227="","",IFERROR(IF(ISNUMBER($U227),$U227,DATEVALUE(TRIM($U227))),""))</f>
        <v/>
      </c>
      <c r="BA227">
        <f>IF($AZ227="","",IF(MONTH($AZ227)&gt;=12,"Cold Winter",IF(MONTH($AZ227)&gt;=10,"Post-Monsoon",IF(MONTH($AZ227)&gt;=6,"Hot Humid",IF(MONTH($AZ227)&gt;=3,"Hot Dry","Cold Winter")))))</f>
        <v/>
      </c>
      <c r="BB227">
        <f>IF($AU227="","",IFERROR(VLOOKUP($AU227,DECODE!$A$3:$C$8,2,FALSE),"?"))</f>
        <v/>
      </c>
      <c r="BC227">
        <f>IF($P227="","",UPPER(TRIM(LEFT($P227&amp;",",FIND(",",$P227&amp;",")-1))))</f>
        <v/>
      </c>
      <c r="BD227">
        <f>IF($BC227="","",MID($BC227,4,FIND("~",SUBSTITUTE($BC227,"-","~",2))-4))</f>
        <v/>
      </c>
      <c r="BE227">
        <f>IF($BC227="","",MID($BC227,FIND("~",SUBSTITUTE($BC227,"-","~",2))+1,FIND("~",SUBSTITUTE($BC227,"-","~",3))-FIND("~",SUBSTITUTE($BC227,"-","~",2))-1))</f>
        <v/>
      </c>
      <c r="BF227">
        <f>IF($BD227="","",IFERROR(VLOOKUP($BD227,DECODE!$A$3:$C$8,3,FALSE),"?"))</f>
        <v/>
      </c>
      <c r="BG227">
        <f>IF($BE227="","",IFERROR(VLOOKUP($BD227&amp;"-"&amp;$BE227,DECODE!$E$3:$F$21,2,FALSE),"?"))</f>
        <v/>
      </c>
      <c r="BH227">
        <f>IF($BC227="","",IFERROR(VALUE(RIGHT($BC227,3)),""))</f>
        <v/>
      </c>
      <c r="BI227">
        <f>IF($V227="","",IFERROR(IF(ISNUMBER($V227),$V227,DATEVALUE(TRIM($V227))),""))</f>
        <v/>
      </c>
      <c r="BJ227">
        <f>IF($BI227="","",IF(MONTH($BI227)&gt;=12,"Cold Winter",IF(MONTH($BI227)&gt;=10,"Post-Monsoon",IF(MONTH($BI227)&gt;=6,"Hot Humid",IF(MONTH($BI227)&gt;=3,"Hot Dry","Cold Winter")))))</f>
        <v/>
      </c>
      <c r="BK227">
        <f>IF($BD227="","",IFERROR(VLOOKUP($BD227,DECODE!$A$3:$C$8,2,FALSE),"?"))</f>
        <v/>
      </c>
      <c r="BL227">
        <f>IF($Q227="","",UPPER(TRIM(LEFT($Q227&amp;",",FIND(",",$Q227&amp;",")-1))))</f>
        <v/>
      </c>
      <c r="BM227">
        <f>IF($BL227="","",MID($BL227,4,FIND("~",SUBSTITUTE($BL227,"-","~",2))-4))</f>
        <v/>
      </c>
      <c r="BN227">
        <f>IF($BL227="","",MID($BL227,FIND("~",SUBSTITUTE($BL227,"-","~",2))+1,FIND("~",SUBSTITUTE($BL227,"-","~",3))-FIND("~",SUBSTITUTE($BL227,"-","~",2))-1))</f>
        <v/>
      </c>
      <c r="BO227">
        <f>IF($BM227="","",IFERROR(VLOOKUP($BM227,DECODE!$A$3:$C$8,3,FALSE),"?"))</f>
        <v/>
      </c>
      <c r="BP227">
        <f>IF($BN227="","",IFERROR(VLOOKUP($BM227&amp;"-"&amp;$BN227,DECODE!$E$3:$F$21,2,FALSE),"?"))</f>
        <v/>
      </c>
      <c r="BQ227">
        <f>IF($BL227="","",IFERROR(VALUE(RIGHT($BL227,3)),""))</f>
        <v/>
      </c>
      <c r="BR227">
        <f>IF($W227="","",IFERROR(IF(ISNUMBER($W227),$W227,DATEVALUE(TRIM($W227))),""))</f>
        <v/>
      </c>
      <c r="BS227">
        <f>IF($BR227="","",IF(MONTH($BR227)&gt;=12,"Cold Winter",IF(MONTH($BR227)&gt;=10,"Post-Monsoon",IF(MONTH($BR227)&gt;=6,"Hot Humid",IF(MONTH($BR227)&gt;=3,"Hot Dry","Cold Winter")))))</f>
        <v/>
      </c>
      <c r="BT227">
        <f>IF($BM227="","",IFERROR(VLOOKUP($BM227,DECODE!$A$3:$C$8,2,FALSE),"?"))</f>
        <v/>
      </c>
      <c r="BU227">
        <f>IF($R227="","",UPPER(TRIM(LEFT($R227&amp;",",FIND(",",$R227&amp;",")-1))))</f>
        <v/>
      </c>
      <c r="BV227">
        <f>IF($BU227="","",MID($BU227,4,FIND("~",SUBSTITUTE($BU227,"-","~",2))-4))</f>
        <v/>
      </c>
      <c r="BW227">
        <f>IF($BU227="","",MID($BU227,FIND("~",SUBSTITUTE($BU227,"-","~",2))+1,FIND("~",SUBSTITUTE($BU227,"-","~",3))-FIND("~",SUBSTITUTE($BU227,"-","~",2))-1))</f>
        <v/>
      </c>
      <c r="BX227">
        <f>IF($BV227="","",IFERROR(VLOOKUP($BV227,DECODE!$A$3:$C$8,3,FALSE),"?"))</f>
        <v/>
      </c>
      <c r="BY227">
        <f>IF($BW227="","",IFERROR(VLOOKUP($BV227&amp;"-"&amp;$BW227,DECODE!$E$3:$F$21,2,FALSE),"?"))</f>
        <v/>
      </c>
      <c r="BZ227">
        <f>IF($BU227="","",IFERROR(VALUE(RIGHT($BU227,3)),""))</f>
        <v/>
      </c>
      <c r="CA227">
        <f>IF($X227="","",IFERROR(IF(ISNUMBER($X227),$X227,DATEVALUE(TRIM($X227))),""))</f>
        <v/>
      </c>
      <c r="CB227">
        <f>IF($CA227="","",IF(MONTH($CA227)&gt;=12,"Cold Winter",IF(MONTH($CA227)&gt;=10,"Post-Monsoon",IF(MONTH($CA227)&gt;=6,"Hot Humid",IF(MONTH($CA227)&gt;=3,"Hot Dry","Cold Winter")))))</f>
        <v/>
      </c>
      <c r="CC227">
        <f>IF($BV227="","",IFERROR(VLOOKUP($BV227,DECODE!$A$3:$C$8,2,FALSE),"?"))</f>
        <v/>
      </c>
      <c r="CD227">
        <f>IF($S227="","",UPPER(TRIM(LEFT($S227&amp;",",FIND(",",$S227&amp;",")-1))))</f>
        <v/>
      </c>
      <c r="CE227">
        <f>IF($CD227="","",MID($CD227,4,FIND("~",SUBSTITUTE($CD227,"-","~",2))-4))</f>
        <v/>
      </c>
      <c r="CF227">
        <f>IF($CD227="","",MID($CD227,FIND("~",SUBSTITUTE($CD227,"-","~",2))+1,FIND("~",SUBSTITUTE($CD227,"-","~",3))-FIND("~",SUBSTITUTE($CD227,"-","~",2))-1))</f>
        <v/>
      </c>
      <c r="CG227">
        <f>IF($CE227="","",IFERROR(VLOOKUP($CE227,DECODE!$A$3:$C$8,3,FALSE),"?"))</f>
        <v/>
      </c>
      <c r="CH227">
        <f>IF($CF227="","",IFERROR(VLOOKUP($CE227&amp;"-"&amp;$CF227,DECODE!$E$3:$F$21,2,FALSE),"?"))</f>
        <v/>
      </c>
      <c r="CI227">
        <f>IF($CD227="","",IFERROR(VALUE(RIGHT($CD227,3)),""))</f>
        <v/>
      </c>
      <c r="CJ227">
        <f>IF($Y227="","",IFERROR(IF(ISNUMBER($Y227),$Y227,DATEVALUE(TRIM($Y227))),""))</f>
        <v/>
      </c>
      <c r="CK227">
        <f>IF($CJ227="","",IF(MONTH($CJ227)&gt;=12,"Cold Winter",IF(MONTH($CJ227)&gt;=10,"Post-Monsoon",IF(MONTH($CJ227)&gt;=6,"Hot Humid",IF(MONTH($CJ227)&gt;=3,"Hot Dry","Cold Winter")))))</f>
        <v/>
      </c>
      <c r="CL227">
        <f>IF($CE227="","",IFERROR(VLOOKUP($CE227,DECODE!$A$3:$C$8,2,FALSE),"?"))</f>
        <v/>
      </c>
      <c r="CM227">
        <f>IF($AN227="","",AN227)</f>
        <v/>
      </c>
      <c r="CN227">
        <f>IF($AO227="","",AO227)</f>
        <v/>
      </c>
      <c r="CO227">
        <f>IF($AP227="","",AP227)</f>
        <v/>
      </c>
      <c r="CP227">
        <f>IF($CM227="","",IF($CM227="Aloe Vera Gel","Aloe Vera Gel "&amp;$CO227&amp;"g",CN227&amp;" "&amp;$CO227&amp;"g"))</f>
        <v/>
      </c>
      <c r="CQ227">
        <f>IF($AT227="",0,1)</f>
        <v/>
      </c>
      <c r="CR227">
        <f>IF($CQ227=0,"",AW227)</f>
        <v/>
      </c>
      <c r="CS227">
        <f>IF($CQ227=0,"",AX227)</f>
        <v/>
      </c>
      <c r="CT227">
        <f>IF($CQ227=0,"",AY227)</f>
        <v/>
      </c>
      <c r="CU227">
        <f>IF($CR227="","",IF($CR227="Aloe Vera Gel","Aloe Vera Gel "&amp;$CT227&amp;"g",CS227&amp;" "&amp;$CT227&amp;"g"))</f>
        <v/>
      </c>
      <c r="CV227">
        <f>IF($CQ227=0,"",IF($CP227=$CU227,"Repeat Exact",IF($CT227&gt;$CO227,"Upsized",IF($CT227&lt;$CO227,"Downsized",IF($CM227&lt;&gt;$CR227,"Lateral","Same Size Diff Variant")))))</f>
        <v/>
      </c>
      <c r="CW227">
        <f>IF($CQ227=0,"",AZ227-AQ227)</f>
        <v/>
      </c>
      <c r="CX227">
        <f>IF($CQ227=0,0,IF(CS227=CN227,1,0))</f>
        <v/>
      </c>
      <c r="CY227">
        <f>IF($CQ227=0,0,IF(CR227=CM227,1,0))</f>
        <v/>
      </c>
      <c r="CZ227">
        <f>IF($A227="","",IF(AND(IF(DASHBOARD!$C$4="All",TRUE,$CM227=DASHBOARD!$C$4),IF(DASHBOARD!$C$6="All",TRUE,$CP227=DASHBOARD!$C$6),IF(DASHBOARD!$C$8="All",TRUE,$AF227&gt;=DASHBOARD!$C$8),IF(DASHBOARD!$C$10="All",TRUE,$AF227&lt;=DASHBOARD!$C$10),IF(DASHBOARD!$C$12="All",TRUE,$AH227=VALUE(DASHBOARD!$C$12)),IF(DASHBOARD!$C$14="All",TRUE,$AJ227=DASHBOARD!$C$14)),1,0))</f>
        <v/>
      </c>
    </row>
    <row r="228">
      <c r="A228" t="n">
        <v>141911</v>
      </c>
      <c r="B228" t="inlineStr">
        <is>
          <t>Face Malai</t>
        </is>
      </c>
      <c r="C228" t="inlineStr">
        <is>
          <t>Face Malai</t>
        </is>
      </c>
      <c r="H228" t="inlineStr">
        <is>
          <t>Clove Tea-Tree (Anti-Acne) Face Malai</t>
        </is>
      </c>
      <c r="I228" t="inlineStr">
        <is>
          <t>Clove Tea-Tree (Anti-Acne) Face Malai</t>
        </is>
      </c>
      <c r="N228" t="inlineStr">
        <is>
          <t>FC-DM-AA-030</t>
        </is>
      </c>
      <c r="O228" t="inlineStr">
        <is>
          <t>FC-DM-AA-030</t>
        </is>
      </c>
      <c r="T228" t="inlineStr">
        <is>
          <t>Jan 6, 2024</t>
        </is>
      </c>
      <c r="U228" t="inlineStr">
        <is>
          <t>Feb 8, 2024</t>
        </is>
      </c>
      <c r="Z228" t="n">
        <v>33</v>
      </c>
      <c r="AE228" t="inlineStr">
        <is>
          <t>Kolkata</t>
        </is>
      </c>
      <c r="AF228" t="inlineStr">
        <is>
          <t>2024-01</t>
        </is>
      </c>
      <c r="AG228" t="n">
        <v>1</v>
      </c>
      <c r="AH228" t="n">
        <v>2</v>
      </c>
      <c r="AI228" t="n">
        <v>1</v>
      </c>
      <c r="AJ228">
        <f>IF($AE228="","",IFERROR(VLOOKUP(TRIM($AE228),DECODE!$H$3:$I$60,2,FALSE),"Rest of India"))</f>
        <v/>
      </c>
      <c r="AK228">
        <f>IF($N228="","",UPPER(TRIM(LEFT($N228&amp;",",FIND(",",$N228&amp;",")-1))))</f>
        <v/>
      </c>
      <c r="AL228">
        <f>IF($AK228="","",MID($AK228,4,FIND("~",SUBSTITUTE($AK228,"-","~",2))-4))</f>
        <v/>
      </c>
      <c r="AM228">
        <f>IF($AK228="","",MID($AK228,FIND("~",SUBSTITUTE($AK228,"-","~",2))+1,FIND("~",SUBSTITUTE($AK228,"-","~",3))-FIND("~",SUBSTITUTE($AK228,"-","~",2))-1))</f>
        <v/>
      </c>
      <c r="AN228">
        <f>IF($AL228="","",IFERROR(VLOOKUP($AL228,DECODE!$A$3:$C$8,3,FALSE),"?"))</f>
        <v/>
      </c>
      <c r="AO228">
        <f>IF($AM228="","",IFERROR(VLOOKUP($AL228&amp;"-"&amp;$AM228,DECODE!$E$3:$F$21,2,FALSE),"?"))</f>
        <v/>
      </c>
      <c r="AP228">
        <f>IF($AK228="","",IFERROR(VALUE(RIGHT($AK228,3)),""))</f>
        <v/>
      </c>
      <c r="AQ228">
        <f>IF($T228="","",IFERROR(IF(ISNUMBER($T228),$T228,DATEVALUE(TRIM($T228))),""))</f>
        <v/>
      </c>
      <c r="AR228">
        <f>IF($AQ228="","",IF(MONTH($AQ228)&gt;=12,"Cold Winter",IF(MONTH($AQ228)&gt;=10,"Post-Monsoon",IF(MONTH($AQ228)&gt;=6,"Hot Humid",IF(MONTH($AQ228)&gt;=3,"Hot Dry","Cold Winter")))))</f>
        <v/>
      </c>
      <c r="AS228">
        <f>IF($AL228="","",IFERROR(VLOOKUP($AL228,DECODE!$A$3:$C$8,2,FALSE),"?"))</f>
        <v/>
      </c>
      <c r="AT228">
        <f>IF($O228="","",UPPER(TRIM(LEFT($O228&amp;",",FIND(",",$O228&amp;",")-1))))</f>
        <v/>
      </c>
      <c r="AU228">
        <f>IF($AT228="","",MID($AT228,4,FIND("~",SUBSTITUTE($AT228,"-","~",2))-4))</f>
        <v/>
      </c>
      <c r="AV228">
        <f>IF($AT228="","",MID($AT228,FIND("~",SUBSTITUTE($AT228,"-","~",2))+1,FIND("~",SUBSTITUTE($AT228,"-","~",3))-FIND("~",SUBSTITUTE($AT228,"-","~",2))-1))</f>
        <v/>
      </c>
      <c r="AW228">
        <f>IF($AU228="","",IFERROR(VLOOKUP($AU228,DECODE!$A$3:$C$8,3,FALSE),"?"))</f>
        <v/>
      </c>
      <c r="AX228">
        <f>IF($AV228="","",IFERROR(VLOOKUP($AU228&amp;"-"&amp;$AV228,DECODE!$E$3:$F$21,2,FALSE),"?"))</f>
        <v/>
      </c>
      <c r="AY228">
        <f>IF($AT228="","",IFERROR(VALUE(RIGHT($AT228,3)),""))</f>
        <v/>
      </c>
      <c r="AZ228">
        <f>IF($U228="","",IFERROR(IF(ISNUMBER($U228),$U228,DATEVALUE(TRIM($U228))),""))</f>
        <v/>
      </c>
      <c r="BA228">
        <f>IF($AZ228="","",IF(MONTH($AZ228)&gt;=12,"Cold Winter",IF(MONTH($AZ228)&gt;=10,"Post-Monsoon",IF(MONTH($AZ228)&gt;=6,"Hot Humid",IF(MONTH($AZ228)&gt;=3,"Hot Dry","Cold Winter")))))</f>
        <v/>
      </c>
      <c r="BB228">
        <f>IF($AU228="","",IFERROR(VLOOKUP($AU228,DECODE!$A$3:$C$8,2,FALSE),"?"))</f>
        <v/>
      </c>
      <c r="BC228">
        <f>IF($P228="","",UPPER(TRIM(LEFT($P228&amp;",",FIND(",",$P228&amp;",")-1))))</f>
        <v/>
      </c>
      <c r="BD228">
        <f>IF($BC228="","",MID($BC228,4,FIND("~",SUBSTITUTE($BC228,"-","~",2))-4))</f>
        <v/>
      </c>
      <c r="BE228">
        <f>IF($BC228="","",MID($BC228,FIND("~",SUBSTITUTE($BC228,"-","~",2))+1,FIND("~",SUBSTITUTE($BC228,"-","~",3))-FIND("~",SUBSTITUTE($BC228,"-","~",2))-1))</f>
        <v/>
      </c>
      <c r="BF228">
        <f>IF($BD228="","",IFERROR(VLOOKUP($BD228,DECODE!$A$3:$C$8,3,FALSE),"?"))</f>
        <v/>
      </c>
      <c r="BG228">
        <f>IF($BE228="","",IFERROR(VLOOKUP($BD228&amp;"-"&amp;$BE228,DECODE!$E$3:$F$21,2,FALSE),"?"))</f>
        <v/>
      </c>
      <c r="BH228">
        <f>IF($BC228="","",IFERROR(VALUE(RIGHT($BC228,3)),""))</f>
        <v/>
      </c>
      <c r="BI228">
        <f>IF($V228="","",IFERROR(IF(ISNUMBER($V228),$V228,DATEVALUE(TRIM($V228))),""))</f>
        <v/>
      </c>
      <c r="BJ228">
        <f>IF($BI228="","",IF(MONTH($BI228)&gt;=12,"Cold Winter",IF(MONTH($BI228)&gt;=10,"Post-Monsoon",IF(MONTH($BI228)&gt;=6,"Hot Humid",IF(MONTH($BI228)&gt;=3,"Hot Dry","Cold Winter")))))</f>
        <v/>
      </c>
      <c r="BK228">
        <f>IF($BD228="","",IFERROR(VLOOKUP($BD228,DECODE!$A$3:$C$8,2,FALSE),"?"))</f>
        <v/>
      </c>
      <c r="BL228">
        <f>IF($Q228="","",UPPER(TRIM(LEFT($Q228&amp;",",FIND(",",$Q228&amp;",")-1))))</f>
        <v/>
      </c>
      <c r="BM228">
        <f>IF($BL228="","",MID($BL228,4,FIND("~",SUBSTITUTE($BL228,"-","~",2))-4))</f>
        <v/>
      </c>
      <c r="BN228">
        <f>IF($BL228="","",MID($BL228,FIND("~",SUBSTITUTE($BL228,"-","~",2))+1,FIND("~",SUBSTITUTE($BL228,"-","~",3))-FIND("~",SUBSTITUTE($BL228,"-","~",2))-1))</f>
        <v/>
      </c>
      <c r="BO228">
        <f>IF($BM228="","",IFERROR(VLOOKUP($BM228,DECODE!$A$3:$C$8,3,FALSE),"?"))</f>
        <v/>
      </c>
      <c r="BP228">
        <f>IF($BN228="","",IFERROR(VLOOKUP($BM228&amp;"-"&amp;$BN228,DECODE!$E$3:$F$21,2,FALSE),"?"))</f>
        <v/>
      </c>
      <c r="BQ228">
        <f>IF($BL228="","",IFERROR(VALUE(RIGHT($BL228,3)),""))</f>
        <v/>
      </c>
      <c r="BR228">
        <f>IF($W228="","",IFERROR(IF(ISNUMBER($W228),$W228,DATEVALUE(TRIM($W228))),""))</f>
        <v/>
      </c>
      <c r="BS228">
        <f>IF($BR228="","",IF(MONTH($BR228)&gt;=12,"Cold Winter",IF(MONTH($BR228)&gt;=10,"Post-Monsoon",IF(MONTH($BR228)&gt;=6,"Hot Humid",IF(MONTH($BR228)&gt;=3,"Hot Dry","Cold Winter")))))</f>
        <v/>
      </c>
      <c r="BT228">
        <f>IF($BM228="","",IFERROR(VLOOKUP($BM228,DECODE!$A$3:$C$8,2,FALSE),"?"))</f>
        <v/>
      </c>
      <c r="BU228">
        <f>IF($R228="","",UPPER(TRIM(LEFT($R228&amp;",",FIND(",",$R228&amp;",")-1))))</f>
        <v/>
      </c>
      <c r="BV228">
        <f>IF($BU228="","",MID($BU228,4,FIND("~",SUBSTITUTE($BU228,"-","~",2))-4))</f>
        <v/>
      </c>
      <c r="BW228">
        <f>IF($BU228="","",MID($BU228,FIND("~",SUBSTITUTE($BU228,"-","~",2))+1,FIND("~",SUBSTITUTE($BU228,"-","~",3))-FIND("~",SUBSTITUTE($BU228,"-","~",2))-1))</f>
        <v/>
      </c>
      <c r="BX228">
        <f>IF($BV228="","",IFERROR(VLOOKUP($BV228,DECODE!$A$3:$C$8,3,FALSE),"?"))</f>
        <v/>
      </c>
      <c r="BY228">
        <f>IF($BW228="","",IFERROR(VLOOKUP($BV228&amp;"-"&amp;$BW228,DECODE!$E$3:$F$21,2,FALSE),"?"))</f>
        <v/>
      </c>
      <c r="BZ228">
        <f>IF($BU228="","",IFERROR(VALUE(RIGHT($BU228,3)),""))</f>
        <v/>
      </c>
      <c r="CA228">
        <f>IF($X228="","",IFERROR(IF(ISNUMBER($X228),$X228,DATEVALUE(TRIM($X228))),""))</f>
        <v/>
      </c>
      <c r="CB228">
        <f>IF($CA228="","",IF(MONTH($CA228)&gt;=12,"Cold Winter",IF(MONTH($CA228)&gt;=10,"Post-Monsoon",IF(MONTH($CA228)&gt;=6,"Hot Humid",IF(MONTH($CA228)&gt;=3,"Hot Dry","Cold Winter")))))</f>
        <v/>
      </c>
      <c r="CC228">
        <f>IF($BV228="","",IFERROR(VLOOKUP($BV228,DECODE!$A$3:$C$8,2,FALSE),"?"))</f>
        <v/>
      </c>
      <c r="CD228">
        <f>IF($S228="","",UPPER(TRIM(LEFT($S228&amp;",",FIND(",",$S228&amp;",")-1))))</f>
        <v/>
      </c>
      <c r="CE228">
        <f>IF($CD228="","",MID($CD228,4,FIND("~",SUBSTITUTE($CD228,"-","~",2))-4))</f>
        <v/>
      </c>
      <c r="CF228">
        <f>IF($CD228="","",MID($CD228,FIND("~",SUBSTITUTE($CD228,"-","~",2))+1,FIND("~",SUBSTITUTE($CD228,"-","~",3))-FIND("~",SUBSTITUTE($CD228,"-","~",2))-1))</f>
        <v/>
      </c>
      <c r="CG228">
        <f>IF($CE228="","",IFERROR(VLOOKUP($CE228,DECODE!$A$3:$C$8,3,FALSE),"?"))</f>
        <v/>
      </c>
      <c r="CH228">
        <f>IF($CF228="","",IFERROR(VLOOKUP($CE228&amp;"-"&amp;$CF228,DECODE!$E$3:$F$21,2,FALSE),"?"))</f>
        <v/>
      </c>
      <c r="CI228">
        <f>IF($CD228="","",IFERROR(VALUE(RIGHT($CD228,3)),""))</f>
        <v/>
      </c>
      <c r="CJ228">
        <f>IF($Y228="","",IFERROR(IF(ISNUMBER($Y228),$Y228,DATEVALUE(TRIM($Y228))),""))</f>
        <v/>
      </c>
      <c r="CK228">
        <f>IF($CJ228="","",IF(MONTH($CJ228)&gt;=12,"Cold Winter",IF(MONTH($CJ228)&gt;=10,"Post-Monsoon",IF(MONTH($CJ228)&gt;=6,"Hot Humid",IF(MONTH($CJ228)&gt;=3,"Hot Dry","Cold Winter")))))</f>
        <v/>
      </c>
      <c r="CL228">
        <f>IF($CE228="","",IFERROR(VLOOKUP($CE228,DECODE!$A$3:$C$8,2,FALSE),"?"))</f>
        <v/>
      </c>
      <c r="CM228">
        <f>IF($AN228="","",AN228)</f>
        <v/>
      </c>
      <c r="CN228">
        <f>IF($AO228="","",AO228)</f>
        <v/>
      </c>
      <c r="CO228">
        <f>IF($AP228="","",AP228)</f>
        <v/>
      </c>
      <c r="CP228">
        <f>IF($CM228="","",IF($CM228="Aloe Vera Gel","Aloe Vera Gel "&amp;$CO228&amp;"g",CN228&amp;" "&amp;$CO228&amp;"g"))</f>
        <v/>
      </c>
      <c r="CQ228">
        <f>IF($AT228="",0,1)</f>
        <v/>
      </c>
      <c r="CR228">
        <f>IF($CQ228=0,"",AW228)</f>
        <v/>
      </c>
      <c r="CS228">
        <f>IF($CQ228=0,"",AX228)</f>
        <v/>
      </c>
      <c r="CT228">
        <f>IF($CQ228=0,"",AY228)</f>
        <v/>
      </c>
      <c r="CU228">
        <f>IF($CR228="","",IF($CR228="Aloe Vera Gel","Aloe Vera Gel "&amp;$CT228&amp;"g",CS228&amp;" "&amp;$CT228&amp;"g"))</f>
        <v/>
      </c>
      <c r="CV228">
        <f>IF($CQ228=0,"",IF($CP228=$CU228,"Repeat Exact",IF($CT228&gt;$CO228,"Upsized",IF($CT228&lt;$CO228,"Downsized",IF($CM228&lt;&gt;$CR228,"Lateral","Same Size Diff Variant")))))</f>
        <v/>
      </c>
      <c r="CW228">
        <f>IF($CQ228=0,"",AZ228-AQ228)</f>
        <v/>
      </c>
      <c r="CX228">
        <f>IF($CQ228=0,0,IF(CS228=CN228,1,0))</f>
        <v/>
      </c>
      <c r="CY228">
        <f>IF($CQ228=0,0,IF(CR228=CM228,1,0))</f>
        <v/>
      </c>
      <c r="CZ228">
        <f>IF($A228="","",IF(AND(IF(DASHBOARD!$C$4="All",TRUE,$CM228=DASHBOARD!$C$4),IF(DASHBOARD!$C$6="All",TRUE,$CP228=DASHBOARD!$C$6),IF(DASHBOARD!$C$8="All",TRUE,$AF228&gt;=DASHBOARD!$C$8),IF(DASHBOARD!$C$10="All",TRUE,$AF228&lt;=DASHBOARD!$C$10),IF(DASHBOARD!$C$12="All",TRUE,$AH228=VALUE(DASHBOARD!$C$12)),IF(DASHBOARD!$C$14="All",TRUE,$AJ228=DASHBOARD!$C$14)),1,0))</f>
        <v/>
      </c>
    </row>
    <row r="229">
      <c r="A229" t="n">
        <v>142020</v>
      </c>
      <c r="B229" t="inlineStr">
        <is>
          <t>Face Malai</t>
        </is>
      </c>
      <c r="C229" t="inlineStr">
        <is>
          <t>Aloe Vera Gel</t>
        </is>
      </c>
      <c r="H229" t="inlineStr">
        <is>
          <t>Flax Carrot (Hot Humid) 35+ Face Malai - 30g, Cocoa Mogra (Overnight) Face Malai - 30g</t>
        </is>
      </c>
      <c r="I229" t="inlineStr">
        <is>
          <t>Aloe Vera Gel - 40 gms</t>
        </is>
      </c>
      <c r="N229" t="inlineStr">
        <is>
          <t>FC-DM-NR-030, FC-HHDM-FC-030</t>
        </is>
      </c>
      <c r="O229" t="inlineStr">
        <is>
          <t>FC-HG-PA-040</t>
        </is>
      </c>
      <c r="T229" t="inlineStr">
        <is>
          <t>May 28, 2024</t>
        </is>
      </c>
      <c r="U229" t="inlineStr">
        <is>
          <t>Jul 25, 2024</t>
        </is>
      </c>
      <c r="Z229" t="n">
        <v>58</v>
      </c>
      <c r="AE229" t="inlineStr">
        <is>
          <t>Bengaluru</t>
        </is>
      </c>
      <c r="AF229" t="inlineStr">
        <is>
          <t>2024-05</t>
        </is>
      </c>
      <c r="AG229" t="n">
        <v>5</v>
      </c>
      <c r="AH229" t="n">
        <v>2</v>
      </c>
      <c r="AI229" t="n">
        <v>1</v>
      </c>
      <c r="AJ229">
        <f>IF($AE229="","",IFERROR(VLOOKUP(TRIM($AE229),DECODE!$H$3:$I$60,2,FALSE),"Rest of India"))</f>
        <v/>
      </c>
      <c r="AK229">
        <f>IF($N229="","",UPPER(TRIM(LEFT($N229&amp;",",FIND(",",$N229&amp;",")-1))))</f>
        <v/>
      </c>
      <c r="AL229">
        <f>IF($AK229="","",MID($AK229,4,FIND("~",SUBSTITUTE($AK229,"-","~",2))-4))</f>
        <v/>
      </c>
      <c r="AM229">
        <f>IF($AK229="","",MID($AK229,FIND("~",SUBSTITUTE($AK229,"-","~",2))+1,FIND("~",SUBSTITUTE($AK229,"-","~",3))-FIND("~",SUBSTITUTE($AK229,"-","~",2))-1))</f>
        <v/>
      </c>
      <c r="AN229">
        <f>IF($AL229="","",IFERROR(VLOOKUP($AL229,DECODE!$A$3:$C$8,3,FALSE),"?"))</f>
        <v/>
      </c>
      <c r="AO229">
        <f>IF($AM229="","",IFERROR(VLOOKUP($AL229&amp;"-"&amp;$AM229,DECODE!$E$3:$F$21,2,FALSE),"?"))</f>
        <v/>
      </c>
      <c r="AP229">
        <f>IF($AK229="","",IFERROR(VALUE(RIGHT($AK229,3)),""))</f>
        <v/>
      </c>
      <c r="AQ229">
        <f>IF($T229="","",IFERROR(IF(ISNUMBER($T229),$T229,DATEVALUE(TRIM($T229))),""))</f>
        <v/>
      </c>
      <c r="AR229">
        <f>IF($AQ229="","",IF(MONTH($AQ229)&gt;=12,"Cold Winter",IF(MONTH($AQ229)&gt;=10,"Post-Monsoon",IF(MONTH($AQ229)&gt;=6,"Hot Humid",IF(MONTH($AQ229)&gt;=3,"Hot Dry","Cold Winter")))))</f>
        <v/>
      </c>
      <c r="AS229">
        <f>IF($AL229="","",IFERROR(VLOOKUP($AL229,DECODE!$A$3:$C$8,2,FALSE),"?"))</f>
        <v/>
      </c>
      <c r="AT229">
        <f>IF($O229="","",UPPER(TRIM(LEFT($O229&amp;",",FIND(",",$O229&amp;",")-1))))</f>
        <v/>
      </c>
      <c r="AU229">
        <f>IF($AT229="","",MID($AT229,4,FIND("~",SUBSTITUTE($AT229,"-","~",2))-4))</f>
        <v/>
      </c>
      <c r="AV229">
        <f>IF($AT229="","",MID($AT229,FIND("~",SUBSTITUTE($AT229,"-","~",2))+1,FIND("~",SUBSTITUTE($AT229,"-","~",3))-FIND("~",SUBSTITUTE($AT229,"-","~",2))-1))</f>
        <v/>
      </c>
      <c r="AW229">
        <f>IF($AU229="","",IFERROR(VLOOKUP($AU229,DECODE!$A$3:$C$8,3,FALSE),"?"))</f>
        <v/>
      </c>
      <c r="AX229">
        <f>IF($AV229="","",IFERROR(VLOOKUP($AU229&amp;"-"&amp;$AV229,DECODE!$E$3:$F$21,2,FALSE),"?"))</f>
        <v/>
      </c>
      <c r="AY229">
        <f>IF($AT229="","",IFERROR(VALUE(RIGHT($AT229,3)),""))</f>
        <v/>
      </c>
      <c r="AZ229">
        <f>IF($U229="","",IFERROR(IF(ISNUMBER($U229),$U229,DATEVALUE(TRIM($U229))),""))</f>
        <v/>
      </c>
      <c r="BA229">
        <f>IF($AZ229="","",IF(MONTH($AZ229)&gt;=12,"Cold Winter",IF(MONTH($AZ229)&gt;=10,"Post-Monsoon",IF(MONTH($AZ229)&gt;=6,"Hot Humid",IF(MONTH($AZ229)&gt;=3,"Hot Dry","Cold Winter")))))</f>
        <v/>
      </c>
      <c r="BB229">
        <f>IF($AU229="","",IFERROR(VLOOKUP($AU229,DECODE!$A$3:$C$8,2,FALSE),"?"))</f>
        <v/>
      </c>
      <c r="BC229">
        <f>IF($P229="","",UPPER(TRIM(LEFT($P229&amp;",",FIND(",",$P229&amp;",")-1))))</f>
        <v/>
      </c>
      <c r="BD229">
        <f>IF($BC229="","",MID($BC229,4,FIND("~",SUBSTITUTE($BC229,"-","~",2))-4))</f>
        <v/>
      </c>
      <c r="BE229">
        <f>IF($BC229="","",MID($BC229,FIND("~",SUBSTITUTE($BC229,"-","~",2))+1,FIND("~",SUBSTITUTE($BC229,"-","~",3))-FIND("~",SUBSTITUTE($BC229,"-","~",2))-1))</f>
        <v/>
      </c>
      <c r="BF229">
        <f>IF($BD229="","",IFERROR(VLOOKUP($BD229,DECODE!$A$3:$C$8,3,FALSE),"?"))</f>
        <v/>
      </c>
      <c r="BG229">
        <f>IF($BE229="","",IFERROR(VLOOKUP($BD229&amp;"-"&amp;$BE229,DECODE!$E$3:$F$21,2,FALSE),"?"))</f>
        <v/>
      </c>
      <c r="BH229">
        <f>IF($BC229="","",IFERROR(VALUE(RIGHT($BC229,3)),""))</f>
        <v/>
      </c>
      <c r="BI229">
        <f>IF($V229="","",IFERROR(IF(ISNUMBER($V229),$V229,DATEVALUE(TRIM($V229))),""))</f>
        <v/>
      </c>
      <c r="BJ229">
        <f>IF($BI229="","",IF(MONTH($BI229)&gt;=12,"Cold Winter",IF(MONTH($BI229)&gt;=10,"Post-Monsoon",IF(MONTH($BI229)&gt;=6,"Hot Humid",IF(MONTH($BI229)&gt;=3,"Hot Dry","Cold Winter")))))</f>
        <v/>
      </c>
      <c r="BK229">
        <f>IF($BD229="","",IFERROR(VLOOKUP($BD229,DECODE!$A$3:$C$8,2,FALSE),"?"))</f>
        <v/>
      </c>
      <c r="BL229">
        <f>IF($Q229="","",UPPER(TRIM(LEFT($Q229&amp;",",FIND(",",$Q229&amp;",")-1))))</f>
        <v/>
      </c>
      <c r="BM229">
        <f>IF($BL229="","",MID($BL229,4,FIND("~",SUBSTITUTE($BL229,"-","~",2))-4))</f>
        <v/>
      </c>
      <c r="BN229">
        <f>IF($BL229="","",MID($BL229,FIND("~",SUBSTITUTE($BL229,"-","~",2))+1,FIND("~",SUBSTITUTE($BL229,"-","~",3))-FIND("~",SUBSTITUTE($BL229,"-","~",2))-1))</f>
        <v/>
      </c>
      <c r="BO229">
        <f>IF($BM229="","",IFERROR(VLOOKUP($BM229,DECODE!$A$3:$C$8,3,FALSE),"?"))</f>
        <v/>
      </c>
      <c r="BP229">
        <f>IF($BN229="","",IFERROR(VLOOKUP($BM229&amp;"-"&amp;$BN229,DECODE!$E$3:$F$21,2,FALSE),"?"))</f>
        <v/>
      </c>
      <c r="BQ229">
        <f>IF($BL229="","",IFERROR(VALUE(RIGHT($BL229,3)),""))</f>
        <v/>
      </c>
      <c r="BR229">
        <f>IF($W229="","",IFERROR(IF(ISNUMBER($W229),$W229,DATEVALUE(TRIM($W229))),""))</f>
        <v/>
      </c>
      <c r="BS229">
        <f>IF($BR229="","",IF(MONTH($BR229)&gt;=12,"Cold Winter",IF(MONTH($BR229)&gt;=10,"Post-Monsoon",IF(MONTH($BR229)&gt;=6,"Hot Humid",IF(MONTH($BR229)&gt;=3,"Hot Dry","Cold Winter")))))</f>
        <v/>
      </c>
      <c r="BT229">
        <f>IF($BM229="","",IFERROR(VLOOKUP($BM229,DECODE!$A$3:$C$8,2,FALSE),"?"))</f>
        <v/>
      </c>
      <c r="BU229">
        <f>IF($R229="","",UPPER(TRIM(LEFT($R229&amp;",",FIND(",",$R229&amp;",")-1))))</f>
        <v/>
      </c>
      <c r="BV229">
        <f>IF($BU229="","",MID($BU229,4,FIND("~",SUBSTITUTE($BU229,"-","~",2))-4))</f>
        <v/>
      </c>
      <c r="BW229">
        <f>IF($BU229="","",MID($BU229,FIND("~",SUBSTITUTE($BU229,"-","~",2))+1,FIND("~",SUBSTITUTE($BU229,"-","~",3))-FIND("~",SUBSTITUTE($BU229,"-","~",2))-1))</f>
        <v/>
      </c>
      <c r="BX229">
        <f>IF($BV229="","",IFERROR(VLOOKUP($BV229,DECODE!$A$3:$C$8,3,FALSE),"?"))</f>
        <v/>
      </c>
      <c r="BY229">
        <f>IF($BW229="","",IFERROR(VLOOKUP($BV229&amp;"-"&amp;$BW229,DECODE!$E$3:$F$21,2,FALSE),"?"))</f>
        <v/>
      </c>
      <c r="BZ229">
        <f>IF($BU229="","",IFERROR(VALUE(RIGHT($BU229,3)),""))</f>
        <v/>
      </c>
      <c r="CA229">
        <f>IF($X229="","",IFERROR(IF(ISNUMBER($X229),$X229,DATEVALUE(TRIM($X229))),""))</f>
        <v/>
      </c>
      <c r="CB229">
        <f>IF($CA229="","",IF(MONTH($CA229)&gt;=12,"Cold Winter",IF(MONTH($CA229)&gt;=10,"Post-Monsoon",IF(MONTH($CA229)&gt;=6,"Hot Humid",IF(MONTH($CA229)&gt;=3,"Hot Dry","Cold Winter")))))</f>
        <v/>
      </c>
      <c r="CC229">
        <f>IF($BV229="","",IFERROR(VLOOKUP($BV229,DECODE!$A$3:$C$8,2,FALSE),"?"))</f>
        <v/>
      </c>
      <c r="CD229">
        <f>IF($S229="","",UPPER(TRIM(LEFT($S229&amp;",",FIND(",",$S229&amp;",")-1))))</f>
        <v/>
      </c>
      <c r="CE229">
        <f>IF($CD229="","",MID($CD229,4,FIND("~",SUBSTITUTE($CD229,"-","~",2))-4))</f>
        <v/>
      </c>
      <c r="CF229">
        <f>IF($CD229="","",MID($CD229,FIND("~",SUBSTITUTE($CD229,"-","~",2))+1,FIND("~",SUBSTITUTE($CD229,"-","~",3))-FIND("~",SUBSTITUTE($CD229,"-","~",2))-1))</f>
        <v/>
      </c>
      <c r="CG229">
        <f>IF($CE229="","",IFERROR(VLOOKUP($CE229,DECODE!$A$3:$C$8,3,FALSE),"?"))</f>
        <v/>
      </c>
      <c r="CH229">
        <f>IF($CF229="","",IFERROR(VLOOKUP($CE229&amp;"-"&amp;$CF229,DECODE!$E$3:$F$21,2,FALSE),"?"))</f>
        <v/>
      </c>
      <c r="CI229">
        <f>IF($CD229="","",IFERROR(VALUE(RIGHT($CD229,3)),""))</f>
        <v/>
      </c>
      <c r="CJ229">
        <f>IF($Y229="","",IFERROR(IF(ISNUMBER($Y229),$Y229,DATEVALUE(TRIM($Y229))),""))</f>
        <v/>
      </c>
      <c r="CK229">
        <f>IF($CJ229="","",IF(MONTH($CJ229)&gt;=12,"Cold Winter",IF(MONTH($CJ229)&gt;=10,"Post-Monsoon",IF(MONTH($CJ229)&gt;=6,"Hot Humid",IF(MONTH($CJ229)&gt;=3,"Hot Dry","Cold Winter")))))</f>
        <v/>
      </c>
      <c r="CL229">
        <f>IF($CE229="","",IFERROR(VLOOKUP($CE229,DECODE!$A$3:$C$8,2,FALSE),"?"))</f>
        <v/>
      </c>
      <c r="CM229">
        <f>IF($AN229="","",AN229)</f>
        <v/>
      </c>
      <c r="CN229">
        <f>IF($AO229="","",AO229)</f>
        <v/>
      </c>
      <c r="CO229">
        <f>IF($AP229="","",AP229)</f>
        <v/>
      </c>
      <c r="CP229">
        <f>IF($CM229="","",IF($CM229="Aloe Vera Gel","Aloe Vera Gel "&amp;$CO229&amp;"g",CN229&amp;" "&amp;$CO229&amp;"g"))</f>
        <v/>
      </c>
      <c r="CQ229">
        <f>IF($AT229="",0,1)</f>
        <v/>
      </c>
      <c r="CR229">
        <f>IF($CQ229=0,"",AW229)</f>
        <v/>
      </c>
      <c r="CS229">
        <f>IF($CQ229=0,"",AX229)</f>
        <v/>
      </c>
      <c r="CT229">
        <f>IF($CQ229=0,"",AY229)</f>
        <v/>
      </c>
      <c r="CU229">
        <f>IF($CR229="","",IF($CR229="Aloe Vera Gel","Aloe Vera Gel "&amp;$CT229&amp;"g",CS229&amp;" "&amp;$CT229&amp;"g"))</f>
        <v/>
      </c>
      <c r="CV229">
        <f>IF($CQ229=0,"",IF($CP229=$CU229,"Repeat Exact",IF($CT229&gt;$CO229,"Upsized",IF($CT229&lt;$CO229,"Downsized",IF($CM229&lt;&gt;$CR229,"Lateral","Same Size Diff Variant")))))</f>
        <v/>
      </c>
      <c r="CW229">
        <f>IF($CQ229=0,"",AZ229-AQ229)</f>
        <v/>
      </c>
      <c r="CX229">
        <f>IF($CQ229=0,0,IF(CS229=CN229,1,0))</f>
        <v/>
      </c>
      <c r="CY229">
        <f>IF($CQ229=0,0,IF(CR229=CM229,1,0))</f>
        <v/>
      </c>
      <c r="CZ229">
        <f>IF($A229="","",IF(AND(IF(DASHBOARD!$C$4="All",TRUE,$CM229=DASHBOARD!$C$4),IF(DASHBOARD!$C$6="All",TRUE,$CP229=DASHBOARD!$C$6),IF(DASHBOARD!$C$8="All",TRUE,$AF229&gt;=DASHBOARD!$C$8),IF(DASHBOARD!$C$10="All",TRUE,$AF229&lt;=DASHBOARD!$C$10),IF(DASHBOARD!$C$12="All",TRUE,$AH229=VALUE(DASHBOARD!$C$12)),IF(DASHBOARD!$C$14="All",TRUE,$AJ229=DASHBOARD!$C$14)),1,0))</f>
        <v/>
      </c>
    </row>
    <row r="230">
      <c r="A230" t="n">
        <v>142041</v>
      </c>
      <c r="B230" t="inlineStr">
        <is>
          <t>Face Malai</t>
        </is>
      </c>
      <c r="C230" t="inlineStr">
        <is>
          <t>Active Gel</t>
        </is>
      </c>
      <c r="D230" t="inlineStr">
        <is>
          <t>Face Malai</t>
        </is>
      </c>
      <c r="E230" t="inlineStr">
        <is>
          <t>Face Malai</t>
        </is>
      </c>
      <c r="F230" t="inlineStr">
        <is>
          <t>Active Gel</t>
        </is>
      </c>
      <c r="H230" t="inlineStr">
        <is>
          <t>Cocoa Mogra (Overnight) Face Malai - 30g, Turmeric Nutmeg (Pigmentation)  Face Malai - 30g</t>
        </is>
      </c>
      <c r="I230" t="inlineStr">
        <is>
          <t>Active Orange Kiwi Vit-C Gel</t>
        </is>
      </c>
      <c r="J230" t="inlineStr">
        <is>
          <t>Turmeric Nutmeg (Pigmentation)  Face Malai - 30g</t>
        </is>
      </c>
      <c r="K230" t="inlineStr">
        <is>
          <t>Turmeric Nutmeg (Pigmentation)  Face Malai - 30g</t>
        </is>
      </c>
      <c r="L230" t="inlineStr">
        <is>
          <t>Active Beetroot Tomato Vit-A Gel</t>
        </is>
      </c>
      <c r="N230" t="inlineStr">
        <is>
          <t>FC-DM-PG-030, FC-DM-NR-030</t>
        </is>
      </c>
      <c r="O230" t="inlineStr">
        <is>
          <t>FC-AC-OK-050</t>
        </is>
      </c>
      <c r="P230" t="inlineStr">
        <is>
          <t>FC-DM-PG-030</t>
        </is>
      </c>
      <c r="Q230" t="inlineStr">
        <is>
          <t>FC-DM-PG-030</t>
        </is>
      </c>
      <c r="R230" t="inlineStr">
        <is>
          <t>FC-AC-BT-050</t>
        </is>
      </c>
      <c r="T230" t="inlineStr">
        <is>
          <t>Jan 20, 2025</t>
        </is>
      </c>
      <c r="U230" t="inlineStr">
        <is>
          <t>May 28, 2025</t>
        </is>
      </c>
      <c r="V230" t="inlineStr">
        <is>
          <t>Jun 14, 2025</t>
        </is>
      </c>
      <c r="W230" t="inlineStr">
        <is>
          <t>Dec 1, 2025</t>
        </is>
      </c>
      <c r="X230" t="inlineStr">
        <is>
          <t>May 6, 2026</t>
        </is>
      </c>
      <c r="Z230" t="n">
        <v>128</v>
      </c>
      <c r="AA230" t="n">
        <v>17</v>
      </c>
      <c r="AB230" t="n">
        <v>170</v>
      </c>
      <c r="AC230" t="n">
        <v>156</v>
      </c>
      <c r="AE230" t="inlineStr">
        <is>
          <t>Gurgaon</t>
        </is>
      </c>
      <c r="AF230" t="inlineStr">
        <is>
          <t>2025-01</t>
        </is>
      </c>
      <c r="AG230" t="n">
        <v>1</v>
      </c>
      <c r="AH230" t="n">
        <v>5</v>
      </c>
      <c r="AI230" t="n">
        <v>1</v>
      </c>
      <c r="AJ230">
        <f>IF($AE230="","",IFERROR(VLOOKUP(TRIM($AE230),DECODE!$H$3:$I$60,2,FALSE),"Rest of India"))</f>
        <v/>
      </c>
      <c r="AK230">
        <f>IF($N230="","",UPPER(TRIM(LEFT($N230&amp;",",FIND(",",$N230&amp;",")-1))))</f>
        <v/>
      </c>
      <c r="AL230">
        <f>IF($AK230="","",MID($AK230,4,FIND("~",SUBSTITUTE($AK230,"-","~",2))-4))</f>
        <v/>
      </c>
      <c r="AM230">
        <f>IF($AK230="","",MID($AK230,FIND("~",SUBSTITUTE($AK230,"-","~",2))+1,FIND("~",SUBSTITUTE($AK230,"-","~",3))-FIND("~",SUBSTITUTE($AK230,"-","~",2))-1))</f>
        <v/>
      </c>
      <c r="AN230">
        <f>IF($AL230="","",IFERROR(VLOOKUP($AL230,DECODE!$A$3:$C$8,3,FALSE),"?"))</f>
        <v/>
      </c>
      <c r="AO230">
        <f>IF($AM230="","",IFERROR(VLOOKUP($AL230&amp;"-"&amp;$AM230,DECODE!$E$3:$F$21,2,FALSE),"?"))</f>
        <v/>
      </c>
      <c r="AP230">
        <f>IF($AK230="","",IFERROR(VALUE(RIGHT($AK230,3)),""))</f>
        <v/>
      </c>
      <c r="AQ230">
        <f>IF($T230="","",IFERROR(IF(ISNUMBER($T230),$T230,DATEVALUE(TRIM($T230))),""))</f>
        <v/>
      </c>
      <c r="AR230">
        <f>IF($AQ230="","",IF(MONTH($AQ230)&gt;=12,"Cold Winter",IF(MONTH($AQ230)&gt;=10,"Post-Monsoon",IF(MONTH($AQ230)&gt;=6,"Hot Humid",IF(MONTH($AQ230)&gt;=3,"Hot Dry","Cold Winter")))))</f>
        <v/>
      </c>
      <c r="AS230">
        <f>IF($AL230="","",IFERROR(VLOOKUP($AL230,DECODE!$A$3:$C$8,2,FALSE),"?"))</f>
        <v/>
      </c>
      <c r="AT230">
        <f>IF($O230="","",UPPER(TRIM(LEFT($O230&amp;",",FIND(",",$O230&amp;",")-1))))</f>
        <v/>
      </c>
      <c r="AU230">
        <f>IF($AT230="","",MID($AT230,4,FIND("~",SUBSTITUTE($AT230,"-","~",2))-4))</f>
        <v/>
      </c>
      <c r="AV230">
        <f>IF($AT230="","",MID($AT230,FIND("~",SUBSTITUTE($AT230,"-","~",2))+1,FIND("~",SUBSTITUTE($AT230,"-","~",3))-FIND("~",SUBSTITUTE($AT230,"-","~",2))-1))</f>
        <v/>
      </c>
      <c r="AW230">
        <f>IF($AU230="","",IFERROR(VLOOKUP($AU230,DECODE!$A$3:$C$8,3,FALSE),"?"))</f>
        <v/>
      </c>
      <c r="AX230">
        <f>IF($AV230="","",IFERROR(VLOOKUP($AU230&amp;"-"&amp;$AV230,DECODE!$E$3:$F$21,2,FALSE),"?"))</f>
        <v/>
      </c>
      <c r="AY230">
        <f>IF($AT230="","",IFERROR(VALUE(RIGHT($AT230,3)),""))</f>
        <v/>
      </c>
      <c r="AZ230">
        <f>IF($U230="","",IFERROR(IF(ISNUMBER($U230),$U230,DATEVALUE(TRIM($U230))),""))</f>
        <v/>
      </c>
      <c r="BA230">
        <f>IF($AZ230="","",IF(MONTH($AZ230)&gt;=12,"Cold Winter",IF(MONTH($AZ230)&gt;=10,"Post-Monsoon",IF(MONTH($AZ230)&gt;=6,"Hot Humid",IF(MONTH($AZ230)&gt;=3,"Hot Dry","Cold Winter")))))</f>
        <v/>
      </c>
      <c r="BB230">
        <f>IF($AU230="","",IFERROR(VLOOKUP($AU230,DECODE!$A$3:$C$8,2,FALSE),"?"))</f>
        <v/>
      </c>
      <c r="BC230">
        <f>IF($P230="","",UPPER(TRIM(LEFT($P230&amp;",",FIND(",",$P230&amp;",")-1))))</f>
        <v/>
      </c>
      <c r="BD230">
        <f>IF($BC230="","",MID($BC230,4,FIND("~",SUBSTITUTE($BC230,"-","~",2))-4))</f>
        <v/>
      </c>
      <c r="BE230">
        <f>IF($BC230="","",MID($BC230,FIND("~",SUBSTITUTE($BC230,"-","~",2))+1,FIND("~",SUBSTITUTE($BC230,"-","~",3))-FIND("~",SUBSTITUTE($BC230,"-","~",2))-1))</f>
        <v/>
      </c>
      <c r="BF230">
        <f>IF($BD230="","",IFERROR(VLOOKUP($BD230,DECODE!$A$3:$C$8,3,FALSE),"?"))</f>
        <v/>
      </c>
      <c r="BG230">
        <f>IF($BE230="","",IFERROR(VLOOKUP($BD230&amp;"-"&amp;$BE230,DECODE!$E$3:$F$21,2,FALSE),"?"))</f>
        <v/>
      </c>
      <c r="BH230">
        <f>IF($BC230="","",IFERROR(VALUE(RIGHT($BC230,3)),""))</f>
        <v/>
      </c>
      <c r="BI230">
        <f>IF($V230="","",IFERROR(IF(ISNUMBER($V230),$V230,DATEVALUE(TRIM($V230))),""))</f>
        <v/>
      </c>
      <c r="BJ230">
        <f>IF($BI230="","",IF(MONTH($BI230)&gt;=12,"Cold Winter",IF(MONTH($BI230)&gt;=10,"Post-Monsoon",IF(MONTH($BI230)&gt;=6,"Hot Humid",IF(MONTH($BI230)&gt;=3,"Hot Dry","Cold Winter")))))</f>
        <v/>
      </c>
      <c r="BK230">
        <f>IF($BD230="","",IFERROR(VLOOKUP($BD230,DECODE!$A$3:$C$8,2,FALSE),"?"))</f>
        <v/>
      </c>
      <c r="BL230">
        <f>IF($Q230="","",UPPER(TRIM(LEFT($Q230&amp;",",FIND(",",$Q230&amp;",")-1))))</f>
        <v/>
      </c>
      <c r="BM230">
        <f>IF($BL230="","",MID($BL230,4,FIND("~",SUBSTITUTE($BL230,"-","~",2))-4))</f>
        <v/>
      </c>
      <c r="BN230">
        <f>IF($BL230="","",MID($BL230,FIND("~",SUBSTITUTE($BL230,"-","~",2))+1,FIND("~",SUBSTITUTE($BL230,"-","~",3))-FIND("~",SUBSTITUTE($BL230,"-","~",2))-1))</f>
        <v/>
      </c>
      <c r="BO230">
        <f>IF($BM230="","",IFERROR(VLOOKUP($BM230,DECODE!$A$3:$C$8,3,FALSE),"?"))</f>
        <v/>
      </c>
      <c r="BP230">
        <f>IF($BN230="","",IFERROR(VLOOKUP($BM230&amp;"-"&amp;$BN230,DECODE!$E$3:$F$21,2,FALSE),"?"))</f>
        <v/>
      </c>
      <c r="BQ230">
        <f>IF($BL230="","",IFERROR(VALUE(RIGHT($BL230,3)),""))</f>
        <v/>
      </c>
      <c r="BR230">
        <f>IF($W230="","",IFERROR(IF(ISNUMBER($W230),$W230,DATEVALUE(TRIM($W230))),""))</f>
        <v/>
      </c>
      <c r="BS230">
        <f>IF($BR230="","",IF(MONTH($BR230)&gt;=12,"Cold Winter",IF(MONTH($BR230)&gt;=10,"Post-Monsoon",IF(MONTH($BR230)&gt;=6,"Hot Humid",IF(MONTH($BR230)&gt;=3,"Hot Dry","Cold Winter")))))</f>
        <v/>
      </c>
      <c r="BT230">
        <f>IF($BM230="","",IFERROR(VLOOKUP($BM230,DECODE!$A$3:$C$8,2,FALSE),"?"))</f>
        <v/>
      </c>
      <c r="BU230">
        <f>IF($R230="","",UPPER(TRIM(LEFT($R230&amp;",",FIND(",",$R230&amp;",")-1))))</f>
        <v/>
      </c>
      <c r="BV230">
        <f>IF($BU230="","",MID($BU230,4,FIND("~",SUBSTITUTE($BU230,"-","~",2))-4))</f>
        <v/>
      </c>
      <c r="BW230">
        <f>IF($BU230="","",MID($BU230,FIND("~",SUBSTITUTE($BU230,"-","~",2))+1,FIND("~",SUBSTITUTE($BU230,"-","~",3))-FIND("~",SUBSTITUTE($BU230,"-","~",2))-1))</f>
        <v/>
      </c>
      <c r="BX230">
        <f>IF($BV230="","",IFERROR(VLOOKUP($BV230,DECODE!$A$3:$C$8,3,FALSE),"?"))</f>
        <v/>
      </c>
      <c r="BY230">
        <f>IF($BW230="","",IFERROR(VLOOKUP($BV230&amp;"-"&amp;$BW230,DECODE!$E$3:$F$21,2,FALSE),"?"))</f>
        <v/>
      </c>
      <c r="BZ230">
        <f>IF($BU230="","",IFERROR(VALUE(RIGHT($BU230,3)),""))</f>
        <v/>
      </c>
      <c r="CA230">
        <f>IF($X230="","",IFERROR(IF(ISNUMBER($X230),$X230,DATEVALUE(TRIM($X230))),""))</f>
        <v/>
      </c>
      <c r="CB230">
        <f>IF($CA230="","",IF(MONTH($CA230)&gt;=12,"Cold Winter",IF(MONTH($CA230)&gt;=10,"Post-Monsoon",IF(MONTH($CA230)&gt;=6,"Hot Humid",IF(MONTH($CA230)&gt;=3,"Hot Dry","Cold Winter")))))</f>
        <v/>
      </c>
      <c r="CC230">
        <f>IF($BV230="","",IFERROR(VLOOKUP($BV230,DECODE!$A$3:$C$8,2,FALSE),"?"))</f>
        <v/>
      </c>
      <c r="CD230">
        <f>IF($S230="","",UPPER(TRIM(LEFT($S230&amp;",",FIND(",",$S230&amp;",")-1))))</f>
        <v/>
      </c>
      <c r="CE230">
        <f>IF($CD230="","",MID($CD230,4,FIND("~",SUBSTITUTE($CD230,"-","~",2))-4))</f>
        <v/>
      </c>
      <c r="CF230">
        <f>IF($CD230="","",MID($CD230,FIND("~",SUBSTITUTE($CD230,"-","~",2))+1,FIND("~",SUBSTITUTE($CD230,"-","~",3))-FIND("~",SUBSTITUTE($CD230,"-","~",2))-1))</f>
        <v/>
      </c>
      <c r="CG230">
        <f>IF($CE230="","",IFERROR(VLOOKUP($CE230,DECODE!$A$3:$C$8,3,FALSE),"?"))</f>
        <v/>
      </c>
      <c r="CH230">
        <f>IF($CF230="","",IFERROR(VLOOKUP($CE230&amp;"-"&amp;$CF230,DECODE!$E$3:$F$21,2,FALSE),"?"))</f>
        <v/>
      </c>
      <c r="CI230">
        <f>IF($CD230="","",IFERROR(VALUE(RIGHT($CD230,3)),""))</f>
        <v/>
      </c>
      <c r="CJ230">
        <f>IF($Y230="","",IFERROR(IF(ISNUMBER($Y230),$Y230,DATEVALUE(TRIM($Y230))),""))</f>
        <v/>
      </c>
      <c r="CK230">
        <f>IF($CJ230="","",IF(MONTH($CJ230)&gt;=12,"Cold Winter",IF(MONTH($CJ230)&gt;=10,"Post-Monsoon",IF(MONTH($CJ230)&gt;=6,"Hot Humid",IF(MONTH($CJ230)&gt;=3,"Hot Dry","Cold Winter")))))</f>
        <v/>
      </c>
      <c r="CL230">
        <f>IF($CE230="","",IFERROR(VLOOKUP($CE230,DECODE!$A$3:$C$8,2,FALSE),"?"))</f>
        <v/>
      </c>
      <c r="CM230">
        <f>IF($AN230="","",AN230)</f>
        <v/>
      </c>
      <c r="CN230">
        <f>IF($AO230="","",AO230)</f>
        <v/>
      </c>
      <c r="CO230">
        <f>IF($AP230="","",AP230)</f>
        <v/>
      </c>
      <c r="CP230">
        <f>IF($CM230="","",IF($CM230="Aloe Vera Gel","Aloe Vera Gel "&amp;$CO230&amp;"g",CN230&amp;" "&amp;$CO230&amp;"g"))</f>
        <v/>
      </c>
      <c r="CQ230">
        <f>IF($AT230="",0,1)</f>
        <v/>
      </c>
      <c r="CR230">
        <f>IF($CQ230=0,"",AW230)</f>
        <v/>
      </c>
      <c r="CS230">
        <f>IF($CQ230=0,"",AX230)</f>
        <v/>
      </c>
      <c r="CT230">
        <f>IF($CQ230=0,"",AY230)</f>
        <v/>
      </c>
      <c r="CU230">
        <f>IF($CR230="","",IF($CR230="Aloe Vera Gel","Aloe Vera Gel "&amp;$CT230&amp;"g",CS230&amp;" "&amp;$CT230&amp;"g"))</f>
        <v/>
      </c>
      <c r="CV230">
        <f>IF($CQ230=0,"",IF($CP230=$CU230,"Repeat Exact",IF($CT230&gt;$CO230,"Upsized",IF($CT230&lt;$CO230,"Downsized",IF($CM230&lt;&gt;$CR230,"Lateral","Same Size Diff Variant")))))</f>
        <v/>
      </c>
      <c r="CW230">
        <f>IF($CQ230=0,"",AZ230-AQ230)</f>
        <v/>
      </c>
      <c r="CX230">
        <f>IF($CQ230=0,0,IF(CS230=CN230,1,0))</f>
        <v/>
      </c>
      <c r="CY230">
        <f>IF($CQ230=0,0,IF(CR230=CM230,1,0))</f>
        <v/>
      </c>
      <c r="CZ230">
        <f>IF($A230="","",IF(AND(IF(DASHBOARD!$C$4="All",TRUE,$CM230=DASHBOARD!$C$4),IF(DASHBOARD!$C$6="All",TRUE,$CP230=DASHBOARD!$C$6),IF(DASHBOARD!$C$8="All",TRUE,$AF230&gt;=DASHBOARD!$C$8),IF(DASHBOARD!$C$10="All",TRUE,$AF230&lt;=DASHBOARD!$C$10),IF(DASHBOARD!$C$12="All",TRUE,$AH230=VALUE(DASHBOARD!$C$12)),IF(DASHBOARD!$C$14="All",TRUE,$AJ230=DASHBOARD!$C$14)),1,0))</f>
        <v/>
      </c>
    </row>
    <row r="231">
      <c r="A231" t="n">
        <v>143237</v>
      </c>
      <c r="B231" t="inlineStr">
        <is>
          <t>Aloe Vera Gel</t>
        </is>
      </c>
      <c r="H231" t="inlineStr">
        <is>
          <t>Aloe Vera Gel - 40 gms</t>
        </is>
      </c>
      <c r="N231" t="inlineStr">
        <is>
          <t>FC-HG-PA-040</t>
        </is>
      </c>
      <c r="T231" t="inlineStr">
        <is>
          <t>Feb 25, 2024</t>
        </is>
      </c>
      <c r="AE231" t="inlineStr">
        <is>
          <t>Hyderabad</t>
        </is>
      </c>
      <c r="AF231" t="inlineStr">
        <is>
          <t>2024-02</t>
        </is>
      </c>
      <c r="AG231" t="n">
        <v>2</v>
      </c>
      <c r="AH231" t="n">
        <v>1</v>
      </c>
      <c r="AI231" t="n">
        <v>0</v>
      </c>
      <c r="AJ231">
        <f>IF($AE231="","",IFERROR(VLOOKUP(TRIM($AE231),DECODE!$H$3:$I$60,2,FALSE),"Rest of India"))</f>
        <v/>
      </c>
      <c r="AK231">
        <f>IF($N231="","",UPPER(TRIM(LEFT($N231&amp;",",FIND(",",$N231&amp;",")-1))))</f>
        <v/>
      </c>
      <c r="AL231">
        <f>IF($AK231="","",MID($AK231,4,FIND("~",SUBSTITUTE($AK231,"-","~",2))-4))</f>
        <v/>
      </c>
      <c r="AM231">
        <f>IF($AK231="","",MID($AK231,FIND("~",SUBSTITUTE($AK231,"-","~",2))+1,FIND("~",SUBSTITUTE($AK231,"-","~",3))-FIND("~",SUBSTITUTE($AK231,"-","~",2))-1))</f>
        <v/>
      </c>
      <c r="AN231">
        <f>IF($AL231="","",IFERROR(VLOOKUP($AL231,DECODE!$A$3:$C$8,3,FALSE),"?"))</f>
        <v/>
      </c>
      <c r="AO231">
        <f>IF($AM231="","",IFERROR(VLOOKUP($AL231&amp;"-"&amp;$AM231,DECODE!$E$3:$F$21,2,FALSE),"?"))</f>
        <v/>
      </c>
      <c r="AP231">
        <f>IF($AK231="","",IFERROR(VALUE(RIGHT($AK231,3)),""))</f>
        <v/>
      </c>
      <c r="AQ231">
        <f>IF($T231="","",IFERROR(IF(ISNUMBER($T231),$T231,DATEVALUE(TRIM($T231))),""))</f>
        <v/>
      </c>
      <c r="AR231">
        <f>IF($AQ231="","",IF(MONTH($AQ231)&gt;=12,"Cold Winter",IF(MONTH($AQ231)&gt;=10,"Post-Monsoon",IF(MONTH($AQ231)&gt;=6,"Hot Humid",IF(MONTH($AQ231)&gt;=3,"Hot Dry","Cold Winter")))))</f>
        <v/>
      </c>
      <c r="AS231">
        <f>IF($AL231="","",IFERROR(VLOOKUP($AL231,DECODE!$A$3:$C$8,2,FALSE),"?"))</f>
        <v/>
      </c>
      <c r="AT231">
        <f>IF($O231="","",UPPER(TRIM(LEFT($O231&amp;",",FIND(",",$O231&amp;",")-1))))</f>
        <v/>
      </c>
      <c r="AU231">
        <f>IF($AT231="","",MID($AT231,4,FIND("~",SUBSTITUTE($AT231,"-","~",2))-4))</f>
        <v/>
      </c>
      <c r="AV231">
        <f>IF($AT231="","",MID($AT231,FIND("~",SUBSTITUTE($AT231,"-","~",2))+1,FIND("~",SUBSTITUTE($AT231,"-","~",3))-FIND("~",SUBSTITUTE($AT231,"-","~",2))-1))</f>
        <v/>
      </c>
      <c r="AW231">
        <f>IF($AU231="","",IFERROR(VLOOKUP($AU231,DECODE!$A$3:$C$8,3,FALSE),"?"))</f>
        <v/>
      </c>
      <c r="AX231">
        <f>IF($AV231="","",IFERROR(VLOOKUP($AU231&amp;"-"&amp;$AV231,DECODE!$E$3:$F$21,2,FALSE),"?"))</f>
        <v/>
      </c>
      <c r="AY231">
        <f>IF($AT231="","",IFERROR(VALUE(RIGHT($AT231,3)),""))</f>
        <v/>
      </c>
      <c r="AZ231">
        <f>IF($U231="","",IFERROR(IF(ISNUMBER($U231),$U231,DATEVALUE(TRIM($U231))),""))</f>
        <v/>
      </c>
      <c r="BA231">
        <f>IF($AZ231="","",IF(MONTH($AZ231)&gt;=12,"Cold Winter",IF(MONTH($AZ231)&gt;=10,"Post-Monsoon",IF(MONTH($AZ231)&gt;=6,"Hot Humid",IF(MONTH($AZ231)&gt;=3,"Hot Dry","Cold Winter")))))</f>
        <v/>
      </c>
      <c r="BB231">
        <f>IF($AU231="","",IFERROR(VLOOKUP($AU231,DECODE!$A$3:$C$8,2,FALSE),"?"))</f>
        <v/>
      </c>
      <c r="BC231">
        <f>IF($P231="","",UPPER(TRIM(LEFT($P231&amp;",",FIND(",",$P231&amp;",")-1))))</f>
        <v/>
      </c>
      <c r="BD231">
        <f>IF($BC231="","",MID($BC231,4,FIND("~",SUBSTITUTE($BC231,"-","~",2))-4))</f>
        <v/>
      </c>
      <c r="BE231">
        <f>IF($BC231="","",MID($BC231,FIND("~",SUBSTITUTE($BC231,"-","~",2))+1,FIND("~",SUBSTITUTE($BC231,"-","~",3))-FIND("~",SUBSTITUTE($BC231,"-","~",2))-1))</f>
        <v/>
      </c>
      <c r="BF231">
        <f>IF($BD231="","",IFERROR(VLOOKUP($BD231,DECODE!$A$3:$C$8,3,FALSE),"?"))</f>
        <v/>
      </c>
      <c r="BG231">
        <f>IF($BE231="","",IFERROR(VLOOKUP($BD231&amp;"-"&amp;$BE231,DECODE!$E$3:$F$21,2,FALSE),"?"))</f>
        <v/>
      </c>
      <c r="BH231">
        <f>IF($BC231="","",IFERROR(VALUE(RIGHT($BC231,3)),""))</f>
        <v/>
      </c>
      <c r="BI231">
        <f>IF($V231="","",IFERROR(IF(ISNUMBER($V231),$V231,DATEVALUE(TRIM($V231))),""))</f>
        <v/>
      </c>
      <c r="BJ231">
        <f>IF($BI231="","",IF(MONTH($BI231)&gt;=12,"Cold Winter",IF(MONTH($BI231)&gt;=10,"Post-Monsoon",IF(MONTH($BI231)&gt;=6,"Hot Humid",IF(MONTH($BI231)&gt;=3,"Hot Dry","Cold Winter")))))</f>
        <v/>
      </c>
      <c r="BK231">
        <f>IF($BD231="","",IFERROR(VLOOKUP($BD231,DECODE!$A$3:$C$8,2,FALSE),"?"))</f>
        <v/>
      </c>
      <c r="BL231">
        <f>IF($Q231="","",UPPER(TRIM(LEFT($Q231&amp;",",FIND(",",$Q231&amp;",")-1))))</f>
        <v/>
      </c>
      <c r="BM231">
        <f>IF($BL231="","",MID($BL231,4,FIND("~",SUBSTITUTE($BL231,"-","~",2))-4))</f>
        <v/>
      </c>
      <c r="BN231">
        <f>IF($BL231="","",MID($BL231,FIND("~",SUBSTITUTE($BL231,"-","~",2))+1,FIND("~",SUBSTITUTE($BL231,"-","~",3))-FIND("~",SUBSTITUTE($BL231,"-","~",2))-1))</f>
        <v/>
      </c>
      <c r="BO231">
        <f>IF($BM231="","",IFERROR(VLOOKUP($BM231,DECODE!$A$3:$C$8,3,FALSE),"?"))</f>
        <v/>
      </c>
      <c r="BP231">
        <f>IF($BN231="","",IFERROR(VLOOKUP($BM231&amp;"-"&amp;$BN231,DECODE!$E$3:$F$21,2,FALSE),"?"))</f>
        <v/>
      </c>
      <c r="BQ231">
        <f>IF($BL231="","",IFERROR(VALUE(RIGHT($BL231,3)),""))</f>
        <v/>
      </c>
      <c r="BR231">
        <f>IF($W231="","",IFERROR(IF(ISNUMBER($W231),$W231,DATEVALUE(TRIM($W231))),""))</f>
        <v/>
      </c>
      <c r="BS231">
        <f>IF($BR231="","",IF(MONTH($BR231)&gt;=12,"Cold Winter",IF(MONTH($BR231)&gt;=10,"Post-Monsoon",IF(MONTH($BR231)&gt;=6,"Hot Humid",IF(MONTH($BR231)&gt;=3,"Hot Dry","Cold Winter")))))</f>
        <v/>
      </c>
      <c r="BT231">
        <f>IF($BM231="","",IFERROR(VLOOKUP($BM231,DECODE!$A$3:$C$8,2,FALSE),"?"))</f>
        <v/>
      </c>
      <c r="BU231">
        <f>IF($R231="","",UPPER(TRIM(LEFT($R231&amp;",",FIND(",",$R231&amp;",")-1))))</f>
        <v/>
      </c>
      <c r="BV231">
        <f>IF($BU231="","",MID($BU231,4,FIND("~",SUBSTITUTE($BU231,"-","~",2))-4))</f>
        <v/>
      </c>
      <c r="BW231">
        <f>IF($BU231="","",MID($BU231,FIND("~",SUBSTITUTE($BU231,"-","~",2))+1,FIND("~",SUBSTITUTE($BU231,"-","~",3))-FIND("~",SUBSTITUTE($BU231,"-","~",2))-1))</f>
        <v/>
      </c>
      <c r="BX231">
        <f>IF($BV231="","",IFERROR(VLOOKUP($BV231,DECODE!$A$3:$C$8,3,FALSE),"?"))</f>
        <v/>
      </c>
      <c r="BY231">
        <f>IF($BW231="","",IFERROR(VLOOKUP($BV231&amp;"-"&amp;$BW231,DECODE!$E$3:$F$21,2,FALSE),"?"))</f>
        <v/>
      </c>
      <c r="BZ231">
        <f>IF($BU231="","",IFERROR(VALUE(RIGHT($BU231,3)),""))</f>
        <v/>
      </c>
      <c r="CA231">
        <f>IF($X231="","",IFERROR(IF(ISNUMBER($X231),$X231,DATEVALUE(TRIM($X231))),""))</f>
        <v/>
      </c>
      <c r="CB231">
        <f>IF($CA231="","",IF(MONTH($CA231)&gt;=12,"Cold Winter",IF(MONTH($CA231)&gt;=10,"Post-Monsoon",IF(MONTH($CA231)&gt;=6,"Hot Humid",IF(MONTH($CA231)&gt;=3,"Hot Dry","Cold Winter")))))</f>
        <v/>
      </c>
      <c r="CC231">
        <f>IF($BV231="","",IFERROR(VLOOKUP($BV231,DECODE!$A$3:$C$8,2,FALSE),"?"))</f>
        <v/>
      </c>
      <c r="CD231">
        <f>IF($S231="","",UPPER(TRIM(LEFT($S231&amp;",",FIND(",",$S231&amp;",")-1))))</f>
        <v/>
      </c>
      <c r="CE231">
        <f>IF($CD231="","",MID($CD231,4,FIND("~",SUBSTITUTE($CD231,"-","~",2))-4))</f>
        <v/>
      </c>
      <c r="CF231">
        <f>IF($CD231="","",MID($CD231,FIND("~",SUBSTITUTE($CD231,"-","~",2))+1,FIND("~",SUBSTITUTE($CD231,"-","~",3))-FIND("~",SUBSTITUTE($CD231,"-","~",2))-1))</f>
        <v/>
      </c>
      <c r="CG231">
        <f>IF($CE231="","",IFERROR(VLOOKUP($CE231,DECODE!$A$3:$C$8,3,FALSE),"?"))</f>
        <v/>
      </c>
      <c r="CH231">
        <f>IF($CF231="","",IFERROR(VLOOKUP($CE231&amp;"-"&amp;$CF231,DECODE!$E$3:$F$21,2,FALSE),"?"))</f>
        <v/>
      </c>
      <c r="CI231">
        <f>IF($CD231="","",IFERROR(VALUE(RIGHT($CD231,3)),""))</f>
        <v/>
      </c>
      <c r="CJ231">
        <f>IF($Y231="","",IFERROR(IF(ISNUMBER($Y231),$Y231,DATEVALUE(TRIM($Y231))),""))</f>
        <v/>
      </c>
      <c r="CK231">
        <f>IF($CJ231="","",IF(MONTH($CJ231)&gt;=12,"Cold Winter",IF(MONTH($CJ231)&gt;=10,"Post-Monsoon",IF(MONTH($CJ231)&gt;=6,"Hot Humid",IF(MONTH($CJ231)&gt;=3,"Hot Dry","Cold Winter")))))</f>
        <v/>
      </c>
      <c r="CL231">
        <f>IF($CE231="","",IFERROR(VLOOKUP($CE231,DECODE!$A$3:$C$8,2,FALSE),"?"))</f>
        <v/>
      </c>
      <c r="CM231">
        <f>IF($AN231="","",AN231)</f>
        <v/>
      </c>
      <c r="CN231">
        <f>IF($AO231="","",AO231)</f>
        <v/>
      </c>
      <c r="CO231">
        <f>IF($AP231="","",AP231)</f>
        <v/>
      </c>
      <c r="CP231">
        <f>IF($CM231="","",IF($CM231="Aloe Vera Gel","Aloe Vera Gel "&amp;$CO231&amp;"g",CN231&amp;" "&amp;$CO231&amp;"g"))</f>
        <v/>
      </c>
      <c r="CQ231">
        <f>IF($AT231="",0,1)</f>
        <v/>
      </c>
      <c r="CR231">
        <f>IF($CQ231=0,"",AW231)</f>
        <v/>
      </c>
      <c r="CS231">
        <f>IF($CQ231=0,"",AX231)</f>
        <v/>
      </c>
      <c r="CT231">
        <f>IF($CQ231=0,"",AY231)</f>
        <v/>
      </c>
      <c r="CU231">
        <f>IF($CR231="","",IF($CR231="Aloe Vera Gel","Aloe Vera Gel "&amp;$CT231&amp;"g",CS231&amp;" "&amp;$CT231&amp;"g"))</f>
        <v/>
      </c>
      <c r="CV231">
        <f>IF($CQ231=0,"",IF($CP231=$CU231,"Repeat Exact",IF($CT231&gt;$CO231,"Upsized",IF($CT231&lt;$CO231,"Downsized",IF($CM231&lt;&gt;$CR231,"Lateral","Same Size Diff Variant")))))</f>
        <v/>
      </c>
      <c r="CW231">
        <f>IF($CQ231=0,"",AZ231-AQ231)</f>
        <v/>
      </c>
      <c r="CX231">
        <f>IF($CQ231=0,0,IF(CS231=CN231,1,0))</f>
        <v/>
      </c>
      <c r="CY231">
        <f>IF($CQ231=0,0,IF(CR231=CM231,1,0))</f>
        <v/>
      </c>
      <c r="CZ231">
        <f>IF($A231="","",IF(AND(IF(DASHBOARD!$C$4="All",TRUE,$CM231=DASHBOARD!$C$4),IF(DASHBOARD!$C$6="All",TRUE,$CP231=DASHBOARD!$C$6),IF(DASHBOARD!$C$8="All",TRUE,$AF231&gt;=DASHBOARD!$C$8),IF(DASHBOARD!$C$10="All",TRUE,$AF231&lt;=DASHBOARD!$C$10),IF(DASHBOARD!$C$12="All",TRUE,$AH231=VALUE(DASHBOARD!$C$12)),IF(DASHBOARD!$C$14="All",TRUE,$AJ231=DASHBOARD!$C$14)),1,0))</f>
        <v/>
      </c>
    </row>
    <row r="232">
      <c r="A232" t="n">
        <v>143277</v>
      </c>
      <c r="B232" t="inlineStr">
        <is>
          <t>Face Malai</t>
        </is>
      </c>
      <c r="H232" t="inlineStr">
        <is>
          <t>Turmeric Nutmeg (Pigmentation)  Face Malai - 30g</t>
        </is>
      </c>
      <c r="N232" t="inlineStr">
        <is>
          <t>FC-DM-PG-030</t>
        </is>
      </c>
      <c r="T232" t="inlineStr">
        <is>
          <t>Jan 17, 2025</t>
        </is>
      </c>
      <c r="AE232" t="inlineStr">
        <is>
          <t>Bidar</t>
        </is>
      </c>
      <c r="AF232" t="inlineStr">
        <is>
          <t>2025-01</t>
        </is>
      </c>
      <c r="AG232" t="n">
        <v>1</v>
      </c>
      <c r="AH232" t="n">
        <v>1</v>
      </c>
      <c r="AI232" t="n">
        <v>0</v>
      </c>
      <c r="AJ232">
        <f>IF($AE232="","",IFERROR(VLOOKUP(TRIM($AE232),DECODE!$H$3:$I$60,2,FALSE),"Rest of India"))</f>
        <v/>
      </c>
      <c r="AK232">
        <f>IF($N232="","",UPPER(TRIM(LEFT($N232&amp;",",FIND(",",$N232&amp;",")-1))))</f>
        <v/>
      </c>
      <c r="AL232">
        <f>IF($AK232="","",MID($AK232,4,FIND("~",SUBSTITUTE($AK232,"-","~",2))-4))</f>
        <v/>
      </c>
      <c r="AM232">
        <f>IF($AK232="","",MID($AK232,FIND("~",SUBSTITUTE($AK232,"-","~",2))+1,FIND("~",SUBSTITUTE($AK232,"-","~",3))-FIND("~",SUBSTITUTE($AK232,"-","~",2))-1))</f>
        <v/>
      </c>
      <c r="AN232">
        <f>IF($AL232="","",IFERROR(VLOOKUP($AL232,DECODE!$A$3:$C$8,3,FALSE),"?"))</f>
        <v/>
      </c>
      <c r="AO232">
        <f>IF($AM232="","",IFERROR(VLOOKUP($AL232&amp;"-"&amp;$AM232,DECODE!$E$3:$F$21,2,FALSE),"?"))</f>
        <v/>
      </c>
      <c r="AP232">
        <f>IF($AK232="","",IFERROR(VALUE(RIGHT($AK232,3)),""))</f>
        <v/>
      </c>
      <c r="AQ232">
        <f>IF($T232="","",IFERROR(IF(ISNUMBER($T232),$T232,DATEVALUE(TRIM($T232))),""))</f>
        <v/>
      </c>
      <c r="AR232">
        <f>IF($AQ232="","",IF(MONTH($AQ232)&gt;=12,"Cold Winter",IF(MONTH($AQ232)&gt;=10,"Post-Monsoon",IF(MONTH($AQ232)&gt;=6,"Hot Humid",IF(MONTH($AQ232)&gt;=3,"Hot Dry","Cold Winter")))))</f>
        <v/>
      </c>
      <c r="AS232">
        <f>IF($AL232="","",IFERROR(VLOOKUP($AL232,DECODE!$A$3:$C$8,2,FALSE),"?"))</f>
        <v/>
      </c>
      <c r="AT232">
        <f>IF($O232="","",UPPER(TRIM(LEFT($O232&amp;",",FIND(",",$O232&amp;",")-1))))</f>
        <v/>
      </c>
      <c r="AU232">
        <f>IF($AT232="","",MID($AT232,4,FIND("~",SUBSTITUTE($AT232,"-","~",2))-4))</f>
        <v/>
      </c>
      <c r="AV232">
        <f>IF($AT232="","",MID($AT232,FIND("~",SUBSTITUTE($AT232,"-","~",2))+1,FIND("~",SUBSTITUTE($AT232,"-","~",3))-FIND("~",SUBSTITUTE($AT232,"-","~",2))-1))</f>
        <v/>
      </c>
      <c r="AW232">
        <f>IF($AU232="","",IFERROR(VLOOKUP($AU232,DECODE!$A$3:$C$8,3,FALSE),"?"))</f>
        <v/>
      </c>
      <c r="AX232">
        <f>IF($AV232="","",IFERROR(VLOOKUP($AU232&amp;"-"&amp;$AV232,DECODE!$E$3:$F$21,2,FALSE),"?"))</f>
        <v/>
      </c>
      <c r="AY232">
        <f>IF($AT232="","",IFERROR(VALUE(RIGHT($AT232,3)),""))</f>
        <v/>
      </c>
      <c r="AZ232">
        <f>IF($U232="","",IFERROR(IF(ISNUMBER($U232),$U232,DATEVALUE(TRIM($U232))),""))</f>
        <v/>
      </c>
      <c r="BA232">
        <f>IF($AZ232="","",IF(MONTH($AZ232)&gt;=12,"Cold Winter",IF(MONTH($AZ232)&gt;=10,"Post-Monsoon",IF(MONTH($AZ232)&gt;=6,"Hot Humid",IF(MONTH($AZ232)&gt;=3,"Hot Dry","Cold Winter")))))</f>
        <v/>
      </c>
      <c r="BB232">
        <f>IF($AU232="","",IFERROR(VLOOKUP($AU232,DECODE!$A$3:$C$8,2,FALSE),"?"))</f>
        <v/>
      </c>
      <c r="BC232">
        <f>IF($P232="","",UPPER(TRIM(LEFT($P232&amp;",",FIND(",",$P232&amp;",")-1))))</f>
        <v/>
      </c>
      <c r="BD232">
        <f>IF($BC232="","",MID($BC232,4,FIND("~",SUBSTITUTE($BC232,"-","~",2))-4))</f>
        <v/>
      </c>
      <c r="BE232">
        <f>IF($BC232="","",MID($BC232,FIND("~",SUBSTITUTE($BC232,"-","~",2))+1,FIND("~",SUBSTITUTE($BC232,"-","~",3))-FIND("~",SUBSTITUTE($BC232,"-","~",2))-1))</f>
        <v/>
      </c>
      <c r="BF232">
        <f>IF($BD232="","",IFERROR(VLOOKUP($BD232,DECODE!$A$3:$C$8,3,FALSE),"?"))</f>
        <v/>
      </c>
      <c r="BG232">
        <f>IF($BE232="","",IFERROR(VLOOKUP($BD232&amp;"-"&amp;$BE232,DECODE!$E$3:$F$21,2,FALSE),"?"))</f>
        <v/>
      </c>
      <c r="BH232">
        <f>IF($BC232="","",IFERROR(VALUE(RIGHT($BC232,3)),""))</f>
        <v/>
      </c>
      <c r="BI232">
        <f>IF($V232="","",IFERROR(IF(ISNUMBER($V232),$V232,DATEVALUE(TRIM($V232))),""))</f>
        <v/>
      </c>
      <c r="BJ232">
        <f>IF($BI232="","",IF(MONTH($BI232)&gt;=12,"Cold Winter",IF(MONTH($BI232)&gt;=10,"Post-Monsoon",IF(MONTH($BI232)&gt;=6,"Hot Humid",IF(MONTH($BI232)&gt;=3,"Hot Dry","Cold Winter")))))</f>
        <v/>
      </c>
      <c r="BK232">
        <f>IF($BD232="","",IFERROR(VLOOKUP($BD232,DECODE!$A$3:$C$8,2,FALSE),"?"))</f>
        <v/>
      </c>
      <c r="BL232">
        <f>IF($Q232="","",UPPER(TRIM(LEFT($Q232&amp;",",FIND(",",$Q232&amp;",")-1))))</f>
        <v/>
      </c>
      <c r="BM232">
        <f>IF($BL232="","",MID($BL232,4,FIND("~",SUBSTITUTE($BL232,"-","~",2))-4))</f>
        <v/>
      </c>
      <c r="BN232">
        <f>IF($BL232="","",MID($BL232,FIND("~",SUBSTITUTE($BL232,"-","~",2))+1,FIND("~",SUBSTITUTE($BL232,"-","~",3))-FIND("~",SUBSTITUTE($BL232,"-","~",2))-1))</f>
        <v/>
      </c>
      <c r="BO232">
        <f>IF($BM232="","",IFERROR(VLOOKUP($BM232,DECODE!$A$3:$C$8,3,FALSE),"?"))</f>
        <v/>
      </c>
      <c r="BP232">
        <f>IF($BN232="","",IFERROR(VLOOKUP($BM232&amp;"-"&amp;$BN232,DECODE!$E$3:$F$21,2,FALSE),"?"))</f>
        <v/>
      </c>
      <c r="BQ232">
        <f>IF($BL232="","",IFERROR(VALUE(RIGHT($BL232,3)),""))</f>
        <v/>
      </c>
      <c r="BR232">
        <f>IF($W232="","",IFERROR(IF(ISNUMBER($W232),$W232,DATEVALUE(TRIM($W232))),""))</f>
        <v/>
      </c>
      <c r="BS232">
        <f>IF($BR232="","",IF(MONTH($BR232)&gt;=12,"Cold Winter",IF(MONTH($BR232)&gt;=10,"Post-Monsoon",IF(MONTH($BR232)&gt;=6,"Hot Humid",IF(MONTH($BR232)&gt;=3,"Hot Dry","Cold Winter")))))</f>
        <v/>
      </c>
      <c r="BT232">
        <f>IF($BM232="","",IFERROR(VLOOKUP($BM232,DECODE!$A$3:$C$8,2,FALSE),"?"))</f>
        <v/>
      </c>
      <c r="BU232">
        <f>IF($R232="","",UPPER(TRIM(LEFT($R232&amp;",",FIND(",",$R232&amp;",")-1))))</f>
        <v/>
      </c>
      <c r="BV232">
        <f>IF($BU232="","",MID($BU232,4,FIND("~",SUBSTITUTE($BU232,"-","~",2))-4))</f>
        <v/>
      </c>
      <c r="BW232">
        <f>IF($BU232="","",MID($BU232,FIND("~",SUBSTITUTE($BU232,"-","~",2))+1,FIND("~",SUBSTITUTE($BU232,"-","~",3))-FIND("~",SUBSTITUTE($BU232,"-","~",2))-1))</f>
        <v/>
      </c>
      <c r="BX232">
        <f>IF($BV232="","",IFERROR(VLOOKUP($BV232,DECODE!$A$3:$C$8,3,FALSE),"?"))</f>
        <v/>
      </c>
      <c r="BY232">
        <f>IF($BW232="","",IFERROR(VLOOKUP($BV232&amp;"-"&amp;$BW232,DECODE!$E$3:$F$21,2,FALSE),"?"))</f>
        <v/>
      </c>
      <c r="BZ232">
        <f>IF($BU232="","",IFERROR(VALUE(RIGHT($BU232,3)),""))</f>
        <v/>
      </c>
      <c r="CA232">
        <f>IF($X232="","",IFERROR(IF(ISNUMBER($X232),$X232,DATEVALUE(TRIM($X232))),""))</f>
        <v/>
      </c>
      <c r="CB232">
        <f>IF($CA232="","",IF(MONTH($CA232)&gt;=12,"Cold Winter",IF(MONTH($CA232)&gt;=10,"Post-Monsoon",IF(MONTH($CA232)&gt;=6,"Hot Humid",IF(MONTH($CA232)&gt;=3,"Hot Dry","Cold Winter")))))</f>
        <v/>
      </c>
      <c r="CC232">
        <f>IF($BV232="","",IFERROR(VLOOKUP($BV232,DECODE!$A$3:$C$8,2,FALSE),"?"))</f>
        <v/>
      </c>
      <c r="CD232">
        <f>IF($S232="","",UPPER(TRIM(LEFT($S232&amp;",",FIND(",",$S232&amp;",")-1))))</f>
        <v/>
      </c>
      <c r="CE232">
        <f>IF($CD232="","",MID($CD232,4,FIND("~",SUBSTITUTE($CD232,"-","~",2))-4))</f>
        <v/>
      </c>
      <c r="CF232">
        <f>IF($CD232="","",MID($CD232,FIND("~",SUBSTITUTE($CD232,"-","~",2))+1,FIND("~",SUBSTITUTE($CD232,"-","~",3))-FIND("~",SUBSTITUTE($CD232,"-","~",2))-1))</f>
        <v/>
      </c>
      <c r="CG232">
        <f>IF($CE232="","",IFERROR(VLOOKUP($CE232,DECODE!$A$3:$C$8,3,FALSE),"?"))</f>
        <v/>
      </c>
      <c r="CH232">
        <f>IF($CF232="","",IFERROR(VLOOKUP($CE232&amp;"-"&amp;$CF232,DECODE!$E$3:$F$21,2,FALSE),"?"))</f>
        <v/>
      </c>
      <c r="CI232">
        <f>IF($CD232="","",IFERROR(VALUE(RIGHT($CD232,3)),""))</f>
        <v/>
      </c>
      <c r="CJ232">
        <f>IF($Y232="","",IFERROR(IF(ISNUMBER($Y232),$Y232,DATEVALUE(TRIM($Y232))),""))</f>
        <v/>
      </c>
      <c r="CK232">
        <f>IF($CJ232="","",IF(MONTH($CJ232)&gt;=12,"Cold Winter",IF(MONTH($CJ232)&gt;=10,"Post-Monsoon",IF(MONTH($CJ232)&gt;=6,"Hot Humid",IF(MONTH($CJ232)&gt;=3,"Hot Dry","Cold Winter")))))</f>
        <v/>
      </c>
      <c r="CL232">
        <f>IF($CE232="","",IFERROR(VLOOKUP($CE232,DECODE!$A$3:$C$8,2,FALSE),"?"))</f>
        <v/>
      </c>
      <c r="CM232">
        <f>IF($AN232="","",AN232)</f>
        <v/>
      </c>
      <c r="CN232">
        <f>IF($AO232="","",AO232)</f>
        <v/>
      </c>
      <c r="CO232">
        <f>IF($AP232="","",AP232)</f>
        <v/>
      </c>
      <c r="CP232">
        <f>IF($CM232="","",IF($CM232="Aloe Vera Gel","Aloe Vera Gel "&amp;$CO232&amp;"g",CN232&amp;" "&amp;$CO232&amp;"g"))</f>
        <v/>
      </c>
      <c r="CQ232">
        <f>IF($AT232="",0,1)</f>
        <v/>
      </c>
      <c r="CR232">
        <f>IF($CQ232=0,"",AW232)</f>
        <v/>
      </c>
      <c r="CS232">
        <f>IF($CQ232=0,"",AX232)</f>
        <v/>
      </c>
      <c r="CT232">
        <f>IF($CQ232=0,"",AY232)</f>
        <v/>
      </c>
      <c r="CU232">
        <f>IF($CR232="","",IF($CR232="Aloe Vera Gel","Aloe Vera Gel "&amp;$CT232&amp;"g",CS232&amp;" "&amp;$CT232&amp;"g"))</f>
        <v/>
      </c>
      <c r="CV232">
        <f>IF($CQ232=0,"",IF($CP232=$CU232,"Repeat Exact",IF($CT232&gt;$CO232,"Upsized",IF($CT232&lt;$CO232,"Downsized",IF($CM232&lt;&gt;$CR232,"Lateral","Same Size Diff Variant")))))</f>
        <v/>
      </c>
      <c r="CW232">
        <f>IF($CQ232=0,"",AZ232-AQ232)</f>
        <v/>
      </c>
      <c r="CX232">
        <f>IF($CQ232=0,0,IF(CS232=CN232,1,0))</f>
        <v/>
      </c>
      <c r="CY232">
        <f>IF($CQ232=0,0,IF(CR232=CM232,1,0))</f>
        <v/>
      </c>
      <c r="CZ232">
        <f>IF($A232="","",IF(AND(IF(DASHBOARD!$C$4="All",TRUE,$CM232=DASHBOARD!$C$4),IF(DASHBOARD!$C$6="All",TRUE,$CP232=DASHBOARD!$C$6),IF(DASHBOARD!$C$8="All",TRUE,$AF232&gt;=DASHBOARD!$C$8),IF(DASHBOARD!$C$10="All",TRUE,$AF232&lt;=DASHBOARD!$C$10),IF(DASHBOARD!$C$12="All",TRUE,$AH232=VALUE(DASHBOARD!$C$12)),IF(DASHBOARD!$C$14="All",TRUE,$AJ232=DASHBOARD!$C$14)),1,0))</f>
        <v/>
      </c>
    </row>
    <row r="233">
      <c r="A233" t="n">
        <v>143282</v>
      </c>
      <c r="B233" t="inlineStr">
        <is>
          <t>Face Malai</t>
        </is>
      </c>
      <c r="H233" t="inlineStr">
        <is>
          <t>Flax Bakuchi (Hot Dry) 35+ Face Malai - 50g, Flax Carrot (Hot Humid) 35+ Face Malai - 50g</t>
        </is>
      </c>
      <c r="N233" t="inlineStr">
        <is>
          <t>FC-HDDM-FB-050, FC-HHDM-FC-050</t>
        </is>
      </c>
      <c r="T233" t="inlineStr">
        <is>
          <t>Aug 13, 2025</t>
        </is>
      </c>
      <c r="AE233" t="inlineStr">
        <is>
          <t>Jaipur</t>
        </is>
      </c>
      <c r="AF233" t="inlineStr">
        <is>
          <t>2025-08</t>
        </is>
      </c>
      <c r="AG233" t="n">
        <v>8</v>
      </c>
      <c r="AH233" t="n">
        <v>1</v>
      </c>
      <c r="AI233" t="n">
        <v>0</v>
      </c>
      <c r="AJ233">
        <f>IF($AE233="","",IFERROR(VLOOKUP(TRIM($AE233),DECODE!$H$3:$I$60,2,FALSE),"Rest of India"))</f>
        <v/>
      </c>
      <c r="AK233">
        <f>IF($N233="","",UPPER(TRIM(LEFT($N233&amp;",",FIND(",",$N233&amp;",")-1))))</f>
        <v/>
      </c>
      <c r="AL233">
        <f>IF($AK233="","",MID($AK233,4,FIND("~",SUBSTITUTE($AK233,"-","~",2))-4))</f>
        <v/>
      </c>
      <c r="AM233">
        <f>IF($AK233="","",MID($AK233,FIND("~",SUBSTITUTE($AK233,"-","~",2))+1,FIND("~",SUBSTITUTE($AK233,"-","~",3))-FIND("~",SUBSTITUTE($AK233,"-","~",2))-1))</f>
        <v/>
      </c>
      <c r="AN233">
        <f>IF($AL233="","",IFERROR(VLOOKUP($AL233,DECODE!$A$3:$C$8,3,FALSE),"?"))</f>
        <v/>
      </c>
      <c r="AO233">
        <f>IF($AM233="","",IFERROR(VLOOKUP($AL233&amp;"-"&amp;$AM233,DECODE!$E$3:$F$21,2,FALSE),"?"))</f>
        <v/>
      </c>
      <c r="AP233">
        <f>IF($AK233="","",IFERROR(VALUE(RIGHT($AK233,3)),""))</f>
        <v/>
      </c>
      <c r="AQ233">
        <f>IF($T233="","",IFERROR(IF(ISNUMBER($T233),$T233,DATEVALUE(TRIM($T233))),""))</f>
        <v/>
      </c>
      <c r="AR233">
        <f>IF($AQ233="","",IF(MONTH($AQ233)&gt;=12,"Cold Winter",IF(MONTH($AQ233)&gt;=10,"Post-Monsoon",IF(MONTH($AQ233)&gt;=6,"Hot Humid",IF(MONTH($AQ233)&gt;=3,"Hot Dry","Cold Winter")))))</f>
        <v/>
      </c>
      <c r="AS233">
        <f>IF($AL233="","",IFERROR(VLOOKUP($AL233,DECODE!$A$3:$C$8,2,FALSE),"?"))</f>
        <v/>
      </c>
      <c r="AT233">
        <f>IF($O233="","",UPPER(TRIM(LEFT($O233&amp;",",FIND(",",$O233&amp;",")-1))))</f>
        <v/>
      </c>
      <c r="AU233">
        <f>IF($AT233="","",MID($AT233,4,FIND("~",SUBSTITUTE($AT233,"-","~",2))-4))</f>
        <v/>
      </c>
      <c r="AV233">
        <f>IF($AT233="","",MID($AT233,FIND("~",SUBSTITUTE($AT233,"-","~",2))+1,FIND("~",SUBSTITUTE($AT233,"-","~",3))-FIND("~",SUBSTITUTE($AT233,"-","~",2))-1))</f>
        <v/>
      </c>
      <c r="AW233">
        <f>IF($AU233="","",IFERROR(VLOOKUP($AU233,DECODE!$A$3:$C$8,3,FALSE),"?"))</f>
        <v/>
      </c>
      <c r="AX233">
        <f>IF($AV233="","",IFERROR(VLOOKUP($AU233&amp;"-"&amp;$AV233,DECODE!$E$3:$F$21,2,FALSE),"?"))</f>
        <v/>
      </c>
      <c r="AY233">
        <f>IF($AT233="","",IFERROR(VALUE(RIGHT($AT233,3)),""))</f>
        <v/>
      </c>
      <c r="AZ233">
        <f>IF($U233="","",IFERROR(IF(ISNUMBER($U233),$U233,DATEVALUE(TRIM($U233))),""))</f>
        <v/>
      </c>
      <c r="BA233">
        <f>IF($AZ233="","",IF(MONTH($AZ233)&gt;=12,"Cold Winter",IF(MONTH($AZ233)&gt;=10,"Post-Monsoon",IF(MONTH($AZ233)&gt;=6,"Hot Humid",IF(MONTH($AZ233)&gt;=3,"Hot Dry","Cold Winter")))))</f>
        <v/>
      </c>
      <c r="BB233">
        <f>IF($AU233="","",IFERROR(VLOOKUP($AU233,DECODE!$A$3:$C$8,2,FALSE),"?"))</f>
        <v/>
      </c>
      <c r="BC233">
        <f>IF($P233="","",UPPER(TRIM(LEFT($P233&amp;",",FIND(",",$P233&amp;",")-1))))</f>
        <v/>
      </c>
      <c r="BD233">
        <f>IF($BC233="","",MID($BC233,4,FIND("~",SUBSTITUTE($BC233,"-","~",2))-4))</f>
        <v/>
      </c>
      <c r="BE233">
        <f>IF($BC233="","",MID($BC233,FIND("~",SUBSTITUTE($BC233,"-","~",2))+1,FIND("~",SUBSTITUTE($BC233,"-","~",3))-FIND("~",SUBSTITUTE($BC233,"-","~",2))-1))</f>
        <v/>
      </c>
      <c r="BF233">
        <f>IF($BD233="","",IFERROR(VLOOKUP($BD233,DECODE!$A$3:$C$8,3,FALSE),"?"))</f>
        <v/>
      </c>
      <c r="BG233">
        <f>IF($BE233="","",IFERROR(VLOOKUP($BD233&amp;"-"&amp;$BE233,DECODE!$E$3:$F$21,2,FALSE),"?"))</f>
        <v/>
      </c>
      <c r="BH233">
        <f>IF($BC233="","",IFERROR(VALUE(RIGHT($BC233,3)),""))</f>
        <v/>
      </c>
      <c r="BI233">
        <f>IF($V233="","",IFERROR(IF(ISNUMBER($V233),$V233,DATEVALUE(TRIM($V233))),""))</f>
        <v/>
      </c>
      <c r="BJ233">
        <f>IF($BI233="","",IF(MONTH($BI233)&gt;=12,"Cold Winter",IF(MONTH($BI233)&gt;=10,"Post-Monsoon",IF(MONTH($BI233)&gt;=6,"Hot Humid",IF(MONTH($BI233)&gt;=3,"Hot Dry","Cold Winter")))))</f>
        <v/>
      </c>
      <c r="BK233">
        <f>IF($BD233="","",IFERROR(VLOOKUP($BD233,DECODE!$A$3:$C$8,2,FALSE),"?"))</f>
        <v/>
      </c>
      <c r="BL233">
        <f>IF($Q233="","",UPPER(TRIM(LEFT($Q233&amp;",",FIND(",",$Q233&amp;",")-1))))</f>
        <v/>
      </c>
      <c r="BM233">
        <f>IF($BL233="","",MID($BL233,4,FIND("~",SUBSTITUTE($BL233,"-","~",2))-4))</f>
        <v/>
      </c>
      <c r="BN233">
        <f>IF($BL233="","",MID($BL233,FIND("~",SUBSTITUTE($BL233,"-","~",2))+1,FIND("~",SUBSTITUTE($BL233,"-","~",3))-FIND("~",SUBSTITUTE($BL233,"-","~",2))-1))</f>
        <v/>
      </c>
      <c r="BO233">
        <f>IF($BM233="","",IFERROR(VLOOKUP($BM233,DECODE!$A$3:$C$8,3,FALSE),"?"))</f>
        <v/>
      </c>
      <c r="BP233">
        <f>IF($BN233="","",IFERROR(VLOOKUP($BM233&amp;"-"&amp;$BN233,DECODE!$E$3:$F$21,2,FALSE),"?"))</f>
        <v/>
      </c>
      <c r="BQ233">
        <f>IF($BL233="","",IFERROR(VALUE(RIGHT($BL233,3)),""))</f>
        <v/>
      </c>
      <c r="BR233">
        <f>IF($W233="","",IFERROR(IF(ISNUMBER($W233),$W233,DATEVALUE(TRIM($W233))),""))</f>
        <v/>
      </c>
      <c r="BS233">
        <f>IF($BR233="","",IF(MONTH($BR233)&gt;=12,"Cold Winter",IF(MONTH($BR233)&gt;=10,"Post-Monsoon",IF(MONTH($BR233)&gt;=6,"Hot Humid",IF(MONTH($BR233)&gt;=3,"Hot Dry","Cold Winter")))))</f>
        <v/>
      </c>
      <c r="BT233">
        <f>IF($BM233="","",IFERROR(VLOOKUP($BM233,DECODE!$A$3:$C$8,2,FALSE),"?"))</f>
        <v/>
      </c>
      <c r="BU233">
        <f>IF($R233="","",UPPER(TRIM(LEFT($R233&amp;",",FIND(",",$R233&amp;",")-1))))</f>
        <v/>
      </c>
      <c r="BV233">
        <f>IF($BU233="","",MID($BU233,4,FIND("~",SUBSTITUTE($BU233,"-","~",2))-4))</f>
        <v/>
      </c>
      <c r="BW233">
        <f>IF($BU233="","",MID($BU233,FIND("~",SUBSTITUTE($BU233,"-","~",2))+1,FIND("~",SUBSTITUTE($BU233,"-","~",3))-FIND("~",SUBSTITUTE($BU233,"-","~",2))-1))</f>
        <v/>
      </c>
      <c r="BX233">
        <f>IF($BV233="","",IFERROR(VLOOKUP($BV233,DECODE!$A$3:$C$8,3,FALSE),"?"))</f>
        <v/>
      </c>
      <c r="BY233">
        <f>IF($BW233="","",IFERROR(VLOOKUP($BV233&amp;"-"&amp;$BW233,DECODE!$E$3:$F$21,2,FALSE),"?"))</f>
        <v/>
      </c>
      <c r="BZ233">
        <f>IF($BU233="","",IFERROR(VALUE(RIGHT($BU233,3)),""))</f>
        <v/>
      </c>
      <c r="CA233">
        <f>IF($X233="","",IFERROR(IF(ISNUMBER($X233),$X233,DATEVALUE(TRIM($X233))),""))</f>
        <v/>
      </c>
      <c r="CB233">
        <f>IF($CA233="","",IF(MONTH($CA233)&gt;=12,"Cold Winter",IF(MONTH($CA233)&gt;=10,"Post-Monsoon",IF(MONTH($CA233)&gt;=6,"Hot Humid",IF(MONTH($CA233)&gt;=3,"Hot Dry","Cold Winter")))))</f>
        <v/>
      </c>
      <c r="CC233">
        <f>IF($BV233="","",IFERROR(VLOOKUP($BV233,DECODE!$A$3:$C$8,2,FALSE),"?"))</f>
        <v/>
      </c>
      <c r="CD233">
        <f>IF($S233="","",UPPER(TRIM(LEFT($S233&amp;",",FIND(",",$S233&amp;",")-1))))</f>
        <v/>
      </c>
      <c r="CE233">
        <f>IF($CD233="","",MID($CD233,4,FIND("~",SUBSTITUTE($CD233,"-","~",2))-4))</f>
        <v/>
      </c>
      <c r="CF233">
        <f>IF($CD233="","",MID($CD233,FIND("~",SUBSTITUTE($CD233,"-","~",2))+1,FIND("~",SUBSTITUTE($CD233,"-","~",3))-FIND("~",SUBSTITUTE($CD233,"-","~",2))-1))</f>
        <v/>
      </c>
      <c r="CG233">
        <f>IF($CE233="","",IFERROR(VLOOKUP($CE233,DECODE!$A$3:$C$8,3,FALSE),"?"))</f>
        <v/>
      </c>
      <c r="CH233">
        <f>IF($CF233="","",IFERROR(VLOOKUP($CE233&amp;"-"&amp;$CF233,DECODE!$E$3:$F$21,2,FALSE),"?"))</f>
        <v/>
      </c>
      <c r="CI233">
        <f>IF($CD233="","",IFERROR(VALUE(RIGHT($CD233,3)),""))</f>
        <v/>
      </c>
      <c r="CJ233">
        <f>IF($Y233="","",IFERROR(IF(ISNUMBER($Y233),$Y233,DATEVALUE(TRIM($Y233))),""))</f>
        <v/>
      </c>
      <c r="CK233">
        <f>IF($CJ233="","",IF(MONTH($CJ233)&gt;=12,"Cold Winter",IF(MONTH($CJ233)&gt;=10,"Post-Monsoon",IF(MONTH($CJ233)&gt;=6,"Hot Humid",IF(MONTH($CJ233)&gt;=3,"Hot Dry","Cold Winter")))))</f>
        <v/>
      </c>
      <c r="CL233">
        <f>IF($CE233="","",IFERROR(VLOOKUP($CE233,DECODE!$A$3:$C$8,2,FALSE),"?"))</f>
        <v/>
      </c>
      <c r="CM233">
        <f>IF($AN233="","",AN233)</f>
        <v/>
      </c>
      <c r="CN233">
        <f>IF($AO233="","",AO233)</f>
        <v/>
      </c>
      <c r="CO233">
        <f>IF($AP233="","",AP233)</f>
        <v/>
      </c>
      <c r="CP233">
        <f>IF($CM233="","",IF($CM233="Aloe Vera Gel","Aloe Vera Gel "&amp;$CO233&amp;"g",CN233&amp;" "&amp;$CO233&amp;"g"))</f>
        <v/>
      </c>
      <c r="CQ233">
        <f>IF($AT233="",0,1)</f>
        <v/>
      </c>
      <c r="CR233">
        <f>IF($CQ233=0,"",AW233)</f>
        <v/>
      </c>
      <c r="CS233">
        <f>IF($CQ233=0,"",AX233)</f>
        <v/>
      </c>
      <c r="CT233">
        <f>IF($CQ233=0,"",AY233)</f>
        <v/>
      </c>
      <c r="CU233">
        <f>IF($CR233="","",IF($CR233="Aloe Vera Gel","Aloe Vera Gel "&amp;$CT233&amp;"g",CS233&amp;" "&amp;$CT233&amp;"g"))</f>
        <v/>
      </c>
      <c r="CV233">
        <f>IF($CQ233=0,"",IF($CP233=$CU233,"Repeat Exact",IF($CT233&gt;$CO233,"Upsized",IF($CT233&lt;$CO233,"Downsized",IF($CM233&lt;&gt;$CR233,"Lateral","Same Size Diff Variant")))))</f>
        <v/>
      </c>
      <c r="CW233">
        <f>IF($CQ233=0,"",AZ233-AQ233)</f>
        <v/>
      </c>
      <c r="CX233">
        <f>IF($CQ233=0,0,IF(CS233=CN233,1,0))</f>
        <v/>
      </c>
      <c r="CY233">
        <f>IF($CQ233=0,0,IF(CR233=CM233,1,0))</f>
        <v/>
      </c>
      <c r="CZ233">
        <f>IF($A233="","",IF(AND(IF(DASHBOARD!$C$4="All",TRUE,$CM233=DASHBOARD!$C$4),IF(DASHBOARD!$C$6="All",TRUE,$CP233=DASHBOARD!$C$6),IF(DASHBOARD!$C$8="All",TRUE,$AF233&gt;=DASHBOARD!$C$8),IF(DASHBOARD!$C$10="All",TRUE,$AF233&lt;=DASHBOARD!$C$10),IF(DASHBOARD!$C$12="All",TRUE,$AH233=VALUE(DASHBOARD!$C$12)),IF(DASHBOARD!$C$14="All",TRUE,$AJ233=DASHBOARD!$C$14)),1,0))</f>
        <v/>
      </c>
    </row>
    <row r="234">
      <c r="A234" t="n">
        <v>143364</v>
      </c>
      <c r="B234" t="inlineStr">
        <is>
          <t>Face Malai</t>
        </is>
      </c>
      <c r="H234" t="inlineStr">
        <is>
          <t>Turmeric Nutmeg (Pigmentation)  Face Malai - 30g</t>
        </is>
      </c>
      <c r="N234" t="inlineStr">
        <is>
          <t>FC-DM-PG-030</t>
        </is>
      </c>
      <c r="T234" t="inlineStr">
        <is>
          <t>Jan 16, 2024</t>
        </is>
      </c>
      <c r="AE234" t="inlineStr">
        <is>
          <t>Hyderabad</t>
        </is>
      </c>
      <c r="AF234" t="inlineStr">
        <is>
          <t>2024-01</t>
        </is>
      </c>
      <c r="AG234" t="n">
        <v>1</v>
      </c>
      <c r="AH234" t="n">
        <v>1</v>
      </c>
      <c r="AI234" t="n">
        <v>0</v>
      </c>
      <c r="AJ234">
        <f>IF($AE234="","",IFERROR(VLOOKUP(TRIM($AE234),DECODE!$H$3:$I$60,2,FALSE),"Rest of India"))</f>
        <v/>
      </c>
      <c r="AK234">
        <f>IF($N234="","",UPPER(TRIM(LEFT($N234&amp;",",FIND(",",$N234&amp;",")-1))))</f>
        <v/>
      </c>
      <c r="AL234">
        <f>IF($AK234="","",MID($AK234,4,FIND("~",SUBSTITUTE($AK234,"-","~",2))-4))</f>
        <v/>
      </c>
      <c r="AM234">
        <f>IF($AK234="","",MID($AK234,FIND("~",SUBSTITUTE($AK234,"-","~",2))+1,FIND("~",SUBSTITUTE($AK234,"-","~",3))-FIND("~",SUBSTITUTE($AK234,"-","~",2))-1))</f>
        <v/>
      </c>
      <c r="AN234">
        <f>IF($AL234="","",IFERROR(VLOOKUP($AL234,DECODE!$A$3:$C$8,3,FALSE),"?"))</f>
        <v/>
      </c>
      <c r="AO234">
        <f>IF($AM234="","",IFERROR(VLOOKUP($AL234&amp;"-"&amp;$AM234,DECODE!$E$3:$F$21,2,FALSE),"?"))</f>
        <v/>
      </c>
      <c r="AP234">
        <f>IF($AK234="","",IFERROR(VALUE(RIGHT($AK234,3)),""))</f>
        <v/>
      </c>
      <c r="AQ234">
        <f>IF($T234="","",IFERROR(IF(ISNUMBER($T234),$T234,DATEVALUE(TRIM($T234))),""))</f>
        <v/>
      </c>
      <c r="AR234">
        <f>IF($AQ234="","",IF(MONTH($AQ234)&gt;=12,"Cold Winter",IF(MONTH($AQ234)&gt;=10,"Post-Monsoon",IF(MONTH($AQ234)&gt;=6,"Hot Humid",IF(MONTH($AQ234)&gt;=3,"Hot Dry","Cold Winter")))))</f>
        <v/>
      </c>
      <c r="AS234">
        <f>IF($AL234="","",IFERROR(VLOOKUP($AL234,DECODE!$A$3:$C$8,2,FALSE),"?"))</f>
        <v/>
      </c>
      <c r="AT234">
        <f>IF($O234="","",UPPER(TRIM(LEFT($O234&amp;",",FIND(",",$O234&amp;",")-1))))</f>
        <v/>
      </c>
      <c r="AU234">
        <f>IF($AT234="","",MID($AT234,4,FIND("~",SUBSTITUTE($AT234,"-","~",2))-4))</f>
        <v/>
      </c>
      <c r="AV234">
        <f>IF($AT234="","",MID($AT234,FIND("~",SUBSTITUTE($AT234,"-","~",2))+1,FIND("~",SUBSTITUTE($AT234,"-","~",3))-FIND("~",SUBSTITUTE($AT234,"-","~",2))-1))</f>
        <v/>
      </c>
      <c r="AW234">
        <f>IF($AU234="","",IFERROR(VLOOKUP($AU234,DECODE!$A$3:$C$8,3,FALSE),"?"))</f>
        <v/>
      </c>
      <c r="AX234">
        <f>IF($AV234="","",IFERROR(VLOOKUP($AU234&amp;"-"&amp;$AV234,DECODE!$E$3:$F$21,2,FALSE),"?"))</f>
        <v/>
      </c>
      <c r="AY234">
        <f>IF($AT234="","",IFERROR(VALUE(RIGHT($AT234,3)),""))</f>
        <v/>
      </c>
      <c r="AZ234">
        <f>IF($U234="","",IFERROR(IF(ISNUMBER($U234),$U234,DATEVALUE(TRIM($U234))),""))</f>
        <v/>
      </c>
      <c r="BA234">
        <f>IF($AZ234="","",IF(MONTH($AZ234)&gt;=12,"Cold Winter",IF(MONTH($AZ234)&gt;=10,"Post-Monsoon",IF(MONTH($AZ234)&gt;=6,"Hot Humid",IF(MONTH($AZ234)&gt;=3,"Hot Dry","Cold Winter")))))</f>
        <v/>
      </c>
      <c r="BB234">
        <f>IF($AU234="","",IFERROR(VLOOKUP($AU234,DECODE!$A$3:$C$8,2,FALSE),"?"))</f>
        <v/>
      </c>
      <c r="BC234">
        <f>IF($P234="","",UPPER(TRIM(LEFT($P234&amp;",",FIND(",",$P234&amp;",")-1))))</f>
        <v/>
      </c>
      <c r="BD234">
        <f>IF($BC234="","",MID($BC234,4,FIND("~",SUBSTITUTE($BC234,"-","~",2))-4))</f>
        <v/>
      </c>
      <c r="BE234">
        <f>IF($BC234="","",MID($BC234,FIND("~",SUBSTITUTE($BC234,"-","~",2))+1,FIND("~",SUBSTITUTE($BC234,"-","~",3))-FIND("~",SUBSTITUTE($BC234,"-","~",2))-1))</f>
        <v/>
      </c>
      <c r="BF234">
        <f>IF($BD234="","",IFERROR(VLOOKUP($BD234,DECODE!$A$3:$C$8,3,FALSE),"?"))</f>
        <v/>
      </c>
      <c r="BG234">
        <f>IF($BE234="","",IFERROR(VLOOKUP($BD234&amp;"-"&amp;$BE234,DECODE!$E$3:$F$21,2,FALSE),"?"))</f>
        <v/>
      </c>
      <c r="BH234">
        <f>IF($BC234="","",IFERROR(VALUE(RIGHT($BC234,3)),""))</f>
        <v/>
      </c>
      <c r="BI234">
        <f>IF($V234="","",IFERROR(IF(ISNUMBER($V234),$V234,DATEVALUE(TRIM($V234))),""))</f>
        <v/>
      </c>
      <c r="BJ234">
        <f>IF($BI234="","",IF(MONTH($BI234)&gt;=12,"Cold Winter",IF(MONTH($BI234)&gt;=10,"Post-Monsoon",IF(MONTH($BI234)&gt;=6,"Hot Humid",IF(MONTH($BI234)&gt;=3,"Hot Dry","Cold Winter")))))</f>
        <v/>
      </c>
      <c r="BK234">
        <f>IF($BD234="","",IFERROR(VLOOKUP($BD234,DECODE!$A$3:$C$8,2,FALSE),"?"))</f>
        <v/>
      </c>
      <c r="BL234">
        <f>IF($Q234="","",UPPER(TRIM(LEFT($Q234&amp;",",FIND(",",$Q234&amp;",")-1))))</f>
        <v/>
      </c>
      <c r="BM234">
        <f>IF($BL234="","",MID($BL234,4,FIND("~",SUBSTITUTE($BL234,"-","~",2))-4))</f>
        <v/>
      </c>
      <c r="BN234">
        <f>IF($BL234="","",MID($BL234,FIND("~",SUBSTITUTE($BL234,"-","~",2))+1,FIND("~",SUBSTITUTE($BL234,"-","~",3))-FIND("~",SUBSTITUTE($BL234,"-","~",2))-1))</f>
        <v/>
      </c>
      <c r="BO234">
        <f>IF($BM234="","",IFERROR(VLOOKUP($BM234,DECODE!$A$3:$C$8,3,FALSE),"?"))</f>
        <v/>
      </c>
      <c r="BP234">
        <f>IF($BN234="","",IFERROR(VLOOKUP($BM234&amp;"-"&amp;$BN234,DECODE!$E$3:$F$21,2,FALSE),"?"))</f>
        <v/>
      </c>
      <c r="BQ234">
        <f>IF($BL234="","",IFERROR(VALUE(RIGHT($BL234,3)),""))</f>
        <v/>
      </c>
      <c r="BR234">
        <f>IF($W234="","",IFERROR(IF(ISNUMBER($W234),$W234,DATEVALUE(TRIM($W234))),""))</f>
        <v/>
      </c>
      <c r="BS234">
        <f>IF($BR234="","",IF(MONTH($BR234)&gt;=12,"Cold Winter",IF(MONTH($BR234)&gt;=10,"Post-Monsoon",IF(MONTH($BR234)&gt;=6,"Hot Humid",IF(MONTH($BR234)&gt;=3,"Hot Dry","Cold Winter")))))</f>
        <v/>
      </c>
      <c r="BT234">
        <f>IF($BM234="","",IFERROR(VLOOKUP($BM234,DECODE!$A$3:$C$8,2,FALSE),"?"))</f>
        <v/>
      </c>
      <c r="BU234">
        <f>IF($R234="","",UPPER(TRIM(LEFT($R234&amp;",",FIND(",",$R234&amp;",")-1))))</f>
        <v/>
      </c>
      <c r="BV234">
        <f>IF($BU234="","",MID($BU234,4,FIND("~",SUBSTITUTE($BU234,"-","~",2))-4))</f>
        <v/>
      </c>
      <c r="BW234">
        <f>IF($BU234="","",MID($BU234,FIND("~",SUBSTITUTE($BU234,"-","~",2))+1,FIND("~",SUBSTITUTE($BU234,"-","~",3))-FIND("~",SUBSTITUTE($BU234,"-","~",2))-1))</f>
        <v/>
      </c>
      <c r="BX234">
        <f>IF($BV234="","",IFERROR(VLOOKUP($BV234,DECODE!$A$3:$C$8,3,FALSE),"?"))</f>
        <v/>
      </c>
      <c r="BY234">
        <f>IF($BW234="","",IFERROR(VLOOKUP($BV234&amp;"-"&amp;$BW234,DECODE!$E$3:$F$21,2,FALSE),"?"))</f>
        <v/>
      </c>
      <c r="BZ234">
        <f>IF($BU234="","",IFERROR(VALUE(RIGHT($BU234,3)),""))</f>
        <v/>
      </c>
      <c r="CA234">
        <f>IF($X234="","",IFERROR(IF(ISNUMBER($X234),$X234,DATEVALUE(TRIM($X234))),""))</f>
        <v/>
      </c>
      <c r="CB234">
        <f>IF($CA234="","",IF(MONTH($CA234)&gt;=12,"Cold Winter",IF(MONTH($CA234)&gt;=10,"Post-Monsoon",IF(MONTH($CA234)&gt;=6,"Hot Humid",IF(MONTH($CA234)&gt;=3,"Hot Dry","Cold Winter")))))</f>
        <v/>
      </c>
      <c r="CC234">
        <f>IF($BV234="","",IFERROR(VLOOKUP($BV234,DECODE!$A$3:$C$8,2,FALSE),"?"))</f>
        <v/>
      </c>
      <c r="CD234">
        <f>IF($S234="","",UPPER(TRIM(LEFT($S234&amp;",",FIND(",",$S234&amp;",")-1))))</f>
        <v/>
      </c>
      <c r="CE234">
        <f>IF($CD234="","",MID($CD234,4,FIND("~",SUBSTITUTE($CD234,"-","~",2))-4))</f>
        <v/>
      </c>
      <c r="CF234">
        <f>IF($CD234="","",MID($CD234,FIND("~",SUBSTITUTE($CD234,"-","~",2))+1,FIND("~",SUBSTITUTE($CD234,"-","~",3))-FIND("~",SUBSTITUTE($CD234,"-","~",2))-1))</f>
        <v/>
      </c>
      <c r="CG234">
        <f>IF($CE234="","",IFERROR(VLOOKUP($CE234,DECODE!$A$3:$C$8,3,FALSE),"?"))</f>
        <v/>
      </c>
      <c r="CH234">
        <f>IF($CF234="","",IFERROR(VLOOKUP($CE234&amp;"-"&amp;$CF234,DECODE!$E$3:$F$21,2,FALSE),"?"))</f>
        <v/>
      </c>
      <c r="CI234">
        <f>IF($CD234="","",IFERROR(VALUE(RIGHT($CD234,3)),""))</f>
        <v/>
      </c>
      <c r="CJ234">
        <f>IF($Y234="","",IFERROR(IF(ISNUMBER($Y234),$Y234,DATEVALUE(TRIM($Y234))),""))</f>
        <v/>
      </c>
      <c r="CK234">
        <f>IF($CJ234="","",IF(MONTH($CJ234)&gt;=12,"Cold Winter",IF(MONTH($CJ234)&gt;=10,"Post-Monsoon",IF(MONTH($CJ234)&gt;=6,"Hot Humid",IF(MONTH($CJ234)&gt;=3,"Hot Dry","Cold Winter")))))</f>
        <v/>
      </c>
      <c r="CL234">
        <f>IF($CE234="","",IFERROR(VLOOKUP($CE234,DECODE!$A$3:$C$8,2,FALSE),"?"))</f>
        <v/>
      </c>
      <c r="CM234">
        <f>IF($AN234="","",AN234)</f>
        <v/>
      </c>
      <c r="CN234">
        <f>IF($AO234="","",AO234)</f>
        <v/>
      </c>
      <c r="CO234">
        <f>IF($AP234="","",AP234)</f>
        <v/>
      </c>
      <c r="CP234">
        <f>IF($CM234="","",IF($CM234="Aloe Vera Gel","Aloe Vera Gel "&amp;$CO234&amp;"g",CN234&amp;" "&amp;$CO234&amp;"g"))</f>
        <v/>
      </c>
      <c r="CQ234">
        <f>IF($AT234="",0,1)</f>
        <v/>
      </c>
      <c r="CR234">
        <f>IF($CQ234=0,"",AW234)</f>
        <v/>
      </c>
      <c r="CS234">
        <f>IF($CQ234=0,"",AX234)</f>
        <v/>
      </c>
      <c r="CT234">
        <f>IF($CQ234=0,"",AY234)</f>
        <v/>
      </c>
      <c r="CU234">
        <f>IF($CR234="","",IF($CR234="Aloe Vera Gel","Aloe Vera Gel "&amp;$CT234&amp;"g",CS234&amp;" "&amp;$CT234&amp;"g"))</f>
        <v/>
      </c>
      <c r="CV234">
        <f>IF($CQ234=0,"",IF($CP234=$CU234,"Repeat Exact",IF($CT234&gt;$CO234,"Upsized",IF($CT234&lt;$CO234,"Downsized",IF($CM234&lt;&gt;$CR234,"Lateral","Same Size Diff Variant")))))</f>
        <v/>
      </c>
      <c r="CW234">
        <f>IF($CQ234=0,"",AZ234-AQ234)</f>
        <v/>
      </c>
      <c r="CX234">
        <f>IF($CQ234=0,0,IF(CS234=CN234,1,0))</f>
        <v/>
      </c>
      <c r="CY234">
        <f>IF($CQ234=0,0,IF(CR234=CM234,1,0))</f>
        <v/>
      </c>
      <c r="CZ234">
        <f>IF($A234="","",IF(AND(IF(DASHBOARD!$C$4="All",TRUE,$CM234=DASHBOARD!$C$4),IF(DASHBOARD!$C$6="All",TRUE,$CP234=DASHBOARD!$C$6),IF(DASHBOARD!$C$8="All",TRUE,$AF234&gt;=DASHBOARD!$C$8),IF(DASHBOARD!$C$10="All",TRUE,$AF234&lt;=DASHBOARD!$C$10),IF(DASHBOARD!$C$12="All",TRUE,$AH234=VALUE(DASHBOARD!$C$12)),IF(DASHBOARD!$C$14="All",TRUE,$AJ234=DASHBOARD!$C$14)),1,0))</f>
        <v/>
      </c>
    </row>
    <row r="235">
      <c r="A235" t="n">
        <v>144152</v>
      </c>
      <c r="B235" t="inlineStr">
        <is>
          <t>Face Malai</t>
        </is>
      </c>
      <c r="H235" t="inlineStr">
        <is>
          <t>Tomato Patchouli (Cold) 20 - 35 Yrs Face Malai</t>
        </is>
      </c>
      <c r="N235" t="inlineStr">
        <is>
          <t>FC-CWDM-TP-030</t>
        </is>
      </c>
      <c r="T235" t="inlineStr">
        <is>
          <t>Jan 12, 2024</t>
        </is>
      </c>
      <c r="AE235" t="inlineStr">
        <is>
          <t>New Delhi</t>
        </is>
      </c>
      <c r="AF235" t="inlineStr">
        <is>
          <t>2024-01</t>
        </is>
      </c>
      <c r="AG235" t="n">
        <v>1</v>
      </c>
      <c r="AH235" t="n">
        <v>1</v>
      </c>
      <c r="AI235" t="n">
        <v>0</v>
      </c>
      <c r="AJ235">
        <f>IF($AE235="","",IFERROR(VLOOKUP(TRIM($AE235),DECODE!$H$3:$I$60,2,FALSE),"Rest of India"))</f>
        <v/>
      </c>
      <c r="AK235">
        <f>IF($N235="","",UPPER(TRIM(LEFT($N235&amp;",",FIND(",",$N235&amp;",")-1))))</f>
        <v/>
      </c>
      <c r="AL235">
        <f>IF($AK235="","",MID($AK235,4,FIND("~",SUBSTITUTE($AK235,"-","~",2))-4))</f>
        <v/>
      </c>
      <c r="AM235">
        <f>IF($AK235="","",MID($AK235,FIND("~",SUBSTITUTE($AK235,"-","~",2))+1,FIND("~",SUBSTITUTE($AK235,"-","~",3))-FIND("~",SUBSTITUTE($AK235,"-","~",2))-1))</f>
        <v/>
      </c>
      <c r="AN235">
        <f>IF($AL235="","",IFERROR(VLOOKUP($AL235,DECODE!$A$3:$C$8,3,FALSE),"?"))</f>
        <v/>
      </c>
      <c r="AO235">
        <f>IF($AM235="","",IFERROR(VLOOKUP($AL235&amp;"-"&amp;$AM235,DECODE!$E$3:$F$21,2,FALSE),"?"))</f>
        <v/>
      </c>
      <c r="AP235">
        <f>IF($AK235="","",IFERROR(VALUE(RIGHT($AK235,3)),""))</f>
        <v/>
      </c>
      <c r="AQ235">
        <f>IF($T235="","",IFERROR(IF(ISNUMBER($T235),$T235,DATEVALUE(TRIM($T235))),""))</f>
        <v/>
      </c>
      <c r="AR235">
        <f>IF($AQ235="","",IF(MONTH($AQ235)&gt;=12,"Cold Winter",IF(MONTH($AQ235)&gt;=10,"Post-Monsoon",IF(MONTH($AQ235)&gt;=6,"Hot Humid",IF(MONTH($AQ235)&gt;=3,"Hot Dry","Cold Winter")))))</f>
        <v/>
      </c>
      <c r="AS235">
        <f>IF($AL235="","",IFERROR(VLOOKUP($AL235,DECODE!$A$3:$C$8,2,FALSE),"?"))</f>
        <v/>
      </c>
      <c r="AT235">
        <f>IF($O235="","",UPPER(TRIM(LEFT($O235&amp;",",FIND(",",$O235&amp;",")-1))))</f>
        <v/>
      </c>
      <c r="AU235">
        <f>IF($AT235="","",MID($AT235,4,FIND("~",SUBSTITUTE($AT235,"-","~",2))-4))</f>
        <v/>
      </c>
      <c r="AV235">
        <f>IF($AT235="","",MID($AT235,FIND("~",SUBSTITUTE($AT235,"-","~",2))+1,FIND("~",SUBSTITUTE($AT235,"-","~",3))-FIND("~",SUBSTITUTE($AT235,"-","~",2))-1))</f>
        <v/>
      </c>
      <c r="AW235">
        <f>IF($AU235="","",IFERROR(VLOOKUP($AU235,DECODE!$A$3:$C$8,3,FALSE),"?"))</f>
        <v/>
      </c>
      <c r="AX235">
        <f>IF($AV235="","",IFERROR(VLOOKUP($AU235&amp;"-"&amp;$AV235,DECODE!$E$3:$F$21,2,FALSE),"?"))</f>
        <v/>
      </c>
      <c r="AY235">
        <f>IF($AT235="","",IFERROR(VALUE(RIGHT($AT235,3)),""))</f>
        <v/>
      </c>
      <c r="AZ235">
        <f>IF($U235="","",IFERROR(IF(ISNUMBER($U235),$U235,DATEVALUE(TRIM($U235))),""))</f>
        <v/>
      </c>
      <c r="BA235">
        <f>IF($AZ235="","",IF(MONTH($AZ235)&gt;=12,"Cold Winter",IF(MONTH($AZ235)&gt;=10,"Post-Monsoon",IF(MONTH($AZ235)&gt;=6,"Hot Humid",IF(MONTH($AZ235)&gt;=3,"Hot Dry","Cold Winter")))))</f>
        <v/>
      </c>
      <c r="BB235">
        <f>IF($AU235="","",IFERROR(VLOOKUP($AU235,DECODE!$A$3:$C$8,2,FALSE),"?"))</f>
        <v/>
      </c>
      <c r="BC235">
        <f>IF($P235="","",UPPER(TRIM(LEFT($P235&amp;",",FIND(",",$P235&amp;",")-1))))</f>
        <v/>
      </c>
      <c r="BD235">
        <f>IF($BC235="","",MID($BC235,4,FIND("~",SUBSTITUTE($BC235,"-","~",2))-4))</f>
        <v/>
      </c>
      <c r="BE235">
        <f>IF($BC235="","",MID($BC235,FIND("~",SUBSTITUTE($BC235,"-","~",2))+1,FIND("~",SUBSTITUTE($BC235,"-","~",3))-FIND("~",SUBSTITUTE($BC235,"-","~",2))-1))</f>
        <v/>
      </c>
      <c r="BF235">
        <f>IF($BD235="","",IFERROR(VLOOKUP($BD235,DECODE!$A$3:$C$8,3,FALSE),"?"))</f>
        <v/>
      </c>
      <c r="BG235">
        <f>IF($BE235="","",IFERROR(VLOOKUP($BD235&amp;"-"&amp;$BE235,DECODE!$E$3:$F$21,2,FALSE),"?"))</f>
        <v/>
      </c>
      <c r="BH235">
        <f>IF($BC235="","",IFERROR(VALUE(RIGHT($BC235,3)),""))</f>
        <v/>
      </c>
      <c r="BI235">
        <f>IF($V235="","",IFERROR(IF(ISNUMBER($V235),$V235,DATEVALUE(TRIM($V235))),""))</f>
        <v/>
      </c>
      <c r="BJ235">
        <f>IF($BI235="","",IF(MONTH($BI235)&gt;=12,"Cold Winter",IF(MONTH($BI235)&gt;=10,"Post-Monsoon",IF(MONTH($BI235)&gt;=6,"Hot Humid",IF(MONTH($BI235)&gt;=3,"Hot Dry","Cold Winter")))))</f>
        <v/>
      </c>
      <c r="BK235">
        <f>IF($BD235="","",IFERROR(VLOOKUP($BD235,DECODE!$A$3:$C$8,2,FALSE),"?"))</f>
        <v/>
      </c>
      <c r="BL235">
        <f>IF($Q235="","",UPPER(TRIM(LEFT($Q235&amp;",",FIND(",",$Q235&amp;",")-1))))</f>
        <v/>
      </c>
      <c r="BM235">
        <f>IF($BL235="","",MID($BL235,4,FIND("~",SUBSTITUTE($BL235,"-","~",2))-4))</f>
        <v/>
      </c>
      <c r="BN235">
        <f>IF($BL235="","",MID($BL235,FIND("~",SUBSTITUTE($BL235,"-","~",2))+1,FIND("~",SUBSTITUTE($BL235,"-","~",3))-FIND("~",SUBSTITUTE($BL235,"-","~",2))-1))</f>
        <v/>
      </c>
      <c r="BO235">
        <f>IF($BM235="","",IFERROR(VLOOKUP($BM235,DECODE!$A$3:$C$8,3,FALSE),"?"))</f>
        <v/>
      </c>
      <c r="BP235">
        <f>IF($BN235="","",IFERROR(VLOOKUP($BM235&amp;"-"&amp;$BN235,DECODE!$E$3:$F$21,2,FALSE),"?"))</f>
        <v/>
      </c>
      <c r="BQ235">
        <f>IF($BL235="","",IFERROR(VALUE(RIGHT($BL235,3)),""))</f>
        <v/>
      </c>
      <c r="BR235">
        <f>IF($W235="","",IFERROR(IF(ISNUMBER($W235),$W235,DATEVALUE(TRIM($W235))),""))</f>
        <v/>
      </c>
      <c r="BS235">
        <f>IF($BR235="","",IF(MONTH($BR235)&gt;=12,"Cold Winter",IF(MONTH($BR235)&gt;=10,"Post-Monsoon",IF(MONTH($BR235)&gt;=6,"Hot Humid",IF(MONTH($BR235)&gt;=3,"Hot Dry","Cold Winter")))))</f>
        <v/>
      </c>
      <c r="BT235">
        <f>IF($BM235="","",IFERROR(VLOOKUP($BM235,DECODE!$A$3:$C$8,2,FALSE),"?"))</f>
        <v/>
      </c>
      <c r="BU235">
        <f>IF($R235="","",UPPER(TRIM(LEFT($R235&amp;",",FIND(",",$R235&amp;",")-1))))</f>
        <v/>
      </c>
      <c r="BV235">
        <f>IF($BU235="","",MID($BU235,4,FIND("~",SUBSTITUTE($BU235,"-","~",2))-4))</f>
        <v/>
      </c>
      <c r="BW235">
        <f>IF($BU235="","",MID($BU235,FIND("~",SUBSTITUTE($BU235,"-","~",2))+1,FIND("~",SUBSTITUTE($BU235,"-","~",3))-FIND("~",SUBSTITUTE($BU235,"-","~",2))-1))</f>
        <v/>
      </c>
      <c r="BX235">
        <f>IF($BV235="","",IFERROR(VLOOKUP($BV235,DECODE!$A$3:$C$8,3,FALSE),"?"))</f>
        <v/>
      </c>
      <c r="BY235">
        <f>IF($BW235="","",IFERROR(VLOOKUP($BV235&amp;"-"&amp;$BW235,DECODE!$E$3:$F$21,2,FALSE),"?"))</f>
        <v/>
      </c>
      <c r="BZ235">
        <f>IF($BU235="","",IFERROR(VALUE(RIGHT($BU235,3)),""))</f>
        <v/>
      </c>
      <c r="CA235">
        <f>IF($X235="","",IFERROR(IF(ISNUMBER($X235),$X235,DATEVALUE(TRIM($X235))),""))</f>
        <v/>
      </c>
      <c r="CB235">
        <f>IF($CA235="","",IF(MONTH($CA235)&gt;=12,"Cold Winter",IF(MONTH($CA235)&gt;=10,"Post-Monsoon",IF(MONTH($CA235)&gt;=6,"Hot Humid",IF(MONTH($CA235)&gt;=3,"Hot Dry","Cold Winter")))))</f>
        <v/>
      </c>
      <c r="CC235">
        <f>IF($BV235="","",IFERROR(VLOOKUP($BV235,DECODE!$A$3:$C$8,2,FALSE),"?"))</f>
        <v/>
      </c>
      <c r="CD235">
        <f>IF($S235="","",UPPER(TRIM(LEFT($S235&amp;",",FIND(",",$S235&amp;",")-1))))</f>
        <v/>
      </c>
      <c r="CE235">
        <f>IF($CD235="","",MID($CD235,4,FIND("~",SUBSTITUTE($CD235,"-","~",2))-4))</f>
        <v/>
      </c>
      <c r="CF235">
        <f>IF($CD235="","",MID($CD235,FIND("~",SUBSTITUTE($CD235,"-","~",2))+1,FIND("~",SUBSTITUTE($CD235,"-","~",3))-FIND("~",SUBSTITUTE($CD235,"-","~",2))-1))</f>
        <v/>
      </c>
      <c r="CG235">
        <f>IF($CE235="","",IFERROR(VLOOKUP($CE235,DECODE!$A$3:$C$8,3,FALSE),"?"))</f>
        <v/>
      </c>
      <c r="CH235">
        <f>IF($CF235="","",IFERROR(VLOOKUP($CE235&amp;"-"&amp;$CF235,DECODE!$E$3:$F$21,2,FALSE),"?"))</f>
        <v/>
      </c>
      <c r="CI235">
        <f>IF($CD235="","",IFERROR(VALUE(RIGHT($CD235,3)),""))</f>
        <v/>
      </c>
      <c r="CJ235">
        <f>IF($Y235="","",IFERROR(IF(ISNUMBER($Y235),$Y235,DATEVALUE(TRIM($Y235))),""))</f>
        <v/>
      </c>
      <c r="CK235">
        <f>IF($CJ235="","",IF(MONTH($CJ235)&gt;=12,"Cold Winter",IF(MONTH($CJ235)&gt;=10,"Post-Monsoon",IF(MONTH($CJ235)&gt;=6,"Hot Humid",IF(MONTH($CJ235)&gt;=3,"Hot Dry","Cold Winter")))))</f>
        <v/>
      </c>
      <c r="CL235">
        <f>IF($CE235="","",IFERROR(VLOOKUP($CE235,DECODE!$A$3:$C$8,2,FALSE),"?"))</f>
        <v/>
      </c>
      <c r="CM235">
        <f>IF($AN235="","",AN235)</f>
        <v/>
      </c>
      <c r="CN235">
        <f>IF($AO235="","",AO235)</f>
        <v/>
      </c>
      <c r="CO235">
        <f>IF($AP235="","",AP235)</f>
        <v/>
      </c>
      <c r="CP235">
        <f>IF($CM235="","",IF($CM235="Aloe Vera Gel","Aloe Vera Gel "&amp;$CO235&amp;"g",CN235&amp;" "&amp;$CO235&amp;"g"))</f>
        <v/>
      </c>
      <c r="CQ235">
        <f>IF($AT235="",0,1)</f>
        <v/>
      </c>
      <c r="CR235">
        <f>IF($CQ235=0,"",AW235)</f>
        <v/>
      </c>
      <c r="CS235">
        <f>IF($CQ235=0,"",AX235)</f>
        <v/>
      </c>
      <c r="CT235">
        <f>IF($CQ235=0,"",AY235)</f>
        <v/>
      </c>
      <c r="CU235">
        <f>IF($CR235="","",IF($CR235="Aloe Vera Gel","Aloe Vera Gel "&amp;$CT235&amp;"g",CS235&amp;" "&amp;$CT235&amp;"g"))</f>
        <v/>
      </c>
      <c r="CV235">
        <f>IF($CQ235=0,"",IF($CP235=$CU235,"Repeat Exact",IF($CT235&gt;$CO235,"Upsized",IF($CT235&lt;$CO235,"Downsized",IF($CM235&lt;&gt;$CR235,"Lateral","Same Size Diff Variant")))))</f>
        <v/>
      </c>
      <c r="CW235">
        <f>IF($CQ235=0,"",AZ235-AQ235)</f>
        <v/>
      </c>
      <c r="CX235">
        <f>IF($CQ235=0,0,IF(CS235=CN235,1,0))</f>
        <v/>
      </c>
      <c r="CY235">
        <f>IF($CQ235=0,0,IF(CR235=CM235,1,0))</f>
        <v/>
      </c>
      <c r="CZ235">
        <f>IF($A235="","",IF(AND(IF(DASHBOARD!$C$4="All",TRUE,$CM235=DASHBOARD!$C$4),IF(DASHBOARD!$C$6="All",TRUE,$CP235=DASHBOARD!$C$6),IF(DASHBOARD!$C$8="All",TRUE,$AF235&gt;=DASHBOARD!$C$8),IF(DASHBOARD!$C$10="All",TRUE,$AF235&lt;=DASHBOARD!$C$10),IF(DASHBOARD!$C$12="All",TRUE,$AH235=VALUE(DASHBOARD!$C$12)),IF(DASHBOARD!$C$14="All",TRUE,$AJ235=DASHBOARD!$C$14)),1,0))</f>
        <v/>
      </c>
    </row>
    <row r="236">
      <c r="A236" t="n">
        <v>144606</v>
      </c>
      <c r="B236" t="inlineStr">
        <is>
          <t>Aloe Vera Gel</t>
        </is>
      </c>
      <c r="H236" t="inlineStr">
        <is>
          <t>Aloe Vera Gel - 40 gms</t>
        </is>
      </c>
      <c r="N236" t="inlineStr">
        <is>
          <t>FC-HG-PA-040</t>
        </is>
      </c>
      <c r="T236" t="inlineStr">
        <is>
          <t>Jun 29, 2024</t>
        </is>
      </c>
      <c r="AE236" t="inlineStr">
        <is>
          <t>Baruipur</t>
        </is>
      </c>
      <c r="AF236" t="inlineStr">
        <is>
          <t>2024-06</t>
        </is>
      </c>
      <c r="AG236" t="n">
        <v>6</v>
      </c>
      <c r="AH236" t="n">
        <v>1</v>
      </c>
      <c r="AI236" t="n">
        <v>0</v>
      </c>
      <c r="AJ236">
        <f>IF($AE236="","",IFERROR(VLOOKUP(TRIM($AE236),DECODE!$H$3:$I$60,2,FALSE),"Rest of India"))</f>
        <v/>
      </c>
      <c r="AK236">
        <f>IF($N236="","",UPPER(TRIM(LEFT($N236&amp;",",FIND(",",$N236&amp;",")-1))))</f>
        <v/>
      </c>
      <c r="AL236">
        <f>IF($AK236="","",MID($AK236,4,FIND("~",SUBSTITUTE($AK236,"-","~",2))-4))</f>
        <v/>
      </c>
      <c r="AM236">
        <f>IF($AK236="","",MID($AK236,FIND("~",SUBSTITUTE($AK236,"-","~",2))+1,FIND("~",SUBSTITUTE($AK236,"-","~",3))-FIND("~",SUBSTITUTE($AK236,"-","~",2))-1))</f>
        <v/>
      </c>
      <c r="AN236">
        <f>IF($AL236="","",IFERROR(VLOOKUP($AL236,DECODE!$A$3:$C$8,3,FALSE),"?"))</f>
        <v/>
      </c>
      <c r="AO236">
        <f>IF($AM236="","",IFERROR(VLOOKUP($AL236&amp;"-"&amp;$AM236,DECODE!$E$3:$F$21,2,FALSE),"?"))</f>
        <v/>
      </c>
      <c r="AP236">
        <f>IF($AK236="","",IFERROR(VALUE(RIGHT($AK236,3)),""))</f>
        <v/>
      </c>
      <c r="AQ236">
        <f>IF($T236="","",IFERROR(IF(ISNUMBER($T236),$T236,DATEVALUE(TRIM($T236))),""))</f>
        <v/>
      </c>
      <c r="AR236">
        <f>IF($AQ236="","",IF(MONTH($AQ236)&gt;=12,"Cold Winter",IF(MONTH($AQ236)&gt;=10,"Post-Monsoon",IF(MONTH($AQ236)&gt;=6,"Hot Humid",IF(MONTH($AQ236)&gt;=3,"Hot Dry","Cold Winter")))))</f>
        <v/>
      </c>
      <c r="AS236">
        <f>IF($AL236="","",IFERROR(VLOOKUP($AL236,DECODE!$A$3:$C$8,2,FALSE),"?"))</f>
        <v/>
      </c>
      <c r="AT236">
        <f>IF($O236="","",UPPER(TRIM(LEFT($O236&amp;",",FIND(",",$O236&amp;",")-1))))</f>
        <v/>
      </c>
      <c r="AU236">
        <f>IF($AT236="","",MID($AT236,4,FIND("~",SUBSTITUTE($AT236,"-","~",2))-4))</f>
        <v/>
      </c>
      <c r="AV236">
        <f>IF($AT236="","",MID($AT236,FIND("~",SUBSTITUTE($AT236,"-","~",2))+1,FIND("~",SUBSTITUTE($AT236,"-","~",3))-FIND("~",SUBSTITUTE($AT236,"-","~",2))-1))</f>
        <v/>
      </c>
      <c r="AW236">
        <f>IF($AU236="","",IFERROR(VLOOKUP($AU236,DECODE!$A$3:$C$8,3,FALSE),"?"))</f>
        <v/>
      </c>
      <c r="AX236">
        <f>IF($AV236="","",IFERROR(VLOOKUP($AU236&amp;"-"&amp;$AV236,DECODE!$E$3:$F$21,2,FALSE),"?"))</f>
        <v/>
      </c>
      <c r="AY236">
        <f>IF($AT236="","",IFERROR(VALUE(RIGHT($AT236,3)),""))</f>
        <v/>
      </c>
      <c r="AZ236">
        <f>IF($U236="","",IFERROR(IF(ISNUMBER($U236),$U236,DATEVALUE(TRIM($U236))),""))</f>
        <v/>
      </c>
      <c r="BA236">
        <f>IF($AZ236="","",IF(MONTH($AZ236)&gt;=12,"Cold Winter",IF(MONTH($AZ236)&gt;=10,"Post-Monsoon",IF(MONTH($AZ236)&gt;=6,"Hot Humid",IF(MONTH($AZ236)&gt;=3,"Hot Dry","Cold Winter")))))</f>
        <v/>
      </c>
      <c r="BB236">
        <f>IF($AU236="","",IFERROR(VLOOKUP($AU236,DECODE!$A$3:$C$8,2,FALSE),"?"))</f>
        <v/>
      </c>
      <c r="BC236">
        <f>IF($P236="","",UPPER(TRIM(LEFT($P236&amp;",",FIND(",",$P236&amp;",")-1))))</f>
        <v/>
      </c>
      <c r="BD236">
        <f>IF($BC236="","",MID($BC236,4,FIND("~",SUBSTITUTE($BC236,"-","~",2))-4))</f>
        <v/>
      </c>
      <c r="BE236">
        <f>IF($BC236="","",MID($BC236,FIND("~",SUBSTITUTE($BC236,"-","~",2))+1,FIND("~",SUBSTITUTE($BC236,"-","~",3))-FIND("~",SUBSTITUTE($BC236,"-","~",2))-1))</f>
        <v/>
      </c>
      <c r="BF236">
        <f>IF($BD236="","",IFERROR(VLOOKUP($BD236,DECODE!$A$3:$C$8,3,FALSE),"?"))</f>
        <v/>
      </c>
      <c r="BG236">
        <f>IF($BE236="","",IFERROR(VLOOKUP($BD236&amp;"-"&amp;$BE236,DECODE!$E$3:$F$21,2,FALSE),"?"))</f>
        <v/>
      </c>
      <c r="BH236">
        <f>IF($BC236="","",IFERROR(VALUE(RIGHT($BC236,3)),""))</f>
        <v/>
      </c>
      <c r="BI236">
        <f>IF($V236="","",IFERROR(IF(ISNUMBER($V236),$V236,DATEVALUE(TRIM($V236))),""))</f>
        <v/>
      </c>
      <c r="BJ236">
        <f>IF($BI236="","",IF(MONTH($BI236)&gt;=12,"Cold Winter",IF(MONTH($BI236)&gt;=10,"Post-Monsoon",IF(MONTH($BI236)&gt;=6,"Hot Humid",IF(MONTH($BI236)&gt;=3,"Hot Dry","Cold Winter")))))</f>
        <v/>
      </c>
      <c r="BK236">
        <f>IF($BD236="","",IFERROR(VLOOKUP($BD236,DECODE!$A$3:$C$8,2,FALSE),"?"))</f>
        <v/>
      </c>
      <c r="BL236">
        <f>IF($Q236="","",UPPER(TRIM(LEFT($Q236&amp;",",FIND(",",$Q236&amp;",")-1))))</f>
        <v/>
      </c>
      <c r="BM236">
        <f>IF($BL236="","",MID($BL236,4,FIND("~",SUBSTITUTE($BL236,"-","~",2))-4))</f>
        <v/>
      </c>
      <c r="BN236">
        <f>IF($BL236="","",MID($BL236,FIND("~",SUBSTITUTE($BL236,"-","~",2))+1,FIND("~",SUBSTITUTE($BL236,"-","~",3))-FIND("~",SUBSTITUTE($BL236,"-","~",2))-1))</f>
        <v/>
      </c>
      <c r="BO236">
        <f>IF($BM236="","",IFERROR(VLOOKUP($BM236,DECODE!$A$3:$C$8,3,FALSE),"?"))</f>
        <v/>
      </c>
      <c r="BP236">
        <f>IF($BN236="","",IFERROR(VLOOKUP($BM236&amp;"-"&amp;$BN236,DECODE!$E$3:$F$21,2,FALSE),"?"))</f>
        <v/>
      </c>
      <c r="BQ236">
        <f>IF($BL236="","",IFERROR(VALUE(RIGHT($BL236,3)),""))</f>
        <v/>
      </c>
      <c r="BR236">
        <f>IF($W236="","",IFERROR(IF(ISNUMBER($W236),$W236,DATEVALUE(TRIM($W236))),""))</f>
        <v/>
      </c>
      <c r="BS236">
        <f>IF($BR236="","",IF(MONTH($BR236)&gt;=12,"Cold Winter",IF(MONTH($BR236)&gt;=10,"Post-Monsoon",IF(MONTH($BR236)&gt;=6,"Hot Humid",IF(MONTH($BR236)&gt;=3,"Hot Dry","Cold Winter")))))</f>
        <v/>
      </c>
      <c r="BT236">
        <f>IF($BM236="","",IFERROR(VLOOKUP($BM236,DECODE!$A$3:$C$8,2,FALSE),"?"))</f>
        <v/>
      </c>
      <c r="BU236">
        <f>IF($R236="","",UPPER(TRIM(LEFT($R236&amp;",",FIND(",",$R236&amp;",")-1))))</f>
        <v/>
      </c>
      <c r="BV236">
        <f>IF($BU236="","",MID($BU236,4,FIND("~",SUBSTITUTE($BU236,"-","~",2))-4))</f>
        <v/>
      </c>
      <c r="BW236">
        <f>IF($BU236="","",MID($BU236,FIND("~",SUBSTITUTE($BU236,"-","~",2))+1,FIND("~",SUBSTITUTE($BU236,"-","~",3))-FIND("~",SUBSTITUTE($BU236,"-","~",2))-1))</f>
        <v/>
      </c>
      <c r="BX236">
        <f>IF($BV236="","",IFERROR(VLOOKUP($BV236,DECODE!$A$3:$C$8,3,FALSE),"?"))</f>
        <v/>
      </c>
      <c r="BY236">
        <f>IF($BW236="","",IFERROR(VLOOKUP($BV236&amp;"-"&amp;$BW236,DECODE!$E$3:$F$21,2,FALSE),"?"))</f>
        <v/>
      </c>
      <c r="BZ236">
        <f>IF($BU236="","",IFERROR(VALUE(RIGHT($BU236,3)),""))</f>
        <v/>
      </c>
      <c r="CA236">
        <f>IF($X236="","",IFERROR(IF(ISNUMBER($X236),$X236,DATEVALUE(TRIM($X236))),""))</f>
        <v/>
      </c>
      <c r="CB236">
        <f>IF($CA236="","",IF(MONTH($CA236)&gt;=12,"Cold Winter",IF(MONTH($CA236)&gt;=10,"Post-Monsoon",IF(MONTH($CA236)&gt;=6,"Hot Humid",IF(MONTH($CA236)&gt;=3,"Hot Dry","Cold Winter")))))</f>
        <v/>
      </c>
      <c r="CC236">
        <f>IF($BV236="","",IFERROR(VLOOKUP($BV236,DECODE!$A$3:$C$8,2,FALSE),"?"))</f>
        <v/>
      </c>
      <c r="CD236">
        <f>IF($S236="","",UPPER(TRIM(LEFT($S236&amp;",",FIND(",",$S236&amp;",")-1))))</f>
        <v/>
      </c>
      <c r="CE236">
        <f>IF($CD236="","",MID($CD236,4,FIND("~",SUBSTITUTE($CD236,"-","~",2))-4))</f>
        <v/>
      </c>
      <c r="CF236">
        <f>IF($CD236="","",MID($CD236,FIND("~",SUBSTITUTE($CD236,"-","~",2))+1,FIND("~",SUBSTITUTE($CD236,"-","~",3))-FIND("~",SUBSTITUTE($CD236,"-","~",2))-1))</f>
        <v/>
      </c>
      <c r="CG236">
        <f>IF($CE236="","",IFERROR(VLOOKUP($CE236,DECODE!$A$3:$C$8,3,FALSE),"?"))</f>
        <v/>
      </c>
      <c r="CH236">
        <f>IF($CF236="","",IFERROR(VLOOKUP($CE236&amp;"-"&amp;$CF236,DECODE!$E$3:$F$21,2,FALSE),"?"))</f>
        <v/>
      </c>
      <c r="CI236">
        <f>IF($CD236="","",IFERROR(VALUE(RIGHT($CD236,3)),""))</f>
        <v/>
      </c>
      <c r="CJ236">
        <f>IF($Y236="","",IFERROR(IF(ISNUMBER($Y236),$Y236,DATEVALUE(TRIM($Y236))),""))</f>
        <v/>
      </c>
      <c r="CK236">
        <f>IF($CJ236="","",IF(MONTH($CJ236)&gt;=12,"Cold Winter",IF(MONTH($CJ236)&gt;=10,"Post-Monsoon",IF(MONTH($CJ236)&gt;=6,"Hot Humid",IF(MONTH($CJ236)&gt;=3,"Hot Dry","Cold Winter")))))</f>
        <v/>
      </c>
      <c r="CL236">
        <f>IF($CE236="","",IFERROR(VLOOKUP($CE236,DECODE!$A$3:$C$8,2,FALSE),"?"))</f>
        <v/>
      </c>
      <c r="CM236">
        <f>IF($AN236="","",AN236)</f>
        <v/>
      </c>
      <c r="CN236">
        <f>IF($AO236="","",AO236)</f>
        <v/>
      </c>
      <c r="CO236">
        <f>IF($AP236="","",AP236)</f>
        <v/>
      </c>
      <c r="CP236">
        <f>IF($CM236="","",IF($CM236="Aloe Vera Gel","Aloe Vera Gel "&amp;$CO236&amp;"g",CN236&amp;" "&amp;$CO236&amp;"g"))</f>
        <v/>
      </c>
      <c r="CQ236">
        <f>IF($AT236="",0,1)</f>
        <v/>
      </c>
      <c r="CR236">
        <f>IF($CQ236=0,"",AW236)</f>
        <v/>
      </c>
      <c r="CS236">
        <f>IF($CQ236=0,"",AX236)</f>
        <v/>
      </c>
      <c r="CT236">
        <f>IF($CQ236=0,"",AY236)</f>
        <v/>
      </c>
      <c r="CU236">
        <f>IF($CR236="","",IF($CR236="Aloe Vera Gel","Aloe Vera Gel "&amp;$CT236&amp;"g",CS236&amp;" "&amp;$CT236&amp;"g"))</f>
        <v/>
      </c>
      <c r="CV236">
        <f>IF($CQ236=0,"",IF($CP236=$CU236,"Repeat Exact",IF($CT236&gt;$CO236,"Upsized",IF($CT236&lt;$CO236,"Downsized",IF($CM236&lt;&gt;$CR236,"Lateral","Same Size Diff Variant")))))</f>
        <v/>
      </c>
      <c r="CW236">
        <f>IF($CQ236=0,"",AZ236-AQ236)</f>
        <v/>
      </c>
      <c r="CX236">
        <f>IF($CQ236=0,0,IF(CS236=CN236,1,0))</f>
        <v/>
      </c>
      <c r="CY236">
        <f>IF($CQ236=0,0,IF(CR236=CM236,1,0))</f>
        <v/>
      </c>
      <c r="CZ236">
        <f>IF($A236="","",IF(AND(IF(DASHBOARD!$C$4="All",TRUE,$CM236=DASHBOARD!$C$4),IF(DASHBOARD!$C$6="All",TRUE,$CP236=DASHBOARD!$C$6),IF(DASHBOARD!$C$8="All",TRUE,$AF236&gt;=DASHBOARD!$C$8),IF(DASHBOARD!$C$10="All",TRUE,$AF236&lt;=DASHBOARD!$C$10),IF(DASHBOARD!$C$12="All",TRUE,$AH236=VALUE(DASHBOARD!$C$12)),IF(DASHBOARD!$C$14="All",TRUE,$AJ236=DASHBOARD!$C$14)),1,0))</f>
        <v/>
      </c>
    </row>
    <row r="237">
      <c r="A237" t="n">
        <v>145165</v>
      </c>
      <c r="B237" t="inlineStr">
        <is>
          <t>Active Gel</t>
        </is>
      </c>
      <c r="H237" t="inlineStr">
        <is>
          <t>Active Orange Kiwi Vit-C Gel</t>
        </is>
      </c>
      <c r="N237" t="inlineStr">
        <is>
          <t>FC-AC-OK-050</t>
        </is>
      </c>
      <c r="T237" t="inlineStr">
        <is>
          <t>Aug 2, 2025</t>
        </is>
      </c>
      <c r="AE237" t="inlineStr">
        <is>
          <t>Jaipur</t>
        </is>
      </c>
      <c r="AF237" t="inlineStr">
        <is>
          <t>2025-08</t>
        </is>
      </c>
      <c r="AG237" t="n">
        <v>8</v>
      </c>
      <c r="AH237" t="n">
        <v>1</v>
      </c>
      <c r="AI237" t="n">
        <v>0</v>
      </c>
      <c r="AJ237">
        <f>IF($AE237="","",IFERROR(VLOOKUP(TRIM($AE237),DECODE!$H$3:$I$60,2,FALSE),"Rest of India"))</f>
        <v/>
      </c>
      <c r="AK237">
        <f>IF($N237="","",UPPER(TRIM(LEFT($N237&amp;",",FIND(",",$N237&amp;",")-1))))</f>
        <v/>
      </c>
      <c r="AL237">
        <f>IF($AK237="","",MID($AK237,4,FIND("~",SUBSTITUTE($AK237,"-","~",2))-4))</f>
        <v/>
      </c>
      <c r="AM237">
        <f>IF($AK237="","",MID($AK237,FIND("~",SUBSTITUTE($AK237,"-","~",2))+1,FIND("~",SUBSTITUTE($AK237,"-","~",3))-FIND("~",SUBSTITUTE($AK237,"-","~",2))-1))</f>
        <v/>
      </c>
      <c r="AN237">
        <f>IF($AL237="","",IFERROR(VLOOKUP($AL237,DECODE!$A$3:$C$8,3,FALSE),"?"))</f>
        <v/>
      </c>
      <c r="AO237">
        <f>IF($AM237="","",IFERROR(VLOOKUP($AL237&amp;"-"&amp;$AM237,DECODE!$E$3:$F$21,2,FALSE),"?"))</f>
        <v/>
      </c>
      <c r="AP237">
        <f>IF($AK237="","",IFERROR(VALUE(RIGHT($AK237,3)),""))</f>
        <v/>
      </c>
      <c r="AQ237">
        <f>IF($T237="","",IFERROR(IF(ISNUMBER($T237),$T237,DATEVALUE(TRIM($T237))),""))</f>
        <v/>
      </c>
      <c r="AR237">
        <f>IF($AQ237="","",IF(MONTH($AQ237)&gt;=12,"Cold Winter",IF(MONTH($AQ237)&gt;=10,"Post-Monsoon",IF(MONTH($AQ237)&gt;=6,"Hot Humid",IF(MONTH($AQ237)&gt;=3,"Hot Dry","Cold Winter")))))</f>
        <v/>
      </c>
      <c r="AS237">
        <f>IF($AL237="","",IFERROR(VLOOKUP($AL237,DECODE!$A$3:$C$8,2,FALSE),"?"))</f>
        <v/>
      </c>
      <c r="AT237">
        <f>IF($O237="","",UPPER(TRIM(LEFT($O237&amp;",",FIND(",",$O237&amp;",")-1))))</f>
        <v/>
      </c>
      <c r="AU237">
        <f>IF($AT237="","",MID($AT237,4,FIND("~",SUBSTITUTE($AT237,"-","~",2))-4))</f>
        <v/>
      </c>
      <c r="AV237">
        <f>IF($AT237="","",MID($AT237,FIND("~",SUBSTITUTE($AT237,"-","~",2))+1,FIND("~",SUBSTITUTE($AT237,"-","~",3))-FIND("~",SUBSTITUTE($AT237,"-","~",2))-1))</f>
        <v/>
      </c>
      <c r="AW237">
        <f>IF($AU237="","",IFERROR(VLOOKUP($AU237,DECODE!$A$3:$C$8,3,FALSE),"?"))</f>
        <v/>
      </c>
      <c r="AX237">
        <f>IF($AV237="","",IFERROR(VLOOKUP($AU237&amp;"-"&amp;$AV237,DECODE!$E$3:$F$21,2,FALSE),"?"))</f>
        <v/>
      </c>
      <c r="AY237">
        <f>IF($AT237="","",IFERROR(VALUE(RIGHT($AT237,3)),""))</f>
        <v/>
      </c>
      <c r="AZ237">
        <f>IF($U237="","",IFERROR(IF(ISNUMBER($U237),$U237,DATEVALUE(TRIM($U237))),""))</f>
        <v/>
      </c>
      <c r="BA237">
        <f>IF($AZ237="","",IF(MONTH($AZ237)&gt;=12,"Cold Winter",IF(MONTH($AZ237)&gt;=10,"Post-Monsoon",IF(MONTH($AZ237)&gt;=6,"Hot Humid",IF(MONTH($AZ237)&gt;=3,"Hot Dry","Cold Winter")))))</f>
        <v/>
      </c>
      <c r="BB237">
        <f>IF($AU237="","",IFERROR(VLOOKUP($AU237,DECODE!$A$3:$C$8,2,FALSE),"?"))</f>
        <v/>
      </c>
      <c r="BC237">
        <f>IF($P237="","",UPPER(TRIM(LEFT($P237&amp;",",FIND(",",$P237&amp;",")-1))))</f>
        <v/>
      </c>
      <c r="BD237">
        <f>IF($BC237="","",MID($BC237,4,FIND("~",SUBSTITUTE($BC237,"-","~",2))-4))</f>
        <v/>
      </c>
      <c r="BE237">
        <f>IF($BC237="","",MID($BC237,FIND("~",SUBSTITUTE($BC237,"-","~",2))+1,FIND("~",SUBSTITUTE($BC237,"-","~",3))-FIND("~",SUBSTITUTE($BC237,"-","~",2))-1))</f>
        <v/>
      </c>
      <c r="BF237">
        <f>IF($BD237="","",IFERROR(VLOOKUP($BD237,DECODE!$A$3:$C$8,3,FALSE),"?"))</f>
        <v/>
      </c>
      <c r="BG237">
        <f>IF($BE237="","",IFERROR(VLOOKUP($BD237&amp;"-"&amp;$BE237,DECODE!$E$3:$F$21,2,FALSE),"?"))</f>
        <v/>
      </c>
      <c r="BH237">
        <f>IF($BC237="","",IFERROR(VALUE(RIGHT($BC237,3)),""))</f>
        <v/>
      </c>
      <c r="BI237">
        <f>IF($V237="","",IFERROR(IF(ISNUMBER($V237),$V237,DATEVALUE(TRIM($V237))),""))</f>
        <v/>
      </c>
      <c r="BJ237">
        <f>IF($BI237="","",IF(MONTH($BI237)&gt;=12,"Cold Winter",IF(MONTH($BI237)&gt;=10,"Post-Monsoon",IF(MONTH($BI237)&gt;=6,"Hot Humid",IF(MONTH($BI237)&gt;=3,"Hot Dry","Cold Winter")))))</f>
        <v/>
      </c>
      <c r="BK237">
        <f>IF($BD237="","",IFERROR(VLOOKUP($BD237,DECODE!$A$3:$C$8,2,FALSE),"?"))</f>
        <v/>
      </c>
      <c r="BL237">
        <f>IF($Q237="","",UPPER(TRIM(LEFT($Q237&amp;",",FIND(",",$Q237&amp;",")-1))))</f>
        <v/>
      </c>
      <c r="BM237">
        <f>IF($BL237="","",MID($BL237,4,FIND("~",SUBSTITUTE($BL237,"-","~",2))-4))</f>
        <v/>
      </c>
      <c r="BN237">
        <f>IF($BL237="","",MID($BL237,FIND("~",SUBSTITUTE($BL237,"-","~",2))+1,FIND("~",SUBSTITUTE($BL237,"-","~",3))-FIND("~",SUBSTITUTE($BL237,"-","~",2))-1))</f>
        <v/>
      </c>
      <c r="BO237">
        <f>IF($BM237="","",IFERROR(VLOOKUP($BM237,DECODE!$A$3:$C$8,3,FALSE),"?"))</f>
        <v/>
      </c>
      <c r="BP237">
        <f>IF($BN237="","",IFERROR(VLOOKUP($BM237&amp;"-"&amp;$BN237,DECODE!$E$3:$F$21,2,FALSE),"?"))</f>
        <v/>
      </c>
      <c r="BQ237">
        <f>IF($BL237="","",IFERROR(VALUE(RIGHT($BL237,3)),""))</f>
        <v/>
      </c>
      <c r="BR237">
        <f>IF($W237="","",IFERROR(IF(ISNUMBER($W237),$W237,DATEVALUE(TRIM($W237))),""))</f>
        <v/>
      </c>
      <c r="BS237">
        <f>IF($BR237="","",IF(MONTH($BR237)&gt;=12,"Cold Winter",IF(MONTH($BR237)&gt;=10,"Post-Monsoon",IF(MONTH($BR237)&gt;=6,"Hot Humid",IF(MONTH($BR237)&gt;=3,"Hot Dry","Cold Winter")))))</f>
        <v/>
      </c>
      <c r="BT237">
        <f>IF($BM237="","",IFERROR(VLOOKUP($BM237,DECODE!$A$3:$C$8,2,FALSE),"?"))</f>
        <v/>
      </c>
      <c r="BU237">
        <f>IF($R237="","",UPPER(TRIM(LEFT($R237&amp;",",FIND(",",$R237&amp;",")-1))))</f>
        <v/>
      </c>
      <c r="BV237">
        <f>IF($BU237="","",MID($BU237,4,FIND("~",SUBSTITUTE($BU237,"-","~",2))-4))</f>
        <v/>
      </c>
      <c r="BW237">
        <f>IF($BU237="","",MID($BU237,FIND("~",SUBSTITUTE($BU237,"-","~",2))+1,FIND("~",SUBSTITUTE($BU237,"-","~",3))-FIND("~",SUBSTITUTE($BU237,"-","~",2))-1))</f>
        <v/>
      </c>
      <c r="BX237">
        <f>IF($BV237="","",IFERROR(VLOOKUP($BV237,DECODE!$A$3:$C$8,3,FALSE),"?"))</f>
        <v/>
      </c>
      <c r="BY237">
        <f>IF($BW237="","",IFERROR(VLOOKUP($BV237&amp;"-"&amp;$BW237,DECODE!$E$3:$F$21,2,FALSE),"?"))</f>
        <v/>
      </c>
      <c r="BZ237">
        <f>IF($BU237="","",IFERROR(VALUE(RIGHT($BU237,3)),""))</f>
        <v/>
      </c>
      <c r="CA237">
        <f>IF($X237="","",IFERROR(IF(ISNUMBER($X237),$X237,DATEVALUE(TRIM($X237))),""))</f>
        <v/>
      </c>
      <c r="CB237">
        <f>IF($CA237="","",IF(MONTH($CA237)&gt;=12,"Cold Winter",IF(MONTH($CA237)&gt;=10,"Post-Monsoon",IF(MONTH($CA237)&gt;=6,"Hot Humid",IF(MONTH($CA237)&gt;=3,"Hot Dry","Cold Winter")))))</f>
        <v/>
      </c>
      <c r="CC237">
        <f>IF($BV237="","",IFERROR(VLOOKUP($BV237,DECODE!$A$3:$C$8,2,FALSE),"?"))</f>
        <v/>
      </c>
      <c r="CD237">
        <f>IF($S237="","",UPPER(TRIM(LEFT($S237&amp;",",FIND(",",$S237&amp;",")-1))))</f>
        <v/>
      </c>
      <c r="CE237">
        <f>IF($CD237="","",MID($CD237,4,FIND("~",SUBSTITUTE($CD237,"-","~",2))-4))</f>
        <v/>
      </c>
      <c r="CF237">
        <f>IF($CD237="","",MID($CD237,FIND("~",SUBSTITUTE($CD237,"-","~",2))+1,FIND("~",SUBSTITUTE($CD237,"-","~",3))-FIND("~",SUBSTITUTE($CD237,"-","~",2))-1))</f>
        <v/>
      </c>
      <c r="CG237">
        <f>IF($CE237="","",IFERROR(VLOOKUP($CE237,DECODE!$A$3:$C$8,3,FALSE),"?"))</f>
        <v/>
      </c>
      <c r="CH237">
        <f>IF($CF237="","",IFERROR(VLOOKUP($CE237&amp;"-"&amp;$CF237,DECODE!$E$3:$F$21,2,FALSE),"?"))</f>
        <v/>
      </c>
      <c r="CI237">
        <f>IF($CD237="","",IFERROR(VALUE(RIGHT($CD237,3)),""))</f>
        <v/>
      </c>
      <c r="CJ237">
        <f>IF($Y237="","",IFERROR(IF(ISNUMBER($Y237),$Y237,DATEVALUE(TRIM($Y237))),""))</f>
        <v/>
      </c>
      <c r="CK237">
        <f>IF($CJ237="","",IF(MONTH($CJ237)&gt;=12,"Cold Winter",IF(MONTH($CJ237)&gt;=10,"Post-Monsoon",IF(MONTH($CJ237)&gt;=6,"Hot Humid",IF(MONTH($CJ237)&gt;=3,"Hot Dry","Cold Winter")))))</f>
        <v/>
      </c>
      <c r="CL237">
        <f>IF($CE237="","",IFERROR(VLOOKUP($CE237,DECODE!$A$3:$C$8,2,FALSE),"?"))</f>
        <v/>
      </c>
      <c r="CM237">
        <f>IF($AN237="","",AN237)</f>
        <v/>
      </c>
      <c r="CN237">
        <f>IF($AO237="","",AO237)</f>
        <v/>
      </c>
      <c r="CO237">
        <f>IF($AP237="","",AP237)</f>
        <v/>
      </c>
      <c r="CP237">
        <f>IF($CM237="","",IF($CM237="Aloe Vera Gel","Aloe Vera Gel "&amp;$CO237&amp;"g",CN237&amp;" "&amp;$CO237&amp;"g"))</f>
        <v/>
      </c>
      <c r="CQ237">
        <f>IF($AT237="",0,1)</f>
        <v/>
      </c>
      <c r="CR237">
        <f>IF($CQ237=0,"",AW237)</f>
        <v/>
      </c>
      <c r="CS237">
        <f>IF($CQ237=0,"",AX237)</f>
        <v/>
      </c>
      <c r="CT237">
        <f>IF($CQ237=0,"",AY237)</f>
        <v/>
      </c>
      <c r="CU237">
        <f>IF($CR237="","",IF($CR237="Aloe Vera Gel","Aloe Vera Gel "&amp;$CT237&amp;"g",CS237&amp;" "&amp;$CT237&amp;"g"))</f>
        <v/>
      </c>
      <c r="CV237">
        <f>IF($CQ237=0,"",IF($CP237=$CU237,"Repeat Exact",IF($CT237&gt;$CO237,"Upsized",IF($CT237&lt;$CO237,"Downsized",IF($CM237&lt;&gt;$CR237,"Lateral","Same Size Diff Variant")))))</f>
        <v/>
      </c>
      <c r="CW237">
        <f>IF($CQ237=0,"",AZ237-AQ237)</f>
        <v/>
      </c>
      <c r="CX237">
        <f>IF($CQ237=0,0,IF(CS237=CN237,1,0))</f>
        <v/>
      </c>
      <c r="CY237">
        <f>IF($CQ237=0,0,IF(CR237=CM237,1,0))</f>
        <v/>
      </c>
      <c r="CZ237">
        <f>IF($A237="","",IF(AND(IF(DASHBOARD!$C$4="All",TRUE,$CM237=DASHBOARD!$C$4),IF(DASHBOARD!$C$6="All",TRUE,$CP237=DASHBOARD!$C$6),IF(DASHBOARD!$C$8="All",TRUE,$AF237&gt;=DASHBOARD!$C$8),IF(DASHBOARD!$C$10="All",TRUE,$AF237&lt;=DASHBOARD!$C$10),IF(DASHBOARD!$C$12="All",TRUE,$AH237=VALUE(DASHBOARD!$C$12)),IF(DASHBOARD!$C$14="All",TRUE,$AJ237=DASHBOARD!$C$14)),1,0))</f>
        <v/>
      </c>
    </row>
    <row r="238">
      <c r="A238" t="n">
        <v>145169</v>
      </c>
      <c r="B238" t="inlineStr">
        <is>
          <t>Active Gel, Aloe Vera Gel, Face Malai</t>
        </is>
      </c>
      <c r="C238" t="inlineStr">
        <is>
          <t>Face Malai</t>
        </is>
      </c>
      <c r="H238" t="inlineStr">
        <is>
          <t>Aloe Vera Gel - 40 gms, Active Orange Kiwi Vit-C Gel, Turmeric Nutmeg (Pigmentation)  Face Malai - 30g</t>
        </is>
      </c>
      <c r="I238" t="inlineStr">
        <is>
          <t>Tomato Vetiver (Hot Humid) 20 - 35 Yrs Face Malai</t>
        </is>
      </c>
      <c r="N238" t="inlineStr">
        <is>
          <t>FC-HG-PA-040, FC-DM-PG-030, FC-AC-OK-050</t>
        </is>
      </c>
      <c r="O238" t="inlineStr">
        <is>
          <t>FC-HHDM-TV-030</t>
        </is>
      </c>
      <c r="T238" t="inlineStr">
        <is>
          <t>May 5, 2024</t>
        </is>
      </c>
      <c r="U238" t="inlineStr">
        <is>
          <t>Aug 20, 2024</t>
        </is>
      </c>
      <c r="Z238" t="n">
        <v>107</v>
      </c>
      <c r="AE238" t="inlineStr">
        <is>
          <t>Chengalpattu</t>
        </is>
      </c>
      <c r="AF238" t="inlineStr">
        <is>
          <t>2024-05</t>
        </is>
      </c>
      <c r="AG238" t="n">
        <v>5</v>
      </c>
      <c r="AH238" t="n">
        <v>2</v>
      </c>
      <c r="AI238" t="n">
        <v>1</v>
      </c>
      <c r="AJ238">
        <f>IF($AE238="","",IFERROR(VLOOKUP(TRIM($AE238),DECODE!$H$3:$I$60,2,FALSE),"Rest of India"))</f>
        <v/>
      </c>
      <c r="AK238">
        <f>IF($N238="","",UPPER(TRIM(LEFT($N238&amp;",",FIND(",",$N238&amp;",")-1))))</f>
        <v/>
      </c>
      <c r="AL238">
        <f>IF($AK238="","",MID($AK238,4,FIND("~",SUBSTITUTE($AK238,"-","~",2))-4))</f>
        <v/>
      </c>
      <c r="AM238">
        <f>IF($AK238="","",MID($AK238,FIND("~",SUBSTITUTE($AK238,"-","~",2))+1,FIND("~",SUBSTITUTE($AK238,"-","~",3))-FIND("~",SUBSTITUTE($AK238,"-","~",2))-1))</f>
        <v/>
      </c>
      <c r="AN238">
        <f>IF($AL238="","",IFERROR(VLOOKUP($AL238,DECODE!$A$3:$C$8,3,FALSE),"?"))</f>
        <v/>
      </c>
      <c r="AO238">
        <f>IF($AM238="","",IFERROR(VLOOKUP($AL238&amp;"-"&amp;$AM238,DECODE!$E$3:$F$21,2,FALSE),"?"))</f>
        <v/>
      </c>
      <c r="AP238">
        <f>IF($AK238="","",IFERROR(VALUE(RIGHT($AK238,3)),""))</f>
        <v/>
      </c>
      <c r="AQ238">
        <f>IF($T238="","",IFERROR(IF(ISNUMBER($T238),$T238,DATEVALUE(TRIM($T238))),""))</f>
        <v/>
      </c>
      <c r="AR238">
        <f>IF($AQ238="","",IF(MONTH($AQ238)&gt;=12,"Cold Winter",IF(MONTH($AQ238)&gt;=10,"Post-Monsoon",IF(MONTH($AQ238)&gt;=6,"Hot Humid",IF(MONTH($AQ238)&gt;=3,"Hot Dry","Cold Winter")))))</f>
        <v/>
      </c>
      <c r="AS238">
        <f>IF($AL238="","",IFERROR(VLOOKUP($AL238,DECODE!$A$3:$C$8,2,FALSE),"?"))</f>
        <v/>
      </c>
      <c r="AT238">
        <f>IF($O238="","",UPPER(TRIM(LEFT($O238&amp;",",FIND(",",$O238&amp;",")-1))))</f>
        <v/>
      </c>
      <c r="AU238">
        <f>IF($AT238="","",MID($AT238,4,FIND("~",SUBSTITUTE($AT238,"-","~",2))-4))</f>
        <v/>
      </c>
      <c r="AV238">
        <f>IF($AT238="","",MID($AT238,FIND("~",SUBSTITUTE($AT238,"-","~",2))+1,FIND("~",SUBSTITUTE($AT238,"-","~",3))-FIND("~",SUBSTITUTE($AT238,"-","~",2))-1))</f>
        <v/>
      </c>
      <c r="AW238">
        <f>IF($AU238="","",IFERROR(VLOOKUP($AU238,DECODE!$A$3:$C$8,3,FALSE),"?"))</f>
        <v/>
      </c>
      <c r="AX238">
        <f>IF($AV238="","",IFERROR(VLOOKUP($AU238&amp;"-"&amp;$AV238,DECODE!$E$3:$F$21,2,FALSE),"?"))</f>
        <v/>
      </c>
      <c r="AY238">
        <f>IF($AT238="","",IFERROR(VALUE(RIGHT($AT238,3)),""))</f>
        <v/>
      </c>
      <c r="AZ238">
        <f>IF($U238="","",IFERROR(IF(ISNUMBER($U238),$U238,DATEVALUE(TRIM($U238))),""))</f>
        <v/>
      </c>
      <c r="BA238">
        <f>IF($AZ238="","",IF(MONTH($AZ238)&gt;=12,"Cold Winter",IF(MONTH($AZ238)&gt;=10,"Post-Monsoon",IF(MONTH($AZ238)&gt;=6,"Hot Humid",IF(MONTH($AZ238)&gt;=3,"Hot Dry","Cold Winter")))))</f>
        <v/>
      </c>
      <c r="BB238">
        <f>IF($AU238="","",IFERROR(VLOOKUP($AU238,DECODE!$A$3:$C$8,2,FALSE),"?"))</f>
        <v/>
      </c>
      <c r="BC238">
        <f>IF($P238="","",UPPER(TRIM(LEFT($P238&amp;",",FIND(",",$P238&amp;",")-1))))</f>
        <v/>
      </c>
      <c r="BD238">
        <f>IF($BC238="","",MID($BC238,4,FIND("~",SUBSTITUTE($BC238,"-","~",2))-4))</f>
        <v/>
      </c>
      <c r="BE238">
        <f>IF($BC238="","",MID($BC238,FIND("~",SUBSTITUTE($BC238,"-","~",2))+1,FIND("~",SUBSTITUTE($BC238,"-","~",3))-FIND("~",SUBSTITUTE($BC238,"-","~",2))-1))</f>
        <v/>
      </c>
      <c r="BF238">
        <f>IF($BD238="","",IFERROR(VLOOKUP($BD238,DECODE!$A$3:$C$8,3,FALSE),"?"))</f>
        <v/>
      </c>
      <c r="BG238">
        <f>IF($BE238="","",IFERROR(VLOOKUP($BD238&amp;"-"&amp;$BE238,DECODE!$E$3:$F$21,2,FALSE),"?"))</f>
        <v/>
      </c>
      <c r="BH238">
        <f>IF($BC238="","",IFERROR(VALUE(RIGHT($BC238,3)),""))</f>
        <v/>
      </c>
      <c r="BI238">
        <f>IF($V238="","",IFERROR(IF(ISNUMBER($V238),$V238,DATEVALUE(TRIM($V238))),""))</f>
        <v/>
      </c>
      <c r="BJ238">
        <f>IF($BI238="","",IF(MONTH($BI238)&gt;=12,"Cold Winter",IF(MONTH($BI238)&gt;=10,"Post-Monsoon",IF(MONTH($BI238)&gt;=6,"Hot Humid",IF(MONTH($BI238)&gt;=3,"Hot Dry","Cold Winter")))))</f>
        <v/>
      </c>
      <c r="BK238">
        <f>IF($BD238="","",IFERROR(VLOOKUP($BD238,DECODE!$A$3:$C$8,2,FALSE),"?"))</f>
        <v/>
      </c>
      <c r="BL238">
        <f>IF($Q238="","",UPPER(TRIM(LEFT($Q238&amp;",",FIND(",",$Q238&amp;",")-1))))</f>
        <v/>
      </c>
      <c r="BM238">
        <f>IF($BL238="","",MID($BL238,4,FIND("~",SUBSTITUTE($BL238,"-","~",2))-4))</f>
        <v/>
      </c>
      <c r="BN238">
        <f>IF($BL238="","",MID($BL238,FIND("~",SUBSTITUTE($BL238,"-","~",2))+1,FIND("~",SUBSTITUTE($BL238,"-","~",3))-FIND("~",SUBSTITUTE($BL238,"-","~",2))-1))</f>
        <v/>
      </c>
      <c r="BO238">
        <f>IF($BM238="","",IFERROR(VLOOKUP($BM238,DECODE!$A$3:$C$8,3,FALSE),"?"))</f>
        <v/>
      </c>
      <c r="BP238">
        <f>IF($BN238="","",IFERROR(VLOOKUP($BM238&amp;"-"&amp;$BN238,DECODE!$E$3:$F$21,2,FALSE),"?"))</f>
        <v/>
      </c>
      <c r="BQ238">
        <f>IF($BL238="","",IFERROR(VALUE(RIGHT($BL238,3)),""))</f>
        <v/>
      </c>
      <c r="BR238">
        <f>IF($W238="","",IFERROR(IF(ISNUMBER($W238),$W238,DATEVALUE(TRIM($W238))),""))</f>
        <v/>
      </c>
      <c r="BS238">
        <f>IF($BR238="","",IF(MONTH($BR238)&gt;=12,"Cold Winter",IF(MONTH($BR238)&gt;=10,"Post-Monsoon",IF(MONTH($BR238)&gt;=6,"Hot Humid",IF(MONTH($BR238)&gt;=3,"Hot Dry","Cold Winter")))))</f>
        <v/>
      </c>
      <c r="BT238">
        <f>IF($BM238="","",IFERROR(VLOOKUP($BM238,DECODE!$A$3:$C$8,2,FALSE),"?"))</f>
        <v/>
      </c>
      <c r="BU238">
        <f>IF($R238="","",UPPER(TRIM(LEFT($R238&amp;",",FIND(",",$R238&amp;",")-1))))</f>
        <v/>
      </c>
      <c r="BV238">
        <f>IF($BU238="","",MID($BU238,4,FIND("~",SUBSTITUTE($BU238,"-","~",2))-4))</f>
        <v/>
      </c>
      <c r="BW238">
        <f>IF($BU238="","",MID($BU238,FIND("~",SUBSTITUTE($BU238,"-","~",2))+1,FIND("~",SUBSTITUTE($BU238,"-","~",3))-FIND("~",SUBSTITUTE($BU238,"-","~",2))-1))</f>
        <v/>
      </c>
      <c r="BX238">
        <f>IF($BV238="","",IFERROR(VLOOKUP($BV238,DECODE!$A$3:$C$8,3,FALSE),"?"))</f>
        <v/>
      </c>
      <c r="BY238">
        <f>IF($BW238="","",IFERROR(VLOOKUP($BV238&amp;"-"&amp;$BW238,DECODE!$E$3:$F$21,2,FALSE),"?"))</f>
        <v/>
      </c>
      <c r="BZ238">
        <f>IF($BU238="","",IFERROR(VALUE(RIGHT($BU238,3)),""))</f>
        <v/>
      </c>
      <c r="CA238">
        <f>IF($X238="","",IFERROR(IF(ISNUMBER($X238),$X238,DATEVALUE(TRIM($X238))),""))</f>
        <v/>
      </c>
      <c r="CB238">
        <f>IF($CA238="","",IF(MONTH($CA238)&gt;=12,"Cold Winter",IF(MONTH($CA238)&gt;=10,"Post-Monsoon",IF(MONTH($CA238)&gt;=6,"Hot Humid",IF(MONTH($CA238)&gt;=3,"Hot Dry","Cold Winter")))))</f>
        <v/>
      </c>
      <c r="CC238">
        <f>IF($BV238="","",IFERROR(VLOOKUP($BV238,DECODE!$A$3:$C$8,2,FALSE),"?"))</f>
        <v/>
      </c>
      <c r="CD238">
        <f>IF($S238="","",UPPER(TRIM(LEFT($S238&amp;",",FIND(",",$S238&amp;",")-1))))</f>
        <v/>
      </c>
      <c r="CE238">
        <f>IF($CD238="","",MID($CD238,4,FIND("~",SUBSTITUTE($CD238,"-","~",2))-4))</f>
        <v/>
      </c>
      <c r="CF238">
        <f>IF($CD238="","",MID($CD238,FIND("~",SUBSTITUTE($CD238,"-","~",2))+1,FIND("~",SUBSTITUTE($CD238,"-","~",3))-FIND("~",SUBSTITUTE($CD238,"-","~",2))-1))</f>
        <v/>
      </c>
      <c r="CG238">
        <f>IF($CE238="","",IFERROR(VLOOKUP($CE238,DECODE!$A$3:$C$8,3,FALSE),"?"))</f>
        <v/>
      </c>
      <c r="CH238">
        <f>IF($CF238="","",IFERROR(VLOOKUP($CE238&amp;"-"&amp;$CF238,DECODE!$E$3:$F$21,2,FALSE),"?"))</f>
        <v/>
      </c>
      <c r="CI238">
        <f>IF($CD238="","",IFERROR(VALUE(RIGHT($CD238,3)),""))</f>
        <v/>
      </c>
      <c r="CJ238">
        <f>IF($Y238="","",IFERROR(IF(ISNUMBER($Y238),$Y238,DATEVALUE(TRIM($Y238))),""))</f>
        <v/>
      </c>
      <c r="CK238">
        <f>IF($CJ238="","",IF(MONTH($CJ238)&gt;=12,"Cold Winter",IF(MONTH($CJ238)&gt;=10,"Post-Monsoon",IF(MONTH($CJ238)&gt;=6,"Hot Humid",IF(MONTH($CJ238)&gt;=3,"Hot Dry","Cold Winter")))))</f>
        <v/>
      </c>
      <c r="CL238">
        <f>IF($CE238="","",IFERROR(VLOOKUP($CE238,DECODE!$A$3:$C$8,2,FALSE),"?"))</f>
        <v/>
      </c>
      <c r="CM238">
        <f>IF($AN238="","",AN238)</f>
        <v/>
      </c>
      <c r="CN238">
        <f>IF($AO238="","",AO238)</f>
        <v/>
      </c>
      <c r="CO238">
        <f>IF($AP238="","",AP238)</f>
        <v/>
      </c>
      <c r="CP238">
        <f>IF($CM238="","",IF($CM238="Aloe Vera Gel","Aloe Vera Gel "&amp;$CO238&amp;"g",CN238&amp;" "&amp;$CO238&amp;"g"))</f>
        <v/>
      </c>
      <c r="CQ238">
        <f>IF($AT238="",0,1)</f>
        <v/>
      </c>
      <c r="CR238">
        <f>IF($CQ238=0,"",AW238)</f>
        <v/>
      </c>
      <c r="CS238">
        <f>IF($CQ238=0,"",AX238)</f>
        <v/>
      </c>
      <c r="CT238">
        <f>IF($CQ238=0,"",AY238)</f>
        <v/>
      </c>
      <c r="CU238">
        <f>IF($CR238="","",IF($CR238="Aloe Vera Gel","Aloe Vera Gel "&amp;$CT238&amp;"g",CS238&amp;" "&amp;$CT238&amp;"g"))</f>
        <v/>
      </c>
      <c r="CV238">
        <f>IF($CQ238=0,"",IF($CP238=$CU238,"Repeat Exact",IF($CT238&gt;$CO238,"Upsized",IF($CT238&lt;$CO238,"Downsized",IF($CM238&lt;&gt;$CR238,"Lateral","Same Size Diff Variant")))))</f>
        <v/>
      </c>
      <c r="CW238">
        <f>IF($CQ238=0,"",AZ238-AQ238)</f>
        <v/>
      </c>
      <c r="CX238">
        <f>IF($CQ238=0,0,IF(CS238=CN238,1,0))</f>
        <v/>
      </c>
      <c r="CY238">
        <f>IF($CQ238=0,0,IF(CR238=CM238,1,0))</f>
        <v/>
      </c>
      <c r="CZ238">
        <f>IF($A238="","",IF(AND(IF(DASHBOARD!$C$4="All",TRUE,$CM238=DASHBOARD!$C$4),IF(DASHBOARD!$C$6="All",TRUE,$CP238=DASHBOARD!$C$6),IF(DASHBOARD!$C$8="All",TRUE,$AF238&gt;=DASHBOARD!$C$8),IF(DASHBOARD!$C$10="All",TRUE,$AF238&lt;=DASHBOARD!$C$10),IF(DASHBOARD!$C$12="All",TRUE,$AH238=VALUE(DASHBOARD!$C$12)),IF(DASHBOARD!$C$14="All",TRUE,$AJ238=DASHBOARD!$C$14)),1,0))</f>
        <v/>
      </c>
    </row>
    <row r="239">
      <c r="A239" t="n">
        <v>145586</v>
      </c>
      <c r="B239" t="inlineStr">
        <is>
          <t>Aloe Vera Gel</t>
        </is>
      </c>
      <c r="H239" t="inlineStr">
        <is>
          <t>Aloe Vera Gel - 40 gms</t>
        </is>
      </c>
      <c r="N239" t="inlineStr">
        <is>
          <t>FC-HG-PA-040</t>
        </is>
      </c>
      <c r="T239" t="inlineStr">
        <is>
          <t>Mar 5, 2024</t>
        </is>
      </c>
      <c r="AE239" t="inlineStr">
        <is>
          <t>Ahmedabad</t>
        </is>
      </c>
      <c r="AF239" t="inlineStr">
        <is>
          <t>2024-03</t>
        </is>
      </c>
      <c r="AG239" t="n">
        <v>3</v>
      </c>
      <c r="AH239" t="n">
        <v>1</v>
      </c>
      <c r="AI239" t="n">
        <v>0</v>
      </c>
      <c r="AJ239">
        <f>IF($AE239="","",IFERROR(VLOOKUP(TRIM($AE239),DECODE!$H$3:$I$60,2,FALSE),"Rest of India"))</f>
        <v/>
      </c>
      <c r="AK239">
        <f>IF($N239="","",UPPER(TRIM(LEFT($N239&amp;",",FIND(",",$N239&amp;",")-1))))</f>
        <v/>
      </c>
      <c r="AL239">
        <f>IF($AK239="","",MID($AK239,4,FIND("~",SUBSTITUTE($AK239,"-","~",2))-4))</f>
        <v/>
      </c>
      <c r="AM239">
        <f>IF($AK239="","",MID($AK239,FIND("~",SUBSTITUTE($AK239,"-","~",2))+1,FIND("~",SUBSTITUTE($AK239,"-","~",3))-FIND("~",SUBSTITUTE($AK239,"-","~",2))-1))</f>
        <v/>
      </c>
      <c r="AN239">
        <f>IF($AL239="","",IFERROR(VLOOKUP($AL239,DECODE!$A$3:$C$8,3,FALSE),"?"))</f>
        <v/>
      </c>
      <c r="AO239">
        <f>IF($AM239="","",IFERROR(VLOOKUP($AL239&amp;"-"&amp;$AM239,DECODE!$E$3:$F$21,2,FALSE),"?"))</f>
        <v/>
      </c>
      <c r="AP239">
        <f>IF($AK239="","",IFERROR(VALUE(RIGHT($AK239,3)),""))</f>
        <v/>
      </c>
      <c r="AQ239">
        <f>IF($T239="","",IFERROR(IF(ISNUMBER($T239),$T239,DATEVALUE(TRIM($T239))),""))</f>
        <v/>
      </c>
      <c r="AR239">
        <f>IF($AQ239="","",IF(MONTH($AQ239)&gt;=12,"Cold Winter",IF(MONTH($AQ239)&gt;=10,"Post-Monsoon",IF(MONTH($AQ239)&gt;=6,"Hot Humid",IF(MONTH($AQ239)&gt;=3,"Hot Dry","Cold Winter")))))</f>
        <v/>
      </c>
      <c r="AS239">
        <f>IF($AL239="","",IFERROR(VLOOKUP($AL239,DECODE!$A$3:$C$8,2,FALSE),"?"))</f>
        <v/>
      </c>
      <c r="AT239">
        <f>IF($O239="","",UPPER(TRIM(LEFT($O239&amp;",",FIND(",",$O239&amp;",")-1))))</f>
        <v/>
      </c>
      <c r="AU239">
        <f>IF($AT239="","",MID($AT239,4,FIND("~",SUBSTITUTE($AT239,"-","~",2))-4))</f>
        <v/>
      </c>
      <c r="AV239">
        <f>IF($AT239="","",MID($AT239,FIND("~",SUBSTITUTE($AT239,"-","~",2))+1,FIND("~",SUBSTITUTE($AT239,"-","~",3))-FIND("~",SUBSTITUTE($AT239,"-","~",2))-1))</f>
        <v/>
      </c>
      <c r="AW239">
        <f>IF($AU239="","",IFERROR(VLOOKUP($AU239,DECODE!$A$3:$C$8,3,FALSE),"?"))</f>
        <v/>
      </c>
      <c r="AX239">
        <f>IF($AV239="","",IFERROR(VLOOKUP($AU239&amp;"-"&amp;$AV239,DECODE!$E$3:$F$21,2,FALSE),"?"))</f>
        <v/>
      </c>
      <c r="AY239">
        <f>IF($AT239="","",IFERROR(VALUE(RIGHT($AT239,3)),""))</f>
        <v/>
      </c>
      <c r="AZ239">
        <f>IF($U239="","",IFERROR(IF(ISNUMBER($U239),$U239,DATEVALUE(TRIM($U239))),""))</f>
        <v/>
      </c>
      <c r="BA239">
        <f>IF($AZ239="","",IF(MONTH($AZ239)&gt;=12,"Cold Winter",IF(MONTH($AZ239)&gt;=10,"Post-Monsoon",IF(MONTH($AZ239)&gt;=6,"Hot Humid",IF(MONTH($AZ239)&gt;=3,"Hot Dry","Cold Winter")))))</f>
        <v/>
      </c>
      <c r="BB239">
        <f>IF($AU239="","",IFERROR(VLOOKUP($AU239,DECODE!$A$3:$C$8,2,FALSE),"?"))</f>
        <v/>
      </c>
      <c r="BC239">
        <f>IF($P239="","",UPPER(TRIM(LEFT($P239&amp;",",FIND(",",$P239&amp;",")-1))))</f>
        <v/>
      </c>
      <c r="BD239">
        <f>IF($BC239="","",MID($BC239,4,FIND("~",SUBSTITUTE($BC239,"-","~",2))-4))</f>
        <v/>
      </c>
      <c r="BE239">
        <f>IF($BC239="","",MID($BC239,FIND("~",SUBSTITUTE($BC239,"-","~",2))+1,FIND("~",SUBSTITUTE($BC239,"-","~",3))-FIND("~",SUBSTITUTE($BC239,"-","~",2))-1))</f>
        <v/>
      </c>
      <c r="BF239">
        <f>IF($BD239="","",IFERROR(VLOOKUP($BD239,DECODE!$A$3:$C$8,3,FALSE),"?"))</f>
        <v/>
      </c>
      <c r="BG239">
        <f>IF($BE239="","",IFERROR(VLOOKUP($BD239&amp;"-"&amp;$BE239,DECODE!$E$3:$F$21,2,FALSE),"?"))</f>
        <v/>
      </c>
      <c r="BH239">
        <f>IF($BC239="","",IFERROR(VALUE(RIGHT($BC239,3)),""))</f>
        <v/>
      </c>
      <c r="BI239">
        <f>IF($V239="","",IFERROR(IF(ISNUMBER($V239),$V239,DATEVALUE(TRIM($V239))),""))</f>
        <v/>
      </c>
      <c r="BJ239">
        <f>IF($BI239="","",IF(MONTH($BI239)&gt;=12,"Cold Winter",IF(MONTH($BI239)&gt;=10,"Post-Monsoon",IF(MONTH($BI239)&gt;=6,"Hot Humid",IF(MONTH($BI239)&gt;=3,"Hot Dry","Cold Winter")))))</f>
        <v/>
      </c>
      <c r="BK239">
        <f>IF($BD239="","",IFERROR(VLOOKUP($BD239,DECODE!$A$3:$C$8,2,FALSE),"?"))</f>
        <v/>
      </c>
      <c r="BL239">
        <f>IF($Q239="","",UPPER(TRIM(LEFT($Q239&amp;",",FIND(",",$Q239&amp;",")-1))))</f>
        <v/>
      </c>
      <c r="BM239">
        <f>IF($BL239="","",MID($BL239,4,FIND("~",SUBSTITUTE($BL239,"-","~",2))-4))</f>
        <v/>
      </c>
      <c r="BN239">
        <f>IF($BL239="","",MID($BL239,FIND("~",SUBSTITUTE($BL239,"-","~",2))+1,FIND("~",SUBSTITUTE($BL239,"-","~",3))-FIND("~",SUBSTITUTE($BL239,"-","~",2))-1))</f>
        <v/>
      </c>
      <c r="BO239">
        <f>IF($BM239="","",IFERROR(VLOOKUP($BM239,DECODE!$A$3:$C$8,3,FALSE),"?"))</f>
        <v/>
      </c>
      <c r="BP239">
        <f>IF($BN239="","",IFERROR(VLOOKUP($BM239&amp;"-"&amp;$BN239,DECODE!$E$3:$F$21,2,FALSE),"?"))</f>
        <v/>
      </c>
      <c r="BQ239">
        <f>IF($BL239="","",IFERROR(VALUE(RIGHT($BL239,3)),""))</f>
        <v/>
      </c>
      <c r="BR239">
        <f>IF($W239="","",IFERROR(IF(ISNUMBER($W239),$W239,DATEVALUE(TRIM($W239))),""))</f>
        <v/>
      </c>
      <c r="BS239">
        <f>IF($BR239="","",IF(MONTH($BR239)&gt;=12,"Cold Winter",IF(MONTH($BR239)&gt;=10,"Post-Monsoon",IF(MONTH($BR239)&gt;=6,"Hot Humid",IF(MONTH($BR239)&gt;=3,"Hot Dry","Cold Winter")))))</f>
        <v/>
      </c>
      <c r="BT239">
        <f>IF($BM239="","",IFERROR(VLOOKUP($BM239,DECODE!$A$3:$C$8,2,FALSE),"?"))</f>
        <v/>
      </c>
      <c r="BU239">
        <f>IF($R239="","",UPPER(TRIM(LEFT($R239&amp;",",FIND(",",$R239&amp;",")-1))))</f>
        <v/>
      </c>
      <c r="BV239">
        <f>IF($BU239="","",MID($BU239,4,FIND("~",SUBSTITUTE($BU239,"-","~",2))-4))</f>
        <v/>
      </c>
      <c r="BW239">
        <f>IF($BU239="","",MID($BU239,FIND("~",SUBSTITUTE($BU239,"-","~",2))+1,FIND("~",SUBSTITUTE($BU239,"-","~",3))-FIND("~",SUBSTITUTE($BU239,"-","~",2))-1))</f>
        <v/>
      </c>
      <c r="BX239">
        <f>IF($BV239="","",IFERROR(VLOOKUP($BV239,DECODE!$A$3:$C$8,3,FALSE),"?"))</f>
        <v/>
      </c>
      <c r="BY239">
        <f>IF($BW239="","",IFERROR(VLOOKUP($BV239&amp;"-"&amp;$BW239,DECODE!$E$3:$F$21,2,FALSE),"?"))</f>
        <v/>
      </c>
      <c r="BZ239">
        <f>IF($BU239="","",IFERROR(VALUE(RIGHT($BU239,3)),""))</f>
        <v/>
      </c>
      <c r="CA239">
        <f>IF($X239="","",IFERROR(IF(ISNUMBER($X239),$X239,DATEVALUE(TRIM($X239))),""))</f>
        <v/>
      </c>
      <c r="CB239">
        <f>IF($CA239="","",IF(MONTH($CA239)&gt;=12,"Cold Winter",IF(MONTH($CA239)&gt;=10,"Post-Monsoon",IF(MONTH($CA239)&gt;=6,"Hot Humid",IF(MONTH($CA239)&gt;=3,"Hot Dry","Cold Winter")))))</f>
        <v/>
      </c>
      <c r="CC239">
        <f>IF($BV239="","",IFERROR(VLOOKUP($BV239,DECODE!$A$3:$C$8,2,FALSE),"?"))</f>
        <v/>
      </c>
      <c r="CD239">
        <f>IF($S239="","",UPPER(TRIM(LEFT($S239&amp;",",FIND(",",$S239&amp;",")-1))))</f>
        <v/>
      </c>
      <c r="CE239">
        <f>IF($CD239="","",MID($CD239,4,FIND("~",SUBSTITUTE($CD239,"-","~",2))-4))</f>
        <v/>
      </c>
      <c r="CF239">
        <f>IF($CD239="","",MID($CD239,FIND("~",SUBSTITUTE($CD239,"-","~",2))+1,FIND("~",SUBSTITUTE($CD239,"-","~",3))-FIND("~",SUBSTITUTE($CD239,"-","~",2))-1))</f>
        <v/>
      </c>
      <c r="CG239">
        <f>IF($CE239="","",IFERROR(VLOOKUP($CE239,DECODE!$A$3:$C$8,3,FALSE),"?"))</f>
        <v/>
      </c>
      <c r="CH239">
        <f>IF($CF239="","",IFERROR(VLOOKUP($CE239&amp;"-"&amp;$CF239,DECODE!$E$3:$F$21,2,FALSE),"?"))</f>
        <v/>
      </c>
      <c r="CI239">
        <f>IF($CD239="","",IFERROR(VALUE(RIGHT($CD239,3)),""))</f>
        <v/>
      </c>
      <c r="CJ239">
        <f>IF($Y239="","",IFERROR(IF(ISNUMBER($Y239),$Y239,DATEVALUE(TRIM($Y239))),""))</f>
        <v/>
      </c>
      <c r="CK239">
        <f>IF($CJ239="","",IF(MONTH($CJ239)&gt;=12,"Cold Winter",IF(MONTH($CJ239)&gt;=10,"Post-Monsoon",IF(MONTH($CJ239)&gt;=6,"Hot Humid",IF(MONTH($CJ239)&gt;=3,"Hot Dry","Cold Winter")))))</f>
        <v/>
      </c>
      <c r="CL239">
        <f>IF($CE239="","",IFERROR(VLOOKUP($CE239,DECODE!$A$3:$C$8,2,FALSE),"?"))</f>
        <v/>
      </c>
      <c r="CM239">
        <f>IF($AN239="","",AN239)</f>
        <v/>
      </c>
      <c r="CN239">
        <f>IF($AO239="","",AO239)</f>
        <v/>
      </c>
      <c r="CO239">
        <f>IF($AP239="","",AP239)</f>
        <v/>
      </c>
      <c r="CP239">
        <f>IF($CM239="","",IF($CM239="Aloe Vera Gel","Aloe Vera Gel "&amp;$CO239&amp;"g",CN239&amp;" "&amp;$CO239&amp;"g"))</f>
        <v/>
      </c>
      <c r="CQ239">
        <f>IF($AT239="",0,1)</f>
        <v/>
      </c>
      <c r="CR239">
        <f>IF($CQ239=0,"",AW239)</f>
        <v/>
      </c>
      <c r="CS239">
        <f>IF($CQ239=0,"",AX239)</f>
        <v/>
      </c>
      <c r="CT239">
        <f>IF($CQ239=0,"",AY239)</f>
        <v/>
      </c>
      <c r="CU239">
        <f>IF($CR239="","",IF($CR239="Aloe Vera Gel","Aloe Vera Gel "&amp;$CT239&amp;"g",CS239&amp;" "&amp;$CT239&amp;"g"))</f>
        <v/>
      </c>
      <c r="CV239">
        <f>IF($CQ239=0,"",IF($CP239=$CU239,"Repeat Exact",IF($CT239&gt;$CO239,"Upsized",IF($CT239&lt;$CO239,"Downsized",IF($CM239&lt;&gt;$CR239,"Lateral","Same Size Diff Variant")))))</f>
        <v/>
      </c>
      <c r="CW239">
        <f>IF($CQ239=0,"",AZ239-AQ239)</f>
        <v/>
      </c>
      <c r="CX239">
        <f>IF($CQ239=0,0,IF(CS239=CN239,1,0))</f>
        <v/>
      </c>
      <c r="CY239">
        <f>IF($CQ239=0,0,IF(CR239=CM239,1,0))</f>
        <v/>
      </c>
      <c r="CZ239">
        <f>IF($A239="","",IF(AND(IF(DASHBOARD!$C$4="All",TRUE,$CM239=DASHBOARD!$C$4),IF(DASHBOARD!$C$6="All",TRUE,$CP239=DASHBOARD!$C$6),IF(DASHBOARD!$C$8="All",TRUE,$AF239&gt;=DASHBOARD!$C$8),IF(DASHBOARD!$C$10="All",TRUE,$AF239&lt;=DASHBOARD!$C$10),IF(DASHBOARD!$C$12="All",TRUE,$AH239=VALUE(DASHBOARD!$C$12)),IF(DASHBOARD!$C$14="All",TRUE,$AJ239=DASHBOARD!$C$14)),1,0))</f>
        <v/>
      </c>
    </row>
    <row r="240">
      <c r="A240" t="n">
        <v>145659</v>
      </c>
      <c r="B240" t="inlineStr">
        <is>
          <t>Face Malai</t>
        </is>
      </c>
      <c r="H240" t="inlineStr">
        <is>
          <t>Flax Walnut (Cold) 35+ Face Malai</t>
        </is>
      </c>
      <c r="N240" t="inlineStr">
        <is>
          <t>FC-CWDM-FW-030</t>
        </is>
      </c>
      <c r="T240" t="inlineStr">
        <is>
          <t>Jan 27, 2025</t>
        </is>
      </c>
      <c r="AE240" t="inlineStr">
        <is>
          <t>Bengaluru</t>
        </is>
      </c>
      <c r="AF240" t="inlineStr">
        <is>
          <t>2025-01</t>
        </is>
      </c>
      <c r="AG240" t="n">
        <v>1</v>
      </c>
      <c r="AH240" t="n">
        <v>1</v>
      </c>
      <c r="AI240" t="n">
        <v>0</v>
      </c>
      <c r="AJ240">
        <f>IF($AE240="","",IFERROR(VLOOKUP(TRIM($AE240),DECODE!$H$3:$I$60,2,FALSE),"Rest of India"))</f>
        <v/>
      </c>
      <c r="AK240">
        <f>IF($N240="","",UPPER(TRIM(LEFT($N240&amp;",",FIND(",",$N240&amp;",")-1))))</f>
        <v/>
      </c>
      <c r="AL240">
        <f>IF($AK240="","",MID($AK240,4,FIND("~",SUBSTITUTE($AK240,"-","~",2))-4))</f>
        <v/>
      </c>
      <c r="AM240">
        <f>IF($AK240="","",MID($AK240,FIND("~",SUBSTITUTE($AK240,"-","~",2))+1,FIND("~",SUBSTITUTE($AK240,"-","~",3))-FIND("~",SUBSTITUTE($AK240,"-","~",2))-1))</f>
        <v/>
      </c>
      <c r="AN240">
        <f>IF($AL240="","",IFERROR(VLOOKUP($AL240,DECODE!$A$3:$C$8,3,FALSE),"?"))</f>
        <v/>
      </c>
      <c r="AO240">
        <f>IF($AM240="","",IFERROR(VLOOKUP($AL240&amp;"-"&amp;$AM240,DECODE!$E$3:$F$21,2,FALSE),"?"))</f>
        <v/>
      </c>
      <c r="AP240">
        <f>IF($AK240="","",IFERROR(VALUE(RIGHT($AK240,3)),""))</f>
        <v/>
      </c>
      <c r="AQ240">
        <f>IF($T240="","",IFERROR(IF(ISNUMBER($T240),$T240,DATEVALUE(TRIM($T240))),""))</f>
        <v/>
      </c>
      <c r="AR240">
        <f>IF($AQ240="","",IF(MONTH($AQ240)&gt;=12,"Cold Winter",IF(MONTH($AQ240)&gt;=10,"Post-Monsoon",IF(MONTH($AQ240)&gt;=6,"Hot Humid",IF(MONTH($AQ240)&gt;=3,"Hot Dry","Cold Winter")))))</f>
        <v/>
      </c>
      <c r="AS240">
        <f>IF($AL240="","",IFERROR(VLOOKUP($AL240,DECODE!$A$3:$C$8,2,FALSE),"?"))</f>
        <v/>
      </c>
      <c r="AT240">
        <f>IF($O240="","",UPPER(TRIM(LEFT($O240&amp;",",FIND(",",$O240&amp;",")-1))))</f>
        <v/>
      </c>
      <c r="AU240">
        <f>IF($AT240="","",MID($AT240,4,FIND("~",SUBSTITUTE($AT240,"-","~",2))-4))</f>
        <v/>
      </c>
      <c r="AV240">
        <f>IF($AT240="","",MID($AT240,FIND("~",SUBSTITUTE($AT240,"-","~",2))+1,FIND("~",SUBSTITUTE($AT240,"-","~",3))-FIND("~",SUBSTITUTE($AT240,"-","~",2))-1))</f>
        <v/>
      </c>
      <c r="AW240">
        <f>IF($AU240="","",IFERROR(VLOOKUP($AU240,DECODE!$A$3:$C$8,3,FALSE),"?"))</f>
        <v/>
      </c>
      <c r="AX240">
        <f>IF($AV240="","",IFERROR(VLOOKUP($AU240&amp;"-"&amp;$AV240,DECODE!$E$3:$F$21,2,FALSE),"?"))</f>
        <v/>
      </c>
      <c r="AY240">
        <f>IF($AT240="","",IFERROR(VALUE(RIGHT($AT240,3)),""))</f>
        <v/>
      </c>
      <c r="AZ240">
        <f>IF($U240="","",IFERROR(IF(ISNUMBER($U240),$U240,DATEVALUE(TRIM($U240))),""))</f>
        <v/>
      </c>
      <c r="BA240">
        <f>IF($AZ240="","",IF(MONTH($AZ240)&gt;=12,"Cold Winter",IF(MONTH($AZ240)&gt;=10,"Post-Monsoon",IF(MONTH($AZ240)&gt;=6,"Hot Humid",IF(MONTH($AZ240)&gt;=3,"Hot Dry","Cold Winter")))))</f>
        <v/>
      </c>
      <c r="BB240">
        <f>IF($AU240="","",IFERROR(VLOOKUP($AU240,DECODE!$A$3:$C$8,2,FALSE),"?"))</f>
        <v/>
      </c>
      <c r="BC240">
        <f>IF($P240="","",UPPER(TRIM(LEFT($P240&amp;",",FIND(",",$P240&amp;",")-1))))</f>
        <v/>
      </c>
      <c r="BD240">
        <f>IF($BC240="","",MID($BC240,4,FIND("~",SUBSTITUTE($BC240,"-","~",2))-4))</f>
        <v/>
      </c>
      <c r="BE240">
        <f>IF($BC240="","",MID($BC240,FIND("~",SUBSTITUTE($BC240,"-","~",2))+1,FIND("~",SUBSTITUTE($BC240,"-","~",3))-FIND("~",SUBSTITUTE($BC240,"-","~",2))-1))</f>
        <v/>
      </c>
      <c r="BF240">
        <f>IF($BD240="","",IFERROR(VLOOKUP($BD240,DECODE!$A$3:$C$8,3,FALSE),"?"))</f>
        <v/>
      </c>
      <c r="BG240">
        <f>IF($BE240="","",IFERROR(VLOOKUP($BD240&amp;"-"&amp;$BE240,DECODE!$E$3:$F$21,2,FALSE),"?"))</f>
        <v/>
      </c>
      <c r="BH240">
        <f>IF($BC240="","",IFERROR(VALUE(RIGHT($BC240,3)),""))</f>
        <v/>
      </c>
      <c r="BI240">
        <f>IF($V240="","",IFERROR(IF(ISNUMBER($V240),$V240,DATEVALUE(TRIM($V240))),""))</f>
        <v/>
      </c>
      <c r="BJ240">
        <f>IF($BI240="","",IF(MONTH($BI240)&gt;=12,"Cold Winter",IF(MONTH($BI240)&gt;=10,"Post-Monsoon",IF(MONTH($BI240)&gt;=6,"Hot Humid",IF(MONTH($BI240)&gt;=3,"Hot Dry","Cold Winter")))))</f>
        <v/>
      </c>
      <c r="BK240">
        <f>IF($BD240="","",IFERROR(VLOOKUP($BD240,DECODE!$A$3:$C$8,2,FALSE),"?"))</f>
        <v/>
      </c>
      <c r="BL240">
        <f>IF($Q240="","",UPPER(TRIM(LEFT($Q240&amp;",",FIND(",",$Q240&amp;",")-1))))</f>
        <v/>
      </c>
      <c r="BM240">
        <f>IF($BL240="","",MID($BL240,4,FIND("~",SUBSTITUTE($BL240,"-","~",2))-4))</f>
        <v/>
      </c>
      <c r="BN240">
        <f>IF($BL240="","",MID($BL240,FIND("~",SUBSTITUTE($BL240,"-","~",2))+1,FIND("~",SUBSTITUTE($BL240,"-","~",3))-FIND("~",SUBSTITUTE($BL240,"-","~",2))-1))</f>
        <v/>
      </c>
      <c r="BO240">
        <f>IF($BM240="","",IFERROR(VLOOKUP($BM240,DECODE!$A$3:$C$8,3,FALSE),"?"))</f>
        <v/>
      </c>
      <c r="BP240">
        <f>IF($BN240="","",IFERROR(VLOOKUP($BM240&amp;"-"&amp;$BN240,DECODE!$E$3:$F$21,2,FALSE),"?"))</f>
        <v/>
      </c>
      <c r="BQ240">
        <f>IF($BL240="","",IFERROR(VALUE(RIGHT($BL240,3)),""))</f>
        <v/>
      </c>
      <c r="BR240">
        <f>IF($W240="","",IFERROR(IF(ISNUMBER($W240),$W240,DATEVALUE(TRIM($W240))),""))</f>
        <v/>
      </c>
      <c r="BS240">
        <f>IF($BR240="","",IF(MONTH($BR240)&gt;=12,"Cold Winter",IF(MONTH($BR240)&gt;=10,"Post-Monsoon",IF(MONTH($BR240)&gt;=6,"Hot Humid",IF(MONTH($BR240)&gt;=3,"Hot Dry","Cold Winter")))))</f>
        <v/>
      </c>
      <c r="BT240">
        <f>IF($BM240="","",IFERROR(VLOOKUP($BM240,DECODE!$A$3:$C$8,2,FALSE),"?"))</f>
        <v/>
      </c>
      <c r="BU240">
        <f>IF($R240="","",UPPER(TRIM(LEFT($R240&amp;",",FIND(",",$R240&amp;",")-1))))</f>
        <v/>
      </c>
      <c r="BV240">
        <f>IF($BU240="","",MID($BU240,4,FIND("~",SUBSTITUTE($BU240,"-","~",2))-4))</f>
        <v/>
      </c>
      <c r="BW240">
        <f>IF($BU240="","",MID($BU240,FIND("~",SUBSTITUTE($BU240,"-","~",2))+1,FIND("~",SUBSTITUTE($BU240,"-","~",3))-FIND("~",SUBSTITUTE($BU240,"-","~",2))-1))</f>
        <v/>
      </c>
      <c r="BX240">
        <f>IF($BV240="","",IFERROR(VLOOKUP($BV240,DECODE!$A$3:$C$8,3,FALSE),"?"))</f>
        <v/>
      </c>
      <c r="BY240">
        <f>IF($BW240="","",IFERROR(VLOOKUP($BV240&amp;"-"&amp;$BW240,DECODE!$E$3:$F$21,2,FALSE),"?"))</f>
        <v/>
      </c>
      <c r="BZ240">
        <f>IF($BU240="","",IFERROR(VALUE(RIGHT($BU240,3)),""))</f>
        <v/>
      </c>
      <c r="CA240">
        <f>IF($X240="","",IFERROR(IF(ISNUMBER($X240),$X240,DATEVALUE(TRIM($X240))),""))</f>
        <v/>
      </c>
      <c r="CB240">
        <f>IF($CA240="","",IF(MONTH($CA240)&gt;=12,"Cold Winter",IF(MONTH($CA240)&gt;=10,"Post-Monsoon",IF(MONTH($CA240)&gt;=6,"Hot Humid",IF(MONTH($CA240)&gt;=3,"Hot Dry","Cold Winter")))))</f>
        <v/>
      </c>
      <c r="CC240">
        <f>IF($BV240="","",IFERROR(VLOOKUP($BV240,DECODE!$A$3:$C$8,2,FALSE),"?"))</f>
        <v/>
      </c>
      <c r="CD240">
        <f>IF($S240="","",UPPER(TRIM(LEFT($S240&amp;",",FIND(",",$S240&amp;",")-1))))</f>
        <v/>
      </c>
      <c r="CE240">
        <f>IF($CD240="","",MID($CD240,4,FIND("~",SUBSTITUTE($CD240,"-","~",2))-4))</f>
        <v/>
      </c>
      <c r="CF240">
        <f>IF($CD240="","",MID($CD240,FIND("~",SUBSTITUTE($CD240,"-","~",2))+1,FIND("~",SUBSTITUTE($CD240,"-","~",3))-FIND("~",SUBSTITUTE($CD240,"-","~",2))-1))</f>
        <v/>
      </c>
      <c r="CG240">
        <f>IF($CE240="","",IFERROR(VLOOKUP($CE240,DECODE!$A$3:$C$8,3,FALSE),"?"))</f>
        <v/>
      </c>
      <c r="CH240">
        <f>IF($CF240="","",IFERROR(VLOOKUP($CE240&amp;"-"&amp;$CF240,DECODE!$E$3:$F$21,2,FALSE),"?"))</f>
        <v/>
      </c>
      <c r="CI240">
        <f>IF($CD240="","",IFERROR(VALUE(RIGHT($CD240,3)),""))</f>
        <v/>
      </c>
      <c r="CJ240">
        <f>IF($Y240="","",IFERROR(IF(ISNUMBER($Y240),$Y240,DATEVALUE(TRIM($Y240))),""))</f>
        <v/>
      </c>
      <c r="CK240">
        <f>IF($CJ240="","",IF(MONTH($CJ240)&gt;=12,"Cold Winter",IF(MONTH($CJ240)&gt;=10,"Post-Monsoon",IF(MONTH($CJ240)&gt;=6,"Hot Humid",IF(MONTH($CJ240)&gt;=3,"Hot Dry","Cold Winter")))))</f>
        <v/>
      </c>
      <c r="CL240">
        <f>IF($CE240="","",IFERROR(VLOOKUP($CE240,DECODE!$A$3:$C$8,2,FALSE),"?"))</f>
        <v/>
      </c>
      <c r="CM240">
        <f>IF($AN240="","",AN240)</f>
        <v/>
      </c>
      <c r="CN240">
        <f>IF($AO240="","",AO240)</f>
        <v/>
      </c>
      <c r="CO240">
        <f>IF($AP240="","",AP240)</f>
        <v/>
      </c>
      <c r="CP240">
        <f>IF($CM240="","",IF($CM240="Aloe Vera Gel","Aloe Vera Gel "&amp;$CO240&amp;"g",CN240&amp;" "&amp;$CO240&amp;"g"))</f>
        <v/>
      </c>
      <c r="CQ240">
        <f>IF($AT240="",0,1)</f>
        <v/>
      </c>
      <c r="CR240">
        <f>IF($CQ240=0,"",AW240)</f>
        <v/>
      </c>
      <c r="CS240">
        <f>IF($CQ240=0,"",AX240)</f>
        <v/>
      </c>
      <c r="CT240">
        <f>IF($CQ240=0,"",AY240)</f>
        <v/>
      </c>
      <c r="CU240">
        <f>IF($CR240="","",IF($CR240="Aloe Vera Gel","Aloe Vera Gel "&amp;$CT240&amp;"g",CS240&amp;" "&amp;$CT240&amp;"g"))</f>
        <v/>
      </c>
      <c r="CV240">
        <f>IF($CQ240=0,"",IF($CP240=$CU240,"Repeat Exact",IF($CT240&gt;$CO240,"Upsized",IF($CT240&lt;$CO240,"Downsized",IF($CM240&lt;&gt;$CR240,"Lateral","Same Size Diff Variant")))))</f>
        <v/>
      </c>
      <c r="CW240">
        <f>IF($CQ240=0,"",AZ240-AQ240)</f>
        <v/>
      </c>
      <c r="CX240">
        <f>IF($CQ240=0,0,IF(CS240=CN240,1,0))</f>
        <v/>
      </c>
      <c r="CY240">
        <f>IF($CQ240=0,0,IF(CR240=CM240,1,0))</f>
        <v/>
      </c>
      <c r="CZ240">
        <f>IF($A240="","",IF(AND(IF(DASHBOARD!$C$4="All",TRUE,$CM240=DASHBOARD!$C$4),IF(DASHBOARD!$C$6="All",TRUE,$CP240=DASHBOARD!$C$6),IF(DASHBOARD!$C$8="All",TRUE,$AF240&gt;=DASHBOARD!$C$8),IF(DASHBOARD!$C$10="All",TRUE,$AF240&lt;=DASHBOARD!$C$10),IF(DASHBOARD!$C$12="All",TRUE,$AH240=VALUE(DASHBOARD!$C$12)),IF(DASHBOARD!$C$14="All",TRUE,$AJ240=DASHBOARD!$C$14)),1,0))</f>
        <v/>
      </c>
    </row>
    <row r="241">
      <c r="A241" t="n">
        <v>145727</v>
      </c>
      <c r="B241" t="inlineStr">
        <is>
          <t>Face Malai</t>
        </is>
      </c>
      <c r="H241" t="inlineStr">
        <is>
          <t>Flax Carrot (Hot Humid) 35+ Face Malai - 30g</t>
        </is>
      </c>
      <c r="N241" t="inlineStr">
        <is>
          <t>FC-HHDM-FC-030</t>
        </is>
      </c>
      <c r="T241" t="inlineStr">
        <is>
          <t>Aug 6, 2024</t>
        </is>
      </c>
      <c r="AE241" t="inlineStr">
        <is>
          <t>Tambaram</t>
        </is>
      </c>
      <c r="AF241" t="inlineStr">
        <is>
          <t>2024-08</t>
        </is>
      </c>
      <c r="AG241" t="n">
        <v>8</v>
      </c>
      <c r="AH241" t="n">
        <v>1</v>
      </c>
      <c r="AI241" t="n">
        <v>0</v>
      </c>
      <c r="AJ241">
        <f>IF($AE241="","",IFERROR(VLOOKUP(TRIM($AE241),DECODE!$H$3:$I$60,2,FALSE),"Rest of India"))</f>
        <v/>
      </c>
      <c r="AK241">
        <f>IF($N241="","",UPPER(TRIM(LEFT($N241&amp;",",FIND(",",$N241&amp;",")-1))))</f>
        <v/>
      </c>
      <c r="AL241">
        <f>IF($AK241="","",MID($AK241,4,FIND("~",SUBSTITUTE($AK241,"-","~",2))-4))</f>
        <v/>
      </c>
      <c r="AM241">
        <f>IF($AK241="","",MID($AK241,FIND("~",SUBSTITUTE($AK241,"-","~",2))+1,FIND("~",SUBSTITUTE($AK241,"-","~",3))-FIND("~",SUBSTITUTE($AK241,"-","~",2))-1))</f>
        <v/>
      </c>
      <c r="AN241">
        <f>IF($AL241="","",IFERROR(VLOOKUP($AL241,DECODE!$A$3:$C$8,3,FALSE),"?"))</f>
        <v/>
      </c>
      <c r="AO241">
        <f>IF($AM241="","",IFERROR(VLOOKUP($AL241&amp;"-"&amp;$AM241,DECODE!$E$3:$F$21,2,FALSE),"?"))</f>
        <v/>
      </c>
      <c r="AP241">
        <f>IF($AK241="","",IFERROR(VALUE(RIGHT($AK241,3)),""))</f>
        <v/>
      </c>
      <c r="AQ241">
        <f>IF($T241="","",IFERROR(IF(ISNUMBER($T241),$T241,DATEVALUE(TRIM($T241))),""))</f>
        <v/>
      </c>
      <c r="AR241">
        <f>IF($AQ241="","",IF(MONTH($AQ241)&gt;=12,"Cold Winter",IF(MONTH($AQ241)&gt;=10,"Post-Monsoon",IF(MONTH($AQ241)&gt;=6,"Hot Humid",IF(MONTH($AQ241)&gt;=3,"Hot Dry","Cold Winter")))))</f>
        <v/>
      </c>
      <c r="AS241">
        <f>IF($AL241="","",IFERROR(VLOOKUP($AL241,DECODE!$A$3:$C$8,2,FALSE),"?"))</f>
        <v/>
      </c>
      <c r="AT241">
        <f>IF($O241="","",UPPER(TRIM(LEFT($O241&amp;",",FIND(",",$O241&amp;",")-1))))</f>
        <v/>
      </c>
      <c r="AU241">
        <f>IF($AT241="","",MID($AT241,4,FIND("~",SUBSTITUTE($AT241,"-","~",2))-4))</f>
        <v/>
      </c>
      <c r="AV241">
        <f>IF($AT241="","",MID($AT241,FIND("~",SUBSTITUTE($AT241,"-","~",2))+1,FIND("~",SUBSTITUTE($AT241,"-","~",3))-FIND("~",SUBSTITUTE($AT241,"-","~",2))-1))</f>
        <v/>
      </c>
      <c r="AW241">
        <f>IF($AU241="","",IFERROR(VLOOKUP($AU241,DECODE!$A$3:$C$8,3,FALSE),"?"))</f>
        <v/>
      </c>
      <c r="AX241">
        <f>IF($AV241="","",IFERROR(VLOOKUP($AU241&amp;"-"&amp;$AV241,DECODE!$E$3:$F$21,2,FALSE),"?"))</f>
        <v/>
      </c>
      <c r="AY241">
        <f>IF($AT241="","",IFERROR(VALUE(RIGHT($AT241,3)),""))</f>
        <v/>
      </c>
      <c r="AZ241">
        <f>IF($U241="","",IFERROR(IF(ISNUMBER($U241),$U241,DATEVALUE(TRIM($U241))),""))</f>
        <v/>
      </c>
      <c r="BA241">
        <f>IF($AZ241="","",IF(MONTH($AZ241)&gt;=12,"Cold Winter",IF(MONTH($AZ241)&gt;=10,"Post-Monsoon",IF(MONTH($AZ241)&gt;=6,"Hot Humid",IF(MONTH($AZ241)&gt;=3,"Hot Dry","Cold Winter")))))</f>
        <v/>
      </c>
      <c r="BB241">
        <f>IF($AU241="","",IFERROR(VLOOKUP($AU241,DECODE!$A$3:$C$8,2,FALSE),"?"))</f>
        <v/>
      </c>
      <c r="BC241">
        <f>IF($P241="","",UPPER(TRIM(LEFT($P241&amp;",",FIND(",",$P241&amp;",")-1))))</f>
        <v/>
      </c>
      <c r="BD241">
        <f>IF($BC241="","",MID($BC241,4,FIND("~",SUBSTITUTE($BC241,"-","~",2))-4))</f>
        <v/>
      </c>
      <c r="BE241">
        <f>IF($BC241="","",MID($BC241,FIND("~",SUBSTITUTE($BC241,"-","~",2))+1,FIND("~",SUBSTITUTE($BC241,"-","~",3))-FIND("~",SUBSTITUTE($BC241,"-","~",2))-1))</f>
        <v/>
      </c>
      <c r="BF241">
        <f>IF($BD241="","",IFERROR(VLOOKUP($BD241,DECODE!$A$3:$C$8,3,FALSE),"?"))</f>
        <v/>
      </c>
      <c r="BG241">
        <f>IF($BE241="","",IFERROR(VLOOKUP($BD241&amp;"-"&amp;$BE241,DECODE!$E$3:$F$21,2,FALSE),"?"))</f>
        <v/>
      </c>
      <c r="BH241">
        <f>IF($BC241="","",IFERROR(VALUE(RIGHT($BC241,3)),""))</f>
        <v/>
      </c>
      <c r="BI241">
        <f>IF($V241="","",IFERROR(IF(ISNUMBER($V241),$V241,DATEVALUE(TRIM($V241))),""))</f>
        <v/>
      </c>
      <c r="BJ241">
        <f>IF($BI241="","",IF(MONTH($BI241)&gt;=12,"Cold Winter",IF(MONTH($BI241)&gt;=10,"Post-Monsoon",IF(MONTH($BI241)&gt;=6,"Hot Humid",IF(MONTH($BI241)&gt;=3,"Hot Dry","Cold Winter")))))</f>
        <v/>
      </c>
      <c r="BK241">
        <f>IF($BD241="","",IFERROR(VLOOKUP($BD241,DECODE!$A$3:$C$8,2,FALSE),"?"))</f>
        <v/>
      </c>
      <c r="BL241">
        <f>IF($Q241="","",UPPER(TRIM(LEFT($Q241&amp;",",FIND(",",$Q241&amp;",")-1))))</f>
        <v/>
      </c>
      <c r="BM241">
        <f>IF($BL241="","",MID($BL241,4,FIND("~",SUBSTITUTE($BL241,"-","~",2))-4))</f>
        <v/>
      </c>
      <c r="BN241">
        <f>IF($BL241="","",MID($BL241,FIND("~",SUBSTITUTE($BL241,"-","~",2))+1,FIND("~",SUBSTITUTE($BL241,"-","~",3))-FIND("~",SUBSTITUTE($BL241,"-","~",2))-1))</f>
        <v/>
      </c>
      <c r="BO241">
        <f>IF($BM241="","",IFERROR(VLOOKUP($BM241,DECODE!$A$3:$C$8,3,FALSE),"?"))</f>
        <v/>
      </c>
      <c r="BP241">
        <f>IF($BN241="","",IFERROR(VLOOKUP($BM241&amp;"-"&amp;$BN241,DECODE!$E$3:$F$21,2,FALSE),"?"))</f>
        <v/>
      </c>
      <c r="BQ241">
        <f>IF($BL241="","",IFERROR(VALUE(RIGHT($BL241,3)),""))</f>
        <v/>
      </c>
      <c r="BR241">
        <f>IF($W241="","",IFERROR(IF(ISNUMBER($W241),$W241,DATEVALUE(TRIM($W241))),""))</f>
        <v/>
      </c>
      <c r="BS241">
        <f>IF($BR241="","",IF(MONTH($BR241)&gt;=12,"Cold Winter",IF(MONTH($BR241)&gt;=10,"Post-Monsoon",IF(MONTH($BR241)&gt;=6,"Hot Humid",IF(MONTH($BR241)&gt;=3,"Hot Dry","Cold Winter")))))</f>
        <v/>
      </c>
      <c r="BT241">
        <f>IF($BM241="","",IFERROR(VLOOKUP($BM241,DECODE!$A$3:$C$8,2,FALSE),"?"))</f>
        <v/>
      </c>
      <c r="BU241">
        <f>IF($R241="","",UPPER(TRIM(LEFT($R241&amp;",",FIND(",",$R241&amp;",")-1))))</f>
        <v/>
      </c>
      <c r="BV241">
        <f>IF($BU241="","",MID($BU241,4,FIND("~",SUBSTITUTE($BU241,"-","~",2))-4))</f>
        <v/>
      </c>
      <c r="BW241">
        <f>IF($BU241="","",MID($BU241,FIND("~",SUBSTITUTE($BU241,"-","~",2))+1,FIND("~",SUBSTITUTE($BU241,"-","~",3))-FIND("~",SUBSTITUTE($BU241,"-","~",2))-1))</f>
        <v/>
      </c>
      <c r="BX241">
        <f>IF($BV241="","",IFERROR(VLOOKUP($BV241,DECODE!$A$3:$C$8,3,FALSE),"?"))</f>
        <v/>
      </c>
      <c r="BY241">
        <f>IF($BW241="","",IFERROR(VLOOKUP($BV241&amp;"-"&amp;$BW241,DECODE!$E$3:$F$21,2,FALSE),"?"))</f>
        <v/>
      </c>
      <c r="BZ241">
        <f>IF($BU241="","",IFERROR(VALUE(RIGHT($BU241,3)),""))</f>
        <v/>
      </c>
      <c r="CA241">
        <f>IF($X241="","",IFERROR(IF(ISNUMBER($X241),$X241,DATEVALUE(TRIM($X241))),""))</f>
        <v/>
      </c>
      <c r="CB241">
        <f>IF($CA241="","",IF(MONTH($CA241)&gt;=12,"Cold Winter",IF(MONTH($CA241)&gt;=10,"Post-Monsoon",IF(MONTH($CA241)&gt;=6,"Hot Humid",IF(MONTH($CA241)&gt;=3,"Hot Dry","Cold Winter")))))</f>
        <v/>
      </c>
      <c r="CC241">
        <f>IF($BV241="","",IFERROR(VLOOKUP($BV241,DECODE!$A$3:$C$8,2,FALSE),"?"))</f>
        <v/>
      </c>
      <c r="CD241">
        <f>IF($S241="","",UPPER(TRIM(LEFT($S241&amp;",",FIND(",",$S241&amp;",")-1))))</f>
        <v/>
      </c>
      <c r="CE241">
        <f>IF($CD241="","",MID($CD241,4,FIND("~",SUBSTITUTE($CD241,"-","~",2))-4))</f>
        <v/>
      </c>
      <c r="CF241">
        <f>IF($CD241="","",MID($CD241,FIND("~",SUBSTITUTE($CD241,"-","~",2))+1,FIND("~",SUBSTITUTE($CD241,"-","~",3))-FIND("~",SUBSTITUTE($CD241,"-","~",2))-1))</f>
        <v/>
      </c>
      <c r="CG241">
        <f>IF($CE241="","",IFERROR(VLOOKUP($CE241,DECODE!$A$3:$C$8,3,FALSE),"?"))</f>
        <v/>
      </c>
      <c r="CH241">
        <f>IF($CF241="","",IFERROR(VLOOKUP($CE241&amp;"-"&amp;$CF241,DECODE!$E$3:$F$21,2,FALSE),"?"))</f>
        <v/>
      </c>
      <c r="CI241">
        <f>IF($CD241="","",IFERROR(VALUE(RIGHT($CD241,3)),""))</f>
        <v/>
      </c>
      <c r="CJ241">
        <f>IF($Y241="","",IFERROR(IF(ISNUMBER($Y241),$Y241,DATEVALUE(TRIM($Y241))),""))</f>
        <v/>
      </c>
      <c r="CK241">
        <f>IF($CJ241="","",IF(MONTH($CJ241)&gt;=12,"Cold Winter",IF(MONTH($CJ241)&gt;=10,"Post-Monsoon",IF(MONTH($CJ241)&gt;=6,"Hot Humid",IF(MONTH($CJ241)&gt;=3,"Hot Dry","Cold Winter")))))</f>
        <v/>
      </c>
      <c r="CL241">
        <f>IF($CE241="","",IFERROR(VLOOKUP($CE241,DECODE!$A$3:$C$8,2,FALSE),"?"))</f>
        <v/>
      </c>
      <c r="CM241">
        <f>IF($AN241="","",AN241)</f>
        <v/>
      </c>
      <c r="CN241">
        <f>IF($AO241="","",AO241)</f>
        <v/>
      </c>
      <c r="CO241">
        <f>IF($AP241="","",AP241)</f>
        <v/>
      </c>
      <c r="CP241">
        <f>IF($CM241="","",IF($CM241="Aloe Vera Gel","Aloe Vera Gel "&amp;$CO241&amp;"g",CN241&amp;" "&amp;$CO241&amp;"g"))</f>
        <v/>
      </c>
      <c r="CQ241">
        <f>IF($AT241="",0,1)</f>
        <v/>
      </c>
      <c r="CR241">
        <f>IF($CQ241=0,"",AW241)</f>
        <v/>
      </c>
      <c r="CS241">
        <f>IF($CQ241=0,"",AX241)</f>
        <v/>
      </c>
      <c r="CT241">
        <f>IF($CQ241=0,"",AY241)</f>
        <v/>
      </c>
      <c r="CU241">
        <f>IF($CR241="","",IF($CR241="Aloe Vera Gel","Aloe Vera Gel "&amp;$CT241&amp;"g",CS241&amp;" "&amp;$CT241&amp;"g"))</f>
        <v/>
      </c>
      <c r="CV241">
        <f>IF($CQ241=0,"",IF($CP241=$CU241,"Repeat Exact",IF($CT241&gt;$CO241,"Upsized",IF($CT241&lt;$CO241,"Downsized",IF($CM241&lt;&gt;$CR241,"Lateral","Same Size Diff Variant")))))</f>
        <v/>
      </c>
      <c r="CW241">
        <f>IF($CQ241=0,"",AZ241-AQ241)</f>
        <v/>
      </c>
      <c r="CX241">
        <f>IF($CQ241=0,0,IF(CS241=CN241,1,0))</f>
        <v/>
      </c>
      <c r="CY241">
        <f>IF($CQ241=0,0,IF(CR241=CM241,1,0))</f>
        <v/>
      </c>
      <c r="CZ241">
        <f>IF($A241="","",IF(AND(IF(DASHBOARD!$C$4="All",TRUE,$CM241=DASHBOARD!$C$4),IF(DASHBOARD!$C$6="All",TRUE,$CP241=DASHBOARD!$C$6),IF(DASHBOARD!$C$8="All",TRUE,$AF241&gt;=DASHBOARD!$C$8),IF(DASHBOARD!$C$10="All",TRUE,$AF241&lt;=DASHBOARD!$C$10),IF(DASHBOARD!$C$12="All",TRUE,$AH241=VALUE(DASHBOARD!$C$12)),IF(DASHBOARD!$C$14="All",TRUE,$AJ241=DASHBOARD!$C$14)),1,0))</f>
        <v/>
      </c>
    </row>
    <row r="242">
      <c r="A242" t="n">
        <v>146492</v>
      </c>
      <c r="B242" t="inlineStr">
        <is>
          <t>Active Gel</t>
        </is>
      </c>
      <c r="H242" t="inlineStr">
        <is>
          <t>Active Neem TeaTree Gel</t>
        </is>
      </c>
      <c r="N242" t="inlineStr">
        <is>
          <t>FC-AC-NT-050</t>
        </is>
      </c>
      <c r="T242" t="inlineStr">
        <is>
          <t>Apr 23, 2024</t>
        </is>
      </c>
      <c r="AE242" t="inlineStr">
        <is>
          <t>New Delhi</t>
        </is>
      </c>
      <c r="AF242" t="inlineStr">
        <is>
          <t>2024-04</t>
        </is>
      </c>
      <c r="AG242" t="n">
        <v>4</v>
      </c>
      <c r="AH242" t="n">
        <v>1</v>
      </c>
      <c r="AI242" t="n">
        <v>0</v>
      </c>
      <c r="AJ242">
        <f>IF($AE242="","",IFERROR(VLOOKUP(TRIM($AE242),DECODE!$H$3:$I$60,2,FALSE),"Rest of India"))</f>
        <v/>
      </c>
      <c r="AK242">
        <f>IF($N242="","",UPPER(TRIM(LEFT($N242&amp;",",FIND(",",$N242&amp;",")-1))))</f>
        <v/>
      </c>
      <c r="AL242">
        <f>IF($AK242="","",MID($AK242,4,FIND("~",SUBSTITUTE($AK242,"-","~",2))-4))</f>
        <v/>
      </c>
      <c r="AM242">
        <f>IF($AK242="","",MID($AK242,FIND("~",SUBSTITUTE($AK242,"-","~",2))+1,FIND("~",SUBSTITUTE($AK242,"-","~",3))-FIND("~",SUBSTITUTE($AK242,"-","~",2))-1))</f>
        <v/>
      </c>
      <c r="AN242">
        <f>IF($AL242="","",IFERROR(VLOOKUP($AL242,DECODE!$A$3:$C$8,3,FALSE),"?"))</f>
        <v/>
      </c>
      <c r="AO242">
        <f>IF($AM242="","",IFERROR(VLOOKUP($AL242&amp;"-"&amp;$AM242,DECODE!$E$3:$F$21,2,FALSE),"?"))</f>
        <v/>
      </c>
      <c r="AP242">
        <f>IF($AK242="","",IFERROR(VALUE(RIGHT($AK242,3)),""))</f>
        <v/>
      </c>
      <c r="AQ242">
        <f>IF($T242="","",IFERROR(IF(ISNUMBER($T242),$T242,DATEVALUE(TRIM($T242))),""))</f>
        <v/>
      </c>
      <c r="AR242">
        <f>IF($AQ242="","",IF(MONTH($AQ242)&gt;=12,"Cold Winter",IF(MONTH($AQ242)&gt;=10,"Post-Monsoon",IF(MONTH($AQ242)&gt;=6,"Hot Humid",IF(MONTH($AQ242)&gt;=3,"Hot Dry","Cold Winter")))))</f>
        <v/>
      </c>
      <c r="AS242">
        <f>IF($AL242="","",IFERROR(VLOOKUP($AL242,DECODE!$A$3:$C$8,2,FALSE),"?"))</f>
        <v/>
      </c>
      <c r="AT242">
        <f>IF($O242="","",UPPER(TRIM(LEFT($O242&amp;",",FIND(",",$O242&amp;",")-1))))</f>
        <v/>
      </c>
      <c r="AU242">
        <f>IF($AT242="","",MID($AT242,4,FIND("~",SUBSTITUTE($AT242,"-","~",2))-4))</f>
        <v/>
      </c>
      <c r="AV242">
        <f>IF($AT242="","",MID($AT242,FIND("~",SUBSTITUTE($AT242,"-","~",2))+1,FIND("~",SUBSTITUTE($AT242,"-","~",3))-FIND("~",SUBSTITUTE($AT242,"-","~",2))-1))</f>
        <v/>
      </c>
      <c r="AW242">
        <f>IF($AU242="","",IFERROR(VLOOKUP($AU242,DECODE!$A$3:$C$8,3,FALSE),"?"))</f>
        <v/>
      </c>
      <c r="AX242">
        <f>IF($AV242="","",IFERROR(VLOOKUP($AU242&amp;"-"&amp;$AV242,DECODE!$E$3:$F$21,2,FALSE),"?"))</f>
        <v/>
      </c>
      <c r="AY242">
        <f>IF($AT242="","",IFERROR(VALUE(RIGHT($AT242,3)),""))</f>
        <v/>
      </c>
      <c r="AZ242">
        <f>IF($U242="","",IFERROR(IF(ISNUMBER($U242),$U242,DATEVALUE(TRIM($U242))),""))</f>
        <v/>
      </c>
      <c r="BA242">
        <f>IF($AZ242="","",IF(MONTH($AZ242)&gt;=12,"Cold Winter",IF(MONTH($AZ242)&gt;=10,"Post-Monsoon",IF(MONTH($AZ242)&gt;=6,"Hot Humid",IF(MONTH($AZ242)&gt;=3,"Hot Dry","Cold Winter")))))</f>
        <v/>
      </c>
      <c r="BB242">
        <f>IF($AU242="","",IFERROR(VLOOKUP($AU242,DECODE!$A$3:$C$8,2,FALSE),"?"))</f>
        <v/>
      </c>
      <c r="BC242">
        <f>IF($P242="","",UPPER(TRIM(LEFT($P242&amp;",",FIND(",",$P242&amp;",")-1))))</f>
        <v/>
      </c>
      <c r="BD242">
        <f>IF($BC242="","",MID($BC242,4,FIND("~",SUBSTITUTE($BC242,"-","~",2))-4))</f>
        <v/>
      </c>
      <c r="BE242">
        <f>IF($BC242="","",MID($BC242,FIND("~",SUBSTITUTE($BC242,"-","~",2))+1,FIND("~",SUBSTITUTE($BC242,"-","~",3))-FIND("~",SUBSTITUTE($BC242,"-","~",2))-1))</f>
        <v/>
      </c>
      <c r="BF242">
        <f>IF($BD242="","",IFERROR(VLOOKUP($BD242,DECODE!$A$3:$C$8,3,FALSE),"?"))</f>
        <v/>
      </c>
      <c r="BG242">
        <f>IF($BE242="","",IFERROR(VLOOKUP($BD242&amp;"-"&amp;$BE242,DECODE!$E$3:$F$21,2,FALSE),"?"))</f>
        <v/>
      </c>
      <c r="BH242">
        <f>IF($BC242="","",IFERROR(VALUE(RIGHT($BC242,3)),""))</f>
        <v/>
      </c>
      <c r="BI242">
        <f>IF($V242="","",IFERROR(IF(ISNUMBER($V242),$V242,DATEVALUE(TRIM($V242))),""))</f>
        <v/>
      </c>
      <c r="BJ242">
        <f>IF($BI242="","",IF(MONTH($BI242)&gt;=12,"Cold Winter",IF(MONTH($BI242)&gt;=10,"Post-Monsoon",IF(MONTH($BI242)&gt;=6,"Hot Humid",IF(MONTH($BI242)&gt;=3,"Hot Dry","Cold Winter")))))</f>
        <v/>
      </c>
      <c r="BK242">
        <f>IF($BD242="","",IFERROR(VLOOKUP($BD242,DECODE!$A$3:$C$8,2,FALSE),"?"))</f>
        <v/>
      </c>
      <c r="BL242">
        <f>IF($Q242="","",UPPER(TRIM(LEFT($Q242&amp;",",FIND(",",$Q242&amp;",")-1))))</f>
        <v/>
      </c>
      <c r="BM242">
        <f>IF($BL242="","",MID($BL242,4,FIND("~",SUBSTITUTE($BL242,"-","~",2))-4))</f>
        <v/>
      </c>
      <c r="BN242">
        <f>IF($BL242="","",MID($BL242,FIND("~",SUBSTITUTE($BL242,"-","~",2))+1,FIND("~",SUBSTITUTE($BL242,"-","~",3))-FIND("~",SUBSTITUTE($BL242,"-","~",2))-1))</f>
        <v/>
      </c>
      <c r="BO242">
        <f>IF($BM242="","",IFERROR(VLOOKUP($BM242,DECODE!$A$3:$C$8,3,FALSE),"?"))</f>
        <v/>
      </c>
      <c r="BP242">
        <f>IF($BN242="","",IFERROR(VLOOKUP($BM242&amp;"-"&amp;$BN242,DECODE!$E$3:$F$21,2,FALSE),"?"))</f>
        <v/>
      </c>
      <c r="BQ242">
        <f>IF($BL242="","",IFERROR(VALUE(RIGHT($BL242,3)),""))</f>
        <v/>
      </c>
      <c r="BR242">
        <f>IF($W242="","",IFERROR(IF(ISNUMBER($W242),$W242,DATEVALUE(TRIM($W242))),""))</f>
        <v/>
      </c>
      <c r="BS242">
        <f>IF($BR242="","",IF(MONTH($BR242)&gt;=12,"Cold Winter",IF(MONTH($BR242)&gt;=10,"Post-Monsoon",IF(MONTH($BR242)&gt;=6,"Hot Humid",IF(MONTH($BR242)&gt;=3,"Hot Dry","Cold Winter")))))</f>
        <v/>
      </c>
      <c r="BT242">
        <f>IF($BM242="","",IFERROR(VLOOKUP($BM242,DECODE!$A$3:$C$8,2,FALSE),"?"))</f>
        <v/>
      </c>
      <c r="BU242">
        <f>IF($R242="","",UPPER(TRIM(LEFT($R242&amp;",",FIND(",",$R242&amp;",")-1))))</f>
        <v/>
      </c>
      <c r="BV242">
        <f>IF($BU242="","",MID($BU242,4,FIND("~",SUBSTITUTE($BU242,"-","~",2))-4))</f>
        <v/>
      </c>
      <c r="BW242">
        <f>IF($BU242="","",MID($BU242,FIND("~",SUBSTITUTE($BU242,"-","~",2))+1,FIND("~",SUBSTITUTE($BU242,"-","~",3))-FIND("~",SUBSTITUTE($BU242,"-","~",2))-1))</f>
        <v/>
      </c>
      <c r="BX242">
        <f>IF($BV242="","",IFERROR(VLOOKUP($BV242,DECODE!$A$3:$C$8,3,FALSE),"?"))</f>
        <v/>
      </c>
      <c r="BY242">
        <f>IF($BW242="","",IFERROR(VLOOKUP($BV242&amp;"-"&amp;$BW242,DECODE!$E$3:$F$21,2,FALSE),"?"))</f>
        <v/>
      </c>
      <c r="BZ242">
        <f>IF($BU242="","",IFERROR(VALUE(RIGHT($BU242,3)),""))</f>
        <v/>
      </c>
      <c r="CA242">
        <f>IF($X242="","",IFERROR(IF(ISNUMBER($X242),$X242,DATEVALUE(TRIM($X242))),""))</f>
        <v/>
      </c>
      <c r="CB242">
        <f>IF($CA242="","",IF(MONTH($CA242)&gt;=12,"Cold Winter",IF(MONTH($CA242)&gt;=10,"Post-Monsoon",IF(MONTH($CA242)&gt;=6,"Hot Humid",IF(MONTH($CA242)&gt;=3,"Hot Dry","Cold Winter")))))</f>
        <v/>
      </c>
      <c r="CC242">
        <f>IF($BV242="","",IFERROR(VLOOKUP($BV242,DECODE!$A$3:$C$8,2,FALSE),"?"))</f>
        <v/>
      </c>
      <c r="CD242">
        <f>IF($S242="","",UPPER(TRIM(LEFT($S242&amp;",",FIND(",",$S242&amp;",")-1))))</f>
        <v/>
      </c>
      <c r="CE242">
        <f>IF($CD242="","",MID($CD242,4,FIND("~",SUBSTITUTE($CD242,"-","~",2))-4))</f>
        <v/>
      </c>
      <c r="CF242">
        <f>IF($CD242="","",MID($CD242,FIND("~",SUBSTITUTE($CD242,"-","~",2))+1,FIND("~",SUBSTITUTE($CD242,"-","~",3))-FIND("~",SUBSTITUTE($CD242,"-","~",2))-1))</f>
        <v/>
      </c>
      <c r="CG242">
        <f>IF($CE242="","",IFERROR(VLOOKUP($CE242,DECODE!$A$3:$C$8,3,FALSE),"?"))</f>
        <v/>
      </c>
      <c r="CH242">
        <f>IF($CF242="","",IFERROR(VLOOKUP($CE242&amp;"-"&amp;$CF242,DECODE!$E$3:$F$21,2,FALSE),"?"))</f>
        <v/>
      </c>
      <c r="CI242">
        <f>IF($CD242="","",IFERROR(VALUE(RIGHT($CD242,3)),""))</f>
        <v/>
      </c>
      <c r="CJ242">
        <f>IF($Y242="","",IFERROR(IF(ISNUMBER($Y242),$Y242,DATEVALUE(TRIM($Y242))),""))</f>
        <v/>
      </c>
      <c r="CK242">
        <f>IF($CJ242="","",IF(MONTH($CJ242)&gt;=12,"Cold Winter",IF(MONTH($CJ242)&gt;=10,"Post-Monsoon",IF(MONTH($CJ242)&gt;=6,"Hot Humid",IF(MONTH($CJ242)&gt;=3,"Hot Dry","Cold Winter")))))</f>
        <v/>
      </c>
      <c r="CL242">
        <f>IF($CE242="","",IFERROR(VLOOKUP($CE242,DECODE!$A$3:$C$8,2,FALSE),"?"))</f>
        <v/>
      </c>
      <c r="CM242">
        <f>IF($AN242="","",AN242)</f>
        <v/>
      </c>
      <c r="CN242">
        <f>IF($AO242="","",AO242)</f>
        <v/>
      </c>
      <c r="CO242">
        <f>IF($AP242="","",AP242)</f>
        <v/>
      </c>
      <c r="CP242">
        <f>IF($CM242="","",IF($CM242="Aloe Vera Gel","Aloe Vera Gel "&amp;$CO242&amp;"g",CN242&amp;" "&amp;$CO242&amp;"g"))</f>
        <v/>
      </c>
      <c r="CQ242">
        <f>IF($AT242="",0,1)</f>
        <v/>
      </c>
      <c r="CR242">
        <f>IF($CQ242=0,"",AW242)</f>
        <v/>
      </c>
      <c r="CS242">
        <f>IF($CQ242=0,"",AX242)</f>
        <v/>
      </c>
      <c r="CT242">
        <f>IF($CQ242=0,"",AY242)</f>
        <v/>
      </c>
      <c r="CU242">
        <f>IF($CR242="","",IF($CR242="Aloe Vera Gel","Aloe Vera Gel "&amp;$CT242&amp;"g",CS242&amp;" "&amp;$CT242&amp;"g"))</f>
        <v/>
      </c>
      <c r="CV242">
        <f>IF($CQ242=0,"",IF($CP242=$CU242,"Repeat Exact",IF($CT242&gt;$CO242,"Upsized",IF($CT242&lt;$CO242,"Downsized",IF($CM242&lt;&gt;$CR242,"Lateral","Same Size Diff Variant")))))</f>
        <v/>
      </c>
      <c r="CW242">
        <f>IF($CQ242=0,"",AZ242-AQ242)</f>
        <v/>
      </c>
      <c r="CX242">
        <f>IF($CQ242=0,0,IF(CS242=CN242,1,0))</f>
        <v/>
      </c>
      <c r="CY242">
        <f>IF($CQ242=0,0,IF(CR242=CM242,1,0))</f>
        <v/>
      </c>
      <c r="CZ242">
        <f>IF($A242="","",IF(AND(IF(DASHBOARD!$C$4="All",TRUE,$CM242=DASHBOARD!$C$4),IF(DASHBOARD!$C$6="All",TRUE,$CP242=DASHBOARD!$C$6),IF(DASHBOARD!$C$8="All",TRUE,$AF242&gt;=DASHBOARD!$C$8),IF(DASHBOARD!$C$10="All",TRUE,$AF242&lt;=DASHBOARD!$C$10),IF(DASHBOARD!$C$12="All",TRUE,$AH242=VALUE(DASHBOARD!$C$12)),IF(DASHBOARD!$C$14="All",TRUE,$AJ242=DASHBOARD!$C$14)),1,0))</f>
        <v/>
      </c>
    </row>
    <row r="243">
      <c r="A243" t="n">
        <v>147054</v>
      </c>
      <c r="B243" t="inlineStr">
        <is>
          <t>Active Gel, Face Malai</t>
        </is>
      </c>
      <c r="C243" t="inlineStr">
        <is>
          <t>Active Gel, Face Malai</t>
        </is>
      </c>
      <c r="D243" t="inlineStr">
        <is>
          <t>Active Gel</t>
        </is>
      </c>
      <c r="H243" t="inlineStr">
        <is>
          <t>Active Orange Kiwi Vit-C Gel, Turmeric Nutmeg (Pigmentation)  Face Malai - 30g</t>
        </is>
      </c>
      <c r="I243" t="inlineStr">
        <is>
          <t>Clove Tea-Tree (Anti-Acne) Face Malai, Active Beetroot Tomato Vit-A Gel</t>
        </is>
      </c>
      <c r="J243" t="inlineStr">
        <is>
          <t>Active Neem TeaTree Gel</t>
        </is>
      </c>
      <c r="N243" t="inlineStr">
        <is>
          <t>FC-DM-PG-030, FC-AC-OK-050</t>
        </is>
      </c>
      <c r="O243" t="inlineStr">
        <is>
          <t>FC-DM-AA-030, FC-AC-BT-050</t>
        </is>
      </c>
      <c r="P243" t="inlineStr">
        <is>
          <t>FC-AC-NT-050</t>
        </is>
      </c>
      <c r="T243" t="inlineStr">
        <is>
          <t>Mar 31, 2024</t>
        </is>
      </c>
      <c r="U243" t="inlineStr">
        <is>
          <t>Sep 6, 2024</t>
        </is>
      </c>
      <c r="V243" t="inlineStr">
        <is>
          <t>Jan 3, 2025</t>
        </is>
      </c>
      <c r="Z243" t="n">
        <v>159</v>
      </c>
      <c r="AA243" t="n">
        <v>119</v>
      </c>
      <c r="AE243" t="inlineStr">
        <is>
          <t>Palghar</t>
        </is>
      </c>
      <c r="AF243" t="inlineStr">
        <is>
          <t>2024-03</t>
        </is>
      </c>
      <c r="AG243" t="n">
        <v>3</v>
      </c>
      <c r="AH243" t="n">
        <v>3</v>
      </c>
      <c r="AI243" t="n">
        <v>1</v>
      </c>
      <c r="AJ243">
        <f>IF($AE243="","",IFERROR(VLOOKUP(TRIM($AE243),DECODE!$H$3:$I$60,2,FALSE),"Rest of India"))</f>
        <v/>
      </c>
      <c r="AK243">
        <f>IF($N243="","",UPPER(TRIM(LEFT($N243&amp;",",FIND(",",$N243&amp;",")-1))))</f>
        <v/>
      </c>
      <c r="AL243">
        <f>IF($AK243="","",MID($AK243,4,FIND("~",SUBSTITUTE($AK243,"-","~",2))-4))</f>
        <v/>
      </c>
      <c r="AM243">
        <f>IF($AK243="","",MID($AK243,FIND("~",SUBSTITUTE($AK243,"-","~",2))+1,FIND("~",SUBSTITUTE($AK243,"-","~",3))-FIND("~",SUBSTITUTE($AK243,"-","~",2))-1))</f>
        <v/>
      </c>
      <c r="AN243">
        <f>IF($AL243="","",IFERROR(VLOOKUP($AL243,DECODE!$A$3:$C$8,3,FALSE),"?"))</f>
        <v/>
      </c>
      <c r="AO243">
        <f>IF($AM243="","",IFERROR(VLOOKUP($AL243&amp;"-"&amp;$AM243,DECODE!$E$3:$F$21,2,FALSE),"?"))</f>
        <v/>
      </c>
      <c r="AP243">
        <f>IF($AK243="","",IFERROR(VALUE(RIGHT($AK243,3)),""))</f>
        <v/>
      </c>
      <c r="AQ243">
        <f>IF($T243="","",IFERROR(IF(ISNUMBER($T243),$T243,DATEVALUE(TRIM($T243))),""))</f>
        <v/>
      </c>
      <c r="AR243">
        <f>IF($AQ243="","",IF(MONTH($AQ243)&gt;=12,"Cold Winter",IF(MONTH($AQ243)&gt;=10,"Post-Monsoon",IF(MONTH($AQ243)&gt;=6,"Hot Humid",IF(MONTH($AQ243)&gt;=3,"Hot Dry","Cold Winter")))))</f>
        <v/>
      </c>
      <c r="AS243">
        <f>IF($AL243="","",IFERROR(VLOOKUP($AL243,DECODE!$A$3:$C$8,2,FALSE),"?"))</f>
        <v/>
      </c>
      <c r="AT243">
        <f>IF($O243="","",UPPER(TRIM(LEFT($O243&amp;",",FIND(",",$O243&amp;",")-1))))</f>
        <v/>
      </c>
      <c r="AU243">
        <f>IF($AT243="","",MID($AT243,4,FIND("~",SUBSTITUTE($AT243,"-","~",2))-4))</f>
        <v/>
      </c>
      <c r="AV243">
        <f>IF($AT243="","",MID($AT243,FIND("~",SUBSTITUTE($AT243,"-","~",2))+1,FIND("~",SUBSTITUTE($AT243,"-","~",3))-FIND("~",SUBSTITUTE($AT243,"-","~",2))-1))</f>
        <v/>
      </c>
      <c r="AW243">
        <f>IF($AU243="","",IFERROR(VLOOKUP($AU243,DECODE!$A$3:$C$8,3,FALSE),"?"))</f>
        <v/>
      </c>
      <c r="AX243">
        <f>IF($AV243="","",IFERROR(VLOOKUP($AU243&amp;"-"&amp;$AV243,DECODE!$E$3:$F$21,2,FALSE),"?"))</f>
        <v/>
      </c>
      <c r="AY243">
        <f>IF($AT243="","",IFERROR(VALUE(RIGHT($AT243,3)),""))</f>
        <v/>
      </c>
      <c r="AZ243">
        <f>IF($U243="","",IFERROR(IF(ISNUMBER($U243),$U243,DATEVALUE(TRIM($U243))),""))</f>
        <v/>
      </c>
      <c r="BA243">
        <f>IF($AZ243="","",IF(MONTH($AZ243)&gt;=12,"Cold Winter",IF(MONTH($AZ243)&gt;=10,"Post-Monsoon",IF(MONTH($AZ243)&gt;=6,"Hot Humid",IF(MONTH($AZ243)&gt;=3,"Hot Dry","Cold Winter")))))</f>
        <v/>
      </c>
      <c r="BB243">
        <f>IF($AU243="","",IFERROR(VLOOKUP($AU243,DECODE!$A$3:$C$8,2,FALSE),"?"))</f>
        <v/>
      </c>
      <c r="BC243">
        <f>IF($P243="","",UPPER(TRIM(LEFT($P243&amp;",",FIND(",",$P243&amp;",")-1))))</f>
        <v/>
      </c>
      <c r="BD243">
        <f>IF($BC243="","",MID($BC243,4,FIND("~",SUBSTITUTE($BC243,"-","~",2))-4))</f>
        <v/>
      </c>
      <c r="BE243">
        <f>IF($BC243="","",MID($BC243,FIND("~",SUBSTITUTE($BC243,"-","~",2))+1,FIND("~",SUBSTITUTE($BC243,"-","~",3))-FIND("~",SUBSTITUTE($BC243,"-","~",2))-1))</f>
        <v/>
      </c>
      <c r="BF243">
        <f>IF($BD243="","",IFERROR(VLOOKUP($BD243,DECODE!$A$3:$C$8,3,FALSE),"?"))</f>
        <v/>
      </c>
      <c r="BG243">
        <f>IF($BE243="","",IFERROR(VLOOKUP($BD243&amp;"-"&amp;$BE243,DECODE!$E$3:$F$21,2,FALSE),"?"))</f>
        <v/>
      </c>
      <c r="BH243">
        <f>IF($BC243="","",IFERROR(VALUE(RIGHT($BC243,3)),""))</f>
        <v/>
      </c>
      <c r="BI243">
        <f>IF($V243="","",IFERROR(IF(ISNUMBER($V243),$V243,DATEVALUE(TRIM($V243))),""))</f>
        <v/>
      </c>
      <c r="BJ243">
        <f>IF($BI243="","",IF(MONTH($BI243)&gt;=12,"Cold Winter",IF(MONTH($BI243)&gt;=10,"Post-Monsoon",IF(MONTH($BI243)&gt;=6,"Hot Humid",IF(MONTH($BI243)&gt;=3,"Hot Dry","Cold Winter")))))</f>
        <v/>
      </c>
      <c r="BK243">
        <f>IF($BD243="","",IFERROR(VLOOKUP($BD243,DECODE!$A$3:$C$8,2,FALSE),"?"))</f>
        <v/>
      </c>
      <c r="BL243">
        <f>IF($Q243="","",UPPER(TRIM(LEFT($Q243&amp;",",FIND(",",$Q243&amp;",")-1))))</f>
        <v/>
      </c>
      <c r="BM243">
        <f>IF($BL243="","",MID($BL243,4,FIND("~",SUBSTITUTE($BL243,"-","~",2))-4))</f>
        <v/>
      </c>
      <c r="BN243">
        <f>IF($BL243="","",MID($BL243,FIND("~",SUBSTITUTE($BL243,"-","~",2))+1,FIND("~",SUBSTITUTE($BL243,"-","~",3))-FIND("~",SUBSTITUTE($BL243,"-","~",2))-1))</f>
        <v/>
      </c>
      <c r="BO243">
        <f>IF($BM243="","",IFERROR(VLOOKUP($BM243,DECODE!$A$3:$C$8,3,FALSE),"?"))</f>
        <v/>
      </c>
      <c r="BP243">
        <f>IF($BN243="","",IFERROR(VLOOKUP($BM243&amp;"-"&amp;$BN243,DECODE!$E$3:$F$21,2,FALSE),"?"))</f>
        <v/>
      </c>
      <c r="BQ243">
        <f>IF($BL243="","",IFERROR(VALUE(RIGHT($BL243,3)),""))</f>
        <v/>
      </c>
      <c r="BR243">
        <f>IF($W243="","",IFERROR(IF(ISNUMBER($W243),$W243,DATEVALUE(TRIM($W243))),""))</f>
        <v/>
      </c>
      <c r="BS243">
        <f>IF($BR243="","",IF(MONTH($BR243)&gt;=12,"Cold Winter",IF(MONTH($BR243)&gt;=10,"Post-Monsoon",IF(MONTH($BR243)&gt;=6,"Hot Humid",IF(MONTH($BR243)&gt;=3,"Hot Dry","Cold Winter")))))</f>
        <v/>
      </c>
      <c r="BT243">
        <f>IF($BM243="","",IFERROR(VLOOKUP($BM243,DECODE!$A$3:$C$8,2,FALSE),"?"))</f>
        <v/>
      </c>
      <c r="BU243">
        <f>IF($R243="","",UPPER(TRIM(LEFT($R243&amp;",",FIND(",",$R243&amp;",")-1))))</f>
        <v/>
      </c>
      <c r="BV243">
        <f>IF($BU243="","",MID($BU243,4,FIND("~",SUBSTITUTE($BU243,"-","~",2))-4))</f>
        <v/>
      </c>
      <c r="BW243">
        <f>IF($BU243="","",MID($BU243,FIND("~",SUBSTITUTE($BU243,"-","~",2))+1,FIND("~",SUBSTITUTE($BU243,"-","~",3))-FIND("~",SUBSTITUTE($BU243,"-","~",2))-1))</f>
        <v/>
      </c>
      <c r="BX243">
        <f>IF($BV243="","",IFERROR(VLOOKUP($BV243,DECODE!$A$3:$C$8,3,FALSE),"?"))</f>
        <v/>
      </c>
      <c r="BY243">
        <f>IF($BW243="","",IFERROR(VLOOKUP($BV243&amp;"-"&amp;$BW243,DECODE!$E$3:$F$21,2,FALSE),"?"))</f>
        <v/>
      </c>
      <c r="BZ243">
        <f>IF($BU243="","",IFERROR(VALUE(RIGHT($BU243,3)),""))</f>
        <v/>
      </c>
      <c r="CA243">
        <f>IF($X243="","",IFERROR(IF(ISNUMBER($X243),$X243,DATEVALUE(TRIM($X243))),""))</f>
        <v/>
      </c>
      <c r="CB243">
        <f>IF($CA243="","",IF(MONTH($CA243)&gt;=12,"Cold Winter",IF(MONTH($CA243)&gt;=10,"Post-Monsoon",IF(MONTH($CA243)&gt;=6,"Hot Humid",IF(MONTH($CA243)&gt;=3,"Hot Dry","Cold Winter")))))</f>
        <v/>
      </c>
      <c r="CC243">
        <f>IF($BV243="","",IFERROR(VLOOKUP($BV243,DECODE!$A$3:$C$8,2,FALSE),"?"))</f>
        <v/>
      </c>
      <c r="CD243">
        <f>IF($S243="","",UPPER(TRIM(LEFT($S243&amp;",",FIND(",",$S243&amp;",")-1))))</f>
        <v/>
      </c>
      <c r="CE243">
        <f>IF($CD243="","",MID($CD243,4,FIND("~",SUBSTITUTE($CD243,"-","~",2))-4))</f>
        <v/>
      </c>
      <c r="CF243">
        <f>IF($CD243="","",MID($CD243,FIND("~",SUBSTITUTE($CD243,"-","~",2))+1,FIND("~",SUBSTITUTE($CD243,"-","~",3))-FIND("~",SUBSTITUTE($CD243,"-","~",2))-1))</f>
        <v/>
      </c>
      <c r="CG243">
        <f>IF($CE243="","",IFERROR(VLOOKUP($CE243,DECODE!$A$3:$C$8,3,FALSE),"?"))</f>
        <v/>
      </c>
      <c r="CH243">
        <f>IF($CF243="","",IFERROR(VLOOKUP($CE243&amp;"-"&amp;$CF243,DECODE!$E$3:$F$21,2,FALSE),"?"))</f>
        <v/>
      </c>
      <c r="CI243">
        <f>IF($CD243="","",IFERROR(VALUE(RIGHT($CD243,3)),""))</f>
        <v/>
      </c>
      <c r="CJ243">
        <f>IF($Y243="","",IFERROR(IF(ISNUMBER($Y243),$Y243,DATEVALUE(TRIM($Y243))),""))</f>
        <v/>
      </c>
      <c r="CK243">
        <f>IF($CJ243="","",IF(MONTH($CJ243)&gt;=12,"Cold Winter",IF(MONTH($CJ243)&gt;=10,"Post-Monsoon",IF(MONTH($CJ243)&gt;=6,"Hot Humid",IF(MONTH($CJ243)&gt;=3,"Hot Dry","Cold Winter")))))</f>
        <v/>
      </c>
      <c r="CL243">
        <f>IF($CE243="","",IFERROR(VLOOKUP($CE243,DECODE!$A$3:$C$8,2,FALSE),"?"))</f>
        <v/>
      </c>
      <c r="CM243">
        <f>IF($AN243="","",AN243)</f>
        <v/>
      </c>
      <c r="CN243">
        <f>IF($AO243="","",AO243)</f>
        <v/>
      </c>
      <c r="CO243">
        <f>IF($AP243="","",AP243)</f>
        <v/>
      </c>
      <c r="CP243">
        <f>IF($CM243="","",IF($CM243="Aloe Vera Gel","Aloe Vera Gel "&amp;$CO243&amp;"g",CN243&amp;" "&amp;$CO243&amp;"g"))</f>
        <v/>
      </c>
      <c r="CQ243">
        <f>IF($AT243="",0,1)</f>
        <v/>
      </c>
      <c r="CR243">
        <f>IF($CQ243=0,"",AW243)</f>
        <v/>
      </c>
      <c r="CS243">
        <f>IF($CQ243=0,"",AX243)</f>
        <v/>
      </c>
      <c r="CT243">
        <f>IF($CQ243=0,"",AY243)</f>
        <v/>
      </c>
      <c r="CU243">
        <f>IF($CR243="","",IF($CR243="Aloe Vera Gel","Aloe Vera Gel "&amp;$CT243&amp;"g",CS243&amp;" "&amp;$CT243&amp;"g"))</f>
        <v/>
      </c>
      <c r="CV243">
        <f>IF($CQ243=0,"",IF($CP243=$CU243,"Repeat Exact",IF($CT243&gt;$CO243,"Upsized",IF($CT243&lt;$CO243,"Downsized",IF($CM243&lt;&gt;$CR243,"Lateral","Same Size Diff Variant")))))</f>
        <v/>
      </c>
      <c r="CW243">
        <f>IF($CQ243=0,"",AZ243-AQ243)</f>
        <v/>
      </c>
      <c r="CX243">
        <f>IF($CQ243=0,0,IF(CS243=CN243,1,0))</f>
        <v/>
      </c>
      <c r="CY243">
        <f>IF($CQ243=0,0,IF(CR243=CM243,1,0))</f>
        <v/>
      </c>
      <c r="CZ243">
        <f>IF($A243="","",IF(AND(IF(DASHBOARD!$C$4="All",TRUE,$CM243=DASHBOARD!$C$4),IF(DASHBOARD!$C$6="All",TRUE,$CP243=DASHBOARD!$C$6),IF(DASHBOARD!$C$8="All",TRUE,$AF243&gt;=DASHBOARD!$C$8),IF(DASHBOARD!$C$10="All",TRUE,$AF243&lt;=DASHBOARD!$C$10),IF(DASHBOARD!$C$12="All",TRUE,$AH243=VALUE(DASHBOARD!$C$12)),IF(DASHBOARD!$C$14="All",TRUE,$AJ243=DASHBOARD!$C$14)),1,0))</f>
        <v/>
      </c>
    </row>
    <row r="244">
      <c r="A244" t="n">
        <v>147435</v>
      </c>
      <c r="B244" t="inlineStr">
        <is>
          <t>Active Gel, Face Malai</t>
        </is>
      </c>
      <c r="H244" t="inlineStr">
        <is>
          <t>Turmeric Nutmeg (Pigmentation)  Face Malai - 30g, Active Orange Kiwi Vit-C Gel</t>
        </is>
      </c>
      <c r="N244" t="inlineStr">
        <is>
          <t>FC-DM-PG-030, FC-AC-OK-050</t>
        </is>
      </c>
      <c r="T244" t="inlineStr">
        <is>
          <t>Jun 16, 2024</t>
        </is>
      </c>
      <c r="AE244" t="inlineStr">
        <is>
          <t>Mumbai</t>
        </is>
      </c>
      <c r="AF244" t="inlineStr">
        <is>
          <t>2024-06</t>
        </is>
      </c>
      <c r="AG244" t="n">
        <v>6</v>
      </c>
      <c r="AH244" t="n">
        <v>1</v>
      </c>
      <c r="AI244" t="n">
        <v>0</v>
      </c>
      <c r="AJ244">
        <f>IF($AE244="","",IFERROR(VLOOKUP(TRIM($AE244),DECODE!$H$3:$I$60,2,FALSE),"Rest of India"))</f>
        <v/>
      </c>
      <c r="AK244">
        <f>IF($N244="","",UPPER(TRIM(LEFT($N244&amp;",",FIND(",",$N244&amp;",")-1))))</f>
        <v/>
      </c>
      <c r="AL244">
        <f>IF($AK244="","",MID($AK244,4,FIND("~",SUBSTITUTE($AK244,"-","~",2))-4))</f>
        <v/>
      </c>
      <c r="AM244">
        <f>IF($AK244="","",MID($AK244,FIND("~",SUBSTITUTE($AK244,"-","~",2))+1,FIND("~",SUBSTITUTE($AK244,"-","~",3))-FIND("~",SUBSTITUTE($AK244,"-","~",2))-1))</f>
        <v/>
      </c>
      <c r="AN244">
        <f>IF($AL244="","",IFERROR(VLOOKUP($AL244,DECODE!$A$3:$C$8,3,FALSE),"?"))</f>
        <v/>
      </c>
      <c r="AO244">
        <f>IF($AM244="","",IFERROR(VLOOKUP($AL244&amp;"-"&amp;$AM244,DECODE!$E$3:$F$21,2,FALSE),"?"))</f>
        <v/>
      </c>
      <c r="AP244">
        <f>IF($AK244="","",IFERROR(VALUE(RIGHT($AK244,3)),""))</f>
        <v/>
      </c>
      <c r="AQ244">
        <f>IF($T244="","",IFERROR(IF(ISNUMBER($T244),$T244,DATEVALUE(TRIM($T244))),""))</f>
        <v/>
      </c>
      <c r="AR244">
        <f>IF($AQ244="","",IF(MONTH($AQ244)&gt;=12,"Cold Winter",IF(MONTH($AQ244)&gt;=10,"Post-Monsoon",IF(MONTH($AQ244)&gt;=6,"Hot Humid",IF(MONTH($AQ244)&gt;=3,"Hot Dry","Cold Winter")))))</f>
        <v/>
      </c>
      <c r="AS244">
        <f>IF($AL244="","",IFERROR(VLOOKUP($AL244,DECODE!$A$3:$C$8,2,FALSE),"?"))</f>
        <v/>
      </c>
      <c r="AT244">
        <f>IF($O244="","",UPPER(TRIM(LEFT($O244&amp;",",FIND(",",$O244&amp;",")-1))))</f>
        <v/>
      </c>
      <c r="AU244">
        <f>IF($AT244="","",MID($AT244,4,FIND("~",SUBSTITUTE($AT244,"-","~",2))-4))</f>
        <v/>
      </c>
      <c r="AV244">
        <f>IF($AT244="","",MID($AT244,FIND("~",SUBSTITUTE($AT244,"-","~",2))+1,FIND("~",SUBSTITUTE($AT244,"-","~",3))-FIND("~",SUBSTITUTE($AT244,"-","~",2))-1))</f>
        <v/>
      </c>
      <c r="AW244">
        <f>IF($AU244="","",IFERROR(VLOOKUP($AU244,DECODE!$A$3:$C$8,3,FALSE),"?"))</f>
        <v/>
      </c>
      <c r="AX244">
        <f>IF($AV244="","",IFERROR(VLOOKUP($AU244&amp;"-"&amp;$AV244,DECODE!$E$3:$F$21,2,FALSE),"?"))</f>
        <v/>
      </c>
      <c r="AY244">
        <f>IF($AT244="","",IFERROR(VALUE(RIGHT($AT244,3)),""))</f>
        <v/>
      </c>
      <c r="AZ244">
        <f>IF($U244="","",IFERROR(IF(ISNUMBER($U244),$U244,DATEVALUE(TRIM($U244))),""))</f>
        <v/>
      </c>
      <c r="BA244">
        <f>IF($AZ244="","",IF(MONTH($AZ244)&gt;=12,"Cold Winter",IF(MONTH($AZ244)&gt;=10,"Post-Monsoon",IF(MONTH($AZ244)&gt;=6,"Hot Humid",IF(MONTH($AZ244)&gt;=3,"Hot Dry","Cold Winter")))))</f>
        <v/>
      </c>
      <c r="BB244">
        <f>IF($AU244="","",IFERROR(VLOOKUP($AU244,DECODE!$A$3:$C$8,2,FALSE),"?"))</f>
        <v/>
      </c>
      <c r="BC244">
        <f>IF($P244="","",UPPER(TRIM(LEFT($P244&amp;",",FIND(",",$P244&amp;",")-1))))</f>
        <v/>
      </c>
      <c r="BD244">
        <f>IF($BC244="","",MID($BC244,4,FIND("~",SUBSTITUTE($BC244,"-","~",2))-4))</f>
        <v/>
      </c>
      <c r="BE244">
        <f>IF($BC244="","",MID($BC244,FIND("~",SUBSTITUTE($BC244,"-","~",2))+1,FIND("~",SUBSTITUTE($BC244,"-","~",3))-FIND("~",SUBSTITUTE($BC244,"-","~",2))-1))</f>
        <v/>
      </c>
      <c r="BF244">
        <f>IF($BD244="","",IFERROR(VLOOKUP($BD244,DECODE!$A$3:$C$8,3,FALSE),"?"))</f>
        <v/>
      </c>
      <c r="BG244">
        <f>IF($BE244="","",IFERROR(VLOOKUP($BD244&amp;"-"&amp;$BE244,DECODE!$E$3:$F$21,2,FALSE),"?"))</f>
        <v/>
      </c>
      <c r="BH244">
        <f>IF($BC244="","",IFERROR(VALUE(RIGHT($BC244,3)),""))</f>
        <v/>
      </c>
      <c r="BI244">
        <f>IF($V244="","",IFERROR(IF(ISNUMBER($V244),$V244,DATEVALUE(TRIM($V244))),""))</f>
        <v/>
      </c>
      <c r="BJ244">
        <f>IF($BI244="","",IF(MONTH($BI244)&gt;=12,"Cold Winter",IF(MONTH($BI244)&gt;=10,"Post-Monsoon",IF(MONTH($BI244)&gt;=6,"Hot Humid",IF(MONTH($BI244)&gt;=3,"Hot Dry","Cold Winter")))))</f>
        <v/>
      </c>
      <c r="BK244">
        <f>IF($BD244="","",IFERROR(VLOOKUP($BD244,DECODE!$A$3:$C$8,2,FALSE),"?"))</f>
        <v/>
      </c>
      <c r="BL244">
        <f>IF($Q244="","",UPPER(TRIM(LEFT($Q244&amp;",",FIND(",",$Q244&amp;",")-1))))</f>
        <v/>
      </c>
      <c r="BM244">
        <f>IF($BL244="","",MID($BL244,4,FIND("~",SUBSTITUTE($BL244,"-","~",2))-4))</f>
        <v/>
      </c>
      <c r="BN244">
        <f>IF($BL244="","",MID($BL244,FIND("~",SUBSTITUTE($BL244,"-","~",2))+1,FIND("~",SUBSTITUTE($BL244,"-","~",3))-FIND("~",SUBSTITUTE($BL244,"-","~",2))-1))</f>
        <v/>
      </c>
      <c r="BO244">
        <f>IF($BM244="","",IFERROR(VLOOKUP($BM244,DECODE!$A$3:$C$8,3,FALSE),"?"))</f>
        <v/>
      </c>
      <c r="BP244">
        <f>IF($BN244="","",IFERROR(VLOOKUP($BM244&amp;"-"&amp;$BN244,DECODE!$E$3:$F$21,2,FALSE),"?"))</f>
        <v/>
      </c>
      <c r="BQ244">
        <f>IF($BL244="","",IFERROR(VALUE(RIGHT($BL244,3)),""))</f>
        <v/>
      </c>
      <c r="BR244">
        <f>IF($W244="","",IFERROR(IF(ISNUMBER($W244),$W244,DATEVALUE(TRIM($W244))),""))</f>
        <v/>
      </c>
      <c r="BS244">
        <f>IF($BR244="","",IF(MONTH($BR244)&gt;=12,"Cold Winter",IF(MONTH($BR244)&gt;=10,"Post-Monsoon",IF(MONTH($BR244)&gt;=6,"Hot Humid",IF(MONTH($BR244)&gt;=3,"Hot Dry","Cold Winter")))))</f>
        <v/>
      </c>
      <c r="BT244">
        <f>IF($BM244="","",IFERROR(VLOOKUP($BM244,DECODE!$A$3:$C$8,2,FALSE),"?"))</f>
        <v/>
      </c>
      <c r="BU244">
        <f>IF($R244="","",UPPER(TRIM(LEFT($R244&amp;",",FIND(",",$R244&amp;",")-1))))</f>
        <v/>
      </c>
      <c r="BV244">
        <f>IF($BU244="","",MID($BU244,4,FIND("~",SUBSTITUTE($BU244,"-","~",2))-4))</f>
        <v/>
      </c>
      <c r="BW244">
        <f>IF($BU244="","",MID($BU244,FIND("~",SUBSTITUTE($BU244,"-","~",2))+1,FIND("~",SUBSTITUTE($BU244,"-","~",3))-FIND("~",SUBSTITUTE($BU244,"-","~",2))-1))</f>
        <v/>
      </c>
      <c r="BX244">
        <f>IF($BV244="","",IFERROR(VLOOKUP($BV244,DECODE!$A$3:$C$8,3,FALSE),"?"))</f>
        <v/>
      </c>
      <c r="BY244">
        <f>IF($BW244="","",IFERROR(VLOOKUP($BV244&amp;"-"&amp;$BW244,DECODE!$E$3:$F$21,2,FALSE),"?"))</f>
        <v/>
      </c>
      <c r="BZ244">
        <f>IF($BU244="","",IFERROR(VALUE(RIGHT($BU244,3)),""))</f>
        <v/>
      </c>
      <c r="CA244">
        <f>IF($X244="","",IFERROR(IF(ISNUMBER($X244),$X244,DATEVALUE(TRIM($X244))),""))</f>
        <v/>
      </c>
      <c r="CB244">
        <f>IF($CA244="","",IF(MONTH($CA244)&gt;=12,"Cold Winter",IF(MONTH($CA244)&gt;=10,"Post-Monsoon",IF(MONTH($CA244)&gt;=6,"Hot Humid",IF(MONTH($CA244)&gt;=3,"Hot Dry","Cold Winter")))))</f>
        <v/>
      </c>
      <c r="CC244">
        <f>IF($BV244="","",IFERROR(VLOOKUP($BV244,DECODE!$A$3:$C$8,2,FALSE),"?"))</f>
        <v/>
      </c>
      <c r="CD244">
        <f>IF($S244="","",UPPER(TRIM(LEFT($S244&amp;",",FIND(",",$S244&amp;",")-1))))</f>
        <v/>
      </c>
      <c r="CE244">
        <f>IF($CD244="","",MID($CD244,4,FIND("~",SUBSTITUTE($CD244,"-","~",2))-4))</f>
        <v/>
      </c>
      <c r="CF244">
        <f>IF($CD244="","",MID($CD244,FIND("~",SUBSTITUTE($CD244,"-","~",2))+1,FIND("~",SUBSTITUTE($CD244,"-","~",3))-FIND("~",SUBSTITUTE($CD244,"-","~",2))-1))</f>
        <v/>
      </c>
      <c r="CG244">
        <f>IF($CE244="","",IFERROR(VLOOKUP($CE244,DECODE!$A$3:$C$8,3,FALSE),"?"))</f>
        <v/>
      </c>
      <c r="CH244">
        <f>IF($CF244="","",IFERROR(VLOOKUP($CE244&amp;"-"&amp;$CF244,DECODE!$E$3:$F$21,2,FALSE),"?"))</f>
        <v/>
      </c>
      <c r="CI244">
        <f>IF($CD244="","",IFERROR(VALUE(RIGHT($CD244,3)),""))</f>
        <v/>
      </c>
      <c r="CJ244">
        <f>IF($Y244="","",IFERROR(IF(ISNUMBER($Y244),$Y244,DATEVALUE(TRIM($Y244))),""))</f>
        <v/>
      </c>
      <c r="CK244">
        <f>IF($CJ244="","",IF(MONTH($CJ244)&gt;=12,"Cold Winter",IF(MONTH($CJ244)&gt;=10,"Post-Monsoon",IF(MONTH($CJ244)&gt;=6,"Hot Humid",IF(MONTH($CJ244)&gt;=3,"Hot Dry","Cold Winter")))))</f>
        <v/>
      </c>
      <c r="CL244">
        <f>IF($CE244="","",IFERROR(VLOOKUP($CE244,DECODE!$A$3:$C$8,2,FALSE),"?"))</f>
        <v/>
      </c>
      <c r="CM244">
        <f>IF($AN244="","",AN244)</f>
        <v/>
      </c>
      <c r="CN244">
        <f>IF($AO244="","",AO244)</f>
        <v/>
      </c>
      <c r="CO244">
        <f>IF($AP244="","",AP244)</f>
        <v/>
      </c>
      <c r="CP244">
        <f>IF($CM244="","",IF($CM244="Aloe Vera Gel","Aloe Vera Gel "&amp;$CO244&amp;"g",CN244&amp;" "&amp;$CO244&amp;"g"))</f>
        <v/>
      </c>
      <c r="CQ244">
        <f>IF($AT244="",0,1)</f>
        <v/>
      </c>
      <c r="CR244">
        <f>IF($CQ244=0,"",AW244)</f>
        <v/>
      </c>
      <c r="CS244">
        <f>IF($CQ244=0,"",AX244)</f>
        <v/>
      </c>
      <c r="CT244">
        <f>IF($CQ244=0,"",AY244)</f>
        <v/>
      </c>
      <c r="CU244">
        <f>IF($CR244="","",IF($CR244="Aloe Vera Gel","Aloe Vera Gel "&amp;$CT244&amp;"g",CS244&amp;" "&amp;$CT244&amp;"g"))</f>
        <v/>
      </c>
      <c r="CV244">
        <f>IF($CQ244=0,"",IF($CP244=$CU244,"Repeat Exact",IF($CT244&gt;$CO244,"Upsized",IF($CT244&lt;$CO244,"Downsized",IF($CM244&lt;&gt;$CR244,"Lateral","Same Size Diff Variant")))))</f>
        <v/>
      </c>
      <c r="CW244">
        <f>IF($CQ244=0,"",AZ244-AQ244)</f>
        <v/>
      </c>
      <c r="CX244">
        <f>IF($CQ244=0,0,IF(CS244=CN244,1,0))</f>
        <v/>
      </c>
      <c r="CY244">
        <f>IF($CQ244=0,0,IF(CR244=CM244,1,0))</f>
        <v/>
      </c>
      <c r="CZ244">
        <f>IF($A244="","",IF(AND(IF(DASHBOARD!$C$4="All",TRUE,$CM244=DASHBOARD!$C$4),IF(DASHBOARD!$C$6="All",TRUE,$CP244=DASHBOARD!$C$6),IF(DASHBOARD!$C$8="All",TRUE,$AF244&gt;=DASHBOARD!$C$8),IF(DASHBOARD!$C$10="All",TRUE,$AF244&lt;=DASHBOARD!$C$10),IF(DASHBOARD!$C$12="All",TRUE,$AH244=VALUE(DASHBOARD!$C$12)),IF(DASHBOARD!$C$14="All",TRUE,$AJ244=DASHBOARD!$C$14)),1,0))</f>
        <v/>
      </c>
    </row>
    <row r="245">
      <c r="A245" t="n">
        <v>147899</v>
      </c>
      <c r="B245" t="inlineStr">
        <is>
          <t>Active Gel, Aloe Vera Gel</t>
        </is>
      </c>
      <c r="C245" t="inlineStr">
        <is>
          <t>Active Gel</t>
        </is>
      </c>
      <c r="D245" t="inlineStr">
        <is>
          <t>Face Malai</t>
        </is>
      </c>
      <c r="H245" t="inlineStr">
        <is>
          <t>Aloe Vera Gel - 40 gms, Active Olive Vit-E Night Gel</t>
        </is>
      </c>
      <c r="I245" t="inlineStr">
        <is>
          <t>Active Olive Vit-E Night Gel</t>
        </is>
      </c>
      <c r="J245" t="inlineStr">
        <is>
          <t>Flax Carrot (Hot Humid) 35+ Face Malai - 50g</t>
        </is>
      </c>
      <c r="N245" t="inlineStr">
        <is>
          <t>FC-HG-PA-040, FC-AC-OV-050</t>
        </is>
      </c>
      <c r="O245" t="inlineStr">
        <is>
          <t>FC-AC-OV-050</t>
        </is>
      </c>
      <c r="P245" t="inlineStr">
        <is>
          <t>FC-HHDM-FC-050</t>
        </is>
      </c>
      <c r="T245" t="inlineStr">
        <is>
          <t>Apr 11, 2024</t>
        </is>
      </c>
      <c r="U245" t="inlineStr">
        <is>
          <t>May 2, 2025</t>
        </is>
      </c>
      <c r="V245" t="inlineStr">
        <is>
          <t>Jun 11, 2025</t>
        </is>
      </c>
      <c r="Z245" t="n">
        <v>386</v>
      </c>
      <c r="AA245" t="n">
        <v>40</v>
      </c>
      <c r="AE245" t="inlineStr">
        <is>
          <t>Goa</t>
        </is>
      </c>
      <c r="AF245" t="inlineStr">
        <is>
          <t>2024-04</t>
        </is>
      </c>
      <c r="AG245" t="n">
        <v>4</v>
      </c>
      <c r="AH245" t="n">
        <v>3</v>
      </c>
      <c r="AI245" t="n">
        <v>1</v>
      </c>
      <c r="AJ245">
        <f>IF($AE245="","",IFERROR(VLOOKUP(TRIM($AE245),DECODE!$H$3:$I$60,2,FALSE),"Rest of India"))</f>
        <v/>
      </c>
      <c r="AK245">
        <f>IF($N245="","",UPPER(TRIM(LEFT($N245&amp;",",FIND(",",$N245&amp;",")-1))))</f>
        <v/>
      </c>
      <c r="AL245">
        <f>IF($AK245="","",MID($AK245,4,FIND("~",SUBSTITUTE($AK245,"-","~",2))-4))</f>
        <v/>
      </c>
      <c r="AM245">
        <f>IF($AK245="","",MID($AK245,FIND("~",SUBSTITUTE($AK245,"-","~",2))+1,FIND("~",SUBSTITUTE($AK245,"-","~",3))-FIND("~",SUBSTITUTE($AK245,"-","~",2))-1))</f>
        <v/>
      </c>
      <c r="AN245">
        <f>IF($AL245="","",IFERROR(VLOOKUP($AL245,DECODE!$A$3:$C$8,3,FALSE),"?"))</f>
        <v/>
      </c>
      <c r="AO245">
        <f>IF($AM245="","",IFERROR(VLOOKUP($AL245&amp;"-"&amp;$AM245,DECODE!$E$3:$F$21,2,FALSE),"?"))</f>
        <v/>
      </c>
      <c r="AP245">
        <f>IF($AK245="","",IFERROR(VALUE(RIGHT($AK245,3)),""))</f>
        <v/>
      </c>
      <c r="AQ245">
        <f>IF($T245="","",IFERROR(IF(ISNUMBER($T245),$T245,DATEVALUE(TRIM($T245))),""))</f>
        <v/>
      </c>
      <c r="AR245">
        <f>IF($AQ245="","",IF(MONTH($AQ245)&gt;=12,"Cold Winter",IF(MONTH($AQ245)&gt;=10,"Post-Monsoon",IF(MONTH($AQ245)&gt;=6,"Hot Humid",IF(MONTH($AQ245)&gt;=3,"Hot Dry","Cold Winter")))))</f>
        <v/>
      </c>
      <c r="AS245">
        <f>IF($AL245="","",IFERROR(VLOOKUP($AL245,DECODE!$A$3:$C$8,2,FALSE),"?"))</f>
        <v/>
      </c>
      <c r="AT245">
        <f>IF($O245="","",UPPER(TRIM(LEFT($O245&amp;",",FIND(",",$O245&amp;",")-1))))</f>
        <v/>
      </c>
      <c r="AU245">
        <f>IF($AT245="","",MID($AT245,4,FIND("~",SUBSTITUTE($AT245,"-","~",2))-4))</f>
        <v/>
      </c>
      <c r="AV245">
        <f>IF($AT245="","",MID($AT245,FIND("~",SUBSTITUTE($AT245,"-","~",2))+1,FIND("~",SUBSTITUTE($AT245,"-","~",3))-FIND("~",SUBSTITUTE($AT245,"-","~",2))-1))</f>
        <v/>
      </c>
      <c r="AW245">
        <f>IF($AU245="","",IFERROR(VLOOKUP($AU245,DECODE!$A$3:$C$8,3,FALSE),"?"))</f>
        <v/>
      </c>
      <c r="AX245">
        <f>IF($AV245="","",IFERROR(VLOOKUP($AU245&amp;"-"&amp;$AV245,DECODE!$E$3:$F$21,2,FALSE),"?"))</f>
        <v/>
      </c>
      <c r="AY245">
        <f>IF($AT245="","",IFERROR(VALUE(RIGHT($AT245,3)),""))</f>
        <v/>
      </c>
      <c r="AZ245">
        <f>IF($U245="","",IFERROR(IF(ISNUMBER($U245),$U245,DATEVALUE(TRIM($U245))),""))</f>
        <v/>
      </c>
      <c r="BA245">
        <f>IF($AZ245="","",IF(MONTH($AZ245)&gt;=12,"Cold Winter",IF(MONTH($AZ245)&gt;=10,"Post-Monsoon",IF(MONTH($AZ245)&gt;=6,"Hot Humid",IF(MONTH($AZ245)&gt;=3,"Hot Dry","Cold Winter")))))</f>
        <v/>
      </c>
      <c r="BB245">
        <f>IF($AU245="","",IFERROR(VLOOKUP($AU245,DECODE!$A$3:$C$8,2,FALSE),"?"))</f>
        <v/>
      </c>
      <c r="BC245">
        <f>IF($P245="","",UPPER(TRIM(LEFT($P245&amp;",",FIND(",",$P245&amp;",")-1))))</f>
        <v/>
      </c>
      <c r="BD245">
        <f>IF($BC245="","",MID($BC245,4,FIND("~",SUBSTITUTE($BC245,"-","~",2))-4))</f>
        <v/>
      </c>
      <c r="BE245">
        <f>IF($BC245="","",MID($BC245,FIND("~",SUBSTITUTE($BC245,"-","~",2))+1,FIND("~",SUBSTITUTE($BC245,"-","~",3))-FIND("~",SUBSTITUTE($BC245,"-","~",2))-1))</f>
        <v/>
      </c>
      <c r="BF245">
        <f>IF($BD245="","",IFERROR(VLOOKUP($BD245,DECODE!$A$3:$C$8,3,FALSE),"?"))</f>
        <v/>
      </c>
      <c r="BG245">
        <f>IF($BE245="","",IFERROR(VLOOKUP($BD245&amp;"-"&amp;$BE245,DECODE!$E$3:$F$21,2,FALSE),"?"))</f>
        <v/>
      </c>
      <c r="BH245">
        <f>IF($BC245="","",IFERROR(VALUE(RIGHT($BC245,3)),""))</f>
        <v/>
      </c>
      <c r="BI245">
        <f>IF($V245="","",IFERROR(IF(ISNUMBER($V245),$V245,DATEVALUE(TRIM($V245))),""))</f>
        <v/>
      </c>
      <c r="BJ245">
        <f>IF($BI245="","",IF(MONTH($BI245)&gt;=12,"Cold Winter",IF(MONTH($BI245)&gt;=10,"Post-Monsoon",IF(MONTH($BI245)&gt;=6,"Hot Humid",IF(MONTH($BI245)&gt;=3,"Hot Dry","Cold Winter")))))</f>
        <v/>
      </c>
      <c r="BK245">
        <f>IF($BD245="","",IFERROR(VLOOKUP($BD245,DECODE!$A$3:$C$8,2,FALSE),"?"))</f>
        <v/>
      </c>
      <c r="BL245">
        <f>IF($Q245="","",UPPER(TRIM(LEFT($Q245&amp;",",FIND(",",$Q245&amp;",")-1))))</f>
        <v/>
      </c>
      <c r="BM245">
        <f>IF($BL245="","",MID($BL245,4,FIND("~",SUBSTITUTE($BL245,"-","~",2))-4))</f>
        <v/>
      </c>
      <c r="BN245">
        <f>IF($BL245="","",MID($BL245,FIND("~",SUBSTITUTE($BL245,"-","~",2))+1,FIND("~",SUBSTITUTE($BL245,"-","~",3))-FIND("~",SUBSTITUTE($BL245,"-","~",2))-1))</f>
        <v/>
      </c>
      <c r="BO245">
        <f>IF($BM245="","",IFERROR(VLOOKUP($BM245,DECODE!$A$3:$C$8,3,FALSE),"?"))</f>
        <v/>
      </c>
      <c r="BP245">
        <f>IF($BN245="","",IFERROR(VLOOKUP($BM245&amp;"-"&amp;$BN245,DECODE!$E$3:$F$21,2,FALSE),"?"))</f>
        <v/>
      </c>
      <c r="BQ245">
        <f>IF($BL245="","",IFERROR(VALUE(RIGHT($BL245,3)),""))</f>
        <v/>
      </c>
      <c r="BR245">
        <f>IF($W245="","",IFERROR(IF(ISNUMBER($W245),$W245,DATEVALUE(TRIM($W245))),""))</f>
        <v/>
      </c>
      <c r="BS245">
        <f>IF($BR245="","",IF(MONTH($BR245)&gt;=12,"Cold Winter",IF(MONTH($BR245)&gt;=10,"Post-Monsoon",IF(MONTH($BR245)&gt;=6,"Hot Humid",IF(MONTH($BR245)&gt;=3,"Hot Dry","Cold Winter")))))</f>
        <v/>
      </c>
      <c r="BT245">
        <f>IF($BM245="","",IFERROR(VLOOKUP($BM245,DECODE!$A$3:$C$8,2,FALSE),"?"))</f>
        <v/>
      </c>
      <c r="BU245">
        <f>IF($R245="","",UPPER(TRIM(LEFT($R245&amp;",",FIND(",",$R245&amp;",")-1))))</f>
        <v/>
      </c>
      <c r="BV245">
        <f>IF($BU245="","",MID($BU245,4,FIND("~",SUBSTITUTE($BU245,"-","~",2))-4))</f>
        <v/>
      </c>
      <c r="BW245">
        <f>IF($BU245="","",MID($BU245,FIND("~",SUBSTITUTE($BU245,"-","~",2))+1,FIND("~",SUBSTITUTE($BU245,"-","~",3))-FIND("~",SUBSTITUTE($BU245,"-","~",2))-1))</f>
        <v/>
      </c>
      <c r="BX245">
        <f>IF($BV245="","",IFERROR(VLOOKUP($BV245,DECODE!$A$3:$C$8,3,FALSE),"?"))</f>
        <v/>
      </c>
      <c r="BY245">
        <f>IF($BW245="","",IFERROR(VLOOKUP($BV245&amp;"-"&amp;$BW245,DECODE!$E$3:$F$21,2,FALSE),"?"))</f>
        <v/>
      </c>
      <c r="BZ245">
        <f>IF($BU245="","",IFERROR(VALUE(RIGHT($BU245,3)),""))</f>
        <v/>
      </c>
      <c r="CA245">
        <f>IF($X245="","",IFERROR(IF(ISNUMBER($X245),$X245,DATEVALUE(TRIM($X245))),""))</f>
        <v/>
      </c>
      <c r="CB245">
        <f>IF($CA245="","",IF(MONTH($CA245)&gt;=12,"Cold Winter",IF(MONTH($CA245)&gt;=10,"Post-Monsoon",IF(MONTH($CA245)&gt;=6,"Hot Humid",IF(MONTH($CA245)&gt;=3,"Hot Dry","Cold Winter")))))</f>
        <v/>
      </c>
      <c r="CC245">
        <f>IF($BV245="","",IFERROR(VLOOKUP($BV245,DECODE!$A$3:$C$8,2,FALSE),"?"))</f>
        <v/>
      </c>
      <c r="CD245">
        <f>IF($S245="","",UPPER(TRIM(LEFT($S245&amp;",",FIND(",",$S245&amp;",")-1))))</f>
        <v/>
      </c>
      <c r="CE245">
        <f>IF($CD245="","",MID($CD245,4,FIND("~",SUBSTITUTE($CD245,"-","~",2))-4))</f>
        <v/>
      </c>
      <c r="CF245">
        <f>IF($CD245="","",MID($CD245,FIND("~",SUBSTITUTE($CD245,"-","~",2))+1,FIND("~",SUBSTITUTE($CD245,"-","~",3))-FIND("~",SUBSTITUTE($CD245,"-","~",2))-1))</f>
        <v/>
      </c>
      <c r="CG245">
        <f>IF($CE245="","",IFERROR(VLOOKUP($CE245,DECODE!$A$3:$C$8,3,FALSE),"?"))</f>
        <v/>
      </c>
      <c r="CH245">
        <f>IF($CF245="","",IFERROR(VLOOKUP($CE245&amp;"-"&amp;$CF245,DECODE!$E$3:$F$21,2,FALSE),"?"))</f>
        <v/>
      </c>
      <c r="CI245">
        <f>IF($CD245="","",IFERROR(VALUE(RIGHT($CD245,3)),""))</f>
        <v/>
      </c>
      <c r="CJ245">
        <f>IF($Y245="","",IFERROR(IF(ISNUMBER($Y245),$Y245,DATEVALUE(TRIM($Y245))),""))</f>
        <v/>
      </c>
      <c r="CK245">
        <f>IF($CJ245="","",IF(MONTH($CJ245)&gt;=12,"Cold Winter",IF(MONTH($CJ245)&gt;=10,"Post-Monsoon",IF(MONTH($CJ245)&gt;=6,"Hot Humid",IF(MONTH($CJ245)&gt;=3,"Hot Dry","Cold Winter")))))</f>
        <v/>
      </c>
      <c r="CL245">
        <f>IF($CE245="","",IFERROR(VLOOKUP($CE245,DECODE!$A$3:$C$8,2,FALSE),"?"))</f>
        <v/>
      </c>
      <c r="CM245">
        <f>IF($AN245="","",AN245)</f>
        <v/>
      </c>
      <c r="CN245">
        <f>IF($AO245="","",AO245)</f>
        <v/>
      </c>
      <c r="CO245">
        <f>IF($AP245="","",AP245)</f>
        <v/>
      </c>
      <c r="CP245">
        <f>IF($CM245="","",IF($CM245="Aloe Vera Gel","Aloe Vera Gel "&amp;$CO245&amp;"g",CN245&amp;" "&amp;$CO245&amp;"g"))</f>
        <v/>
      </c>
      <c r="CQ245">
        <f>IF($AT245="",0,1)</f>
        <v/>
      </c>
      <c r="CR245">
        <f>IF($CQ245=0,"",AW245)</f>
        <v/>
      </c>
      <c r="CS245">
        <f>IF($CQ245=0,"",AX245)</f>
        <v/>
      </c>
      <c r="CT245">
        <f>IF($CQ245=0,"",AY245)</f>
        <v/>
      </c>
      <c r="CU245">
        <f>IF($CR245="","",IF($CR245="Aloe Vera Gel","Aloe Vera Gel "&amp;$CT245&amp;"g",CS245&amp;" "&amp;$CT245&amp;"g"))</f>
        <v/>
      </c>
      <c r="CV245">
        <f>IF($CQ245=0,"",IF($CP245=$CU245,"Repeat Exact",IF($CT245&gt;$CO245,"Upsized",IF($CT245&lt;$CO245,"Downsized",IF($CM245&lt;&gt;$CR245,"Lateral","Same Size Diff Variant")))))</f>
        <v/>
      </c>
      <c r="CW245">
        <f>IF($CQ245=0,"",AZ245-AQ245)</f>
        <v/>
      </c>
      <c r="CX245">
        <f>IF($CQ245=0,0,IF(CS245=CN245,1,0))</f>
        <v/>
      </c>
      <c r="CY245">
        <f>IF($CQ245=0,0,IF(CR245=CM245,1,0))</f>
        <v/>
      </c>
      <c r="CZ245">
        <f>IF($A245="","",IF(AND(IF(DASHBOARD!$C$4="All",TRUE,$CM245=DASHBOARD!$C$4),IF(DASHBOARD!$C$6="All",TRUE,$CP245=DASHBOARD!$C$6),IF(DASHBOARD!$C$8="All",TRUE,$AF245&gt;=DASHBOARD!$C$8),IF(DASHBOARD!$C$10="All",TRUE,$AF245&lt;=DASHBOARD!$C$10),IF(DASHBOARD!$C$12="All",TRUE,$AH245=VALUE(DASHBOARD!$C$12)),IF(DASHBOARD!$C$14="All",TRUE,$AJ245=DASHBOARD!$C$14)),1,0))</f>
        <v/>
      </c>
    </row>
    <row r="246">
      <c r="A246" t="n">
        <v>148201</v>
      </c>
      <c r="B246" t="inlineStr">
        <is>
          <t>Aloe Vera Gel</t>
        </is>
      </c>
      <c r="H246" t="inlineStr">
        <is>
          <t>Aloe Vera Gel - 40 gms</t>
        </is>
      </c>
      <c r="N246" t="inlineStr">
        <is>
          <t>FC-HG-PA-040</t>
        </is>
      </c>
      <c r="T246" t="inlineStr">
        <is>
          <t>Dec 20, 2024</t>
        </is>
      </c>
      <c r="AE246" t="inlineStr">
        <is>
          <t>Mumbai</t>
        </is>
      </c>
      <c r="AF246" t="inlineStr">
        <is>
          <t>2024-12</t>
        </is>
      </c>
      <c r="AG246" t="n">
        <v>12</v>
      </c>
      <c r="AH246" t="n">
        <v>1</v>
      </c>
      <c r="AI246" t="n">
        <v>0</v>
      </c>
      <c r="AJ246">
        <f>IF($AE246="","",IFERROR(VLOOKUP(TRIM($AE246),DECODE!$H$3:$I$60,2,FALSE),"Rest of India"))</f>
        <v/>
      </c>
      <c r="AK246">
        <f>IF($N246="","",UPPER(TRIM(LEFT($N246&amp;",",FIND(",",$N246&amp;",")-1))))</f>
        <v/>
      </c>
      <c r="AL246">
        <f>IF($AK246="","",MID($AK246,4,FIND("~",SUBSTITUTE($AK246,"-","~",2))-4))</f>
        <v/>
      </c>
      <c r="AM246">
        <f>IF($AK246="","",MID($AK246,FIND("~",SUBSTITUTE($AK246,"-","~",2))+1,FIND("~",SUBSTITUTE($AK246,"-","~",3))-FIND("~",SUBSTITUTE($AK246,"-","~",2))-1))</f>
        <v/>
      </c>
      <c r="AN246">
        <f>IF($AL246="","",IFERROR(VLOOKUP($AL246,DECODE!$A$3:$C$8,3,FALSE),"?"))</f>
        <v/>
      </c>
      <c r="AO246">
        <f>IF($AM246="","",IFERROR(VLOOKUP($AL246&amp;"-"&amp;$AM246,DECODE!$E$3:$F$21,2,FALSE),"?"))</f>
        <v/>
      </c>
      <c r="AP246">
        <f>IF($AK246="","",IFERROR(VALUE(RIGHT($AK246,3)),""))</f>
        <v/>
      </c>
      <c r="AQ246">
        <f>IF($T246="","",IFERROR(IF(ISNUMBER($T246),$T246,DATEVALUE(TRIM($T246))),""))</f>
        <v/>
      </c>
      <c r="AR246">
        <f>IF($AQ246="","",IF(MONTH($AQ246)&gt;=12,"Cold Winter",IF(MONTH($AQ246)&gt;=10,"Post-Monsoon",IF(MONTH($AQ246)&gt;=6,"Hot Humid",IF(MONTH($AQ246)&gt;=3,"Hot Dry","Cold Winter")))))</f>
        <v/>
      </c>
      <c r="AS246">
        <f>IF($AL246="","",IFERROR(VLOOKUP($AL246,DECODE!$A$3:$C$8,2,FALSE),"?"))</f>
        <v/>
      </c>
      <c r="AT246">
        <f>IF($O246="","",UPPER(TRIM(LEFT($O246&amp;",",FIND(",",$O246&amp;",")-1))))</f>
        <v/>
      </c>
      <c r="AU246">
        <f>IF($AT246="","",MID($AT246,4,FIND("~",SUBSTITUTE($AT246,"-","~",2))-4))</f>
        <v/>
      </c>
      <c r="AV246">
        <f>IF($AT246="","",MID($AT246,FIND("~",SUBSTITUTE($AT246,"-","~",2))+1,FIND("~",SUBSTITUTE($AT246,"-","~",3))-FIND("~",SUBSTITUTE($AT246,"-","~",2))-1))</f>
        <v/>
      </c>
      <c r="AW246">
        <f>IF($AU246="","",IFERROR(VLOOKUP($AU246,DECODE!$A$3:$C$8,3,FALSE),"?"))</f>
        <v/>
      </c>
      <c r="AX246">
        <f>IF($AV246="","",IFERROR(VLOOKUP($AU246&amp;"-"&amp;$AV246,DECODE!$E$3:$F$21,2,FALSE),"?"))</f>
        <v/>
      </c>
      <c r="AY246">
        <f>IF($AT246="","",IFERROR(VALUE(RIGHT($AT246,3)),""))</f>
        <v/>
      </c>
      <c r="AZ246">
        <f>IF($U246="","",IFERROR(IF(ISNUMBER($U246),$U246,DATEVALUE(TRIM($U246))),""))</f>
        <v/>
      </c>
      <c r="BA246">
        <f>IF($AZ246="","",IF(MONTH($AZ246)&gt;=12,"Cold Winter",IF(MONTH($AZ246)&gt;=10,"Post-Monsoon",IF(MONTH($AZ246)&gt;=6,"Hot Humid",IF(MONTH($AZ246)&gt;=3,"Hot Dry","Cold Winter")))))</f>
        <v/>
      </c>
      <c r="BB246">
        <f>IF($AU246="","",IFERROR(VLOOKUP($AU246,DECODE!$A$3:$C$8,2,FALSE),"?"))</f>
        <v/>
      </c>
      <c r="BC246">
        <f>IF($P246="","",UPPER(TRIM(LEFT($P246&amp;",",FIND(",",$P246&amp;",")-1))))</f>
        <v/>
      </c>
      <c r="BD246">
        <f>IF($BC246="","",MID($BC246,4,FIND("~",SUBSTITUTE($BC246,"-","~",2))-4))</f>
        <v/>
      </c>
      <c r="BE246">
        <f>IF($BC246="","",MID($BC246,FIND("~",SUBSTITUTE($BC246,"-","~",2))+1,FIND("~",SUBSTITUTE($BC246,"-","~",3))-FIND("~",SUBSTITUTE($BC246,"-","~",2))-1))</f>
        <v/>
      </c>
      <c r="BF246">
        <f>IF($BD246="","",IFERROR(VLOOKUP($BD246,DECODE!$A$3:$C$8,3,FALSE),"?"))</f>
        <v/>
      </c>
      <c r="BG246">
        <f>IF($BE246="","",IFERROR(VLOOKUP($BD246&amp;"-"&amp;$BE246,DECODE!$E$3:$F$21,2,FALSE),"?"))</f>
        <v/>
      </c>
      <c r="BH246">
        <f>IF($BC246="","",IFERROR(VALUE(RIGHT($BC246,3)),""))</f>
        <v/>
      </c>
      <c r="BI246">
        <f>IF($V246="","",IFERROR(IF(ISNUMBER($V246),$V246,DATEVALUE(TRIM($V246))),""))</f>
        <v/>
      </c>
      <c r="BJ246">
        <f>IF($BI246="","",IF(MONTH($BI246)&gt;=12,"Cold Winter",IF(MONTH($BI246)&gt;=10,"Post-Monsoon",IF(MONTH($BI246)&gt;=6,"Hot Humid",IF(MONTH($BI246)&gt;=3,"Hot Dry","Cold Winter")))))</f>
        <v/>
      </c>
      <c r="BK246">
        <f>IF($BD246="","",IFERROR(VLOOKUP($BD246,DECODE!$A$3:$C$8,2,FALSE),"?"))</f>
        <v/>
      </c>
      <c r="BL246">
        <f>IF($Q246="","",UPPER(TRIM(LEFT($Q246&amp;",",FIND(",",$Q246&amp;",")-1))))</f>
        <v/>
      </c>
      <c r="BM246">
        <f>IF($BL246="","",MID($BL246,4,FIND("~",SUBSTITUTE($BL246,"-","~",2))-4))</f>
        <v/>
      </c>
      <c r="BN246">
        <f>IF($BL246="","",MID($BL246,FIND("~",SUBSTITUTE($BL246,"-","~",2))+1,FIND("~",SUBSTITUTE($BL246,"-","~",3))-FIND("~",SUBSTITUTE($BL246,"-","~",2))-1))</f>
        <v/>
      </c>
      <c r="BO246">
        <f>IF($BM246="","",IFERROR(VLOOKUP($BM246,DECODE!$A$3:$C$8,3,FALSE),"?"))</f>
        <v/>
      </c>
      <c r="BP246">
        <f>IF($BN246="","",IFERROR(VLOOKUP($BM246&amp;"-"&amp;$BN246,DECODE!$E$3:$F$21,2,FALSE),"?"))</f>
        <v/>
      </c>
      <c r="BQ246">
        <f>IF($BL246="","",IFERROR(VALUE(RIGHT($BL246,3)),""))</f>
        <v/>
      </c>
      <c r="BR246">
        <f>IF($W246="","",IFERROR(IF(ISNUMBER($W246),$W246,DATEVALUE(TRIM($W246))),""))</f>
        <v/>
      </c>
      <c r="BS246">
        <f>IF($BR246="","",IF(MONTH($BR246)&gt;=12,"Cold Winter",IF(MONTH($BR246)&gt;=10,"Post-Monsoon",IF(MONTH($BR246)&gt;=6,"Hot Humid",IF(MONTH($BR246)&gt;=3,"Hot Dry","Cold Winter")))))</f>
        <v/>
      </c>
      <c r="BT246">
        <f>IF($BM246="","",IFERROR(VLOOKUP($BM246,DECODE!$A$3:$C$8,2,FALSE),"?"))</f>
        <v/>
      </c>
      <c r="BU246">
        <f>IF($R246="","",UPPER(TRIM(LEFT($R246&amp;",",FIND(",",$R246&amp;",")-1))))</f>
        <v/>
      </c>
      <c r="BV246">
        <f>IF($BU246="","",MID($BU246,4,FIND("~",SUBSTITUTE($BU246,"-","~",2))-4))</f>
        <v/>
      </c>
      <c r="BW246">
        <f>IF($BU246="","",MID($BU246,FIND("~",SUBSTITUTE($BU246,"-","~",2))+1,FIND("~",SUBSTITUTE($BU246,"-","~",3))-FIND("~",SUBSTITUTE($BU246,"-","~",2))-1))</f>
        <v/>
      </c>
      <c r="BX246">
        <f>IF($BV246="","",IFERROR(VLOOKUP($BV246,DECODE!$A$3:$C$8,3,FALSE),"?"))</f>
        <v/>
      </c>
      <c r="BY246">
        <f>IF($BW246="","",IFERROR(VLOOKUP($BV246&amp;"-"&amp;$BW246,DECODE!$E$3:$F$21,2,FALSE),"?"))</f>
        <v/>
      </c>
      <c r="BZ246">
        <f>IF($BU246="","",IFERROR(VALUE(RIGHT($BU246,3)),""))</f>
        <v/>
      </c>
      <c r="CA246">
        <f>IF($X246="","",IFERROR(IF(ISNUMBER($X246),$X246,DATEVALUE(TRIM($X246))),""))</f>
        <v/>
      </c>
      <c r="CB246">
        <f>IF($CA246="","",IF(MONTH($CA246)&gt;=12,"Cold Winter",IF(MONTH($CA246)&gt;=10,"Post-Monsoon",IF(MONTH($CA246)&gt;=6,"Hot Humid",IF(MONTH($CA246)&gt;=3,"Hot Dry","Cold Winter")))))</f>
        <v/>
      </c>
      <c r="CC246">
        <f>IF($BV246="","",IFERROR(VLOOKUP($BV246,DECODE!$A$3:$C$8,2,FALSE),"?"))</f>
        <v/>
      </c>
      <c r="CD246">
        <f>IF($S246="","",UPPER(TRIM(LEFT($S246&amp;",",FIND(",",$S246&amp;",")-1))))</f>
        <v/>
      </c>
      <c r="CE246">
        <f>IF($CD246="","",MID($CD246,4,FIND("~",SUBSTITUTE($CD246,"-","~",2))-4))</f>
        <v/>
      </c>
      <c r="CF246">
        <f>IF($CD246="","",MID($CD246,FIND("~",SUBSTITUTE($CD246,"-","~",2))+1,FIND("~",SUBSTITUTE($CD246,"-","~",3))-FIND("~",SUBSTITUTE($CD246,"-","~",2))-1))</f>
        <v/>
      </c>
      <c r="CG246">
        <f>IF($CE246="","",IFERROR(VLOOKUP($CE246,DECODE!$A$3:$C$8,3,FALSE),"?"))</f>
        <v/>
      </c>
      <c r="CH246">
        <f>IF($CF246="","",IFERROR(VLOOKUP($CE246&amp;"-"&amp;$CF246,DECODE!$E$3:$F$21,2,FALSE),"?"))</f>
        <v/>
      </c>
      <c r="CI246">
        <f>IF($CD246="","",IFERROR(VALUE(RIGHT($CD246,3)),""))</f>
        <v/>
      </c>
      <c r="CJ246">
        <f>IF($Y246="","",IFERROR(IF(ISNUMBER($Y246),$Y246,DATEVALUE(TRIM($Y246))),""))</f>
        <v/>
      </c>
      <c r="CK246">
        <f>IF($CJ246="","",IF(MONTH($CJ246)&gt;=12,"Cold Winter",IF(MONTH($CJ246)&gt;=10,"Post-Monsoon",IF(MONTH($CJ246)&gt;=6,"Hot Humid",IF(MONTH($CJ246)&gt;=3,"Hot Dry","Cold Winter")))))</f>
        <v/>
      </c>
      <c r="CL246">
        <f>IF($CE246="","",IFERROR(VLOOKUP($CE246,DECODE!$A$3:$C$8,2,FALSE),"?"))</f>
        <v/>
      </c>
      <c r="CM246">
        <f>IF($AN246="","",AN246)</f>
        <v/>
      </c>
      <c r="CN246">
        <f>IF($AO246="","",AO246)</f>
        <v/>
      </c>
      <c r="CO246">
        <f>IF($AP246="","",AP246)</f>
        <v/>
      </c>
      <c r="CP246">
        <f>IF($CM246="","",IF($CM246="Aloe Vera Gel","Aloe Vera Gel "&amp;$CO246&amp;"g",CN246&amp;" "&amp;$CO246&amp;"g"))</f>
        <v/>
      </c>
      <c r="CQ246">
        <f>IF($AT246="",0,1)</f>
        <v/>
      </c>
      <c r="CR246">
        <f>IF($CQ246=0,"",AW246)</f>
        <v/>
      </c>
      <c r="CS246">
        <f>IF($CQ246=0,"",AX246)</f>
        <v/>
      </c>
      <c r="CT246">
        <f>IF($CQ246=0,"",AY246)</f>
        <v/>
      </c>
      <c r="CU246">
        <f>IF($CR246="","",IF($CR246="Aloe Vera Gel","Aloe Vera Gel "&amp;$CT246&amp;"g",CS246&amp;" "&amp;$CT246&amp;"g"))</f>
        <v/>
      </c>
      <c r="CV246">
        <f>IF($CQ246=0,"",IF($CP246=$CU246,"Repeat Exact",IF($CT246&gt;$CO246,"Upsized",IF($CT246&lt;$CO246,"Downsized",IF($CM246&lt;&gt;$CR246,"Lateral","Same Size Diff Variant")))))</f>
        <v/>
      </c>
      <c r="CW246">
        <f>IF($CQ246=0,"",AZ246-AQ246)</f>
        <v/>
      </c>
      <c r="CX246">
        <f>IF($CQ246=0,0,IF(CS246=CN246,1,0))</f>
        <v/>
      </c>
      <c r="CY246">
        <f>IF($CQ246=0,0,IF(CR246=CM246,1,0))</f>
        <v/>
      </c>
      <c r="CZ246">
        <f>IF($A246="","",IF(AND(IF(DASHBOARD!$C$4="All",TRUE,$CM246=DASHBOARD!$C$4),IF(DASHBOARD!$C$6="All",TRUE,$CP246=DASHBOARD!$C$6),IF(DASHBOARD!$C$8="All",TRUE,$AF246&gt;=DASHBOARD!$C$8),IF(DASHBOARD!$C$10="All",TRUE,$AF246&lt;=DASHBOARD!$C$10),IF(DASHBOARD!$C$12="All",TRUE,$AH246=VALUE(DASHBOARD!$C$12)),IF(DASHBOARD!$C$14="All",TRUE,$AJ246=DASHBOARD!$C$14)),1,0))</f>
        <v/>
      </c>
    </row>
    <row r="247">
      <c r="A247" t="n">
        <v>148226</v>
      </c>
      <c r="B247" t="inlineStr">
        <is>
          <t>Face Malai</t>
        </is>
      </c>
      <c r="H247" t="inlineStr">
        <is>
          <t>Flax Walnut (Cold) 35+ Face Malai</t>
        </is>
      </c>
      <c r="N247" t="inlineStr">
        <is>
          <t>FC-CWDM-FW-030</t>
        </is>
      </c>
      <c r="T247" t="inlineStr">
        <is>
          <t>Dec 2, 2024</t>
        </is>
      </c>
      <c r="AE247" t="inlineStr">
        <is>
          <t>New Delhi</t>
        </is>
      </c>
      <c r="AF247" t="inlineStr">
        <is>
          <t>2024-12</t>
        </is>
      </c>
      <c r="AG247" t="n">
        <v>12</v>
      </c>
      <c r="AH247" t="n">
        <v>1</v>
      </c>
      <c r="AI247" t="n">
        <v>0</v>
      </c>
      <c r="AJ247">
        <f>IF($AE247="","",IFERROR(VLOOKUP(TRIM($AE247),DECODE!$H$3:$I$60,2,FALSE),"Rest of India"))</f>
        <v/>
      </c>
      <c r="AK247">
        <f>IF($N247="","",UPPER(TRIM(LEFT($N247&amp;",",FIND(",",$N247&amp;",")-1))))</f>
        <v/>
      </c>
      <c r="AL247">
        <f>IF($AK247="","",MID($AK247,4,FIND("~",SUBSTITUTE($AK247,"-","~",2))-4))</f>
        <v/>
      </c>
      <c r="AM247">
        <f>IF($AK247="","",MID($AK247,FIND("~",SUBSTITUTE($AK247,"-","~",2))+1,FIND("~",SUBSTITUTE($AK247,"-","~",3))-FIND("~",SUBSTITUTE($AK247,"-","~",2))-1))</f>
        <v/>
      </c>
      <c r="AN247">
        <f>IF($AL247="","",IFERROR(VLOOKUP($AL247,DECODE!$A$3:$C$8,3,FALSE),"?"))</f>
        <v/>
      </c>
      <c r="AO247">
        <f>IF($AM247="","",IFERROR(VLOOKUP($AL247&amp;"-"&amp;$AM247,DECODE!$E$3:$F$21,2,FALSE),"?"))</f>
        <v/>
      </c>
      <c r="AP247">
        <f>IF($AK247="","",IFERROR(VALUE(RIGHT($AK247,3)),""))</f>
        <v/>
      </c>
      <c r="AQ247">
        <f>IF($T247="","",IFERROR(IF(ISNUMBER($T247),$T247,DATEVALUE(TRIM($T247))),""))</f>
        <v/>
      </c>
      <c r="AR247">
        <f>IF($AQ247="","",IF(MONTH($AQ247)&gt;=12,"Cold Winter",IF(MONTH($AQ247)&gt;=10,"Post-Monsoon",IF(MONTH($AQ247)&gt;=6,"Hot Humid",IF(MONTH($AQ247)&gt;=3,"Hot Dry","Cold Winter")))))</f>
        <v/>
      </c>
      <c r="AS247">
        <f>IF($AL247="","",IFERROR(VLOOKUP($AL247,DECODE!$A$3:$C$8,2,FALSE),"?"))</f>
        <v/>
      </c>
      <c r="AT247">
        <f>IF($O247="","",UPPER(TRIM(LEFT($O247&amp;",",FIND(",",$O247&amp;",")-1))))</f>
        <v/>
      </c>
      <c r="AU247">
        <f>IF($AT247="","",MID($AT247,4,FIND("~",SUBSTITUTE($AT247,"-","~",2))-4))</f>
        <v/>
      </c>
      <c r="AV247">
        <f>IF($AT247="","",MID($AT247,FIND("~",SUBSTITUTE($AT247,"-","~",2))+1,FIND("~",SUBSTITUTE($AT247,"-","~",3))-FIND("~",SUBSTITUTE($AT247,"-","~",2))-1))</f>
        <v/>
      </c>
      <c r="AW247">
        <f>IF($AU247="","",IFERROR(VLOOKUP($AU247,DECODE!$A$3:$C$8,3,FALSE),"?"))</f>
        <v/>
      </c>
      <c r="AX247">
        <f>IF($AV247="","",IFERROR(VLOOKUP($AU247&amp;"-"&amp;$AV247,DECODE!$E$3:$F$21,2,FALSE),"?"))</f>
        <v/>
      </c>
      <c r="AY247">
        <f>IF($AT247="","",IFERROR(VALUE(RIGHT($AT247,3)),""))</f>
        <v/>
      </c>
      <c r="AZ247">
        <f>IF($U247="","",IFERROR(IF(ISNUMBER($U247),$U247,DATEVALUE(TRIM($U247))),""))</f>
        <v/>
      </c>
      <c r="BA247">
        <f>IF($AZ247="","",IF(MONTH($AZ247)&gt;=12,"Cold Winter",IF(MONTH($AZ247)&gt;=10,"Post-Monsoon",IF(MONTH($AZ247)&gt;=6,"Hot Humid",IF(MONTH($AZ247)&gt;=3,"Hot Dry","Cold Winter")))))</f>
        <v/>
      </c>
      <c r="BB247">
        <f>IF($AU247="","",IFERROR(VLOOKUP($AU247,DECODE!$A$3:$C$8,2,FALSE),"?"))</f>
        <v/>
      </c>
      <c r="BC247">
        <f>IF($P247="","",UPPER(TRIM(LEFT($P247&amp;",",FIND(",",$P247&amp;",")-1))))</f>
        <v/>
      </c>
      <c r="BD247">
        <f>IF($BC247="","",MID($BC247,4,FIND("~",SUBSTITUTE($BC247,"-","~",2))-4))</f>
        <v/>
      </c>
      <c r="BE247">
        <f>IF($BC247="","",MID($BC247,FIND("~",SUBSTITUTE($BC247,"-","~",2))+1,FIND("~",SUBSTITUTE($BC247,"-","~",3))-FIND("~",SUBSTITUTE($BC247,"-","~",2))-1))</f>
        <v/>
      </c>
      <c r="BF247">
        <f>IF($BD247="","",IFERROR(VLOOKUP($BD247,DECODE!$A$3:$C$8,3,FALSE),"?"))</f>
        <v/>
      </c>
      <c r="BG247">
        <f>IF($BE247="","",IFERROR(VLOOKUP($BD247&amp;"-"&amp;$BE247,DECODE!$E$3:$F$21,2,FALSE),"?"))</f>
        <v/>
      </c>
      <c r="BH247">
        <f>IF($BC247="","",IFERROR(VALUE(RIGHT($BC247,3)),""))</f>
        <v/>
      </c>
      <c r="BI247">
        <f>IF($V247="","",IFERROR(IF(ISNUMBER($V247),$V247,DATEVALUE(TRIM($V247))),""))</f>
        <v/>
      </c>
      <c r="BJ247">
        <f>IF($BI247="","",IF(MONTH($BI247)&gt;=12,"Cold Winter",IF(MONTH($BI247)&gt;=10,"Post-Monsoon",IF(MONTH($BI247)&gt;=6,"Hot Humid",IF(MONTH($BI247)&gt;=3,"Hot Dry","Cold Winter")))))</f>
        <v/>
      </c>
      <c r="BK247">
        <f>IF($BD247="","",IFERROR(VLOOKUP($BD247,DECODE!$A$3:$C$8,2,FALSE),"?"))</f>
        <v/>
      </c>
      <c r="BL247">
        <f>IF($Q247="","",UPPER(TRIM(LEFT($Q247&amp;",",FIND(",",$Q247&amp;",")-1))))</f>
        <v/>
      </c>
      <c r="BM247">
        <f>IF($BL247="","",MID($BL247,4,FIND("~",SUBSTITUTE($BL247,"-","~",2))-4))</f>
        <v/>
      </c>
      <c r="BN247">
        <f>IF($BL247="","",MID($BL247,FIND("~",SUBSTITUTE($BL247,"-","~",2))+1,FIND("~",SUBSTITUTE($BL247,"-","~",3))-FIND("~",SUBSTITUTE($BL247,"-","~",2))-1))</f>
        <v/>
      </c>
      <c r="BO247">
        <f>IF($BM247="","",IFERROR(VLOOKUP($BM247,DECODE!$A$3:$C$8,3,FALSE),"?"))</f>
        <v/>
      </c>
      <c r="BP247">
        <f>IF($BN247="","",IFERROR(VLOOKUP($BM247&amp;"-"&amp;$BN247,DECODE!$E$3:$F$21,2,FALSE),"?"))</f>
        <v/>
      </c>
      <c r="BQ247">
        <f>IF($BL247="","",IFERROR(VALUE(RIGHT($BL247,3)),""))</f>
        <v/>
      </c>
      <c r="BR247">
        <f>IF($W247="","",IFERROR(IF(ISNUMBER($W247),$W247,DATEVALUE(TRIM($W247))),""))</f>
        <v/>
      </c>
      <c r="BS247">
        <f>IF($BR247="","",IF(MONTH($BR247)&gt;=12,"Cold Winter",IF(MONTH($BR247)&gt;=10,"Post-Monsoon",IF(MONTH($BR247)&gt;=6,"Hot Humid",IF(MONTH($BR247)&gt;=3,"Hot Dry","Cold Winter")))))</f>
        <v/>
      </c>
      <c r="BT247">
        <f>IF($BM247="","",IFERROR(VLOOKUP($BM247,DECODE!$A$3:$C$8,2,FALSE),"?"))</f>
        <v/>
      </c>
      <c r="BU247">
        <f>IF($R247="","",UPPER(TRIM(LEFT($R247&amp;",",FIND(",",$R247&amp;",")-1))))</f>
        <v/>
      </c>
      <c r="BV247">
        <f>IF($BU247="","",MID($BU247,4,FIND("~",SUBSTITUTE($BU247,"-","~",2))-4))</f>
        <v/>
      </c>
      <c r="BW247">
        <f>IF($BU247="","",MID($BU247,FIND("~",SUBSTITUTE($BU247,"-","~",2))+1,FIND("~",SUBSTITUTE($BU247,"-","~",3))-FIND("~",SUBSTITUTE($BU247,"-","~",2))-1))</f>
        <v/>
      </c>
      <c r="BX247">
        <f>IF($BV247="","",IFERROR(VLOOKUP($BV247,DECODE!$A$3:$C$8,3,FALSE),"?"))</f>
        <v/>
      </c>
      <c r="BY247">
        <f>IF($BW247="","",IFERROR(VLOOKUP($BV247&amp;"-"&amp;$BW247,DECODE!$E$3:$F$21,2,FALSE),"?"))</f>
        <v/>
      </c>
      <c r="BZ247">
        <f>IF($BU247="","",IFERROR(VALUE(RIGHT($BU247,3)),""))</f>
        <v/>
      </c>
      <c r="CA247">
        <f>IF($X247="","",IFERROR(IF(ISNUMBER($X247),$X247,DATEVALUE(TRIM($X247))),""))</f>
        <v/>
      </c>
      <c r="CB247">
        <f>IF($CA247="","",IF(MONTH($CA247)&gt;=12,"Cold Winter",IF(MONTH($CA247)&gt;=10,"Post-Monsoon",IF(MONTH($CA247)&gt;=6,"Hot Humid",IF(MONTH($CA247)&gt;=3,"Hot Dry","Cold Winter")))))</f>
        <v/>
      </c>
      <c r="CC247">
        <f>IF($BV247="","",IFERROR(VLOOKUP($BV247,DECODE!$A$3:$C$8,2,FALSE),"?"))</f>
        <v/>
      </c>
      <c r="CD247">
        <f>IF($S247="","",UPPER(TRIM(LEFT($S247&amp;",",FIND(",",$S247&amp;",")-1))))</f>
        <v/>
      </c>
      <c r="CE247">
        <f>IF($CD247="","",MID($CD247,4,FIND("~",SUBSTITUTE($CD247,"-","~",2))-4))</f>
        <v/>
      </c>
      <c r="CF247">
        <f>IF($CD247="","",MID($CD247,FIND("~",SUBSTITUTE($CD247,"-","~",2))+1,FIND("~",SUBSTITUTE($CD247,"-","~",3))-FIND("~",SUBSTITUTE($CD247,"-","~",2))-1))</f>
        <v/>
      </c>
      <c r="CG247">
        <f>IF($CE247="","",IFERROR(VLOOKUP($CE247,DECODE!$A$3:$C$8,3,FALSE),"?"))</f>
        <v/>
      </c>
      <c r="CH247">
        <f>IF($CF247="","",IFERROR(VLOOKUP($CE247&amp;"-"&amp;$CF247,DECODE!$E$3:$F$21,2,FALSE),"?"))</f>
        <v/>
      </c>
      <c r="CI247">
        <f>IF($CD247="","",IFERROR(VALUE(RIGHT($CD247,3)),""))</f>
        <v/>
      </c>
      <c r="CJ247">
        <f>IF($Y247="","",IFERROR(IF(ISNUMBER($Y247),$Y247,DATEVALUE(TRIM($Y247))),""))</f>
        <v/>
      </c>
      <c r="CK247">
        <f>IF($CJ247="","",IF(MONTH($CJ247)&gt;=12,"Cold Winter",IF(MONTH($CJ247)&gt;=10,"Post-Monsoon",IF(MONTH($CJ247)&gt;=6,"Hot Humid",IF(MONTH($CJ247)&gt;=3,"Hot Dry","Cold Winter")))))</f>
        <v/>
      </c>
      <c r="CL247">
        <f>IF($CE247="","",IFERROR(VLOOKUP($CE247,DECODE!$A$3:$C$8,2,FALSE),"?"))</f>
        <v/>
      </c>
      <c r="CM247">
        <f>IF($AN247="","",AN247)</f>
        <v/>
      </c>
      <c r="CN247">
        <f>IF($AO247="","",AO247)</f>
        <v/>
      </c>
      <c r="CO247">
        <f>IF($AP247="","",AP247)</f>
        <v/>
      </c>
      <c r="CP247">
        <f>IF($CM247="","",IF($CM247="Aloe Vera Gel","Aloe Vera Gel "&amp;$CO247&amp;"g",CN247&amp;" "&amp;$CO247&amp;"g"))</f>
        <v/>
      </c>
      <c r="CQ247">
        <f>IF($AT247="",0,1)</f>
        <v/>
      </c>
      <c r="CR247">
        <f>IF($CQ247=0,"",AW247)</f>
        <v/>
      </c>
      <c r="CS247">
        <f>IF($CQ247=0,"",AX247)</f>
        <v/>
      </c>
      <c r="CT247">
        <f>IF($CQ247=0,"",AY247)</f>
        <v/>
      </c>
      <c r="CU247">
        <f>IF($CR247="","",IF($CR247="Aloe Vera Gel","Aloe Vera Gel "&amp;$CT247&amp;"g",CS247&amp;" "&amp;$CT247&amp;"g"))</f>
        <v/>
      </c>
      <c r="CV247">
        <f>IF($CQ247=0,"",IF($CP247=$CU247,"Repeat Exact",IF($CT247&gt;$CO247,"Upsized",IF($CT247&lt;$CO247,"Downsized",IF($CM247&lt;&gt;$CR247,"Lateral","Same Size Diff Variant")))))</f>
        <v/>
      </c>
      <c r="CW247">
        <f>IF($CQ247=0,"",AZ247-AQ247)</f>
        <v/>
      </c>
      <c r="CX247">
        <f>IF($CQ247=0,0,IF(CS247=CN247,1,0))</f>
        <v/>
      </c>
      <c r="CY247">
        <f>IF($CQ247=0,0,IF(CR247=CM247,1,0))</f>
        <v/>
      </c>
      <c r="CZ247">
        <f>IF($A247="","",IF(AND(IF(DASHBOARD!$C$4="All",TRUE,$CM247=DASHBOARD!$C$4),IF(DASHBOARD!$C$6="All",TRUE,$CP247=DASHBOARD!$C$6),IF(DASHBOARD!$C$8="All",TRUE,$AF247&gt;=DASHBOARD!$C$8),IF(DASHBOARD!$C$10="All",TRUE,$AF247&lt;=DASHBOARD!$C$10),IF(DASHBOARD!$C$12="All",TRUE,$AH247=VALUE(DASHBOARD!$C$12)),IF(DASHBOARD!$C$14="All",TRUE,$AJ247=DASHBOARD!$C$14)),1,0))</f>
        <v/>
      </c>
    </row>
    <row r="248">
      <c r="A248" t="n">
        <v>148298</v>
      </c>
      <c r="B248" t="inlineStr">
        <is>
          <t>Face Malai</t>
        </is>
      </c>
      <c r="C248" t="inlineStr">
        <is>
          <t>Face Malai</t>
        </is>
      </c>
      <c r="H248" t="inlineStr">
        <is>
          <t>Turmeric Nutmeg (Pigmentation)  Face Malai - 30g</t>
        </is>
      </c>
      <c r="I248" t="inlineStr">
        <is>
          <t>Turmeric Nutmeg (Pigmentation)  Face Malai - 30g</t>
        </is>
      </c>
      <c r="N248" t="inlineStr">
        <is>
          <t>FC-DM-PG-030</t>
        </is>
      </c>
      <c r="O248" t="inlineStr">
        <is>
          <t>FC-DM-PG-030</t>
        </is>
      </c>
      <c r="T248" t="inlineStr">
        <is>
          <t>May 22, 2025</t>
        </is>
      </c>
      <c r="U248" t="inlineStr">
        <is>
          <t>Mar 19, 2026</t>
        </is>
      </c>
      <c r="Z248" t="n">
        <v>301</v>
      </c>
      <c r="AE248" t="inlineStr">
        <is>
          <t>Mumbai</t>
        </is>
      </c>
      <c r="AF248" t="inlineStr">
        <is>
          <t>2025-05</t>
        </is>
      </c>
      <c r="AG248" t="n">
        <v>5</v>
      </c>
      <c r="AH248" t="n">
        <v>2</v>
      </c>
      <c r="AI248" t="n">
        <v>1</v>
      </c>
      <c r="AJ248">
        <f>IF($AE248="","",IFERROR(VLOOKUP(TRIM($AE248),DECODE!$H$3:$I$60,2,FALSE),"Rest of India"))</f>
        <v/>
      </c>
      <c r="AK248">
        <f>IF($N248="","",UPPER(TRIM(LEFT($N248&amp;",",FIND(",",$N248&amp;",")-1))))</f>
        <v/>
      </c>
      <c r="AL248">
        <f>IF($AK248="","",MID($AK248,4,FIND("~",SUBSTITUTE($AK248,"-","~",2))-4))</f>
        <v/>
      </c>
      <c r="AM248">
        <f>IF($AK248="","",MID($AK248,FIND("~",SUBSTITUTE($AK248,"-","~",2))+1,FIND("~",SUBSTITUTE($AK248,"-","~",3))-FIND("~",SUBSTITUTE($AK248,"-","~",2))-1))</f>
        <v/>
      </c>
      <c r="AN248">
        <f>IF($AL248="","",IFERROR(VLOOKUP($AL248,DECODE!$A$3:$C$8,3,FALSE),"?"))</f>
        <v/>
      </c>
      <c r="AO248">
        <f>IF($AM248="","",IFERROR(VLOOKUP($AL248&amp;"-"&amp;$AM248,DECODE!$E$3:$F$21,2,FALSE),"?"))</f>
        <v/>
      </c>
      <c r="AP248">
        <f>IF($AK248="","",IFERROR(VALUE(RIGHT($AK248,3)),""))</f>
        <v/>
      </c>
      <c r="AQ248">
        <f>IF($T248="","",IFERROR(IF(ISNUMBER($T248),$T248,DATEVALUE(TRIM($T248))),""))</f>
        <v/>
      </c>
      <c r="AR248">
        <f>IF($AQ248="","",IF(MONTH($AQ248)&gt;=12,"Cold Winter",IF(MONTH($AQ248)&gt;=10,"Post-Monsoon",IF(MONTH($AQ248)&gt;=6,"Hot Humid",IF(MONTH($AQ248)&gt;=3,"Hot Dry","Cold Winter")))))</f>
        <v/>
      </c>
      <c r="AS248">
        <f>IF($AL248="","",IFERROR(VLOOKUP($AL248,DECODE!$A$3:$C$8,2,FALSE),"?"))</f>
        <v/>
      </c>
      <c r="AT248">
        <f>IF($O248="","",UPPER(TRIM(LEFT($O248&amp;",",FIND(",",$O248&amp;",")-1))))</f>
        <v/>
      </c>
      <c r="AU248">
        <f>IF($AT248="","",MID($AT248,4,FIND("~",SUBSTITUTE($AT248,"-","~",2))-4))</f>
        <v/>
      </c>
      <c r="AV248">
        <f>IF($AT248="","",MID($AT248,FIND("~",SUBSTITUTE($AT248,"-","~",2))+1,FIND("~",SUBSTITUTE($AT248,"-","~",3))-FIND("~",SUBSTITUTE($AT248,"-","~",2))-1))</f>
        <v/>
      </c>
      <c r="AW248">
        <f>IF($AU248="","",IFERROR(VLOOKUP($AU248,DECODE!$A$3:$C$8,3,FALSE),"?"))</f>
        <v/>
      </c>
      <c r="AX248">
        <f>IF($AV248="","",IFERROR(VLOOKUP($AU248&amp;"-"&amp;$AV248,DECODE!$E$3:$F$21,2,FALSE),"?"))</f>
        <v/>
      </c>
      <c r="AY248">
        <f>IF($AT248="","",IFERROR(VALUE(RIGHT($AT248,3)),""))</f>
        <v/>
      </c>
      <c r="AZ248">
        <f>IF($U248="","",IFERROR(IF(ISNUMBER($U248),$U248,DATEVALUE(TRIM($U248))),""))</f>
        <v/>
      </c>
      <c r="BA248">
        <f>IF($AZ248="","",IF(MONTH($AZ248)&gt;=12,"Cold Winter",IF(MONTH($AZ248)&gt;=10,"Post-Monsoon",IF(MONTH($AZ248)&gt;=6,"Hot Humid",IF(MONTH($AZ248)&gt;=3,"Hot Dry","Cold Winter")))))</f>
        <v/>
      </c>
      <c r="BB248">
        <f>IF($AU248="","",IFERROR(VLOOKUP($AU248,DECODE!$A$3:$C$8,2,FALSE),"?"))</f>
        <v/>
      </c>
      <c r="BC248">
        <f>IF($P248="","",UPPER(TRIM(LEFT($P248&amp;",",FIND(",",$P248&amp;",")-1))))</f>
        <v/>
      </c>
      <c r="BD248">
        <f>IF($BC248="","",MID($BC248,4,FIND("~",SUBSTITUTE($BC248,"-","~",2))-4))</f>
        <v/>
      </c>
      <c r="BE248">
        <f>IF($BC248="","",MID($BC248,FIND("~",SUBSTITUTE($BC248,"-","~",2))+1,FIND("~",SUBSTITUTE($BC248,"-","~",3))-FIND("~",SUBSTITUTE($BC248,"-","~",2))-1))</f>
        <v/>
      </c>
      <c r="BF248">
        <f>IF($BD248="","",IFERROR(VLOOKUP($BD248,DECODE!$A$3:$C$8,3,FALSE),"?"))</f>
        <v/>
      </c>
      <c r="BG248">
        <f>IF($BE248="","",IFERROR(VLOOKUP($BD248&amp;"-"&amp;$BE248,DECODE!$E$3:$F$21,2,FALSE),"?"))</f>
        <v/>
      </c>
      <c r="BH248">
        <f>IF($BC248="","",IFERROR(VALUE(RIGHT($BC248,3)),""))</f>
        <v/>
      </c>
      <c r="BI248">
        <f>IF($V248="","",IFERROR(IF(ISNUMBER($V248),$V248,DATEVALUE(TRIM($V248))),""))</f>
        <v/>
      </c>
      <c r="BJ248">
        <f>IF($BI248="","",IF(MONTH($BI248)&gt;=12,"Cold Winter",IF(MONTH($BI248)&gt;=10,"Post-Monsoon",IF(MONTH($BI248)&gt;=6,"Hot Humid",IF(MONTH($BI248)&gt;=3,"Hot Dry","Cold Winter")))))</f>
        <v/>
      </c>
      <c r="BK248">
        <f>IF($BD248="","",IFERROR(VLOOKUP($BD248,DECODE!$A$3:$C$8,2,FALSE),"?"))</f>
        <v/>
      </c>
      <c r="BL248">
        <f>IF($Q248="","",UPPER(TRIM(LEFT($Q248&amp;",",FIND(",",$Q248&amp;",")-1))))</f>
        <v/>
      </c>
      <c r="BM248">
        <f>IF($BL248="","",MID($BL248,4,FIND("~",SUBSTITUTE($BL248,"-","~",2))-4))</f>
        <v/>
      </c>
      <c r="BN248">
        <f>IF($BL248="","",MID($BL248,FIND("~",SUBSTITUTE($BL248,"-","~",2))+1,FIND("~",SUBSTITUTE($BL248,"-","~",3))-FIND("~",SUBSTITUTE($BL248,"-","~",2))-1))</f>
        <v/>
      </c>
      <c r="BO248">
        <f>IF($BM248="","",IFERROR(VLOOKUP($BM248,DECODE!$A$3:$C$8,3,FALSE),"?"))</f>
        <v/>
      </c>
      <c r="BP248">
        <f>IF($BN248="","",IFERROR(VLOOKUP($BM248&amp;"-"&amp;$BN248,DECODE!$E$3:$F$21,2,FALSE),"?"))</f>
        <v/>
      </c>
      <c r="BQ248">
        <f>IF($BL248="","",IFERROR(VALUE(RIGHT($BL248,3)),""))</f>
        <v/>
      </c>
      <c r="BR248">
        <f>IF($W248="","",IFERROR(IF(ISNUMBER($W248),$W248,DATEVALUE(TRIM($W248))),""))</f>
        <v/>
      </c>
      <c r="BS248">
        <f>IF($BR248="","",IF(MONTH($BR248)&gt;=12,"Cold Winter",IF(MONTH($BR248)&gt;=10,"Post-Monsoon",IF(MONTH($BR248)&gt;=6,"Hot Humid",IF(MONTH($BR248)&gt;=3,"Hot Dry","Cold Winter")))))</f>
        <v/>
      </c>
      <c r="BT248">
        <f>IF($BM248="","",IFERROR(VLOOKUP($BM248,DECODE!$A$3:$C$8,2,FALSE),"?"))</f>
        <v/>
      </c>
      <c r="BU248">
        <f>IF($R248="","",UPPER(TRIM(LEFT($R248&amp;",",FIND(",",$R248&amp;",")-1))))</f>
        <v/>
      </c>
      <c r="BV248">
        <f>IF($BU248="","",MID($BU248,4,FIND("~",SUBSTITUTE($BU248,"-","~",2))-4))</f>
        <v/>
      </c>
      <c r="BW248">
        <f>IF($BU248="","",MID($BU248,FIND("~",SUBSTITUTE($BU248,"-","~",2))+1,FIND("~",SUBSTITUTE($BU248,"-","~",3))-FIND("~",SUBSTITUTE($BU248,"-","~",2))-1))</f>
        <v/>
      </c>
      <c r="BX248">
        <f>IF($BV248="","",IFERROR(VLOOKUP($BV248,DECODE!$A$3:$C$8,3,FALSE),"?"))</f>
        <v/>
      </c>
      <c r="BY248">
        <f>IF($BW248="","",IFERROR(VLOOKUP($BV248&amp;"-"&amp;$BW248,DECODE!$E$3:$F$21,2,FALSE),"?"))</f>
        <v/>
      </c>
      <c r="BZ248">
        <f>IF($BU248="","",IFERROR(VALUE(RIGHT($BU248,3)),""))</f>
        <v/>
      </c>
      <c r="CA248">
        <f>IF($X248="","",IFERROR(IF(ISNUMBER($X248),$X248,DATEVALUE(TRIM($X248))),""))</f>
        <v/>
      </c>
      <c r="CB248">
        <f>IF($CA248="","",IF(MONTH($CA248)&gt;=12,"Cold Winter",IF(MONTH($CA248)&gt;=10,"Post-Monsoon",IF(MONTH($CA248)&gt;=6,"Hot Humid",IF(MONTH($CA248)&gt;=3,"Hot Dry","Cold Winter")))))</f>
        <v/>
      </c>
      <c r="CC248">
        <f>IF($BV248="","",IFERROR(VLOOKUP($BV248,DECODE!$A$3:$C$8,2,FALSE),"?"))</f>
        <v/>
      </c>
      <c r="CD248">
        <f>IF($S248="","",UPPER(TRIM(LEFT($S248&amp;",",FIND(",",$S248&amp;",")-1))))</f>
        <v/>
      </c>
      <c r="CE248">
        <f>IF($CD248="","",MID($CD248,4,FIND("~",SUBSTITUTE($CD248,"-","~",2))-4))</f>
        <v/>
      </c>
      <c r="CF248">
        <f>IF($CD248="","",MID($CD248,FIND("~",SUBSTITUTE($CD248,"-","~",2))+1,FIND("~",SUBSTITUTE($CD248,"-","~",3))-FIND("~",SUBSTITUTE($CD248,"-","~",2))-1))</f>
        <v/>
      </c>
      <c r="CG248">
        <f>IF($CE248="","",IFERROR(VLOOKUP($CE248,DECODE!$A$3:$C$8,3,FALSE),"?"))</f>
        <v/>
      </c>
      <c r="CH248">
        <f>IF($CF248="","",IFERROR(VLOOKUP($CE248&amp;"-"&amp;$CF248,DECODE!$E$3:$F$21,2,FALSE),"?"))</f>
        <v/>
      </c>
      <c r="CI248">
        <f>IF($CD248="","",IFERROR(VALUE(RIGHT($CD248,3)),""))</f>
        <v/>
      </c>
      <c r="CJ248">
        <f>IF($Y248="","",IFERROR(IF(ISNUMBER($Y248),$Y248,DATEVALUE(TRIM($Y248))),""))</f>
        <v/>
      </c>
      <c r="CK248">
        <f>IF($CJ248="","",IF(MONTH($CJ248)&gt;=12,"Cold Winter",IF(MONTH($CJ248)&gt;=10,"Post-Monsoon",IF(MONTH($CJ248)&gt;=6,"Hot Humid",IF(MONTH($CJ248)&gt;=3,"Hot Dry","Cold Winter")))))</f>
        <v/>
      </c>
      <c r="CL248">
        <f>IF($CE248="","",IFERROR(VLOOKUP($CE248,DECODE!$A$3:$C$8,2,FALSE),"?"))</f>
        <v/>
      </c>
      <c r="CM248">
        <f>IF($AN248="","",AN248)</f>
        <v/>
      </c>
      <c r="CN248">
        <f>IF($AO248="","",AO248)</f>
        <v/>
      </c>
      <c r="CO248">
        <f>IF($AP248="","",AP248)</f>
        <v/>
      </c>
      <c r="CP248">
        <f>IF($CM248="","",IF($CM248="Aloe Vera Gel","Aloe Vera Gel "&amp;$CO248&amp;"g",CN248&amp;" "&amp;$CO248&amp;"g"))</f>
        <v/>
      </c>
      <c r="CQ248">
        <f>IF($AT248="",0,1)</f>
        <v/>
      </c>
      <c r="CR248">
        <f>IF($CQ248=0,"",AW248)</f>
        <v/>
      </c>
      <c r="CS248">
        <f>IF($CQ248=0,"",AX248)</f>
        <v/>
      </c>
      <c r="CT248">
        <f>IF($CQ248=0,"",AY248)</f>
        <v/>
      </c>
      <c r="CU248">
        <f>IF($CR248="","",IF($CR248="Aloe Vera Gel","Aloe Vera Gel "&amp;$CT248&amp;"g",CS248&amp;" "&amp;$CT248&amp;"g"))</f>
        <v/>
      </c>
      <c r="CV248">
        <f>IF($CQ248=0,"",IF($CP248=$CU248,"Repeat Exact",IF($CT248&gt;$CO248,"Upsized",IF($CT248&lt;$CO248,"Downsized",IF($CM248&lt;&gt;$CR248,"Lateral","Same Size Diff Variant")))))</f>
        <v/>
      </c>
      <c r="CW248">
        <f>IF($CQ248=0,"",AZ248-AQ248)</f>
        <v/>
      </c>
      <c r="CX248">
        <f>IF($CQ248=0,0,IF(CS248=CN248,1,0))</f>
        <v/>
      </c>
      <c r="CY248">
        <f>IF($CQ248=0,0,IF(CR248=CM248,1,0))</f>
        <v/>
      </c>
      <c r="CZ248">
        <f>IF($A248="","",IF(AND(IF(DASHBOARD!$C$4="All",TRUE,$CM248=DASHBOARD!$C$4),IF(DASHBOARD!$C$6="All",TRUE,$CP248=DASHBOARD!$C$6),IF(DASHBOARD!$C$8="All",TRUE,$AF248&gt;=DASHBOARD!$C$8),IF(DASHBOARD!$C$10="All",TRUE,$AF248&lt;=DASHBOARD!$C$10),IF(DASHBOARD!$C$12="All",TRUE,$AH248=VALUE(DASHBOARD!$C$12)),IF(DASHBOARD!$C$14="All",TRUE,$AJ248=DASHBOARD!$C$14)),1,0))</f>
        <v/>
      </c>
    </row>
    <row r="249">
      <c r="A249" t="n">
        <v>148996</v>
      </c>
      <c r="B249" t="inlineStr">
        <is>
          <t>Aloe Vera Gel</t>
        </is>
      </c>
      <c r="H249" t="inlineStr">
        <is>
          <t>Aloe Vera Gel - 40 gms</t>
        </is>
      </c>
      <c r="N249" t="inlineStr">
        <is>
          <t>FC-HG-PA-040</t>
        </is>
      </c>
      <c r="T249" t="inlineStr">
        <is>
          <t>Feb 9, 2024</t>
        </is>
      </c>
      <c r="AE249" t="inlineStr">
        <is>
          <t>Hyderabad</t>
        </is>
      </c>
      <c r="AF249" t="inlineStr">
        <is>
          <t>2024-02</t>
        </is>
      </c>
      <c r="AG249" t="n">
        <v>2</v>
      </c>
      <c r="AH249" t="n">
        <v>1</v>
      </c>
      <c r="AI249" t="n">
        <v>0</v>
      </c>
      <c r="AJ249">
        <f>IF($AE249="","",IFERROR(VLOOKUP(TRIM($AE249),DECODE!$H$3:$I$60,2,FALSE),"Rest of India"))</f>
        <v/>
      </c>
      <c r="AK249">
        <f>IF($N249="","",UPPER(TRIM(LEFT($N249&amp;",",FIND(",",$N249&amp;",")-1))))</f>
        <v/>
      </c>
      <c r="AL249">
        <f>IF($AK249="","",MID($AK249,4,FIND("~",SUBSTITUTE($AK249,"-","~",2))-4))</f>
        <v/>
      </c>
      <c r="AM249">
        <f>IF($AK249="","",MID($AK249,FIND("~",SUBSTITUTE($AK249,"-","~",2))+1,FIND("~",SUBSTITUTE($AK249,"-","~",3))-FIND("~",SUBSTITUTE($AK249,"-","~",2))-1))</f>
        <v/>
      </c>
      <c r="AN249">
        <f>IF($AL249="","",IFERROR(VLOOKUP($AL249,DECODE!$A$3:$C$8,3,FALSE),"?"))</f>
        <v/>
      </c>
      <c r="AO249">
        <f>IF($AM249="","",IFERROR(VLOOKUP($AL249&amp;"-"&amp;$AM249,DECODE!$E$3:$F$21,2,FALSE),"?"))</f>
        <v/>
      </c>
      <c r="AP249">
        <f>IF($AK249="","",IFERROR(VALUE(RIGHT($AK249,3)),""))</f>
        <v/>
      </c>
      <c r="AQ249">
        <f>IF($T249="","",IFERROR(IF(ISNUMBER($T249),$T249,DATEVALUE(TRIM($T249))),""))</f>
        <v/>
      </c>
      <c r="AR249">
        <f>IF($AQ249="","",IF(MONTH($AQ249)&gt;=12,"Cold Winter",IF(MONTH($AQ249)&gt;=10,"Post-Monsoon",IF(MONTH($AQ249)&gt;=6,"Hot Humid",IF(MONTH($AQ249)&gt;=3,"Hot Dry","Cold Winter")))))</f>
        <v/>
      </c>
      <c r="AS249">
        <f>IF($AL249="","",IFERROR(VLOOKUP($AL249,DECODE!$A$3:$C$8,2,FALSE),"?"))</f>
        <v/>
      </c>
      <c r="AT249">
        <f>IF($O249="","",UPPER(TRIM(LEFT($O249&amp;",",FIND(",",$O249&amp;",")-1))))</f>
        <v/>
      </c>
      <c r="AU249">
        <f>IF($AT249="","",MID($AT249,4,FIND("~",SUBSTITUTE($AT249,"-","~",2))-4))</f>
        <v/>
      </c>
      <c r="AV249">
        <f>IF($AT249="","",MID($AT249,FIND("~",SUBSTITUTE($AT249,"-","~",2))+1,FIND("~",SUBSTITUTE($AT249,"-","~",3))-FIND("~",SUBSTITUTE($AT249,"-","~",2))-1))</f>
        <v/>
      </c>
      <c r="AW249">
        <f>IF($AU249="","",IFERROR(VLOOKUP($AU249,DECODE!$A$3:$C$8,3,FALSE),"?"))</f>
        <v/>
      </c>
      <c r="AX249">
        <f>IF($AV249="","",IFERROR(VLOOKUP($AU249&amp;"-"&amp;$AV249,DECODE!$E$3:$F$21,2,FALSE),"?"))</f>
        <v/>
      </c>
      <c r="AY249">
        <f>IF($AT249="","",IFERROR(VALUE(RIGHT($AT249,3)),""))</f>
        <v/>
      </c>
      <c r="AZ249">
        <f>IF($U249="","",IFERROR(IF(ISNUMBER($U249),$U249,DATEVALUE(TRIM($U249))),""))</f>
        <v/>
      </c>
      <c r="BA249">
        <f>IF($AZ249="","",IF(MONTH($AZ249)&gt;=12,"Cold Winter",IF(MONTH($AZ249)&gt;=10,"Post-Monsoon",IF(MONTH($AZ249)&gt;=6,"Hot Humid",IF(MONTH($AZ249)&gt;=3,"Hot Dry","Cold Winter")))))</f>
        <v/>
      </c>
      <c r="BB249">
        <f>IF($AU249="","",IFERROR(VLOOKUP($AU249,DECODE!$A$3:$C$8,2,FALSE),"?"))</f>
        <v/>
      </c>
      <c r="BC249">
        <f>IF($P249="","",UPPER(TRIM(LEFT($P249&amp;",",FIND(",",$P249&amp;",")-1))))</f>
        <v/>
      </c>
      <c r="BD249">
        <f>IF($BC249="","",MID($BC249,4,FIND("~",SUBSTITUTE($BC249,"-","~",2))-4))</f>
        <v/>
      </c>
      <c r="BE249">
        <f>IF($BC249="","",MID($BC249,FIND("~",SUBSTITUTE($BC249,"-","~",2))+1,FIND("~",SUBSTITUTE($BC249,"-","~",3))-FIND("~",SUBSTITUTE($BC249,"-","~",2))-1))</f>
        <v/>
      </c>
      <c r="BF249">
        <f>IF($BD249="","",IFERROR(VLOOKUP($BD249,DECODE!$A$3:$C$8,3,FALSE),"?"))</f>
        <v/>
      </c>
      <c r="BG249">
        <f>IF($BE249="","",IFERROR(VLOOKUP($BD249&amp;"-"&amp;$BE249,DECODE!$E$3:$F$21,2,FALSE),"?"))</f>
        <v/>
      </c>
      <c r="BH249">
        <f>IF($BC249="","",IFERROR(VALUE(RIGHT($BC249,3)),""))</f>
        <v/>
      </c>
      <c r="BI249">
        <f>IF($V249="","",IFERROR(IF(ISNUMBER($V249),$V249,DATEVALUE(TRIM($V249))),""))</f>
        <v/>
      </c>
      <c r="BJ249">
        <f>IF($BI249="","",IF(MONTH($BI249)&gt;=12,"Cold Winter",IF(MONTH($BI249)&gt;=10,"Post-Monsoon",IF(MONTH($BI249)&gt;=6,"Hot Humid",IF(MONTH($BI249)&gt;=3,"Hot Dry","Cold Winter")))))</f>
        <v/>
      </c>
      <c r="BK249">
        <f>IF($BD249="","",IFERROR(VLOOKUP($BD249,DECODE!$A$3:$C$8,2,FALSE),"?"))</f>
        <v/>
      </c>
      <c r="BL249">
        <f>IF($Q249="","",UPPER(TRIM(LEFT($Q249&amp;",",FIND(",",$Q249&amp;",")-1))))</f>
        <v/>
      </c>
      <c r="BM249">
        <f>IF($BL249="","",MID($BL249,4,FIND("~",SUBSTITUTE($BL249,"-","~",2))-4))</f>
        <v/>
      </c>
      <c r="BN249">
        <f>IF($BL249="","",MID($BL249,FIND("~",SUBSTITUTE($BL249,"-","~",2))+1,FIND("~",SUBSTITUTE($BL249,"-","~",3))-FIND("~",SUBSTITUTE($BL249,"-","~",2))-1))</f>
        <v/>
      </c>
      <c r="BO249">
        <f>IF($BM249="","",IFERROR(VLOOKUP($BM249,DECODE!$A$3:$C$8,3,FALSE),"?"))</f>
        <v/>
      </c>
      <c r="BP249">
        <f>IF($BN249="","",IFERROR(VLOOKUP($BM249&amp;"-"&amp;$BN249,DECODE!$E$3:$F$21,2,FALSE),"?"))</f>
        <v/>
      </c>
      <c r="BQ249">
        <f>IF($BL249="","",IFERROR(VALUE(RIGHT($BL249,3)),""))</f>
        <v/>
      </c>
      <c r="BR249">
        <f>IF($W249="","",IFERROR(IF(ISNUMBER($W249),$W249,DATEVALUE(TRIM($W249))),""))</f>
        <v/>
      </c>
      <c r="BS249">
        <f>IF($BR249="","",IF(MONTH($BR249)&gt;=12,"Cold Winter",IF(MONTH($BR249)&gt;=10,"Post-Monsoon",IF(MONTH($BR249)&gt;=6,"Hot Humid",IF(MONTH($BR249)&gt;=3,"Hot Dry","Cold Winter")))))</f>
        <v/>
      </c>
      <c r="BT249">
        <f>IF($BM249="","",IFERROR(VLOOKUP($BM249,DECODE!$A$3:$C$8,2,FALSE),"?"))</f>
        <v/>
      </c>
      <c r="BU249">
        <f>IF($R249="","",UPPER(TRIM(LEFT($R249&amp;",",FIND(",",$R249&amp;",")-1))))</f>
        <v/>
      </c>
      <c r="BV249">
        <f>IF($BU249="","",MID($BU249,4,FIND("~",SUBSTITUTE($BU249,"-","~",2))-4))</f>
        <v/>
      </c>
      <c r="BW249">
        <f>IF($BU249="","",MID($BU249,FIND("~",SUBSTITUTE($BU249,"-","~",2))+1,FIND("~",SUBSTITUTE($BU249,"-","~",3))-FIND("~",SUBSTITUTE($BU249,"-","~",2))-1))</f>
        <v/>
      </c>
      <c r="BX249">
        <f>IF($BV249="","",IFERROR(VLOOKUP($BV249,DECODE!$A$3:$C$8,3,FALSE),"?"))</f>
        <v/>
      </c>
      <c r="BY249">
        <f>IF($BW249="","",IFERROR(VLOOKUP($BV249&amp;"-"&amp;$BW249,DECODE!$E$3:$F$21,2,FALSE),"?"))</f>
        <v/>
      </c>
      <c r="BZ249">
        <f>IF($BU249="","",IFERROR(VALUE(RIGHT($BU249,3)),""))</f>
        <v/>
      </c>
      <c r="CA249">
        <f>IF($X249="","",IFERROR(IF(ISNUMBER($X249),$X249,DATEVALUE(TRIM($X249))),""))</f>
        <v/>
      </c>
      <c r="CB249">
        <f>IF($CA249="","",IF(MONTH($CA249)&gt;=12,"Cold Winter",IF(MONTH($CA249)&gt;=10,"Post-Monsoon",IF(MONTH($CA249)&gt;=6,"Hot Humid",IF(MONTH($CA249)&gt;=3,"Hot Dry","Cold Winter")))))</f>
        <v/>
      </c>
      <c r="CC249">
        <f>IF($BV249="","",IFERROR(VLOOKUP($BV249,DECODE!$A$3:$C$8,2,FALSE),"?"))</f>
        <v/>
      </c>
      <c r="CD249">
        <f>IF($S249="","",UPPER(TRIM(LEFT($S249&amp;",",FIND(",",$S249&amp;",")-1))))</f>
        <v/>
      </c>
      <c r="CE249">
        <f>IF($CD249="","",MID($CD249,4,FIND("~",SUBSTITUTE($CD249,"-","~",2))-4))</f>
        <v/>
      </c>
      <c r="CF249">
        <f>IF($CD249="","",MID($CD249,FIND("~",SUBSTITUTE($CD249,"-","~",2))+1,FIND("~",SUBSTITUTE($CD249,"-","~",3))-FIND("~",SUBSTITUTE($CD249,"-","~",2))-1))</f>
        <v/>
      </c>
      <c r="CG249">
        <f>IF($CE249="","",IFERROR(VLOOKUP($CE249,DECODE!$A$3:$C$8,3,FALSE),"?"))</f>
        <v/>
      </c>
      <c r="CH249">
        <f>IF($CF249="","",IFERROR(VLOOKUP($CE249&amp;"-"&amp;$CF249,DECODE!$E$3:$F$21,2,FALSE),"?"))</f>
        <v/>
      </c>
      <c r="CI249">
        <f>IF($CD249="","",IFERROR(VALUE(RIGHT($CD249,3)),""))</f>
        <v/>
      </c>
      <c r="CJ249">
        <f>IF($Y249="","",IFERROR(IF(ISNUMBER($Y249),$Y249,DATEVALUE(TRIM($Y249))),""))</f>
        <v/>
      </c>
      <c r="CK249">
        <f>IF($CJ249="","",IF(MONTH($CJ249)&gt;=12,"Cold Winter",IF(MONTH($CJ249)&gt;=10,"Post-Monsoon",IF(MONTH($CJ249)&gt;=6,"Hot Humid",IF(MONTH($CJ249)&gt;=3,"Hot Dry","Cold Winter")))))</f>
        <v/>
      </c>
      <c r="CL249">
        <f>IF($CE249="","",IFERROR(VLOOKUP($CE249,DECODE!$A$3:$C$8,2,FALSE),"?"))</f>
        <v/>
      </c>
      <c r="CM249">
        <f>IF($AN249="","",AN249)</f>
        <v/>
      </c>
      <c r="CN249">
        <f>IF($AO249="","",AO249)</f>
        <v/>
      </c>
      <c r="CO249">
        <f>IF($AP249="","",AP249)</f>
        <v/>
      </c>
      <c r="CP249">
        <f>IF($CM249="","",IF($CM249="Aloe Vera Gel","Aloe Vera Gel "&amp;$CO249&amp;"g",CN249&amp;" "&amp;$CO249&amp;"g"))</f>
        <v/>
      </c>
      <c r="CQ249">
        <f>IF($AT249="",0,1)</f>
        <v/>
      </c>
      <c r="CR249">
        <f>IF($CQ249=0,"",AW249)</f>
        <v/>
      </c>
      <c r="CS249">
        <f>IF($CQ249=0,"",AX249)</f>
        <v/>
      </c>
      <c r="CT249">
        <f>IF($CQ249=0,"",AY249)</f>
        <v/>
      </c>
      <c r="CU249">
        <f>IF($CR249="","",IF($CR249="Aloe Vera Gel","Aloe Vera Gel "&amp;$CT249&amp;"g",CS249&amp;" "&amp;$CT249&amp;"g"))</f>
        <v/>
      </c>
      <c r="CV249">
        <f>IF($CQ249=0,"",IF($CP249=$CU249,"Repeat Exact",IF($CT249&gt;$CO249,"Upsized",IF($CT249&lt;$CO249,"Downsized",IF($CM249&lt;&gt;$CR249,"Lateral","Same Size Diff Variant")))))</f>
        <v/>
      </c>
      <c r="CW249">
        <f>IF($CQ249=0,"",AZ249-AQ249)</f>
        <v/>
      </c>
      <c r="CX249">
        <f>IF($CQ249=0,0,IF(CS249=CN249,1,0))</f>
        <v/>
      </c>
      <c r="CY249">
        <f>IF($CQ249=0,0,IF(CR249=CM249,1,0))</f>
        <v/>
      </c>
      <c r="CZ249">
        <f>IF($A249="","",IF(AND(IF(DASHBOARD!$C$4="All",TRUE,$CM249=DASHBOARD!$C$4),IF(DASHBOARD!$C$6="All",TRUE,$CP249=DASHBOARD!$C$6),IF(DASHBOARD!$C$8="All",TRUE,$AF249&gt;=DASHBOARD!$C$8),IF(DASHBOARD!$C$10="All",TRUE,$AF249&lt;=DASHBOARD!$C$10),IF(DASHBOARD!$C$12="All",TRUE,$AH249=VALUE(DASHBOARD!$C$12)),IF(DASHBOARD!$C$14="All",TRUE,$AJ249=DASHBOARD!$C$14)),1,0))</f>
        <v/>
      </c>
    </row>
    <row r="250">
      <c r="A250" t="n">
        <v>149356</v>
      </c>
      <c r="B250" t="inlineStr">
        <is>
          <t>Face Malai</t>
        </is>
      </c>
      <c r="H250" t="inlineStr">
        <is>
          <t>Turmeric Nutmeg (Pigmentation)  Face Malai - 30g</t>
        </is>
      </c>
      <c r="N250" t="inlineStr">
        <is>
          <t>FC-DM-PG-030</t>
        </is>
      </c>
      <c r="T250" t="inlineStr">
        <is>
          <t>Jul 30, 2025</t>
        </is>
      </c>
      <c r="AE250" t="inlineStr">
        <is>
          <t>Mumbai</t>
        </is>
      </c>
      <c r="AF250" t="inlineStr">
        <is>
          <t>2025-07</t>
        </is>
      </c>
      <c r="AG250" t="n">
        <v>7</v>
      </c>
      <c r="AH250" t="n">
        <v>1</v>
      </c>
      <c r="AI250" t="n">
        <v>0</v>
      </c>
      <c r="AJ250">
        <f>IF($AE250="","",IFERROR(VLOOKUP(TRIM($AE250),DECODE!$H$3:$I$60,2,FALSE),"Rest of India"))</f>
        <v/>
      </c>
      <c r="AK250">
        <f>IF($N250="","",UPPER(TRIM(LEFT($N250&amp;",",FIND(",",$N250&amp;",")-1))))</f>
        <v/>
      </c>
      <c r="AL250">
        <f>IF($AK250="","",MID($AK250,4,FIND("~",SUBSTITUTE($AK250,"-","~",2))-4))</f>
        <v/>
      </c>
      <c r="AM250">
        <f>IF($AK250="","",MID($AK250,FIND("~",SUBSTITUTE($AK250,"-","~",2))+1,FIND("~",SUBSTITUTE($AK250,"-","~",3))-FIND("~",SUBSTITUTE($AK250,"-","~",2))-1))</f>
        <v/>
      </c>
      <c r="AN250">
        <f>IF($AL250="","",IFERROR(VLOOKUP($AL250,DECODE!$A$3:$C$8,3,FALSE),"?"))</f>
        <v/>
      </c>
      <c r="AO250">
        <f>IF($AM250="","",IFERROR(VLOOKUP($AL250&amp;"-"&amp;$AM250,DECODE!$E$3:$F$21,2,FALSE),"?"))</f>
        <v/>
      </c>
      <c r="AP250">
        <f>IF($AK250="","",IFERROR(VALUE(RIGHT($AK250,3)),""))</f>
        <v/>
      </c>
      <c r="AQ250">
        <f>IF($T250="","",IFERROR(IF(ISNUMBER($T250),$T250,DATEVALUE(TRIM($T250))),""))</f>
        <v/>
      </c>
      <c r="AR250">
        <f>IF($AQ250="","",IF(MONTH($AQ250)&gt;=12,"Cold Winter",IF(MONTH($AQ250)&gt;=10,"Post-Monsoon",IF(MONTH($AQ250)&gt;=6,"Hot Humid",IF(MONTH($AQ250)&gt;=3,"Hot Dry","Cold Winter")))))</f>
        <v/>
      </c>
      <c r="AS250">
        <f>IF($AL250="","",IFERROR(VLOOKUP($AL250,DECODE!$A$3:$C$8,2,FALSE),"?"))</f>
        <v/>
      </c>
      <c r="AT250">
        <f>IF($O250="","",UPPER(TRIM(LEFT($O250&amp;",",FIND(",",$O250&amp;",")-1))))</f>
        <v/>
      </c>
      <c r="AU250">
        <f>IF($AT250="","",MID($AT250,4,FIND("~",SUBSTITUTE($AT250,"-","~",2))-4))</f>
        <v/>
      </c>
      <c r="AV250">
        <f>IF($AT250="","",MID($AT250,FIND("~",SUBSTITUTE($AT250,"-","~",2))+1,FIND("~",SUBSTITUTE($AT250,"-","~",3))-FIND("~",SUBSTITUTE($AT250,"-","~",2))-1))</f>
        <v/>
      </c>
      <c r="AW250">
        <f>IF($AU250="","",IFERROR(VLOOKUP($AU250,DECODE!$A$3:$C$8,3,FALSE),"?"))</f>
        <v/>
      </c>
      <c r="AX250">
        <f>IF($AV250="","",IFERROR(VLOOKUP($AU250&amp;"-"&amp;$AV250,DECODE!$E$3:$F$21,2,FALSE),"?"))</f>
        <v/>
      </c>
      <c r="AY250">
        <f>IF($AT250="","",IFERROR(VALUE(RIGHT($AT250,3)),""))</f>
        <v/>
      </c>
      <c r="AZ250">
        <f>IF($U250="","",IFERROR(IF(ISNUMBER($U250),$U250,DATEVALUE(TRIM($U250))),""))</f>
        <v/>
      </c>
      <c r="BA250">
        <f>IF($AZ250="","",IF(MONTH($AZ250)&gt;=12,"Cold Winter",IF(MONTH($AZ250)&gt;=10,"Post-Monsoon",IF(MONTH($AZ250)&gt;=6,"Hot Humid",IF(MONTH($AZ250)&gt;=3,"Hot Dry","Cold Winter")))))</f>
        <v/>
      </c>
      <c r="BB250">
        <f>IF($AU250="","",IFERROR(VLOOKUP($AU250,DECODE!$A$3:$C$8,2,FALSE),"?"))</f>
        <v/>
      </c>
      <c r="BC250">
        <f>IF($P250="","",UPPER(TRIM(LEFT($P250&amp;",",FIND(",",$P250&amp;",")-1))))</f>
        <v/>
      </c>
      <c r="BD250">
        <f>IF($BC250="","",MID($BC250,4,FIND("~",SUBSTITUTE($BC250,"-","~",2))-4))</f>
        <v/>
      </c>
      <c r="BE250">
        <f>IF($BC250="","",MID($BC250,FIND("~",SUBSTITUTE($BC250,"-","~",2))+1,FIND("~",SUBSTITUTE($BC250,"-","~",3))-FIND("~",SUBSTITUTE($BC250,"-","~",2))-1))</f>
        <v/>
      </c>
      <c r="BF250">
        <f>IF($BD250="","",IFERROR(VLOOKUP($BD250,DECODE!$A$3:$C$8,3,FALSE),"?"))</f>
        <v/>
      </c>
      <c r="BG250">
        <f>IF($BE250="","",IFERROR(VLOOKUP($BD250&amp;"-"&amp;$BE250,DECODE!$E$3:$F$21,2,FALSE),"?"))</f>
        <v/>
      </c>
      <c r="BH250">
        <f>IF($BC250="","",IFERROR(VALUE(RIGHT($BC250,3)),""))</f>
        <v/>
      </c>
      <c r="BI250">
        <f>IF($V250="","",IFERROR(IF(ISNUMBER($V250),$V250,DATEVALUE(TRIM($V250))),""))</f>
        <v/>
      </c>
      <c r="BJ250">
        <f>IF($BI250="","",IF(MONTH($BI250)&gt;=12,"Cold Winter",IF(MONTH($BI250)&gt;=10,"Post-Monsoon",IF(MONTH($BI250)&gt;=6,"Hot Humid",IF(MONTH($BI250)&gt;=3,"Hot Dry","Cold Winter")))))</f>
        <v/>
      </c>
      <c r="BK250">
        <f>IF($BD250="","",IFERROR(VLOOKUP($BD250,DECODE!$A$3:$C$8,2,FALSE),"?"))</f>
        <v/>
      </c>
      <c r="BL250">
        <f>IF($Q250="","",UPPER(TRIM(LEFT($Q250&amp;",",FIND(",",$Q250&amp;",")-1))))</f>
        <v/>
      </c>
      <c r="BM250">
        <f>IF($BL250="","",MID($BL250,4,FIND("~",SUBSTITUTE($BL250,"-","~",2))-4))</f>
        <v/>
      </c>
      <c r="BN250">
        <f>IF($BL250="","",MID($BL250,FIND("~",SUBSTITUTE($BL250,"-","~",2))+1,FIND("~",SUBSTITUTE($BL250,"-","~",3))-FIND("~",SUBSTITUTE($BL250,"-","~",2))-1))</f>
        <v/>
      </c>
      <c r="BO250">
        <f>IF($BM250="","",IFERROR(VLOOKUP($BM250,DECODE!$A$3:$C$8,3,FALSE),"?"))</f>
        <v/>
      </c>
      <c r="BP250">
        <f>IF($BN250="","",IFERROR(VLOOKUP($BM250&amp;"-"&amp;$BN250,DECODE!$E$3:$F$21,2,FALSE),"?"))</f>
        <v/>
      </c>
      <c r="BQ250">
        <f>IF($BL250="","",IFERROR(VALUE(RIGHT($BL250,3)),""))</f>
        <v/>
      </c>
      <c r="BR250">
        <f>IF($W250="","",IFERROR(IF(ISNUMBER($W250),$W250,DATEVALUE(TRIM($W250))),""))</f>
        <v/>
      </c>
      <c r="BS250">
        <f>IF($BR250="","",IF(MONTH($BR250)&gt;=12,"Cold Winter",IF(MONTH($BR250)&gt;=10,"Post-Monsoon",IF(MONTH($BR250)&gt;=6,"Hot Humid",IF(MONTH($BR250)&gt;=3,"Hot Dry","Cold Winter")))))</f>
        <v/>
      </c>
      <c r="BT250">
        <f>IF($BM250="","",IFERROR(VLOOKUP($BM250,DECODE!$A$3:$C$8,2,FALSE),"?"))</f>
        <v/>
      </c>
      <c r="BU250">
        <f>IF($R250="","",UPPER(TRIM(LEFT($R250&amp;",",FIND(",",$R250&amp;",")-1))))</f>
        <v/>
      </c>
      <c r="BV250">
        <f>IF($BU250="","",MID($BU250,4,FIND("~",SUBSTITUTE($BU250,"-","~",2))-4))</f>
        <v/>
      </c>
      <c r="BW250">
        <f>IF($BU250="","",MID($BU250,FIND("~",SUBSTITUTE($BU250,"-","~",2))+1,FIND("~",SUBSTITUTE($BU250,"-","~",3))-FIND("~",SUBSTITUTE($BU250,"-","~",2))-1))</f>
        <v/>
      </c>
      <c r="BX250">
        <f>IF($BV250="","",IFERROR(VLOOKUP($BV250,DECODE!$A$3:$C$8,3,FALSE),"?"))</f>
        <v/>
      </c>
      <c r="BY250">
        <f>IF($BW250="","",IFERROR(VLOOKUP($BV250&amp;"-"&amp;$BW250,DECODE!$E$3:$F$21,2,FALSE),"?"))</f>
        <v/>
      </c>
      <c r="BZ250">
        <f>IF($BU250="","",IFERROR(VALUE(RIGHT($BU250,3)),""))</f>
        <v/>
      </c>
      <c r="CA250">
        <f>IF($X250="","",IFERROR(IF(ISNUMBER($X250),$X250,DATEVALUE(TRIM($X250))),""))</f>
        <v/>
      </c>
      <c r="CB250">
        <f>IF($CA250="","",IF(MONTH($CA250)&gt;=12,"Cold Winter",IF(MONTH($CA250)&gt;=10,"Post-Monsoon",IF(MONTH($CA250)&gt;=6,"Hot Humid",IF(MONTH($CA250)&gt;=3,"Hot Dry","Cold Winter")))))</f>
        <v/>
      </c>
      <c r="CC250">
        <f>IF($BV250="","",IFERROR(VLOOKUP($BV250,DECODE!$A$3:$C$8,2,FALSE),"?"))</f>
        <v/>
      </c>
      <c r="CD250">
        <f>IF($S250="","",UPPER(TRIM(LEFT($S250&amp;",",FIND(",",$S250&amp;",")-1))))</f>
        <v/>
      </c>
      <c r="CE250">
        <f>IF($CD250="","",MID($CD250,4,FIND("~",SUBSTITUTE($CD250,"-","~",2))-4))</f>
        <v/>
      </c>
      <c r="CF250">
        <f>IF($CD250="","",MID($CD250,FIND("~",SUBSTITUTE($CD250,"-","~",2))+1,FIND("~",SUBSTITUTE($CD250,"-","~",3))-FIND("~",SUBSTITUTE($CD250,"-","~",2))-1))</f>
        <v/>
      </c>
      <c r="CG250">
        <f>IF($CE250="","",IFERROR(VLOOKUP($CE250,DECODE!$A$3:$C$8,3,FALSE),"?"))</f>
        <v/>
      </c>
      <c r="CH250">
        <f>IF($CF250="","",IFERROR(VLOOKUP($CE250&amp;"-"&amp;$CF250,DECODE!$E$3:$F$21,2,FALSE),"?"))</f>
        <v/>
      </c>
      <c r="CI250">
        <f>IF($CD250="","",IFERROR(VALUE(RIGHT($CD250,3)),""))</f>
        <v/>
      </c>
      <c r="CJ250">
        <f>IF($Y250="","",IFERROR(IF(ISNUMBER($Y250),$Y250,DATEVALUE(TRIM($Y250))),""))</f>
        <v/>
      </c>
      <c r="CK250">
        <f>IF($CJ250="","",IF(MONTH($CJ250)&gt;=12,"Cold Winter",IF(MONTH($CJ250)&gt;=10,"Post-Monsoon",IF(MONTH($CJ250)&gt;=6,"Hot Humid",IF(MONTH($CJ250)&gt;=3,"Hot Dry","Cold Winter")))))</f>
        <v/>
      </c>
      <c r="CL250">
        <f>IF($CE250="","",IFERROR(VLOOKUP($CE250,DECODE!$A$3:$C$8,2,FALSE),"?"))</f>
        <v/>
      </c>
      <c r="CM250">
        <f>IF($AN250="","",AN250)</f>
        <v/>
      </c>
      <c r="CN250">
        <f>IF($AO250="","",AO250)</f>
        <v/>
      </c>
      <c r="CO250">
        <f>IF($AP250="","",AP250)</f>
        <v/>
      </c>
      <c r="CP250">
        <f>IF($CM250="","",IF($CM250="Aloe Vera Gel","Aloe Vera Gel "&amp;$CO250&amp;"g",CN250&amp;" "&amp;$CO250&amp;"g"))</f>
        <v/>
      </c>
      <c r="CQ250">
        <f>IF($AT250="",0,1)</f>
        <v/>
      </c>
      <c r="CR250">
        <f>IF($CQ250=0,"",AW250)</f>
        <v/>
      </c>
      <c r="CS250">
        <f>IF($CQ250=0,"",AX250)</f>
        <v/>
      </c>
      <c r="CT250">
        <f>IF($CQ250=0,"",AY250)</f>
        <v/>
      </c>
      <c r="CU250">
        <f>IF($CR250="","",IF($CR250="Aloe Vera Gel","Aloe Vera Gel "&amp;$CT250&amp;"g",CS250&amp;" "&amp;$CT250&amp;"g"))</f>
        <v/>
      </c>
      <c r="CV250">
        <f>IF($CQ250=0,"",IF($CP250=$CU250,"Repeat Exact",IF($CT250&gt;$CO250,"Upsized",IF($CT250&lt;$CO250,"Downsized",IF($CM250&lt;&gt;$CR250,"Lateral","Same Size Diff Variant")))))</f>
        <v/>
      </c>
      <c r="CW250">
        <f>IF($CQ250=0,"",AZ250-AQ250)</f>
        <v/>
      </c>
      <c r="CX250">
        <f>IF($CQ250=0,0,IF(CS250=CN250,1,0))</f>
        <v/>
      </c>
      <c r="CY250">
        <f>IF($CQ250=0,0,IF(CR250=CM250,1,0))</f>
        <v/>
      </c>
      <c r="CZ250">
        <f>IF($A250="","",IF(AND(IF(DASHBOARD!$C$4="All",TRUE,$CM250=DASHBOARD!$C$4),IF(DASHBOARD!$C$6="All",TRUE,$CP250=DASHBOARD!$C$6),IF(DASHBOARD!$C$8="All",TRUE,$AF250&gt;=DASHBOARD!$C$8),IF(DASHBOARD!$C$10="All",TRUE,$AF250&lt;=DASHBOARD!$C$10),IF(DASHBOARD!$C$12="All",TRUE,$AH250=VALUE(DASHBOARD!$C$12)),IF(DASHBOARD!$C$14="All",TRUE,$AJ250=DASHBOARD!$C$14)),1,0))</f>
        <v/>
      </c>
    </row>
    <row r="251">
      <c r="A251" t="n">
        <v>149362</v>
      </c>
      <c r="B251" t="inlineStr">
        <is>
          <t>Face Malai</t>
        </is>
      </c>
      <c r="H251" t="inlineStr">
        <is>
          <t>Tomato Rosehip (Hot Dry) 20 - 35 Yrs Face Malai - 30g</t>
        </is>
      </c>
      <c r="N251" t="inlineStr">
        <is>
          <t>FC-HDDM-TR-030</t>
        </is>
      </c>
      <c r="T251" t="inlineStr">
        <is>
          <t>Apr 1, 2025</t>
        </is>
      </c>
      <c r="AE251" t="inlineStr">
        <is>
          <t>Mumbai</t>
        </is>
      </c>
      <c r="AF251" t="inlineStr">
        <is>
          <t>2025-04</t>
        </is>
      </c>
      <c r="AG251" t="n">
        <v>4</v>
      </c>
      <c r="AH251" t="n">
        <v>1</v>
      </c>
      <c r="AI251" t="n">
        <v>0</v>
      </c>
      <c r="AJ251">
        <f>IF($AE251="","",IFERROR(VLOOKUP(TRIM($AE251),DECODE!$H$3:$I$60,2,FALSE),"Rest of India"))</f>
        <v/>
      </c>
      <c r="AK251">
        <f>IF($N251="","",UPPER(TRIM(LEFT($N251&amp;",",FIND(",",$N251&amp;",")-1))))</f>
        <v/>
      </c>
      <c r="AL251">
        <f>IF($AK251="","",MID($AK251,4,FIND("~",SUBSTITUTE($AK251,"-","~",2))-4))</f>
        <v/>
      </c>
      <c r="AM251">
        <f>IF($AK251="","",MID($AK251,FIND("~",SUBSTITUTE($AK251,"-","~",2))+1,FIND("~",SUBSTITUTE($AK251,"-","~",3))-FIND("~",SUBSTITUTE($AK251,"-","~",2))-1))</f>
        <v/>
      </c>
      <c r="AN251">
        <f>IF($AL251="","",IFERROR(VLOOKUP($AL251,DECODE!$A$3:$C$8,3,FALSE),"?"))</f>
        <v/>
      </c>
      <c r="AO251">
        <f>IF($AM251="","",IFERROR(VLOOKUP($AL251&amp;"-"&amp;$AM251,DECODE!$E$3:$F$21,2,FALSE),"?"))</f>
        <v/>
      </c>
      <c r="AP251">
        <f>IF($AK251="","",IFERROR(VALUE(RIGHT($AK251,3)),""))</f>
        <v/>
      </c>
      <c r="AQ251">
        <f>IF($T251="","",IFERROR(IF(ISNUMBER($T251),$T251,DATEVALUE(TRIM($T251))),""))</f>
        <v/>
      </c>
      <c r="AR251">
        <f>IF($AQ251="","",IF(MONTH($AQ251)&gt;=12,"Cold Winter",IF(MONTH($AQ251)&gt;=10,"Post-Monsoon",IF(MONTH($AQ251)&gt;=6,"Hot Humid",IF(MONTH($AQ251)&gt;=3,"Hot Dry","Cold Winter")))))</f>
        <v/>
      </c>
      <c r="AS251">
        <f>IF($AL251="","",IFERROR(VLOOKUP($AL251,DECODE!$A$3:$C$8,2,FALSE),"?"))</f>
        <v/>
      </c>
      <c r="AT251">
        <f>IF($O251="","",UPPER(TRIM(LEFT($O251&amp;",",FIND(",",$O251&amp;",")-1))))</f>
        <v/>
      </c>
      <c r="AU251">
        <f>IF($AT251="","",MID($AT251,4,FIND("~",SUBSTITUTE($AT251,"-","~",2))-4))</f>
        <v/>
      </c>
      <c r="AV251">
        <f>IF($AT251="","",MID($AT251,FIND("~",SUBSTITUTE($AT251,"-","~",2))+1,FIND("~",SUBSTITUTE($AT251,"-","~",3))-FIND("~",SUBSTITUTE($AT251,"-","~",2))-1))</f>
        <v/>
      </c>
      <c r="AW251">
        <f>IF($AU251="","",IFERROR(VLOOKUP($AU251,DECODE!$A$3:$C$8,3,FALSE),"?"))</f>
        <v/>
      </c>
      <c r="AX251">
        <f>IF($AV251="","",IFERROR(VLOOKUP($AU251&amp;"-"&amp;$AV251,DECODE!$E$3:$F$21,2,FALSE),"?"))</f>
        <v/>
      </c>
      <c r="AY251">
        <f>IF($AT251="","",IFERROR(VALUE(RIGHT($AT251,3)),""))</f>
        <v/>
      </c>
      <c r="AZ251">
        <f>IF($U251="","",IFERROR(IF(ISNUMBER($U251),$U251,DATEVALUE(TRIM($U251))),""))</f>
        <v/>
      </c>
      <c r="BA251">
        <f>IF($AZ251="","",IF(MONTH($AZ251)&gt;=12,"Cold Winter",IF(MONTH($AZ251)&gt;=10,"Post-Monsoon",IF(MONTH($AZ251)&gt;=6,"Hot Humid",IF(MONTH($AZ251)&gt;=3,"Hot Dry","Cold Winter")))))</f>
        <v/>
      </c>
      <c r="BB251">
        <f>IF($AU251="","",IFERROR(VLOOKUP($AU251,DECODE!$A$3:$C$8,2,FALSE),"?"))</f>
        <v/>
      </c>
      <c r="BC251">
        <f>IF($P251="","",UPPER(TRIM(LEFT($P251&amp;",",FIND(",",$P251&amp;",")-1))))</f>
        <v/>
      </c>
      <c r="BD251">
        <f>IF($BC251="","",MID($BC251,4,FIND("~",SUBSTITUTE($BC251,"-","~",2))-4))</f>
        <v/>
      </c>
      <c r="BE251">
        <f>IF($BC251="","",MID($BC251,FIND("~",SUBSTITUTE($BC251,"-","~",2))+1,FIND("~",SUBSTITUTE($BC251,"-","~",3))-FIND("~",SUBSTITUTE($BC251,"-","~",2))-1))</f>
        <v/>
      </c>
      <c r="BF251">
        <f>IF($BD251="","",IFERROR(VLOOKUP($BD251,DECODE!$A$3:$C$8,3,FALSE),"?"))</f>
        <v/>
      </c>
      <c r="BG251">
        <f>IF($BE251="","",IFERROR(VLOOKUP($BD251&amp;"-"&amp;$BE251,DECODE!$E$3:$F$21,2,FALSE),"?"))</f>
        <v/>
      </c>
      <c r="BH251">
        <f>IF($BC251="","",IFERROR(VALUE(RIGHT($BC251,3)),""))</f>
        <v/>
      </c>
      <c r="BI251">
        <f>IF($V251="","",IFERROR(IF(ISNUMBER($V251),$V251,DATEVALUE(TRIM($V251))),""))</f>
        <v/>
      </c>
      <c r="BJ251">
        <f>IF($BI251="","",IF(MONTH($BI251)&gt;=12,"Cold Winter",IF(MONTH($BI251)&gt;=10,"Post-Monsoon",IF(MONTH($BI251)&gt;=6,"Hot Humid",IF(MONTH($BI251)&gt;=3,"Hot Dry","Cold Winter")))))</f>
        <v/>
      </c>
      <c r="BK251">
        <f>IF($BD251="","",IFERROR(VLOOKUP($BD251,DECODE!$A$3:$C$8,2,FALSE),"?"))</f>
        <v/>
      </c>
      <c r="BL251">
        <f>IF($Q251="","",UPPER(TRIM(LEFT($Q251&amp;",",FIND(",",$Q251&amp;",")-1))))</f>
        <v/>
      </c>
      <c r="BM251">
        <f>IF($BL251="","",MID($BL251,4,FIND("~",SUBSTITUTE($BL251,"-","~",2))-4))</f>
        <v/>
      </c>
      <c r="BN251">
        <f>IF($BL251="","",MID($BL251,FIND("~",SUBSTITUTE($BL251,"-","~",2))+1,FIND("~",SUBSTITUTE($BL251,"-","~",3))-FIND("~",SUBSTITUTE($BL251,"-","~",2))-1))</f>
        <v/>
      </c>
      <c r="BO251">
        <f>IF($BM251="","",IFERROR(VLOOKUP($BM251,DECODE!$A$3:$C$8,3,FALSE),"?"))</f>
        <v/>
      </c>
      <c r="BP251">
        <f>IF($BN251="","",IFERROR(VLOOKUP($BM251&amp;"-"&amp;$BN251,DECODE!$E$3:$F$21,2,FALSE),"?"))</f>
        <v/>
      </c>
      <c r="BQ251">
        <f>IF($BL251="","",IFERROR(VALUE(RIGHT($BL251,3)),""))</f>
        <v/>
      </c>
      <c r="BR251">
        <f>IF($W251="","",IFERROR(IF(ISNUMBER($W251),$W251,DATEVALUE(TRIM($W251))),""))</f>
        <v/>
      </c>
      <c r="BS251">
        <f>IF($BR251="","",IF(MONTH($BR251)&gt;=12,"Cold Winter",IF(MONTH($BR251)&gt;=10,"Post-Monsoon",IF(MONTH($BR251)&gt;=6,"Hot Humid",IF(MONTH($BR251)&gt;=3,"Hot Dry","Cold Winter")))))</f>
        <v/>
      </c>
      <c r="BT251">
        <f>IF($BM251="","",IFERROR(VLOOKUP($BM251,DECODE!$A$3:$C$8,2,FALSE),"?"))</f>
        <v/>
      </c>
      <c r="BU251">
        <f>IF($R251="","",UPPER(TRIM(LEFT($R251&amp;",",FIND(",",$R251&amp;",")-1))))</f>
        <v/>
      </c>
      <c r="BV251">
        <f>IF($BU251="","",MID($BU251,4,FIND("~",SUBSTITUTE($BU251,"-","~",2))-4))</f>
        <v/>
      </c>
      <c r="BW251">
        <f>IF($BU251="","",MID($BU251,FIND("~",SUBSTITUTE($BU251,"-","~",2))+1,FIND("~",SUBSTITUTE($BU251,"-","~",3))-FIND("~",SUBSTITUTE($BU251,"-","~",2))-1))</f>
        <v/>
      </c>
      <c r="BX251">
        <f>IF($BV251="","",IFERROR(VLOOKUP($BV251,DECODE!$A$3:$C$8,3,FALSE),"?"))</f>
        <v/>
      </c>
      <c r="BY251">
        <f>IF($BW251="","",IFERROR(VLOOKUP($BV251&amp;"-"&amp;$BW251,DECODE!$E$3:$F$21,2,FALSE),"?"))</f>
        <v/>
      </c>
      <c r="BZ251">
        <f>IF($BU251="","",IFERROR(VALUE(RIGHT($BU251,3)),""))</f>
        <v/>
      </c>
      <c r="CA251">
        <f>IF($X251="","",IFERROR(IF(ISNUMBER($X251),$X251,DATEVALUE(TRIM($X251))),""))</f>
        <v/>
      </c>
      <c r="CB251">
        <f>IF($CA251="","",IF(MONTH($CA251)&gt;=12,"Cold Winter",IF(MONTH($CA251)&gt;=10,"Post-Monsoon",IF(MONTH($CA251)&gt;=6,"Hot Humid",IF(MONTH($CA251)&gt;=3,"Hot Dry","Cold Winter")))))</f>
        <v/>
      </c>
      <c r="CC251">
        <f>IF($BV251="","",IFERROR(VLOOKUP($BV251,DECODE!$A$3:$C$8,2,FALSE),"?"))</f>
        <v/>
      </c>
      <c r="CD251">
        <f>IF($S251="","",UPPER(TRIM(LEFT($S251&amp;",",FIND(",",$S251&amp;",")-1))))</f>
        <v/>
      </c>
      <c r="CE251">
        <f>IF($CD251="","",MID($CD251,4,FIND("~",SUBSTITUTE($CD251,"-","~",2))-4))</f>
        <v/>
      </c>
      <c r="CF251">
        <f>IF($CD251="","",MID($CD251,FIND("~",SUBSTITUTE($CD251,"-","~",2))+1,FIND("~",SUBSTITUTE($CD251,"-","~",3))-FIND("~",SUBSTITUTE($CD251,"-","~",2))-1))</f>
        <v/>
      </c>
      <c r="CG251">
        <f>IF($CE251="","",IFERROR(VLOOKUP($CE251,DECODE!$A$3:$C$8,3,FALSE),"?"))</f>
        <v/>
      </c>
      <c r="CH251">
        <f>IF($CF251="","",IFERROR(VLOOKUP($CE251&amp;"-"&amp;$CF251,DECODE!$E$3:$F$21,2,FALSE),"?"))</f>
        <v/>
      </c>
      <c r="CI251">
        <f>IF($CD251="","",IFERROR(VALUE(RIGHT($CD251,3)),""))</f>
        <v/>
      </c>
      <c r="CJ251">
        <f>IF($Y251="","",IFERROR(IF(ISNUMBER($Y251),$Y251,DATEVALUE(TRIM($Y251))),""))</f>
        <v/>
      </c>
      <c r="CK251">
        <f>IF($CJ251="","",IF(MONTH($CJ251)&gt;=12,"Cold Winter",IF(MONTH($CJ251)&gt;=10,"Post-Monsoon",IF(MONTH($CJ251)&gt;=6,"Hot Humid",IF(MONTH($CJ251)&gt;=3,"Hot Dry","Cold Winter")))))</f>
        <v/>
      </c>
      <c r="CL251">
        <f>IF($CE251="","",IFERROR(VLOOKUP($CE251,DECODE!$A$3:$C$8,2,FALSE),"?"))</f>
        <v/>
      </c>
      <c r="CM251">
        <f>IF($AN251="","",AN251)</f>
        <v/>
      </c>
      <c r="CN251">
        <f>IF($AO251="","",AO251)</f>
        <v/>
      </c>
      <c r="CO251">
        <f>IF($AP251="","",AP251)</f>
        <v/>
      </c>
      <c r="CP251">
        <f>IF($CM251="","",IF($CM251="Aloe Vera Gel","Aloe Vera Gel "&amp;$CO251&amp;"g",CN251&amp;" "&amp;$CO251&amp;"g"))</f>
        <v/>
      </c>
      <c r="CQ251">
        <f>IF($AT251="",0,1)</f>
        <v/>
      </c>
      <c r="CR251">
        <f>IF($CQ251=0,"",AW251)</f>
        <v/>
      </c>
      <c r="CS251">
        <f>IF($CQ251=0,"",AX251)</f>
        <v/>
      </c>
      <c r="CT251">
        <f>IF($CQ251=0,"",AY251)</f>
        <v/>
      </c>
      <c r="CU251">
        <f>IF($CR251="","",IF($CR251="Aloe Vera Gel","Aloe Vera Gel "&amp;$CT251&amp;"g",CS251&amp;" "&amp;$CT251&amp;"g"))</f>
        <v/>
      </c>
      <c r="CV251">
        <f>IF($CQ251=0,"",IF($CP251=$CU251,"Repeat Exact",IF($CT251&gt;$CO251,"Upsized",IF($CT251&lt;$CO251,"Downsized",IF($CM251&lt;&gt;$CR251,"Lateral","Same Size Diff Variant")))))</f>
        <v/>
      </c>
      <c r="CW251">
        <f>IF($CQ251=0,"",AZ251-AQ251)</f>
        <v/>
      </c>
      <c r="CX251">
        <f>IF($CQ251=0,0,IF(CS251=CN251,1,0))</f>
        <v/>
      </c>
      <c r="CY251">
        <f>IF($CQ251=0,0,IF(CR251=CM251,1,0))</f>
        <v/>
      </c>
      <c r="CZ251">
        <f>IF($A251="","",IF(AND(IF(DASHBOARD!$C$4="All",TRUE,$CM251=DASHBOARD!$C$4),IF(DASHBOARD!$C$6="All",TRUE,$CP251=DASHBOARD!$C$6),IF(DASHBOARD!$C$8="All",TRUE,$AF251&gt;=DASHBOARD!$C$8),IF(DASHBOARD!$C$10="All",TRUE,$AF251&lt;=DASHBOARD!$C$10),IF(DASHBOARD!$C$12="All",TRUE,$AH251=VALUE(DASHBOARD!$C$12)),IF(DASHBOARD!$C$14="All",TRUE,$AJ251=DASHBOARD!$C$14)),1,0))</f>
        <v/>
      </c>
    </row>
    <row r="252">
      <c r="A252" t="n">
        <v>149889</v>
      </c>
      <c r="B252" t="inlineStr">
        <is>
          <t>Face Malai</t>
        </is>
      </c>
      <c r="H252" t="inlineStr">
        <is>
          <t>Cocoa Mogra (Overnight) Face Malai - 30g</t>
        </is>
      </c>
      <c r="N252" t="inlineStr">
        <is>
          <t>FC-DM-NR-030</t>
        </is>
      </c>
      <c r="T252" t="inlineStr">
        <is>
          <t>Dec 15, 2025</t>
        </is>
      </c>
      <c r="AF252" t="inlineStr">
        <is>
          <t>2025-12</t>
        </is>
      </c>
      <c r="AG252" t="n">
        <v>12</v>
      </c>
      <c r="AH252" t="n">
        <v>1</v>
      </c>
      <c r="AI252" t="n">
        <v>0</v>
      </c>
      <c r="AJ252">
        <f>IF($AE252="","",IFERROR(VLOOKUP(TRIM($AE252),DECODE!$H$3:$I$60,2,FALSE),"Rest of India"))</f>
        <v/>
      </c>
      <c r="AK252">
        <f>IF($N252="","",UPPER(TRIM(LEFT($N252&amp;",",FIND(",",$N252&amp;",")-1))))</f>
        <v/>
      </c>
      <c r="AL252">
        <f>IF($AK252="","",MID($AK252,4,FIND("~",SUBSTITUTE($AK252,"-","~",2))-4))</f>
        <v/>
      </c>
      <c r="AM252">
        <f>IF($AK252="","",MID($AK252,FIND("~",SUBSTITUTE($AK252,"-","~",2))+1,FIND("~",SUBSTITUTE($AK252,"-","~",3))-FIND("~",SUBSTITUTE($AK252,"-","~",2))-1))</f>
        <v/>
      </c>
      <c r="AN252">
        <f>IF($AL252="","",IFERROR(VLOOKUP($AL252,DECODE!$A$3:$C$8,3,FALSE),"?"))</f>
        <v/>
      </c>
      <c r="AO252">
        <f>IF($AM252="","",IFERROR(VLOOKUP($AL252&amp;"-"&amp;$AM252,DECODE!$E$3:$F$21,2,FALSE),"?"))</f>
        <v/>
      </c>
      <c r="AP252">
        <f>IF($AK252="","",IFERROR(VALUE(RIGHT($AK252,3)),""))</f>
        <v/>
      </c>
      <c r="AQ252">
        <f>IF($T252="","",IFERROR(IF(ISNUMBER($T252),$T252,DATEVALUE(TRIM($T252))),""))</f>
        <v/>
      </c>
      <c r="AR252">
        <f>IF($AQ252="","",IF(MONTH($AQ252)&gt;=12,"Cold Winter",IF(MONTH($AQ252)&gt;=10,"Post-Monsoon",IF(MONTH($AQ252)&gt;=6,"Hot Humid",IF(MONTH($AQ252)&gt;=3,"Hot Dry","Cold Winter")))))</f>
        <v/>
      </c>
      <c r="AS252">
        <f>IF($AL252="","",IFERROR(VLOOKUP($AL252,DECODE!$A$3:$C$8,2,FALSE),"?"))</f>
        <v/>
      </c>
      <c r="AT252">
        <f>IF($O252="","",UPPER(TRIM(LEFT($O252&amp;",",FIND(",",$O252&amp;",")-1))))</f>
        <v/>
      </c>
      <c r="AU252">
        <f>IF($AT252="","",MID($AT252,4,FIND("~",SUBSTITUTE($AT252,"-","~",2))-4))</f>
        <v/>
      </c>
      <c r="AV252">
        <f>IF($AT252="","",MID($AT252,FIND("~",SUBSTITUTE($AT252,"-","~",2))+1,FIND("~",SUBSTITUTE($AT252,"-","~",3))-FIND("~",SUBSTITUTE($AT252,"-","~",2))-1))</f>
        <v/>
      </c>
      <c r="AW252">
        <f>IF($AU252="","",IFERROR(VLOOKUP($AU252,DECODE!$A$3:$C$8,3,FALSE),"?"))</f>
        <v/>
      </c>
      <c r="AX252">
        <f>IF($AV252="","",IFERROR(VLOOKUP($AU252&amp;"-"&amp;$AV252,DECODE!$E$3:$F$21,2,FALSE),"?"))</f>
        <v/>
      </c>
      <c r="AY252">
        <f>IF($AT252="","",IFERROR(VALUE(RIGHT($AT252,3)),""))</f>
        <v/>
      </c>
      <c r="AZ252">
        <f>IF($U252="","",IFERROR(IF(ISNUMBER($U252),$U252,DATEVALUE(TRIM($U252))),""))</f>
        <v/>
      </c>
      <c r="BA252">
        <f>IF($AZ252="","",IF(MONTH($AZ252)&gt;=12,"Cold Winter",IF(MONTH($AZ252)&gt;=10,"Post-Monsoon",IF(MONTH($AZ252)&gt;=6,"Hot Humid",IF(MONTH($AZ252)&gt;=3,"Hot Dry","Cold Winter")))))</f>
        <v/>
      </c>
      <c r="BB252">
        <f>IF($AU252="","",IFERROR(VLOOKUP($AU252,DECODE!$A$3:$C$8,2,FALSE),"?"))</f>
        <v/>
      </c>
      <c r="BC252">
        <f>IF($P252="","",UPPER(TRIM(LEFT($P252&amp;",",FIND(",",$P252&amp;",")-1))))</f>
        <v/>
      </c>
      <c r="BD252">
        <f>IF($BC252="","",MID($BC252,4,FIND("~",SUBSTITUTE($BC252,"-","~",2))-4))</f>
        <v/>
      </c>
      <c r="BE252">
        <f>IF($BC252="","",MID($BC252,FIND("~",SUBSTITUTE($BC252,"-","~",2))+1,FIND("~",SUBSTITUTE($BC252,"-","~",3))-FIND("~",SUBSTITUTE($BC252,"-","~",2))-1))</f>
        <v/>
      </c>
      <c r="BF252">
        <f>IF($BD252="","",IFERROR(VLOOKUP($BD252,DECODE!$A$3:$C$8,3,FALSE),"?"))</f>
        <v/>
      </c>
      <c r="BG252">
        <f>IF($BE252="","",IFERROR(VLOOKUP($BD252&amp;"-"&amp;$BE252,DECODE!$E$3:$F$21,2,FALSE),"?"))</f>
        <v/>
      </c>
      <c r="BH252">
        <f>IF($BC252="","",IFERROR(VALUE(RIGHT($BC252,3)),""))</f>
        <v/>
      </c>
      <c r="BI252">
        <f>IF($V252="","",IFERROR(IF(ISNUMBER($V252),$V252,DATEVALUE(TRIM($V252))),""))</f>
        <v/>
      </c>
      <c r="BJ252">
        <f>IF($BI252="","",IF(MONTH($BI252)&gt;=12,"Cold Winter",IF(MONTH($BI252)&gt;=10,"Post-Monsoon",IF(MONTH($BI252)&gt;=6,"Hot Humid",IF(MONTH($BI252)&gt;=3,"Hot Dry","Cold Winter")))))</f>
        <v/>
      </c>
      <c r="BK252">
        <f>IF($BD252="","",IFERROR(VLOOKUP($BD252,DECODE!$A$3:$C$8,2,FALSE),"?"))</f>
        <v/>
      </c>
      <c r="BL252">
        <f>IF($Q252="","",UPPER(TRIM(LEFT($Q252&amp;",",FIND(",",$Q252&amp;",")-1))))</f>
        <v/>
      </c>
      <c r="BM252">
        <f>IF($BL252="","",MID($BL252,4,FIND("~",SUBSTITUTE($BL252,"-","~",2))-4))</f>
        <v/>
      </c>
      <c r="BN252">
        <f>IF($BL252="","",MID($BL252,FIND("~",SUBSTITUTE($BL252,"-","~",2))+1,FIND("~",SUBSTITUTE($BL252,"-","~",3))-FIND("~",SUBSTITUTE($BL252,"-","~",2))-1))</f>
        <v/>
      </c>
      <c r="BO252">
        <f>IF($BM252="","",IFERROR(VLOOKUP($BM252,DECODE!$A$3:$C$8,3,FALSE),"?"))</f>
        <v/>
      </c>
      <c r="BP252">
        <f>IF($BN252="","",IFERROR(VLOOKUP($BM252&amp;"-"&amp;$BN252,DECODE!$E$3:$F$21,2,FALSE),"?"))</f>
        <v/>
      </c>
      <c r="BQ252">
        <f>IF($BL252="","",IFERROR(VALUE(RIGHT($BL252,3)),""))</f>
        <v/>
      </c>
      <c r="BR252">
        <f>IF($W252="","",IFERROR(IF(ISNUMBER($W252),$W252,DATEVALUE(TRIM($W252))),""))</f>
        <v/>
      </c>
      <c r="BS252">
        <f>IF($BR252="","",IF(MONTH($BR252)&gt;=12,"Cold Winter",IF(MONTH($BR252)&gt;=10,"Post-Monsoon",IF(MONTH($BR252)&gt;=6,"Hot Humid",IF(MONTH($BR252)&gt;=3,"Hot Dry","Cold Winter")))))</f>
        <v/>
      </c>
      <c r="BT252">
        <f>IF($BM252="","",IFERROR(VLOOKUP($BM252,DECODE!$A$3:$C$8,2,FALSE),"?"))</f>
        <v/>
      </c>
      <c r="BU252">
        <f>IF($R252="","",UPPER(TRIM(LEFT($R252&amp;",",FIND(",",$R252&amp;",")-1))))</f>
        <v/>
      </c>
      <c r="BV252">
        <f>IF($BU252="","",MID($BU252,4,FIND("~",SUBSTITUTE($BU252,"-","~",2))-4))</f>
        <v/>
      </c>
      <c r="BW252">
        <f>IF($BU252="","",MID($BU252,FIND("~",SUBSTITUTE($BU252,"-","~",2))+1,FIND("~",SUBSTITUTE($BU252,"-","~",3))-FIND("~",SUBSTITUTE($BU252,"-","~",2))-1))</f>
        <v/>
      </c>
      <c r="BX252">
        <f>IF($BV252="","",IFERROR(VLOOKUP($BV252,DECODE!$A$3:$C$8,3,FALSE),"?"))</f>
        <v/>
      </c>
      <c r="BY252">
        <f>IF($BW252="","",IFERROR(VLOOKUP($BV252&amp;"-"&amp;$BW252,DECODE!$E$3:$F$21,2,FALSE),"?"))</f>
        <v/>
      </c>
      <c r="BZ252">
        <f>IF($BU252="","",IFERROR(VALUE(RIGHT($BU252,3)),""))</f>
        <v/>
      </c>
      <c r="CA252">
        <f>IF($X252="","",IFERROR(IF(ISNUMBER($X252),$X252,DATEVALUE(TRIM($X252))),""))</f>
        <v/>
      </c>
      <c r="CB252">
        <f>IF($CA252="","",IF(MONTH($CA252)&gt;=12,"Cold Winter",IF(MONTH($CA252)&gt;=10,"Post-Monsoon",IF(MONTH($CA252)&gt;=6,"Hot Humid",IF(MONTH($CA252)&gt;=3,"Hot Dry","Cold Winter")))))</f>
        <v/>
      </c>
      <c r="CC252">
        <f>IF($BV252="","",IFERROR(VLOOKUP($BV252,DECODE!$A$3:$C$8,2,FALSE),"?"))</f>
        <v/>
      </c>
      <c r="CD252">
        <f>IF($S252="","",UPPER(TRIM(LEFT($S252&amp;",",FIND(",",$S252&amp;",")-1))))</f>
        <v/>
      </c>
      <c r="CE252">
        <f>IF($CD252="","",MID($CD252,4,FIND("~",SUBSTITUTE($CD252,"-","~",2))-4))</f>
        <v/>
      </c>
      <c r="CF252">
        <f>IF($CD252="","",MID($CD252,FIND("~",SUBSTITUTE($CD252,"-","~",2))+1,FIND("~",SUBSTITUTE($CD252,"-","~",3))-FIND("~",SUBSTITUTE($CD252,"-","~",2))-1))</f>
        <v/>
      </c>
      <c r="CG252">
        <f>IF($CE252="","",IFERROR(VLOOKUP($CE252,DECODE!$A$3:$C$8,3,FALSE),"?"))</f>
        <v/>
      </c>
      <c r="CH252">
        <f>IF($CF252="","",IFERROR(VLOOKUP($CE252&amp;"-"&amp;$CF252,DECODE!$E$3:$F$21,2,FALSE),"?"))</f>
        <v/>
      </c>
      <c r="CI252">
        <f>IF($CD252="","",IFERROR(VALUE(RIGHT($CD252,3)),""))</f>
        <v/>
      </c>
      <c r="CJ252">
        <f>IF($Y252="","",IFERROR(IF(ISNUMBER($Y252),$Y252,DATEVALUE(TRIM($Y252))),""))</f>
        <v/>
      </c>
      <c r="CK252">
        <f>IF($CJ252="","",IF(MONTH($CJ252)&gt;=12,"Cold Winter",IF(MONTH($CJ252)&gt;=10,"Post-Monsoon",IF(MONTH($CJ252)&gt;=6,"Hot Humid",IF(MONTH($CJ252)&gt;=3,"Hot Dry","Cold Winter")))))</f>
        <v/>
      </c>
      <c r="CL252">
        <f>IF($CE252="","",IFERROR(VLOOKUP($CE252,DECODE!$A$3:$C$8,2,FALSE),"?"))</f>
        <v/>
      </c>
      <c r="CM252">
        <f>IF($AN252="","",AN252)</f>
        <v/>
      </c>
      <c r="CN252">
        <f>IF($AO252="","",AO252)</f>
        <v/>
      </c>
      <c r="CO252">
        <f>IF($AP252="","",AP252)</f>
        <v/>
      </c>
      <c r="CP252">
        <f>IF($CM252="","",IF($CM252="Aloe Vera Gel","Aloe Vera Gel "&amp;$CO252&amp;"g",CN252&amp;" "&amp;$CO252&amp;"g"))</f>
        <v/>
      </c>
      <c r="CQ252">
        <f>IF($AT252="",0,1)</f>
        <v/>
      </c>
      <c r="CR252">
        <f>IF($CQ252=0,"",AW252)</f>
        <v/>
      </c>
      <c r="CS252">
        <f>IF($CQ252=0,"",AX252)</f>
        <v/>
      </c>
      <c r="CT252">
        <f>IF($CQ252=0,"",AY252)</f>
        <v/>
      </c>
      <c r="CU252">
        <f>IF($CR252="","",IF($CR252="Aloe Vera Gel","Aloe Vera Gel "&amp;$CT252&amp;"g",CS252&amp;" "&amp;$CT252&amp;"g"))</f>
        <v/>
      </c>
      <c r="CV252">
        <f>IF($CQ252=0,"",IF($CP252=$CU252,"Repeat Exact",IF($CT252&gt;$CO252,"Upsized",IF($CT252&lt;$CO252,"Downsized",IF($CM252&lt;&gt;$CR252,"Lateral","Same Size Diff Variant")))))</f>
        <v/>
      </c>
      <c r="CW252">
        <f>IF($CQ252=0,"",AZ252-AQ252)</f>
        <v/>
      </c>
      <c r="CX252">
        <f>IF($CQ252=0,0,IF(CS252=CN252,1,0))</f>
        <v/>
      </c>
      <c r="CY252">
        <f>IF($CQ252=0,0,IF(CR252=CM252,1,0))</f>
        <v/>
      </c>
      <c r="CZ252">
        <f>IF($A252="","",IF(AND(IF(DASHBOARD!$C$4="All",TRUE,$CM252=DASHBOARD!$C$4),IF(DASHBOARD!$C$6="All",TRUE,$CP252=DASHBOARD!$C$6),IF(DASHBOARD!$C$8="All",TRUE,$AF252&gt;=DASHBOARD!$C$8),IF(DASHBOARD!$C$10="All",TRUE,$AF252&lt;=DASHBOARD!$C$10),IF(DASHBOARD!$C$12="All",TRUE,$AH252=VALUE(DASHBOARD!$C$12)),IF(DASHBOARD!$C$14="All",TRUE,$AJ252=DASHBOARD!$C$14)),1,0))</f>
        <v/>
      </c>
    </row>
    <row r="253">
      <c r="A253" t="n">
        <v>150850</v>
      </c>
      <c r="B253" t="inlineStr">
        <is>
          <t>Aloe Vera Gel</t>
        </is>
      </c>
      <c r="H253" t="inlineStr">
        <is>
          <t>Aloe Vera Gel - 40 gms</t>
        </is>
      </c>
      <c r="N253" t="inlineStr">
        <is>
          <t>FC-HG-PA-040</t>
        </is>
      </c>
      <c r="T253" t="inlineStr">
        <is>
          <t>Mar 18, 2024</t>
        </is>
      </c>
      <c r="AE253" t="inlineStr">
        <is>
          <t>Bengaluru</t>
        </is>
      </c>
      <c r="AF253" t="inlineStr">
        <is>
          <t>2024-03</t>
        </is>
      </c>
      <c r="AG253" t="n">
        <v>3</v>
      </c>
      <c r="AH253" t="n">
        <v>1</v>
      </c>
      <c r="AI253" t="n">
        <v>0</v>
      </c>
      <c r="AJ253">
        <f>IF($AE253="","",IFERROR(VLOOKUP(TRIM($AE253),DECODE!$H$3:$I$60,2,FALSE),"Rest of India"))</f>
        <v/>
      </c>
      <c r="AK253">
        <f>IF($N253="","",UPPER(TRIM(LEFT($N253&amp;",",FIND(",",$N253&amp;",")-1))))</f>
        <v/>
      </c>
      <c r="AL253">
        <f>IF($AK253="","",MID($AK253,4,FIND("~",SUBSTITUTE($AK253,"-","~",2))-4))</f>
        <v/>
      </c>
      <c r="AM253">
        <f>IF($AK253="","",MID($AK253,FIND("~",SUBSTITUTE($AK253,"-","~",2))+1,FIND("~",SUBSTITUTE($AK253,"-","~",3))-FIND("~",SUBSTITUTE($AK253,"-","~",2))-1))</f>
        <v/>
      </c>
      <c r="AN253">
        <f>IF($AL253="","",IFERROR(VLOOKUP($AL253,DECODE!$A$3:$C$8,3,FALSE),"?"))</f>
        <v/>
      </c>
      <c r="AO253">
        <f>IF($AM253="","",IFERROR(VLOOKUP($AL253&amp;"-"&amp;$AM253,DECODE!$E$3:$F$21,2,FALSE),"?"))</f>
        <v/>
      </c>
      <c r="AP253">
        <f>IF($AK253="","",IFERROR(VALUE(RIGHT($AK253,3)),""))</f>
        <v/>
      </c>
      <c r="AQ253">
        <f>IF($T253="","",IFERROR(IF(ISNUMBER($T253),$T253,DATEVALUE(TRIM($T253))),""))</f>
        <v/>
      </c>
      <c r="AR253">
        <f>IF($AQ253="","",IF(MONTH($AQ253)&gt;=12,"Cold Winter",IF(MONTH($AQ253)&gt;=10,"Post-Monsoon",IF(MONTH($AQ253)&gt;=6,"Hot Humid",IF(MONTH($AQ253)&gt;=3,"Hot Dry","Cold Winter")))))</f>
        <v/>
      </c>
      <c r="AS253">
        <f>IF($AL253="","",IFERROR(VLOOKUP($AL253,DECODE!$A$3:$C$8,2,FALSE),"?"))</f>
        <v/>
      </c>
      <c r="AT253">
        <f>IF($O253="","",UPPER(TRIM(LEFT($O253&amp;",",FIND(",",$O253&amp;",")-1))))</f>
        <v/>
      </c>
      <c r="AU253">
        <f>IF($AT253="","",MID($AT253,4,FIND("~",SUBSTITUTE($AT253,"-","~",2))-4))</f>
        <v/>
      </c>
      <c r="AV253">
        <f>IF($AT253="","",MID($AT253,FIND("~",SUBSTITUTE($AT253,"-","~",2))+1,FIND("~",SUBSTITUTE($AT253,"-","~",3))-FIND("~",SUBSTITUTE($AT253,"-","~",2))-1))</f>
        <v/>
      </c>
      <c r="AW253">
        <f>IF($AU253="","",IFERROR(VLOOKUP($AU253,DECODE!$A$3:$C$8,3,FALSE),"?"))</f>
        <v/>
      </c>
      <c r="AX253">
        <f>IF($AV253="","",IFERROR(VLOOKUP($AU253&amp;"-"&amp;$AV253,DECODE!$E$3:$F$21,2,FALSE),"?"))</f>
        <v/>
      </c>
      <c r="AY253">
        <f>IF($AT253="","",IFERROR(VALUE(RIGHT($AT253,3)),""))</f>
        <v/>
      </c>
      <c r="AZ253">
        <f>IF($U253="","",IFERROR(IF(ISNUMBER($U253),$U253,DATEVALUE(TRIM($U253))),""))</f>
        <v/>
      </c>
      <c r="BA253">
        <f>IF($AZ253="","",IF(MONTH($AZ253)&gt;=12,"Cold Winter",IF(MONTH($AZ253)&gt;=10,"Post-Monsoon",IF(MONTH($AZ253)&gt;=6,"Hot Humid",IF(MONTH($AZ253)&gt;=3,"Hot Dry","Cold Winter")))))</f>
        <v/>
      </c>
      <c r="BB253">
        <f>IF($AU253="","",IFERROR(VLOOKUP($AU253,DECODE!$A$3:$C$8,2,FALSE),"?"))</f>
        <v/>
      </c>
      <c r="BC253">
        <f>IF($P253="","",UPPER(TRIM(LEFT($P253&amp;",",FIND(",",$P253&amp;",")-1))))</f>
        <v/>
      </c>
      <c r="BD253">
        <f>IF($BC253="","",MID($BC253,4,FIND("~",SUBSTITUTE($BC253,"-","~",2))-4))</f>
        <v/>
      </c>
      <c r="BE253">
        <f>IF($BC253="","",MID($BC253,FIND("~",SUBSTITUTE($BC253,"-","~",2))+1,FIND("~",SUBSTITUTE($BC253,"-","~",3))-FIND("~",SUBSTITUTE($BC253,"-","~",2))-1))</f>
        <v/>
      </c>
      <c r="BF253">
        <f>IF($BD253="","",IFERROR(VLOOKUP($BD253,DECODE!$A$3:$C$8,3,FALSE),"?"))</f>
        <v/>
      </c>
      <c r="BG253">
        <f>IF($BE253="","",IFERROR(VLOOKUP($BD253&amp;"-"&amp;$BE253,DECODE!$E$3:$F$21,2,FALSE),"?"))</f>
        <v/>
      </c>
      <c r="BH253">
        <f>IF($BC253="","",IFERROR(VALUE(RIGHT($BC253,3)),""))</f>
        <v/>
      </c>
      <c r="BI253">
        <f>IF($V253="","",IFERROR(IF(ISNUMBER($V253),$V253,DATEVALUE(TRIM($V253))),""))</f>
        <v/>
      </c>
      <c r="BJ253">
        <f>IF($BI253="","",IF(MONTH($BI253)&gt;=12,"Cold Winter",IF(MONTH($BI253)&gt;=10,"Post-Monsoon",IF(MONTH($BI253)&gt;=6,"Hot Humid",IF(MONTH($BI253)&gt;=3,"Hot Dry","Cold Winter")))))</f>
        <v/>
      </c>
      <c r="BK253">
        <f>IF($BD253="","",IFERROR(VLOOKUP($BD253,DECODE!$A$3:$C$8,2,FALSE),"?"))</f>
        <v/>
      </c>
      <c r="BL253">
        <f>IF($Q253="","",UPPER(TRIM(LEFT($Q253&amp;",",FIND(",",$Q253&amp;",")-1))))</f>
        <v/>
      </c>
      <c r="BM253">
        <f>IF($BL253="","",MID($BL253,4,FIND("~",SUBSTITUTE($BL253,"-","~",2))-4))</f>
        <v/>
      </c>
      <c r="BN253">
        <f>IF($BL253="","",MID($BL253,FIND("~",SUBSTITUTE($BL253,"-","~",2))+1,FIND("~",SUBSTITUTE($BL253,"-","~",3))-FIND("~",SUBSTITUTE($BL253,"-","~",2))-1))</f>
        <v/>
      </c>
      <c r="BO253">
        <f>IF($BM253="","",IFERROR(VLOOKUP($BM253,DECODE!$A$3:$C$8,3,FALSE),"?"))</f>
        <v/>
      </c>
      <c r="BP253">
        <f>IF($BN253="","",IFERROR(VLOOKUP($BM253&amp;"-"&amp;$BN253,DECODE!$E$3:$F$21,2,FALSE),"?"))</f>
        <v/>
      </c>
      <c r="BQ253">
        <f>IF($BL253="","",IFERROR(VALUE(RIGHT($BL253,3)),""))</f>
        <v/>
      </c>
      <c r="BR253">
        <f>IF($W253="","",IFERROR(IF(ISNUMBER($W253),$W253,DATEVALUE(TRIM($W253))),""))</f>
        <v/>
      </c>
      <c r="BS253">
        <f>IF($BR253="","",IF(MONTH($BR253)&gt;=12,"Cold Winter",IF(MONTH($BR253)&gt;=10,"Post-Monsoon",IF(MONTH($BR253)&gt;=6,"Hot Humid",IF(MONTH($BR253)&gt;=3,"Hot Dry","Cold Winter")))))</f>
        <v/>
      </c>
      <c r="BT253">
        <f>IF($BM253="","",IFERROR(VLOOKUP($BM253,DECODE!$A$3:$C$8,2,FALSE),"?"))</f>
        <v/>
      </c>
      <c r="BU253">
        <f>IF($R253="","",UPPER(TRIM(LEFT($R253&amp;",",FIND(",",$R253&amp;",")-1))))</f>
        <v/>
      </c>
      <c r="BV253">
        <f>IF($BU253="","",MID($BU253,4,FIND("~",SUBSTITUTE($BU253,"-","~",2))-4))</f>
        <v/>
      </c>
      <c r="BW253">
        <f>IF($BU253="","",MID($BU253,FIND("~",SUBSTITUTE($BU253,"-","~",2))+1,FIND("~",SUBSTITUTE($BU253,"-","~",3))-FIND("~",SUBSTITUTE($BU253,"-","~",2))-1))</f>
        <v/>
      </c>
      <c r="BX253">
        <f>IF($BV253="","",IFERROR(VLOOKUP($BV253,DECODE!$A$3:$C$8,3,FALSE),"?"))</f>
        <v/>
      </c>
      <c r="BY253">
        <f>IF($BW253="","",IFERROR(VLOOKUP($BV253&amp;"-"&amp;$BW253,DECODE!$E$3:$F$21,2,FALSE),"?"))</f>
        <v/>
      </c>
      <c r="BZ253">
        <f>IF($BU253="","",IFERROR(VALUE(RIGHT($BU253,3)),""))</f>
        <v/>
      </c>
      <c r="CA253">
        <f>IF($X253="","",IFERROR(IF(ISNUMBER($X253),$X253,DATEVALUE(TRIM($X253))),""))</f>
        <v/>
      </c>
      <c r="CB253">
        <f>IF($CA253="","",IF(MONTH($CA253)&gt;=12,"Cold Winter",IF(MONTH($CA253)&gt;=10,"Post-Monsoon",IF(MONTH($CA253)&gt;=6,"Hot Humid",IF(MONTH($CA253)&gt;=3,"Hot Dry","Cold Winter")))))</f>
        <v/>
      </c>
      <c r="CC253">
        <f>IF($BV253="","",IFERROR(VLOOKUP($BV253,DECODE!$A$3:$C$8,2,FALSE),"?"))</f>
        <v/>
      </c>
      <c r="CD253">
        <f>IF($S253="","",UPPER(TRIM(LEFT($S253&amp;",",FIND(",",$S253&amp;",")-1))))</f>
        <v/>
      </c>
      <c r="CE253">
        <f>IF($CD253="","",MID($CD253,4,FIND("~",SUBSTITUTE($CD253,"-","~",2))-4))</f>
        <v/>
      </c>
      <c r="CF253">
        <f>IF($CD253="","",MID($CD253,FIND("~",SUBSTITUTE($CD253,"-","~",2))+1,FIND("~",SUBSTITUTE($CD253,"-","~",3))-FIND("~",SUBSTITUTE($CD253,"-","~",2))-1))</f>
        <v/>
      </c>
      <c r="CG253">
        <f>IF($CE253="","",IFERROR(VLOOKUP($CE253,DECODE!$A$3:$C$8,3,FALSE),"?"))</f>
        <v/>
      </c>
      <c r="CH253">
        <f>IF($CF253="","",IFERROR(VLOOKUP($CE253&amp;"-"&amp;$CF253,DECODE!$E$3:$F$21,2,FALSE),"?"))</f>
        <v/>
      </c>
      <c r="CI253">
        <f>IF($CD253="","",IFERROR(VALUE(RIGHT($CD253,3)),""))</f>
        <v/>
      </c>
      <c r="CJ253">
        <f>IF($Y253="","",IFERROR(IF(ISNUMBER($Y253),$Y253,DATEVALUE(TRIM($Y253))),""))</f>
        <v/>
      </c>
      <c r="CK253">
        <f>IF($CJ253="","",IF(MONTH($CJ253)&gt;=12,"Cold Winter",IF(MONTH($CJ253)&gt;=10,"Post-Monsoon",IF(MONTH($CJ253)&gt;=6,"Hot Humid",IF(MONTH($CJ253)&gt;=3,"Hot Dry","Cold Winter")))))</f>
        <v/>
      </c>
      <c r="CL253">
        <f>IF($CE253="","",IFERROR(VLOOKUP($CE253,DECODE!$A$3:$C$8,2,FALSE),"?"))</f>
        <v/>
      </c>
      <c r="CM253">
        <f>IF($AN253="","",AN253)</f>
        <v/>
      </c>
      <c r="CN253">
        <f>IF($AO253="","",AO253)</f>
        <v/>
      </c>
      <c r="CO253">
        <f>IF($AP253="","",AP253)</f>
        <v/>
      </c>
      <c r="CP253">
        <f>IF($CM253="","",IF($CM253="Aloe Vera Gel","Aloe Vera Gel "&amp;$CO253&amp;"g",CN253&amp;" "&amp;$CO253&amp;"g"))</f>
        <v/>
      </c>
      <c r="CQ253">
        <f>IF($AT253="",0,1)</f>
        <v/>
      </c>
      <c r="CR253">
        <f>IF($CQ253=0,"",AW253)</f>
        <v/>
      </c>
      <c r="CS253">
        <f>IF($CQ253=0,"",AX253)</f>
        <v/>
      </c>
      <c r="CT253">
        <f>IF($CQ253=0,"",AY253)</f>
        <v/>
      </c>
      <c r="CU253">
        <f>IF($CR253="","",IF($CR253="Aloe Vera Gel","Aloe Vera Gel "&amp;$CT253&amp;"g",CS253&amp;" "&amp;$CT253&amp;"g"))</f>
        <v/>
      </c>
      <c r="CV253">
        <f>IF($CQ253=0,"",IF($CP253=$CU253,"Repeat Exact",IF($CT253&gt;$CO253,"Upsized",IF($CT253&lt;$CO253,"Downsized",IF($CM253&lt;&gt;$CR253,"Lateral","Same Size Diff Variant")))))</f>
        <v/>
      </c>
      <c r="CW253">
        <f>IF($CQ253=0,"",AZ253-AQ253)</f>
        <v/>
      </c>
      <c r="CX253">
        <f>IF($CQ253=0,0,IF(CS253=CN253,1,0))</f>
        <v/>
      </c>
      <c r="CY253">
        <f>IF($CQ253=0,0,IF(CR253=CM253,1,0))</f>
        <v/>
      </c>
      <c r="CZ253">
        <f>IF($A253="","",IF(AND(IF(DASHBOARD!$C$4="All",TRUE,$CM253=DASHBOARD!$C$4),IF(DASHBOARD!$C$6="All",TRUE,$CP253=DASHBOARD!$C$6),IF(DASHBOARD!$C$8="All",TRUE,$AF253&gt;=DASHBOARD!$C$8),IF(DASHBOARD!$C$10="All",TRUE,$AF253&lt;=DASHBOARD!$C$10),IF(DASHBOARD!$C$12="All",TRUE,$AH253=VALUE(DASHBOARD!$C$12)),IF(DASHBOARD!$C$14="All",TRUE,$AJ253=DASHBOARD!$C$14)),1,0))</f>
        <v/>
      </c>
    </row>
    <row r="254">
      <c r="A254" t="n">
        <v>151435</v>
      </c>
      <c r="B254" t="inlineStr">
        <is>
          <t>Aloe Vera Gel</t>
        </is>
      </c>
      <c r="H254" t="inlineStr">
        <is>
          <t>Aloe Vera Gel - 40 gms</t>
        </is>
      </c>
      <c r="N254" t="inlineStr">
        <is>
          <t>FC-HG-PA-040</t>
        </is>
      </c>
      <c r="T254" t="inlineStr">
        <is>
          <t>Oct 13, 2024</t>
        </is>
      </c>
      <c r="AE254" t="inlineStr">
        <is>
          <t>Visakhapatnam</t>
        </is>
      </c>
      <c r="AF254" t="inlineStr">
        <is>
          <t>2024-10</t>
        </is>
      </c>
      <c r="AG254" t="n">
        <v>10</v>
      </c>
      <c r="AH254" t="n">
        <v>1</v>
      </c>
      <c r="AI254" t="n">
        <v>0</v>
      </c>
      <c r="AJ254">
        <f>IF($AE254="","",IFERROR(VLOOKUP(TRIM($AE254),DECODE!$H$3:$I$60,2,FALSE),"Rest of India"))</f>
        <v/>
      </c>
      <c r="AK254">
        <f>IF($N254="","",UPPER(TRIM(LEFT($N254&amp;",",FIND(",",$N254&amp;",")-1))))</f>
        <v/>
      </c>
      <c r="AL254">
        <f>IF($AK254="","",MID($AK254,4,FIND("~",SUBSTITUTE($AK254,"-","~",2))-4))</f>
        <v/>
      </c>
      <c r="AM254">
        <f>IF($AK254="","",MID($AK254,FIND("~",SUBSTITUTE($AK254,"-","~",2))+1,FIND("~",SUBSTITUTE($AK254,"-","~",3))-FIND("~",SUBSTITUTE($AK254,"-","~",2))-1))</f>
        <v/>
      </c>
      <c r="AN254">
        <f>IF($AL254="","",IFERROR(VLOOKUP($AL254,DECODE!$A$3:$C$8,3,FALSE),"?"))</f>
        <v/>
      </c>
      <c r="AO254">
        <f>IF($AM254="","",IFERROR(VLOOKUP($AL254&amp;"-"&amp;$AM254,DECODE!$E$3:$F$21,2,FALSE),"?"))</f>
        <v/>
      </c>
      <c r="AP254">
        <f>IF($AK254="","",IFERROR(VALUE(RIGHT($AK254,3)),""))</f>
        <v/>
      </c>
      <c r="AQ254">
        <f>IF($T254="","",IFERROR(IF(ISNUMBER($T254),$T254,DATEVALUE(TRIM($T254))),""))</f>
        <v/>
      </c>
      <c r="AR254">
        <f>IF($AQ254="","",IF(MONTH($AQ254)&gt;=12,"Cold Winter",IF(MONTH($AQ254)&gt;=10,"Post-Monsoon",IF(MONTH($AQ254)&gt;=6,"Hot Humid",IF(MONTH($AQ254)&gt;=3,"Hot Dry","Cold Winter")))))</f>
        <v/>
      </c>
      <c r="AS254">
        <f>IF($AL254="","",IFERROR(VLOOKUP($AL254,DECODE!$A$3:$C$8,2,FALSE),"?"))</f>
        <v/>
      </c>
      <c r="AT254">
        <f>IF($O254="","",UPPER(TRIM(LEFT($O254&amp;",",FIND(",",$O254&amp;",")-1))))</f>
        <v/>
      </c>
      <c r="AU254">
        <f>IF($AT254="","",MID($AT254,4,FIND("~",SUBSTITUTE($AT254,"-","~",2))-4))</f>
        <v/>
      </c>
      <c r="AV254">
        <f>IF($AT254="","",MID($AT254,FIND("~",SUBSTITUTE($AT254,"-","~",2))+1,FIND("~",SUBSTITUTE($AT254,"-","~",3))-FIND("~",SUBSTITUTE($AT254,"-","~",2))-1))</f>
        <v/>
      </c>
      <c r="AW254">
        <f>IF($AU254="","",IFERROR(VLOOKUP($AU254,DECODE!$A$3:$C$8,3,FALSE),"?"))</f>
        <v/>
      </c>
      <c r="AX254">
        <f>IF($AV254="","",IFERROR(VLOOKUP($AU254&amp;"-"&amp;$AV254,DECODE!$E$3:$F$21,2,FALSE),"?"))</f>
        <v/>
      </c>
      <c r="AY254">
        <f>IF($AT254="","",IFERROR(VALUE(RIGHT($AT254,3)),""))</f>
        <v/>
      </c>
      <c r="AZ254">
        <f>IF($U254="","",IFERROR(IF(ISNUMBER($U254),$U254,DATEVALUE(TRIM($U254))),""))</f>
        <v/>
      </c>
      <c r="BA254">
        <f>IF($AZ254="","",IF(MONTH($AZ254)&gt;=12,"Cold Winter",IF(MONTH($AZ254)&gt;=10,"Post-Monsoon",IF(MONTH($AZ254)&gt;=6,"Hot Humid",IF(MONTH($AZ254)&gt;=3,"Hot Dry","Cold Winter")))))</f>
        <v/>
      </c>
      <c r="BB254">
        <f>IF($AU254="","",IFERROR(VLOOKUP($AU254,DECODE!$A$3:$C$8,2,FALSE),"?"))</f>
        <v/>
      </c>
      <c r="BC254">
        <f>IF($P254="","",UPPER(TRIM(LEFT($P254&amp;",",FIND(",",$P254&amp;",")-1))))</f>
        <v/>
      </c>
      <c r="BD254">
        <f>IF($BC254="","",MID($BC254,4,FIND("~",SUBSTITUTE($BC254,"-","~",2))-4))</f>
        <v/>
      </c>
      <c r="BE254">
        <f>IF($BC254="","",MID($BC254,FIND("~",SUBSTITUTE($BC254,"-","~",2))+1,FIND("~",SUBSTITUTE($BC254,"-","~",3))-FIND("~",SUBSTITUTE($BC254,"-","~",2))-1))</f>
        <v/>
      </c>
      <c r="BF254">
        <f>IF($BD254="","",IFERROR(VLOOKUP($BD254,DECODE!$A$3:$C$8,3,FALSE),"?"))</f>
        <v/>
      </c>
      <c r="BG254">
        <f>IF($BE254="","",IFERROR(VLOOKUP($BD254&amp;"-"&amp;$BE254,DECODE!$E$3:$F$21,2,FALSE),"?"))</f>
        <v/>
      </c>
      <c r="BH254">
        <f>IF($BC254="","",IFERROR(VALUE(RIGHT($BC254,3)),""))</f>
        <v/>
      </c>
      <c r="BI254">
        <f>IF($V254="","",IFERROR(IF(ISNUMBER($V254),$V254,DATEVALUE(TRIM($V254))),""))</f>
        <v/>
      </c>
      <c r="BJ254">
        <f>IF($BI254="","",IF(MONTH($BI254)&gt;=12,"Cold Winter",IF(MONTH($BI254)&gt;=10,"Post-Monsoon",IF(MONTH($BI254)&gt;=6,"Hot Humid",IF(MONTH($BI254)&gt;=3,"Hot Dry","Cold Winter")))))</f>
        <v/>
      </c>
      <c r="BK254">
        <f>IF($BD254="","",IFERROR(VLOOKUP($BD254,DECODE!$A$3:$C$8,2,FALSE),"?"))</f>
        <v/>
      </c>
      <c r="BL254">
        <f>IF($Q254="","",UPPER(TRIM(LEFT($Q254&amp;",",FIND(",",$Q254&amp;",")-1))))</f>
        <v/>
      </c>
      <c r="BM254">
        <f>IF($BL254="","",MID($BL254,4,FIND("~",SUBSTITUTE($BL254,"-","~",2))-4))</f>
        <v/>
      </c>
      <c r="BN254">
        <f>IF($BL254="","",MID($BL254,FIND("~",SUBSTITUTE($BL254,"-","~",2))+1,FIND("~",SUBSTITUTE($BL254,"-","~",3))-FIND("~",SUBSTITUTE($BL254,"-","~",2))-1))</f>
        <v/>
      </c>
      <c r="BO254">
        <f>IF($BM254="","",IFERROR(VLOOKUP($BM254,DECODE!$A$3:$C$8,3,FALSE),"?"))</f>
        <v/>
      </c>
      <c r="BP254">
        <f>IF($BN254="","",IFERROR(VLOOKUP($BM254&amp;"-"&amp;$BN254,DECODE!$E$3:$F$21,2,FALSE),"?"))</f>
        <v/>
      </c>
      <c r="BQ254">
        <f>IF($BL254="","",IFERROR(VALUE(RIGHT($BL254,3)),""))</f>
        <v/>
      </c>
      <c r="BR254">
        <f>IF($W254="","",IFERROR(IF(ISNUMBER($W254),$W254,DATEVALUE(TRIM($W254))),""))</f>
        <v/>
      </c>
      <c r="BS254">
        <f>IF($BR254="","",IF(MONTH($BR254)&gt;=12,"Cold Winter",IF(MONTH($BR254)&gt;=10,"Post-Monsoon",IF(MONTH($BR254)&gt;=6,"Hot Humid",IF(MONTH($BR254)&gt;=3,"Hot Dry","Cold Winter")))))</f>
        <v/>
      </c>
      <c r="BT254">
        <f>IF($BM254="","",IFERROR(VLOOKUP($BM254,DECODE!$A$3:$C$8,2,FALSE),"?"))</f>
        <v/>
      </c>
      <c r="BU254">
        <f>IF($R254="","",UPPER(TRIM(LEFT($R254&amp;",",FIND(",",$R254&amp;",")-1))))</f>
        <v/>
      </c>
      <c r="BV254">
        <f>IF($BU254="","",MID($BU254,4,FIND("~",SUBSTITUTE($BU254,"-","~",2))-4))</f>
        <v/>
      </c>
      <c r="BW254">
        <f>IF($BU254="","",MID($BU254,FIND("~",SUBSTITUTE($BU254,"-","~",2))+1,FIND("~",SUBSTITUTE($BU254,"-","~",3))-FIND("~",SUBSTITUTE($BU254,"-","~",2))-1))</f>
        <v/>
      </c>
      <c r="BX254">
        <f>IF($BV254="","",IFERROR(VLOOKUP($BV254,DECODE!$A$3:$C$8,3,FALSE),"?"))</f>
        <v/>
      </c>
      <c r="BY254">
        <f>IF($BW254="","",IFERROR(VLOOKUP($BV254&amp;"-"&amp;$BW254,DECODE!$E$3:$F$21,2,FALSE),"?"))</f>
        <v/>
      </c>
      <c r="BZ254">
        <f>IF($BU254="","",IFERROR(VALUE(RIGHT($BU254,3)),""))</f>
        <v/>
      </c>
      <c r="CA254">
        <f>IF($X254="","",IFERROR(IF(ISNUMBER($X254),$X254,DATEVALUE(TRIM($X254))),""))</f>
        <v/>
      </c>
      <c r="CB254">
        <f>IF($CA254="","",IF(MONTH($CA254)&gt;=12,"Cold Winter",IF(MONTH($CA254)&gt;=10,"Post-Monsoon",IF(MONTH($CA254)&gt;=6,"Hot Humid",IF(MONTH($CA254)&gt;=3,"Hot Dry","Cold Winter")))))</f>
        <v/>
      </c>
      <c r="CC254">
        <f>IF($BV254="","",IFERROR(VLOOKUP($BV254,DECODE!$A$3:$C$8,2,FALSE),"?"))</f>
        <v/>
      </c>
      <c r="CD254">
        <f>IF($S254="","",UPPER(TRIM(LEFT($S254&amp;",",FIND(",",$S254&amp;",")-1))))</f>
        <v/>
      </c>
      <c r="CE254">
        <f>IF($CD254="","",MID($CD254,4,FIND("~",SUBSTITUTE($CD254,"-","~",2))-4))</f>
        <v/>
      </c>
      <c r="CF254">
        <f>IF($CD254="","",MID($CD254,FIND("~",SUBSTITUTE($CD254,"-","~",2))+1,FIND("~",SUBSTITUTE($CD254,"-","~",3))-FIND("~",SUBSTITUTE($CD254,"-","~",2))-1))</f>
        <v/>
      </c>
      <c r="CG254">
        <f>IF($CE254="","",IFERROR(VLOOKUP($CE254,DECODE!$A$3:$C$8,3,FALSE),"?"))</f>
        <v/>
      </c>
      <c r="CH254">
        <f>IF($CF254="","",IFERROR(VLOOKUP($CE254&amp;"-"&amp;$CF254,DECODE!$E$3:$F$21,2,FALSE),"?"))</f>
        <v/>
      </c>
      <c r="CI254">
        <f>IF($CD254="","",IFERROR(VALUE(RIGHT($CD254,3)),""))</f>
        <v/>
      </c>
      <c r="CJ254">
        <f>IF($Y254="","",IFERROR(IF(ISNUMBER($Y254),$Y254,DATEVALUE(TRIM($Y254))),""))</f>
        <v/>
      </c>
      <c r="CK254">
        <f>IF($CJ254="","",IF(MONTH($CJ254)&gt;=12,"Cold Winter",IF(MONTH($CJ254)&gt;=10,"Post-Monsoon",IF(MONTH($CJ254)&gt;=6,"Hot Humid",IF(MONTH($CJ254)&gt;=3,"Hot Dry","Cold Winter")))))</f>
        <v/>
      </c>
      <c r="CL254">
        <f>IF($CE254="","",IFERROR(VLOOKUP($CE254,DECODE!$A$3:$C$8,2,FALSE),"?"))</f>
        <v/>
      </c>
      <c r="CM254">
        <f>IF($AN254="","",AN254)</f>
        <v/>
      </c>
      <c r="CN254">
        <f>IF($AO254="","",AO254)</f>
        <v/>
      </c>
      <c r="CO254">
        <f>IF($AP254="","",AP254)</f>
        <v/>
      </c>
      <c r="CP254">
        <f>IF($CM254="","",IF($CM254="Aloe Vera Gel","Aloe Vera Gel "&amp;$CO254&amp;"g",CN254&amp;" "&amp;$CO254&amp;"g"))</f>
        <v/>
      </c>
      <c r="CQ254">
        <f>IF($AT254="",0,1)</f>
        <v/>
      </c>
      <c r="CR254">
        <f>IF($CQ254=0,"",AW254)</f>
        <v/>
      </c>
      <c r="CS254">
        <f>IF($CQ254=0,"",AX254)</f>
        <v/>
      </c>
      <c r="CT254">
        <f>IF($CQ254=0,"",AY254)</f>
        <v/>
      </c>
      <c r="CU254">
        <f>IF($CR254="","",IF($CR254="Aloe Vera Gel","Aloe Vera Gel "&amp;$CT254&amp;"g",CS254&amp;" "&amp;$CT254&amp;"g"))</f>
        <v/>
      </c>
      <c r="CV254">
        <f>IF($CQ254=0,"",IF($CP254=$CU254,"Repeat Exact",IF($CT254&gt;$CO254,"Upsized",IF($CT254&lt;$CO254,"Downsized",IF($CM254&lt;&gt;$CR254,"Lateral","Same Size Diff Variant")))))</f>
        <v/>
      </c>
      <c r="CW254">
        <f>IF($CQ254=0,"",AZ254-AQ254)</f>
        <v/>
      </c>
      <c r="CX254">
        <f>IF($CQ254=0,0,IF(CS254=CN254,1,0))</f>
        <v/>
      </c>
      <c r="CY254">
        <f>IF($CQ254=0,0,IF(CR254=CM254,1,0))</f>
        <v/>
      </c>
      <c r="CZ254">
        <f>IF($A254="","",IF(AND(IF(DASHBOARD!$C$4="All",TRUE,$CM254=DASHBOARD!$C$4),IF(DASHBOARD!$C$6="All",TRUE,$CP254=DASHBOARD!$C$6),IF(DASHBOARD!$C$8="All",TRUE,$AF254&gt;=DASHBOARD!$C$8),IF(DASHBOARD!$C$10="All",TRUE,$AF254&lt;=DASHBOARD!$C$10),IF(DASHBOARD!$C$12="All",TRUE,$AH254=VALUE(DASHBOARD!$C$12)),IF(DASHBOARD!$C$14="All",TRUE,$AJ254=DASHBOARD!$C$14)),1,0))</f>
        <v/>
      </c>
    </row>
    <row r="255">
      <c r="A255" t="n">
        <v>152290</v>
      </c>
      <c r="B255" t="inlineStr">
        <is>
          <t>Face Malai</t>
        </is>
      </c>
      <c r="H255" t="inlineStr">
        <is>
          <t>Tomato Vetiver (Hot Humid) 20 - 35 Yrs Face Malai</t>
        </is>
      </c>
      <c r="N255" t="inlineStr">
        <is>
          <t>FC-HHDM-TV-030</t>
        </is>
      </c>
      <c r="T255" t="inlineStr">
        <is>
          <t>Mar 18, 2025</t>
        </is>
      </c>
      <c r="AE255" t="inlineStr">
        <is>
          <t>Nainital</t>
        </is>
      </c>
      <c r="AF255" t="inlineStr">
        <is>
          <t>2025-03</t>
        </is>
      </c>
      <c r="AG255" t="n">
        <v>3</v>
      </c>
      <c r="AH255" t="n">
        <v>1</v>
      </c>
      <c r="AI255" t="n">
        <v>0</v>
      </c>
      <c r="AJ255">
        <f>IF($AE255="","",IFERROR(VLOOKUP(TRIM($AE255),DECODE!$H$3:$I$60,2,FALSE),"Rest of India"))</f>
        <v/>
      </c>
      <c r="AK255">
        <f>IF($N255="","",UPPER(TRIM(LEFT($N255&amp;",",FIND(",",$N255&amp;",")-1))))</f>
        <v/>
      </c>
      <c r="AL255">
        <f>IF($AK255="","",MID($AK255,4,FIND("~",SUBSTITUTE($AK255,"-","~",2))-4))</f>
        <v/>
      </c>
      <c r="AM255">
        <f>IF($AK255="","",MID($AK255,FIND("~",SUBSTITUTE($AK255,"-","~",2))+1,FIND("~",SUBSTITUTE($AK255,"-","~",3))-FIND("~",SUBSTITUTE($AK255,"-","~",2))-1))</f>
        <v/>
      </c>
      <c r="AN255">
        <f>IF($AL255="","",IFERROR(VLOOKUP($AL255,DECODE!$A$3:$C$8,3,FALSE),"?"))</f>
        <v/>
      </c>
      <c r="AO255">
        <f>IF($AM255="","",IFERROR(VLOOKUP($AL255&amp;"-"&amp;$AM255,DECODE!$E$3:$F$21,2,FALSE),"?"))</f>
        <v/>
      </c>
      <c r="AP255">
        <f>IF($AK255="","",IFERROR(VALUE(RIGHT($AK255,3)),""))</f>
        <v/>
      </c>
      <c r="AQ255">
        <f>IF($T255="","",IFERROR(IF(ISNUMBER($T255),$T255,DATEVALUE(TRIM($T255))),""))</f>
        <v/>
      </c>
      <c r="AR255">
        <f>IF($AQ255="","",IF(MONTH($AQ255)&gt;=12,"Cold Winter",IF(MONTH($AQ255)&gt;=10,"Post-Monsoon",IF(MONTH($AQ255)&gt;=6,"Hot Humid",IF(MONTH($AQ255)&gt;=3,"Hot Dry","Cold Winter")))))</f>
        <v/>
      </c>
      <c r="AS255">
        <f>IF($AL255="","",IFERROR(VLOOKUP($AL255,DECODE!$A$3:$C$8,2,FALSE),"?"))</f>
        <v/>
      </c>
      <c r="AT255">
        <f>IF($O255="","",UPPER(TRIM(LEFT($O255&amp;",",FIND(",",$O255&amp;",")-1))))</f>
        <v/>
      </c>
      <c r="AU255">
        <f>IF($AT255="","",MID($AT255,4,FIND("~",SUBSTITUTE($AT255,"-","~",2))-4))</f>
        <v/>
      </c>
      <c r="AV255">
        <f>IF($AT255="","",MID($AT255,FIND("~",SUBSTITUTE($AT255,"-","~",2))+1,FIND("~",SUBSTITUTE($AT255,"-","~",3))-FIND("~",SUBSTITUTE($AT255,"-","~",2))-1))</f>
        <v/>
      </c>
      <c r="AW255">
        <f>IF($AU255="","",IFERROR(VLOOKUP($AU255,DECODE!$A$3:$C$8,3,FALSE),"?"))</f>
        <v/>
      </c>
      <c r="AX255">
        <f>IF($AV255="","",IFERROR(VLOOKUP($AU255&amp;"-"&amp;$AV255,DECODE!$E$3:$F$21,2,FALSE),"?"))</f>
        <v/>
      </c>
      <c r="AY255">
        <f>IF($AT255="","",IFERROR(VALUE(RIGHT($AT255,3)),""))</f>
        <v/>
      </c>
      <c r="AZ255">
        <f>IF($U255="","",IFERROR(IF(ISNUMBER($U255),$U255,DATEVALUE(TRIM($U255))),""))</f>
        <v/>
      </c>
      <c r="BA255">
        <f>IF($AZ255="","",IF(MONTH($AZ255)&gt;=12,"Cold Winter",IF(MONTH($AZ255)&gt;=10,"Post-Monsoon",IF(MONTH($AZ255)&gt;=6,"Hot Humid",IF(MONTH($AZ255)&gt;=3,"Hot Dry","Cold Winter")))))</f>
        <v/>
      </c>
      <c r="BB255">
        <f>IF($AU255="","",IFERROR(VLOOKUP($AU255,DECODE!$A$3:$C$8,2,FALSE),"?"))</f>
        <v/>
      </c>
      <c r="BC255">
        <f>IF($P255="","",UPPER(TRIM(LEFT($P255&amp;",",FIND(",",$P255&amp;",")-1))))</f>
        <v/>
      </c>
      <c r="BD255">
        <f>IF($BC255="","",MID($BC255,4,FIND("~",SUBSTITUTE($BC255,"-","~",2))-4))</f>
        <v/>
      </c>
      <c r="BE255">
        <f>IF($BC255="","",MID($BC255,FIND("~",SUBSTITUTE($BC255,"-","~",2))+1,FIND("~",SUBSTITUTE($BC255,"-","~",3))-FIND("~",SUBSTITUTE($BC255,"-","~",2))-1))</f>
        <v/>
      </c>
      <c r="BF255">
        <f>IF($BD255="","",IFERROR(VLOOKUP($BD255,DECODE!$A$3:$C$8,3,FALSE),"?"))</f>
        <v/>
      </c>
      <c r="BG255">
        <f>IF($BE255="","",IFERROR(VLOOKUP($BD255&amp;"-"&amp;$BE255,DECODE!$E$3:$F$21,2,FALSE),"?"))</f>
        <v/>
      </c>
      <c r="BH255">
        <f>IF($BC255="","",IFERROR(VALUE(RIGHT($BC255,3)),""))</f>
        <v/>
      </c>
      <c r="BI255">
        <f>IF($V255="","",IFERROR(IF(ISNUMBER($V255),$V255,DATEVALUE(TRIM($V255))),""))</f>
        <v/>
      </c>
      <c r="BJ255">
        <f>IF($BI255="","",IF(MONTH($BI255)&gt;=12,"Cold Winter",IF(MONTH($BI255)&gt;=10,"Post-Monsoon",IF(MONTH($BI255)&gt;=6,"Hot Humid",IF(MONTH($BI255)&gt;=3,"Hot Dry","Cold Winter")))))</f>
        <v/>
      </c>
      <c r="BK255">
        <f>IF($BD255="","",IFERROR(VLOOKUP($BD255,DECODE!$A$3:$C$8,2,FALSE),"?"))</f>
        <v/>
      </c>
      <c r="BL255">
        <f>IF($Q255="","",UPPER(TRIM(LEFT($Q255&amp;",",FIND(",",$Q255&amp;",")-1))))</f>
        <v/>
      </c>
      <c r="BM255">
        <f>IF($BL255="","",MID($BL255,4,FIND("~",SUBSTITUTE($BL255,"-","~",2))-4))</f>
        <v/>
      </c>
      <c r="BN255">
        <f>IF($BL255="","",MID($BL255,FIND("~",SUBSTITUTE($BL255,"-","~",2))+1,FIND("~",SUBSTITUTE($BL255,"-","~",3))-FIND("~",SUBSTITUTE($BL255,"-","~",2))-1))</f>
        <v/>
      </c>
      <c r="BO255">
        <f>IF($BM255="","",IFERROR(VLOOKUP($BM255,DECODE!$A$3:$C$8,3,FALSE),"?"))</f>
        <v/>
      </c>
      <c r="BP255">
        <f>IF($BN255="","",IFERROR(VLOOKUP($BM255&amp;"-"&amp;$BN255,DECODE!$E$3:$F$21,2,FALSE),"?"))</f>
        <v/>
      </c>
      <c r="BQ255">
        <f>IF($BL255="","",IFERROR(VALUE(RIGHT($BL255,3)),""))</f>
        <v/>
      </c>
      <c r="BR255">
        <f>IF($W255="","",IFERROR(IF(ISNUMBER($W255),$W255,DATEVALUE(TRIM($W255))),""))</f>
        <v/>
      </c>
      <c r="BS255">
        <f>IF($BR255="","",IF(MONTH($BR255)&gt;=12,"Cold Winter",IF(MONTH($BR255)&gt;=10,"Post-Monsoon",IF(MONTH($BR255)&gt;=6,"Hot Humid",IF(MONTH($BR255)&gt;=3,"Hot Dry","Cold Winter")))))</f>
        <v/>
      </c>
      <c r="BT255">
        <f>IF($BM255="","",IFERROR(VLOOKUP($BM255,DECODE!$A$3:$C$8,2,FALSE),"?"))</f>
        <v/>
      </c>
      <c r="BU255">
        <f>IF($R255="","",UPPER(TRIM(LEFT($R255&amp;",",FIND(",",$R255&amp;",")-1))))</f>
        <v/>
      </c>
      <c r="BV255">
        <f>IF($BU255="","",MID($BU255,4,FIND("~",SUBSTITUTE($BU255,"-","~",2))-4))</f>
        <v/>
      </c>
      <c r="BW255">
        <f>IF($BU255="","",MID($BU255,FIND("~",SUBSTITUTE($BU255,"-","~",2))+1,FIND("~",SUBSTITUTE($BU255,"-","~",3))-FIND("~",SUBSTITUTE($BU255,"-","~",2))-1))</f>
        <v/>
      </c>
      <c r="BX255">
        <f>IF($BV255="","",IFERROR(VLOOKUP($BV255,DECODE!$A$3:$C$8,3,FALSE),"?"))</f>
        <v/>
      </c>
      <c r="BY255">
        <f>IF($BW255="","",IFERROR(VLOOKUP($BV255&amp;"-"&amp;$BW255,DECODE!$E$3:$F$21,2,FALSE),"?"))</f>
        <v/>
      </c>
      <c r="BZ255">
        <f>IF($BU255="","",IFERROR(VALUE(RIGHT($BU255,3)),""))</f>
        <v/>
      </c>
      <c r="CA255">
        <f>IF($X255="","",IFERROR(IF(ISNUMBER($X255),$X255,DATEVALUE(TRIM($X255))),""))</f>
        <v/>
      </c>
      <c r="CB255">
        <f>IF($CA255="","",IF(MONTH($CA255)&gt;=12,"Cold Winter",IF(MONTH($CA255)&gt;=10,"Post-Monsoon",IF(MONTH($CA255)&gt;=6,"Hot Humid",IF(MONTH($CA255)&gt;=3,"Hot Dry","Cold Winter")))))</f>
        <v/>
      </c>
      <c r="CC255">
        <f>IF($BV255="","",IFERROR(VLOOKUP($BV255,DECODE!$A$3:$C$8,2,FALSE),"?"))</f>
        <v/>
      </c>
      <c r="CD255">
        <f>IF($S255="","",UPPER(TRIM(LEFT($S255&amp;",",FIND(",",$S255&amp;",")-1))))</f>
        <v/>
      </c>
      <c r="CE255">
        <f>IF($CD255="","",MID($CD255,4,FIND("~",SUBSTITUTE($CD255,"-","~",2))-4))</f>
        <v/>
      </c>
      <c r="CF255">
        <f>IF($CD255="","",MID($CD255,FIND("~",SUBSTITUTE($CD255,"-","~",2))+1,FIND("~",SUBSTITUTE($CD255,"-","~",3))-FIND("~",SUBSTITUTE($CD255,"-","~",2))-1))</f>
        <v/>
      </c>
      <c r="CG255">
        <f>IF($CE255="","",IFERROR(VLOOKUP($CE255,DECODE!$A$3:$C$8,3,FALSE),"?"))</f>
        <v/>
      </c>
      <c r="CH255">
        <f>IF($CF255="","",IFERROR(VLOOKUP($CE255&amp;"-"&amp;$CF255,DECODE!$E$3:$F$21,2,FALSE),"?"))</f>
        <v/>
      </c>
      <c r="CI255">
        <f>IF($CD255="","",IFERROR(VALUE(RIGHT($CD255,3)),""))</f>
        <v/>
      </c>
      <c r="CJ255">
        <f>IF($Y255="","",IFERROR(IF(ISNUMBER($Y255),$Y255,DATEVALUE(TRIM($Y255))),""))</f>
        <v/>
      </c>
      <c r="CK255">
        <f>IF($CJ255="","",IF(MONTH($CJ255)&gt;=12,"Cold Winter",IF(MONTH($CJ255)&gt;=10,"Post-Monsoon",IF(MONTH($CJ255)&gt;=6,"Hot Humid",IF(MONTH($CJ255)&gt;=3,"Hot Dry","Cold Winter")))))</f>
        <v/>
      </c>
      <c r="CL255">
        <f>IF($CE255="","",IFERROR(VLOOKUP($CE255,DECODE!$A$3:$C$8,2,FALSE),"?"))</f>
        <v/>
      </c>
      <c r="CM255">
        <f>IF($AN255="","",AN255)</f>
        <v/>
      </c>
      <c r="CN255">
        <f>IF($AO255="","",AO255)</f>
        <v/>
      </c>
      <c r="CO255">
        <f>IF($AP255="","",AP255)</f>
        <v/>
      </c>
      <c r="CP255">
        <f>IF($CM255="","",IF($CM255="Aloe Vera Gel","Aloe Vera Gel "&amp;$CO255&amp;"g",CN255&amp;" "&amp;$CO255&amp;"g"))</f>
        <v/>
      </c>
      <c r="CQ255">
        <f>IF($AT255="",0,1)</f>
        <v/>
      </c>
      <c r="CR255">
        <f>IF($CQ255=0,"",AW255)</f>
        <v/>
      </c>
      <c r="CS255">
        <f>IF($CQ255=0,"",AX255)</f>
        <v/>
      </c>
      <c r="CT255">
        <f>IF($CQ255=0,"",AY255)</f>
        <v/>
      </c>
      <c r="CU255">
        <f>IF($CR255="","",IF($CR255="Aloe Vera Gel","Aloe Vera Gel "&amp;$CT255&amp;"g",CS255&amp;" "&amp;$CT255&amp;"g"))</f>
        <v/>
      </c>
      <c r="CV255">
        <f>IF($CQ255=0,"",IF($CP255=$CU255,"Repeat Exact",IF($CT255&gt;$CO255,"Upsized",IF($CT255&lt;$CO255,"Downsized",IF($CM255&lt;&gt;$CR255,"Lateral","Same Size Diff Variant")))))</f>
        <v/>
      </c>
      <c r="CW255">
        <f>IF($CQ255=0,"",AZ255-AQ255)</f>
        <v/>
      </c>
      <c r="CX255">
        <f>IF($CQ255=0,0,IF(CS255=CN255,1,0))</f>
        <v/>
      </c>
      <c r="CY255">
        <f>IF($CQ255=0,0,IF(CR255=CM255,1,0))</f>
        <v/>
      </c>
      <c r="CZ255">
        <f>IF($A255="","",IF(AND(IF(DASHBOARD!$C$4="All",TRUE,$CM255=DASHBOARD!$C$4),IF(DASHBOARD!$C$6="All",TRUE,$CP255=DASHBOARD!$C$6),IF(DASHBOARD!$C$8="All",TRUE,$AF255&gt;=DASHBOARD!$C$8),IF(DASHBOARD!$C$10="All",TRUE,$AF255&lt;=DASHBOARD!$C$10),IF(DASHBOARD!$C$12="All",TRUE,$AH255=VALUE(DASHBOARD!$C$12)),IF(DASHBOARD!$C$14="All",TRUE,$AJ255=DASHBOARD!$C$14)),1,0))</f>
        <v/>
      </c>
    </row>
    <row r="256">
      <c r="A256" t="n">
        <v>153737</v>
      </c>
      <c r="B256" t="inlineStr">
        <is>
          <t>Active Gel</t>
        </is>
      </c>
      <c r="H256" t="inlineStr">
        <is>
          <t>Active Orange Kiwi Vit-C Gel</t>
        </is>
      </c>
      <c r="N256" t="inlineStr">
        <is>
          <t>FC-AC-OK-050</t>
        </is>
      </c>
      <c r="T256" t="inlineStr">
        <is>
          <t>Jul 4, 2026</t>
        </is>
      </c>
      <c r="AE256" t="inlineStr">
        <is>
          <t>Mumbai</t>
        </is>
      </c>
      <c r="AF256" t="inlineStr">
        <is>
          <t>2026-07</t>
        </is>
      </c>
      <c r="AG256" t="n">
        <v>7</v>
      </c>
      <c r="AH256" t="n">
        <v>1</v>
      </c>
      <c r="AI256" t="n">
        <v>0</v>
      </c>
      <c r="AJ256">
        <f>IF($AE256="","",IFERROR(VLOOKUP(TRIM($AE256),DECODE!$H$3:$I$60,2,FALSE),"Rest of India"))</f>
        <v/>
      </c>
      <c r="AK256">
        <f>IF($N256="","",UPPER(TRIM(LEFT($N256&amp;",",FIND(",",$N256&amp;",")-1))))</f>
        <v/>
      </c>
      <c r="AL256">
        <f>IF($AK256="","",MID($AK256,4,FIND("~",SUBSTITUTE($AK256,"-","~",2))-4))</f>
        <v/>
      </c>
      <c r="AM256">
        <f>IF($AK256="","",MID($AK256,FIND("~",SUBSTITUTE($AK256,"-","~",2))+1,FIND("~",SUBSTITUTE($AK256,"-","~",3))-FIND("~",SUBSTITUTE($AK256,"-","~",2))-1))</f>
        <v/>
      </c>
      <c r="AN256">
        <f>IF($AL256="","",IFERROR(VLOOKUP($AL256,DECODE!$A$3:$C$8,3,FALSE),"?"))</f>
        <v/>
      </c>
      <c r="AO256">
        <f>IF($AM256="","",IFERROR(VLOOKUP($AL256&amp;"-"&amp;$AM256,DECODE!$E$3:$F$21,2,FALSE),"?"))</f>
        <v/>
      </c>
      <c r="AP256">
        <f>IF($AK256="","",IFERROR(VALUE(RIGHT($AK256,3)),""))</f>
        <v/>
      </c>
      <c r="AQ256">
        <f>IF($T256="","",IFERROR(IF(ISNUMBER($T256),$T256,DATEVALUE(TRIM($T256))),""))</f>
        <v/>
      </c>
      <c r="AR256">
        <f>IF($AQ256="","",IF(MONTH($AQ256)&gt;=12,"Cold Winter",IF(MONTH($AQ256)&gt;=10,"Post-Monsoon",IF(MONTH($AQ256)&gt;=6,"Hot Humid",IF(MONTH($AQ256)&gt;=3,"Hot Dry","Cold Winter")))))</f>
        <v/>
      </c>
      <c r="AS256">
        <f>IF($AL256="","",IFERROR(VLOOKUP($AL256,DECODE!$A$3:$C$8,2,FALSE),"?"))</f>
        <v/>
      </c>
      <c r="AT256">
        <f>IF($O256="","",UPPER(TRIM(LEFT($O256&amp;",",FIND(",",$O256&amp;",")-1))))</f>
        <v/>
      </c>
      <c r="AU256">
        <f>IF($AT256="","",MID($AT256,4,FIND("~",SUBSTITUTE($AT256,"-","~",2))-4))</f>
        <v/>
      </c>
      <c r="AV256">
        <f>IF($AT256="","",MID($AT256,FIND("~",SUBSTITUTE($AT256,"-","~",2))+1,FIND("~",SUBSTITUTE($AT256,"-","~",3))-FIND("~",SUBSTITUTE($AT256,"-","~",2))-1))</f>
        <v/>
      </c>
      <c r="AW256">
        <f>IF($AU256="","",IFERROR(VLOOKUP($AU256,DECODE!$A$3:$C$8,3,FALSE),"?"))</f>
        <v/>
      </c>
      <c r="AX256">
        <f>IF($AV256="","",IFERROR(VLOOKUP($AU256&amp;"-"&amp;$AV256,DECODE!$E$3:$F$21,2,FALSE),"?"))</f>
        <v/>
      </c>
      <c r="AY256">
        <f>IF($AT256="","",IFERROR(VALUE(RIGHT($AT256,3)),""))</f>
        <v/>
      </c>
      <c r="AZ256">
        <f>IF($U256="","",IFERROR(IF(ISNUMBER($U256),$U256,DATEVALUE(TRIM($U256))),""))</f>
        <v/>
      </c>
      <c r="BA256">
        <f>IF($AZ256="","",IF(MONTH($AZ256)&gt;=12,"Cold Winter",IF(MONTH($AZ256)&gt;=10,"Post-Monsoon",IF(MONTH($AZ256)&gt;=6,"Hot Humid",IF(MONTH($AZ256)&gt;=3,"Hot Dry","Cold Winter")))))</f>
        <v/>
      </c>
      <c r="BB256">
        <f>IF($AU256="","",IFERROR(VLOOKUP($AU256,DECODE!$A$3:$C$8,2,FALSE),"?"))</f>
        <v/>
      </c>
      <c r="BC256">
        <f>IF($P256="","",UPPER(TRIM(LEFT($P256&amp;",",FIND(",",$P256&amp;",")-1))))</f>
        <v/>
      </c>
      <c r="BD256">
        <f>IF($BC256="","",MID($BC256,4,FIND("~",SUBSTITUTE($BC256,"-","~",2))-4))</f>
        <v/>
      </c>
      <c r="BE256">
        <f>IF($BC256="","",MID($BC256,FIND("~",SUBSTITUTE($BC256,"-","~",2))+1,FIND("~",SUBSTITUTE($BC256,"-","~",3))-FIND("~",SUBSTITUTE($BC256,"-","~",2))-1))</f>
        <v/>
      </c>
      <c r="BF256">
        <f>IF($BD256="","",IFERROR(VLOOKUP($BD256,DECODE!$A$3:$C$8,3,FALSE),"?"))</f>
        <v/>
      </c>
      <c r="BG256">
        <f>IF($BE256="","",IFERROR(VLOOKUP($BD256&amp;"-"&amp;$BE256,DECODE!$E$3:$F$21,2,FALSE),"?"))</f>
        <v/>
      </c>
      <c r="BH256">
        <f>IF($BC256="","",IFERROR(VALUE(RIGHT($BC256,3)),""))</f>
        <v/>
      </c>
      <c r="BI256">
        <f>IF($V256="","",IFERROR(IF(ISNUMBER($V256),$V256,DATEVALUE(TRIM($V256))),""))</f>
        <v/>
      </c>
      <c r="BJ256">
        <f>IF($BI256="","",IF(MONTH($BI256)&gt;=12,"Cold Winter",IF(MONTH($BI256)&gt;=10,"Post-Monsoon",IF(MONTH($BI256)&gt;=6,"Hot Humid",IF(MONTH($BI256)&gt;=3,"Hot Dry","Cold Winter")))))</f>
        <v/>
      </c>
      <c r="BK256">
        <f>IF($BD256="","",IFERROR(VLOOKUP($BD256,DECODE!$A$3:$C$8,2,FALSE),"?"))</f>
        <v/>
      </c>
      <c r="BL256">
        <f>IF($Q256="","",UPPER(TRIM(LEFT($Q256&amp;",",FIND(",",$Q256&amp;",")-1))))</f>
        <v/>
      </c>
      <c r="BM256">
        <f>IF($BL256="","",MID($BL256,4,FIND("~",SUBSTITUTE($BL256,"-","~",2))-4))</f>
        <v/>
      </c>
      <c r="BN256">
        <f>IF($BL256="","",MID($BL256,FIND("~",SUBSTITUTE($BL256,"-","~",2))+1,FIND("~",SUBSTITUTE($BL256,"-","~",3))-FIND("~",SUBSTITUTE($BL256,"-","~",2))-1))</f>
        <v/>
      </c>
      <c r="BO256">
        <f>IF($BM256="","",IFERROR(VLOOKUP($BM256,DECODE!$A$3:$C$8,3,FALSE),"?"))</f>
        <v/>
      </c>
      <c r="BP256">
        <f>IF($BN256="","",IFERROR(VLOOKUP($BM256&amp;"-"&amp;$BN256,DECODE!$E$3:$F$21,2,FALSE),"?"))</f>
        <v/>
      </c>
      <c r="BQ256">
        <f>IF($BL256="","",IFERROR(VALUE(RIGHT($BL256,3)),""))</f>
        <v/>
      </c>
      <c r="BR256">
        <f>IF($W256="","",IFERROR(IF(ISNUMBER($W256),$W256,DATEVALUE(TRIM($W256))),""))</f>
        <v/>
      </c>
      <c r="BS256">
        <f>IF($BR256="","",IF(MONTH($BR256)&gt;=12,"Cold Winter",IF(MONTH($BR256)&gt;=10,"Post-Monsoon",IF(MONTH($BR256)&gt;=6,"Hot Humid",IF(MONTH($BR256)&gt;=3,"Hot Dry","Cold Winter")))))</f>
        <v/>
      </c>
      <c r="BT256">
        <f>IF($BM256="","",IFERROR(VLOOKUP($BM256,DECODE!$A$3:$C$8,2,FALSE),"?"))</f>
        <v/>
      </c>
      <c r="BU256">
        <f>IF($R256="","",UPPER(TRIM(LEFT($R256&amp;",",FIND(",",$R256&amp;",")-1))))</f>
        <v/>
      </c>
      <c r="BV256">
        <f>IF($BU256="","",MID($BU256,4,FIND("~",SUBSTITUTE($BU256,"-","~",2))-4))</f>
        <v/>
      </c>
      <c r="BW256">
        <f>IF($BU256="","",MID($BU256,FIND("~",SUBSTITUTE($BU256,"-","~",2))+1,FIND("~",SUBSTITUTE($BU256,"-","~",3))-FIND("~",SUBSTITUTE($BU256,"-","~",2))-1))</f>
        <v/>
      </c>
      <c r="BX256">
        <f>IF($BV256="","",IFERROR(VLOOKUP($BV256,DECODE!$A$3:$C$8,3,FALSE),"?"))</f>
        <v/>
      </c>
      <c r="BY256">
        <f>IF($BW256="","",IFERROR(VLOOKUP($BV256&amp;"-"&amp;$BW256,DECODE!$E$3:$F$21,2,FALSE),"?"))</f>
        <v/>
      </c>
      <c r="BZ256">
        <f>IF($BU256="","",IFERROR(VALUE(RIGHT($BU256,3)),""))</f>
        <v/>
      </c>
      <c r="CA256">
        <f>IF($X256="","",IFERROR(IF(ISNUMBER($X256),$X256,DATEVALUE(TRIM($X256))),""))</f>
        <v/>
      </c>
      <c r="CB256">
        <f>IF($CA256="","",IF(MONTH($CA256)&gt;=12,"Cold Winter",IF(MONTH($CA256)&gt;=10,"Post-Monsoon",IF(MONTH($CA256)&gt;=6,"Hot Humid",IF(MONTH($CA256)&gt;=3,"Hot Dry","Cold Winter")))))</f>
        <v/>
      </c>
      <c r="CC256">
        <f>IF($BV256="","",IFERROR(VLOOKUP($BV256,DECODE!$A$3:$C$8,2,FALSE),"?"))</f>
        <v/>
      </c>
      <c r="CD256">
        <f>IF($S256="","",UPPER(TRIM(LEFT($S256&amp;",",FIND(",",$S256&amp;",")-1))))</f>
        <v/>
      </c>
      <c r="CE256">
        <f>IF($CD256="","",MID($CD256,4,FIND("~",SUBSTITUTE($CD256,"-","~",2))-4))</f>
        <v/>
      </c>
      <c r="CF256">
        <f>IF($CD256="","",MID($CD256,FIND("~",SUBSTITUTE($CD256,"-","~",2))+1,FIND("~",SUBSTITUTE($CD256,"-","~",3))-FIND("~",SUBSTITUTE($CD256,"-","~",2))-1))</f>
        <v/>
      </c>
      <c r="CG256">
        <f>IF($CE256="","",IFERROR(VLOOKUP($CE256,DECODE!$A$3:$C$8,3,FALSE),"?"))</f>
        <v/>
      </c>
      <c r="CH256">
        <f>IF($CF256="","",IFERROR(VLOOKUP($CE256&amp;"-"&amp;$CF256,DECODE!$E$3:$F$21,2,FALSE),"?"))</f>
        <v/>
      </c>
      <c r="CI256">
        <f>IF($CD256="","",IFERROR(VALUE(RIGHT($CD256,3)),""))</f>
        <v/>
      </c>
      <c r="CJ256">
        <f>IF($Y256="","",IFERROR(IF(ISNUMBER($Y256),$Y256,DATEVALUE(TRIM($Y256))),""))</f>
        <v/>
      </c>
      <c r="CK256">
        <f>IF($CJ256="","",IF(MONTH($CJ256)&gt;=12,"Cold Winter",IF(MONTH($CJ256)&gt;=10,"Post-Monsoon",IF(MONTH($CJ256)&gt;=6,"Hot Humid",IF(MONTH($CJ256)&gt;=3,"Hot Dry","Cold Winter")))))</f>
        <v/>
      </c>
      <c r="CL256">
        <f>IF($CE256="","",IFERROR(VLOOKUP($CE256,DECODE!$A$3:$C$8,2,FALSE),"?"))</f>
        <v/>
      </c>
      <c r="CM256">
        <f>IF($AN256="","",AN256)</f>
        <v/>
      </c>
      <c r="CN256">
        <f>IF($AO256="","",AO256)</f>
        <v/>
      </c>
      <c r="CO256">
        <f>IF($AP256="","",AP256)</f>
        <v/>
      </c>
      <c r="CP256">
        <f>IF($CM256="","",IF($CM256="Aloe Vera Gel","Aloe Vera Gel "&amp;$CO256&amp;"g",CN256&amp;" "&amp;$CO256&amp;"g"))</f>
        <v/>
      </c>
      <c r="CQ256">
        <f>IF($AT256="",0,1)</f>
        <v/>
      </c>
      <c r="CR256">
        <f>IF($CQ256=0,"",AW256)</f>
        <v/>
      </c>
      <c r="CS256">
        <f>IF($CQ256=0,"",AX256)</f>
        <v/>
      </c>
      <c r="CT256">
        <f>IF($CQ256=0,"",AY256)</f>
        <v/>
      </c>
      <c r="CU256">
        <f>IF($CR256="","",IF($CR256="Aloe Vera Gel","Aloe Vera Gel "&amp;$CT256&amp;"g",CS256&amp;" "&amp;$CT256&amp;"g"))</f>
        <v/>
      </c>
      <c r="CV256">
        <f>IF($CQ256=0,"",IF($CP256=$CU256,"Repeat Exact",IF($CT256&gt;$CO256,"Upsized",IF($CT256&lt;$CO256,"Downsized",IF($CM256&lt;&gt;$CR256,"Lateral","Same Size Diff Variant")))))</f>
        <v/>
      </c>
      <c r="CW256">
        <f>IF($CQ256=0,"",AZ256-AQ256)</f>
        <v/>
      </c>
      <c r="CX256">
        <f>IF($CQ256=0,0,IF(CS256=CN256,1,0))</f>
        <v/>
      </c>
      <c r="CY256">
        <f>IF($CQ256=0,0,IF(CR256=CM256,1,0))</f>
        <v/>
      </c>
      <c r="CZ256">
        <f>IF($A256="","",IF(AND(IF(DASHBOARD!$C$4="All",TRUE,$CM256=DASHBOARD!$C$4),IF(DASHBOARD!$C$6="All",TRUE,$CP256=DASHBOARD!$C$6),IF(DASHBOARD!$C$8="All",TRUE,$AF256&gt;=DASHBOARD!$C$8),IF(DASHBOARD!$C$10="All",TRUE,$AF256&lt;=DASHBOARD!$C$10),IF(DASHBOARD!$C$12="All",TRUE,$AH256=VALUE(DASHBOARD!$C$12)),IF(DASHBOARD!$C$14="All",TRUE,$AJ256=DASHBOARD!$C$14)),1,0))</f>
        <v/>
      </c>
    </row>
    <row r="257">
      <c r="A257" t="n">
        <v>154446</v>
      </c>
      <c r="B257" t="inlineStr">
        <is>
          <t>Face Malai</t>
        </is>
      </c>
      <c r="H257" t="inlineStr">
        <is>
          <t>Flax Walnut (Cold) 35+ Face Malai</t>
        </is>
      </c>
      <c r="N257" t="inlineStr">
        <is>
          <t>FC-CWDM-FW-030</t>
        </is>
      </c>
      <c r="T257" t="inlineStr">
        <is>
          <t>Oct 25, 2024</t>
        </is>
      </c>
      <c r="AF257" t="inlineStr">
        <is>
          <t>2024-10</t>
        </is>
      </c>
      <c r="AG257" t="n">
        <v>10</v>
      </c>
      <c r="AH257" t="n">
        <v>1</v>
      </c>
      <c r="AI257" t="n">
        <v>0</v>
      </c>
      <c r="AJ257">
        <f>IF($AE257="","",IFERROR(VLOOKUP(TRIM($AE257),DECODE!$H$3:$I$60,2,FALSE),"Rest of India"))</f>
        <v/>
      </c>
      <c r="AK257">
        <f>IF($N257="","",UPPER(TRIM(LEFT($N257&amp;",",FIND(",",$N257&amp;",")-1))))</f>
        <v/>
      </c>
      <c r="AL257">
        <f>IF($AK257="","",MID($AK257,4,FIND("~",SUBSTITUTE($AK257,"-","~",2))-4))</f>
        <v/>
      </c>
      <c r="AM257">
        <f>IF($AK257="","",MID($AK257,FIND("~",SUBSTITUTE($AK257,"-","~",2))+1,FIND("~",SUBSTITUTE($AK257,"-","~",3))-FIND("~",SUBSTITUTE($AK257,"-","~",2))-1))</f>
        <v/>
      </c>
      <c r="AN257">
        <f>IF($AL257="","",IFERROR(VLOOKUP($AL257,DECODE!$A$3:$C$8,3,FALSE),"?"))</f>
        <v/>
      </c>
      <c r="AO257">
        <f>IF($AM257="","",IFERROR(VLOOKUP($AL257&amp;"-"&amp;$AM257,DECODE!$E$3:$F$21,2,FALSE),"?"))</f>
        <v/>
      </c>
      <c r="AP257">
        <f>IF($AK257="","",IFERROR(VALUE(RIGHT($AK257,3)),""))</f>
        <v/>
      </c>
      <c r="AQ257">
        <f>IF($T257="","",IFERROR(IF(ISNUMBER($T257),$T257,DATEVALUE(TRIM($T257))),""))</f>
        <v/>
      </c>
      <c r="AR257">
        <f>IF($AQ257="","",IF(MONTH($AQ257)&gt;=12,"Cold Winter",IF(MONTH($AQ257)&gt;=10,"Post-Monsoon",IF(MONTH($AQ257)&gt;=6,"Hot Humid",IF(MONTH($AQ257)&gt;=3,"Hot Dry","Cold Winter")))))</f>
        <v/>
      </c>
      <c r="AS257">
        <f>IF($AL257="","",IFERROR(VLOOKUP($AL257,DECODE!$A$3:$C$8,2,FALSE),"?"))</f>
        <v/>
      </c>
      <c r="AT257">
        <f>IF($O257="","",UPPER(TRIM(LEFT($O257&amp;",",FIND(",",$O257&amp;",")-1))))</f>
        <v/>
      </c>
      <c r="AU257">
        <f>IF($AT257="","",MID($AT257,4,FIND("~",SUBSTITUTE($AT257,"-","~",2))-4))</f>
        <v/>
      </c>
      <c r="AV257">
        <f>IF($AT257="","",MID($AT257,FIND("~",SUBSTITUTE($AT257,"-","~",2))+1,FIND("~",SUBSTITUTE($AT257,"-","~",3))-FIND("~",SUBSTITUTE($AT257,"-","~",2))-1))</f>
        <v/>
      </c>
      <c r="AW257">
        <f>IF($AU257="","",IFERROR(VLOOKUP($AU257,DECODE!$A$3:$C$8,3,FALSE),"?"))</f>
        <v/>
      </c>
      <c r="AX257">
        <f>IF($AV257="","",IFERROR(VLOOKUP($AU257&amp;"-"&amp;$AV257,DECODE!$E$3:$F$21,2,FALSE),"?"))</f>
        <v/>
      </c>
      <c r="AY257">
        <f>IF($AT257="","",IFERROR(VALUE(RIGHT($AT257,3)),""))</f>
        <v/>
      </c>
      <c r="AZ257">
        <f>IF($U257="","",IFERROR(IF(ISNUMBER($U257),$U257,DATEVALUE(TRIM($U257))),""))</f>
        <v/>
      </c>
      <c r="BA257">
        <f>IF($AZ257="","",IF(MONTH($AZ257)&gt;=12,"Cold Winter",IF(MONTH($AZ257)&gt;=10,"Post-Monsoon",IF(MONTH($AZ257)&gt;=6,"Hot Humid",IF(MONTH($AZ257)&gt;=3,"Hot Dry","Cold Winter")))))</f>
        <v/>
      </c>
      <c r="BB257">
        <f>IF($AU257="","",IFERROR(VLOOKUP($AU257,DECODE!$A$3:$C$8,2,FALSE),"?"))</f>
        <v/>
      </c>
      <c r="BC257">
        <f>IF($P257="","",UPPER(TRIM(LEFT($P257&amp;",",FIND(",",$P257&amp;",")-1))))</f>
        <v/>
      </c>
      <c r="BD257">
        <f>IF($BC257="","",MID($BC257,4,FIND("~",SUBSTITUTE($BC257,"-","~",2))-4))</f>
        <v/>
      </c>
      <c r="BE257">
        <f>IF($BC257="","",MID($BC257,FIND("~",SUBSTITUTE($BC257,"-","~",2))+1,FIND("~",SUBSTITUTE($BC257,"-","~",3))-FIND("~",SUBSTITUTE($BC257,"-","~",2))-1))</f>
        <v/>
      </c>
      <c r="BF257">
        <f>IF($BD257="","",IFERROR(VLOOKUP($BD257,DECODE!$A$3:$C$8,3,FALSE),"?"))</f>
        <v/>
      </c>
      <c r="BG257">
        <f>IF($BE257="","",IFERROR(VLOOKUP($BD257&amp;"-"&amp;$BE257,DECODE!$E$3:$F$21,2,FALSE),"?"))</f>
        <v/>
      </c>
      <c r="BH257">
        <f>IF($BC257="","",IFERROR(VALUE(RIGHT($BC257,3)),""))</f>
        <v/>
      </c>
      <c r="BI257">
        <f>IF($V257="","",IFERROR(IF(ISNUMBER($V257),$V257,DATEVALUE(TRIM($V257))),""))</f>
        <v/>
      </c>
      <c r="BJ257">
        <f>IF($BI257="","",IF(MONTH($BI257)&gt;=12,"Cold Winter",IF(MONTH($BI257)&gt;=10,"Post-Monsoon",IF(MONTH($BI257)&gt;=6,"Hot Humid",IF(MONTH($BI257)&gt;=3,"Hot Dry","Cold Winter")))))</f>
        <v/>
      </c>
      <c r="BK257">
        <f>IF($BD257="","",IFERROR(VLOOKUP($BD257,DECODE!$A$3:$C$8,2,FALSE),"?"))</f>
        <v/>
      </c>
      <c r="BL257">
        <f>IF($Q257="","",UPPER(TRIM(LEFT($Q257&amp;",",FIND(",",$Q257&amp;",")-1))))</f>
        <v/>
      </c>
      <c r="BM257">
        <f>IF($BL257="","",MID($BL257,4,FIND("~",SUBSTITUTE($BL257,"-","~",2))-4))</f>
        <v/>
      </c>
      <c r="BN257">
        <f>IF($BL257="","",MID($BL257,FIND("~",SUBSTITUTE($BL257,"-","~",2))+1,FIND("~",SUBSTITUTE($BL257,"-","~",3))-FIND("~",SUBSTITUTE($BL257,"-","~",2))-1))</f>
        <v/>
      </c>
      <c r="BO257">
        <f>IF($BM257="","",IFERROR(VLOOKUP($BM257,DECODE!$A$3:$C$8,3,FALSE),"?"))</f>
        <v/>
      </c>
      <c r="BP257">
        <f>IF($BN257="","",IFERROR(VLOOKUP($BM257&amp;"-"&amp;$BN257,DECODE!$E$3:$F$21,2,FALSE),"?"))</f>
        <v/>
      </c>
      <c r="BQ257">
        <f>IF($BL257="","",IFERROR(VALUE(RIGHT($BL257,3)),""))</f>
        <v/>
      </c>
      <c r="BR257">
        <f>IF($W257="","",IFERROR(IF(ISNUMBER($W257),$W257,DATEVALUE(TRIM($W257))),""))</f>
        <v/>
      </c>
      <c r="BS257">
        <f>IF($BR257="","",IF(MONTH($BR257)&gt;=12,"Cold Winter",IF(MONTH($BR257)&gt;=10,"Post-Monsoon",IF(MONTH($BR257)&gt;=6,"Hot Humid",IF(MONTH($BR257)&gt;=3,"Hot Dry","Cold Winter")))))</f>
        <v/>
      </c>
      <c r="BT257">
        <f>IF($BM257="","",IFERROR(VLOOKUP($BM257,DECODE!$A$3:$C$8,2,FALSE),"?"))</f>
        <v/>
      </c>
      <c r="BU257">
        <f>IF($R257="","",UPPER(TRIM(LEFT($R257&amp;",",FIND(",",$R257&amp;",")-1))))</f>
        <v/>
      </c>
      <c r="BV257">
        <f>IF($BU257="","",MID($BU257,4,FIND("~",SUBSTITUTE($BU257,"-","~",2))-4))</f>
        <v/>
      </c>
      <c r="BW257">
        <f>IF($BU257="","",MID($BU257,FIND("~",SUBSTITUTE($BU257,"-","~",2))+1,FIND("~",SUBSTITUTE($BU257,"-","~",3))-FIND("~",SUBSTITUTE($BU257,"-","~",2))-1))</f>
        <v/>
      </c>
      <c r="BX257">
        <f>IF($BV257="","",IFERROR(VLOOKUP($BV257,DECODE!$A$3:$C$8,3,FALSE),"?"))</f>
        <v/>
      </c>
      <c r="BY257">
        <f>IF($BW257="","",IFERROR(VLOOKUP($BV257&amp;"-"&amp;$BW257,DECODE!$E$3:$F$21,2,FALSE),"?"))</f>
        <v/>
      </c>
      <c r="BZ257">
        <f>IF($BU257="","",IFERROR(VALUE(RIGHT($BU257,3)),""))</f>
        <v/>
      </c>
      <c r="CA257">
        <f>IF($X257="","",IFERROR(IF(ISNUMBER($X257),$X257,DATEVALUE(TRIM($X257))),""))</f>
        <v/>
      </c>
      <c r="CB257">
        <f>IF($CA257="","",IF(MONTH($CA257)&gt;=12,"Cold Winter",IF(MONTH($CA257)&gt;=10,"Post-Monsoon",IF(MONTH($CA257)&gt;=6,"Hot Humid",IF(MONTH($CA257)&gt;=3,"Hot Dry","Cold Winter")))))</f>
        <v/>
      </c>
      <c r="CC257">
        <f>IF($BV257="","",IFERROR(VLOOKUP($BV257,DECODE!$A$3:$C$8,2,FALSE),"?"))</f>
        <v/>
      </c>
      <c r="CD257">
        <f>IF($S257="","",UPPER(TRIM(LEFT($S257&amp;",",FIND(",",$S257&amp;",")-1))))</f>
        <v/>
      </c>
      <c r="CE257">
        <f>IF($CD257="","",MID($CD257,4,FIND("~",SUBSTITUTE($CD257,"-","~",2))-4))</f>
        <v/>
      </c>
      <c r="CF257">
        <f>IF($CD257="","",MID($CD257,FIND("~",SUBSTITUTE($CD257,"-","~",2))+1,FIND("~",SUBSTITUTE($CD257,"-","~",3))-FIND("~",SUBSTITUTE($CD257,"-","~",2))-1))</f>
        <v/>
      </c>
      <c r="CG257">
        <f>IF($CE257="","",IFERROR(VLOOKUP($CE257,DECODE!$A$3:$C$8,3,FALSE),"?"))</f>
        <v/>
      </c>
      <c r="CH257">
        <f>IF($CF257="","",IFERROR(VLOOKUP($CE257&amp;"-"&amp;$CF257,DECODE!$E$3:$F$21,2,FALSE),"?"))</f>
        <v/>
      </c>
      <c r="CI257">
        <f>IF($CD257="","",IFERROR(VALUE(RIGHT($CD257,3)),""))</f>
        <v/>
      </c>
      <c r="CJ257">
        <f>IF($Y257="","",IFERROR(IF(ISNUMBER($Y257),$Y257,DATEVALUE(TRIM($Y257))),""))</f>
        <v/>
      </c>
      <c r="CK257">
        <f>IF($CJ257="","",IF(MONTH($CJ257)&gt;=12,"Cold Winter",IF(MONTH($CJ257)&gt;=10,"Post-Monsoon",IF(MONTH($CJ257)&gt;=6,"Hot Humid",IF(MONTH($CJ257)&gt;=3,"Hot Dry","Cold Winter")))))</f>
        <v/>
      </c>
      <c r="CL257">
        <f>IF($CE257="","",IFERROR(VLOOKUP($CE257,DECODE!$A$3:$C$8,2,FALSE),"?"))</f>
        <v/>
      </c>
      <c r="CM257">
        <f>IF($AN257="","",AN257)</f>
        <v/>
      </c>
      <c r="CN257">
        <f>IF($AO257="","",AO257)</f>
        <v/>
      </c>
      <c r="CO257">
        <f>IF($AP257="","",AP257)</f>
        <v/>
      </c>
      <c r="CP257">
        <f>IF($CM257="","",IF($CM257="Aloe Vera Gel","Aloe Vera Gel "&amp;$CO257&amp;"g",CN257&amp;" "&amp;$CO257&amp;"g"))</f>
        <v/>
      </c>
      <c r="CQ257">
        <f>IF($AT257="",0,1)</f>
        <v/>
      </c>
      <c r="CR257">
        <f>IF($CQ257=0,"",AW257)</f>
        <v/>
      </c>
      <c r="CS257">
        <f>IF($CQ257=0,"",AX257)</f>
        <v/>
      </c>
      <c r="CT257">
        <f>IF($CQ257=0,"",AY257)</f>
        <v/>
      </c>
      <c r="CU257">
        <f>IF($CR257="","",IF($CR257="Aloe Vera Gel","Aloe Vera Gel "&amp;$CT257&amp;"g",CS257&amp;" "&amp;$CT257&amp;"g"))</f>
        <v/>
      </c>
      <c r="CV257">
        <f>IF($CQ257=0,"",IF($CP257=$CU257,"Repeat Exact",IF($CT257&gt;$CO257,"Upsized",IF($CT257&lt;$CO257,"Downsized",IF($CM257&lt;&gt;$CR257,"Lateral","Same Size Diff Variant")))))</f>
        <v/>
      </c>
      <c r="CW257">
        <f>IF($CQ257=0,"",AZ257-AQ257)</f>
        <v/>
      </c>
      <c r="CX257">
        <f>IF($CQ257=0,0,IF(CS257=CN257,1,0))</f>
        <v/>
      </c>
      <c r="CY257">
        <f>IF($CQ257=0,0,IF(CR257=CM257,1,0))</f>
        <v/>
      </c>
      <c r="CZ257">
        <f>IF($A257="","",IF(AND(IF(DASHBOARD!$C$4="All",TRUE,$CM257=DASHBOARD!$C$4),IF(DASHBOARD!$C$6="All",TRUE,$CP257=DASHBOARD!$C$6),IF(DASHBOARD!$C$8="All",TRUE,$AF257&gt;=DASHBOARD!$C$8),IF(DASHBOARD!$C$10="All",TRUE,$AF257&lt;=DASHBOARD!$C$10),IF(DASHBOARD!$C$12="All",TRUE,$AH257=VALUE(DASHBOARD!$C$12)),IF(DASHBOARD!$C$14="All",TRUE,$AJ257=DASHBOARD!$C$14)),1,0))</f>
        <v/>
      </c>
    </row>
    <row r="258">
      <c r="A258" t="n">
        <v>154588</v>
      </c>
      <c r="B258" t="inlineStr">
        <is>
          <t>Face Malai</t>
        </is>
      </c>
      <c r="H258" t="inlineStr">
        <is>
          <t>Cocoa Mogra (Overnight) Face Malai - 30g</t>
        </is>
      </c>
      <c r="N258" t="inlineStr">
        <is>
          <t>FC-DM-NR-030</t>
        </is>
      </c>
      <c r="T258" t="inlineStr">
        <is>
          <t>Mar 7, 2024</t>
        </is>
      </c>
      <c r="AE258" t="inlineStr">
        <is>
          <t>Pune</t>
        </is>
      </c>
      <c r="AF258" t="inlineStr">
        <is>
          <t>2024-03</t>
        </is>
      </c>
      <c r="AG258" t="n">
        <v>3</v>
      </c>
      <c r="AH258" t="n">
        <v>1</v>
      </c>
      <c r="AI258" t="n">
        <v>0</v>
      </c>
      <c r="AJ258">
        <f>IF($AE258="","",IFERROR(VLOOKUP(TRIM($AE258),DECODE!$H$3:$I$60,2,FALSE),"Rest of India"))</f>
        <v/>
      </c>
      <c r="AK258">
        <f>IF($N258="","",UPPER(TRIM(LEFT($N258&amp;",",FIND(",",$N258&amp;",")-1))))</f>
        <v/>
      </c>
      <c r="AL258">
        <f>IF($AK258="","",MID($AK258,4,FIND("~",SUBSTITUTE($AK258,"-","~",2))-4))</f>
        <v/>
      </c>
      <c r="AM258">
        <f>IF($AK258="","",MID($AK258,FIND("~",SUBSTITUTE($AK258,"-","~",2))+1,FIND("~",SUBSTITUTE($AK258,"-","~",3))-FIND("~",SUBSTITUTE($AK258,"-","~",2))-1))</f>
        <v/>
      </c>
      <c r="AN258">
        <f>IF($AL258="","",IFERROR(VLOOKUP($AL258,DECODE!$A$3:$C$8,3,FALSE),"?"))</f>
        <v/>
      </c>
      <c r="AO258">
        <f>IF($AM258="","",IFERROR(VLOOKUP($AL258&amp;"-"&amp;$AM258,DECODE!$E$3:$F$21,2,FALSE),"?"))</f>
        <v/>
      </c>
      <c r="AP258">
        <f>IF($AK258="","",IFERROR(VALUE(RIGHT($AK258,3)),""))</f>
        <v/>
      </c>
      <c r="AQ258">
        <f>IF($T258="","",IFERROR(IF(ISNUMBER($T258),$T258,DATEVALUE(TRIM($T258))),""))</f>
        <v/>
      </c>
      <c r="AR258">
        <f>IF($AQ258="","",IF(MONTH($AQ258)&gt;=12,"Cold Winter",IF(MONTH($AQ258)&gt;=10,"Post-Monsoon",IF(MONTH($AQ258)&gt;=6,"Hot Humid",IF(MONTH($AQ258)&gt;=3,"Hot Dry","Cold Winter")))))</f>
        <v/>
      </c>
      <c r="AS258">
        <f>IF($AL258="","",IFERROR(VLOOKUP($AL258,DECODE!$A$3:$C$8,2,FALSE),"?"))</f>
        <v/>
      </c>
      <c r="AT258">
        <f>IF($O258="","",UPPER(TRIM(LEFT($O258&amp;",",FIND(",",$O258&amp;",")-1))))</f>
        <v/>
      </c>
      <c r="AU258">
        <f>IF($AT258="","",MID($AT258,4,FIND("~",SUBSTITUTE($AT258,"-","~",2))-4))</f>
        <v/>
      </c>
      <c r="AV258">
        <f>IF($AT258="","",MID($AT258,FIND("~",SUBSTITUTE($AT258,"-","~",2))+1,FIND("~",SUBSTITUTE($AT258,"-","~",3))-FIND("~",SUBSTITUTE($AT258,"-","~",2))-1))</f>
        <v/>
      </c>
      <c r="AW258">
        <f>IF($AU258="","",IFERROR(VLOOKUP($AU258,DECODE!$A$3:$C$8,3,FALSE),"?"))</f>
        <v/>
      </c>
      <c r="AX258">
        <f>IF($AV258="","",IFERROR(VLOOKUP($AU258&amp;"-"&amp;$AV258,DECODE!$E$3:$F$21,2,FALSE),"?"))</f>
        <v/>
      </c>
      <c r="AY258">
        <f>IF($AT258="","",IFERROR(VALUE(RIGHT($AT258,3)),""))</f>
        <v/>
      </c>
      <c r="AZ258">
        <f>IF($U258="","",IFERROR(IF(ISNUMBER($U258),$U258,DATEVALUE(TRIM($U258))),""))</f>
        <v/>
      </c>
      <c r="BA258">
        <f>IF($AZ258="","",IF(MONTH($AZ258)&gt;=12,"Cold Winter",IF(MONTH($AZ258)&gt;=10,"Post-Monsoon",IF(MONTH($AZ258)&gt;=6,"Hot Humid",IF(MONTH($AZ258)&gt;=3,"Hot Dry","Cold Winter")))))</f>
        <v/>
      </c>
      <c r="BB258">
        <f>IF($AU258="","",IFERROR(VLOOKUP($AU258,DECODE!$A$3:$C$8,2,FALSE),"?"))</f>
        <v/>
      </c>
      <c r="BC258">
        <f>IF($P258="","",UPPER(TRIM(LEFT($P258&amp;",",FIND(",",$P258&amp;",")-1))))</f>
        <v/>
      </c>
      <c r="BD258">
        <f>IF($BC258="","",MID($BC258,4,FIND("~",SUBSTITUTE($BC258,"-","~",2))-4))</f>
        <v/>
      </c>
      <c r="BE258">
        <f>IF($BC258="","",MID($BC258,FIND("~",SUBSTITUTE($BC258,"-","~",2))+1,FIND("~",SUBSTITUTE($BC258,"-","~",3))-FIND("~",SUBSTITUTE($BC258,"-","~",2))-1))</f>
        <v/>
      </c>
      <c r="BF258">
        <f>IF($BD258="","",IFERROR(VLOOKUP($BD258,DECODE!$A$3:$C$8,3,FALSE),"?"))</f>
        <v/>
      </c>
      <c r="BG258">
        <f>IF($BE258="","",IFERROR(VLOOKUP($BD258&amp;"-"&amp;$BE258,DECODE!$E$3:$F$21,2,FALSE),"?"))</f>
        <v/>
      </c>
      <c r="BH258">
        <f>IF($BC258="","",IFERROR(VALUE(RIGHT($BC258,3)),""))</f>
        <v/>
      </c>
      <c r="BI258">
        <f>IF($V258="","",IFERROR(IF(ISNUMBER($V258),$V258,DATEVALUE(TRIM($V258))),""))</f>
        <v/>
      </c>
      <c r="BJ258">
        <f>IF($BI258="","",IF(MONTH($BI258)&gt;=12,"Cold Winter",IF(MONTH($BI258)&gt;=10,"Post-Monsoon",IF(MONTH($BI258)&gt;=6,"Hot Humid",IF(MONTH($BI258)&gt;=3,"Hot Dry","Cold Winter")))))</f>
        <v/>
      </c>
      <c r="BK258">
        <f>IF($BD258="","",IFERROR(VLOOKUP($BD258,DECODE!$A$3:$C$8,2,FALSE),"?"))</f>
        <v/>
      </c>
      <c r="BL258">
        <f>IF($Q258="","",UPPER(TRIM(LEFT($Q258&amp;",",FIND(",",$Q258&amp;",")-1))))</f>
        <v/>
      </c>
      <c r="BM258">
        <f>IF($BL258="","",MID($BL258,4,FIND("~",SUBSTITUTE($BL258,"-","~",2))-4))</f>
        <v/>
      </c>
      <c r="BN258">
        <f>IF($BL258="","",MID($BL258,FIND("~",SUBSTITUTE($BL258,"-","~",2))+1,FIND("~",SUBSTITUTE($BL258,"-","~",3))-FIND("~",SUBSTITUTE($BL258,"-","~",2))-1))</f>
        <v/>
      </c>
      <c r="BO258">
        <f>IF($BM258="","",IFERROR(VLOOKUP($BM258,DECODE!$A$3:$C$8,3,FALSE),"?"))</f>
        <v/>
      </c>
      <c r="BP258">
        <f>IF($BN258="","",IFERROR(VLOOKUP($BM258&amp;"-"&amp;$BN258,DECODE!$E$3:$F$21,2,FALSE),"?"))</f>
        <v/>
      </c>
      <c r="BQ258">
        <f>IF($BL258="","",IFERROR(VALUE(RIGHT($BL258,3)),""))</f>
        <v/>
      </c>
      <c r="BR258">
        <f>IF($W258="","",IFERROR(IF(ISNUMBER($W258),$W258,DATEVALUE(TRIM($W258))),""))</f>
        <v/>
      </c>
      <c r="BS258">
        <f>IF($BR258="","",IF(MONTH($BR258)&gt;=12,"Cold Winter",IF(MONTH($BR258)&gt;=10,"Post-Monsoon",IF(MONTH($BR258)&gt;=6,"Hot Humid",IF(MONTH($BR258)&gt;=3,"Hot Dry","Cold Winter")))))</f>
        <v/>
      </c>
      <c r="BT258">
        <f>IF($BM258="","",IFERROR(VLOOKUP($BM258,DECODE!$A$3:$C$8,2,FALSE),"?"))</f>
        <v/>
      </c>
      <c r="BU258">
        <f>IF($R258="","",UPPER(TRIM(LEFT($R258&amp;",",FIND(",",$R258&amp;",")-1))))</f>
        <v/>
      </c>
      <c r="BV258">
        <f>IF($BU258="","",MID($BU258,4,FIND("~",SUBSTITUTE($BU258,"-","~",2))-4))</f>
        <v/>
      </c>
      <c r="BW258">
        <f>IF($BU258="","",MID($BU258,FIND("~",SUBSTITUTE($BU258,"-","~",2))+1,FIND("~",SUBSTITUTE($BU258,"-","~",3))-FIND("~",SUBSTITUTE($BU258,"-","~",2))-1))</f>
        <v/>
      </c>
      <c r="BX258">
        <f>IF($BV258="","",IFERROR(VLOOKUP($BV258,DECODE!$A$3:$C$8,3,FALSE),"?"))</f>
        <v/>
      </c>
      <c r="BY258">
        <f>IF($BW258="","",IFERROR(VLOOKUP($BV258&amp;"-"&amp;$BW258,DECODE!$E$3:$F$21,2,FALSE),"?"))</f>
        <v/>
      </c>
      <c r="BZ258">
        <f>IF($BU258="","",IFERROR(VALUE(RIGHT($BU258,3)),""))</f>
        <v/>
      </c>
      <c r="CA258">
        <f>IF($X258="","",IFERROR(IF(ISNUMBER($X258),$X258,DATEVALUE(TRIM($X258))),""))</f>
        <v/>
      </c>
      <c r="CB258">
        <f>IF($CA258="","",IF(MONTH($CA258)&gt;=12,"Cold Winter",IF(MONTH($CA258)&gt;=10,"Post-Monsoon",IF(MONTH($CA258)&gt;=6,"Hot Humid",IF(MONTH($CA258)&gt;=3,"Hot Dry","Cold Winter")))))</f>
        <v/>
      </c>
      <c r="CC258">
        <f>IF($BV258="","",IFERROR(VLOOKUP($BV258,DECODE!$A$3:$C$8,2,FALSE),"?"))</f>
        <v/>
      </c>
      <c r="CD258">
        <f>IF($S258="","",UPPER(TRIM(LEFT($S258&amp;",",FIND(",",$S258&amp;",")-1))))</f>
        <v/>
      </c>
      <c r="CE258">
        <f>IF($CD258="","",MID($CD258,4,FIND("~",SUBSTITUTE($CD258,"-","~",2))-4))</f>
        <v/>
      </c>
      <c r="CF258">
        <f>IF($CD258="","",MID($CD258,FIND("~",SUBSTITUTE($CD258,"-","~",2))+1,FIND("~",SUBSTITUTE($CD258,"-","~",3))-FIND("~",SUBSTITUTE($CD258,"-","~",2))-1))</f>
        <v/>
      </c>
      <c r="CG258">
        <f>IF($CE258="","",IFERROR(VLOOKUP($CE258,DECODE!$A$3:$C$8,3,FALSE),"?"))</f>
        <v/>
      </c>
      <c r="CH258">
        <f>IF($CF258="","",IFERROR(VLOOKUP($CE258&amp;"-"&amp;$CF258,DECODE!$E$3:$F$21,2,FALSE),"?"))</f>
        <v/>
      </c>
      <c r="CI258">
        <f>IF($CD258="","",IFERROR(VALUE(RIGHT($CD258,3)),""))</f>
        <v/>
      </c>
      <c r="CJ258">
        <f>IF($Y258="","",IFERROR(IF(ISNUMBER($Y258),$Y258,DATEVALUE(TRIM($Y258))),""))</f>
        <v/>
      </c>
      <c r="CK258">
        <f>IF($CJ258="","",IF(MONTH($CJ258)&gt;=12,"Cold Winter",IF(MONTH($CJ258)&gt;=10,"Post-Monsoon",IF(MONTH($CJ258)&gt;=6,"Hot Humid",IF(MONTH($CJ258)&gt;=3,"Hot Dry","Cold Winter")))))</f>
        <v/>
      </c>
      <c r="CL258">
        <f>IF($CE258="","",IFERROR(VLOOKUP($CE258,DECODE!$A$3:$C$8,2,FALSE),"?"))</f>
        <v/>
      </c>
      <c r="CM258">
        <f>IF($AN258="","",AN258)</f>
        <v/>
      </c>
      <c r="CN258">
        <f>IF($AO258="","",AO258)</f>
        <v/>
      </c>
      <c r="CO258">
        <f>IF($AP258="","",AP258)</f>
        <v/>
      </c>
      <c r="CP258">
        <f>IF($CM258="","",IF($CM258="Aloe Vera Gel","Aloe Vera Gel "&amp;$CO258&amp;"g",CN258&amp;" "&amp;$CO258&amp;"g"))</f>
        <v/>
      </c>
      <c r="CQ258">
        <f>IF($AT258="",0,1)</f>
        <v/>
      </c>
      <c r="CR258">
        <f>IF($CQ258=0,"",AW258)</f>
        <v/>
      </c>
      <c r="CS258">
        <f>IF($CQ258=0,"",AX258)</f>
        <v/>
      </c>
      <c r="CT258">
        <f>IF($CQ258=0,"",AY258)</f>
        <v/>
      </c>
      <c r="CU258">
        <f>IF($CR258="","",IF($CR258="Aloe Vera Gel","Aloe Vera Gel "&amp;$CT258&amp;"g",CS258&amp;" "&amp;$CT258&amp;"g"))</f>
        <v/>
      </c>
      <c r="CV258">
        <f>IF($CQ258=0,"",IF($CP258=$CU258,"Repeat Exact",IF($CT258&gt;$CO258,"Upsized",IF($CT258&lt;$CO258,"Downsized",IF($CM258&lt;&gt;$CR258,"Lateral","Same Size Diff Variant")))))</f>
        <v/>
      </c>
      <c r="CW258">
        <f>IF($CQ258=0,"",AZ258-AQ258)</f>
        <v/>
      </c>
      <c r="CX258">
        <f>IF($CQ258=0,0,IF(CS258=CN258,1,0))</f>
        <v/>
      </c>
      <c r="CY258">
        <f>IF($CQ258=0,0,IF(CR258=CM258,1,0))</f>
        <v/>
      </c>
      <c r="CZ258">
        <f>IF($A258="","",IF(AND(IF(DASHBOARD!$C$4="All",TRUE,$CM258=DASHBOARD!$C$4),IF(DASHBOARD!$C$6="All",TRUE,$CP258=DASHBOARD!$C$6),IF(DASHBOARD!$C$8="All",TRUE,$AF258&gt;=DASHBOARD!$C$8),IF(DASHBOARD!$C$10="All",TRUE,$AF258&lt;=DASHBOARD!$C$10),IF(DASHBOARD!$C$12="All",TRUE,$AH258=VALUE(DASHBOARD!$C$12)),IF(DASHBOARD!$C$14="All",TRUE,$AJ258=DASHBOARD!$C$14)),1,0))</f>
        <v/>
      </c>
    </row>
    <row r="259">
      <c r="A259" t="n">
        <v>154707</v>
      </c>
      <c r="B259" t="inlineStr">
        <is>
          <t>Aloe Vera Gel</t>
        </is>
      </c>
      <c r="H259" t="inlineStr">
        <is>
          <t>Aloe Vera Gel - 80 gms</t>
        </is>
      </c>
      <c r="N259" t="inlineStr">
        <is>
          <t>FC-HG-PA-080</t>
        </is>
      </c>
      <c r="T259" t="inlineStr">
        <is>
          <t>Mar 17, 2025</t>
        </is>
      </c>
      <c r="AE259" t="inlineStr">
        <is>
          <t>New Delhi</t>
        </is>
      </c>
      <c r="AF259" t="inlineStr">
        <is>
          <t>2025-03</t>
        </is>
      </c>
      <c r="AG259" t="n">
        <v>3</v>
      </c>
      <c r="AH259" t="n">
        <v>1</v>
      </c>
      <c r="AI259" t="n">
        <v>0</v>
      </c>
      <c r="AJ259">
        <f>IF($AE259="","",IFERROR(VLOOKUP(TRIM($AE259),DECODE!$H$3:$I$60,2,FALSE),"Rest of India"))</f>
        <v/>
      </c>
      <c r="AK259">
        <f>IF($N259="","",UPPER(TRIM(LEFT($N259&amp;",",FIND(",",$N259&amp;",")-1))))</f>
        <v/>
      </c>
      <c r="AL259">
        <f>IF($AK259="","",MID($AK259,4,FIND("~",SUBSTITUTE($AK259,"-","~",2))-4))</f>
        <v/>
      </c>
      <c r="AM259">
        <f>IF($AK259="","",MID($AK259,FIND("~",SUBSTITUTE($AK259,"-","~",2))+1,FIND("~",SUBSTITUTE($AK259,"-","~",3))-FIND("~",SUBSTITUTE($AK259,"-","~",2))-1))</f>
        <v/>
      </c>
      <c r="AN259">
        <f>IF($AL259="","",IFERROR(VLOOKUP($AL259,DECODE!$A$3:$C$8,3,FALSE),"?"))</f>
        <v/>
      </c>
      <c r="AO259">
        <f>IF($AM259="","",IFERROR(VLOOKUP($AL259&amp;"-"&amp;$AM259,DECODE!$E$3:$F$21,2,FALSE),"?"))</f>
        <v/>
      </c>
      <c r="AP259">
        <f>IF($AK259="","",IFERROR(VALUE(RIGHT($AK259,3)),""))</f>
        <v/>
      </c>
      <c r="AQ259">
        <f>IF($T259="","",IFERROR(IF(ISNUMBER($T259),$T259,DATEVALUE(TRIM($T259))),""))</f>
        <v/>
      </c>
      <c r="AR259">
        <f>IF($AQ259="","",IF(MONTH($AQ259)&gt;=12,"Cold Winter",IF(MONTH($AQ259)&gt;=10,"Post-Monsoon",IF(MONTH($AQ259)&gt;=6,"Hot Humid",IF(MONTH($AQ259)&gt;=3,"Hot Dry","Cold Winter")))))</f>
        <v/>
      </c>
      <c r="AS259">
        <f>IF($AL259="","",IFERROR(VLOOKUP($AL259,DECODE!$A$3:$C$8,2,FALSE),"?"))</f>
        <v/>
      </c>
      <c r="AT259">
        <f>IF($O259="","",UPPER(TRIM(LEFT($O259&amp;",",FIND(",",$O259&amp;",")-1))))</f>
        <v/>
      </c>
      <c r="AU259">
        <f>IF($AT259="","",MID($AT259,4,FIND("~",SUBSTITUTE($AT259,"-","~",2))-4))</f>
        <v/>
      </c>
      <c r="AV259">
        <f>IF($AT259="","",MID($AT259,FIND("~",SUBSTITUTE($AT259,"-","~",2))+1,FIND("~",SUBSTITUTE($AT259,"-","~",3))-FIND("~",SUBSTITUTE($AT259,"-","~",2))-1))</f>
        <v/>
      </c>
      <c r="AW259">
        <f>IF($AU259="","",IFERROR(VLOOKUP($AU259,DECODE!$A$3:$C$8,3,FALSE),"?"))</f>
        <v/>
      </c>
      <c r="AX259">
        <f>IF($AV259="","",IFERROR(VLOOKUP($AU259&amp;"-"&amp;$AV259,DECODE!$E$3:$F$21,2,FALSE),"?"))</f>
        <v/>
      </c>
      <c r="AY259">
        <f>IF($AT259="","",IFERROR(VALUE(RIGHT($AT259,3)),""))</f>
        <v/>
      </c>
      <c r="AZ259">
        <f>IF($U259="","",IFERROR(IF(ISNUMBER($U259),$U259,DATEVALUE(TRIM($U259))),""))</f>
        <v/>
      </c>
      <c r="BA259">
        <f>IF($AZ259="","",IF(MONTH($AZ259)&gt;=12,"Cold Winter",IF(MONTH($AZ259)&gt;=10,"Post-Monsoon",IF(MONTH($AZ259)&gt;=6,"Hot Humid",IF(MONTH($AZ259)&gt;=3,"Hot Dry","Cold Winter")))))</f>
        <v/>
      </c>
      <c r="BB259">
        <f>IF($AU259="","",IFERROR(VLOOKUP($AU259,DECODE!$A$3:$C$8,2,FALSE),"?"))</f>
        <v/>
      </c>
      <c r="BC259">
        <f>IF($P259="","",UPPER(TRIM(LEFT($P259&amp;",",FIND(",",$P259&amp;",")-1))))</f>
        <v/>
      </c>
      <c r="BD259">
        <f>IF($BC259="","",MID($BC259,4,FIND("~",SUBSTITUTE($BC259,"-","~",2))-4))</f>
        <v/>
      </c>
      <c r="BE259">
        <f>IF($BC259="","",MID($BC259,FIND("~",SUBSTITUTE($BC259,"-","~",2))+1,FIND("~",SUBSTITUTE($BC259,"-","~",3))-FIND("~",SUBSTITUTE($BC259,"-","~",2))-1))</f>
        <v/>
      </c>
      <c r="BF259">
        <f>IF($BD259="","",IFERROR(VLOOKUP($BD259,DECODE!$A$3:$C$8,3,FALSE),"?"))</f>
        <v/>
      </c>
      <c r="BG259">
        <f>IF($BE259="","",IFERROR(VLOOKUP($BD259&amp;"-"&amp;$BE259,DECODE!$E$3:$F$21,2,FALSE),"?"))</f>
        <v/>
      </c>
      <c r="BH259">
        <f>IF($BC259="","",IFERROR(VALUE(RIGHT($BC259,3)),""))</f>
        <v/>
      </c>
      <c r="BI259">
        <f>IF($V259="","",IFERROR(IF(ISNUMBER($V259),$V259,DATEVALUE(TRIM($V259))),""))</f>
        <v/>
      </c>
      <c r="BJ259">
        <f>IF($BI259="","",IF(MONTH($BI259)&gt;=12,"Cold Winter",IF(MONTH($BI259)&gt;=10,"Post-Monsoon",IF(MONTH($BI259)&gt;=6,"Hot Humid",IF(MONTH($BI259)&gt;=3,"Hot Dry","Cold Winter")))))</f>
        <v/>
      </c>
      <c r="BK259">
        <f>IF($BD259="","",IFERROR(VLOOKUP($BD259,DECODE!$A$3:$C$8,2,FALSE),"?"))</f>
        <v/>
      </c>
      <c r="BL259">
        <f>IF($Q259="","",UPPER(TRIM(LEFT($Q259&amp;",",FIND(",",$Q259&amp;",")-1))))</f>
        <v/>
      </c>
      <c r="BM259">
        <f>IF($BL259="","",MID($BL259,4,FIND("~",SUBSTITUTE($BL259,"-","~",2))-4))</f>
        <v/>
      </c>
      <c r="BN259">
        <f>IF($BL259="","",MID($BL259,FIND("~",SUBSTITUTE($BL259,"-","~",2))+1,FIND("~",SUBSTITUTE($BL259,"-","~",3))-FIND("~",SUBSTITUTE($BL259,"-","~",2))-1))</f>
        <v/>
      </c>
      <c r="BO259">
        <f>IF($BM259="","",IFERROR(VLOOKUP($BM259,DECODE!$A$3:$C$8,3,FALSE),"?"))</f>
        <v/>
      </c>
      <c r="BP259">
        <f>IF($BN259="","",IFERROR(VLOOKUP($BM259&amp;"-"&amp;$BN259,DECODE!$E$3:$F$21,2,FALSE),"?"))</f>
        <v/>
      </c>
      <c r="BQ259">
        <f>IF($BL259="","",IFERROR(VALUE(RIGHT($BL259,3)),""))</f>
        <v/>
      </c>
      <c r="BR259">
        <f>IF($W259="","",IFERROR(IF(ISNUMBER($W259),$W259,DATEVALUE(TRIM($W259))),""))</f>
        <v/>
      </c>
      <c r="BS259">
        <f>IF($BR259="","",IF(MONTH($BR259)&gt;=12,"Cold Winter",IF(MONTH($BR259)&gt;=10,"Post-Monsoon",IF(MONTH($BR259)&gt;=6,"Hot Humid",IF(MONTH($BR259)&gt;=3,"Hot Dry","Cold Winter")))))</f>
        <v/>
      </c>
      <c r="BT259">
        <f>IF($BM259="","",IFERROR(VLOOKUP($BM259,DECODE!$A$3:$C$8,2,FALSE),"?"))</f>
        <v/>
      </c>
      <c r="BU259">
        <f>IF($R259="","",UPPER(TRIM(LEFT($R259&amp;",",FIND(",",$R259&amp;",")-1))))</f>
        <v/>
      </c>
      <c r="BV259">
        <f>IF($BU259="","",MID($BU259,4,FIND("~",SUBSTITUTE($BU259,"-","~",2))-4))</f>
        <v/>
      </c>
      <c r="BW259">
        <f>IF($BU259="","",MID($BU259,FIND("~",SUBSTITUTE($BU259,"-","~",2))+1,FIND("~",SUBSTITUTE($BU259,"-","~",3))-FIND("~",SUBSTITUTE($BU259,"-","~",2))-1))</f>
        <v/>
      </c>
      <c r="BX259">
        <f>IF($BV259="","",IFERROR(VLOOKUP($BV259,DECODE!$A$3:$C$8,3,FALSE),"?"))</f>
        <v/>
      </c>
      <c r="BY259">
        <f>IF($BW259="","",IFERROR(VLOOKUP($BV259&amp;"-"&amp;$BW259,DECODE!$E$3:$F$21,2,FALSE),"?"))</f>
        <v/>
      </c>
      <c r="BZ259">
        <f>IF($BU259="","",IFERROR(VALUE(RIGHT($BU259,3)),""))</f>
        <v/>
      </c>
      <c r="CA259">
        <f>IF($X259="","",IFERROR(IF(ISNUMBER($X259),$X259,DATEVALUE(TRIM($X259))),""))</f>
        <v/>
      </c>
      <c r="CB259">
        <f>IF($CA259="","",IF(MONTH($CA259)&gt;=12,"Cold Winter",IF(MONTH($CA259)&gt;=10,"Post-Monsoon",IF(MONTH($CA259)&gt;=6,"Hot Humid",IF(MONTH($CA259)&gt;=3,"Hot Dry","Cold Winter")))))</f>
        <v/>
      </c>
      <c r="CC259">
        <f>IF($BV259="","",IFERROR(VLOOKUP($BV259,DECODE!$A$3:$C$8,2,FALSE),"?"))</f>
        <v/>
      </c>
      <c r="CD259">
        <f>IF($S259="","",UPPER(TRIM(LEFT($S259&amp;",",FIND(",",$S259&amp;",")-1))))</f>
        <v/>
      </c>
      <c r="CE259">
        <f>IF($CD259="","",MID($CD259,4,FIND("~",SUBSTITUTE($CD259,"-","~",2))-4))</f>
        <v/>
      </c>
      <c r="CF259">
        <f>IF($CD259="","",MID($CD259,FIND("~",SUBSTITUTE($CD259,"-","~",2))+1,FIND("~",SUBSTITUTE($CD259,"-","~",3))-FIND("~",SUBSTITUTE($CD259,"-","~",2))-1))</f>
        <v/>
      </c>
      <c r="CG259">
        <f>IF($CE259="","",IFERROR(VLOOKUP($CE259,DECODE!$A$3:$C$8,3,FALSE),"?"))</f>
        <v/>
      </c>
      <c r="CH259">
        <f>IF($CF259="","",IFERROR(VLOOKUP($CE259&amp;"-"&amp;$CF259,DECODE!$E$3:$F$21,2,FALSE),"?"))</f>
        <v/>
      </c>
      <c r="CI259">
        <f>IF($CD259="","",IFERROR(VALUE(RIGHT($CD259,3)),""))</f>
        <v/>
      </c>
      <c r="CJ259">
        <f>IF($Y259="","",IFERROR(IF(ISNUMBER($Y259),$Y259,DATEVALUE(TRIM($Y259))),""))</f>
        <v/>
      </c>
      <c r="CK259">
        <f>IF($CJ259="","",IF(MONTH($CJ259)&gt;=12,"Cold Winter",IF(MONTH($CJ259)&gt;=10,"Post-Monsoon",IF(MONTH($CJ259)&gt;=6,"Hot Humid",IF(MONTH($CJ259)&gt;=3,"Hot Dry","Cold Winter")))))</f>
        <v/>
      </c>
      <c r="CL259">
        <f>IF($CE259="","",IFERROR(VLOOKUP($CE259,DECODE!$A$3:$C$8,2,FALSE),"?"))</f>
        <v/>
      </c>
      <c r="CM259">
        <f>IF($AN259="","",AN259)</f>
        <v/>
      </c>
      <c r="CN259">
        <f>IF($AO259="","",AO259)</f>
        <v/>
      </c>
      <c r="CO259">
        <f>IF($AP259="","",AP259)</f>
        <v/>
      </c>
      <c r="CP259">
        <f>IF($CM259="","",IF($CM259="Aloe Vera Gel","Aloe Vera Gel "&amp;$CO259&amp;"g",CN259&amp;" "&amp;$CO259&amp;"g"))</f>
        <v/>
      </c>
      <c r="CQ259">
        <f>IF($AT259="",0,1)</f>
        <v/>
      </c>
      <c r="CR259">
        <f>IF($CQ259=0,"",AW259)</f>
        <v/>
      </c>
      <c r="CS259">
        <f>IF($CQ259=0,"",AX259)</f>
        <v/>
      </c>
      <c r="CT259">
        <f>IF($CQ259=0,"",AY259)</f>
        <v/>
      </c>
      <c r="CU259">
        <f>IF($CR259="","",IF($CR259="Aloe Vera Gel","Aloe Vera Gel "&amp;$CT259&amp;"g",CS259&amp;" "&amp;$CT259&amp;"g"))</f>
        <v/>
      </c>
      <c r="CV259">
        <f>IF($CQ259=0,"",IF($CP259=$CU259,"Repeat Exact",IF($CT259&gt;$CO259,"Upsized",IF($CT259&lt;$CO259,"Downsized",IF($CM259&lt;&gt;$CR259,"Lateral","Same Size Diff Variant")))))</f>
        <v/>
      </c>
      <c r="CW259">
        <f>IF($CQ259=0,"",AZ259-AQ259)</f>
        <v/>
      </c>
      <c r="CX259">
        <f>IF($CQ259=0,0,IF(CS259=CN259,1,0))</f>
        <v/>
      </c>
      <c r="CY259">
        <f>IF($CQ259=0,0,IF(CR259=CM259,1,0))</f>
        <v/>
      </c>
      <c r="CZ259">
        <f>IF($A259="","",IF(AND(IF(DASHBOARD!$C$4="All",TRUE,$CM259=DASHBOARD!$C$4),IF(DASHBOARD!$C$6="All",TRUE,$CP259=DASHBOARD!$C$6),IF(DASHBOARD!$C$8="All",TRUE,$AF259&gt;=DASHBOARD!$C$8),IF(DASHBOARD!$C$10="All",TRUE,$AF259&lt;=DASHBOARD!$C$10),IF(DASHBOARD!$C$12="All",TRUE,$AH259=VALUE(DASHBOARD!$C$12)),IF(DASHBOARD!$C$14="All",TRUE,$AJ259=DASHBOARD!$C$14)),1,0))</f>
        <v/>
      </c>
    </row>
    <row r="260">
      <c r="A260" t="n">
        <v>155007</v>
      </c>
      <c r="B260" t="inlineStr">
        <is>
          <t>Aloe Vera Gel</t>
        </is>
      </c>
      <c r="H260" t="inlineStr">
        <is>
          <t>Aloe Vera Gel - 40 gms</t>
        </is>
      </c>
      <c r="N260" t="inlineStr">
        <is>
          <t>FC-HG-PA-040</t>
        </is>
      </c>
      <c r="T260" t="inlineStr">
        <is>
          <t>Jun 21, 2024</t>
        </is>
      </c>
      <c r="AE260" t="inlineStr">
        <is>
          <t>Hyderabad</t>
        </is>
      </c>
      <c r="AF260" t="inlineStr">
        <is>
          <t>2024-06</t>
        </is>
      </c>
      <c r="AG260" t="n">
        <v>6</v>
      </c>
      <c r="AH260" t="n">
        <v>1</v>
      </c>
      <c r="AI260" t="n">
        <v>0</v>
      </c>
      <c r="AJ260">
        <f>IF($AE260="","",IFERROR(VLOOKUP(TRIM($AE260),DECODE!$H$3:$I$60,2,FALSE),"Rest of India"))</f>
        <v/>
      </c>
      <c r="AK260">
        <f>IF($N260="","",UPPER(TRIM(LEFT($N260&amp;",",FIND(",",$N260&amp;",")-1))))</f>
        <v/>
      </c>
      <c r="AL260">
        <f>IF($AK260="","",MID($AK260,4,FIND("~",SUBSTITUTE($AK260,"-","~",2))-4))</f>
        <v/>
      </c>
      <c r="AM260">
        <f>IF($AK260="","",MID($AK260,FIND("~",SUBSTITUTE($AK260,"-","~",2))+1,FIND("~",SUBSTITUTE($AK260,"-","~",3))-FIND("~",SUBSTITUTE($AK260,"-","~",2))-1))</f>
        <v/>
      </c>
      <c r="AN260">
        <f>IF($AL260="","",IFERROR(VLOOKUP($AL260,DECODE!$A$3:$C$8,3,FALSE),"?"))</f>
        <v/>
      </c>
      <c r="AO260">
        <f>IF($AM260="","",IFERROR(VLOOKUP($AL260&amp;"-"&amp;$AM260,DECODE!$E$3:$F$21,2,FALSE),"?"))</f>
        <v/>
      </c>
      <c r="AP260">
        <f>IF($AK260="","",IFERROR(VALUE(RIGHT($AK260,3)),""))</f>
        <v/>
      </c>
      <c r="AQ260">
        <f>IF($T260="","",IFERROR(IF(ISNUMBER($T260),$T260,DATEVALUE(TRIM($T260))),""))</f>
        <v/>
      </c>
      <c r="AR260">
        <f>IF($AQ260="","",IF(MONTH($AQ260)&gt;=12,"Cold Winter",IF(MONTH($AQ260)&gt;=10,"Post-Monsoon",IF(MONTH($AQ260)&gt;=6,"Hot Humid",IF(MONTH($AQ260)&gt;=3,"Hot Dry","Cold Winter")))))</f>
        <v/>
      </c>
      <c r="AS260">
        <f>IF($AL260="","",IFERROR(VLOOKUP($AL260,DECODE!$A$3:$C$8,2,FALSE),"?"))</f>
        <v/>
      </c>
      <c r="AT260">
        <f>IF($O260="","",UPPER(TRIM(LEFT($O260&amp;",",FIND(",",$O260&amp;",")-1))))</f>
        <v/>
      </c>
      <c r="AU260">
        <f>IF($AT260="","",MID($AT260,4,FIND("~",SUBSTITUTE($AT260,"-","~",2))-4))</f>
        <v/>
      </c>
      <c r="AV260">
        <f>IF($AT260="","",MID($AT260,FIND("~",SUBSTITUTE($AT260,"-","~",2))+1,FIND("~",SUBSTITUTE($AT260,"-","~",3))-FIND("~",SUBSTITUTE($AT260,"-","~",2))-1))</f>
        <v/>
      </c>
      <c r="AW260">
        <f>IF($AU260="","",IFERROR(VLOOKUP($AU260,DECODE!$A$3:$C$8,3,FALSE),"?"))</f>
        <v/>
      </c>
      <c r="AX260">
        <f>IF($AV260="","",IFERROR(VLOOKUP($AU260&amp;"-"&amp;$AV260,DECODE!$E$3:$F$21,2,FALSE),"?"))</f>
        <v/>
      </c>
      <c r="AY260">
        <f>IF($AT260="","",IFERROR(VALUE(RIGHT($AT260,3)),""))</f>
        <v/>
      </c>
      <c r="AZ260">
        <f>IF($U260="","",IFERROR(IF(ISNUMBER($U260),$U260,DATEVALUE(TRIM($U260))),""))</f>
        <v/>
      </c>
      <c r="BA260">
        <f>IF($AZ260="","",IF(MONTH($AZ260)&gt;=12,"Cold Winter",IF(MONTH($AZ260)&gt;=10,"Post-Monsoon",IF(MONTH($AZ260)&gt;=6,"Hot Humid",IF(MONTH($AZ260)&gt;=3,"Hot Dry","Cold Winter")))))</f>
        <v/>
      </c>
      <c r="BB260">
        <f>IF($AU260="","",IFERROR(VLOOKUP($AU260,DECODE!$A$3:$C$8,2,FALSE),"?"))</f>
        <v/>
      </c>
      <c r="BC260">
        <f>IF($P260="","",UPPER(TRIM(LEFT($P260&amp;",",FIND(",",$P260&amp;",")-1))))</f>
        <v/>
      </c>
      <c r="BD260">
        <f>IF($BC260="","",MID($BC260,4,FIND("~",SUBSTITUTE($BC260,"-","~",2))-4))</f>
        <v/>
      </c>
      <c r="BE260">
        <f>IF($BC260="","",MID($BC260,FIND("~",SUBSTITUTE($BC260,"-","~",2))+1,FIND("~",SUBSTITUTE($BC260,"-","~",3))-FIND("~",SUBSTITUTE($BC260,"-","~",2))-1))</f>
        <v/>
      </c>
      <c r="BF260">
        <f>IF($BD260="","",IFERROR(VLOOKUP($BD260,DECODE!$A$3:$C$8,3,FALSE),"?"))</f>
        <v/>
      </c>
      <c r="BG260">
        <f>IF($BE260="","",IFERROR(VLOOKUP($BD260&amp;"-"&amp;$BE260,DECODE!$E$3:$F$21,2,FALSE),"?"))</f>
        <v/>
      </c>
      <c r="BH260">
        <f>IF($BC260="","",IFERROR(VALUE(RIGHT($BC260,3)),""))</f>
        <v/>
      </c>
      <c r="BI260">
        <f>IF($V260="","",IFERROR(IF(ISNUMBER($V260),$V260,DATEVALUE(TRIM($V260))),""))</f>
        <v/>
      </c>
      <c r="BJ260">
        <f>IF($BI260="","",IF(MONTH($BI260)&gt;=12,"Cold Winter",IF(MONTH($BI260)&gt;=10,"Post-Monsoon",IF(MONTH($BI260)&gt;=6,"Hot Humid",IF(MONTH($BI260)&gt;=3,"Hot Dry","Cold Winter")))))</f>
        <v/>
      </c>
      <c r="BK260">
        <f>IF($BD260="","",IFERROR(VLOOKUP($BD260,DECODE!$A$3:$C$8,2,FALSE),"?"))</f>
        <v/>
      </c>
      <c r="BL260">
        <f>IF($Q260="","",UPPER(TRIM(LEFT($Q260&amp;",",FIND(",",$Q260&amp;",")-1))))</f>
        <v/>
      </c>
      <c r="BM260">
        <f>IF($BL260="","",MID($BL260,4,FIND("~",SUBSTITUTE($BL260,"-","~",2))-4))</f>
        <v/>
      </c>
      <c r="BN260">
        <f>IF($BL260="","",MID($BL260,FIND("~",SUBSTITUTE($BL260,"-","~",2))+1,FIND("~",SUBSTITUTE($BL260,"-","~",3))-FIND("~",SUBSTITUTE($BL260,"-","~",2))-1))</f>
        <v/>
      </c>
      <c r="BO260">
        <f>IF($BM260="","",IFERROR(VLOOKUP($BM260,DECODE!$A$3:$C$8,3,FALSE),"?"))</f>
        <v/>
      </c>
      <c r="BP260">
        <f>IF($BN260="","",IFERROR(VLOOKUP($BM260&amp;"-"&amp;$BN260,DECODE!$E$3:$F$21,2,FALSE),"?"))</f>
        <v/>
      </c>
      <c r="BQ260">
        <f>IF($BL260="","",IFERROR(VALUE(RIGHT($BL260,3)),""))</f>
        <v/>
      </c>
      <c r="BR260">
        <f>IF($W260="","",IFERROR(IF(ISNUMBER($W260),$W260,DATEVALUE(TRIM($W260))),""))</f>
        <v/>
      </c>
      <c r="BS260">
        <f>IF($BR260="","",IF(MONTH($BR260)&gt;=12,"Cold Winter",IF(MONTH($BR260)&gt;=10,"Post-Monsoon",IF(MONTH($BR260)&gt;=6,"Hot Humid",IF(MONTH($BR260)&gt;=3,"Hot Dry","Cold Winter")))))</f>
        <v/>
      </c>
      <c r="BT260">
        <f>IF($BM260="","",IFERROR(VLOOKUP($BM260,DECODE!$A$3:$C$8,2,FALSE),"?"))</f>
        <v/>
      </c>
      <c r="BU260">
        <f>IF($R260="","",UPPER(TRIM(LEFT($R260&amp;",",FIND(",",$R260&amp;",")-1))))</f>
        <v/>
      </c>
      <c r="BV260">
        <f>IF($BU260="","",MID($BU260,4,FIND("~",SUBSTITUTE($BU260,"-","~",2))-4))</f>
        <v/>
      </c>
      <c r="BW260">
        <f>IF($BU260="","",MID($BU260,FIND("~",SUBSTITUTE($BU260,"-","~",2))+1,FIND("~",SUBSTITUTE($BU260,"-","~",3))-FIND("~",SUBSTITUTE($BU260,"-","~",2))-1))</f>
        <v/>
      </c>
      <c r="BX260">
        <f>IF($BV260="","",IFERROR(VLOOKUP($BV260,DECODE!$A$3:$C$8,3,FALSE),"?"))</f>
        <v/>
      </c>
      <c r="BY260">
        <f>IF($BW260="","",IFERROR(VLOOKUP($BV260&amp;"-"&amp;$BW260,DECODE!$E$3:$F$21,2,FALSE),"?"))</f>
        <v/>
      </c>
      <c r="BZ260">
        <f>IF($BU260="","",IFERROR(VALUE(RIGHT($BU260,3)),""))</f>
        <v/>
      </c>
      <c r="CA260">
        <f>IF($X260="","",IFERROR(IF(ISNUMBER($X260),$X260,DATEVALUE(TRIM($X260))),""))</f>
        <v/>
      </c>
      <c r="CB260">
        <f>IF($CA260="","",IF(MONTH($CA260)&gt;=12,"Cold Winter",IF(MONTH($CA260)&gt;=10,"Post-Monsoon",IF(MONTH($CA260)&gt;=6,"Hot Humid",IF(MONTH($CA260)&gt;=3,"Hot Dry","Cold Winter")))))</f>
        <v/>
      </c>
      <c r="CC260">
        <f>IF($BV260="","",IFERROR(VLOOKUP($BV260,DECODE!$A$3:$C$8,2,FALSE),"?"))</f>
        <v/>
      </c>
      <c r="CD260">
        <f>IF($S260="","",UPPER(TRIM(LEFT($S260&amp;",",FIND(",",$S260&amp;",")-1))))</f>
        <v/>
      </c>
      <c r="CE260">
        <f>IF($CD260="","",MID($CD260,4,FIND("~",SUBSTITUTE($CD260,"-","~",2))-4))</f>
        <v/>
      </c>
      <c r="CF260">
        <f>IF($CD260="","",MID($CD260,FIND("~",SUBSTITUTE($CD260,"-","~",2))+1,FIND("~",SUBSTITUTE($CD260,"-","~",3))-FIND("~",SUBSTITUTE($CD260,"-","~",2))-1))</f>
        <v/>
      </c>
      <c r="CG260">
        <f>IF($CE260="","",IFERROR(VLOOKUP($CE260,DECODE!$A$3:$C$8,3,FALSE),"?"))</f>
        <v/>
      </c>
      <c r="CH260">
        <f>IF($CF260="","",IFERROR(VLOOKUP($CE260&amp;"-"&amp;$CF260,DECODE!$E$3:$F$21,2,FALSE),"?"))</f>
        <v/>
      </c>
      <c r="CI260">
        <f>IF($CD260="","",IFERROR(VALUE(RIGHT($CD260,3)),""))</f>
        <v/>
      </c>
      <c r="CJ260">
        <f>IF($Y260="","",IFERROR(IF(ISNUMBER($Y260),$Y260,DATEVALUE(TRIM($Y260))),""))</f>
        <v/>
      </c>
      <c r="CK260">
        <f>IF($CJ260="","",IF(MONTH($CJ260)&gt;=12,"Cold Winter",IF(MONTH($CJ260)&gt;=10,"Post-Monsoon",IF(MONTH($CJ260)&gt;=6,"Hot Humid",IF(MONTH($CJ260)&gt;=3,"Hot Dry","Cold Winter")))))</f>
        <v/>
      </c>
      <c r="CL260">
        <f>IF($CE260="","",IFERROR(VLOOKUP($CE260,DECODE!$A$3:$C$8,2,FALSE),"?"))</f>
        <v/>
      </c>
      <c r="CM260">
        <f>IF($AN260="","",AN260)</f>
        <v/>
      </c>
      <c r="CN260">
        <f>IF($AO260="","",AO260)</f>
        <v/>
      </c>
      <c r="CO260">
        <f>IF($AP260="","",AP260)</f>
        <v/>
      </c>
      <c r="CP260">
        <f>IF($CM260="","",IF($CM260="Aloe Vera Gel","Aloe Vera Gel "&amp;$CO260&amp;"g",CN260&amp;" "&amp;$CO260&amp;"g"))</f>
        <v/>
      </c>
      <c r="CQ260">
        <f>IF($AT260="",0,1)</f>
        <v/>
      </c>
      <c r="CR260">
        <f>IF($CQ260=0,"",AW260)</f>
        <v/>
      </c>
      <c r="CS260">
        <f>IF($CQ260=0,"",AX260)</f>
        <v/>
      </c>
      <c r="CT260">
        <f>IF($CQ260=0,"",AY260)</f>
        <v/>
      </c>
      <c r="CU260">
        <f>IF($CR260="","",IF($CR260="Aloe Vera Gel","Aloe Vera Gel "&amp;$CT260&amp;"g",CS260&amp;" "&amp;$CT260&amp;"g"))</f>
        <v/>
      </c>
      <c r="CV260">
        <f>IF($CQ260=0,"",IF($CP260=$CU260,"Repeat Exact",IF($CT260&gt;$CO260,"Upsized",IF($CT260&lt;$CO260,"Downsized",IF($CM260&lt;&gt;$CR260,"Lateral","Same Size Diff Variant")))))</f>
        <v/>
      </c>
      <c r="CW260">
        <f>IF($CQ260=0,"",AZ260-AQ260)</f>
        <v/>
      </c>
      <c r="CX260">
        <f>IF($CQ260=0,0,IF(CS260=CN260,1,0))</f>
        <v/>
      </c>
      <c r="CY260">
        <f>IF($CQ260=0,0,IF(CR260=CM260,1,0))</f>
        <v/>
      </c>
      <c r="CZ260">
        <f>IF($A260="","",IF(AND(IF(DASHBOARD!$C$4="All",TRUE,$CM260=DASHBOARD!$C$4),IF(DASHBOARD!$C$6="All",TRUE,$CP260=DASHBOARD!$C$6),IF(DASHBOARD!$C$8="All",TRUE,$AF260&gt;=DASHBOARD!$C$8),IF(DASHBOARD!$C$10="All",TRUE,$AF260&lt;=DASHBOARD!$C$10),IF(DASHBOARD!$C$12="All",TRUE,$AH260=VALUE(DASHBOARD!$C$12)),IF(DASHBOARD!$C$14="All",TRUE,$AJ260=DASHBOARD!$C$14)),1,0))</f>
        <v/>
      </c>
    </row>
    <row r="261">
      <c r="A261" t="n">
        <v>155727</v>
      </c>
      <c r="B261" t="inlineStr">
        <is>
          <t>Face Malai</t>
        </is>
      </c>
      <c r="C261" t="inlineStr">
        <is>
          <t>Face Malai</t>
        </is>
      </c>
      <c r="H261" t="inlineStr">
        <is>
          <t>Flax Bakuchi (Hot Dry) 35+ Face Malai - 30g</t>
        </is>
      </c>
      <c r="I261" t="inlineStr">
        <is>
          <t>Flax Carrot (Hot Humid) 35+ Face Malai - 30g</t>
        </is>
      </c>
      <c r="N261" t="inlineStr">
        <is>
          <t>FC-HDDM-FB-030</t>
        </is>
      </c>
      <c r="O261" t="inlineStr">
        <is>
          <t>FC-HHDM-FC-030</t>
        </is>
      </c>
      <c r="T261" t="inlineStr">
        <is>
          <t>Apr 12, 2025</t>
        </is>
      </c>
      <c r="U261" t="inlineStr">
        <is>
          <t>May 13, 2025</t>
        </is>
      </c>
      <c r="Z261" t="n">
        <v>31</v>
      </c>
      <c r="AE261" t="inlineStr">
        <is>
          <t>New Delhi</t>
        </is>
      </c>
      <c r="AF261" t="inlineStr">
        <is>
          <t>2025-04</t>
        </is>
      </c>
      <c r="AG261" t="n">
        <v>4</v>
      </c>
      <c r="AH261" t="n">
        <v>2</v>
      </c>
      <c r="AI261" t="n">
        <v>1</v>
      </c>
      <c r="AJ261">
        <f>IF($AE261="","",IFERROR(VLOOKUP(TRIM($AE261),DECODE!$H$3:$I$60,2,FALSE),"Rest of India"))</f>
        <v/>
      </c>
      <c r="AK261">
        <f>IF($N261="","",UPPER(TRIM(LEFT($N261&amp;",",FIND(",",$N261&amp;",")-1))))</f>
        <v/>
      </c>
      <c r="AL261">
        <f>IF($AK261="","",MID($AK261,4,FIND("~",SUBSTITUTE($AK261,"-","~",2))-4))</f>
        <v/>
      </c>
      <c r="AM261">
        <f>IF($AK261="","",MID($AK261,FIND("~",SUBSTITUTE($AK261,"-","~",2))+1,FIND("~",SUBSTITUTE($AK261,"-","~",3))-FIND("~",SUBSTITUTE($AK261,"-","~",2))-1))</f>
        <v/>
      </c>
      <c r="AN261">
        <f>IF($AL261="","",IFERROR(VLOOKUP($AL261,DECODE!$A$3:$C$8,3,FALSE),"?"))</f>
        <v/>
      </c>
      <c r="AO261">
        <f>IF($AM261="","",IFERROR(VLOOKUP($AL261&amp;"-"&amp;$AM261,DECODE!$E$3:$F$21,2,FALSE),"?"))</f>
        <v/>
      </c>
      <c r="AP261">
        <f>IF($AK261="","",IFERROR(VALUE(RIGHT($AK261,3)),""))</f>
        <v/>
      </c>
      <c r="AQ261">
        <f>IF($T261="","",IFERROR(IF(ISNUMBER($T261),$T261,DATEVALUE(TRIM($T261))),""))</f>
        <v/>
      </c>
      <c r="AR261">
        <f>IF($AQ261="","",IF(MONTH($AQ261)&gt;=12,"Cold Winter",IF(MONTH($AQ261)&gt;=10,"Post-Monsoon",IF(MONTH($AQ261)&gt;=6,"Hot Humid",IF(MONTH($AQ261)&gt;=3,"Hot Dry","Cold Winter")))))</f>
        <v/>
      </c>
      <c r="AS261">
        <f>IF($AL261="","",IFERROR(VLOOKUP($AL261,DECODE!$A$3:$C$8,2,FALSE),"?"))</f>
        <v/>
      </c>
      <c r="AT261">
        <f>IF($O261="","",UPPER(TRIM(LEFT($O261&amp;",",FIND(",",$O261&amp;",")-1))))</f>
        <v/>
      </c>
      <c r="AU261">
        <f>IF($AT261="","",MID($AT261,4,FIND("~",SUBSTITUTE($AT261,"-","~",2))-4))</f>
        <v/>
      </c>
      <c r="AV261">
        <f>IF($AT261="","",MID($AT261,FIND("~",SUBSTITUTE($AT261,"-","~",2))+1,FIND("~",SUBSTITUTE($AT261,"-","~",3))-FIND("~",SUBSTITUTE($AT261,"-","~",2))-1))</f>
        <v/>
      </c>
      <c r="AW261">
        <f>IF($AU261="","",IFERROR(VLOOKUP($AU261,DECODE!$A$3:$C$8,3,FALSE),"?"))</f>
        <v/>
      </c>
      <c r="AX261">
        <f>IF($AV261="","",IFERROR(VLOOKUP($AU261&amp;"-"&amp;$AV261,DECODE!$E$3:$F$21,2,FALSE),"?"))</f>
        <v/>
      </c>
      <c r="AY261">
        <f>IF($AT261="","",IFERROR(VALUE(RIGHT($AT261,3)),""))</f>
        <v/>
      </c>
      <c r="AZ261">
        <f>IF($U261="","",IFERROR(IF(ISNUMBER($U261),$U261,DATEVALUE(TRIM($U261))),""))</f>
        <v/>
      </c>
      <c r="BA261">
        <f>IF($AZ261="","",IF(MONTH($AZ261)&gt;=12,"Cold Winter",IF(MONTH($AZ261)&gt;=10,"Post-Monsoon",IF(MONTH($AZ261)&gt;=6,"Hot Humid",IF(MONTH($AZ261)&gt;=3,"Hot Dry","Cold Winter")))))</f>
        <v/>
      </c>
      <c r="BB261">
        <f>IF($AU261="","",IFERROR(VLOOKUP($AU261,DECODE!$A$3:$C$8,2,FALSE),"?"))</f>
        <v/>
      </c>
      <c r="BC261">
        <f>IF($P261="","",UPPER(TRIM(LEFT($P261&amp;",",FIND(",",$P261&amp;",")-1))))</f>
        <v/>
      </c>
      <c r="BD261">
        <f>IF($BC261="","",MID($BC261,4,FIND("~",SUBSTITUTE($BC261,"-","~",2))-4))</f>
        <v/>
      </c>
      <c r="BE261">
        <f>IF($BC261="","",MID($BC261,FIND("~",SUBSTITUTE($BC261,"-","~",2))+1,FIND("~",SUBSTITUTE($BC261,"-","~",3))-FIND("~",SUBSTITUTE($BC261,"-","~",2))-1))</f>
        <v/>
      </c>
      <c r="BF261">
        <f>IF($BD261="","",IFERROR(VLOOKUP($BD261,DECODE!$A$3:$C$8,3,FALSE),"?"))</f>
        <v/>
      </c>
      <c r="BG261">
        <f>IF($BE261="","",IFERROR(VLOOKUP($BD261&amp;"-"&amp;$BE261,DECODE!$E$3:$F$21,2,FALSE),"?"))</f>
        <v/>
      </c>
      <c r="BH261">
        <f>IF($BC261="","",IFERROR(VALUE(RIGHT($BC261,3)),""))</f>
        <v/>
      </c>
      <c r="BI261">
        <f>IF($V261="","",IFERROR(IF(ISNUMBER($V261),$V261,DATEVALUE(TRIM($V261))),""))</f>
        <v/>
      </c>
      <c r="BJ261">
        <f>IF($BI261="","",IF(MONTH($BI261)&gt;=12,"Cold Winter",IF(MONTH($BI261)&gt;=10,"Post-Monsoon",IF(MONTH($BI261)&gt;=6,"Hot Humid",IF(MONTH($BI261)&gt;=3,"Hot Dry","Cold Winter")))))</f>
        <v/>
      </c>
      <c r="BK261">
        <f>IF($BD261="","",IFERROR(VLOOKUP($BD261,DECODE!$A$3:$C$8,2,FALSE),"?"))</f>
        <v/>
      </c>
      <c r="BL261">
        <f>IF($Q261="","",UPPER(TRIM(LEFT($Q261&amp;",",FIND(",",$Q261&amp;",")-1))))</f>
        <v/>
      </c>
      <c r="BM261">
        <f>IF($BL261="","",MID($BL261,4,FIND("~",SUBSTITUTE($BL261,"-","~",2))-4))</f>
        <v/>
      </c>
      <c r="BN261">
        <f>IF($BL261="","",MID($BL261,FIND("~",SUBSTITUTE($BL261,"-","~",2))+1,FIND("~",SUBSTITUTE($BL261,"-","~",3))-FIND("~",SUBSTITUTE($BL261,"-","~",2))-1))</f>
        <v/>
      </c>
      <c r="BO261">
        <f>IF($BM261="","",IFERROR(VLOOKUP($BM261,DECODE!$A$3:$C$8,3,FALSE),"?"))</f>
        <v/>
      </c>
      <c r="BP261">
        <f>IF($BN261="","",IFERROR(VLOOKUP($BM261&amp;"-"&amp;$BN261,DECODE!$E$3:$F$21,2,FALSE),"?"))</f>
        <v/>
      </c>
      <c r="BQ261">
        <f>IF($BL261="","",IFERROR(VALUE(RIGHT($BL261,3)),""))</f>
        <v/>
      </c>
      <c r="BR261">
        <f>IF($W261="","",IFERROR(IF(ISNUMBER($W261),$W261,DATEVALUE(TRIM($W261))),""))</f>
        <v/>
      </c>
      <c r="BS261">
        <f>IF($BR261="","",IF(MONTH($BR261)&gt;=12,"Cold Winter",IF(MONTH($BR261)&gt;=10,"Post-Monsoon",IF(MONTH($BR261)&gt;=6,"Hot Humid",IF(MONTH($BR261)&gt;=3,"Hot Dry","Cold Winter")))))</f>
        <v/>
      </c>
      <c r="BT261">
        <f>IF($BM261="","",IFERROR(VLOOKUP($BM261,DECODE!$A$3:$C$8,2,FALSE),"?"))</f>
        <v/>
      </c>
      <c r="BU261">
        <f>IF($R261="","",UPPER(TRIM(LEFT($R261&amp;",",FIND(",",$R261&amp;",")-1))))</f>
        <v/>
      </c>
      <c r="BV261">
        <f>IF($BU261="","",MID($BU261,4,FIND("~",SUBSTITUTE($BU261,"-","~",2))-4))</f>
        <v/>
      </c>
      <c r="BW261">
        <f>IF($BU261="","",MID($BU261,FIND("~",SUBSTITUTE($BU261,"-","~",2))+1,FIND("~",SUBSTITUTE($BU261,"-","~",3))-FIND("~",SUBSTITUTE($BU261,"-","~",2))-1))</f>
        <v/>
      </c>
      <c r="BX261">
        <f>IF($BV261="","",IFERROR(VLOOKUP($BV261,DECODE!$A$3:$C$8,3,FALSE),"?"))</f>
        <v/>
      </c>
      <c r="BY261">
        <f>IF($BW261="","",IFERROR(VLOOKUP($BV261&amp;"-"&amp;$BW261,DECODE!$E$3:$F$21,2,FALSE),"?"))</f>
        <v/>
      </c>
      <c r="BZ261">
        <f>IF($BU261="","",IFERROR(VALUE(RIGHT($BU261,3)),""))</f>
        <v/>
      </c>
      <c r="CA261">
        <f>IF($X261="","",IFERROR(IF(ISNUMBER($X261),$X261,DATEVALUE(TRIM($X261))),""))</f>
        <v/>
      </c>
      <c r="CB261">
        <f>IF($CA261="","",IF(MONTH($CA261)&gt;=12,"Cold Winter",IF(MONTH($CA261)&gt;=10,"Post-Monsoon",IF(MONTH($CA261)&gt;=6,"Hot Humid",IF(MONTH($CA261)&gt;=3,"Hot Dry","Cold Winter")))))</f>
        <v/>
      </c>
      <c r="CC261">
        <f>IF($BV261="","",IFERROR(VLOOKUP($BV261,DECODE!$A$3:$C$8,2,FALSE),"?"))</f>
        <v/>
      </c>
      <c r="CD261">
        <f>IF($S261="","",UPPER(TRIM(LEFT($S261&amp;",",FIND(",",$S261&amp;",")-1))))</f>
        <v/>
      </c>
      <c r="CE261">
        <f>IF($CD261="","",MID($CD261,4,FIND("~",SUBSTITUTE($CD261,"-","~",2))-4))</f>
        <v/>
      </c>
      <c r="CF261">
        <f>IF($CD261="","",MID($CD261,FIND("~",SUBSTITUTE($CD261,"-","~",2))+1,FIND("~",SUBSTITUTE($CD261,"-","~",3))-FIND("~",SUBSTITUTE($CD261,"-","~",2))-1))</f>
        <v/>
      </c>
      <c r="CG261">
        <f>IF($CE261="","",IFERROR(VLOOKUP($CE261,DECODE!$A$3:$C$8,3,FALSE),"?"))</f>
        <v/>
      </c>
      <c r="CH261">
        <f>IF($CF261="","",IFERROR(VLOOKUP($CE261&amp;"-"&amp;$CF261,DECODE!$E$3:$F$21,2,FALSE),"?"))</f>
        <v/>
      </c>
      <c r="CI261">
        <f>IF($CD261="","",IFERROR(VALUE(RIGHT($CD261,3)),""))</f>
        <v/>
      </c>
      <c r="CJ261">
        <f>IF($Y261="","",IFERROR(IF(ISNUMBER($Y261),$Y261,DATEVALUE(TRIM($Y261))),""))</f>
        <v/>
      </c>
      <c r="CK261">
        <f>IF($CJ261="","",IF(MONTH($CJ261)&gt;=12,"Cold Winter",IF(MONTH($CJ261)&gt;=10,"Post-Monsoon",IF(MONTH($CJ261)&gt;=6,"Hot Humid",IF(MONTH($CJ261)&gt;=3,"Hot Dry","Cold Winter")))))</f>
        <v/>
      </c>
      <c r="CL261">
        <f>IF($CE261="","",IFERROR(VLOOKUP($CE261,DECODE!$A$3:$C$8,2,FALSE),"?"))</f>
        <v/>
      </c>
      <c r="CM261">
        <f>IF($AN261="","",AN261)</f>
        <v/>
      </c>
      <c r="CN261">
        <f>IF($AO261="","",AO261)</f>
        <v/>
      </c>
      <c r="CO261">
        <f>IF($AP261="","",AP261)</f>
        <v/>
      </c>
      <c r="CP261">
        <f>IF($CM261="","",IF($CM261="Aloe Vera Gel","Aloe Vera Gel "&amp;$CO261&amp;"g",CN261&amp;" "&amp;$CO261&amp;"g"))</f>
        <v/>
      </c>
      <c r="CQ261">
        <f>IF($AT261="",0,1)</f>
        <v/>
      </c>
      <c r="CR261">
        <f>IF($CQ261=0,"",AW261)</f>
        <v/>
      </c>
      <c r="CS261">
        <f>IF($CQ261=0,"",AX261)</f>
        <v/>
      </c>
      <c r="CT261">
        <f>IF($CQ261=0,"",AY261)</f>
        <v/>
      </c>
      <c r="CU261">
        <f>IF($CR261="","",IF($CR261="Aloe Vera Gel","Aloe Vera Gel "&amp;$CT261&amp;"g",CS261&amp;" "&amp;$CT261&amp;"g"))</f>
        <v/>
      </c>
      <c r="CV261">
        <f>IF($CQ261=0,"",IF($CP261=$CU261,"Repeat Exact",IF($CT261&gt;$CO261,"Upsized",IF($CT261&lt;$CO261,"Downsized",IF($CM261&lt;&gt;$CR261,"Lateral","Same Size Diff Variant")))))</f>
        <v/>
      </c>
      <c r="CW261">
        <f>IF($CQ261=0,"",AZ261-AQ261)</f>
        <v/>
      </c>
      <c r="CX261">
        <f>IF($CQ261=0,0,IF(CS261=CN261,1,0))</f>
        <v/>
      </c>
      <c r="CY261">
        <f>IF($CQ261=0,0,IF(CR261=CM261,1,0))</f>
        <v/>
      </c>
      <c r="CZ261">
        <f>IF($A261="","",IF(AND(IF(DASHBOARD!$C$4="All",TRUE,$CM261=DASHBOARD!$C$4),IF(DASHBOARD!$C$6="All",TRUE,$CP261=DASHBOARD!$C$6),IF(DASHBOARD!$C$8="All",TRUE,$AF261&gt;=DASHBOARD!$C$8),IF(DASHBOARD!$C$10="All",TRUE,$AF261&lt;=DASHBOARD!$C$10),IF(DASHBOARD!$C$12="All",TRUE,$AH261=VALUE(DASHBOARD!$C$12)),IF(DASHBOARD!$C$14="All",TRUE,$AJ261=DASHBOARD!$C$14)),1,0))</f>
        <v/>
      </c>
    </row>
    <row r="262">
      <c r="A262" t="n">
        <v>155854</v>
      </c>
      <c r="B262" t="inlineStr">
        <is>
          <t>Face Malai</t>
        </is>
      </c>
      <c r="H262" t="inlineStr">
        <is>
          <t>Flax Carrot (Hot Humid) 35+ Face Malai - 30g</t>
        </is>
      </c>
      <c r="N262" t="inlineStr">
        <is>
          <t>FC-HHDM-FC-030</t>
        </is>
      </c>
      <c r="T262" t="inlineStr">
        <is>
          <t>Jun 9, 2025</t>
        </is>
      </c>
      <c r="AE262" t="inlineStr">
        <is>
          <t>Jaipur</t>
        </is>
      </c>
      <c r="AF262" t="inlineStr">
        <is>
          <t>2025-06</t>
        </is>
      </c>
      <c r="AG262" t="n">
        <v>6</v>
      </c>
      <c r="AH262" t="n">
        <v>1</v>
      </c>
      <c r="AI262" t="n">
        <v>0</v>
      </c>
      <c r="AJ262">
        <f>IF($AE262="","",IFERROR(VLOOKUP(TRIM($AE262),DECODE!$H$3:$I$60,2,FALSE),"Rest of India"))</f>
        <v/>
      </c>
      <c r="AK262">
        <f>IF($N262="","",UPPER(TRIM(LEFT($N262&amp;",",FIND(",",$N262&amp;",")-1))))</f>
        <v/>
      </c>
      <c r="AL262">
        <f>IF($AK262="","",MID($AK262,4,FIND("~",SUBSTITUTE($AK262,"-","~",2))-4))</f>
        <v/>
      </c>
      <c r="AM262">
        <f>IF($AK262="","",MID($AK262,FIND("~",SUBSTITUTE($AK262,"-","~",2))+1,FIND("~",SUBSTITUTE($AK262,"-","~",3))-FIND("~",SUBSTITUTE($AK262,"-","~",2))-1))</f>
        <v/>
      </c>
      <c r="AN262">
        <f>IF($AL262="","",IFERROR(VLOOKUP($AL262,DECODE!$A$3:$C$8,3,FALSE),"?"))</f>
        <v/>
      </c>
      <c r="AO262">
        <f>IF($AM262="","",IFERROR(VLOOKUP($AL262&amp;"-"&amp;$AM262,DECODE!$E$3:$F$21,2,FALSE),"?"))</f>
        <v/>
      </c>
      <c r="AP262">
        <f>IF($AK262="","",IFERROR(VALUE(RIGHT($AK262,3)),""))</f>
        <v/>
      </c>
      <c r="AQ262">
        <f>IF($T262="","",IFERROR(IF(ISNUMBER($T262),$T262,DATEVALUE(TRIM($T262))),""))</f>
        <v/>
      </c>
      <c r="AR262">
        <f>IF($AQ262="","",IF(MONTH($AQ262)&gt;=12,"Cold Winter",IF(MONTH($AQ262)&gt;=10,"Post-Monsoon",IF(MONTH($AQ262)&gt;=6,"Hot Humid",IF(MONTH($AQ262)&gt;=3,"Hot Dry","Cold Winter")))))</f>
        <v/>
      </c>
      <c r="AS262">
        <f>IF($AL262="","",IFERROR(VLOOKUP($AL262,DECODE!$A$3:$C$8,2,FALSE),"?"))</f>
        <v/>
      </c>
      <c r="AT262">
        <f>IF($O262="","",UPPER(TRIM(LEFT($O262&amp;",",FIND(",",$O262&amp;",")-1))))</f>
        <v/>
      </c>
      <c r="AU262">
        <f>IF($AT262="","",MID($AT262,4,FIND("~",SUBSTITUTE($AT262,"-","~",2))-4))</f>
        <v/>
      </c>
      <c r="AV262">
        <f>IF($AT262="","",MID($AT262,FIND("~",SUBSTITUTE($AT262,"-","~",2))+1,FIND("~",SUBSTITUTE($AT262,"-","~",3))-FIND("~",SUBSTITUTE($AT262,"-","~",2))-1))</f>
        <v/>
      </c>
      <c r="AW262">
        <f>IF($AU262="","",IFERROR(VLOOKUP($AU262,DECODE!$A$3:$C$8,3,FALSE),"?"))</f>
        <v/>
      </c>
      <c r="AX262">
        <f>IF($AV262="","",IFERROR(VLOOKUP($AU262&amp;"-"&amp;$AV262,DECODE!$E$3:$F$21,2,FALSE),"?"))</f>
        <v/>
      </c>
      <c r="AY262">
        <f>IF($AT262="","",IFERROR(VALUE(RIGHT($AT262,3)),""))</f>
        <v/>
      </c>
      <c r="AZ262">
        <f>IF($U262="","",IFERROR(IF(ISNUMBER($U262),$U262,DATEVALUE(TRIM($U262))),""))</f>
        <v/>
      </c>
      <c r="BA262">
        <f>IF($AZ262="","",IF(MONTH($AZ262)&gt;=12,"Cold Winter",IF(MONTH($AZ262)&gt;=10,"Post-Monsoon",IF(MONTH($AZ262)&gt;=6,"Hot Humid",IF(MONTH($AZ262)&gt;=3,"Hot Dry","Cold Winter")))))</f>
        <v/>
      </c>
      <c r="BB262">
        <f>IF($AU262="","",IFERROR(VLOOKUP($AU262,DECODE!$A$3:$C$8,2,FALSE),"?"))</f>
        <v/>
      </c>
      <c r="BC262">
        <f>IF($P262="","",UPPER(TRIM(LEFT($P262&amp;",",FIND(",",$P262&amp;",")-1))))</f>
        <v/>
      </c>
      <c r="BD262">
        <f>IF($BC262="","",MID($BC262,4,FIND("~",SUBSTITUTE($BC262,"-","~",2))-4))</f>
        <v/>
      </c>
      <c r="BE262">
        <f>IF($BC262="","",MID($BC262,FIND("~",SUBSTITUTE($BC262,"-","~",2))+1,FIND("~",SUBSTITUTE($BC262,"-","~",3))-FIND("~",SUBSTITUTE($BC262,"-","~",2))-1))</f>
        <v/>
      </c>
      <c r="BF262">
        <f>IF($BD262="","",IFERROR(VLOOKUP($BD262,DECODE!$A$3:$C$8,3,FALSE),"?"))</f>
        <v/>
      </c>
      <c r="BG262">
        <f>IF($BE262="","",IFERROR(VLOOKUP($BD262&amp;"-"&amp;$BE262,DECODE!$E$3:$F$21,2,FALSE),"?"))</f>
        <v/>
      </c>
      <c r="BH262">
        <f>IF($BC262="","",IFERROR(VALUE(RIGHT($BC262,3)),""))</f>
        <v/>
      </c>
      <c r="BI262">
        <f>IF($V262="","",IFERROR(IF(ISNUMBER($V262),$V262,DATEVALUE(TRIM($V262))),""))</f>
        <v/>
      </c>
      <c r="BJ262">
        <f>IF($BI262="","",IF(MONTH($BI262)&gt;=12,"Cold Winter",IF(MONTH($BI262)&gt;=10,"Post-Monsoon",IF(MONTH($BI262)&gt;=6,"Hot Humid",IF(MONTH($BI262)&gt;=3,"Hot Dry","Cold Winter")))))</f>
        <v/>
      </c>
      <c r="BK262">
        <f>IF($BD262="","",IFERROR(VLOOKUP($BD262,DECODE!$A$3:$C$8,2,FALSE),"?"))</f>
        <v/>
      </c>
      <c r="BL262">
        <f>IF($Q262="","",UPPER(TRIM(LEFT($Q262&amp;",",FIND(",",$Q262&amp;",")-1))))</f>
        <v/>
      </c>
      <c r="BM262">
        <f>IF($BL262="","",MID($BL262,4,FIND("~",SUBSTITUTE($BL262,"-","~",2))-4))</f>
        <v/>
      </c>
      <c r="BN262">
        <f>IF($BL262="","",MID($BL262,FIND("~",SUBSTITUTE($BL262,"-","~",2))+1,FIND("~",SUBSTITUTE($BL262,"-","~",3))-FIND("~",SUBSTITUTE($BL262,"-","~",2))-1))</f>
        <v/>
      </c>
      <c r="BO262">
        <f>IF($BM262="","",IFERROR(VLOOKUP($BM262,DECODE!$A$3:$C$8,3,FALSE),"?"))</f>
        <v/>
      </c>
      <c r="BP262">
        <f>IF($BN262="","",IFERROR(VLOOKUP($BM262&amp;"-"&amp;$BN262,DECODE!$E$3:$F$21,2,FALSE),"?"))</f>
        <v/>
      </c>
      <c r="BQ262">
        <f>IF($BL262="","",IFERROR(VALUE(RIGHT($BL262,3)),""))</f>
        <v/>
      </c>
      <c r="BR262">
        <f>IF($W262="","",IFERROR(IF(ISNUMBER($W262),$W262,DATEVALUE(TRIM($W262))),""))</f>
        <v/>
      </c>
      <c r="BS262">
        <f>IF($BR262="","",IF(MONTH($BR262)&gt;=12,"Cold Winter",IF(MONTH($BR262)&gt;=10,"Post-Monsoon",IF(MONTH($BR262)&gt;=6,"Hot Humid",IF(MONTH($BR262)&gt;=3,"Hot Dry","Cold Winter")))))</f>
        <v/>
      </c>
      <c r="BT262">
        <f>IF($BM262="","",IFERROR(VLOOKUP($BM262,DECODE!$A$3:$C$8,2,FALSE),"?"))</f>
        <v/>
      </c>
      <c r="BU262">
        <f>IF($R262="","",UPPER(TRIM(LEFT($R262&amp;",",FIND(",",$R262&amp;",")-1))))</f>
        <v/>
      </c>
      <c r="BV262">
        <f>IF($BU262="","",MID($BU262,4,FIND("~",SUBSTITUTE($BU262,"-","~",2))-4))</f>
        <v/>
      </c>
      <c r="BW262">
        <f>IF($BU262="","",MID($BU262,FIND("~",SUBSTITUTE($BU262,"-","~",2))+1,FIND("~",SUBSTITUTE($BU262,"-","~",3))-FIND("~",SUBSTITUTE($BU262,"-","~",2))-1))</f>
        <v/>
      </c>
      <c r="BX262">
        <f>IF($BV262="","",IFERROR(VLOOKUP($BV262,DECODE!$A$3:$C$8,3,FALSE),"?"))</f>
        <v/>
      </c>
      <c r="BY262">
        <f>IF($BW262="","",IFERROR(VLOOKUP($BV262&amp;"-"&amp;$BW262,DECODE!$E$3:$F$21,2,FALSE),"?"))</f>
        <v/>
      </c>
      <c r="BZ262">
        <f>IF($BU262="","",IFERROR(VALUE(RIGHT($BU262,3)),""))</f>
        <v/>
      </c>
      <c r="CA262">
        <f>IF($X262="","",IFERROR(IF(ISNUMBER($X262),$X262,DATEVALUE(TRIM($X262))),""))</f>
        <v/>
      </c>
      <c r="CB262">
        <f>IF($CA262="","",IF(MONTH($CA262)&gt;=12,"Cold Winter",IF(MONTH($CA262)&gt;=10,"Post-Monsoon",IF(MONTH($CA262)&gt;=6,"Hot Humid",IF(MONTH($CA262)&gt;=3,"Hot Dry","Cold Winter")))))</f>
        <v/>
      </c>
      <c r="CC262">
        <f>IF($BV262="","",IFERROR(VLOOKUP($BV262,DECODE!$A$3:$C$8,2,FALSE),"?"))</f>
        <v/>
      </c>
      <c r="CD262">
        <f>IF($S262="","",UPPER(TRIM(LEFT($S262&amp;",",FIND(",",$S262&amp;",")-1))))</f>
        <v/>
      </c>
      <c r="CE262">
        <f>IF($CD262="","",MID($CD262,4,FIND("~",SUBSTITUTE($CD262,"-","~",2))-4))</f>
        <v/>
      </c>
      <c r="CF262">
        <f>IF($CD262="","",MID($CD262,FIND("~",SUBSTITUTE($CD262,"-","~",2))+1,FIND("~",SUBSTITUTE($CD262,"-","~",3))-FIND("~",SUBSTITUTE($CD262,"-","~",2))-1))</f>
        <v/>
      </c>
      <c r="CG262">
        <f>IF($CE262="","",IFERROR(VLOOKUP($CE262,DECODE!$A$3:$C$8,3,FALSE),"?"))</f>
        <v/>
      </c>
      <c r="CH262">
        <f>IF($CF262="","",IFERROR(VLOOKUP($CE262&amp;"-"&amp;$CF262,DECODE!$E$3:$F$21,2,FALSE),"?"))</f>
        <v/>
      </c>
      <c r="CI262">
        <f>IF($CD262="","",IFERROR(VALUE(RIGHT($CD262,3)),""))</f>
        <v/>
      </c>
      <c r="CJ262">
        <f>IF($Y262="","",IFERROR(IF(ISNUMBER($Y262),$Y262,DATEVALUE(TRIM($Y262))),""))</f>
        <v/>
      </c>
      <c r="CK262">
        <f>IF($CJ262="","",IF(MONTH($CJ262)&gt;=12,"Cold Winter",IF(MONTH($CJ262)&gt;=10,"Post-Monsoon",IF(MONTH($CJ262)&gt;=6,"Hot Humid",IF(MONTH($CJ262)&gt;=3,"Hot Dry","Cold Winter")))))</f>
        <v/>
      </c>
      <c r="CL262">
        <f>IF($CE262="","",IFERROR(VLOOKUP($CE262,DECODE!$A$3:$C$8,2,FALSE),"?"))</f>
        <v/>
      </c>
      <c r="CM262">
        <f>IF($AN262="","",AN262)</f>
        <v/>
      </c>
      <c r="CN262">
        <f>IF($AO262="","",AO262)</f>
        <v/>
      </c>
      <c r="CO262">
        <f>IF($AP262="","",AP262)</f>
        <v/>
      </c>
      <c r="CP262">
        <f>IF($CM262="","",IF($CM262="Aloe Vera Gel","Aloe Vera Gel "&amp;$CO262&amp;"g",CN262&amp;" "&amp;$CO262&amp;"g"))</f>
        <v/>
      </c>
      <c r="CQ262">
        <f>IF($AT262="",0,1)</f>
        <v/>
      </c>
      <c r="CR262">
        <f>IF($CQ262=0,"",AW262)</f>
        <v/>
      </c>
      <c r="CS262">
        <f>IF($CQ262=0,"",AX262)</f>
        <v/>
      </c>
      <c r="CT262">
        <f>IF($CQ262=0,"",AY262)</f>
        <v/>
      </c>
      <c r="CU262">
        <f>IF($CR262="","",IF($CR262="Aloe Vera Gel","Aloe Vera Gel "&amp;$CT262&amp;"g",CS262&amp;" "&amp;$CT262&amp;"g"))</f>
        <v/>
      </c>
      <c r="CV262">
        <f>IF($CQ262=0,"",IF($CP262=$CU262,"Repeat Exact",IF($CT262&gt;$CO262,"Upsized",IF($CT262&lt;$CO262,"Downsized",IF($CM262&lt;&gt;$CR262,"Lateral","Same Size Diff Variant")))))</f>
        <v/>
      </c>
      <c r="CW262">
        <f>IF($CQ262=0,"",AZ262-AQ262)</f>
        <v/>
      </c>
      <c r="CX262">
        <f>IF($CQ262=0,0,IF(CS262=CN262,1,0))</f>
        <v/>
      </c>
      <c r="CY262">
        <f>IF($CQ262=0,0,IF(CR262=CM262,1,0))</f>
        <v/>
      </c>
      <c r="CZ262">
        <f>IF($A262="","",IF(AND(IF(DASHBOARD!$C$4="All",TRUE,$CM262=DASHBOARD!$C$4),IF(DASHBOARD!$C$6="All",TRUE,$CP262=DASHBOARD!$C$6),IF(DASHBOARD!$C$8="All",TRUE,$AF262&gt;=DASHBOARD!$C$8),IF(DASHBOARD!$C$10="All",TRUE,$AF262&lt;=DASHBOARD!$C$10),IF(DASHBOARD!$C$12="All",TRUE,$AH262=VALUE(DASHBOARD!$C$12)),IF(DASHBOARD!$C$14="All",TRUE,$AJ262=DASHBOARD!$C$14)),1,0))</f>
        <v/>
      </c>
    </row>
    <row r="263">
      <c r="A263" t="n">
        <v>155937</v>
      </c>
      <c r="B263" t="inlineStr">
        <is>
          <t>Aloe Vera Gel</t>
        </is>
      </c>
      <c r="C263" t="inlineStr">
        <is>
          <t>Active Gel</t>
        </is>
      </c>
      <c r="H263" t="inlineStr">
        <is>
          <t>Aloe Vera Gel - 40 gms</t>
        </is>
      </c>
      <c r="I263" t="inlineStr">
        <is>
          <t>Active Beetroot Tomato Vit-A Gel</t>
        </is>
      </c>
      <c r="N263" t="inlineStr">
        <is>
          <t>FC-HG-PA-040</t>
        </is>
      </c>
      <c r="O263" t="inlineStr">
        <is>
          <t>FC-AC-BT-050</t>
        </is>
      </c>
      <c r="T263" t="inlineStr">
        <is>
          <t>Dec 20, 2024</t>
        </is>
      </c>
      <c r="U263" t="inlineStr">
        <is>
          <t>Dec 24, 2024</t>
        </is>
      </c>
      <c r="Z263" t="n">
        <v>4</v>
      </c>
      <c r="AE263" t="inlineStr">
        <is>
          <t>Mumbai</t>
        </is>
      </c>
      <c r="AF263" t="inlineStr">
        <is>
          <t>2024-12</t>
        </is>
      </c>
      <c r="AG263" t="n">
        <v>12</v>
      </c>
      <c r="AH263" t="n">
        <v>2</v>
      </c>
      <c r="AI263" t="n">
        <v>1</v>
      </c>
      <c r="AJ263">
        <f>IF($AE263="","",IFERROR(VLOOKUP(TRIM($AE263),DECODE!$H$3:$I$60,2,FALSE),"Rest of India"))</f>
        <v/>
      </c>
      <c r="AK263">
        <f>IF($N263="","",UPPER(TRIM(LEFT($N263&amp;",",FIND(",",$N263&amp;",")-1))))</f>
        <v/>
      </c>
      <c r="AL263">
        <f>IF($AK263="","",MID($AK263,4,FIND("~",SUBSTITUTE($AK263,"-","~",2))-4))</f>
        <v/>
      </c>
      <c r="AM263">
        <f>IF($AK263="","",MID($AK263,FIND("~",SUBSTITUTE($AK263,"-","~",2))+1,FIND("~",SUBSTITUTE($AK263,"-","~",3))-FIND("~",SUBSTITUTE($AK263,"-","~",2))-1))</f>
        <v/>
      </c>
      <c r="AN263">
        <f>IF($AL263="","",IFERROR(VLOOKUP($AL263,DECODE!$A$3:$C$8,3,FALSE),"?"))</f>
        <v/>
      </c>
      <c r="AO263">
        <f>IF($AM263="","",IFERROR(VLOOKUP($AL263&amp;"-"&amp;$AM263,DECODE!$E$3:$F$21,2,FALSE),"?"))</f>
        <v/>
      </c>
      <c r="AP263">
        <f>IF($AK263="","",IFERROR(VALUE(RIGHT($AK263,3)),""))</f>
        <v/>
      </c>
      <c r="AQ263">
        <f>IF($T263="","",IFERROR(IF(ISNUMBER($T263),$T263,DATEVALUE(TRIM($T263))),""))</f>
        <v/>
      </c>
      <c r="AR263">
        <f>IF($AQ263="","",IF(MONTH($AQ263)&gt;=12,"Cold Winter",IF(MONTH($AQ263)&gt;=10,"Post-Monsoon",IF(MONTH($AQ263)&gt;=6,"Hot Humid",IF(MONTH($AQ263)&gt;=3,"Hot Dry","Cold Winter")))))</f>
        <v/>
      </c>
      <c r="AS263">
        <f>IF($AL263="","",IFERROR(VLOOKUP($AL263,DECODE!$A$3:$C$8,2,FALSE),"?"))</f>
        <v/>
      </c>
      <c r="AT263">
        <f>IF($O263="","",UPPER(TRIM(LEFT($O263&amp;",",FIND(",",$O263&amp;",")-1))))</f>
        <v/>
      </c>
      <c r="AU263">
        <f>IF($AT263="","",MID($AT263,4,FIND("~",SUBSTITUTE($AT263,"-","~",2))-4))</f>
        <v/>
      </c>
      <c r="AV263">
        <f>IF($AT263="","",MID($AT263,FIND("~",SUBSTITUTE($AT263,"-","~",2))+1,FIND("~",SUBSTITUTE($AT263,"-","~",3))-FIND("~",SUBSTITUTE($AT263,"-","~",2))-1))</f>
        <v/>
      </c>
      <c r="AW263">
        <f>IF($AU263="","",IFERROR(VLOOKUP($AU263,DECODE!$A$3:$C$8,3,FALSE),"?"))</f>
        <v/>
      </c>
      <c r="AX263">
        <f>IF($AV263="","",IFERROR(VLOOKUP($AU263&amp;"-"&amp;$AV263,DECODE!$E$3:$F$21,2,FALSE),"?"))</f>
        <v/>
      </c>
      <c r="AY263">
        <f>IF($AT263="","",IFERROR(VALUE(RIGHT($AT263,3)),""))</f>
        <v/>
      </c>
      <c r="AZ263">
        <f>IF($U263="","",IFERROR(IF(ISNUMBER($U263),$U263,DATEVALUE(TRIM($U263))),""))</f>
        <v/>
      </c>
      <c r="BA263">
        <f>IF($AZ263="","",IF(MONTH($AZ263)&gt;=12,"Cold Winter",IF(MONTH($AZ263)&gt;=10,"Post-Monsoon",IF(MONTH($AZ263)&gt;=6,"Hot Humid",IF(MONTH($AZ263)&gt;=3,"Hot Dry","Cold Winter")))))</f>
        <v/>
      </c>
      <c r="BB263">
        <f>IF($AU263="","",IFERROR(VLOOKUP($AU263,DECODE!$A$3:$C$8,2,FALSE),"?"))</f>
        <v/>
      </c>
      <c r="BC263">
        <f>IF($P263="","",UPPER(TRIM(LEFT($P263&amp;",",FIND(",",$P263&amp;",")-1))))</f>
        <v/>
      </c>
      <c r="BD263">
        <f>IF($BC263="","",MID($BC263,4,FIND("~",SUBSTITUTE($BC263,"-","~",2))-4))</f>
        <v/>
      </c>
      <c r="BE263">
        <f>IF($BC263="","",MID($BC263,FIND("~",SUBSTITUTE($BC263,"-","~",2))+1,FIND("~",SUBSTITUTE($BC263,"-","~",3))-FIND("~",SUBSTITUTE($BC263,"-","~",2))-1))</f>
        <v/>
      </c>
      <c r="BF263">
        <f>IF($BD263="","",IFERROR(VLOOKUP($BD263,DECODE!$A$3:$C$8,3,FALSE),"?"))</f>
        <v/>
      </c>
      <c r="BG263">
        <f>IF($BE263="","",IFERROR(VLOOKUP($BD263&amp;"-"&amp;$BE263,DECODE!$E$3:$F$21,2,FALSE),"?"))</f>
        <v/>
      </c>
      <c r="BH263">
        <f>IF($BC263="","",IFERROR(VALUE(RIGHT($BC263,3)),""))</f>
        <v/>
      </c>
      <c r="BI263">
        <f>IF($V263="","",IFERROR(IF(ISNUMBER($V263),$V263,DATEVALUE(TRIM($V263))),""))</f>
        <v/>
      </c>
      <c r="BJ263">
        <f>IF($BI263="","",IF(MONTH($BI263)&gt;=12,"Cold Winter",IF(MONTH($BI263)&gt;=10,"Post-Monsoon",IF(MONTH($BI263)&gt;=6,"Hot Humid",IF(MONTH($BI263)&gt;=3,"Hot Dry","Cold Winter")))))</f>
        <v/>
      </c>
      <c r="BK263">
        <f>IF($BD263="","",IFERROR(VLOOKUP($BD263,DECODE!$A$3:$C$8,2,FALSE),"?"))</f>
        <v/>
      </c>
      <c r="BL263">
        <f>IF($Q263="","",UPPER(TRIM(LEFT($Q263&amp;",",FIND(",",$Q263&amp;",")-1))))</f>
        <v/>
      </c>
      <c r="BM263">
        <f>IF($BL263="","",MID($BL263,4,FIND("~",SUBSTITUTE($BL263,"-","~",2))-4))</f>
        <v/>
      </c>
      <c r="BN263">
        <f>IF($BL263="","",MID($BL263,FIND("~",SUBSTITUTE($BL263,"-","~",2))+1,FIND("~",SUBSTITUTE($BL263,"-","~",3))-FIND("~",SUBSTITUTE($BL263,"-","~",2))-1))</f>
        <v/>
      </c>
      <c r="BO263">
        <f>IF($BM263="","",IFERROR(VLOOKUP($BM263,DECODE!$A$3:$C$8,3,FALSE),"?"))</f>
        <v/>
      </c>
      <c r="BP263">
        <f>IF($BN263="","",IFERROR(VLOOKUP($BM263&amp;"-"&amp;$BN263,DECODE!$E$3:$F$21,2,FALSE),"?"))</f>
        <v/>
      </c>
      <c r="BQ263">
        <f>IF($BL263="","",IFERROR(VALUE(RIGHT($BL263,3)),""))</f>
        <v/>
      </c>
      <c r="BR263">
        <f>IF($W263="","",IFERROR(IF(ISNUMBER($W263),$W263,DATEVALUE(TRIM($W263))),""))</f>
        <v/>
      </c>
      <c r="BS263">
        <f>IF($BR263="","",IF(MONTH($BR263)&gt;=12,"Cold Winter",IF(MONTH($BR263)&gt;=10,"Post-Monsoon",IF(MONTH($BR263)&gt;=6,"Hot Humid",IF(MONTH($BR263)&gt;=3,"Hot Dry","Cold Winter")))))</f>
        <v/>
      </c>
      <c r="BT263">
        <f>IF($BM263="","",IFERROR(VLOOKUP($BM263,DECODE!$A$3:$C$8,2,FALSE),"?"))</f>
        <v/>
      </c>
      <c r="BU263">
        <f>IF($R263="","",UPPER(TRIM(LEFT($R263&amp;",",FIND(",",$R263&amp;",")-1))))</f>
        <v/>
      </c>
      <c r="BV263">
        <f>IF($BU263="","",MID($BU263,4,FIND("~",SUBSTITUTE($BU263,"-","~",2))-4))</f>
        <v/>
      </c>
      <c r="BW263">
        <f>IF($BU263="","",MID($BU263,FIND("~",SUBSTITUTE($BU263,"-","~",2))+1,FIND("~",SUBSTITUTE($BU263,"-","~",3))-FIND("~",SUBSTITUTE($BU263,"-","~",2))-1))</f>
        <v/>
      </c>
      <c r="BX263">
        <f>IF($BV263="","",IFERROR(VLOOKUP($BV263,DECODE!$A$3:$C$8,3,FALSE),"?"))</f>
        <v/>
      </c>
      <c r="BY263">
        <f>IF($BW263="","",IFERROR(VLOOKUP($BV263&amp;"-"&amp;$BW263,DECODE!$E$3:$F$21,2,FALSE),"?"))</f>
        <v/>
      </c>
      <c r="BZ263">
        <f>IF($BU263="","",IFERROR(VALUE(RIGHT($BU263,3)),""))</f>
        <v/>
      </c>
      <c r="CA263">
        <f>IF($X263="","",IFERROR(IF(ISNUMBER($X263),$X263,DATEVALUE(TRIM($X263))),""))</f>
        <v/>
      </c>
      <c r="CB263">
        <f>IF($CA263="","",IF(MONTH($CA263)&gt;=12,"Cold Winter",IF(MONTH($CA263)&gt;=10,"Post-Monsoon",IF(MONTH($CA263)&gt;=6,"Hot Humid",IF(MONTH($CA263)&gt;=3,"Hot Dry","Cold Winter")))))</f>
        <v/>
      </c>
      <c r="CC263">
        <f>IF($BV263="","",IFERROR(VLOOKUP($BV263,DECODE!$A$3:$C$8,2,FALSE),"?"))</f>
        <v/>
      </c>
      <c r="CD263">
        <f>IF($S263="","",UPPER(TRIM(LEFT($S263&amp;",",FIND(",",$S263&amp;",")-1))))</f>
        <v/>
      </c>
      <c r="CE263">
        <f>IF($CD263="","",MID($CD263,4,FIND("~",SUBSTITUTE($CD263,"-","~",2))-4))</f>
        <v/>
      </c>
      <c r="CF263">
        <f>IF($CD263="","",MID($CD263,FIND("~",SUBSTITUTE($CD263,"-","~",2))+1,FIND("~",SUBSTITUTE($CD263,"-","~",3))-FIND("~",SUBSTITUTE($CD263,"-","~",2))-1))</f>
        <v/>
      </c>
      <c r="CG263">
        <f>IF($CE263="","",IFERROR(VLOOKUP($CE263,DECODE!$A$3:$C$8,3,FALSE),"?"))</f>
        <v/>
      </c>
      <c r="CH263">
        <f>IF($CF263="","",IFERROR(VLOOKUP($CE263&amp;"-"&amp;$CF263,DECODE!$E$3:$F$21,2,FALSE),"?"))</f>
        <v/>
      </c>
      <c r="CI263">
        <f>IF($CD263="","",IFERROR(VALUE(RIGHT($CD263,3)),""))</f>
        <v/>
      </c>
      <c r="CJ263">
        <f>IF($Y263="","",IFERROR(IF(ISNUMBER($Y263),$Y263,DATEVALUE(TRIM($Y263))),""))</f>
        <v/>
      </c>
      <c r="CK263">
        <f>IF($CJ263="","",IF(MONTH($CJ263)&gt;=12,"Cold Winter",IF(MONTH($CJ263)&gt;=10,"Post-Monsoon",IF(MONTH($CJ263)&gt;=6,"Hot Humid",IF(MONTH($CJ263)&gt;=3,"Hot Dry","Cold Winter")))))</f>
        <v/>
      </c>
      <c r="CL263">
        <f>IF($CE263="","",IFERROR(VLOOKUP($CE263,DECODE!$A$3:$C$8,2,FALSE),"?"))</f>
        <v/>
      </c>
      <c r="CM263">
        <f>IF($AN263="","",AN263)</f>
        <v/>
      </c>
      <c r="CN263">
        <f>IF($AO263="","",AO263)</f>
        <v/>
      </c>
      <c r="CO263">
        <f>IF($AP263="","",AP263)</f>
        <v/>
      </c>
      <c r="CP263">
        <f>IF($CM263="","",IF($CM263="Aloe Vera Gel","Aloe Vera Gel "&amp;$CO263&amp;"g",CN263&amp;" "&amp;$CO263&amp;"g"))</f>
        <v/>
      </c>
      <c r="CQ263">
        <f>IF($AT263="",0,1)</f>
        <v/>
      </c>
      <c r="CR263">
        <f>IF($CQ263=0,"",AW263)</f>
        <v/>
      </c>
      <c r="CS263">
        <f>IF($CQ263=0,"",AX263)</f>
        <v/>
      </c>
      <c r="CT263">
        <f>IF($CQ263=0,"",AY263)</f>
        <v/>
      </c>
      <c r="CU263">
        <f>IF($CR263="","",IF($CR263="Aloe Vera Gel","Aloe Vera Gel "&amp;$CT263&amp;"g",CS263&amp;" "&amp;$CT263&amp;"g"))</f>
        <v/>
      </c>
      <c r="CV263">
        <f>IF($CQ263=0,"",IF($CP263=$CU263,"Repeat Exact",IF($CT263&gt;$CO263,"Upsized",IF($CT263&lt;$CO263,"Downsized",IF($CM263&lt;&gt;$CR263,"Lateral","Same Size Diff Variant")))))</f>
        <v/>
      </c>
      <c r="CW263">
        <f>IF($CQ263=0,"",AZ263-AQ263)</f>
        <v/>
      </c>
      <c r="CX263">
        <f>IF($CQ263=0,0,IF(CS263=CN263,1,0))</f>
        <v/>
      </c>
      <c r="CY263">
        <f>IF($CQ263=0,0,IF(CR263=CM263,1,0))</f>
        <v/>
      </c>
      <c r="CZ263">
        <f>IF($A263="","",IF(AND(IF(DASHBOARD!$C$4="All",TRUE,$CM263=DASHBOARD!$C$4),IF(DASHBOARD!$C$6="All",TRUE,$CP263=DASHBOARD!$C$6),IF(DASHBOARD!$C$8="All",TRUE,$AF263&gt;=DASHBOARD!$C$8),IF(DASHBOARD!$C$10="All",TRUE,$AF263&lt;=DASHBOARD!$C$10),IF(DASHBOARD!$C$12="All",TRUE,$AH263=VALUE(DASHBOARD!$C$12)),IF(DASHBOARD!$C$14="All",TRUE,$AJ263=DASHBOARD!$C$14)),1,0))</f>
        <v/>
      </c>
    </row>
    <row r="264">
      <c r="A264" t="n">
        <v>156448</v>
      </c>
      <c r="B264" t="inlineStr">
        <is>
          <t>Face Malai</t>
        </is>
      </c>
      <c r="H264" t="inlineStr">
        <is>
          <t>Flax Bakuchi (Hot Dry) 35+ Face Malai - 30g</t>
        </is>
      </c>
      <c r="N264" t="inlineStr">
        <is>
          <t>FC-HDDM-FB-030</t>
        </is>
      </c>
      <c r="T264" t="inlineStr">
        <is>
          <t>Apr 18, 2024</t>
        </is>
      </c>
      <c r="AE264" t="inlineStr">
        <is>
          <t>Gurgaon</t>
        </is>
      </c>
      <c r="AF264" t="inlineStr">
        <is>
          <t>2024-04</t>
        </is>
      </c>
      <c r="AG264" t="n">
        <v>4</v>
      </c>
      <c r="AH264" t="n">
        <v>1</v>
      </c>
      <c r="AI264" t="n">
        <v>0</v>
      </c>
      <c r="AJ264">
        <f>IF($AE264="","",IFERROR(VLOOKUP(TRIM($AE264),DECODE!$H$3:$I$60,2,FALSE),"Rest of India"))</f>
        <v/>
      </c>
      <c r="AK264">
        <f>IF($N264="","",UPPER(TRIM(LEFT($N264&amp;",",FIND(",",$N264&amp;",")-1))))</f>
        <v/>
      </c>
      <c r="AL264">
        <f>IF($AK264="","",MID($AK264,4,FIND("~",SUBSTITUTE($AK264,"-","~",2))-4))</f>
        <v/>
      </c>
      <c r="AM264">
        <f>IF($AK264="","",MID($AK264,FIND("~",SUBSTITUTE($AK264,"-","~",2))+1,FIND("~",SUBSTITUTE($AK264,"-","~",3))-FIND("~",SUBSTITUTE($AK264,"-","~",2))-1))</f>
        <v/>
      </c>
      <c r="AN264">
        <f>IF($AL264="","",IFERROR(VLOOKUP($AL264,DECODE!$A$3:$C$8,3,FALSE),"?"))</f>
        <v/>
      </c>
      <c r="AO264">
        <f>IF($AM264="","",IFERROR(VLOOKUP($AL264&amp;"-"&amp;$AM264,DECODE!$E$3:$F$21,2,FALSE),"?"))</f>
        <v/>
      </c>
      <c r="AP264">
        <f>IF($AK264="","",IFERROR(VALUE(RIGHT($AK264,3)),""))</f>
        <v/>
      </c>
      <c r="AQ264">
        <f>IF($T264="","",IFERROR(IF(ISNUMBER($T264),$T264,DATEVALUE(TRIM($T264))),""))</f>
        <v/>
      </c>
      <c r="AR264">
        <f>IF($AQ264="","",IF(MONTH($AQ264)&gt;=12,"Cold Winter",IF(MONTH($AQ264)&gt;=10,"Post-Monsoon",IF(MONTH($AQ264)&gt;=6,"Hot Humid",IF(MONTH($AQ264)&gt;=3,"Hot Dry","Cold Winter")))))</f>
        <v/>
      </c>
      <c r="AS264">
        <f>IF($AL264="","",IFERROR(VLOOKUP($AL264,DECODE!$A$3:$C$8,2,FALSE),"?"))</f>
        <v/>
      </c>
      <c r="AT264">
        <f>IF($O264="","",UPPER(TRIM(LEFT($O264&amp;",",FIND(",",$O264&amp;",")-1))))</f>
        <v/>
      </c>
      <c r="AU264">
        <f>IF($AT264="","",MID($AT264,4,FIND("~",SUBSTITUTE($AT264,"-","~",2))-4))</f>
        <v/>
      </c>
      <c r="AV264">
        <f>IF($AT264="","",MID($AT264,FIND("~",SUBSTITUTE($AT264,"-","~",2))+1,FIND("~",SUBSTITUTE($AT264,"-","~",3))-FIND("~",SUBSTITUTE($AT264,"-","~",2))-1))</f>
        <v/>
      </c>
      <c r="AW264">
        <f>IF($AU264="","",IFERROR(VLOOKUP($AU264,DECODE!$A$3:$C$8,3,FALSE),"?"))</f>
        <v/>
      </c>
      <c r="AX264">
        <f>IF($AV264="","",IFERROR(VLOOKUP($AU264&amp;"-"&amp;$AV264,DECODE!$E$3:$F$21,2,FALSE),"?"))</f>
        <v/>
      </c>
      <c r="AY264">
        <f>IF($AT264="","",IFERROR(VALUE(RIGHT($AT264,3)),""))</f>
        <v/>
      </c>
      <c r="AZ264">
        <f>IF($U264="","",IFERROR(IF(ISNUMBER($U264),$U264,DATEVALUE(TRIM($U264))),""))</f>
        <v/>
      </c>
      <c r="BA264">
        <f>IF($AZ264="","",IF(MONTH($AZ264)&gt;=12,"Cold Winter",IF(MONTH($AZ264)&gt;=10,"Post-Monsoon",IF(MONTH($AZ264)&gt;=6,"Hot Humid",IF(MONTH($AZ264)&gt;=3,"Hot Dry","Cold Winter")))))</f>
        <v/>
      </c>
      <c r="BB264">
        <f>IF($AU264="","",IFERROR(VLOOKUP($AU264,DECODE!$A$3:$C$8,2,FALSE),"?"))</f>
        <v/>
      </c>
      <c r="BC264">
        <f>IF($P264="","",UPPER(TRIM(LEFT($P264&amp;",",FIND(",",$P264&amp;",")-1))))</f>
        <v/>
      </c>
      <c r="BD264">
        <f>IF($BC264="","",MID($BC264,4,FIND("~",SUBSTITUTE($BC264,"-","~",2))-4))</f>
        <v/>
      </c>
      <c r="BE264">
        <f>IF($BC264="","",MID($BC264,FIND("~",SUBSTITUTE($BC264,"-","~",2))+1,FIND("~",SUBSTITUTE($BC264,"-","~",3))-FIND("~",SUBSTITUTE($BC264,"-","~",2))-1))</f>
        <v/>
      </c>
      <c r="BF264">
        <f>IF($BD264="","",IFERROR(VLOOKUP($BD264,DECODE!$A$3:$C$8,3,FALSE),"?"))</f>
        <v/>
      </c>
      <c r="BG264">
        <f>IF($BE264="","",IFERROR(VLOOKUP($BD264&amp;"-"&amp;$BE264,DECODE!$E$3:$F$21,2,FALSE),"?"))</f>
        <v/>
      </c>
      <c r="BH264">
        <f>IF($BC264="","",IFERROR(VALUE(RIGHT($BC264,3)),""))</f>
        <v/>
      </c>
      <c r="BI264">
        <f>IF($V264="","",IFERROR(IF(ISNUMBER($V264),$V264,DATEVALUE(TRIM($V264))),""))</f>
        <v/>
      </c>
      <c r="BJ264">
        <f>IF($BI264="","",IF(MONTH($BI264)&gt;=12,"Cold Winter",IF(MONTH($BI264)&gt;=10,"Post-Monsoon",IF(MONTH($BI264)&gt;=6,"Hot Humid",IF(MONTH($BI264)&gt;=3,"Hot Dry","Cold Winter")))))</f>
        <v/>
      </c>
      <c r="BK264">
        <f>IF($BD264="","",IFERROR(VLOOKUP($BD264,DECODE!$A$3:$C$8,2,FALSE),"?"))</f>
        <v/>
      </c>
      <c r="BL264">
        <f>IF($Q264="","",UPPER(TRIM(LEFT($Q264&amp;",",FIND(",",$Q264&amp;",")-1))))</f>
        <v/>
      </c>
      <c r="BM264">
        <f>IF($BL264="","",MID($BL264,4,FIND("~",SUBSTITUTE($BL264,"-","~",2))-4))</f>
        <v/>
      </c>
      <c r="BN264">
        <f>IF($BL264="","",MID($BL264,FIND("~",SUBSTITUTE($BL264,"-","~",2))+1,FIND("~",SUBSTITUTE($BL264,"-","~",3))-FIND("~",SUBSTITUTE($BL264,"-","~",2))-1))</f>
        <v/>
      </c>
      <c r="BO264">
        <f>IF($BM264="","",IFERROR(VLOOKUP($BM264,DECODE!$A$3:$C$8,3,FALSE),"?"))</f>
        <v/>
      </c>
      <c r="BP264">
        <f>IF($BN264="","",IFERROR(VLOOKUP($BM264&amp;"-"&amp;$BN264,DECODE!$E$3:$F$21,2,FALSE),"?"))</f>
        <v/>
      </c>
      <c r="BQ264">
        <f>IF($BL264="","",IFERROR(VALUE(RIGHT($BL264,3)),""))</f>
        <v/>
      </c>
      <c r="BR264">
        <f>IF($W264="","",IFERROR(IF(ISNUMBER($W264),$W264,DATEVALUE(TRIM($W264))),""))</f>
        <v/>
      </c>
      <c r="BS264">
        <f>IF($BR264="","",IF(MONTH($BR264)&gt;=12,"Cold Winter",IF(MONTH($BR264)&gt;=10,"Post-Monsoon",IF(MONTH($BR264)&gt;=6,"Hot Humid",IF(MONTH($BR264)&gt;=3,"Hot Dry","Cold Winter")))))</f>
        <v/>
      </c>
      <c r="BT264">
        <f>IF($BM264="","",IFERROR(VLOOKUP($BM264,DECODE!$A$3:$C$8,2,FALSE),"?"))</f>
        <v/>
      </c>
      <c r="BU264">
        <f>IF($R264="","",UPPER(TRIM(LEFT($R264&amp;",",FIND(",",$R264&amp;",")-1))))</f>
        <v/>
      </c>
      <c r="BV264">
        <f>IF($BU264="","",MID($BU264,4,FIND("~",SUBSTITUTE($BU264,"-","~",2))-4))</f>
        <v/>
      </c>
      <c r="BW264">
        <f>IF($BU264="","",MID($BU264,FIND("~",SUBSTITUTE($BU264,"-","~",2))+1,FIND("~",SUBSTITUTE($BU264,"-","~",3))-FIND("~",SUBSTITUTE($BU264,"-","~",2))-1))</f>
        <v/>
      </c>
      <c r="BX264">
        <f>IF($BV264="","",IFERROR(VLOOKUP($BV264,DECODE!$A$3:$C$8,3,FALSE),"?"))</f>
        <v/>
      </c>
      <c r="BY264">
        <f>IF($BW264="","",IFERROR(VLOOKUP($BV264&amp;"-"&amp;$BW264,DECODE!$E$3:$F$21,2,FALSE),"?"))</f>
        <v/>
      </c>
      <c r="BZ264">
        <f>IF($BU264="","",IFERROR(VALUE(RIGHT($BU264,3)),""))</f>
        <v/>
      </c>
      <c r="CA264">
        <f>IF($X264="","",IFERROR(IF(ISNUMBER($X264),$X264,DATEVALUE(TRIM($X264))),""))</f>
        <v/>
      </c>
      <c r="CB264">
        <f>IF($CA264="","",IF(MONTH($CA264)&gt;=12,"Cold Winter",IF(MONTH($CA264)&gt;=10,"Post-Monsoon",IF(MONTH($CA264)&gt;=6,"Hot Humid",IF(MONTH($CA264)&gt;=3,"Hot Dry","Cold Winter")))))</f>
        <v/>
      </c>
      <c r="CC264">
        <f>IF($BV264="","",IFERROR(VLOOKUP($BV264,DECODE!$A$3:$C$8,2,FALSE),"?"))</f>
        <v/>
      </c>
      <c r="CD264">
        <f>IF($S264="","",UPPER(TRIM(LEFT($S264&amp;",",FIND(",",$S264&amp;",")-1))))</f>
        <v/>
      </c>
      <c r="CE264">
        <f>IF($CD264="","",MID($CD264,4,FIND("~",SUBSTITUTE($CD264,"-","~",2))-4))</f>
        <v/>
      </c>
      <c r="CF264">
        <f>IF($CD264="","",MID($CD264,FIND("~",SUBSTITUTE($CD264,"-","~",2))+1,FIND("~",SUBSTITUTE($CD264,"-","~",3))-FIND("~",SUBSTITUTE($CD264,"-","~",2))-1))</f>
        <v/>
      </c>
      <c r="CG264">
        <f>IF($CE264="","",IFERROR(VLOOKUP($CE264,DECODE!$A$3:$C$8,3,FALSE),"?"))</f>
        <v/>
      </c>
      <c r="CH264">
        <f>IF($CF264="","",IFERROR(VLOOKUP($CE264&amp;"-"&amp;$CF264,DECODE!$E$3:$F$21,2,FALSE),"?"))</f>
        <v/>
      </c>
      <c r="CI264">
        <f>IF($CD264="","",IFERROR(VALUE(RIGHT($CD264,3)),""))</f>
        <v/>
      </c>
      <c r="CJ264">
        <f>IF($Y264="","",IFERROR(IF(ISNUMBER($Y264),$Y264,DATEVALUE(TRIM($Y264))),""))</f>
        <v/>
      </c>
      <c r="CK264">
        <f>IF($CJ264="","",IF(MONTH($CJ264)&gt;=12,"Cold Winter",IF(MONTH($CJ264)&gt;=10,"Post-Monsoon",IF(MONTH($CJ264)&gt;=6,"Hot Humid",IF(MONTH($CJ264)&gt;=3,"Hot Dry","Cold Winter")))))</f>
        <v/>
      </c>
      <c r="CL264">
        <f>IF($CE264="","",IFERROR(VLOOKUP($CE264,DECODE!$A$3:$C$8,2,FALSE),"?"))</f>
        <v/>
      </c>
      <c r="CM264">
        <f>IF($AN264="","",AN264)</f>
        <v/>
      </c>
      <c r="CN264">
        <f>IF($AO264="","",AO264)</f>
        <v/>
      </c>
      <c r="CO264">
        <f>IF($AP264="","",AP264)</f>
        <v/>
      </c>
      <c r="CP264">
        <f>IF($CM264="","",IF($CM264="Aloe Vera Gel","Aloe Vera Gel "&amp;$CO264&amp;"g",CN264&amp;" "&amp;$CO264&amp;"g"))</f>
        <v/>
      </c>
      <c r="CQ264">
        <f>IF($AT264="",0,1)</f>
        <v/>
      </c>
      <c r="CR264">
        <f>IF($CQ264=0,"",AW264)</f>
        <v/>
      </c>
      <c r="CS264">
        <f>IF($CQ264=0,"",AX264)</f>
        <v/>
      </c>
      <c r="CT264">
        <f>IF($CQ264=0,"",AY264)</f>
        <v/>
      </c>
      <c r="CU264">
        <f>IF($CR264="","",IF($CR264="Aloe Vera Gel","Aloe Vera Gel "&amp;$CT264&amp;"g",CS264&amp;" "&amp;$CT264&amp;"g"))</f>
        <v/>
      </c>
      <c r="CV264">
        <f>IF($CQ264=0,"",IF($CP264=$CU264,"Repeat Exact",IF($CT264&gt;$CO264,"Upsized",IF($CT264&lt;$CO264,"Downsized",IF($CM264&lt;&gt;$CR264,"Lateral","Same Size Diff Variant")))))</f>
        <v/>
      </c>
      <c r="CW264">
        <f>IF($CQ264=0,"",AZ264-AQ264)</f>
        <v/>
      </c>
      <c r="CX264">
        <f>IF($CQ264=0,0,IF(CS264=CN264,1,0))</f>
        <v/>
      </c>
      <c r="CY264">
        <f>IF($CQ264=0,0,IF(CR264=CM264,1,0))</f>
        <v/>
      </c>
      <c r="CZ264">
        <f>IF($A264="","",IF(AND(IF(DASHBOARD!$C$4="All",TRUE,$CM264=DASHBOARD!$C$4),IF(DASHBOARD!$C$6="All",TRUE,$CP264=DASHBOARD!$C$6),IF(DASHBOARD!$C$8="All",TRUE,$AF264&gt;=DASHBOARD!$C$8),IF(DASHBOARD!$C$10="All",TRUE,$AF264&lt;=DASHBOARD!$C$10),IF(DASHBOARD!$C$12="All",TRUE,$AH264=VALUE(DASHBOARD!$C$12)),IF(DASHBOARD!$C$14="All",TRUE,$AJ264=DASHBOARD!$C$14)),1,0))</f>
        <v/>
      </c>
    </row>
    <row r="265">
      <c r="A265" t="n">
        <v>156533</v>
      </c>
      <c r="B265" t="inlineStr">
        <is>
          <t>Face Malai</t>
        </is>
      </c>
      <c r="H265" t="inlineStr">
        <is>
          <t>Turmeric Nutmeg (Pigmentation)  Face Malai - 30g</t>
        </is>
      </c>
      <c r="N265" t="inlineStr">
        <is>
          <t>FC-DM-PG-030</t>
        </is>
      </c>
      <c r="T265" t="inlineStr">
        <is>
          <t>Jul 16, 2024</t>
        </is>
      </c>
      <c r="AE265" t="inlineStr">
        <is>
          <t>Bengaluru</t>
        </is>
      </c>
      <c r="AF265" t="inlineStr">
        <is>
          <t>2024-07</t>
        </is>
      </c>
      <c r="AG265" t="n">
        <v>7</v>
      </c>
      <c r="AH265" t="n">
        <v>1</v>
      </c>
      <c r="AI265" t="n">
        <v>0</v>
      </c>
      <c r="AJ265">
        <f>IF($AE265="","",IFERROR(VLOOKUP(TRIM($AE265),DECODE!$H$3:$I$60,2,FALSE),"Rest of India"))</f>
        <v/>
      </c>
      <c r="AK265">
        <f>IF($N265="","",UPPER(TRIM(LEFT($N265&amp;",",FIND(",",$N265&amp;",")-1))))</f>
        <v/>
      </c>
      <c r="AL265">
        <f>IF($AK265="","",MID($AK265,4,FIND("~",SUBSTITUTE($AK265,"-","~",2))-4))</f>
        <v/>
      </c>
      <c r="AM265">
        <f>IF($AK265="","",MID($AK265,FIND("~",SUBSTITUTE($AK265,"-","~",2))+1,FIND("~",SUBSTITUTE($AK265,"-","~",3))-FIND("~",SUBSTITUTE($AK265,"-","~",2))-1))</f>
        <v/>
      </c>
      <c r="AN265">
        <f>IF($AL265="","",IFERROR(VLOOKUP($AL265,DECODE!$A$3:$C$8,3,FALSE),"?"))</f>
        <v/>
      </c>
      <c r="AO265">
        <f>IF($AM265="","",IFERROR(VLOOKUP($AL265&amp;"-"&amp;$AM265,DECODE!$E$3:$F$21,2,FALSE),"?"))</f>
        <v/>
      </c>
      <c r="AP265">
        <f>IF($AK265="","",IFERROR(VALUE(RIGHT($AK265,3)),""))</f>
        <v/>
      </c>
      <c r="AQ265">
        <f>IF($T265="","",IFERROR(IF(ISNUMBER($T265),$T265,DATEVALUE(TRIM($T265))),""))</f>
        <v/>
      </c>
      <c r="AR265">
        <f>IF($AQ265="","",IF(MONTH($AQ265)&gt;=12,"Cold Winter",IF(MONTH($AQ265)&gt;=10,"Post-Monsoon",IF(MONTH($AQ265)&gt;=6,"Hot Humid",IF(MONTH($AQ265)&gt;=3,"Hot Dry","Cold Winter")))))</f>
        <v/>
      </c>
      <c r="AS265">
        <f>IF($AL265="","",IFERROR(VLOOKUP($AL265,DECODE!$A$3:$C$8,2,FALSE),"?"))</f>
        <v/>
      </c>
      <c r="AT265">
        <f>IF($O265="","",UPPER(TRIM(LEFT($O265&amp;",",FIND(",",$O265&amp;",")-1))))</f>
        <v/>
      </c>
      <c r="AU265">
        <f>IF($AT265="","",MID($AT265,4,FIND("~",SUBSTITUTE($AT265,"-","~",2))-4))</f>
        <v/>
      </c>
      <c r="AV265">
        <f>IF($AT265="","",MID($AT265,FIND("~",SUBSTITUTE($AT265,"-","~",2))+1,FIND("~",SUBSTITUTE($AT265,"-","~",3))-FIND("~",SUBSTITUTE($AT265,"-","~",2))-1))</f>
        <v/>
      </c>
      <c r="AW265">
        <f>IF($AU265="","",IFERROR(VLOOKUP($AU265,DECODE!$A$3:$C$8,3,FALSE),"?"))</f>
        <v/>
      </c>
      <c r="AX265">
        <f>IF($AV265="","",IFERROR(VLOOKUP($AU265&amp;"-"&amp;$AV265,DECODE!$E$3:$F$21,2,FALSE),"?"))</f>
        <v/>
      </c>
      <c r="AY265">
        <f>IF($AT265="","",IFERROR(VALUE(RIGHT($AT265,3)),""))</f>
        <v/>
      </c>
      <c r="AZ265">
        <f>IF($U265="","",IFERROR(IF(ISNUMBER($U265),$U265,DATEVALUE(TRIM($U265))),""))</f>
        <v/>
      </c>
      <c r="BA265">
        <f>IF($AZ265="","",IF(MONTH($AZ265)&gt;=12,"Cold Winter",IF(MONTH($AZ265)&gt;=10,"Post-Monsoon",IF(MONTH($AZ265)&gt;=6,"Hot Humid",IF(MONTH($AZ265)&gt;=3,"Hot Dry","Cold Winter")))))</f>
        <v/>
      </c>
      <c r="BB265">
        <f>IF($AU265="","",IFERROR(VLOOKUP($AU265,DECODE!$A$3:$C$8,2,FALSE),"?"))</f>
        <v/>
      </c>
      <c r="BC265">
        <f>IF($P265="","",UPPER(TRIM(LEFT($P265&amp;",",FIND(",",$P265&amp;",")-1))))</f>
        <v/>
      </c>
      <c r="BD265">
        <f>IF($BC265="","",MID($BC265,4,FIND("~",SUBSTITUTE($BC265,"-","~",2))-4))</f>
        <v/>
      </c>
      <c r="BE265">
        <f>IF($BC265="","",MID($BC265,FIND("~",SUBSTITUTE($BC265,"-","~",2))+1,FIND("~",SUBSTITUTE($BC265,"-","~",3))-FIND("~",SUBSTITUTE($BC265,"-","~",2))-1))</f>
        <v/>
      </c>
      <c r="BF265">
        <f>IF($BD265="","",IFERROR(VLOOKUP($BD265,DECODE!$A$3:$C$8,3,FALSE),"?"))</f>
        <v/>
      </c>
      <c r="BG265">
        <f>IF($BE265="","",IFERROR(VLOOKUP($BD265&amp;"-"&amp;$BE265,DECODE!$E$3:$F$21,2,FALSE),"?"))</f>
        <v/>
      </c>
      <c r="BH265">
        <f>IF($BC265="","",IFERROR(VALUE(RIGHT($BC265,3)),""))</f>
        <v/>
      </c>
      <c r="BI265">
        <f>IF($V265="","",IFERROR(IF(ISNUMBER($V265),$V265,DATEVALUE(TRIM($V265))),""))</f>
        <v/>
      </c>
      <c r="BJ265">
        <f>IF($BI265="","",IF(MONTH($BI265)&gt;=12,"Cold Winter",IF(MONTH($BI265)&gt;=10,"Post-Monsoon",IF(MONTH($BI265)&gt;=6,"Hot Humid",IF(MONTH($BI265)&gt;=3,"Hot Dry","Cold Winter")))))</f>
        <v/>
      </c>
      <c r="BK265">
        <f>IF($BD265="","",IFERROR(VLOOKUP($BD265,DECODE!$A$3:$C$8,2,FALSE),"?"))</f>
        <v/>
      </c>
      <c r="BL265">
        <f>IF($Q265="","",UPPER(TRIM(LEFT($Q265&amp;",",FIND(",",$Q265&amp;",")-1))))</f>
        <v/>
      </c>
      <c r="BM265">
        <f>IF($BL265="","",MID($BL265,4,FIND("~",SUBSTITUTE($BL265,"-","~",2))-4))</f>
        <v/>
      </c>
      <c r="BN265">
        <f>IF($BL265="","",MID($BL265,FIND("~",SUBSTITUTE($BL265,"-","~",2))+1,FIND("~",SUBSTITUTE($BL265,"-","~",3))-FIND("~",SUBSTITUTE($BL265,"-","~",2))-1))</f>
        <v/>
      </c>
      <c r="BO265">
        <f>IF($BM265="","",IFERROR(VLOOKUP($BM265,DECODE!$A$3:$C$8,3,FALSE),"?"))</f>
        <v/>
      </c>
      <c r="BP265">
        <f>IF($BN265="","",IFERROR(VLOOKUP($BM265&amp;"-"&amp;$BN265,DECODE!$E$3:$F$21,2,FALSE),"?"))</f>
        <v/>
      </c>
      <c r="BQ265">
        <f>IF($BL265="","",IFERROR(VALUE(RIGHT($BL265,3)),""))</f>
        <v/>
      </c>
      <c r="BR265">
        <f>IF($W265="","",IFERROR(IF(ISNUMBER($W265),$W265,DATEVALUE(TRIM($W265))),""))</f>
        <v/>
      </c>
      <c r="BS265">
        <f>IF($BR265="","",IF(MONTH($BR265)&gt;=12,"Cold Winter",IF(MONTH($BR265)&gt;=10,"Post-Monsoon",IF(MONTH($BR265)&gt;=6,"Hot Humid",IF(MONTH($BR265)&gt;=3,"Hot Dry","Cold Winter")))))</f>
        <v/>
      </c>
      <c r="BT265">
        <f>IF($BM265="","",IFERROR(VLOOKUP($BM265,DECODE!$A$3:$C$8,2,FALSE),"?"))</f>
        <v/>
      </c>
      <c r="BU265">
        <f>IF($R265="","",UPPER(TRIM(LEFT($R265&amp;",",FIND(",",$R265&amp;",")-1))))</f>
        <v/>
      </c>
      <c r="BV265">
        <f>IF($BU265="","",MID($BU265,4,FIND("~",SUBSTITUTE($BU265,"-","~",2))-4))</f>
        <v/>
      </c>
      <c r="BW265">
        <f>IF($BU265="","",MID($BU265,FIND("~",SUBSTITUTE($BU265,"-","~",2))+1,FIND("~",SUBSTITUTE($BU265,"-","~",3))-FIND("~",SUBSTITUTE($BU265,"-","~",2))-1))</f>
        <v/>
      </c>
      <c r="BX265">
        <f>IF($BV265="","",IFERROR(VLOOKUP($BV265,DECODE!$A$3:$C$8,3,FALSE),"?"))</f>
        <v/>
      </c>
      <c r="BY265">
        <f>IF($BW265="","",IFERROR(VLOOKUP($BV265&amp;"-"&amp;$BW265,DECODE!$E$3:$F$21,2,FALSE),"?"))</f>
        <v/>
      </c>
      <c r="BZ265">
        <f>IF($BU265="","",IFERROR(VALUE(RIGHT($BU265,3)),""))</f>
        <v/>
      </c>
      <c r="CA265">
        <f>IF($X265="","",IFERROR(IF(ISNUMBER($X265),$X265,DATEVALUE(TRIM($X265))),""))</f>
        <v/>
      </c>
      <c r="CB265">
        <f>IF($CA265="","",IF(MONTH($CA265)&gt;=12,"Cold Winter",IF(MONTH($CA265)&gt;=10,"Post-Monsoon",IF(MONTH($CA265)&gt;=6,"Hot Humid",IF(MONTH($CA265)&gt;=3,"Hot Dry","Cold Winter")))))</f>
        <v/>
      </c>
      <c r="CC265">
        <f>IF($BV265="","",IFERROR(VLOOKUP($BV265,DECODE!$A$3:$C$8,2,FALSE),"?"))</f>
        <v/>
      </c>
      <c r="CD265">
        <f>IF($S265="","",UPPER(TRIM(LEFT($S265&amp;",",FIND(",",$S265&amp;",")-1))))</f>
        <v/>
      </c>
      <c r="CE265">
        <f>IF($CD265="","",MID($CD265,4,FIND("~",SUBSTITUTE($CD265,"-","~",2))-4))</f>
        <v/>
      </c>
      <c r="CF265">
        <f>IF($CD265="","",MID($CD265,FIND("~",SUBSTITUTE($CD265,"-","~",2))+1,FIND("~",SUBSTITUTE($CD265,"-","~",3))-FIND("~",SUBSTITUTE($CD265,"-","~",2))-1))</f>
        <v/>
      </c>
      <c r="CG265">
        <f>IF($CE265="","",IFERROR(VLOOKUP($CE265,DECODE!$A$3:$C$8,3,FALSE),"?"))</f>
        <v/>
      </c>
      <c r="CH265">
        <f>IF($CF265="","",IFERROR(VLOOKUP($CE265&amp;"-"&amp;$CF265,DECODE!$E$3:$F$21,2,FALSE),"?"))</f>
        <v/>
      </c>
      <c r="CI265">
        <f>IF($CD265="","",IFERROR(VALUE(RIGHT($CD265,3)),""))</f>
        <v/>
      </c>
      <c r="CJ265">
        <f>IF($Y265="","",IFERROR(IF(ISNUMBER($Y265),$Y265,DATEVALUE(TRIM($Y265))),""))</f>
        <v/>
      </c>
      <c r="CK265">
        <f>IF($CJ265="","",IF(MONTH($CJ265)&gt;=12,"Cold Winter",IF(MONTH($CJ265)&gt;=10,"Post-Monsoon",IF(MONTH($CJ265)&gt;=6,"Hot Humid",IF(MONTH($CJ265)&gt;=3,"Hot Dry","Cold Winter")))))</f>
        <v/>
      </c>
      <c r="CL265">
        <f>IF($CE265="","",IFERROR(VLOOKUP($CE265,DECODE!$A$3:$C$8,2,FALSE),"?"))</f>
        <v/>
      </c>
      <c r="CM265">
        <f>IF($AN265="","",AN265)</f>
        <v/>
      </c>
      <c r="CN265">
        <f>IF($AO265="","",AO265)</f>
        <v/>
      </c>
      <c r="CO265">
        <f>IF($AP265="","",AP265)</f>
        <v/>
      </c>
      <c r="CP265">
        <f>IF($CM265="","",IF($CM265="Aloe Vera Gel","Aloe Vera Gel "&amp;$CO265&amp;"g",CN265&amp;" "&amp;$CO265&amp;"g"))</f>
        <v/>
      </c>
      <c r="CQ265">
        <f>IF($AT265="",0,1)</f>
        <v/>
      </c>
      <c r="CR265">
        <f>IF($CQ265=0,"",AW265)</f>
        <v/>
      </c>
      <c r="CS265">
        <f>IF($CQ265=0,"",AX265)</f>
        <v/>
      </c>
      <c r="CT265">
        <f>IF($CQ265=0,"",AY265)</f>
        <v/>
      </c>
      <c r="CU265">
        <f>IF($CR265="","",IF($CR265="Aloe Vera Gel","Aloe Vera Gel "&amp;$CT265&amp;"g",CS265&amp;" "&amp;$CT265&amp;"g"))</f>
        <v/>
      </c>
      <c r="CV265">
        <f>IF($CQ265=0,"",IF($CP265=$CU265,"Repeat Exact",IF($CT265&gt;$CO265,"Upsized",IF($CT265&lt;$CO265,"Downsized",IF($CM265&lt;&gt;$CR265,"Lateral","Same Size Diff Variant")))))</f>
        <v/>
      </c>
      <c r="CW265">
        <f>IF($CQ265=0,"",AZ265-AQ265)</f>
        <v/>
      </c>
      <c r="CX265">
        <f>IF($CQ265=0,0,IF(CS265=CN265,1,0))</f>
        <v/>
      </c>
      <c r="CY265">
        <f>IF($CQ265=0,0,IF(CR265=CM265,1,0))</f>
        <v/>
      </c>
      <c r="CZ265">
        <f>IF($A265="","",IF(AND(IF(DASHBOARD!$C$4="All",TRUE,$CM265=DASHBOARD!$C$4),IF(DASHBOARD!$C$6="All",TRUE,$CP265=DASHBOARD!$C$6),IF(DASHBOARD!$C$8="All",TRUE,$AF265&gt;=DASHBOARD!$C$8),IF(DASHBOARD!$C$10="All",TRUE,$AF265&lt;=DASHBOARD!$C$10),IF(DASHBOARD!$C$12="All",TRUE,$AH265=VALUE(DASHBOARD!$C$12)),IF(DASHBOARD!$C$14="All",TRUE,$AJ265=DASHBOARD!$C$14)),1,0))</f>
        <v/>
      </c>
    </row>
    <row r="266">
      <c r="A266" t="n">
        <v>156692</v>
      </c>
      <c r="B266" t="inlineStr">
        <is>
          <t>Aloe Vera Gel</t>
        </is>
      </c>
      <c r="H266" t="inlineStr">
        <is>
          <t>Aloe Vera Gel - 80 gms</t>
        </is>
      </c>
      <c r="N266" t="inlineStr">
        <is>
          <t>FC-HG-PA-080</t>
        </is>
      </c>
      <c r="T266" t="inlineStr">
        <is>
          <t>Mar 10, 2026</t>
        </is>
      </c>
      <c r="AE266" t="inlineStr">
        <is>
          <t>Bengaluru</t>
        </is>
      </c>
      <c r="AF266" t="inlineStr">
        <is>
          <t>2026-03</t>
        </is>
      </c>
      <c r="AG266" t="n">
        <v>3</v>
      </c>
      <c r="AH266" t="n">
        <v>1</v>
      </c>
      <c r="AI266" t="n">
        <v>0</v>
      </c>
      <c r="AJ266">
        <f>IF($AE266="","",IFERROR(VLOOKUP(TRIM($AE266),DECODE!$H$3:$I$60,2,FALSE),"Rest of India"))</f>
        <v/>
      </c>
      <c r="AK266">
        <f>IF($N266="","",UPPER(TRIM(LEFT($N266&amp;",",FIND(",",$N266&amp;",")-1))))</f>
        <v/>
      </c>
      <c r="AL266">
        <f>IF($AK266="","",MID($AK266,4,FIND("~",SUBSTITUTE($AK266,"-","~",2))-4))</f>
        <v/>
      </c>
      <c r="AM266">
        <f>IF($AK266="","",MID($AK266,FIND("~",SUBSTITUTE($AK266,"-","~",2))+1,FIND("~",SUBSTITUTE($AK266,"-","~",3))-FIND("~",SUBSTITUTE($AK266,"-","~",2))-1))</f>
        <v/>
      </c>
      <c r="AN266">
        <f>IF($AL266="","",IFERROR(VLOOKUP($AL266,DECODE!$A$3:$C$8,3,FALSE),"?"))</f>
        <v/>
      </c>
      <c r="AO266">
        <f>IF($AM266="","",IFERROR(VLOOKUP($AL266&amp;"-"&amp;$AM266,DECODE!$E$3:$F$21,2,FALSE),"?"))</f>
        <v/>
      </c>
      <c r="AP266">
        <f>IF($AK266="","",IFERROR(VALUE(RIGHT($AK266,3)),""))</f>
        <v/>
      </c>
      <c r="AQ266">
        <f>IF($T266="","",IFERROR(IF(ISNUMBER($T266),$T266,DATEVALUE(TRIM($T266))),""))</f>
        <v/>
      </c>
      <c r="AR266">
        <f>IF($AQ266="","",IF(MONTH($AQ266)&gt;=12,"Cold Winter",IF(MONTH($AQ266)&gt;=10,"Post-Monsoon",IF(MONTH($AQ266)&gt;=6,"Hot Humid",IF(MONTH($AQ266)&gt;=3,"Hot Dry","Cold Winter")))))</f>
        <v/>
      </c>
      <c r="AS266">
        <f>IF($AL266="","",IFERROR(VLOOKUP($AL266,DECODE!$A$3:$C$8,2,FALSE),"?"))</f>
        <v/>
      </c>
      <c r="AT266">
        <f>IF($O266="","",UPPER(TRIM(LEFT($O266&amp;",",FIND(",",$O266&amp;",")-1))))</f>
        <v/>
      </c>
      <c r="AU266">
        <f>IF($AT266="","",MID($AT266,4,FIND("~",SUBSTITUTE($AT266,"-","~",2))-4))</f>
        <v/>
      </c>
      <c r="AV266">
        <f>IF($AT266="","",MID($AT266,FIND("~",SUBSTITUTE($AT266,"-","~",2))+1,FIND("~",SUBSTITUTE($AT266,"-","~",3))-FIND("~",SUBSTITUTE($AT266,"-","~",2))-1))</f>
        <v/>
      </c>
      <c r="AW266">
        <f>IF($AU266="","",IFERROR(VLOOKUP($AU266,DECODE!$A$3:$C$8,3,FALSE),"?"))</f>
        <v/>
      </c>
      <c r="AX266">
        <f>IF($AV266="","",IFERROR(VLOOKUP($AU266&amp;"-"&amp;$AV266,DECODE!$E$3:$F$21,2,FALSE),"?"))</f>
        <v/>
      </c>
      <c r="AY266">
        <f>IF($AT266="","",IFERROR(VALUE(RIGHT($AT266,3)),""))</f>
        <v/>
      </c>
      <c r="AZ266">
        <f>IF($U266="","",IFERROR(IF(ISNUMBER($U266),$U266,DATEVALUE(TRIM($U266))),""))</f>
        <v/>
      </c>
      <c r="BA266">
        <f>IF($AZ266="","",IF(MONTH($AZ266)&gt;=12,"Cold Winter",IF(MONTH($AZ266)&gt;=10,"Post-Monsoon",IF(MONTH($AZ266)&gt;=6,"Hot Humid",IF(MONTH($AZ266)&gt;=3,"Hot Dry","Cold Winter")))))</f>
        <v/>
      </c>
      <c r="BB266">
        <f>IF($AU266="","",IFERROR(VLOOKUP($AU266,DECODE!$A$3:$C$8,2,FALSE),"?"))</f>
        <v/>
      </c>
      <c r="BC266">
        <f>IF($P266="","",UPPER(TRIM(LEFT($P266&amp;",",FIND(",",$P266&amp;",")-1))))</f>
        <v/>
      </c>
      <c r="BD266">
        <f>IF($BC266="","",MID($BC266,4,FIND("~",SUBSTITUTE($BC266,"-","~",2))-4))</f>
        <v/>
      </c>
      <c r="BE266">
        <f>IF($BC266="","",MID($BC266,FIND("~",SUBSTITUTE($BC266,"-","~",2))+1,FIND("~",SUBSTITUTE($BC266,"-","~",3))-FIND("~",SUBSTITUTE($BC266,"-","~",2))-1))</f>
        <v/>
      </c>
      <c r="BF266">
        <f>IF($BD266="","",IFERROR(VLOOKUP($BD266,DECODE!$A$3:$C$8,3,FALSE),"?"))</f>
        <v/>
      </c>
      <c r="BG266">
        <f>IF($BE266="","",IFERROR(VLOOKUP($BD266&amp;"-"&amp;$BE266,DECODE!$E$3:$F$21,2,FALSE),"?"))</f>
        <v/>
      </c>
      <c r="BH266">
        <f>IF($BC266="","",IFERROR(VALUE(RIGHT($BC266,3)),""))</f>
        <v/>
      </c>
      <c r="BI266">
        <f>IF($V266="","",IFERROR(IF(ISNUMBER($V266),$V266,DATEVALUE(TRIM($V266))),""))</f>
        <v/>
      </c>
      <c r="BJ266">
        <f>IF($BI266="","",IF(MONTH($BI266)&gt;=12,"Cold Winter",IF(MONTH($BI266)&gt;=10,"Post-Monsoon",IF(MONTH($BI266)&gt;=6,"Hot Humid",IF(MONTH($BI266)&gt;=3,"Hot Dry","Cold Winter")))))</f>
        <v/>
      </c>
      <c r="BK266">
        <f>IF($BD266="","",IFERROR(VLOOKUP($BD266,DECODE!$A$3:$C$8,2,FALSE),"?"))</f>
        <v/>
      </c>
      <c r="BL266">
        <f>IF($Q266="","",UPPER(TRIM(LEFT($Q266&amp;",",FIND(",",$Q266&amp;",")-1))))</f>
        <v/>
      </c>
      <c r="BM266">
        <f>IF($BL266="","",MID($BL266,4,FIND("~",SUBSTITUTE($BL266,"-","~",2))-4))</f>
        <v/>
      </c>
      <c r="BN266">
        <f>IF($BL266="","",MID($BL266,FIND("~",SUBSTITUTE($BL266,"-","~",2))+1,FIND("~",SUBSTITUTE($BL266,"-","~",3))-FIND("~",SUBSTITUTE($BL266,"-","~",2))-1))</f>
        <v/>
      </c>
      <c r="BO266">
        <f>IF($BM266="","",IFERROR(VLOOKUP($BM266,DECODE!$A$3:$C$8,3,FALSE),"?"))</f>
        <v/>
      </c>
      <c r="BP266">
        <f>IF($BN266="","",IFERROR(VLOOKUP($BM266&amp;"-"&amp;$BN266,DECODE!$E$3:$F$21,2,FALSE),"?"))</f>
        <v/>
      </c>
      <c r="BQ266">
        <f>IF($BL266="","",IFERROR(VALUE(RIGHT($BL266,3)),""))</f>
        <v/>
      </c>
      <c r="BR266">
        <f>IF($W266="","",IFERROR(IF(ISNUMBER($W266),$W266,DATEVALUE(TRIM($W266))),""))</f>
        <v/>
      </c>
      <c r="BS266">
        <f>IF($BR266="","",IF(MONTH($BR266)&gt;=12,"Cold Winter",IF(MONTH($BR266)&gt;=10,"Post-Monsoon",IF(MONTH($BR266)&gt;=6,"Hot Humid",IF(MONTH($BR266)&gt;=3,"Hot Dry","Cold Winter")))))</f>
        <v/>
      </c>
      <c r="BT266">
        <f>IF($BM266="","",IFERROR(VLOOKUP($BM266,DECODE!$A$3:$C$8,2,FALSE),"?"))</f>
        <v/>
      </c>
      <c r="BU266">
        <f>IF($R266="","",UPPER(TRIM(LEFT($R266&amp;",",FIND(",",$R266&amp;",")-1))))</f>
        <v/>
      </c>
      <c r="BV266">
        <f>IF($BU266="","",MID($BU266,4,FIND("~",SUBSTITUTE($BU266,"-","~",2))-4))</f>
        <v/>
      </c>
      <c r="BW266">
        <f>IF($BU266="","",MID($BU266,FIND("~",SUBSTITUTE($BU266,"-","~",2))+1,FIND("~",SUBSTITUTE($BU266,"-","~",3))-FIND("~",SUBSTITUTE($BU266,"-","~",2))-1))</f>
        <v/>
      </c>
      <c r="BX266">
        <f>IF($BV266="","",IFERROR(VLOOKUP($BV266,DECODE!$A$3:$C$8,3,FALSE),"?"))</f>
        <v/>
      </c>
      <c r="BY266">
        <f>IF($BW266="","",IFERROR(VLOOKUP($BV266&amp;"-"&amp;$BW266,DECODE!$E$3:$F$21,2,FALSE),"?"))</f>
        <v/>
      </c>
      <c r="BZ266">
        <f>IF($BU266="","",IFERROR(VALUE(RIGHT($BU266,3)),""))</f>
        <v/>
      </c>
      <c r="CA266">
        <f>IF($X266="","",IFERROR(IF(ISNUMBER($X266),$X266,DATEVALUE(TRIM($X266))),""))</f>
        <v/>
      </c>
      <c r="CB266">
        <f>IF($CA266="","",IF(MONTH($CA266)&gt;=12,"Cold Winter",IF(MONTH($CA266)&gt;=10,"Post-Monsoon",IF(MONTH($CA266)&gt;=6,"Hot Humid",IF(MONTH($CA266)&gt;=3,"Hot Dry","Cold Winter")))))</f>
        <v/>
      </c>
      <c r="CC266">
        <f>IF($BV266="","",IFERROR(VLOOKUP($BV266,DECODE!$A$3:$C$8,2,FALSE),"?"))</f>
        <v/>
      </c>
      <c r="CD266">
        <f>IF($S266="","",UPPER(TRIM(LEFT($S266&amp;",",FIND(",",$S266&amp;",")-1))))</f>
        <v/>
      </c>
      <c r="CE266">
        <f>IF($CD266="","",MID($CD266,4,FIND("~",SUBSTITUTE($CD266,"-","~",2))-4))</f>
        <v/>
      </c>
      <c r="CF266">
        <f>IF($CD266="","",MID($CD266,FIND("~",SUBSTITUTE($CD266,"-","~",2))+1,FIND("~",SUBSTITUTE($CD266,"-","~",3))-FIND("~",SUBSTITUTE($CD266,"-","~",2))-1))</f>
        <v/>
      </c>
      <c r="CG266">
        <f>IF($CE266="","",IFERROR(VLOOKUP($CE266,DECODE!$A$3:$C$8,3,FALSE),"?"))</f>
        <v/>
      </c>
      <c r="CH266">
        <f>IF($CF266="","",IFERROR(VLOOKUP($CE266&amp;"-"&amp;$CF266,DECODE!$E$3:$F$21,2,FALSE),"?"))</f>
        <v/>
      </c>
      <c r="CI266">
        <f>IF($CD266="","",IFERROR(VALUE(RIGHT($CD266,3)),""))</f>
        <v/>
      </c>
      <c r="CJ266">
        <f>IF($Y266="","",IFERROR(IF(ISNUMBER($Y266),$Y266,DATEVALUE(TRIM($Y266))),""))</f>
        <v/>
      </c>
      <c r="CK266">
        <f>IF($CJ266="","",IF(MONTH($CJ266)&gt;=12,"Cold Winter",IF(MONTH($CJ266)&gt;=10,"Post-Monsoon",IF(MONTH($CJ266)&gt;=6,"Hot Humid",IF(MONTH($CJ266)&gt;=3,"Hot Dry","Cold Winter")))))</f>
        <v/>
      </c>
      <c r="CL266">
        <f>IF($CE266="","",IFERROR(VLOOKUP($CE266,DECODE!$A$3:$C$8,2,FALSE),"?"))</f>
        <v/>
      </c>
      <c r="CM266">
        <f>IF($AN266="","",AN266)</f>
        <v/>
      </c>
      <c r="CN266">
        <f>IF($AO266="","",AO266)</f>
        <v/>
      </c>
      <c r="CO266">
        <f>IF($AP266="","",AP266)</f>
        <v/>
      </c>
      <c r="CP266">
        <f>IF($CM266="","",IF($CM266="Aloe Vera Gel","Aloe Vera Gel "&amp;$CO266&amp;"g",CN266&amp;" "&amp;$CO266&amp;"g"))</f>
        <v/>
      </c>
      <c r="CQ266">
        <f>IF($AT266="",0,1)</f>
        <v/>
      </c>
      <c r="CR266">
        <f>IF($CQ266=0,"",AW266)</f>
        <v/>
      </c>
      <c r="CS266">
        <f>IF($CQ266=0,"",AX266)</f>
        <v/>
      </c>
      <c r="CT266">
        <f>IF($CQ266=0,"",AY266)</f>
        <v/>
      </c>
      <c r="CU266">
        <f>IF($CR266="","",IF($CR266="Aloe Vera Gel","Aloe Vera Gel "&amp;$CT266&amp;"g",CS266&amp;" "&amp;$CT266&amp;"g"))</f>
        <v/>
      </c>
      <c r="CV266">
        <f>IF($CQ266=0,"",IF($CP266=$CU266,"Repeat Exact",IF($CT266&gt;$CO266,"Upsized",IF($CT266&lt;$CO266,"Downsized",IF($CM266&lt;&gt;$CR266,"Lateral","Same Size Diff Variant")))))</f>
        <v/>
      </c>
      <c r="CW266">
        <f>IF($CQ266=0,"",AZ266-AQ266)</f>
        <v/>
      </c>
      <c r="CX266">
        <f>IF($CQ266=0,0,IF(CS266=CN266,1,0))</f>
        <v/>
      </c>
      <c r="CY266">
        <f>IF($CQ266=0,0,IF(CR266=CM266,1,0))</f>
        <v/>
      </c>
      <c r="CZ266">
        <f>IF($A266="","",IF(AND(IF(DASHBOARD!$C$4="All",TRUE,$CM266=DASHBOARD!$C$4),IF(DASHBOARD!$C$6="All",TRUE,$CP266=DASHBOARD!$C$6),IF(DASHBOARD!$C$8="All",TRUE,$AF266&gt;=DASHBOARD!$C$8),IF(DASHBOARD!$C$10="All",TRUE,$AF266&lt;=DASHBOARD!$C$10),IF(DASHBOARD!$C$12="All",TRUE,$AH266=VALUE(DASHBOARD!$C$12)),IF(DASHBOARD!$C$14="All",TRUE,$AJ266=DASHBOARD!$C$14)),1,0))</f>
        <v/>
      </c>
    </row>
    <row r="267">
      <c r="A267" t="n">
        <v>156821</v>
      </c>
      <c r="B267" t="inlineStr">
        <is>
          <t>Aloe Vera Gel</t>
        </is>
      </c>
      <c r="H267" t="inlineStr">
        <is>
          <t>Aloe Vera Gel - 40 gms</t>
        </is>
      </c>
      <c r="N267" t="inlineStr">
        <is>
          <t>FC-HG-PA-040</t>
        </is>
      </c>
      <c r="T267" t="inlineStr">
        <is>
          <t>Jan 13, 2024</t>
        </is>
      </c>
      <c r="AE267" t="inlineStr">
        <is>
          <t>Mumbai</t>
        </is>
      </c>
      <c r="AF267" t="inlineStr">
        <is>
          <t>2024-01</t>
        </is>
      </c>
      <c r="AG267" t="n">
        <v>1</v>
      </c>
      <c r="AH267" t="n">
        <v>1</v>
      </c>
      <c r="AI267" t="n">
        <v>0</v>
      </c>
      <c r="AJ267">
        <f>IF($AE267="","",IFERROR(VLOOKUP(TRIM($AE267),DECODE!$H$3:$I$60,2,FALSE),"Rest of India"))</f>
        <v/>
      </c>
      <c r="AK267">
        <f>IF($N267="","",UPPER(TRIM(LEFT($N267&amp;",",FIND(",",$N267&amp;",")-1))))</f>
        <v/>
      </c>
      <c r="AL267">
        <f>IF($AK267="","",MID($AK267,4,FIND("~",SUBSTITUTE($AK267,"-","~",2))-4))</f>
        <v/>
      </c>
      <c r="AM267">
        <f>IF($AK267="","",MID($AK267,FIND("~",SUBSTITUTE($AK267,"-","~",2))+1,FIND("~",SUBSTITUTE($AK267,"-","~",3))-FIND("~",SUBSTITUTE($AK267,"-","~",2))-1))</f>
        <v/>
      </c>
      <c r="AN267">
        <f>IF($AL267="","",IFERROR(VLOOKUP($AL267,DECODE!$A$3:$C$8,3,FALSE),"?"))</f>
        <v/>
      </c>
      <c r="AO267">
        <f>IF($AM267="","",IFERROR(VLOOKUP($AL267&amp;"-"&amp;$AM267,DECODE!$E$3:$F$21,2,FALSE),"?"))</f>
        <v/>
      </c>
      <c r="AP267">
        <f>IF($AK267="","",IFERROR(VALUE(RIGHT($AK267,3)),""))</f>
        <v/>
      </c>
      <c r="AQ267">
        <f>IF($T267="","",IFERROR(IF(ISNUMBER($T267),$T267,DATEVALUE(TRIM($T267))),""))</f>
        <v/>
      </c>
      <c r="AR267">
        <f>IF($AQ267="","",IF(MONTH($AQ267)&gt;=12,"Cold Winter",IF(MONTH($AQ267)&gt;=10,"Post-Monsoon",IF(MONTH($AQ267)&gt;=6,"Hot Humid",IF(MONTH($AQ267)&gt;=3,"Hot Dry","Cold Winter")))))</f>
        <v/>
      </c>
      <c r="AS267">
        <f>IF($AL267="","",IFERROR(VLOOKUP($AL267,DECODE!$A$3:$C$8,2,FALSE),"?"))</f>
        <v/>
      </c>
      <c r="AT267">
        <f>IF($O267="","",UPPER(TRIM(LEFT($O267&amp;",",FIND(",",$O267&amp;",")-1))))</f>
        <v/>
      </c>
      <c r="AU267">
        <f>IF($AT267="","",MID($AT267,4,FIND("~",SUBSTITUTE($AT267,"-","~",2))-4))</f>
        <v/>
      </c>
      <c r="AV267">
        <f>IF($AT267="","",MID($AT267,FIND("~",SUBSTITUTE($AT267,"-","~",2))+1,FIND("~",SUBSTITUTE($AT267,"-","~",3))-FIND("~",SUBSTITUTE($AT267,"-","~",2))-1))</f>
        <v/>
      </c>
      <c r="AW267">
        <f>IF($AU267="","",IFERROR(VLOOKUP($AU267,DECODE!$A$3:$C$8,3,FALSE),"?"))</f>
        <v/>
      </c>
      <c r="AX267">
        <f>IF($AV267="","",IFERROR(VLOOKUP($AU267&amp;"-"&amp;$AV267,DECODE!$E$3:$F$21,2,FALSE),"?"))</f>
        <v/>
      </c>
      <c r="AY267">
        <f>IF($AT267="","",IFERROR(VALUE(RIGHT($AT267,3)),""))</f>
        <v/>
      </c>
      <c r="AZ267">
        <f>IF($U267="","",IFERROR(IF(ISNUMBER($U267),$U267,DATEVALUE(TRIM($U267))),""))</f>
        <v/>
      </c>
      <c r="BA267">
        <f>IF($AZ267="","",IF(MONTH($AZ267)&gt;=12,"Cold Winter",IF(MONTH($AZ267)&gt;=10,"Post-Monsoon",IF(MONTH($AZ267)&gt;=6,"Hot Humid",IF(MONTH($AZ267)&gt;=3,"Hot Dry","Cold Winter")))))</f>
        <v/>
      </c>
      <c r="BB267">
        <f>IF($AU267="","",IFERROR(VLOOKUP($AU267,DECODE!$A$3:$C$8,2,FALSE),"?"))</f>
        <v/>
      </c>
      <c r="BC267">
        <f>IF($P267="","",UPPER(TRIM(LEFT($P267&amp;",",FIND(",",$P267&amp;",")-1))))</f>
        <v/>
      </c>
      <c r="BD267">
        <f>IF($BC267="","",MID($BC267,4,FIND("~",SUBSTITUTE($BC267,"-","~",2))-4))</f>
        <v/>
      </c>
      <c r="BE267">
        <f>IF($BC267="","",MID($BC267,FIND("~",SUBSTITUTE($BC267,"-","~",2))+1,FIND("~",SUBSTITUTE($BC267,"-","~",3))-FIND("~",SUBSTITUTE($BC267,"-","~",2))-1))</f>
        <v/>
      </c>
      <c r="BF267">
        <f>IF($BD267="","",IFERROR(VLOOKUP($BD267,DECODE!$A$3:$C$8,3,FALSE),"?"))</f>
        <v/>
      </c>
      <c r="BG267">
        <f>IF($BE267="","",IFERROR(VLOOKUP($BD267&amp;"-"&amp;$BE267,DECODE!$E$3:$F$21,2,FALSE),"?"))</f>
        <v/>
      </c>
      <c r="BH267">
        <f>IF($BC267="","",IFERROR(VALUE(RIGHT($BC267,3)),""))</f>
        <v/>
      </c>
      <c r="BI267">
        <f>IF($V267="","",IFERROR(IF(ISNUMBER($V267),$V267,DATEVALUE(TRIM($V267))),""))</f>
        <v/>
      </c>
      <c r="BJ267">
        <f>IF($BI267="","",IF(MONTH($BI267)&gt;=12,"Cold Winter",IF(MONTH($BI267)&gt;=10,"Post-Monsoon",IF(MONTH($BI267)&gt;=6,"Hot Humid",IF(MONTH($BI267)&gt;=3,"Hot Dry","Cold Winter")))))</f>
        <v/>
      </c>
      <c r="BK267">
        <f>IF($BD267="","",IFERROR(VLOOKUP($BD267,DECODE!$A$3:$C$8,2,FALSE),"?"))</f>
        <v/>
      </c>
      <c r="BL267">
        <f>IF($Q267="","",UPPER(TRIM(LEFT($Q267&amp;",",FIND(",",$Q267&amp;",")-1))))</f>
        <v/>
      </c>
      <c r="BM267">
        <f>IF($BL267="","",MID($BL267,4,FIND("~",SUBSTITUTE($BL267,"-","~",2))-4))</f>
        <v/>
      </c>
      <c r="BN267">
        <f>IF($BL267="","",MID($BL267,FIND("~",SUBSTITUTE($BL267,"-","~",2))+1,FIND("~",SUBSTITUTE($BL267,"-","~",3))-FIND("~",SUBSTITUTE($BL267,"-","~",2))-1))</f>
        <v/>
      </c>
      <c r="BO267">
        <f>IF($BM267="","",IFERROR(VLOOKUP($BM267,DECODE!$A$3:$C$8,3,FALSE),"?"))</f>
        <v/>
      </c>
      <c r="BP267">
        <f>IF($BN267="","",IFERROR(VLOOKUP($BM267&amp;"-"&amp;$BN267,DECODE!$E$3:$F$21,2,FALSE),"?"))</f>
        <v/>
      </c>
      <c r="BQ267">
        <f>IF($BL267="","",IFERROR(VALUE(RIGHT($BL267,3)),""))</f>
        <v/>
      </c>
      <c r="BR267">
        <f>IF($W267="","",IFERROR(IF(ISNUMBER($W267),$W267,DATEVALUE(TRIM($W267))),""))</f>
        <v/>
      </c>
      <c r="BS267">
        <f>IF($BR267="","",IF(MONTH($BR267)&gt;=12,"Cold Winter",IF(MONTH($BR267)&gt;=10,"Post-Monsoon",IF(MONTH($BR267)&gt;=6,"Hot Humid",IF(MONTH($BR267)&gt;=3,"Hot Dry","Cold Winter")))))</f>
        <v/>
      </c>
      <c r="BT267">
        <f>IF($BM267="","",IFERROR(VLOOKUP($BM267,DECODE!$A$3:$C$8,2,FALSE),"?"))</f>
        <v/>
      </c>
      <c r="BU267">
        <f>IF($R267="","",UPPER(TRIM(LEFT($R267&amp;",",FIND(",",$R267&amp;",")-1))))</f>
        <v/>
      </c>
      <c r="BV267">
        <f>IF($BU267="","",MID($BU267,4,FIND("~",SUBSTITUTE($BU267,"-","~",2))-4))</f>
        <v/>
      </c>
      <c r="BW267">
        <f>IF($BU267="","",MID($BU267,FIND("~",SUBSTITUTE($BU267,"-","~",2))+1,FIND("~",SUBSTITUTE($BU267,"-","~",3))-FIND("~",SUBSTITUTE($BU267,"-","~",2))-1))</f>
        <v/>
      </c>
      <c r="BX267">
        <f>IF($BV267="","",IFERROR(VLOOKUP($BV267,DECODE!$A$3:$C$8,3,FALSE),"?"))</f>
        <v/>
      </c>
      <c r="BY267">
        <f>IF($BW267="","",IFERROR(VLOOKUP($BV267&amp;"-"&amp;$BW267,DECODE!$E$3:$F$21,2,FALSE),"?"))</f>
        <v/>
      </c>
      <c r="BZ267">
        <f>IF($BU267="","",IFERROR(VALUE(RIGHT($BU267,3)),""))</f>
        <v/>
      </c>
      <c r="CA267">
        <f>IF($X267="","",IFERROR(IF(ISNUMBER($X267),$X267,DATEVALUE(TRIM($X267))),""))</f>
        <v/>
      </c>
      <c r="CB267">
        <f>IF($CA267="","",IF(MONTH($CA267)&gt;=12,"Cold Winter",IF(MONTH($CA267)&gt;=10,"Post-Monsoon",IF(MONTH($CA267)&gt;=6,"Hot Humid",IF(MONTH($CA267)&gt;=3,"Hot Dry","Cold Winter")))))</f>
        <v/>
      </c>
      <c r="CC267">
        <f>IF($BV267="","",IFERROR(VLOOKUP($BV267,DECODE!$A$3:$C$8,2,FALSE),"?"))</f>
        <v/>
      </c>
      <c r="CD267">
        <f>IF($S267="","",UPPER(TRIM(LEFT($S267&amp;",",FIND(",",$S267&amp;",")-1))))</f>
        <v/>
      </c>
      <c r="CE267">
        <f>IF($CD267="","",MID($CD267,4,FIND("~",SUBSTITUTE($CD267,"-","~",2))-4))</f>
        <v/>
      </c>
      <c r="CF267">
        <f>IF($CD267="","",MID($CD267,FIND("~",SUBSTITUTE($CD267,"-","~",2))+1,FIND("~",SUBSTITUTE($CD267,"-","~",3))-FIND("~",SUBSTITUTE($CD267,"-","~",2))-1))</f>
        <v/>
      </c>
      <c r="CG267">
        <f>IF($CE267="","",IFERROR(VLOOKUP($CE267,DECODE!$A$3:$C$8,3,FALSE),"?"))</f>
        <v/>
      </c>
      <c r="CH267">
        <f>IF($CF267="","",IFERROR(VLOOKUP($CE267&amp;"-"&amp;$CF267,DECODE!$E$3:$F$21,2,FALSE),"?"))</f>
        <v/>
      </c>
      <c r="CI267">
        <f>IF($CD267="","",IFERROR(VALUE(RIGHT($CD267,3)),""))</f>
        <v/>
      </c>
      <c r="CJ267">
        <f>IF($Y267="","",IFERROR(IF(ISNUMBER($Y267),$Y267,DATEVALUE(TRIM($Y267))),""))</f>
        <v/>
      </c>
      <c r="CK267">
        <f>IF($CJ267="","",IF(MONTH($CJ267)&gt;=12,"Cold Winter",IF(MONTH($CJ267)&gt;=10,"Post-Monsoon",IF(MONTH($CJ267)&gt;=6,"Hot Humid",IF(MONTH($CJ267)&gt;=3,"Hot Dry","Cold Winter")))))</f>
        <v/>
      </c>
      <c r="CL267">
        <f>IF($CE267="","",IFERROR(VLOOKUP($CE267,DECODE!$A$3:$C$8,2,FALSE),"?"))</f>
        <v/>
      </c>
      <c r="CM267">
        <f>IF($AN267="","",AN267)</f>
        <v/>
      </c>
      <c r="CN267">
        <f>IF($AO267="","",AO267)</f>
        <v/>
      </c>
      <c r="CO267">
        <f>IF($AP267="","",AP267)</f>
        <v/>
      </c>
      <c r="CP267">
        <f>IF($CM267="","",IF($CM267="Aloe Vera Gel","Aloe Vera Gel "&amp;$CO267&amp;"g",CN267&amp;" "&amp;$CO267&amp;"g"))</f>
        <v/>
      </c>
      <c r="CQ267">
        <f>IF($AT267="",0,1)</f>
        <v/>
      </c>
      <c r="CR267">
        <f>IF($CQ267=0,"",AW267)</f>
        <v/>
      </c>
      <c r="CS267">
        <f>IF($CQ267=0,"",AX267)</f>
        <v/>
      </c>
      <c r="CT267">
        <f>IF($CQ267=0,"",AY267)</f>
        <v/>
      </c>
      <c r="CU267">
        <f>IF($CR267="","",IF($CR267="Aloe Vera Gel","Aloe Vera Gel "&amp;$CT267&amp;"g",CS267&amp;" "&amp;$CT267&amp;"g"))</f>
        <v/>
      </c>
      <c r="CV267">
        <f>IF($CQ267=0,"",IF($CP267=$CU267,"Repeat Exact",IF($CT267&gt;$CO267,"Upsized",IF($CT267&lt;$CO267,"Downsized",IF($CM267&lt;&gt;$CR267,"Lateral","Same Size Diff Variant")))))</f>
        <v/>
      </c>
      <c r="CW267">
        <f>IF($CQ267=0,"",AZ267-AQ267)</f>
        <v/>
      </c>
      <c r="CX267">
        <f>IF($CQ267=0,0,IF(CS267=CN267,1,0))</f>
        <v/>
      </c>
      <c r="CY267">
        <f>IF($CQ267=0,0,IF(CR267=CM267,1,0))</f>
        <v/>
      </c>
      <c r="CZ267">
        <f>IF($A267="","",IF(AND(IF(DASHBOARD!$C$4="All",TRUE,$CM267=DASHBOARD!$C$4),IF(DASHBOARD!$C$6="All",TRUE,$CP267=DASHBOARD!$C$6),IF(DASHBOARD!$C$8="All",TRUE,$AF267&gt;=DASHBOARD!$C$8),IF(DASHBOARD!$C$10="All",TRUE,$AF267&lt;=DASHBOARD!$C$10),IF(DASHBOARD!$C$12="All",TRUE,$AH267=VALUE(DASHBOARD!$C$12)),IF(DASHBOARD!$C$14="All",TRUE,$AJ267=DASHBOARD!$C$14)),1,0))</f>
        <v/>
      </c>
    </row>
    <row r="268">
      <c r="A268" t="n">
        <v>157387</v>
      </c>
      <c r="B268" t="inlineStr">
        <is>
          <t>Aloe Vera Gel</t>
        </is>
      </c>
      <c r="H268" t="inlineStr">
        <is>
          <t>Aloe Vera Gel - 40 gms</t>
        </is>
      </c>
      <c r="N268" t="inlineStr">
        <is>
          <t>FC-HG-PA-040</t>
        </is>
      </c>
      <c r="T268" t="inlineStr">
        <is>
          <t>Apr 18, 2024</t>
        </is>
      </c>
      <c r="AE268" t="inlineStr">
        <is>
          <t>Bengaluru</t>
        </is>
      </c>
      <c r="AF268" t="inlineStr">
        <is>
          <t>2024-04</t>
        </is>
      </c>
      <c r="AG268" t="n">
        <v>4</v>
      </c>
      <c r="AH268" t="n">
        <v>1</v>
      </c>
      <c r="AI268" t="n">
        <v>0</v>
      </c>
      <c r="AJ268">
        <f>IF($AE268="","",IFERROR(VLOOKUP(TRIM($AE268),DECODE!$H$3:$I$60,2,FALSE),"Rest of India"))</f>
        <v/>
      </c>
      <c r="AK268">
        <f>IF($N268="","",UPPER(TRIM(LEFT($N268&amp;",",FIND(",",$N268&amp;",")-1))))</f>
        <v/>
      </c>
      <c r="AL268">
        <f>IF($AK268="","",MID($AK268,4,FIND("~",SUBSTITUTE($AK268,"-","~",2))-4))</f>
        <v/>
      </c>
      <c r="AM268">
        <f>IF($AK268="","",MID($AK268,FIND("~",SUBSTITUTE($AK268,"-","~",2))+1,FIND("~",SUBSTITUTE($AK268,"-","~",3))-FIND("~",SUBSTITUTE($AK268,"-","~",2))-1))</f>
        <v/>
      </c>
      <c r="AN268">
        <f>IF($AL268="","",IFERROR(VLOOKUP($AL268,DECODE!$A$3:$C$8,3,FALSE),"?"))</f>
        <v/>
      </c>
      <c r="AO268">
        <f>IF($AM268="","",IFERROR(VLOOKUP($AL268&amp;"-"&amp;$AM268,DECODE!$E$3:$F$21,2,FALSE),"?"))</f>
        <v/>
      </c>
      <c r="AP268">
        <f>IF($AK268="","",IFERROR(VALUE(RIGHT($AK268,3)),""))</f>
        <v/>
      </c>
      <c r="AQ268">
        <f>IF($T268="","",IFERROR(IF(ISNUMBER($T268),$T268,DATEVALUE(TRIM($T268))),""))</f>
        <v/>
      </c>
      <c r="AR268">
        <f>IF($AQ268="","",IF(MONTH($AQ268)&gt;=12,"Cold Winter",IF(MONTH($AQ268)&gt;=10,"Post-Monsoon",IF(MONTH($AQ268)&gt;=6,"Hot Humid",IF(MONTH($AQ268)&gt;=3,"Hot Dry","Cold Winter")))))</f>
        <v/>
      </c>
      <c r="AS268">
        <f>IF($AL268="","",IFERROR(VLOOKUP($AL268,DECODE!$A$3:$C$8,2,FALSE),"?"))</f>
        <v/>
      </c>
      <c r="AT268">
        <f>IF($O268="","",UPPER(TRIM(LEFT($O268&amp;",",FIND(",",$O268&amp;",")-1))))</f>
        <v/>
      </c>
      <c r="AU268">
        <f>IF($AT268="","",MID($AT268,4,FIND("~",SUBSTITUTE($AT268,"-","~",2))-4))</f>
        <v/>
      </c>
      <c r="AV268">
        <f>IF($AT268="","",MID($AT268,FIND("~",SUBSTITUTE($AT268,"-","~",2))+1,FIND("~",SUBSTITUTE($AT268,"-","~",3))-FIND("~",SUBSTITUTE($AT268,"-","~",2))-1))</f>
        <v/>
      </c>
      <c r="AW268">
        <f>IF($AU268="","",IFERROR(VLOOKUP($AU268,DECODE!$A$3:$C$8,3,FALSE),"?"))</f>
        <v/>
      </c>
      <c r="AX268">
        <f>IF($AV268="","",IFERROR(VLOOKUP($AU268&amp;"-"&amp;$AV268,DECODE!$E$3:$F$21,2,FALSE),"?"))</f>
        <v/>
      </c>
      <c r="AY268">
        <f>IF($AT268="","",IFERROR(VALUE(RIGHT($AT268,3)),""))</f>
        <v/>
      </c>
      <c r="AZ268">
        <f>IF($U268="","",IFERROR(IF(ISNUMBER($U268),$U268,DATEVALUE(TRIM($U268))),""))</f>
        <v/>
      </c>
      <c r="BA268">
        <f>IF($AZ268="","",IF(MONTH($AZ268)&gt;=12,"Cold Winter",IF(MONTH($AZ268)&gt;=10,"Post-Monsoon",IF(MONTH($AZ268)&gt;=6,"Hot Humid",IF(MONTH($AZ268)&gt;=3,"Hot Dry","Cold Winter")))))</f>
        <v/>
      </c>
      <c r="BB268">
        <f>IF($AU268="","",IFERROR(VLOOKUP($AU268,DECODE!$A$3:$C$8,2,FALSE),"?"))</f>
        <v/>
      </c>
      <c r="BC268">
        <f>IF($P268="","",UPPER(TRIM(LEFT($P268&amp;",",FIND(",",$P268&amp;",")-1))))</f>
        <v/>
      </c>
      <c r="BD268">
        <f>IF($BC268="","",MID($BC268,4,FIND("~",SUBSTITUTE($BC268,"-","~",2))-4))</f>
        <v/>
      </c>
      <c r="BE268">
        <f>IF($BC268="","",MID($BC268,FIND("~",SUBSTITUTE($BC268,"-","~",2))+1,FIND("~",SUBSTITUTE($BC268,"-","~",3))-FIND("~",SUBSTITUTE($BC268,"-","~",2))-1))</f>
        <v/>
      </c>
      <c r="BF268">
        <f>IF($BD268="","",IFERROR(VLOOKUP($BD268,DECODE!$A$3:$C$8,3,FALSE),"?"))</f>
        <v/>
      </c>
      <c r="BG268">
        <f>IF($BE268="","",IFERROR(VLOOKUP($BD268&amp;"-"&amp;$BE268,DECODE!$E$3:$F$21,2,FALSE),"?"))</f>
        <v/>
      </c>
      <c r="BH268">
        <f>IF($BC268="","",IFERROR(VALUE(RIGHT($BC268,3)),""))</f>
        <v/>
      </c>
      <c r="BI268">
        <f>IF($V268="","",IFERROR(IF(ISNUMBER($V268),$V268,DATEVALUE(TRIM($V268))),""))</f>
        <v/>
      </c>
      <c r="BJ268">
        <f>IF($BI268="","",IF(MONTH($BI268)&gt;=12,"Cold Winter",IF(MONTH($BI268)&gt;=10,"Post-Monsoon",IF(MONTH($BI268)&gt;=6,"Hot Humid",IF(MONTH($BI268)&gt;=3,"Hot Dry","Cold Winter")))))</f>
        <v/>
      </c>
      <c r="BK268">
        <f>IF($BD268="","",IFERROR(VLOOKUP($BD268,DECODE!$A$3:$C$8,2,FALSE),"?"))</f>
        <v/>
      </c>
      <c r="BL268">
        <f>IF($Q268="","",UPPER(TRIM(LEFT($Q268&amp;",",FIND(",",$Q268&amp;",")-1))))</f>
        <v/>
      </c>
      <c r="BM268">
        <f>IF($BL268="","",MID($BL268,4,FIND("~",SUBSTITUTE($BL268,"-","~",2))-4))</f>
        <v/>
      </c>
      <c r="BN268">
        <f>IF($BL268="","",MID($BL268,FIND("~",SUBSTITUTE($BL268,"-","~",2))+1,FIND("~",SUBSTITUTE($BL268,"-","~",3))-FIND("~",SUBSTITUTE($BL268,"-","~",2))-1))</f>
        <v/>
      </c>
      <c r="BO268">
        <f>IF($BM268="","",IFERROR(VLOOKUP($BM268,DECODE!$A$3:$C$8,3,FALSE),"?"))</f>
        <v/>
      </c>
      <c r="BP268">
        <f>IF($BN268="","",IFERROR(VLOOKUP($BM268&amp;"-"&amp;$BN268,DECODE!$E$3:$F$21,2,FALSE),"?"))</f>
        <v/>
      </c>
      <c r="BQ268">
        <f>IF($BL268="","",IFERROR(VALUE(RIGHT($BL268,3)),""))</f>
        <v/>
      </c>
      <c r="BR268">
        <f>IF($W268="","",IFERROR(IF(ISNUMBER($W268),$W268,DATEVALUE(TRIM($W268))),""))</f>
        <v/>
      </c>
      <c r="BS268">
        <f>IF($BR268="","",IF(MONTH($BR268)&gt;=12,"Cold Winter",IF(MONTH($BR268)&gt;=10,"Post-Monsoon",IF(MONTH($BR268)&gt;=6,"Hot Humid",IF(MONTH($BR268)&gt;=3,"Hot Dry","Cold Winter")))))</f>
        <v/>
      </c>
      <c r="BT268">
        <f>IF($BM268="","",IFERROR(VLOOKUP($BM268,DECODE!$A$3:$C$8,2,FALSE),"?"))</f>
        <v/>
      </c>
      <c r="BU268">
        <f>IF($R268="","",UPPER(TRIM(LEFT($R268&amp;",",FIND(",",$R268&amp;",")-1))))</f>
        <v/>
      </c>
      <c r="BV268">
        <f>IF($BU268="","",MID($BU268,4,FIND("~",SUBSTITUTE($BU268,"-","~",2))-4))</f>
        <v/>
      </c>
      <c r="BW268">
        <f>IF($BU268="","",MID($BU268,FIND("~",SUBSTITUTE($BU268,"-","~",2))+1,FIND("~",SUBSTITUTE($BU268,"-","~",3))-FIND("~",SUBSTITUTE($BU268,"-","~",2))-1))</f>
        <v/>
      </c>
      <c r="BX268">
        <f>IF($BV268="","",IFERROR(VLOOKUP($BV268,DECODE!$A$3:$C$8,3,FALSE),"?"))</f>
        <v/>
      </c>
      <c r="BY268">
        <f>IF($BW268="","",IFERROR(VLOOKUP($BV268&amp;"-"&amp;$BW268,DECODE!$E$3:$F$21,2,FALSE),"?"))</f>
        <v/>
      </c>
      <c r="BZ268">
        <f>IF($BU268="","",IFERROR(VALUE(RIGHT($BU268,3)),""))</f>
        <v/>
      </c>
      <c r="CA268">
        <f>IF($X268="","",IFERROR(IF(ISNUMBER($X268),$X268,DATEVALUE(TRIM($X268))),""))</f>
        <v/>
      </c>
      <c r="CB268">
        <f>IF($CA268="","",IF(MONTH($CA268)&gt;=12,"Cold Winter",IF(MONTH($CA268)&gt;=10,"Post-Monsoon",IF(MONTH($CA268)&gt;=6,"Hot Humid",IF(MONTH($CA268)&gt;=3,"Hot Dry","Cold Winter")))))</f>
        <v/>
      </c>
      <c r="CC268">
        <f>IF($BV268="","",IFERROR(VLOOKUP($BV268,DECODE!$A$3:$C$8,2,FALSE),"?"))</f>
        <v/>
      </c>
      <c r="CD268">
        <f>IF($S268="","",UPPER(TRIM(LEFT($S268&amp;",",FIND(",",$S268&amp;",")-1))))</f>
        <v/>
      </c>
      <c r="CE268">
        <f>IF($CD268="","",MID($CD268,4,FIND("~",SUBSTITUTE($CD268,"-","~",2))-4))</f>
        <v/>
      </c>
      <c r="CF268">
        <f>IF($CD268="","",MID($CD268,FIND("~",SUBSTITUTE($CD268,"-","~",2))+1,FIND("~",SUBSTITUTE($CD268,"-","~",3))-FIND("~",SUBSTITUTE($CD268,"-","~",2))-1))</f>
        <v/>
      </c>
      <c r="CG268">
        <f>IF($CE268="","",IFERROR(VLOOKUP($CE268,DECODE!$A$3:$C$8,3,FALSE),"?"))</f>
        <v/>
      </c>
      <c r="CH268">
        <f>IF($CF268="","",IFERROR(VLOOKUP($CE268&amp;"-"&amp;$CF268,DECODE!$E$3:$F$21,2,FALSE),"?"))</f>
        <v/>
      </c>
      <c r="CI268">
        <f>IF($CD268="","",IFERROR(VALUE(RIGHT($CD268,3)),""))</f>
        <v/>
      </c>
      <c r="CJ268">
        <f>IF($Y268="","",IFERROR(IF(ISNUMBER($Y268),$Y268,DATEVALUE(TRIM($Y268))),""))</f>
        <v/>
      </c>
      <c r="CK268">
        <f>IF($CJ268="","",IF(MONTH($CJ268)&gt;=12,"Cold Winter",IF(MONTH($CJ268)&gt;=10,"Post-Monsoon",IF(MONTH($CJ268)&gt;=6,"Hot Humid",IF(MONTH($CJ268)&gt;=3,"Hot Dry","Cold Winter")))))</f>
        <v/>
      </c>
      <c r="CL268">
        <f>IF($CE268="","",IFERROR(VLOOKUP($CE268,DECODE!$A$3:$C$8,2,FALSE),"?"))</f>
        <v/>
      </c>
      <c r="CM268">
        <f>IF($AN268="","",AN268)</f>
        <v/>
      </c>
      <c r="CN268">
        <f>IF($AO268="","",AO268)</f>
        <v/>
      </c>
      <c r="CO268">
        <f>IF($AP268="","",AP268)</f>
        <v/>
      </c>
      <c r="CP268">
        <f>IF($CM268="","",IF($CM268="Aloe Vera Gel","Aloe Vera Gel "&amp;$CO268&amp;"g",CN268&amp;" "&amp;$CO268&amp;"g"))</f>
        <v/>
      </c>
      <c r="CQ268">
        <f>IF($AT268="",0,1)</f>
        <v/>
      </c>
      <c r="CR268">
        <f>IF($CQ268=0,"",AW268)</f>
        <v/>
      </c>
      <c r="CS268">
        <f>IF($CQ268=0,"",AX268)</f>
        <v/>
      </c>
      <c r="CT268">
        <f>IF($CQ268=0,"",AY268)</f>
        <v/>
      </c>
      <c r="CU268">
        <f>IF($CR268="","",IF($CR268="Aloe Vera Gel","Aloe Vera Gel "&amp;$CT268&amp;"g",CS268&amp;" "&amp;$CT268&amp;"g"))</f>
        <v/>
      </c>
      <c r="CV268">
        <f>IF($CQ268=0,"",IF($CP268=$CU268,"Repeat Exact",IF($CT268&gt;$CO268,"Upsized",IF($CT268&lt;$CO268,"Downsized",IF($CM268&lt;&gt;$CR268,"Lateral","Same Size Diff Variant")))))</f>
        <v/>
      </c>
      <c r="CW268">
        <f>IF($CQ268=0,"",AZ268-AQ268)</f>
        <v/>
      </c>
      <c r="CX268">
        <f>IF($CQ268=0,0,IF(CS268=CN268,1,0))</f>
        <v/>
      </c>
      <c r="CY268">
        <f>IF($CQ268=0,0,IF(CR268=CM268,1,0))</f>
        <v/>
      </c>
      <c r="CZ268">
        <f>IF($A268="","",IF(AND(IF(DASHBOARD!$C$4="All",TRUE,$CM268=DASHBOARD!$C$4),IF(DASHBOARD!$C$6="All",TRUE,$CP268=DASHBOARD!$C$6),IF(DASHBOARD!$C$8="All",TRUE,$AF268&gt;=DASHBOARD!$C$8),IF(DASHBOARD!$C$10="All",TRUE,$AF268&lt;=DASHBOARD!$C$10),IF(DASHBOARD!$C$12="All",TRUE,$AH268=VALUE(DASHBOARD!$C$12)),IF(DASHBOARD!$C$14="All",TRUE,$AJ268=DASHBOARD!$C$14)),1,0))</f>
        <v/>
      </c>
    </row>
    <row r="269">
      <c r="A269" t="n">
        <v>157530</v>
      </c>
      <c r="B269" t="inlineStr">
        <is>
          <t>Face Malai</t>
        </is>
      </c>
      <c r="H269" t="inlineStr">
        <is>
          <t>Turmeric Nutmeg (Pigmentation)  Face Malai - 30g</t>
        </is>
      </c>
      <c r="N269" t="inlineStr">
        <is>
          <t>FC-DM-PG-030</t>
        </is>
      </c>
      <c r="T269" t="inlineStr">
        <is>
          <t>Apr 5, 2024</t>
        </is>
      </c>
      <c r="AE269" t="inlineStr">
        <is>
          <t>Gurgaon</t>
        </is>
      </c>
      <c r="AF269" t="inlineStr">
        <is>
          <t>2024-04</t>
        </is>
      </c>
      <c r="AG269" t="n">
        <v>4</v>
      </c>
      <c r="AH269" t="n">
        <v>1</v>
      </c>
      <c r="AI269" t="n">
        <v>0</v>
      </c>
      <c r="AJ269">
        <f>IF($AE269="","",IFERROR(VLOOKUP(TRIM($AE269),DECODE!$H$3:$I$60,2,FALSE),"Rest of India"))</f>
        <v/>
      </c>
      <c r="AK269">
        <f>IF($N269="","",UPPER(TRIM(LEFT($N269&amp;",",FIND(",",$N269&amp;",")-1))))</f>
        <v/>
      </c>
      <c r="AL269">
        <f>IF($AK269="","",MID($AK269,4,FIND("~",SUBSTITUTE($AK269,"-","~",2))-4))</f>
        <v/>
      </c>
      <c r="AM269">
        <f>IF($AK269="","",MID($AK269,FIND("~",SUBSTITUTE($AK269,"-","~",2))+1,FIND("~",SUBSTITUTE($AK269,"-","~",3))-FIND("~",SUBSTITUTE($AK269,"-","~",2))-1))</f>
        <v/>
      </c>
      <c r="AN269">
        <f>IF($AL269="","",IFERROR(VLOOKUP($AL269,DECODE!$A$3:$C$8,3,FALSE),"?"))</f>
        <v/>
      </c>
      <c r="AO269">
        <f>IF($AM269="","",IFERROR(VLOOKUP($AL269&amp;"-"&amp;$AM269,DECODE!$E$3:$F$21,2,FALSE),"?"))</f>
        <v/>
      </c>
      <c r="AP269">
        <f>IF($AK269="","",IFERROR(VALUE(RIGHT($AK269,3)),""))</f>
        <v/>
      </c>
      <c r="AQ269">
        <f>IF($T269="","",IFERROR(IF(ISNUMBER($T269),$T269,DATEVALUE(TRIM($T269))),""))</f>
        <v/>
      </c>
      <c r="AR269">
        <f>IF($AQ269="","",IF(MONTH($AQ269)&gt;=12,"Cold Winter",IF(MONTH($AQ269)&gt;=10,"Post-Monsoon",IF(MONTH($AQ269)&gt;=6,"Hot Humid",IF(MONTH($AQ269)&gt;=3,"Hot Dry","Cold Winter")))))</f>
        <v/>
      </c>
      <c r="AS269">
        <f>IF($AL269="","",IFERROR(VLOOKUP($AL269,DECODE!$A$3:$C$8,2,FALSE),"?"))</f>
        <v/>
      </c>
      <c r="AT269">
        <f>IF($O269="","",UPPER(TRIM(LEFT($O269&amp;",",FIND(",",$O269&amp;",")-1))))</f>
        <v/>
      </c>
      <c r="AU269">
        <f>IF($AT269="","",MID($AT269,4,FIND("~",SUBSTITUTE($AT269,"-","~",2))-4))</f>
        <v/>
      </c>
      <c r="AV269">
        <f>IF($AT269="","",MID($AT269,FIND("~",SUBSTITUTE($AT269,"-","~",2))+1,FIND("~",SUBSTITUTE($AT269,"-","~",3))-FIND("~",SUBSTITUTE($AT269,"-","~",2))-1))</f>
        <v/>
      </c>
      <c r="AW269">
        <f>IF($AU269="","",IFERROR(VLOOKUP($AU269,DECODE!$A$3:$C$8,3,FALSE),"?"))</f>
        <v/>
      </c>
      <c r="AX269">
        <f>IF($AV269="","",IFERROR(VLOOKUP($AU269&amp;"-"&amp;$AV269,DECODE!$E$3:$F$21,2,FALSE),"?"))</f>
        <v/>
      </c>
      <c r="AY269">
        <f>IF($AT269="","",IFERROR(VALUE(RIGHT($AT269,3)),""))</f>
        <v/>
      </c>
      <c r="AZ269">
        <f>IF($U269="","",IFERROR(IF(ISNUMBER($U269),$U269,DATEVALUE(TRIM($U269))),""))</f>
        <v/>
      </c>
      <c r="BA269">
        <f>IF($AZ269="","",IF(MONTH($AZ269)&gt;=12,"Cold Winter",IF(MONTH($AZ269)&gt;=10,"Post-Monsoon",IF(MONTH($AZ269)&gt;=6,"Hot Humid",IF(MONTH($AZ269)&gt;=3,"Hot Dry","Cold Winter")))))</f>
        <v/>
      </c>
      <c r="BB269">
        <f>IF($AU269="","",IFERROR(VLOOKUP($AU269,DECODE!$A$3:$C$8,2,FALSE),"?"))</f>
        <v/>
      </c>
      <c r="BC269">
        <f>IF($P269="","",UPPER(TRIM(LEFT($P269&amp;",",FIND(",",$P269&amp;",")-1))))</f>
        <v/>
      </c>
      <c r="BD269">
        <f>IF($BC269="","",MID($BC269,4,FIND("~",SUBSTITUTE($BC269,"-","~",2))-4))</f>
        <v/>
      </c>
      <c r="BE269">
        <f>IF($BC269="","",MID($BC269,FIND("~",SUBSTITUTE($BC269,"-","~",2))+1,FIND("~",SUBSTITUTE($BC269,"-","~",3))-FIND("~",SUBSTITUTE($BC269,"-","~",2))-1))</f>
        <v/>
      </c>
      <c r="BF269">
        <f>IF($BD269="","",IFERROR(VLOOKUP($BD269,DECODE!$A$3:$C$8,3,FALSE),"?"))</f>
        <v/>
      </c>
      <c r="BG269">
        <f>IF($BE269="","",IFERROR(VLOOKUP($BD269&amp;"-"&amp;$BE269,DECODE!$E$3:$F$21,2,FALSE),"?"))</f>
        <v/>
      </c>
      <c r="BH269">
        <f>IF($BC269="","",IFERROR(VALUE(RIGHT($BC269,3)),""))</f>
        <v/>
      </c>
      <c r="BI269">
        <f>IF($V269="","",IFERROR(IF(ISNUMBER($V269),$V269,DATEVALUE(TRIM($V269))),""))</f>
        <v/>
      </c>
      <c r="BJ269">
        <f>IF($BI269="","",IF(MONTH($BI269)&gt;=12,"Cold Winter",IF(MONTH($BI269)&gt;=10,"Post-Monsoon",IF(MONTH($BI269)&gt;=6,"Hot Humid",IF(MONTH($BI269)&gt;=3,"Hot Dry","Cold Winter")))))</f>
        <v/>
      </c>
      <c r="BK269">
        <f>IF($BD269="","",IFERROR(VLOOKUP($BD269,DECODE!$A$3:$C$8,2,FALSE),"?"))</f>
        <v/>
      </c>
      <c r="BL269">
        <f>IF($Q269="","",UPPER(TRIM(LEFT($Q269&amp;",",FIND(",",$Q269&amp;",")-1))))</f>
        <v/>
      </c>
      <c r="BM269">
        <f>IF($BL269="","",MID($BL269,4,FIND("~",SUBSTITUTE($BL269,"-","~",2))-4))</f>
        <v/>
      </c>
      <c r="BN269">
        <f>IF($BL269="","",MID($BL269,FIND("~",SUBSTITUTE($BL269,"-","~",2))+1,FIND("~",SUBSTITUTE($BL269,"-","~",3))-FIND("~",SUBSTITUTE($BL269,"-","~",2))-1))</f>
        <v/>
      </c>
      <c r="BO269">
        <f>IF($BM269="","",IFERROR(VLOOKUP($BM269,DECODE!$A$3:$C$8,3,FALSE),"?"))</f>
        <v/>
      </c>
      <c r="BP269">
        <f>IF($BN269="","",IFERROR(VLOOKUP($BM269&amp;"-"&amp;$BN269,DECODE!$E$3:$F$21,2,FALSE),"?"))</f>
        <v/>
      </c>
      <c r="BQ269">
        <f>IF($BL269="","",IFERROR(VALUE(RIGHT($BL269,3)),""))</f>
        <v/>
      </c>
      <c r="BR269">
        <f>IF($W269="","",IFERROR(IF(ISNUMBER($W269),$W269,DATEVALUE(TRIM($W269))),""))</f>
        <v/>
      </c>
      <c r="BS269">
        <f>IF($BR269="","",IF(MONTH($BR269)&gt;=12,"Cold Winter",IF(MONTH($BR269)&gt;=10,"Post-Monsoon",IF(MONTH($BR269)&gt;=6,"Hot Humid",IF(MONTH($BR269)&gt;=3,"Hot Dry","Cold Winter")))))</f>
        <v/>
      </c>
      <c r="BT269">
        <f>IF($BM269="","",IFERROR(VLOOKUP($BM269,DECODE!$A$3:$C$8,2,FALSE),"?"))</f>
        <v/>
      </c>
      <c r="BU269">
        <f>IF($R269="","",UPPER(TRIM(LEFT($R269&amp;",",FIND(",",$R269&amp;",")-1))))</f>
        <v/>
      </c>
      <c r="BV269">
        <f>IF($BU269="","",MID($BU269,4,FIND("~",SUBSTITUTE($BU269,"-","~",2))-4))</f>
        <v/>
      </c>
      <c r="BW269">
        <f>IF($BU269="","",MID($BU269,FIND("~",SUBSTITUTE($BU269,"-","~",2))+1,FIND("~",SUBSTITUTE($BU269,"-","~",3))-FIND("~",SUBSTITUTE($BU269,"-","~",2))-1))</f>
        <v/>
      </c>
      <c r="BX269">
        <f>IF($BV269="","",IFERROR(VLOOKUP($BV269,DECODE!$A$3:$C$8,3,FALSE),"?"))</f>
        <v/>
      </c>
      <c r="BY269">
        <f>IF($BW269="","",IFERROR(VLOOKUP($BV269&amp;"-"&amp;$BW269,DECODE!$E$3:$F$21,2,FALSE),"?"))</f>
        <v/>
      </c>
      <c r="BZ269">
        <f>IF($BU269="","",IFERROR(VALUE(RIGHT($BU269,3)),""))</f>
        <v/>
      </c>
      <c r="CA269">
        <f>IF($X269="","",IFERROR(IF(ISNUMBER($X269),$X269,DATEVALUE(TRIM($X269))),""))</f>
        <v/>
      </c>
      <c r="CB269">
        <f>IF($CA269="","",IF(MONTH($CA269)&gt;=12,"Cold Winter",IF(MONTH($CA269)&gt;=10,"Post-Monsoon",IF(MONTH($CA269)&gt;=6,"Hot Humid",IF(MONTH($CA269)&gt;=3,"Hot Dry","Cold Winter")))))</f>
        <v/>
      </c>
      <c r="CC269">
        <f>IF($BV269="","",IFERROR(VLOOKUP($BV269,DECODE!$A$3:$C$8,2,FALSE),"?"))</f>
        <v/>
      </c>
      <c r="CD269">
        <f>IF($S269="","",UPPER(TRIM(LEFT($S269&amp;",",FIND(",",$S269&amp;",")-1))))</f>
        <v/>
      </c>
      <c r="CE269">
        <f>IF($CD269="","",MID($CD269,4,FIND("~",SUBSTITUTE($CD269,"-","~",2))-4))</f>
        <v/>
      </c>
      <c r="CF269">
        <f>IF($CD269="","",MID($CD269,FIND("~",SUBSTITUTE($CD269,"-","~",2))+1,FIND("~",SUBSTITUTE($CD269,"-","~",3))-FIND("~",SUBSTITUTE($CD269,"-","~",2))-1))</f>
        <v/>
      </c>
      <c r="CG269">
        <f>IF($CE269="","",IFERROR(VLOOKUP($CE269,DECODE!$A$3:$C$8,3,FALSE),"?"))</f>
        <v/>
      </c>
      <c r="CH269">
        <f>IF($CF269="","",IFERROR(VLOOKUP($CE269&amp;"-"&amp;$CF269,DECODE!$E$3:$F$21,2,FALSE),"?"))</f>
        <v/>
      </c>
      <c r="CI269">
        <f>IF($CD269="","",IFERROR(VALUE(RIGHT($CD269,3)),""))</f>
        <v/>
      </c>
      <c r="CJ269">
        <f>IF($Y269="","",IFERROR(IF(ISNUMBER($Y269),$Y269,DATEVALUE(TRIM($Y269))),""))</f>
        <v/>
      </c>
      <c r="CK269">
        <f>IF($CJ269="","",IF(MONTH($CJ269)&gt;=12,"Cold Winter",IF(MONTH($CJ269)&gt;=10,"Post-Monsoon",IF(MONTH($CJ269)&gt;=6,"Hot Humid",IF(MONTH($CJ269)&gt;=3,"Hot Dry","Cold Winter")))))</f>
        <v/>
      </c>
      <c r="CL269">
        <f>IF($CE269="","",IFERROR(VLOOKUP($CE269,DECODE!$A$3:$C$8,2,FALSE),"?"))</f>
        <v/>
      </c>
      <c r="CM269">
        <f>IF($AN269="","",AN269)</f>
        <v/>
      </c>
      <c r="CN269">
        <f>IF($AO269="","",AO269)</f>
        <v/>
      </c>
      <c r="CO269">
        <f>IF($AP269="","",AP269)</f>
        <v/>
      </c>
      <c r="CP269">
        <f>IF($CM269="","",IF($CM269="Aloe Vera Gel","Aloe Vera Gel "&amp;$CO269&amp;"g",CN269&amp;" "&amp;$CO269&amp;"g"))</f>
        <v/>
      </c>
      <c r="CQ269">
        <f>IF($AT269="",0,1)</f>
        <v/>
      </c>
      <c r="CR269">
        <f>IF($CQ269=0,"",AW269)</f>
        <v/>
      </c>
      <c r="CS269">
        <f>IF($CQ269=0,"",AX269)</f>
        <v/>
      </c>
      <c r="CT269">
        <f>IF($CQ269=0,"",AY269)</f>
        <v/>
      </c>
      <c r="CU269">
        <f>IF($CR269="","",IF($CR269="Aloe Vera Gel","Aloe Vera Gel "&amp;$CT269&amp;"g",CS269&amp;" "&amp;$CT269&amp;"g"))</f>
        <v/>
      </c>
      <c r="CV269">
        <f>IF($CQ269=0,"",IF($CP269=$CU269,"Repeat Exact",IF($CT269&gt;$CO269,"Upsized",IF($CT269&lt;$CO269,"Downsized",IF($CM269&lt;&gt;$CR269,"Lateral","Same Size Diff Variant")))))</f>
        <v/>
      </c>
      <c r="CW269">
        <f>IF($CQ269=0,"",AZ269-AQ269)</f>
        <v/>
      </c>
      <c r="CX269">
        <f>IF($CQ269=0,0,IF(CS269=CN269,1,0))</f>
        <v/>
      </c>
      <c r="CY269">
        <f>IF($CQ269=0,0,IF(CR269=CM269,1,0))</f>
        <v/>
      </c>
      <c r="CZ269">
        <f>IF($A269="","",IF(AND(IF(DASHBOARD!$C$4="All",TRUE,$CM269=DASHBOARD!$C$4),IF(DASHBOARD!$C$6="All",TRUE,$CP269=DASHBOARD!$C$6),IF(DASHBOARD!$C$8="All",TRUE,$AF269&gt;=DASHBOARD!$C$8),IF(DASHBOARD!$C$10="All",TRUE,$AF269&lt;=DASHBOARD!$C$10),IF(DASHBOARD!$C$12="All",TRUE,$AH269=VALUE(DASHBOARD!$C$12)),IF(DASHBOARD!$C$14="All",TRUE,$AJ269=DASHBOARD!$C$14)),1,0))</f>
        <v/>
      </c>
    </row>
    <row r="270">
      <c r="A270" t="n">
        <v>157592</v>
      </c>
      <c r="B270" t="inlineStr">
        <is>
          <t>Aloe Vera Gel</t>
        </is>
      </c>
      <c r="H270" t="inlineStr">
        <is>
          <t>Aloe Vera Gel - 80 gms</t>
        </is>
      </c>
      <c r="N270" t="inlineStr">
        <is>
          <t>FC-HG-PA-080</t>
        </is>
      </c>
      <c r="T270" t="inlineStr">
        <is>
          <t>May 18, 2026</t>
        </is>
      </c>
      <c r="AE270" t="inlineStr">
        <is>
          <t>Bengaluru</t>
        </is>
      </c>
      <c r="AF270" t="inlineStr">
        <is>
          <t>2026-05</t>
        </is>
      </c>
      <c r="AG270" t="n">
        <v>5</v>
      </c>
      <c r="AH270" t="n">
        <v>1</v>
      </c>
      <c r="AI270" t="n">
        <v>0</v>
      </c>
      <c r="AJ270">
        <f>IF($AE270="","",IFERROR(VLOOKUP(TRIM($AE270),DECODE!$H$3:$I$60,2,FALSE),"Rest of India"))</f>
        <v/>
      </c>
      <c r="AK270">
        <f>IF($N270="","",UPPER(TRIM(LEFT($N270&amp;",",FIND(",",$N270&amp;",")-1))))</f>
        <v/>
      </c>
      <c r="AL270">
        <f>IF($AK270="","",MID($AK270,4,FIND("~",SUBSTITUTE($AK270,"-","~",2))-4))</f>
        <v/>
      </c>
      <c r="AM270">
        <f>IF($AK270="","",MID($AK270,FIND("~",SUBSTITUTE($AK270,"-","~",2))+1,FIND("~",SUBSTITUTE($AK270,"-","~",3))-FIND("~",SUBSTITUTE($AK270,"-","~",2))-1))</f>
        <v/>
      </c>
      <c r="AN270">
        <f>IF($AL270="","",IFERROR(VLOOKUP($AL270,DECODE!$A$3:$C$8,3,FALSE),"?"))</f>
        <v/>
      </c>
      <c r="AO270">
        <f>IF($AM270="","",IFERROR(VLOOKUP($AL270&amp;"-"&amp;$AM270,DECODE!$E$3:$F$21,2,FALSE),"?"))</f>
        <v/>
      </c>
      <c r="AP270">
        <f>IF($AK270="","",IFERROR(VALUE(RIGHT($AK270,3)),""))</f>
        <v/>
      </c>
      <c r="AQ270">
        <f>IF($T270="","",IFERROR(IF(ISNUMBER($T270),$T270,DATEVALUE(TRIM($T270))),""))</f>
        <v/>
      </c>
      <c r="AR270">
        <f>IF($AQ270="","",IF(MONTH($AQ270)&gt;=12,"Cold Winter",IF(MONTH($AQ270)&gt;=10,"Post-Monsoon",IF(MONTH($AQ270)&gt;=6,"Hot Humid",IF(MONTH($AQ270)&gt;=3,"Hot Dry","Cold Winter")))))</f>
        <v/>
      </c>
      <c r="AS270">
        <f>IF($AL270="","",IFERROR(VLOOKUP($AL270,DECODE!$A$3:$C$8,2,FALSE),"?"))</f>
        <v/>
      </c>
      <c r="AT270">
        <f>IF($O270="","",UPPER(TRIM(LEFT($O270&amp;",",FIND(",",$O270&amp;",")-1))))</f>
        <v/>
      </c>
      <c r="AU270">
        <f>IF($AT270="","",MID($AT270,4,FIND("~",SUBSTITUTE($AT270,"-","~",2))-4))</f>
        <v/>
      </c>
      <c r="AV270">
        <f>IF($AT270="","",MID($AT270,FIND("~",SUBSTITUTE($AT270,"-","~",2))+1,FIND("~",SUBSTITUTE($AT270,"-","~",3))-FIND("~",SUBSTITUTE($AT270,"-","~",2))-1))</f>
        <v/>
      </c>
      <c r="AW270">
        <f>IF($AU270="","",IFERROR(VLOOKUP($AU270,DECODE!$A$3:$C$8,3,FALSE),"?"))</f>
        <v/>
      </c>
      <c r="AX270">
        <f>IF($AV270="","",IFERROR(VLOOKUP($AU270&amp;"-"&amp;$AV270,DECODE!$E$3:$F$21,2,FALSE),"?"))</f>
        <v/>
      </c>
      <c r="AY270">
        <f>IF($AT270="","",IFERROR(VALUE(RIGHT($AT270,3)),""))</f>
        <v/>
      </c>
      <c r="AZ270">
        <f>IF($U270="","",IFERROR(IF(ISNUMBER($U270),$U270,DATEVALUE(TRIM($U270))),""))</f>
        <v/>
      </c>
      <c r="BA270">
        <f>IF($AZ270="","",IF(MONTH($AZ270)&gt;=12,"Cold Winter",IF(MONTH($AZ270)&gt;=10,"Post-Monsoon",IF(MONTH($AZ270)&gt;=6,"Hot Humid",IF(MONTH($AZ270)&gt;=3,"Hot Dry","Cold Winter")))))</f>
        <v/>
      </c>
      <c r="BB270">
        <f>IF($AU270="","",IFERROR(VLOOKUP($AU270,DECODE!$A$3:$C$8,2,FALSE),"?"))</f>
        <v/>
      </c>
      <c r="BC270">
        <f>IF($P270="","",UPPER(TRIM(LEFT($P270&amp;",",FIND(",",$P270&amp;",")-1))))</f>
        <v/>
      </c>
      <c r="BD270">
        <f>IF($BC270="","",MID($BC270,4,FIND("~",SUBSTITUTE($BC270,"-","~",2))-4))</f>
        <v/>
      </c>
      <c r="BE270">
        <f>IF($BC270="","",MID($BC270,FIND("~",SUBSTITUTE($BC270,"-","~",2))+1,FIND("~",SUBSTITUTE($BC270,"-","~",3))-FIND("~",SUBSTITUTE($BC270,"-","~",2))-1))</f>
        <v/>
      </c>
      <c r="BF270">
        <f>IF($BD270="","",IFERROR(VLOOKUP($BD270,DECODE!$A$3:$C$8,3,FALSE),"?"))</f>
        <v/>
      </c>
      <c r="BG270">
        <f>IF($BE270="","",IFERROR(VLOOKUP($BD270&amp;"-"&amp;$BE270,DECODE!$E$3:$F$21,2,FALSE),"?"))</f>
        <v/>
      </c>
      <c r="BH270">
        <f>IF($BC270="","",IFERROR(VALUE(RIGHT($BC270,3)),""))</f>
        <v/>
      </c>
      <c r="BI270">
        <f>IF($V270="","",IFERROR(IF(ISNUMBER($V270),$V270,DATEVALUE(TRIM($V270))),""))</f>
        <v/>
      </c>
      <c r="BJ270">
        <f>IF($BI270="","",IF(MONTH($BI270)&gt;=12,"Cold Winter",IF(MONTH($BI270)&gt;=10,"Post-Monsoon",IF(MONTH($BI270)&gt;=6,"Hot Humid",IF(MONTH($BI270)&gt;=3,"Hot Dry","Cold Winter")))))</f>
        <v/>
      </c>
      <c r="BK270">
        <f>IF($BD270="","",IFERROR(VLOOKUP($BD270,DECODE!$A$3:$C$8,2,FALSE),"?"))</f>
        <v/>
      </c>
      <c r="BL270">
        <f>IF($Q270="","",UPPER(TRIM(LEFT($Q270&amp;",",FIND(",",$Q270&amp;",")-1))))</f>
        <v/>
      </c>
      <c r="BM270">
        <f>IF($BL270="","",MID($BL270,4,FIND("~",SUBSTITUTE($BL270,"-","~",2))-4))</f>
        <v/>
      </c>
      <c r="BN270">
        <f>IF($BL270="","",MID($BL270,FIND("~",SUBSTITUTE($BL270,"-","~",2))+1,FIND("~",SUBSTITUTE($BL270,"-","~",3))-FIND("~",SUBSTITUTE($BL270,"-","~",2))-1))</f>
        <v/>
      </c>
      <c r="BO270">
        <f>IF($BM270="","",IFERROR(VLOOKUP($BM270,DECODE!$A$3:$C$8,3,FALSE),"?"))</f>
        <v/>
      </c>
      <c r="BP270">
        <f>IF($BN270="","",IFERROR(VLOOKUP($BM270&amp;"-"&amp;$BN270,DECODE!$E$3:$F$21,2,FALSE),"?"))</f>
        <v/>
      </c>
      <c r="BQ270">
        <f>IF($BL270="","",IFERROR(VALUE(RIGHT($BL270,3)),""))</f>
        <v/>
      </c>
      <c r="BR270">
        <f>IF($W270="","",IFERROR(IF(ISNUMBER($W270),$W270,DATEVALUE(TRIM($W270))),""))</f>
        <v/>
      </c>
      <c r="BS270">
        <f>IF($BR270="","",IF(MONTH($BR270)&gt;=12,"Cold Winter",IF(MONTH($BR270)&gt;=10,"Post-Monsoon",IF(MONTH($BR270)&gt;=6,"Hot Humid",IF(MONTH($BR270)&gt;=3,"Hot Dry","Cold Winter")))))</f>
        <v/>
      </c>
      <c r="BT270">
        <f>IF($BM270="","",IFERROR(VLOOKUP($BM270,DECODE!$A$3:$C$8,2,FALSE),"?"))</f>
        <v/>
      </c>
      <c r="BU270">
        <f>IF($R270="","",UPPER(TRIM(LEFT($R270&amp;",",FIND(",",$R270&amp;",")-1))))</f>
        <v/>
      </c>
      <c r="BV270">
        <f>IF($BU270="","",MID($BU270,4,FIND("~",SUBSTITUTE($BU270,"-","~",2))-4))</f>
        <v/>
      </c>
      <c r="BW270">
        <f>IF($BU270="","",MID($BU270,FIND("~",SUBSTITUTE($BU270,"-","~",2))+1,FIND("~",SUBSTITUTE($BU270,"-","~",3))-FIND("~",SUBSTITUTE($BU270,"-","~",2))-1))</f>
        <v/>
      </c>
      <c r="BX270">
        <f>IF($BV270="","",IFERROR(VLOOKUP($BV270,DECODE!$A$3:$C$8,3,FALSE),"?"))</f>
        <v/>
      </c>
      <c r="BY270">
        <f>IF($BW270="","",IFERROR(VLOOKUP($BV270&amp;"-"&amp;$BW270,DECODE!$E$3:$F$21,2,FALSE),"?"))</f>
        <v/>
      </c>
      <c r="BZ270">
        <f>IF($BU270="","",IFERROR(VALUE(RIGHT($BU270,3)),""))</f>
        <v/>
      </c>
      <c r="CA270">
        <f>IF($X270="","",IFERROR(IF(ISNUMBER($X270),$X270,DATEVALUE(TRIM($X270))),""))</f>
        <v/>
      </c>
      <c r="CB270">
        <f>IF($CA270="","",IF(MONTH($CA270)&gt;=12,"Cold Winter",IF(MONTH($CA270)&gt;=10,"Post-Monsoon",IF(MONTH($CA270)&gt;=6,"Hot Humid",IF(MONTH($CA270)&gt;=3,"Hot Dry","Cold Winter")))))</f>
        <v/>
      </c>
      <c r="CC270">
        <f>IF($BV270="","",IFERROR(VLOOKUP($BV270,DECODE!$A$3:$C$8,2,FALSE),"?"))</f>
        <v/>
      </c>
      <c r="CD270">
        <f>IF($S270="","",UPPER(TRIM(LEFT($S270&amp;",",FIND(",",$S270&amp;",")-1))))</f>
        <v/>
      </c>
      <c r="CE270">
        <f>IF($CD270="","",MID($CD270,4,FIND("~",SUBSTITUTE($CD270,"-","~",2))-4))</f>
        <v/>
      </c>
      <c r="CF270">
        <f>IF($CD270="","",MID($CD270,FIND("~",SUBSTITUTE($CD270,"-","~",2))+1,FIND("~",SUBSTITUTE($CD270,"-","~",3))-FIND("~",SUBSTITUTE($CD270,"-","~",2))-1))</f>
        <v/>
      </c>
      <c r="CG270">
        <f>IF($CE270="","",IFERROR(VLOOKUP($CE270,DECODE!$A$3:$C$8,3,FALSE),"?"))</f>
        <v/>
      </c>
      <c r="CH270">
        <f>IF($CF270="","",IFERROR(VLOOKUP($CE270&amp;"-"&amp;$CF270,DECODE!$E$3:$F$21,2,FALSE),"?"))</f>
        <v/>
      </c>
      <c r="CI270">
        <f>IF($CD270="","",IFERROR(VALUE(RIGHT($CD270,3)),""))</f>
        <v/>
      </c>
      <c r="CJ270">
        <f>IF($Y270="","",IFERROR(IF(ISNUMBER($Y270),$Y270,DATEVALUE(TRIM($Y270))),""))</f>
        <v/>
      </c>
      <c r="CK270">
        <f>IF($CJ270="","",IF(MONTH($CJ270)&gt;=12,"Cold Winter",IF(MONTH($CJ270)&gt;=10,"Post-Monsoon",IF(MONTH($CJ270)&gt;=6,"Hot Humid",IF(MONTH($CJ270)&gt;=3,"Hot Dry","Cold Winter")))))</f>
        <v/>
      </c>
      <c r="CL270">
        <f>IF($CE270="","",IFERROR(VLOOKUP($CE270,DECODE!$A$3:$C$8,2,FALSE),"?"))</f>
        <v/>
      </c>
      <c r="CM270">
        <f>IF($AN270="","",AN270)</f>
        <v/>
      </c>
      <c r="CN270">
        <f>IF($AO270="","",AO270)</f>
        <v/>
      </c>
      <c r="CO270">
        <f>IF($AP270="","",AP270)</f>
        <v/>
      </c>
      <c r="CP270">
        <f>IF($CM270="","",IF($CM270="Aloe Vera Gel","Aloe Vera Gel "&amp;$CO270&amp;"g",CN270&amp;" "&amp;$CO270&amp;"g"))</f>
        <v/>
      </c>
      <c r="CQ270">
        <f>IF($AT270="",0,1)</f>
        <v/>
      </c>
      <c r="CR270">
        <f>IF($CQ270=0,"",AW270)</f>
        <v/>
      </c>
      <c r="CS270">
        <f>IF($CQ270=0,"",AX270)</f>
        <v/>
      </c>
      <c r="CT270">
        <f>IF($CQ270=0,"",AY270)</f>
        <v/>
      </c>
      <c r="CU270">
        <f>IF($CR270="","",IF($CR270="Aloe Vera Gel","Aloe Vera Gel "&amp;$CT270&amp;"g",CS270&amp;" "&amp;$CT270&amp;"g"))</f>
        <v/>
      </c>
      <c r="CV270">
        <f>IF($CQ270=0,"",IF($CP270=$CU270,"Repeat Exact",IF($CT270&gt;$CO270,"Upsized",IF($CT270&lt;$CO270,"Downsized",IF($CM270&lt;&gt;$CR270,"Lateral","Same Size Diff Variant")))))</f>
        <v/>
      </c>
      <c r="CW270">
        <f>IF($CQ270=0,"",AZ270-AQ270)</f>
        <v/>
      </c>
      <c r="CX270">
        <f>IF($CQ270=0,0,IF(CS270=CN270,1,0))</f>
        <v/>
      </c>
      <c r="CY270">
        <f>IF($CQ270=0,0,IF(CR270=CM270,1,0))</f>
        <v/>
      </c>
      <c r="CZ270">
        <f>IF($A270="","",IF(AND(IF(DASHBOARD!$C$4="All",TRUE,$CM270=DASHBOARD!$C$4),IF(DASHBOARD!$C$6="All",TRUE,$CP270=DASHBOARD!$C$6),IF(DASHBOARD!$C$8="All",TRUE,$AF270&gt;=DASHBOARD!$C$8),IF(DASHBOARD!$C$10="All",TRUE,$AF270&lt;=DASHBOARD!$C$10),IF(DASHBOARD!$C$12="All",TRUE,$AH270=VALUE(DASHBOARD!$C$12)),IF(DASHBOARD!$C$14="All",TRUE,$AJ270=DASHBOARD!$C$14)),1,0))</f>
        <v/>
      </c>
    </row>
    <row r="271">
      <c r="A271" t="n">
        <v>158127</v>
      </c>
      <c r="B271" t="inlineStr">
        <is>
          <t>Active Gel</t>
        </is>
      </c>
      <c r="H271" t="inlineStr">
        <is>
          <t>Active Aloe Cactus Hydra Lift Gel</t>
        </is>
      </c>
      <c r="N271" t="inlineStr">
        <is>
          <t>FC-AC-AC-050</t>
        </is>
      </c>
      <c r="T271" t="inlineStr">
        <is>
          <t>Apr 15, 2024</t>
        </is>
      </c>
      <c r="AE271" t="inlineStr">
        <is>
          <t>Mumbai</t>
        </is>
      </c>
      <c r="AF271" t="inlineStr">
        <is>
          <t>2024-04</t>
        </is>
      </c>
      <c r="AG271" t="n">
        <v>4</v>
      </c>
      <c r="AH271" t="n">
        <v>1</v>
      </c>
      <c r="AI271" t="n">
        <v>0</v>
      </c>
      <c r="AJ271">
        <f>IF($AE271="","",IFERROR(VLOOKUP(TRIM($AE271),DECODE!$H$3:$I$60,2,FALSE),"Rest of India"))</f>
        <v/>
      </c>
      <c r="AK271">
        <f>IF($N271="","",UPPER(TRIM(LEFT($N271&amp;",",FIND(",",$N271&amp;",")-1))))</f>
        <v/>
      </c>
      <c r="AL271">
        <f>IF($AK271="","",MID($AK271,4,FIND("~",SUBSTITUTE($AK271,"-","~",2))-4))</f>
        <v/>
      </c>
      <c r="AM271">
        <f>IF($AK271="","",MID($AK271,FIND("~",SUBSTITUTE($AK271,"-","~",2))+1,FIND("~",SUBSTITUTE($AK271,"-","~",3))-FIND("~",SUBSTITUTE($AK271,"-","~",2))-1))</f>
        <v/>
      </c>
      <c r="AN271">
        <f>IF($AL271="","",IFERROR(VLOOKUP($AL271,DECODE!$A$3:$C$8,3,FALSE),"?"))</f>
        <v/>
      </c>
      <c r="AO271">
        <f>IF($AM271="","",IFERROR(VLOOKUP($AL271&amp;"-"&amp;$AM271,DECODE!$E$3:$F$21,2,FALSE),"?"))</f>
        <v/>
      </c>
      <c r="AP271">
        <f>IF($AK271="","",IFERROR(VALUE(RIGHT($AK271,3)),""))</f>
        <v/>
      </c>
      <c r="AQ271">
        <f>IF($T271="","",IFERROR(IF(ISNUMBER($T271),$T271,DATEVALUE(TRIM($T271))),""))</f>
        <v/>
      </c>
      <c r="AR271">
        <f>IF($AQ271="","",IF(MONTH($AQ271)&gt;=12,"Cold Winter",IF(MONTH($AQ271)&gt;=10,"Post-Monsoon",IF(MONTH($AQ271)&gt;=6,"Hot Humid",IF(MONTH($AQ271)&gt;=3,"Hot Dry","Cold Winter")))))</f>
        <v/>
      </c>
      <c r="AS271">
        <f>IF($AL271="","",IFERROR(VLOOKUP($AL271,DECODE!$A$3:$C$8,2,FALSE),"?"))</f>
        <v/>
      </c>
      <c r="AT271">
        <f>IF($O271="","",UPPER(TRIM(LEFT($O271&amp;",",FIND(",",$O271&amp;",")-1))))</f>
        <v/>
      </c>
      <c r="AU271">
        <f>IF($AT271="","",MID($AT271,4,FIND("~",SUBSTITUTE($AT271,"-","~",2))-4))</f>
        <v/>
      </c>
      <c r="AV271">
        <f>IF($AT271="","",MID($AT271,FIND("~",SUBSTITUTE($AT271,"-","~",2))+1,FIND("~",SUBSTITUTE($AT271,"-","~",3))-FIND("~",SUBSTITUTE($AT271,"-","~",2))-1))</f>
        <v/>
      </c>
      <c r="AW271">
        <f>IF($AU271="","",IFERROR(VLOOKUP($AU271,DECODE!$A$3:$C$8,3,FALSE),"?"))</f>
        <v/>
      </c>
      <c r="AX271">
        <f>IF($AV271="","",IFERROR(VLOOKUP($AU271&amp;"-"&amp;$AV271,DECODE!$E$3:$F$21,2,FALSE),"?"))</f>
        <v/>
      </c>
      <c r="AY271">
        <f>IF($AT271="","",IFERROR(VALUE(RIGHT($AT271,3)),""))</f>
        <v/>
      </c>
      <c r="AZ271">
        <f>IF($U271="","",IFERROR(IF(ISNUMBER($U271),$U271,DATEVALUE(TRIM($U271))),""))</f>
        <v/>
      </c>
      <c r="BA271">
        <f>IF($AZ271="","",IF(MONTH($AZ271)&gt;=12,"Cold Winter",IF(MONTH($AZ271)&gt;=10,"Post-Monsoon",IF(MONTH($AZ271)&gt;=6,"Hot Humid",IF(MONTH($AZ271)&gt;=3,"Hot Dry","Cold Winter")))))</f>
        <v/>
      </c>
      <c r="BB271">
        <f>IF($AU271="","",IFERROR(VLOOKUP($AU271,DECODE!$A$3:$C$8,2,FALSE),"?"))</f>
        <v/>
      </c>
      <c r="BC271">
        <f>IF($P271="","",UPPER(TRIM(LEFT($P271&amp;",",FIND(",",$P271&amp;",")-1))))</f>
        <v/>
      </c>
      <c r="BD271">
        <f>IF($BC271="","",MID($BC271,4,FIND("~",SUBSTITUTE($BC271,"-","~",2))-4))</f>
        <v/>
      </c>
      <c r="BE271">
        <f>IF($BC271="","",MID($BC271,FIND("~",SUBSTITUTE($BC271,"-","~",2))+1,FIND("~",SUBSTITUTE($BC271,"-","~",3))-FIND("~",SUBSTITUTE($BC271,"-","~",2))-1))</f>
        <v/>
      </c>
      <c r="BF271">
        <f>IF($BD271="","",IFERROR(VLOOKUP($BD271,DECODE!$A$3:$C$8,3,FALSE),"?"))</f>
        <v/>
      </c>
      <c r="BG271">
        <f>IF($BE271="","",IFERROR(VLOOKUP($BD271&amp;"-"&amp;$BE271,DECODE!$E$3:$F$21,2,FALSE),"?"))</f>
        <v/>
      </c>
      <c r="BH271">
        <f>IF($BC271="","",IFERROR(VALUE(RIGHT($BC271,3)),""))</f>
        <v/>
      </c>
      <c r="BI271">
        <f>IF($V271="","",IFERROR(IF(ISNUMBER($V271),$V271,DATEVALUE(TRIM($V271))),""))</f>
        <v/>
      </c>
      <c r="BJ271">
        <f>IF($BI271="","",IF(MONTH($BI271)&gt;=12,"Cold Winter",IF(MONTH($BI271)&gt;=10,"Post-Monsoon",IF(MONTH($BI271)&gt;=6,"Hot Humid",IF(MONTH($BI271)&gt;=3,"Hot Dry","Cold Winter")))))</f>
        <v/>
      </c>
      <c r="BK271">
        <f>IF($BD271="","",IFERROR(VLOOKUP($BD271,DECODE!$A$3:$C$8,2,FALSE),"?"))</f>
        <v/>
      </c>
      <c r="BL271">
        <f>IF($Q271="","",UPPER(TRIM(LEFT($Q271&amp;",",FIND(",",$Q271&amp;",")-1))))</f>
        <v/>
      </c>
      <c r="BM271">
        <f>IF($BL271="","",MID($BL271,4,FIND("~",SUBSTITUTE($BL271,"-","~",2))-4))</f>
        <v/>
      </c>
      <c r="BN271">
        <f>IF($BL271="","",MID($BL271,FIND("~",SUBSTITUTE($BL271,"-","~",2))+1,FIND("~",SUBSTITUTE($BL271,"-","~",3))-FIND("~",SUBSTITUTE($BL271,"-","~",2))-1))</f>
        <v/>
      </c>
      <c r="BO271">
        <f>IF($BM271="","",IFERROR(VLOOKUP($BM271,DECODE!$A$3:$C$8,3,FALSE),"?"))</f>
        <v/>
      </c>
      <c r="BP271">
        <f>IF($BN271="","",IFERROR(VLOOKUP($BM271&amp;"-"&amp;$BN271,DECODE!$E$3:$F$21,2,FALSE),"?"))</f>
        <v/>
      </c>
      <c r="BQ271">
        <f>IF($BL271="","",IFERROR(VALUE(RIGHT($BL271,3)),""))</f>
        <v/>
      </c>
      <c r="BR271">
        <f>IF($W271="","",IFERROR(IF(ISNUMBER($W271),$W271,DATEVALUE(TRIM($W271))),""))</f>
        <v/>
      </c>
      <c r="BS271">
        <f>IF($BR271="","",IF(MONTH($BR271)&gt;=12,"Cold Winter",IF(MONTH($BR271)&gt;=10,"Post-Monsoon",IF(MONTH($BR271)&gt;=6,"Hot Humid",IF(MONTH($BR271)&gt;=3,"Hot Dry","Cold Winter")))))</f>
        <v/>
      </c>
      <c r="BT271">
        <f>IF($BM271="","",IFERROR(VLOOKUP($BM271,DECODE!$A$3:$C$8,2,FALSE),"?"))</f>
        <v/>
      </c>
      <c r="BU271">
        <f>IF($R271="","",UPPER(TRIM(LEFT($R271&amp;",",FIND(",",$R271&amp;",")-1))))</f>
        <v/>
      </c>
      <c r="BV271">
        <f>IF($BU271="","",MID($BU271,4,FIND("~",SUBSTITUTE($BU271,"-","~",2))-4))</f>
        <v/>
      </c>
      <c r="BW271">
        <f>IF($BU271="","",MID($BU271,FIND("~",SUBSTITUTE($BU271,"-","~",2))+1,FIND("~",SUBSTITUTE($BU271,"-","~",3))-FIND("~",SUBSTITUTE($BU271,"-","~",2))-1))</f>
        <v/>
      </c>
      <c r="BX271">
        <f>IF($BV271="","",IFERROR(VLOOKUP($BV271,DECODE!$A$3:$C$8,3,FALSE),"?"))</f>
        <v/>
      </c>
      <c r="BY271">
        <f>IF($BW271="","",IFERROR(VLOOKUP($BV271&amp;"-"&amp;$BW271,DECODE!$E$3:$F$21,2,FALSE),"?"))</f>
        <v/>
      </c>
      <c r="BZ271">
        <f>IF($BU271="","",IFERROR(VALUE(RIGHT($BU271,3)),""))</f>
        <v/>
      </c>
      <c r="CA271">
        <f>IF($X271="","",IFERROR(IF(ISNUMBER($X271),$X271,DATEVALUE(TRIM($X271))),""))</f>
        <v/>
      </c>
      <c r="CB271">
        <f>IF($CA271="","",IF(MONTH($CA271)&gt;=12,"Cold Winter",IF(MONTH($CA271)&gt;=10,"Post-Monsoon",IF(MONTH($CA271)&gt;=6,"Hot Humid",IF(MONTH($CA271)&gt;=3,"Hot Dry","Cold Winter")))))</f>
        <v/>
      </c>
      <c r="CC271">
        <f>IF($BV271="","",IFERROR(VLOOKUP($BV271,DECODE!$A$3:$C$8,2,FALSE),"?"))</f>
        <v/>
      </c>
      <c r="CD271">
        <f>IF($S271="","",UPPER(TRIM(LEFT($S271&amp;",",FIND(",",$S271&amp;",")-1))))</f>
        <v/>
      </c>
      <c r="CE271">
        <f>IF($CD271="","",MID($CD271,4,FIND("~",SUBSTITUTE($CD271,"-","~",2))-4))</f>
        <v/>
      </c>
      <c r="CF271">
        <f>IF($CD271="","",MID($CD271,FIND("~",SUBSTITUTE($CD271,"-","~",2))+1,FIND("~",SUBSTITUTE($CD271,"-","~",3))-FIND("~",SUBSTITUTE($CD271,"-","~",2))-1))</f>
        <v/>
      </c>
      <c r="CG271">
        <f>IF($CE271="","",IFERROR(VLOOKUP($CE271,DECODE!$A$3:$C$8,3,FALSE),"?"))</f>
        <v/>
      </c>
      <c r="CH271">
        <f>IF($CF271="","",IFERROR(VLOOKUP($CE271&amp;"-"&amp;$CF271,DECODE!$E$3:$F$21,2,FALSE),"?"))</f>
        <v/>
      </c>
      <c r="CI271">
        <f>IF($CD271="","",IFERROR(VALUE(RIGHT($CD271,3)),""))</f>
        <v/>
      </c>
      <c r="CJ271">
        <f>IF($Y271="","",IFERROR(IF(ISNUMBER($Y271),$Y271,DATEVALUE(TRIM($Y271))),""))</f>
        <v/>
      </c>
      <c r="CK271">
        <f>IF($CJ271="","",IF(MONTH($CJ271)&gt;=12,"Cold Winter",IF(MONTH($CJ271)&gt;=10,"Post-Monsoon",IF(MONTH($CJ271)&gt;=6,"Hot Humid",IF(MONTH($CJ271)&gt;=3,"Hot Dry","Cold Winter")))))</f>
        <v/>
      </c>
      <c r="CL271">
        <f>IF($CE271="","",IFERROR(VLOOKUP($CE271,DECODE!$A$3:$C$8,2,FALSE),"?"))</f>
        <v/>
      </c>
      <c r="CM271">
        <f>IF($AN271="","",AN271)</f>
        <v/>
      </c>
      <c r="CN271">
        <f>IF($AO271="","",AO271)</f>
        <v/>
      </c>
      <c r="CO271">
        <f>IF($AP271="","",AP271)</f>
        <v/>
      </c>
      <c r="CP271">
        <f>IF($CM271="","",IF($CM271="Aloe Vera Gel","Aloe Vera Gel "&amp;$CO271&amp;"g",CN271&amp;" "&amp;$CO271&amp;"g"))</f>
        <v/>
      </c>
      <c r="CQ271">
        <f>IF($AT271="",0,1)</f>
        <v/>
      </c>
      <c r="CR271">
        <f>IF($CQ271=0,"",AW271)</f>
        <v/>
      </c>
      <c r="CS271">
        <f>IF($CQ271=0,"",AX271)</f>
        <v/>
      </c>
      <c r="CT271">
        <f>IF($CQ271=0,"",AY271)</f>
        <v/>
      </c>
      <c r="CU271">
        <f>IF($CR271="","",IF($CR271="Aloe Vera Gel","Aloe Vera Gel "&amp;$CT271&amp;"g",CS271&amp;" "&amp;$CT271&amp;"g"))</f>
        <v/>
      </c>
      <c r="CV271">
        <f>IF($CQ271=0,"",IF($CP271=$CU271,"Repeat Exact",IF($CT271&gt;$CO271,"Upsized",IF($CT271&lt;$CO271,"Downsized",IF($CM271&lt;&gt;$CR271,"Lateral","Same Size Diff Variant")))))</f>
        <v/>
      </c>
      <c r="CW271">
        <f>IF($CQ271=0,"",AZ271-AQ271)</f>
        <v/>
      </c>
      <c r="CX271">
        <f>IF($CQ271=0,0,IF(CS271=CN271,1,0))</f>
        <v/>
      </c>
      <c r="CY271">
        <f>IF($CQ271=0,0,IF(CR271=CM271,1,0))</f>
        <v/>
      </c>
      <c r="CZ271">
        <f>IF($A271="","",IF(AND(IF(DASHBOARD!$C$4="All",TRUE,$CM271=DASHBOARD!$C$4),IF(DASHBOARD!$C$6="All",TRUE,$CP271=DASHBOARD!$C$6),IF(DASHBOARD!$C$8="All",TRUE,$AF271&gt;=DASHBOARD!$C$8),IF(DASHBOARD!$C$10="All",TRUE,$AF271&lt;=DASHBOARD!$C$10),IF(DASHBOARD!$C$12="All",TRUE,$AH271=VALUE(DASHBOARD!$C$12)),IF(DASHBOARD!$C$14="All",TRUE,$AJ271=DASHBOARD!$C$14)),1,0))</f>
        <v/>
      </c>
    </row>
    <row r="272">
      <c r="A272" t="n">
        <v>158498</v>
      </c>
      <c r="B272" t="inlineStr">
        <is>
          <t>Aloe Vera Gel</t>
        </is>
      </c>
      <c r="H272" t="inlineStr">
        <is>
          <t>Aloe Vera Gel - 40 gms</t>
        </is>
      </c>
      <c r="N272" t="inlineStr">
        <is>
          <t>FC-HG-PA-040</t>
        </is>
      </c>
      <c r="T272" t="inlineStr">
        <is>
          <t>Mar 1, 2024</t>
        </is>
      </c>
      <c r="AE272" t="inlineStr">
        <is>
          <t>Dehradun</t>
        </is>
      </c>
      <c r="AF272" t="inlineStr">
        <is>
          <t>2024-03</t>
        </is>
      </c>
      <c r="AG272" t="n">
        <v>3</v>
      </c>
      <c r="AH272" t="n">
        <v>1</v>
      </c>
      <c r="AI272" t="n">
        <v>0</v>
      </c>
      <c r="AJ272">
        <f>IF($AE272="","",IFERROR(VLOOKUP(TRIM($AE272),DECODE!$H$3:$I$60,2,FALSE),"Rest of India"))</f>
        <v/>
      </c>
      <c r="AK272">
        <f>IF($N272="","",UPPER(TRIM(LEFT($N272&amp;",",FIND(",",$N272&amp;",")-1))))</f>
        <v/>
      </c>
      <c r="AL272">
        <f>IF($AK272="","",MID($AK272,4,FIND("~",SUBSTITUTE($AK272,"-","~",2))-4))</f>
        <v/>
      </c>
      <c r="AM272">
        <f>IF($AK272="","",MID($AK272,FIND("~",SUBSTITUTE($AK272,"-","~",2))+1,FIND("~",SUBSTITUTE($AK272,"-","~",3))-FIND("~",SUBSTITUTE($AK272,"-","~",2))-1))</f>
        <v/>
      </c>
      <c r="AN272">
        <f>IF($AL272="","",IFERROR(VLOOKUP($AL272,DECODE!$A$3:$C$8,3,FALSE),"?"))</f>
        <v/>
      </c>
      <c r="AO272">
        <f>IF($AM272="","",IFERROR(VLOOKUP($AL272&amp;"-"&amp;$AM272,DECODE!$E$3:$F$21,2,FALSE),"?"))</f>
        <v/>
      </c>
      <c r="AP272">
        <f>IF($AK272="","",IFERROR(VALUE(RIGHT($AK272,3)),""))</f>
        <v/>
      </c>
      <c r="AQ272">
        <f>IF($T272="","",IFERROR(IF(ISNUMBER($T272),$T272,DATEVALUE(TRIM($T272))),""))</f>
        <v/>
      </c>
      <c r="AR272">
        <f>IF($AQ272="","",IF(MONTH($AQ272)&gt;=12,"Cold Winter",IF(MONTH($AQ272)&gt;=10,"Post-Monsoon",IF(MONTH($AQ272)&gt;=6,"Hot Humid",IF(MONTH($AQ272)&gt;=3,"Hot Dry","Cold Winter")))))</f>
        <v/>
      </c>
      <c r="AS272">
        <f>IF($AL272="","",IFERROR(VLOOKUP($AL272,DECODE!$A$3:$C$8,2,FALSE),"?"))</f>
        <v/>
      </c>
      <c r="AT272">
        <f>IF($O272="","",UPPER(TRIM(LEFT($O272&amp;",",FIND(",",$O272&amp;",")-1))))</f>
        <v/>
      </c>
      <c r="AU272">
        <f>IF($AT272="","",MID($AT272,4,FIND("~",SUBSTITUTE($AT272,"-","~",2))-4))</f>
        <v/>
      </c>
      <c r="AV272">
        <f>IF($AT272="","",MID($AT272,FIND("~",SUBSTITUTE($AT272,"-","~",2))+1,FIND("~",SUBSTITUTE($AT272,"-","~",3))-FIND("~",SUBSTITUTE($AT272,"-","~",2))-1))</f>
        <v/>
      </c>
      <c r="AW272">
        <f>IF($AU272="","",IFERROR(VLOOKUP($AU272,DECODE!$A$3:$C$8,3,FALSE),"?"))</f>
        <v/>
      </c>
      <c r="AX272">
        <f>IF($AV272="","",IFERROR(VLOOKUP($AU272&amp;"-"&amp;$AV272,DECODE!$E$3:$F$21,2,FALSE),"?"))</f>
        <v/>
      </c>
      <c r="AY272">
        <f>IF($AT272="","",IFERROR(VALUE(RIGHT($AT272,3)),""))</f>
        <v/>
      </c>
      <c r="AZ272">
        <f>IF($U272="","",IFERROR(IF(ISNUMBER($U272),$U272,DATEVALUE(TRIM($U272))),""))</f>
        <v/>
      </c>
      <c r="BA272">
        <f>IF($AZ272="","",IF(MONTH($AZ272)&gt;=12,"Cold Winter",IF(MONTH($AZ272)&gt;=10,"Post-Monsoon",IF(MONTH($AZ272)&gt;=6,"Hot Humid",IF(MONTH($AZ272)&gt;=3,"Hot Dry","Cold Winter")))))</f>
        <v/>
      </c>
      <c r="BB272">
        <f>IF($AU272="","",IFERROR(VLOOKUP($AU272,DECODE!$A$3:$C$8,2,FALSE),"?"))</f>
        <v/>
      </c>
      <c r="BC272">
        <f>IF($P272="","",UPPER(TRIM(LEFT($P272&amp;",",FIND(",",$P272&amp;",")-1))))</f>
        <v/>
      </c>
      <c r="BD272">
        <f>IF($BC272="","",MID($BC272,4,FIND("~",SUBSTITUTE($BC272,"-","~",2))-4))</f>
        <v/>
      </c>
      <c r="BE272">
        <f>IF($BC272="","",MID($BC272,FIND("~",SUBSTITUTE($BC272,"-","~",2))+1,FIND("~",SUBSTITUTE($BC272,"-","~",3))-FIND("~",SUBSTITUTE($BC272,"-","~",2))-1))</f>
        <v/>
      </c>
      <c r="BF272">
        <f>IF($BD272="","",IFERROR(VLOOKUP($BD272,DECODE!$A$3:$C$8,3,FALSE),"?"))</f>
        <v/>
      </c>
      <c r="BG272">
        <f>IF($BE272="","",IFERROR(VLOOKUP($BD272&amp;"-"&amp;$BE272,DECODE!$E$3:$F$21,2,FALSE),"?"))</f>
        <v/>
      </c>
      <c r="BH272">
        <f>IF($BC272="","",IFERROR(VALUE(RIGHT($BC272,3)),""))</f>
        <v/>
      </c>
      <c r="BI272">
        <f>IF($V272="","",IFERROR(IF(ISNUMBER($V272),$V272,DATEVALUE(TRIM($V272))),""))</f>
        <v/>
      </c>
      <c r="BJ272">
        <f>IF($BI272="","",IF(MONTH($BI272)&gt;=12,"Cold Winter",IF(MONTH($BI272)&gt;=10,"Post-Monsoon",IF(MONTH($BI272)&gt;=6,"Hot Humid",IF(MONTH($BI272)&gt;=3,"Hot Dry","Cold Winter")))))</f>
        <v/>
      </c>
      <c r="BK272">
        <f>IF($BD272="","",IFERROR(VLOOKUP($BD272,DECODE!$A$3:$C$8,2,FALSE),"?"))</f>
        <v/>
      </c>
      <c r="BL272">
        <f>IF($Q272="","",UPPER(TRIM(LEFT($Q272&amp;",",FIND(",",$Q272&amp;",")-1))))</f>
        <v/>
      </c>
      <c r="BM272">
        <f>IF($BL272="","",MID($BL272,4,FIND("~",SUBSTITUTE($BL272,"-","~",2))-4))</f>
        <v/>
      </c>
      <c r="BN272">
        <f>IF($BL272="","",MID($BL272,FIND("~",SUBSTITUTE($BL272,"-","~",2))+1,FIND("~",SUBSTITUTE($BL272,"-","~",3))-FIND("~",SUBSTITUTE($BL272,"-","~",2))-1))</f>
        <v/>
      </c>
      <c r="BO272">
        <f>IF($BM272="","",IFERROR(VLOOKUP($BM272,DECODE!$A$3:$C$8,3,FALSE),"?"))</f>
        <v/>
      </c>
      <c r="BP272">
        <f>IF($BN272="","",IFERROR(VLOOKUP($BM272&amp;"-"&amp;$BN272,DECODE!$E$3:$F$21,2,FALSE),"?"))</f>
        <v/>
      </c>
      <c r="BQ272">
        <f>IF($BL272="","",IFERROR(VALUE(RIGHT($BL272,3)),""))</f>
        <v/>
      </c>
      <c r="BR272">
        <f>IF($W272="","",IFERROR(IF(ISNUMBER($W272),$W272,DATEVALUE(TRIM($W272))),""))</f>
        <v/>
      </c>
      <c r="BS272">
        <f>IF($BR272="","",IF(MONTH($BR272)&gt;=12,"Cold Winter",IF(MONTH($BR272)&gt;=10,"Post-Monsoon",IF(MONTH($BR272)&gt;=6,"Hot Humid",IF(MONTH($BR272)&gt;=3,"Hot Dry","Cold Winter")))))</f>
        <v/>
      </c>
      <c r="BT272">
        <f>IF($BM272="","",IFERROR(VLOOKUP($BM272,DECODE!$A$3:$C$8,2,FALSE),"?"))</f>
        <v/>
      </c>
      <c r="BU272">
        <f>IF($R272="","",UPPER(TRIM(LEFT($R272&amp;",",FIND(",",$R272&amp;",")-1))))</f>
        <v/>
      </c>
      <c r="BV272">
        <f>IF($BU272="","",MID($BU272,4,FIND("~",SUBSTITUTE($BU272,"-","~",2))-4))</f>
        <v/>
      </c>
      <c r="BW272">
        <f>IF($BU272="","",MID($BU272,FIND("~",SUBSTITUTE($BU272,"-","~",2))+1,FIND("~",SUBSTITUTE($BU272,"-","~",3))-FIND("~",SUBSTITUTE($BU272,"-","~",2))-1))</f>
        <v/>
      </c>
      <c r="BX272">
        <f>IF($BV272="","",IFERROR(VLOOKUP($BV272,DECODE!$A$3:$C$8,3,FALSE),"?"))</f>
        <v/>
      </c>
      <c r="BY272">
        <f>IF($BW272="","",IFERROR(VLOOKUP($BV272&amp;"-"&amp;$BW272,DECODE!$E$3:$F$21,2,FALSE),"?"))</f>
        <v/>
      </c>
      <c r="BZ272">
        <f>IF($BU272="","",IFERROR(VALUE(RIGHT($BU272,3)),""))</f>
        <v/>
      </c>
      <c r="CA272">
        <f>IF($X272="","",IFERROR(IF(ISNUMBER($X272),$X272,DATEVALUE(TRIM($X272))),""))</f>
        <v/>
      </c>
      <c r="CB272">
        <f>IF($CA272="","",IF(MONTH($CA272)&gt;=12,"Cold Winter",IF(MONTH($CA272)&gt;=10,"Post-Monsoon",IF(MONTH($CA272)&gt;=6,"Hot Humid",IF(MONTH($CA272)&gt;=3,"Hot Dry","Cold Winter")))))</f>
        <v/>
      </c>
      <c r="CC272">
        <f>IF($BV272="","",IFERROR(VLOOKUP($BV272,DECODE!$A$3:$C$8,2,FALSE),"?"))</f>
        <v/>
      </c>
      <c r="CD272">
        <f>IF($S272="","",UPPER(TRIM(LEFT($S272&amp;",",FIND(",",$S272&amp;",")-1))))</f>
        <v/>
      </c>
      <c r="CE272">
        <f>IF($CD272="","",MID($CD272,4,FIND("~",SUBSTITUTE($CD272,"-","~",2))-4))</f>
        <v/>
      </c>
      <c r="CF272">
        <f>IF($CD272="","",MID($CD272,FIND("~",SUBSTITUTE($CD272,"-","~",2))+1,FIND("~",SUBSTITUTE($CD272,"-","~",3))-FIND("~",SUBSTITUTE($CD272,"-","~",2))-1))</f>
        <v/>
      </c>
      <c r="CG272">
        <f>IF($CE272="","",IFERROR(VLOOKUP($CE272,DECODE!$A$3:$C$8,3,FALSE),"?"))</f>
        <v/>
      </c>
      <c r="CH272">
        <f>IF($CF272="","",IFERROR(VLOOKUP($CE272&amp;"-"&amp;$CF272,DECODE!$E$3:$F$21,2,FALSE),"?"))</f>
        <v/>
      </c>
      <c r="CI272">
        <f>IF($CD272="","",IFERROR(VALUE(RIGHT($CD272,3)),""))</f>
        <v/>
      </c>
      <c r="CJ272">
        <f>IF($Y272="","",IFERROR(IF(ISNUMBER($Y272),$Y272,DATEVALUE(TRIM($Y272))),""))</f>
        <v/>
      </c>
      <c r="CK272">
        <f>IF($CJ272="","",IF(MONTH($CJ272)&gt;=12,"Cold Winter",IF(MONTH($CJ272)&gt;=10,"Post-Monsoon",IF(MONTH($CJ272)&gt;=6,"Hot Humid",IF(MONTH($CJ272)&gt;=3,"Hot Dry","Cold Winter")))))</f>
        <v/>
      </c>
      <c r="CL272">
        <f>IF($CE272="","",IFERROR(VLOOKUP($CE272,DECODE!$A$3:$C$8,2,FALSE),"?"))</f>
        <v/>
      </c>
      <c r="CM272">
        <f>IF($AN272="","",AN272)</f>
        <v/>
      </c>
      <c r="CN272">
        <f>IF($AO272="","",AO272)</f>
        <v/>
      </c>
      <c r="CO272">
        <f>IF($AP272="","",AP272)</f>
        <v/>
      </c>
      <c r="CP272">
        <f>IF($CM272="","",IF($CM272="Aloe Vera Gel","Aloe Vera Gel "&amp;$CO272&amp;"g",CN272&amp;" "&amp;$CO272&amp;"g"))</f>
        <v/>
      </c>
      <c r="CQ272">
        <f>IF($AT272="",0,1)</f>
        <v/>
      </c>
      <c r="CR272">
        <f>IF($CQ272=0,"",AW272)</f>
        <v/>
      </c>
      <c r="CS272">
        <f>IF($CQ272=0,"",AX272)</f>
        <v/>
      </c>
      <c r="CT272">
        <f>IF($CQ272=0,"",AY272)</f>
        <v/>
      </c>
      <c r="CU272">
        <f>IF($CR272="","",IF($CR272="Aloe Vera Gel","Aloe Vera Gel "&amp;$CT272&amp;"g",CS272&amp;" "&amp;$CT272&amp;"g"))</f>
        <v/>
      </c>
      <c r="CV272">
        <f>IF($CQ272=0,"",IF($CP272=$CU272,"Repeat Exact",IF($CT272&gt;$CO272,"Upsized",IF($CT272&lt;$CO272,"Downsized",IF($CM272&lt;&gt;$CR272,"Lateral","Same Size Diff Variant")))))</f>
        <v/>
      </c>
      <c r="CW272">
        <f>IF($CQ272=0,"",AZ272-AQ272)</f>
        <v/>
      </c>
      <c r="CX272">
        <f>IF($CQ272=0,0,IF(CS272=CN272,1,0))</f>
        <v/>
      </c>
      <c r="CY272">
        <f>IF($CQ272=0,0,IF(CR272=CM272,1,0))</f>
        <v/>
      </c>
      <c r="CZ272">
        <f>IF($A272="","",IF(AND(IF(DASHBOARD!$C$4="All",TRUE,$CM272=DASHBOARD!$C$4),IF(DASHBOARD!$C$6="All",TRUE,$CP272=DASHBOARD!$C$6),IF(DASHBOARD!$C$8="All",TRUE,$AF272&gt;=DASHBOARD!$C$8),IF(DASHBOARD!$C$10="All",TRUE,$AF272&lt;=DASHBOARD!$C$10),IF(DASHBOARD!$C$12="All",TRUE,$AH272=VALUE(DASHBOARD!$C$12)),IF(DASHBOARD!$C$14="All",TRUE,$AJ272=DASHBOARD!$C$14)),1,0))</f>
        <v/>
      </c>
    </row>
    <row r="273">
      <c r="A273" t="n">
        <v>158859</v>
      </c>
      <c r="B273" t="inlineStr">
        <is>
          <t>Face Malai</t>
        </is>
      </c>
      <c r="C273" t="inlineStr">
        <is>
          <t>Active Gel</t>
        </is>
      </c>
      <c r="D273" t="inlineStr">
        <is>
          <t>Face Malai</t>
        </is>
      </c>
      <c r="E273" t="inlineStr">
        <is>
          <t>Face Malai</t>
        </is>
      </c>
      <c r="H273" t="inlineStr">
        <is>
          <t>Tomato Rosehip (Hot Dry) 20 - 35 Yrs Face Malai - 30g</t>
        </is>
      </c>
      <c r="I273" t="inlineStr">
        <is>
          <t>Active Aloe Cactus Hydra Lift Gel, Active Olive Vit-E Night Gel</t>
        </is>
      </c>
      <c r="J273" t="inlineStr">
        <is>
          <t>Tomato Rosehip (Hot Dry) 20 - 35 Yrs Face Malai - 50g</t>
        </is>
      </c>
      <c r="K273" t="inlineStr">
        <is>
          <t>Tomato Rosehip (Hot Dry) 20 - 35 Yrs Face Malai - 30g, Cocoa Mogra (Overnight) Face Malai - 30g</t>
        </is>
      </c>
      <c r="N273" t="inlineStr">
        <is>
          <t>FC-HDDM-TR-030</t>
        </is>
      </c>
      <c r="O273" t="inlineStr">
        <is>
          <t>FC-AC-AC-050, FC-AC-OV-050</t>
        </is>
      </c>
      <c r="P273" t="inlineStr">
        <is>
          <t>FC-HDDM-TR-050</t>
        </is>
      </c>
      <c r="Q273" t="inlineStr">
        <is>
          <t>FC-HDDM-TR-030, FC-DM-NR-030</t>
        </is>
      </c>
      <c r="T273" t="inlineStr">
        <is>
          <t>Mar 4, 2025</t>
        </is>
      </c>
      <c r="U273" t="inlineStr">
        <is>
          <t>Jun 26, 2025</t>
        </is>
      </c>
      <c r="V273" t="inlineStr">
        <is>
          <t>Jan 26, 2026</t>
        </is>
      </c>
      <c r="W273" t="inlineStr">
        <is>
          <t>May 6, 2026</t>
        </is>
      </c>
      <c r="Z273" t="n">
        <v>114</v>
      </c>
      <c r="AA273" t="n">
        <v>214</v>
      </c>
      <c r="AB273" t="n">
        <v>100</v>
      </c>
      <c r="AE273" t="inlineStr">
        <is>
          <t>Bengaluru</t>
        </is>
      </c>
      <c r="AF273" t="inlineStr">
        <is>
          <t>2025-03</t>
        </is>
      </c>
      <c r="AG273" t="n">
        <v>3</v>
      </c>
      <c r="AH273" t="n">
        <v>4</v>
      </c>
      <c r="AI273" t="n">
        <v>1</v>
      </c>
      <c r="AJ273">
        <f>IF($AE273="","",IFERROR(VLOOKUP(TRIM($AE273),DECODE!$H$3:$I$60,2,FALSE),"Rest of India"))</f>
        <v/>
      </c>
      <c r="AK273">
        <f>IF($N273="","",UPPER(TRIM(LEFT($N273&amp;",",FIND(",",$N273&amp;",")-1))))</f>
        <v/>
      </c>
      <c r="AL273">
        <f>IF($AK273="","",MID($AK273,4,FIND("~",SUBSTITUTE($AK273,"-","~",2))-4))</f>
        <v/>
      </c>
      <c r="AM273">
        <f>IF($AK273="","",MID($AK273,FIND("~",SUBSTITUTE($AK273,"-","~",2))+1,FIND("~",SUBSTITUTE($AK273,"-","~",3))-FIND("~",SUBSTITUTE($AK273,"-","~",2))-1))</f>
        <v/>
      </c>
      <c r="AN273">
        <f>IF($AL273="","",IFERROR(VLOOKUP($AL273,DECODE!$A$3:$C$8,3,FALSE),"?"))</f>
        <v/>
      </c>
      <c r="AO273">
        <f>IF($AM273="","",IFERROR(VLOOKUP($AL273&amp;"-"&amp;$AM273,DECODE!$E$3:$F$21,2,FALSE),"?"))</f>
        <v/>
      </c>
      <c r="AP273">
        <f>IF($AK273="","",IFERROR(VALUE(RIGHT($AK273,3)),""))</f>
        <v/>
      </c>
      <c r="AQ273">
        <f>IF($T273="","",IFERROR(IF(ISNUMBER($T273),$T273,DATEVALUE(TRIM($T273))),""))</f>
        <v/>
      </c>
      <c r="AR273">
        <f>IF($AQ273="","",IF(MONTH($AQ273)&gt;=12,"Cold Winter",IF(MONTH($AQ273)&gt;=10,"Post-Monsoon",IF(MONTH($AQ273)&gt;=6,"Hot Humid",IF(MONTH($AQ273)&gt;=3,"Hot Dry","Cold Winter")))))</f>
        <v/>
      </c>
      <c r="AS273">
        <f>IF($AL273="","",IFERROR(VLOOKUP($AL273,DECODE!$A$3:$C$8,2,FALSE),"?"))</f>
        <v/>
      </c>
      <c r="AT273">
        <f>IF($O273="","",UPPER(TRIM(LEFT($O273&amp;",",FIND(",",$O273&amp;",")-1))))</f>
        <v/>
      </c>
      <c r="AU273">
        <f>IF($AT273="","",MID($AT273,4,FIND("~",SUBSTITUTE($AT273,"-","~",2))-4))</f>
        <v/>
      </c>
      <c r="AV273">
        <f>IF($AT273="","",MID($AT273,FIND("~",SUBSTITUTE($AT273,"-","~",2))+1,FIND("~",SUBSTITUTE($AT273,"-","~",3))-FIND("~",SUBSTITUTE($AT273,"-","~",2))-1))</f>
        <v/>
      </c>
      <c r="AW273">
        <f>IF($AU273="","",IFERROR(VLOOKUP($AU273,DECODE!$A$3:$C$8,3,FALSE),"?"))</f>
        <v/>
      </c>
      <c r="AX273">
        <f>IF($AV273="","",IFERROR(VLOOKUP($AU273&amp;"-"&amp;$AV273,DECODE!$E$3:$F$21,2,FALSE),"?"))</f>
        <v/>
      </c>
      <c r="AY273">
        <f>IF($AT273="","",IFERROR(VALUE(RIGHT($AT273,3)),""))</f>
        <v/>
      </c>
      <c r="AZ273">
        <f>IF($U273="","",IFERROR(IF(ISNUMBER($U273),$U273,DATEVALUE(TRIM($U273))),""))</f>
        <v/>
      </c>
      <c r="BA273">
        <f>IF($AZ273="","",IF(MONTH($AZ273)&gt;=12,"Cold Winter",IF(MONTH($AZ273)&gt;=10,"Post-Monsoon",IF(MONTH($AZ273)&gt;=6,"Hot Humid",IF(MONTH($AZ273)&gt;=3,"Hot Dry","Cold Winter")))))</f>
        <v/>
      </c>
      <c r="BB273">
        <f>IF($AU273="","",IFERROR(VLOOKUP($AU273,DECODE!$A$3:$C$8,2,FALSE),"?"))</f>
        <v/>
      </c>
      <c r="BC273">
        <f>IF($P273="","",UPPER(TRIM(LEFT($P273&amp;",",FIND(",",$P273&amp;",")-1))))</f>
        <v/>
      </c>
      <c r="BD273">
        <f>IF($BC273="","",MID($BC273,4,FIND("~",SUBSTITUTE($BC273,"-","~",2))-4))</f>
        <v/>
      </c>
      <c r="BE273">
        <f>IF($BC273="","",MID($BC273,FIND("~",SUBSTITUTE($BC273,"-","~",2))+1,FIND("~",SUBSTITUTE($BC273,"-","~",3))-FIND("~",SUBSTITUTE($BC273,"-","~",2))-1))</f>
        <v/>
      </c>
      <c r="BF273">
        <f>IF($BD273="","",IFERROR(VLOOKUP($BD273,DECODE!$A$3:$C$8,3,FALSE),"?"))</f>
        <v/>
      </c>
      <c r="BG273">
        <f>IF($BE273="","",IFERROR(VLOOKUP($BD273&amp;"-"&amp;$BE273,DECODE!$E$3:$F$21,2,FALSE),"?"))</f>
        <v/>
      </c>
      <c r="BH273">
        <f>IF($BC273="","",IFERROR(VALUE(RIGHT($BC273,3)),""))</f>
        <v/>
      </c>
      <c r="BI273">
        <f>IF($V273="","",IFERROR(IF(ISNUMBER($V273),$V273,DATEVALUE(TRIM($V273))),""))</f>
        <v/>
      </c>
      <c r="BJ273">
        <f>IF($BI273="","",IF(MONTH($BI273)&gt;=12,"Cold Winter",IF(MONTH($BI273)&gt;=10,"Post-Monsoon",IF(MONTH($BI273)&gt;=6,"Hot Humid",IF(MONTH($BI273)&gt;=3,"Hot Dry","Cold Winter")))))</f>
        <v/>
      </c>
      <c r="BK273">
        <f>IF($BD273="","",IFERROR(VLOOKUP($BD273,DECODE!$A$3:$C$8,2,FALSE),"?"))</f>
        <v/>
      </c>
      <c r="BL273">
        <f>IF($Q273="","",UPPER(TRIM(LEFT($Q273&amp;",",FIND(",",$Q273&amp;",")-1))))</f>
        <v/>
      </c>
      <c r="BM273">
        <f>IF($BL273="","",MID($BL273,4,FIND("~",SUBSTITUTE($BL273,"-","~",2))-4))</f>
        <v/>
      </c>
      <c r="BN273">
        <f>IF($BL273="","",MID($BL273,FIND("~",SUBSTITUTE($BL273,"-","~",2))+1,FIND("~",SUBSTITUTE($BL273,"-","~",3))-FIND("~",SUBSTITUTE($BL273,"-","~",2))-1))</f>
        <v/>
      </c>
      <c r="BO273">
        <f>IF($BM273="","",IFERROR(VLOOKUP($BM273,DECODE!$A$3:$C$8,3,FALSE),"?"))</f>
        <v/>
      </c>
      <c r="BP273">
        <f>IF($BN273="","",IFERROR(VLOOKUP($BM273&amp;"-"&amp;$BN273,DECODE!$E$3:$F$21,2,FALSE),"?"))</f>
        <v/>
      </c>
      <c r="BQ273">
        <f>IF($BL273="","",IFERROR(VALUE(RIGHT($BL273,3)),""))</f>
        <v/>
      </c>
      <c r="BR273">
        <f>IF($W273="","",IFERROR(IF(ISNUMBER($W273),$W273,DATEVALUE(TRIM($W273))),""))</f>
        <v/>
      </c>
      <c r="BS273">
        <f>IF($BR273="","",IF(MONTH($BR273)&gt;=12,"Cold Winter",IF(MONTH($BR273)&gt;=10,"Post-Monsoon",IF(MONTH($BR273)&gt;=6,"Hot Humid",IF(MONTH($BR273)&gt;=3,"Hot Dry","Cold Winter")))))</f>
        <v/>
      </c>
      <c r="BT273">
        <f>IF($BM273="","",IFERROR(VLOOKUP($BM273,DECODE!$A$3:$C$8,2,FALSE),"?"))</f>
        <v/>
      </c>
      <c r="BU273">
        <f>IF($R273="","",UPPER(TRIM(LEFT($R273&amp;",",FIND(",",$R273&amp;",")-1))))</f>
        <v/>
      </c>
      <c r="BV273">
        <f>IF($BU273="","",MID($BU273,4,FIND("~",SUBSTITUTE($BU273,"-","~",2))-4))</f>
        <v/>
      </c>
      <c r="BW273">
        <f>IF($BU273="","",MID($BU273,FIND("~",SUBSTITUTE($BU273,"-","~",2))+1,FIND("~",SUBSTITUTE($BU273,"-","~",3))-FIND("~",SUBSTITUTE($BU273,"-","~",2))-1))</f>
        <v/>
      </c>
      <c r="BX273">
        <f>IF($BV273="","",IFERROR(VLOOKUP($BV273,DECODE!$A$3:$C$8,3,FALSE),"?"))</f>
        <v/>
      </c>
      <c r="BY273">
        <f>IF($BW273="","",IFERROR(VLOOKUP($BV273&amp;"-"&amp;$BW273,DECODE!$E$3:$F$21,2,FALSE),"?"))</f>
        <v/>
      </c>
      <c r="BZ273">
        <f>IF($BU273="","",IFERROR(VALUE(RIGHT($BU273,3)),""))</f>
        <v/>
      </c>
      <c r="CA273">
        <f>IF($X273="","",IFERROR(IF(ISNUMBER($X273),$X273,DATEVALUE(TRIM($X273))),""))</f>
        <v/>
      </c>
      <c r="CB273">
        <f>IF($CA273="","",IF(MONTH($CA273)&gt;=12,"Cold Winter",IF(MONTH($CA273)&gt;=10,"Post-Monsoon",IF(MONTH($CA273)&gt;=6,"Hot Humid",IF(MONTH($CA273)&gt;=3,"Hot Dry","Cold Winter")))))</f>
        <v/>
      </c>
      <c r="CC273">
        <f>IF($BV273="","",IFERROR(VLOOKUP($BV273,DECODE!$A$3:$C$8,2,FALSE),"?"))</f>
        <v/>
      </c>
      <c r="CD273">
        <f>IF($S273="","",UPPER(TRIM(LEFT($S273&amp;",",FIND(",",$S273&amp;",")-1))))</f>
        <v/>
      </c>
      <c r="CE273">
        <f>IF($CD273="","",MID($CD273,4,FIND("~",SUBSTITUTE($CD273,"-","~",2))-4))</f>
        <v/>
      </c>
      <c r="CF273">
        <f>IF($CD273="","",MID($CD273,FIND("~",SUBSTITUTE($CD273,"-","~",2))+1,FIND("~",SUBSTITUTE($CD273,"-","~",3))-FIND("~",SUBSTITUTE($CD273,"-","~",2))-1))</f>
        <v/>
      </c>
      <c r="CG273">
        <f>IF($CE273="","",IFERROR(VLOOKUP($CE273,DECODE!$A$3:$C$8,3,FALSE),"?"))</f>
        <v/>
      </c>
      <c r="CH273">
        <f>IF($CF273="","",IFERROR(VLOOKUP($CE273&amp;"-"&amp;$CF273,DECODE!$E$3:$F$21,2,FALSE),"?"))</f>
        <v/>
      </c>
      <c r="CI273">
        <f>IF($CD273="","",IFERROR(VALUE(RIGHT($CD273,3)),""))</f>
        <v/>
      </c>
      <c r="CJ273">
        <f>IF($Y273="","",IFERROR(IF(ISNUMBER($Y273),$Y273,DATEVALUE(TRIM($Y273))),""))</f>
        <v/>
      </c>
      <c r="CK273">
        <f>IF($CJ273="","",IF(MONTH($CJ273)&gt;=12,"Cold Winter",IF(MONTH($CJ273)&gt;=10,"Post-Monsoon",IF(MONTH($CJ273)&gt;=6,"Hot Humid",IF(MONTH($CJ273)&gt;=3,"Hot Dry","Cold Winter")))))</f>
        <v/>
      </c>
      <c r="CL273">
        <f>IF($CE273="","",IFERROR(VLOOKUP($CE273,DECODE!$A$3:$C$8,2,FALSE),"?"))</f>
        <v/>
      </c>
      <c r="CM273">
        <f>IF($AN273="","",AN273)</f>
        <v/>
      </c>
      <c r="CN273">
        <f>IF($AO273="","",AO273)</f>
        <v/>
      </c>
      <c r="CO273">
        <f>IF($AP273="","",AP273)</f>
        <v/>
      </c>
      <c r="CP273">
        <f>IF($CM273="","",IF($CM273="Aloe Vera Gel","Aloe Vera Gel "&amp;$CO273&amp;"g",CN273&amp;" "&amp;$CO273&amp;"g"))</f>
        <v/>
      </c>
      <c r="CQ273">
        <f>IF($AT273="",0,1)</f>
        <v/>
      </c>
      <c r="CR273">
        <f>IF($CQ273=0,"",AW273)</f>
        <v/>
      </c>
      <c r="CS273">
        <f>IF($CQ273=0,"",AX273)</f>
        <v/>
      </c>
      <c r="CT273">
        <f>IF($CQ273=0,"",AY273)</f>
        <v/>
      </c>
      <c r="CU273">
        <f>IF($CR273="","",IF($CR273="Aloe Vera Gel","Aloe Vera Gel "&amp;$CT273&amp;"g",CS273&amp;" "&amp;$CT273&amp;"g"))</f>
        <v/>
      </c>
      <c r="CV273">
        <f>IF($CQ273=0,"",IF($CP273=$CU273,"Repeat Exact",IF($CT273&gt;$CO273,"Upsized",IF($CT273&lt;$CO273,"Downsized",IF($CM273&lt;&gt;$CR273,"Lateral","Same Size Diff Variant")))))</f>
        <v/>
      </c>
      <c r="CW273">
        <f>IF($CQ273=0,"",AZ273-AQ273)</f>
        <v/>
      </c>
      <c r="CX273">
        <f>IF($CQ273=0,0,IF(CS273=CN273,1,0))</f>
        <v/>
      </c>
      <c r="CY273">
        <f>IF($CQ273=0,0,IF(CR273=CM273,1,0))</f>
        <v/>
      </c>
      <c r="CZ273">
        <f>IF($A273="","",IF(AND(IF(DASHBOARD!$C$4="All",TRUE,$CM273=DASHBOARD!$C$4),IF(DASHBOARD!$C$6="All",TRUE,$CP273=DASHBOARD!$C$6),IF(DASHBOARD!$C$8="All",TRUE,$AF273&gt;=DASHBOARD!$C$8),IF(DASHBOARD!$C$10="All",TRUE,$AF273&lt;=DASHBOARD!$C$10),IF(DASHBOARD!$C$12="All",TRUE,$AH273=VALUE(DASHBOARD!$C$12)),IF(DASHBOARD!$C$14="All",TRUE,$AJ273=DASHBOARD!$C$14)),1,0))</f>
        <v/>
      </c>
    </row>
    <row r="274">
      <c r="A274" t="n">
        <v>159229</v>
      </c>
      <c r="B274" t="inlineStr">
        <is>
          <t>Active Gel</t>
        </is>
      </c>
      <c r="H274" t="inlineStr">
        <is>
          <t>Active Orange Kiwi Vit-C Gel</t>
        </is>
      </c>
      <c r="N274" t="inlineStr">
        <is>
          <t>FC-AC-OK-050</t>
        </is>
      </c>
      <c r="T274" t="inlineStr">
        <is>
          <t>Jul 1, 2026</t>
        </is>
      </c>
      <c r="AE274" t="inlineStr">
        <is>
          <t>Nainital</t>
        </is>
      </c>
      <c r="AF274" t="inlineStr">
        <is>
          <t>2026-07</t>
        </is>
      </c>
      <c r="AG274" t="n">
        <v>7</v>
      </c>
      <c r="AH274" t="n">
        <v>1</v>
      </c>
      <c r="AI274" t="n">
        <v>0</v>
      </c>
      <c r="AJ274">
        <f>IF($AE274="","",IFERROR(VLOOKUP(TRIM($AE274),DECODE!$H$3:$I$60,2,FALSE),"Rest of India"))</f>
        <v/>
      </c>
      <c r="AK274">
        <f>IF($N274="","",UPPER(TRIM(LEFT($N274&amp;",",FIND(",",$N274&amp;",")-1))))</f>
        <v/>
      </c>
      <c r="AL274">
        <f>IF($AK274="","",MID($AK274,4,FIND("~",SUBSTITUTE($AK274,"-","~",2))-4))</f>
        <v/>
      </c>
      <c r="AM274">
        <f>IF($AK274="","",MID($AK274,FIND("~",SUBSTITUTE($AK274,"-","~",2))+1,FIND("~",SUBSTITUTE($AK274,"-","~",3))-FIND("~",SUBSTITUTE($AK274,"-","~",2))-1))</f>
        <v/>
      </c>
      <c r="AN274">
        <f>IF($AL274="","",IFERROR(VLOOKUP($AL274,DECODE!$A$3:$C$8,3,FALSE),"?"))</f>
        <v/>
      </c>
      <c r="AO274">
        <f>IF($AM274="","",IFERROR(VLOOKUP($AL274&amp;"-"&amp;$AM274,DECODE!$E$3:$F$21,2,FALSE),"?"))</f>
        <v/>
      </c>
      <c r="AP274">
        <f>IF($AK274="","",IFERROR(VALUE(RIGHT($AK274,3)),""))</f>
        <v/>
      </c>
      <c r="AQ274">
        <f>IF($T274="","",IFERROR(IF(ISNUMBER($T274),$T274,DATEVALUE(TRIM($T274))),""))</f>
        <v/>
      </c>
      <c r="AR274">
        <f>IF($AQ274="","",IF(MONTH($AQ274)&gt;=12,"Cold Winter",IF(MONTH($AQ274)&gt;=10,"Post-Monsoon",IF(MONTH($AQ274)&gt;=6,"Hot Humid",IF(MONTH($AQ274)&gt;=3,"Hot Dry","Cold Winter")))))</f>
        <v/>
      </c>
      <c r="AS274">
        <f>IF($AL274="","",IFERROR(VLOOKUP($AL274,DECODE!$A$3:$C$8,2,FALSE),"?"))</f>
        <v/>
      </c>
      <c r="AT274">
        <f>IF($O274="","",UPPER(TRIM(LEFT($O274&amp;",",FIND(",",$O274&amp;",")-1))))</f>
        <v/>
      </c>
      <c r="AU274">
        <f>IF($AT274="","",MID($AT274,4,FIND("~",SUBSTITUTE($AT274,"-","~",2))-4))</f>
        <v/>
      </c>
      <c r="AV274">
        <f>IF($AT274="","",MID($AT274,FIND("~",SUBSTITUTE($AT274,"-","~",2))+1,FIND("~",SUBSTITUTE($AT274,"-","~",3))-FIND("~",SUBSTITUTE($AT274,"-","~",2))-1))</f>
        <v/>
      </c>
      <c r="AW274">
        <f>IF($AU274="","",IFERROR(VLOOKUP($AU274,DECODE!$A$3:$C$8,3,FALSE),"?"))</f>
        <v/>
      </c>
      <c r="AX274">
        <f>IF($AV274="","",IFERROR(VLOOKUP($AU274&amp;"-"&amp;$AV274,DECODE!$E$3:$F$21,2,FALSE),"?"))</f>
        <v/>
      </c>
      <c r="AY274">
        <f>IF($AT274="","",IFERROR(VALUE(RIGHT($AT274,3)),""))</f>
        <v/>
      </c>
      <c r="AZ274">
        <f>IF($U274="","",IFERROR(IF(ISNUMBER($U274),$U274,DATEVALUE(TRIM($U274))),""))</f>
        <v/>
      </c>
      <c r="BA274">
        <f>IF($AZ274="","",IF(MONTH($AZ274)&gt;=12,"Cold Winter",IF(MONTH($AZ274)&gt;=10,"Post-Monsoon",IF(MONTH($AZ274)&gt;=6,"Hot Humid",IF(MONTH($AZ274)&gt;=3,"Hot Dry","Cold Winter")))))</f>
        <v/>
      </c>
      <c r="BB274">
        <f>IF($AU274="","",IFERROR(VLOOKUP($AU274,DECODE!$A$3:$C$8,2,FALSE),"?"))</f>
        <v/>
      </c>
      <c r="BC274">
        <f>IF($P274="","",UPPER(TRIM(LEFT($P274&amp;",",FIND(",",$P274&amp;",")-1))))</f>
        <v/>
      </c>
      <c r="BD274">
        <f>IF($BC274="","",MID($BC274,4,FIND("~",SUBSTITUTE($BC274,"-","~",2))-4))</f>
        <v/>
      </c>
      <c r="BE274">
        <f>IF($BC274="","",MID($BC274,FIND("~",SUBSTITUTE($BC274,"-","~",2))+1,FIND("~",SUBSTITUTE($BC274,"-","~",3))-FIND("~",SUBSTITUTE($BC274,"-","~",2))-1))</f>
        <v/>
      </c>
      <c r="BF274">
        <f>IF($BD274="","",IFERROR(VLOOKUP($BD274,DECODE!$A$3:$C$8,3,FALSE),"?"))</f>
        <v/>
      </c>
      <c r="BG274">
        <f>IF($BE274="","",IFERROR(VLOOKUP($BD274&amp;"-"&amp;$BE274,DECODE!$E$3:$F$21,2,FALSE),"?"))</f>
        <v/>
      </c>
      <c r="BH274">
        <f>IF($BC274="","",IFERROR(VALUE(RIGHT($BC274,3)),""))</f>
        <v/>
      </c>
      <c r="BI274">
        <f>IF($V274="","",IFERROR(IF(ISNUMBER($V274),$V274,DATEVALUE(TRIM($V274))),""))</f>
        <v/>
      </c>
      <c r="BJ274">
        <f>IF($BI274="","",IF(MONTH($BI274)&gt;=12,"Cold Winter",IF(MONTH($BI274)&gt;=10,"Post-Monsoon",IF(MONTH($BI274)&gt;=6,"Hot Humid",IF(MONTH($BI274)&gt;=3,"Hot Dry","Cold Winter")))))</f>
        <v/>
      </c>
      <c r="BK274">
        <f>IF($BD274="","",IFERROR(VLOOKUP($BD274,DECODE!$A$3:$C$8,2,FALSE),"?"))</f>
        <v/>
      </c>
      <c r="BL274">
        <f>IF($Q274="","",UPPER(TRIM(LEFT($Q274&amp;",",FIND(",",$Q274&amp;",")-1))))</f>
        <v/>
      </c>
      <c r="BM274">
        <f>IF($BL274="","",MID($BL274,4,FIND("~",SUBSTITUTE($BL274,"-","~",2))-4))</f>
        <v/>
      </c>
      <c r="BN274">
        <f>IF($BL274="","",MID($BL274,FIND("~",SUBSTITUTE($BL274,"-","~",2))+1,FIND("~",SUBSTITUTE($BL274,"-","~",3))-FIND("~",SUBSTITUTE($BL274,"-","~",2))-1))</f>
        <v/>
      </c>
      <c r="BO274">
        <f>IF($BM274="","",IFERROR(VLOOKUP($BM274,DECODE!$A$3:$C$8,3,FALSE),"?"))</f>
        <v/>
      </c>
      <c r="BP274">
        <f>IF($BN274="","",IFERROR(VLOOKUP($BM274&amp;"-"&amp;$BN274,DECODE!$E$3:$F$21,2,FALSE),"?"))</f>
        <v/>
      </c>
      <c r="BQ274">
        <f>IF($BL274="","",IFERROR(VALUE(RIGHT($BL274,3)),""))</f>
        <v/>
      </c>
      <c r="BR274">
        <f>IF($W274="","",IFERROR(IF(ISNUMBER($W274),$W274,DATEVALUE(TRIM($W274))),""))</f>
        <v/>
      </c>
      <c r="BS274">
        <f>IF($BR274="","",IF(MONTH($BR274)&gt;=12,"Cold Winter",IF(MONTH($BR274)&gt;=10,"Post-Monsoon",IF(MONTH($BR274)&gt;=6,"Hot Humid",IF(MONTH($BR274)&gt;=3,"Hot Dry","Cold Winter")))))</f>
        <v/>
      </c>
      <c r="BT274">
        <f>IF($BM274="","",IFERROR(VLOOKUP($BM274,DECODE!$A$3:$C$8,2,FALSE),"?"))</f>
        <v/>
      </c>
      <c r="BU274">
        <f>IF($R274="","",UPPER(TRIM(LEFT($R274&amp;",",FIND(",",$R274&amp;",")-1))))</f>
        <v/>
      </c>
      <c r="BV274">
        <f>IF($BU274="","",MID($BU274,4,FIND("~",SUBSTITUTE($BU274,"-","~",2))-4))</f>
        <v/>
      </c>
      <c r="BW274">
        <f>IF($BU274="","",MID($BU274,FIND("~",SUBSTITUTE($BU274,"-","~",2))+1,FIND("~",SUBSTITUTE($BU274,"-","~",3))-FIND("~",SUBSTITUTE($BU274,"-","~",2))-1))</f>
        <v/>
      </c>
      <c r="BX274">
        <f>IF($BV274="","",IFERROR(VLOOKUP($BV274,DECODE!$A$3:$C$8,3,FALSE),"?"))</f>
        <v/>
      </c>
      <c r="BY274">
        <f>IF($BW274="","",IFERROR(VLOOKUP($BV274&amp;"-"&amp;$BW274,DECODE!$E$3:$F$21,2,FALSE),"?"))</f>
        <v/>
      </c>
      <c r="BZ274">
        <f>IF($BU274="","",IFERROR(VALUE(RIGHT($BU274,3)),""))</f>
        <v/>
      </c>
      <c r="CA274">
        <f>IF($X274="","",IFERROR(IF(ISNUMBER($X274),$X274,DATEVALUE(TRIM($X274))),""))</f>
        <v/>
      </c>
      <c r="CB274">
        <f>IF($CA274="","",IF(MONTH($CA274)&gt;=12,"Cold Winter",IF(MONTH($CA274)&gt;=10,"Post-Monsoon",IF(MONTH($CA274)&gt;=6,"Hot Humid",IF(MONTH($CA274)&gt;=3,"Hot Dry","Cold Winter")))))</f>
        <v/>
      </c>
      <c r="CC274">
        <f>IF($BV274="","",IFERROR(VLOOKUP($BV274,DECODE!$A$3:$C$8,2,FALSE),"?"))</f>
        <v/>
      </c>
      <c r="CD274">
        <f>IF($S274="","",UPPER(TRIM(LEFT($S274&amp;",",FIND(",",$S274&amp;",")-1))))</f>
        <v/>
      </c>
      <c r="CE274">
        <f>IF($CD274="","",MID($CD274,4,FIND("~",SUBSTITUTE($CD274,"-","~",2))-4))</f>
        <v/>
      </c>
      <c r="CF274">
        <f>IF($CD274="","",MID($CD274,FIND("~",SUBSTITUTE($CD274,"-","~",2))+1,FIND("~",SUBSTITUTE($CD274,"-","~",3))-FIND("~",SUBSTITUTE($CD274,"-","~",2))-1))</f>
        <v/>
      </c>
      <c r="CG274">
        <f>IF($CE274="","",IFERROR(VLOOKUP($CE274,DECODE!$A$3:$C$8,3,FALSE),"?"))</f>
        <v/>
      </c>
      <c r="CH274">
        <f>IF($CF274="","",IFERROR(VLOOKUP($CE274&amp;"-"&amp;$CF274,DECODE!$E$3:$F$21,2,FALSE),"?"))</f>
        <v/>
      </c>
      <c r="CI274">
        <f>IF($CD274="","",IFERROR(VALUE(RIGHT($CD274,3)),""))</f>
        <v/>
      </c>
      <c r="CJ274">
        <f>IF($Y274="","",IFERROR(IF(ISNUMBER($Y274),$Y274,DATEVALUE(TRIM($Y274))),""))</f>
        <v/>
      </c>
      <c r="CK274">
        <f>IF($CJ274="","",IF(MONTH($CJ274)&gt;=12,"Cold Winter",IF(MONTH($CJ274)&gt;=10,"Post-Monsoon",IF(MONTH($CJ274)&gt;=6,"Hot Humid",IF(MONTH($CJ274)&gt;=3,"Hot Dry","Cold Winter")))))</f>
        <v/>
      </c>
      <c r="CL274">
        <f>IF($CE274="","",IFERROR(VLOOKUP($CE274,DECODE!$A$3:$C$8,2,FALSE),"?"))</f>
        <v/>
      </c>
      <c r="CM274">
        <f>IF($AN274="","",AN274)</f>
        <v/>
      </c>
      <c r="CN274">
        <f>IF($AO274="","",AO274)</f>
        <v/>
      </c>
      <c r="CO274">
        <f>IF($AP274="","",AP274)</f>
        <v/>
      </c>
      <c r="CP274">
        <f>IF($CM274="","",IF($CM274="Aloe Vera Gel","Aloe Vera Gel "&amp;$CO274&amp;"g",CN274&amp;" "&amp;$CO274&amp;"g"))</f>
        <v/>
      </c>
      <c r="CQ274">
        <f>IF($AT274="",0,1)</f>
        <v/>
      </c>
      <c r="CR274">
        <f>IF($CQ274=0,"",AW274)</f>
        <v/>
      </c>
      <c r="CS274">
        <f>IF($CQ274=0,"",AX274)</f>
        <v/>
      </c>
      <c r="CT274">
        <f>IF($CQ274=0,"",AY274)</f>
        <v/>
      </c>
      <c r="CU274">
        <f>IF($CR274="","",IF($CR274="Aloe Vera Gel","Aloe Vera Gel "&amp;$CT274&amp;"g",CS274&amp;" "&amp;$CT274&amp;"g"))</f>
        <v/>
      </c>
      <c r="CV274">
        <f>IF($CQ274=0,"",IF($CP274=$CU274,"Repeat Exact",IF($CT274&gt;$CO274,"Upsized",IF($CT274&lt;$CO274,"Downsized",IF($CM274&lt;&gt;$CR274,"Lateral","Same Size Diff Variant")))))</f>
        <v/>
      </c>
      <c r="CW274">
        <f>IF($CQ274=0,"",AZ274-AQ274)</f>
        <v/>
      </c>
      <c r="CX274">
        <f>IF($CQ274=0,0,IF(CS274=CN274,1,0))</f>
        <v/>
      </c>
      <c r="CY274">
        <f>IF($CQ274=0,0,IF(CR274=CM274,1,0))</f>
        <v/>
      </c>
      <c r="CZ274">
        <f>IF($A274="","",IF(AND(IF(DASHBOARD!$C$4="All",TRUE,$CM274=DASHBOARD!$C$4),IF(DASHBOARD!$C$6="All",TRUE,$CP274=DASHBOARD!$C$6),IF(DASHBOARD!$C$8="All",TRUE,$AF274&gt;=DASHBOARD!$C$8),IF(DASHBOARD!$C$10="All",TRUE,$AF274&lt;=DASHBOARD!$C$10),IF(DASHBOARD!$C$12="All",TRUE,$AH274=VALUE(DASHBOARD!$C$12)),IF(DASHBOARD!$C$14="All",TRUE,$AJ274=DASHBOARD!$C$14)),1,0))</f>
        <v/>
      </c>
    </row>
    <row r="275">
      <c r="A275" t="n">
        <v>159294</v>
      </c>
      <c r="B275" t="inlineStr">
        <is>
          <t>Face Malai</t>
        </is>
      </c>
      <c r="H275" t="inlineStr">
        <is>
          <t>Turmeric Nutmeg (Pigmentation)  Face Malai - 50g</t>
        </is>
      </c>
      <c r="N275" t="inlineStr">
        <is>
          <t>FC-DM-PG-050</t>
        </is>
      </c>
      <c r="T275" t="inlineStr">
        <is>
          <t>Jul 22, 2024</t>
        </is>
      </c>
      <c r="AE275" t="inlineStr">
        <is>
          <t>Mumbai</t>
        </is>
      </c>
      <c r="AF275" t="inlineStr">
        <is>
          <t>2024-07</t>
        </is>
      </c>
      <c r="AG275" t="n">
        <v>7</v>
      </c>
      <c r="AH275" t="n">
        <v>1</v>
      </c>
      <c r="AI275" t="n">
        <v>0</v>
      </c>
      <c r="AJ275">
        <f>IF($AE275="","",IFERROR(VLOOKUP(TRIM($AE275),DECODE!$H$3:$I$60,2,FALSE),"Rest of India"))</f>
        <v/>
      </c>
      <c r="AK275">
        <f>IF($N275="","",UPPER(TRIM(LEFT($N275&amp;",",FIND(",",$N275&amp;",")-1))))</f>
        <v/>
      </c>
      <c r="AL275">
        <f>IF($AK275="","",MID($AK275,4,FIND("~",SUBSTITUTE($AK275,"-","~",2))-4))</f>
        <v/>
      </c>
      <c r="AM275">
        <f>IF($AK275="","",MID($AK275,FIND("~",SUBSTITUTE($AK275,"-","~",2))+1,FIND("~",SUBSTITUTE($AK275,"-","~",3))-FIND("~",SUBSTITUTE($AK275,"-","~",2))-1))</f>
        <v/>
      </c>
      <c r="AN275">
        <f>IF($AL275="","",IFERROR(VLOOKUP($AL275,DECODE!$A$3:$C$8,3,FALSE),"?"))</f>
        <v/>
      </c>
      <c r="AO275">
        <f>IF($AM275="","",IFERROR(VLOOKUP($AL275&amp;"-"&amp;$AM275,DECODE!$E$3:$F$21,2,FALSE),"?"))</f>
        <v/>
      </c>
      <c r="AP275">
        <f>IF($AK275="","",IFERROR(VALUE(RIGHT($AK275,3)),""))</f>
        <v/>
      </c>
      <c r="AQ275">
        <f>IF($T275="","",IFERROR(IF(ISNUMBER($T275),$T275,DATEVALUE(TRIM($T275))),""))</f>
        <v/>
      </c>
      <c r="AR275">
        <f>IF($AQ275="","",IF(MONTH($AQ275)&gt;=12,"Cold Winter",IF(MONTH($AQ275)&gt;=10,"Post-Monsoon",IF(MONTH($AQ275)&gt;=6,"Hot Humid",IF(MONTH($AQ275)&gt;=3,"Hot Dry","Cold Winter")))))</f>
        <v/>
      </c>
      <c r="AS275">
        <f>IF($AL275="","",IFERROR(VLOOKUP($AL275,DECODE!$A$3:$C$8,2,FALSE),"?"))</f>
        <v/>
      </c>
      <c r="AT275">
        <f>IF($O275="","",UPPER(TRIM(LEFT($O275&amp;",",FIND(",",$O275&amp;",")-1))))</f>
        <v/>
      </c>
      <c r="AU275">
        <f>IF($AT275="","",MID($AT275,4,FIND("~",SUBSTITUTE($AT275,"-","~",2))-4))</f>
        <v/>
      </c>
      <c r="AV275">
        <f>IF($AT275="","",MID($AT275,FIND("~",SUBSTITUTE($AT275,"-","~",2))+1,FIND("~",SUBSTITUTE($AT275,"-","~",3))-FIND("~",SUBSTITUTE($AT275,"-","~",2))-1))</f>
        <v/>
      </c>
      <c r="AW275">
        <f>IF($AU275="","",IFERROR(VLOOKUP($AU275,DECODE!$A$3:$C$8,3,FALSE),"?"))</f>
        <v/>
      </c>
      <c r="AX275">
        <f>IF($AV275="","",IFERROR(VLOOKUP($AU275&amp;"-"&amp;$AV275,DECODE!$E$3:$F$21,2,FALSE),"?"))</f>
        <v/>
      </c>
      <c r="AY275">
        <f>IF($AT275="","",IFERROR(VALUE(RIGHT($AT275,3)),""))</f>
        <v/>
      </c>
      <c r="AZ275">
        <f>IF($U275="","",IFERROR(IF(ISNUMBER($U275),$U275,DATEVALUE(TRIM($U275))),""))</f>
        <v/>
      </c>
      <c r="BA275">
        <f>IF($AZ275="","",IF(MONTH($AZ275)&gt;=12,"Cold Winter",IF(MONTH($AZ275)&gt;=10,"Post-Monsoon",IF(MONTH($AZ275)&gt;=6,"Hot Humid",IF(MONTH($AZ275)&gt;=3,"Hot Dry","Cold Winter")))))</f>
        <v/>
      </c>
      <c r="BB275">
        <f>IF($AU275="","",IFERROR(VLOOKUP($AU275,DECODE!$A$3:$C$8,2,FALSE),"?"))</f>
        <v/>
      </c>
      <c r="BC275">
        <f>IF($P275="","",UPPER(TRIM(LEFT($P275&amp;",",FIND(",",$P275&amp;",")-1))))</f>
        <v/>
      </c>
      <c r="BD275">
        <f>IF($BC275="","",MID($BC275,4,FIND("~",SUBSTITUTE($BC275,"-","~",2))-4))</f>
        <v/>
      </c>
      <c r="BE275">
        <f>IF($BC275="","",MID($BC275,FIND("~",SUBSTITUTE($BC275,"-","~",2))+1,FIND("~",SUBSTITUTE($BC275,"-","~",3))-FIND("~",SUBSTITUTE($BC275,"-","~",2))-1))</f>
        <v/>
      </c>
      <c r="BF275">
        <f>IF($BD275="","",IFERROR(VLOOKUP($BD275,DECODE!$A$3:$C$8,3,FALSE),"?"))</f>
        <v/>
      </c>
      <c r="BG275">
        <f>IF($BE275="","",IFERROR(VLOOKUP($BD275&amp;"-"&amp;$BE275,DECODE!$E$3:$F$21,2,FALSE),"?"))</f>
        <v/>
      </c>
      <c r="BH275">
        <f>IF($BC275="","",IFERROR(VALUE(RIGHT($BC275,3)),""))</f>
        <v/>
      </c>
      <c r="BI275">
        <f>IF($V275="","",IFERROR(IF(ISNUMBER($V275),$V275,DATEVALUE(TRIM($V275))),""))</f>
        <v/>
      </c>
      <c r="BJ275">
        <f>IF($BI275="","",IF(MONTH($BI275)&gt;=12,"Cold Winter",IF(MONTH($BI275)&gt;=10,"Post-Monsoon",IF(MONTH($BI275)&gt;=6,"Hot Humid",IF(MONTH($BI275)&gt;=3,"Hot Dry","Cold Winter")))))</f>
        <v/>
      </c>
      <c r="BK275">
        <f>IF($BD275="","",IFERROR(VLOOKUP($BD275,DECODE!$A$3:$C$8,2,FALSE),"?"))</f>
        <v/>
      </c>
      <c r="BL275">
        <f>IF($Q275="","",UPPER(TRIM(LEFT($Q275&amp;",",FIND(",",$Q275&amp;",")-1))))</f>
        <v/>
      </c>
      <c r="BM275">
        <f>IF($BL275="","",MID($BL275,4,FIND("~",SUBSTITUTE($BL275,"-","~",2))-4))</f>
        <v/>
      </c>
      <c r="BN275">
        <f>IF($BL275="","",MID($BL275,FIND("~",SUBSTITUTE($BL275,"-","~",2))+1,FIND("~",SUBSTITUTE($BL275,"-","~",3))-FIND("~",SUBSTITUTE($BL275,"-","~",2))-1))</f>
        <v/>
      </c>
      <c r="BO275">
        <f>IF($BM275="","",IFERROR(VLOOKUP($BM275,DECODE!$A$3:$C$8,3,FALSE),"?"))</f>
        <v/>
      </c>
      <c r="BP275">
        <f>IF($BN275="","",IFERROR(VLOOKUP($BM275&amp;"-"&amp;$BN275,DECODE!$E$3:$F$21,2,FALSE),"?"))</f>
        <v/>
      </c>
      <c r="BQ275">
        <f>IF($BL275="","",IFERROR(VALUE(RIGHT($BL275,3)),""))</f>
        <v/>
      </c>
      <c r="BR275">
        <f>IF($W275="","",IFERROR(IF(ISNUMBER($W275),$W275,DATEVALUE(TRIM($W275))),""))</f>
        <v/>
      </c>
      <c r="BS275">
        <f>IF($BR275="","",IF(MONTH($BR275)&gt;=12,"Cold Winter",IF(MONTH($BR275)&gt;=10,"Post-Monsoon",IF(MONTH($BR275)&gt;=6,"Hot Humid",IF(MONTH($BR275)&gt;=3,"Hot Dry","Cold Winter")))))</f>
        <v/>
      </c>
      <c r="BT275">
        <f>IF($BM275="","",IFERROR(VLOOKUP($BM275,DECODE!$A$3:$C$8,2,FALSE),"?"))</f>
        <v/>
      </c>
      <c r="BU275">
        <f>IF($R275="","",UPPER(TRIM(LEFT($R275&amp;",",FIND(",",$R275&amp;",")-1))))</f>
        <v/>
      </c>
      <c r="BV275">
        <f>IF($BU275="","",MID($BU275,4,FIND("~",SUBSTITUTE($BU275,"-","~",2))-4))</f>
        <v/>
      </c>
      <c r="BW275">
        <f>IF($BU275="","",MID($BU275,FIND("~",SUBSTITUTE($BU275,"-","~",2))+1,FIND("~",SUBSTITUTE($BU275,"-","~",3))-FIND("~",SUBSTITUTE($BU275,"-","~",2))-1))</f>
        <v/>
      </c>
      <c r="BX275">
        <f>IF($BV275="","",IFERROR(VLOOKUP($BV275,DECODE!$A$3:$C$8,3,FALSE),"?"))</f>
        <v/>
      </c>
      <c r="BY275">
        <f>IF($BW275="","",IFERROR(VLOOKUP($BV275&amp;"-"&amp;$BW275,DECODE!$E$3:$F$21,2,FALSE),"?"))</f>
        <v/>
      </c>
      <c r="BZ275">
        <f>IF($BU275="","",IFERROR(VALUE(RIGHT($BU275,3)),""))</f>
        <v/>
      </c>
      <c r="CA275">
        <f>IF($X275="","",IFERROR(IF(ISNUMBER($X275),$X275,DATEVALUE(TRIM($X275))),""))</f>
        <v/>
      </c>
      <c r="CB275">
        <f>IF($CA275="","",IF(MONTH($CA275)&gt;=12,"Cold Winter",IF(MONTH($CA275)&gt;=10,"Post-Monsoon",IF(MONTH($CA275)&gt;=6,"Hot Humid",IF(MONTH($CA275)&gt;=3,"Hot Dry","Cold Winter")))))</f>
        <v/>
      </c>
      <c r="CC275">
        <f>IF($BV275="","",IFERROR(VLOOKUP($BV275,DECODE!$A$3:$C$8,2,FALSE),"?"))</f>
        <v/>
      </c>
      <c r="CD275">
        <f>IF($S275="","",UPPER(TRIM(LEFT($S275&amp;",",FIND(",",$S275&amp;",")-1))))</f>
        <v/>
      </c>
      <c r="CE275">
        <f>IF($CD275="","",MID($CD275,4,FIND("~",SUBSTITUTE($CD275,"-","~",2))-4))</f>
        <v/>
      </c>
      <c r="CF275">
        <f>IF($CD275="","",MID($CD275,FIND("~",SUBSTITUTE($CD275,"-","~",2))+1,FIND("~",SUBSTITUTE($CD275,"-","~",3))-FIND("~",SUBSTITUTE($CD275,"-","~",2))-1))</f>
        <v/>
      </c>
      <c r="CG275">
        <f>IF($CE275="","",IFERROR(VLOOKUP($CE275,DECODE!$A$3:$C$8,3,FALSE),"?"))</f>
        <v/>
      </c>
      <c r="CH275">
        <f>IF($CF275="","",IFERROR(VLOOKUP($CE275&amp;"-"&amp;$CF275,DECODE!$E$3:$F$21,2,FALSE),"?"))</f>
        <v/>
      </c>
      <c r="CI275">
        <f>IF($CD275="","",IFERROR(VALUE(RIGHT($CD275,3)),""))</f>
        <v/>
      </c>
      <c r="CJ275">
        <f>IF($Y275="","",IFERROR(IF(ISNUMBER($Y275),$Y275,DATEVALUE(TRIM($Y275))),""))</f>
        <v/>
      </c>
      <c r="CK275">
        <f>IF($CJ275="","",IF(MONTH($CJ275)&gt;=12,"Cold Winter",IF(MONTH($CJ275)&gt;=10,"Post-Monsoon",IF(MONTH($CJ275)&gt;=6,"Hot Humid",IF(MONTH($CJ275)&gt;=3,"Hot Dry","Cold Winter")))))</f>
        <v/>
      </c>
      <c r="CL275">
        <f>IF($CE275="","",IFERROR(VLOOKUP($CE275,DECODE!$A$3:$C$8,2,FALSE),"?"))</f>
        <v/>
      </c>
      <c r="CM275">
        <f>IF($AN275="","",AN275)</f>
        <v/>
      </c>
      <c r="CN275">
        <f>IF($AO275="","",AO275)</f>
        <v/>
      </c>
      <c r="CO275">
        <f>IF($AP275="","",AP275)</f>
        <v/>
      </c>
      <c r="CP275">
        <f>IF($CM275="","",IF($CM275="Aloe Vera Gel","Aloe Vera Gel "&amp;$CO275&amp;"g",CN275&amp;" "&amp;$CO275&amp;"g"))</f>
        <v/>
      </c>
      <c r="CQ275">
        <f>IF($AT275="",0,1)</f>
        <v/>
      </c>
      <c r="CR275">
        <f>IF($CQ275=0,"",AW275)</f>
        <v/>
      </c>
      <c r="CS275">
        <f>IF($CQ275=0,"",AX275)</f>
        <v/>
      </c>
      <c r="CT275">
        <f>IF($CQ275=0,"",AY275)</f>
        <v/>
      </c>
      <c r="CU275">
        <f>IF($CR275="","",IF($CR275="Aloe Vera Gel","Aloe Vera Gel "&amp;$CT275&amp;"g",CS275&amp;" "&amp;$CT275&amp;"g"))</f>
        <v/>
      </c>
      <c r="CV275">
        <f>IF($CQ275=0,"",IF($CP275=$CU275,"Repeat Exact",IF($CT275&gt;$CO275,"Upsized",IF($CT275&lt;$CO275,"Downsized",IF($CM275&lt;&gt;$CR275,"Lateral","Same Size Diff Variant")))))</f>
        <v/>
      </c>
      <c r="CW275">
        <f>IF($CQ275=0,"",AZ275-AQ275)</f>
        <v/>
      </c>
      <c r="CX275">
        <f>IF($CQ275=0,0,IF(CS275=CN275,1,0))</f>
        <v/>
      </c>
      <c r="CY275">
        <f>IF($CQ275=0,0,IF(CR275=CM275,1,0))</f>
        <v/>
      </c>
      <c r="CZ275">
        <f>IF($A275="","",IF(AND(IF(DASHBOARD!$C$4="All",TRUE,$CM275=DASHBOARD!$C$4),IF(DASHBOARD!$C$6="All",TRUE,$CP275=DASHBOARD!$C$6),IF(DASHBOARD!$C$8="All",TRUE,$AF275&gt;=DASHBOARD!$C$8),IF(DASHBOARD!$C$10="All",TRUE,$AF275&lt;=DASHBOARD!$C$10),IF(DASHBOARD!$C$12="All",TRUE,$AH275=VALUE(DASHBOARD!$C$12)),IF(DASHBOARD!$C$14="All",TRUE,$AJ275=DASHBOARD!$C$14)),1,0))</f>
        <v/>
      </c>
    </row>
    <row r="276">
      <c r="A276" t="n">
        <v>160153</v>
      </c>
      <c r="B276" t="inlineStr">
        <is>
          <t>Aloe Vera Gel</t>
        </is>
      </c>
      <c r="H276" t="inlineStr">
        <is>
          <t>Aloe Vera Gel - 80 gms</t>
        </is>
      </c>
      <c r="N276" t="inlineStr">
        <is>
          <t>FC-HG-PA-080</t>
        </is>
      </c>
      <c r="T276" t="inlineStr">
        <is>
          <t>Oct 29, 2025</t>
        </is>
      </c>
      <c r="AE276" t="inlineStr">
        <is>
          <t>Secunderabad</t>
        </is>
      </c>
      <c r="AF276" t="inlineStr">
        <is>
          <t>2025-10</t>
        </is>
      </c>
      <c r="AG276" t="n">
        <v>10</v>
      </c>
      <c r="AH276" t="n">
        <v>1</v>
      </c>
      <c r="AI276" t="n">
        <v>0</v>
      </c>
      <c r="AJ276">
        <f>IF($AE276="","",IFERROR(VLOOKUP(TRIM($AE276),DECODE!$H$3:$I$60,2,FALSE),"Rest of India"))</f>
        <v/>
      </c>
      <c r="AK276">
        <f>IF($N276="","",UPPER(TRIM(LEFT($N276&amp;",",FIND(",",$N276&amp;",")-1))))</f>
        <v/>
      </c>
      <c r="AL276">
        <f>IF($AK276="","",MID($AK276,4,FIND("~",SUBSTITUTE($AK276,"-","~",2))-4))</f>
        <v/>
      </c>
      <c r="AM276">
        <f>IF($AK276="","",MID($AK276,FIND("~",SUBSTITUTE($AK276,"-","~",2))+1,FIND("~",SUBSTITUTE($AK276,"-","~",3))-FIND("~",SUBSTITUTE($AK276,"-","~",2))-1))</f>
        <v/>
      </c>
      <c r="AN276">
        <f>IF($AL276="","",IFERROR(VLOOKUP($AL276,DECODE!$A$3:$C$8,3,FALSE),"?"))</f>
        <v/>
      </c>
      <c r="AO276">
        <f>IF($AM276="","",IFERROR(VLOOKUP($AL276&amp;"-"&amp;$AM276,DECODE!$E$3:$F$21,2,FALSE),"?"))</f>
        <v/>
      </c>
      <c r="AP276">
        <f>IF($AK276="","",IFERROR(VALUE(RIGHT($AK276,3)),""))</f>
        <v/>
      </c>
      <c r="AQ276">
        <f>IF($T276="","",IFERROR(IF(ISNUMBER($T276),$T276,DATEVALUE(TRIM($T276))),""))</f>
        <v/>
      </c>
      <c r="AR276">
        <f>IF($AQ276="","",IF(MONTH($AQ276)&gt;=12,"Cold Winter",IF(MONTH($AQ276)&gt;=10,"Post-Monsoon",IF(MONTH($AQ276)&gt;=6,"Hot Humid",IF(MONTH($AQ276)&gt;=3,"Hot Dry","Cold Winter")))))</f>
        <v/>
      </c>
      <c r="AS276">
        <f>IF($AL276="","",IFERROR(VLOOKUP($AL276,DECODE!$A$3:$C$8,2,FALSE),"?"))</f>
        <v/>
      </c>
      <c r="AT276">
        <f>IF($O276="","",UPPER(TRIM(LEFT($O276&amp;",",FIND(",",$O276&amp;",")-1))))</f>
        <v/>
      </c>
      <c r="AU276">
        <f>IF($AT276="","",MID($AT276,4,FIND("~",SUBSTITUTE($AT276,"-","~",2))-4))</f>
        <v/>
      </c>
      <c r="AV276">
        <f>IF($AT276="","",MID($AT276,FIND("~",SUBSTITUTE($AT276,"-","~",2))+1,FIND("~",SUBSTITUTE($AT276,"-","~",3))-FIND("~",SUBSTITUTE($AT276,"-","~",2))-1))</f>
        <v/>
      </c>
      <c r="AW276">
        <f>IF($AU276="","",IFERROR(VLOOKUP($AU276,DECODE!$A$3:$C$8,3,FALSE),"?"))</f>
        <v/>
      </c>
      <c r="AX276">
        <f>IF($AV276="","",IFERROR(VLOOKUP($AU276&amp;"-"&amp;$AV276,DECODE!$E$3:$F$21,2,FALSE),"?"))</f>
        <v/>
      </c>
      <c r="AY276">
        <f>IF($AT276="","",IFERROR(VALUE(RIGHT($AT276,3)),""))</f>
        <v/>
      </c>
      <c r="AZ276">
        <f>IF($U276="","",IFERROR(IF(ISNUMBER($U276),$U276,DATEVALUE(TRIM($U276))),""))</f>
        <v/>
      </c>
      <c r="BA276">
        <f>IF($AZ276="","",IF(MONTH($AZ276)&gt;=12,"Cold Winter",IF(MONTH($AZ276)&gt;=10,"Post-Monsoon",IF(MONTH($AZ276)&gt;=6,"Hot Humid",IF(MONTH($AZ276)&gt;=3,"Hot Dry","Cold Winter")))))</f>
        <v/>
      </c>
      <c r="BB276">
        <f>IF($AU276="","",IFERROR(VLOOKUP($AU276,DECODE!$A$3:$C$8,2,FALSE),"?"))</f>
        <v/>
      </c>
      <c r="BC276">
        <f>IF($P276="","",UPPER(TRIM(LEFT($P276&amp;",",FIND(",",$P276&amp;",")-1))))</f>
        <v/>
      </c>
      <c r="BD276">
        <f>IF($BC276="","",MID($BC276,4,FIND("~",SUBSTITUTE($BC276,"-","~",2))-4))</f>
        <v/>
      </c>
      <c r="BE276">
        <f>IF($BC276="","",MID($BC276,FIND("~",SUBSTITUTE($BC276,"-","~",2))+1,FIND("~",SUBSTITUTE($BC276,"-","~",3))-FIND("~",SUBSTITUTE($BC276,"-","~",2))-1))</f>
        <v/>
      </c>
      <c r="BF276">
        <f>IF($BD276="","",IFERROR(VLOOKUP($BD276,DECODE!$A$3:$C$8,3,FALSE),"?"))</f>
        <v/>
      </c>
      <c r="BG276">
        <f>IF($BE276="","",IFERROR(VLOOKUP($BD276&amp;"-"&amp;$BE276,DECODE!$E$3:$F$21,2,FALSE),"?"))</f>
        <v/>
      </c>
      <c r="BH276">
        <f>IF($BC276="","",IFERROR(VALUE(RIGHT($BC276,3)),""))</f>
        <v/>
      </c>
      <c r="BI276">
        <f>IF($V276="","",IFERROR(IF(ISNUMBER($V276),$V276,DATEVALUE(TRIM($V276))),""))</f>
        <v/>
      </c>
      <c r="BJ276">
        <f>IF($BI276="","",IF(MONTH($BI276)&gt;=12,"Cold Winter",IF(MONTH($BI276)&gt;=10,"Post-Monsoon",IF(MONTH($BI276)&gt;=6,"Hot Humid",IF(MONTH($BI276)&gt;=3,"Hot Dry","Cold Winter")))))</f>
        <v/>
      </c>
      <c r="BK276">
        <f>IF($BD276="","",IFERROR(VLOOKUP($BD276,DECODE!$A$3:$C$8,2,FALSE),"?"))</f>
        <v/>
      </c>
      <c r="BL276">
        <f>IF($Q276="","",UPPER(TRIM(LEFT($Q276&amp;",",FIND(",",$Q276&amp;",")-1))))</f>
        <v/>
      </c>
      <c r="BM276">
        <f>IF($BL276="","",MID($BL276,4,FIND("~",SUBSTITUTE($BL276,"-","~",2))-4))</f>
        <v/>
      </c>
      <c r="BN276">
        <f>IF($BL276="","",MID($BL276,FIND("~",SUBSTITUTE($BL276,"-","~",2))+1,FIND("~",SUBSTITUTE($BL276,"-","~",3))-FIND("~",SUBSTITUTE($BL276,"-","~",2))-1))</f>
        <v/>
      </c>
      <c r="BO276">
        <f>IF($BM276="","",IFERROR(VLOOKUP($BM276,DECODE!$A$3:$C$8,3,FALSE),"?"))</f>
        <v/>
      </c>
      <c r="BP276">
        <f>IF($BN276="","",IFERROR(VLOOKUP($BM276&amp;"-"&amp;$BN276,DECODE!$E$3:$F$21,2,FALSE),"?"))</f>
        <v/>
      </c>
      <c r="BQ276">
        <f>IF($BL276="","",IFERROR(VALUE(RIGHT($BL276,3)),""))</f>
        <v/>
      </c>
      <c r="BR276">
        <f>IF($W276="","",IFERROR(IF(ISNUMBER($W276),$W276,DATEVALUE(TRIM($W276))),""))</f>
        <v/>
      </c>
      <c r="BS276">
        <f>IF($BR276="","",IF(MONTH($BR276)&gt;=12,"Cold Winter",IF(MONTH($BR276)&gt;=10,"Post-Monsoon",IF(MONTH($BR276)&gt;=6,"Hot Humid",IF(MONTH($BR276)&gt;=3,"Hot Dry","Cold Winter")))))</f>
        <v/>
      </c>
      <c r="BT276">
        <f>IF($BM276="","",IFERROR(VLOOKUP($BM276,DECODE!$A$3:$C$8,2,FALSE),"?"))</f>
        <v/>
      </c>
      <c r="BU276">
        <f>IF($R276="","",UPPER(TRIM(LEFT($R276&amp;",",FIND(",",$R276&amp;",")-1))))</f>
        <v/>
      </c>
      <c r="BV276">
        <f>IF($BU276="","",MID($BU276,4,FIND("~",SUBSTITUTE($BU276,"-","~",2))-4))</f>
        <v/>
      </c>
      <c r="BW276">
        <f>IF($BU276="","",MID($BU276,FIND("~",SUBSTITUTE($BU276,"-","~",2))+1,FIND("~",SUBSTITUTE($BU276,"-","~",3))-FIND("~",SUBSTITUTE($BU276,"-","~",2))-1))</f>
        <v/>
      </c>
      <c r="BX276">
        <f>IF($BV276="","",IFERROR(VLOOKUP($BV276,DECODE!$A$3:$C$8,3,FALSE),"?"))</f>
        <v/>
      </c>
      <c r="BY276">
        <f>IF($BW276="","",IFERROR(VLOOKUP($BV276&amp;"-"&amp;$BW276,DECODE!$E$3:$F$21,2,FALSE),"?"))</f>
        <v/>
      </c>
      <c r="BZ276">
        <f>IF($BU276="","",IFERROR(VALUE(RIGHT($BU276,3)),""))</f>
        <v/>
      </c>
      <c r="CA276">
        <f>IF($X276="","",IFERROR(IF(ISNUMBER($X276),$X276,DATEVALUE(TRIM($X276))),""))</f>
        <v/>
      </c>
      <c r="CB276">
        <f>IF($CA276="","",IF(MONTH($CA276)&gt;=12,"Cold Winter",IF(MONTH($CA276)&gt;=10,"Post-Monsoon",IF(MONTH($CA276)&gt;=6,"Hot Humid",IF(MONTH($CA276)&gt;=3,"Hot Dry","Cold Winter")))))</f>
        <v/>
      </c>
      <c r="CC276">
        <f>IF($BV276="","",IFERROR(VLOOKUP($BV276,DECODE!$A$3:$C$8,2,FALSE),"?"))</f>
        <v/>
      </c>
      <c r="CD276">
        <f>IF($S276="","",UPPER(TRIM(LEFT($S276&amp;",",FIND(",",$S276&amp;",")-1))))</f>
        <v/>
      </c>
      <c r="CE276">
        <f>IF($CD276="","",MID($CD276,4,FIND("~",SUBSTITUTE($CD276,"-","~",2))-4))</f>
        <v/>
      </c>
      <c r="CF276">
        <f>IF($CD276="","",MID($CD276,FIND("~",SUBSTITUTE($CD276,"-","~",2))+1,FIND("~",SUBSTITUTE($CD276,"-","~",3))-FIND("~",SUBSTITUTE($CD276,"-","~",2))-1))</f>
        <v/>
      </c>
      <c r="CG276">
        <f>IF($CE276="","",IFERROR(VLOOKUP($CE276,DECODE!$A$3:$C$8,3,FALSE),"?"))</f>
        <v/>
      </c>
      <c r="CH276">
        <f>IF($CF276="","",IFERROR(VLOOKUP($CE276&amp;"-"&amp;$CF276,DECODE!$E$3:$F$21,2,FALSE),"?"))</f>
        <v/>
      </c>
      <c r="CI276">
        <f>IF($CD276="","",IFERROR(VALUE(RIGHT($CD276,3)),""))</f>
        <v/>
      </c>
      <c r="CJ276">
        <f>IF($Y276="","",IFERROR(IF(ISNUMBER($Y276),$Y276,DATEVALUE(TRIM($Y276))),""))</f>
        <v/>
      </c>
      <c r="CK276">
        <f>IF($CJ276="","",IF(MONTH($CJ276)&gt;=12,"Cold Winter",IF(MONTH($CJ276)&gt;=10,"Post-Monsoon",IF(MONTH($CJ276)&gt;=6,"Hot Humid",IF(MONTH($CJ276)&gt;=3,"Hot Dry","Cold Winter")))))</f>
        <v/>
      </c>
      <c r="CL276">
        <f>IF($CE276="","",IFERROR(VLOOKUP($CE276,DECODE!$A$3:$C$8,2,FALSE),"?"))</f>
        <v/>
      </c>
      <c r="CM276">
        <f>IF($AN276="","",AN276)</f>
        <v/>
      </c>
      <c r="CN276">
        <f>IF($AO276="","",AO276)</f>
        <v/>
      </c>
      <c r="CO276">
        <f>IF($AP276="","",AP276)</f>
        <v/>
      </c>
      <c r="CP276">
        <f>IF($CM276="","",IF($CM276="Aloe Vera Gel","Aloe Vera Gel "&amp;$CO276&amp;"g",CN276&amp;" "&amp;$CO276&amp;"g"))</f>
        <v/>
      </c>
      <c r="CQ276">
        <f>IF($AT276="",0,1)</f>
        <v/>
      </c>
      <c r="CR276">
        <f>IF($CQ276=0,"",AW276)</f>
        <v/>
      </c>
      <c r="CS276">
        <f>IF($CQ276=0,"",AX276)</f>
        <v/>
      </c>
      <c r="CT276">
        <f>IF($CQ276=0,"",AY276)</f>
        <v/>
      </c>
      <c r="CU276">
        <f>IF($CR276="","",IF($CR276="Aloe Vera Gel","Aloe Vera Gel "&amp;$CT276&amp;"g",CS276&amp;" "&amp;$CT276&amp;"g"))</f>
        <v/>
      </c>
      <c r="CV276">
        <f>IF($CQ276=0,"",IF($CP276=$CU276,"Repeat Exact",IF($CT276&gt;$CO276,"Upsized",IF($CT276&lt;$CO276,"Downsized",IF($CM276&lt;&gt;$CR276,"Lateral","Same Size Diff Variant")))))</f>
        <v/>
      </c>
      <c r="CW276">
        <f>IF($CQ276=0,"",AZ276-AQ276)</f>
        <v/>
      </c>
      <c r="CX276">
        <f>IF($CQ276=0,0,IF(CS276=CN276,1,0))</f>
        <v/>
      </c>
      <c r="CY276">
        <f>IF($CQ276=0,0,IF(CR276=CM276,1,0))</f>
        <v/>
      </c>
      <c r="CZ276">
        <f>IF($A276="","",IF(AND(IF(DASHBOARD!$C$4="All",TRUE,$CM276=DASHBOARD!$C$4),IF(DASHBOARD!$C$6="All",TRUE,$CP276=DASHBOARD!$C$6),IF(DASHBOARD!$C$8="All",TRUE,$AF276&gt;=DASHBOARD!$C$8),IF(DASHBOARD!$C$10="All",TRUE,$AF276&lt;=DASHBOARD!$C$10),IF(DASHBOARD!$C$12="All",TRUE,$AH276=VALUE(DASHBOARD!$C$12)),IF(DASHBOARD!$C$14="All",TRUE,$AJ276=DASHBOARD!$C$14)),1,0))</f>
        <v/>
      </c>
    </row>
    <row r="277">
      <c r="A277" t="n">
        <v>160741</v>
      </c>
      <c r="B277" t="inlineStr">
        <is>
          <t>Aloe Vera Gel</t>
        </is>
      </c>
      <c r="H277" t="inlineStr">
        <is>
          <t>Aloe Vera Gel - 80 gms</t>
        </is>
      </c>
      <c r="N277" t="inlineStr">
        <is>
          <t>FC-HG-PA-080</t>
        </is>
      </c>
      <c r="T277" t="inlineStr">
        <is>
          <t>Aug 18, 2025</t>
        </is>
      </c>
      <c r="AE277" t="inlineStr">
        <is>
          <t>Bengaluru</t>
        </is>
      </c>
      <c r="AF277" t="inlineStr">
        <is>
          <t>2025-08</t>
        </is>
      </c>
      <c r="AG277" t="n">
        <v>8</v>
      </c>
      <c r="AH277" t="n">
        <v>1</v>
      </c>
      <c r="AI277" t="n">
        <v>0</v>
      </c>
      <c r="AJ277">
        <f>IF($AE277="","",IFERROR(VLOOKUP(TRIM($AE277),DECODE!$H$3:$I$60,2,FALSE),"Rest of India"))</f>
        <v/>
      </c>
      <c r="AK277">
        <f>IF($N277="","",UPPER(TRIM(LEFT($N277&amp;",",FIND(",",$N277&amp;",")-1))))</f>
        <v/>
      </c>
      <c r="AL277">
        <f>IF($AK277="","",MID($AK277,4,FIND("~",SUBSTITUTE($AK277,"-","~",2))-4))</f>
        <v/>
      </c>
      <c r="AM277">
        <f>IF($AK277="","",MID($AK277,FIND("~",SUBSTITUTE($AK277,"-","~",2))+1,FIND("~",SUBSTITUTE($AK277,"-","~",3))-FIND("~",SUBSTITUTE($AK277,"-","~",2))-1))</f>
        <v/>
      </c>
      <c r="AN277">
        <f>IF($AL277="","",IFERROR(VLOOKUP($AL277,DECODE!$A$3:$C$8,3,FALSE),"?"))</f>
        <v/>
      </c>
      <c r="AO277">
        <f>IF($AM277="","",IFERROR(VLOOKUP($AL277&amp;"-"&amp;$AM277,DECODE!$E$3:$F$21,2,FALSE),"?"))</f>
        <v/>
      </c>
      <c r="AP277">
        <f>IF($AK277="","",IFERROR(VALUE(RIGHT($AK277,3)),""))</f>
        <v/>
      </c>
      <c r="AQ277">
        <f>IF($T277="","",IFERROR(IF(ISNUMBER($T277),$T277,DATEVALUE(TRIM($T277))),""))</f>
        <v/>
      </c>
      <c r="AR277">
        <f>IF($AQ277="","",IF(MONTH($AQ277)&gt;=12,"Cold Winter",IF(MONTH($AQ277)&gt;=10,"Post-Monsoon",IF(MONTH($AQ277)&gt;=6,"Hot Humid",IF(MONTH($AQ277)&gt;=3,"Hot Dry","Cold Winter")))))</f>
        <v/>
      </c>
      <c r="AS277">
        <f>IF($AL277="","",IFERROR(VLOOKUP($AL277,DECODE!$A$3:$C$8,2,FALSE),"?"))</f>
        <v/>
      </c>
      <c r="AT277">
        <f>IF($O277="","",UPPER(TRIM(LEFT($O277&amp;",",FIND(",",$O277&amp;",")-1))))</f>
        <v/>
      </c>
      <c r="AU277">
        <f>IF($AT277="","",MID($AT277,4,FIND("~",SUBSTITUTE($AT277,"-","~",2))-4))</f>
        <v/>
      </c>
      <c r="AV277">
        <f>IF($AT277="","",MID($AT277,FIND("~",SUBSTITUTE($AT277,"-","~",2))+1,FIND("~",SUBSTITUTE($AT277,"-","~",3))-FIND("~",SUBSTITUTE($AT277,"-","~",2))-1))</f>
        <v/>
      </c>
      <c r="AW277">
        <f>IF($AU277="","",IFERROR(VLOOKUP($AU277,DECODE!$A$3:$C$8,3,FALSE),"?"))</f>
        <v/>
      </c>
      <c r="AX277">
        <f>IF($AV277="","",IFERROR(VLOOKUP($AU277&amp;"-"&amp;$AV277,DECODE!$E$3:$F$21,2,FALSE),"?"))</f>
        <v/>
      </c>
      <c r="AY277">
        <f>IF($AT277="","",IFERROR(VALUE(RIGHT($AT277,3)),""))</f>
        <v/>
      </c>
      <c r="AZ277">
        <f>IF($U277="","",IFERROR(IF(ISNUMBER($U277),$U277,DATEVALUE(TRIM($U277))),""))</f>
        <v/>
      </c>
      <c r="BA277">
        <f>IF($AZ277="","",IF(MONTH($AZ277)&gt;=12,"Cold Winter",IF(MONTH($AZ277)&gt;=10,"Post-Monsoon",IF(MONTH($AZ277)&gt;=6,"Hot Humid",IF(MONTH($AZ277)&gt;=3,"Hot Dry","Cold Winter")))))</f>
        <v/>
      </c>
      <c r="BB277">
        <f>IF($AU277="","",IFERROR(VLOOKUP($AU277,DECODE!$A$3:$C$8,2,FALSE),"?"))</f>
        <v/>
      </c>
      <c r="BC277">
        <f>IF($P277="","",UPPER(TRIM(LEFT($P277&amp;",",FIND(",",$P277&amp;",")-1))))</f>
        <v/>
      </c>
      <c r="BD277">
        <f>IF($BC277="","",MID($BC277,4,FIND("~",SUBSTITUTE($BC277,"-","~",2))-4))</f>
        <v/>
      </c>
      <c r="BE277">
        <f>IF($BC277="","",MID($BC277,FIND("~",SUBSTITUTE($BC277,"-","~",2))+1,FIND("~",SUBSTITUTE($BC277,"-","~",3))-FIND("~",SUBSTITUTE($BC277,"-","~",2))-1))</f>
        <v/>
      </c>
      <c r="BF277">
        <f>IF($BD277="","",IFERROR(VLOOKUP($BD277,DECODE!$A$3:$C$8,3,FALSE),"?"))</f>
        <v/>
      </c>
      <c r="BG277">
        <f>IF($BE277="","",IFERROR(VLOOKUP($BD277&amp;"-"&amp;$BE277,DECODE!$E$3:$F$21,2,FALSE),"?"))</f>
        <v/>
      </c>
      <c r="BH277">
        <f>IF($BC277="","",IFERROR(VALUE(RIGHT($BC277,3)),""))</f>
        <v/>
      </c>
      <c r="BI277">
        <f>IF($V277="","",IFERROR(IF(ISNUMBER($V277),$V277,DATEVALUE(TRIM($V277))),""))</f>
        <v/>
      </c>
      <c r="BJ277">
        <f>IF($BI277="","",IF(MONTH($BI277)&gt;=12,"Cold Winter",IF(MONTH($BI277)&gt;=10,"Post-Monsoon",IF(MONTH($BI277)&gt;=6,"Hot Humid",IF(MONTH($BI277)&gt;=3,"Hot Dry","Cold Winter")))))</f>
        <v/>
      </c>
      <c r="BK277">
        <f>IF($BD277="","",IFERROR(VLOOKUP($BD277,DECODE!$A$3:$C$8,2,FALSE),"?"))</f>
        <v/>
      </c>
      <c r="BL277">
        <f>IF($Q277="","",UPPER(TRIM(LEFT($Q277&amp;",",FIND(",",$Q277&amp;",")-1))))</f>
        <v/>
      </c>
      <c r="BM277">
        <f>IF($BL277="","",MID($BL277,4,FIND("~",SUBSTITUTE($BL277,"-","~",2))-4))</f>
        <v/>
      </c>
      <c r="BN277">
        <f>IF($BL277="","",MID($BL277,FIND("~",SUBSTITUTE($BL277,"-","~",2))+1,FIND("~",SUBSTITUTE($BL277,"-","~",3))-FIND("~",SUBSTITUTE($BL277,"-","~",2))-1))</f>
        <v/>
      </c>
      <c r="BO277">
        <f>IF($BM277="","",IFERROR(VLOOKUP($BM277,DECODE!$A$3:$C$8,3,FALSE),"?"))</f>
        <v/>
      </c>
      <c r="BP277">
        <f>IF($BN277="","",IFERROR(VLOOKUP($BM277&amp;"-"&amp;$BN277,DECODE!$E$3:$F$21,2,FALSE),"?"))</f>
        <v/>
      </c>
      <c r="BQ277">
        <f>IF($BL277="","",IFERROR(VALUE(RIGHT($BL277,3)),""))</f>
        <v/>
      </c>
      <c r="BR277">
        <f>IF($W277="","",IFERROR(IF(ISNUMBER($W277),$W277,DATEVALUE(TRIM($W277))),""))</f>
        <v/>
      </c>
      <c r="BS277">
        <f>IF($BR277="","",IF(MONTH($BR277)&gt;=12,"Cold Winter",IF(MONTH($BR277)&gt;=10,"Post-Monsoon",IF(MONTH($BR277)&gt;=6,"Hot Humid",IF(MONTH($BR277)&gt;=3,"Hot Dry","Cold Winter")))))</f>
        <v/>
      </c>
      <c r="BT277">
        <f>IF($BM277="","",IFERROR(VLOOKUP($BM277,DECODE!$A$3:$C$8,2,FALSE),"?"))</f>
        <v/>
      </c>
      <c r="BU277">
        <f>IF($R277="","",UPPER(TRIM(LEFT($R277&amp;",",FIND(",",$R277&amp;",")-1))))</f>
        <v/>
      </c>
      <c r="BV277">
        <f>IF($BU277="","",MID($BU277,4,FIND("~",SUBSTITUTE($BU277,"-","~",2))-4))</f>
        <v/>
      </c>
      <c r="BW277">
        <f>IF($BU277="","",MID($BU277,FIND("~",SUBSTITUTE($BU277,"-","~",2))+1,FIND("~",SUBSTITUTE($BU277,"-","~",3))-FIND("~",SUBSTITUTE($BU277,"-","~",2))-1))</f>
        <v/>
      </c>
      <c r="BX277">
        <f>IF($BV277="","",IFERROR(VLOOKUP($BV277,DECODE!$A$3:$C$8,3,FALSE),"?"))</f>
        <v/>
      </c>
      <c r="BY277">
        <f>IF($BW277="","",IFERROR(VLOOKUP($BV277&amp;"-"&amp;$BW277,DECODE!$E$3:$F$21,2,FALSE),"?"))</f>
        <v/>
      </c>
      <c r="BZ277">
        <f>IF($BU277="","",IFERROR(VALUE(RIGHT($BU277,3)),""))</f>
        <v/>
      </c>
      <c r="CA277">
        <f>IF($X277="","",IFERROR(IF(ISNUMBER($X277),$X277,DATEVALUE(TRIM($X277))),""))</f>
        <v/>
      </c>
      <c r="CB277">
        <f>IF($CA277="","",IF(MONTH($CA277)&gt;=12,"Cold Winter",IF(MONTH($CA277)&gt;=10,"Post-Monsoon",IF(MONTH($CA277)&gt;=6,"Hot Humid",IF(MONTH($CA277)&gt;=3,"Hot Dry","Cold Winter")))))</f>
        <v/>
      </c>
      <c r="CC277">
        <f>IF($BV277="","",IFERROR(VLOOKUP($BV277,DECODE!$A$3:$C$8,2,FALSE),"?"))</f>
        <v/>
      </c>
      <c r="CD277">
        <f>IF($S277="","",UPPER(TRIM(LEFT($S277&amp;",",FIND(",",$S277&amp;",")-1))))</f>
        <v/>
      </c>
      <c r="CE277">
        <f>IF($CD277="","",MID($CD277,4,FIND("~",SUBSTITUTE($CD277,"-","~",2))-4))</f>
        <v/>
      </c>
      <c r="CF277">
        <f>IF($CD277="","",MID($CD277,FIND("~",SUBSTITUTE($CD277,"-","~",2))+1,FIND("~",SUBSTITUTE($CD277,"-","~",3))-FIND("~",SUBSTITUTE($CD277,"-","~",2))-1))</f>
        <v/>
      </c>
      <c r="CG277">
        <f>IF($CE277="","",IFERROR(VLOOKUP($CE277,DECODE!$A$3:$C$8,3,FALSE),"?"))</f>
        <v/>
      </c>
      <c r="CH277">
        <f>IF($CF277="","",IFERROR(VLOOKUP($CE277&amp;"-"&amp;$CF277,DECODE!$E$3:$F$21,2,FALSE),"?"))</f>
        <v/>
      </c>
      <c r="CI277">
        <f>IF($CD277="","",IFERROR(VALUE(RIGHT($CD277,3)),""))</f>
        <v/>
      </c>
      <c r="CJ277">
        <f>IF($Y277="","",IFERROR(IF(ISNUMBER($Y277),$Y277,DATEVALUE(TRIM($Y277))),""))</f>
        <v/>
      </c>
      <c r="CK277">
        <f>IF($CJ277="","",IF(MONTH($CJ277)&gt;=12,"Cold Winter",IF(MONTH($CJ277)&gt;=10,"Post-Monsoon",IF(MONTH($CJ277)&gt;=6,"Hot Humid",IF(MONTH($CJ277)&gt;=3,"Hot Dry","Cold Winter")))))</f>
        <v/>
      </c>
      <c r="CL277">
        <f>IF($CE277="","",IFERROR(VLOOKUP($CE277,DECODE!$A$3:$C$8,2,FALSE),"?"))</f>
        <v/>
      </c>
      <c r="CM277">
        <f>IF($AN277="","",AN277)</f>
        <v/>
      </c>
      <c r="CN277">
        <f>IF($AO277="","",AO277)</f>
        <v/>
      </c>
      <c r="CO277">
        <f>IF($AP277="","",AP277)</f>
        <v/>
      </c>
      <c r="CP277">
        <f>IF($CM277="","",IF($CM277="Aloe Vera Gel","Aloe Vera Gel "&amp;$CO277&amp;"g",CN277&amp;" "&amp;$CO277&amp;"g"))</f>
        <v/>
      </c>
      <c r="CQ277">
        <f>IF($AT277="",0,1)</f>
        <v/>
      </c>
      <c r="CR277">
        <f>IF($CQ277=0,"",AW277)</f>
        <v/>
      </c>
      <c r="CS277">
        <f>IF($CQ277=0,"",AX277)</f>
        <v/>
      </c>
      <c r="CT277">
        <f>IF($CQ277=0,"",AY277)</f>
        <v/>
      </c>
      <c r="CU277">
        <f>IF($CR277="","",IF($CR277="Aloe Vera Gel","Aloe Vera Gel "&amp;$CT277&amp;"g",CS277&amp;" "&amp;$CT277&amp;"g"))</f>
        <v/>
      </c>
      <c r="CV277">
        <f>IF($CQ277=0,"",IF($CP277=$CU277,"Repeat Exact",IF($CT277&gt;$CO277,"Upsized",IF($CT277&lt;$CO277,"Downsized",IF($CM277&lt;&gt;$CR277,"Lateral","Same Size Diff Variant")))))</f>
        <v/>
      </c>
      <c r="CW277">
        <f>IF($CQ277=0,"",AZ277-AQ277)</f>
        <v/>
      </c>
      <c r="CX277">
        <f>IF($CQ277=0,0,IF(CS277=CN277,1,0))</f>
        <v/>
      </c>
      <c r="CY277">
        <f>IF($CQ277=0,0,IF(CR277=CM277,1,0))</f>
        <v/>
      </c>
      <c r="CZ277">
        <f>IF($A277="","",IF(AND(IF(DASHBOARD!$C$4="All",TRUE,$CM277=DASHBOARD!$C$4),IF(DASHBOARD!$C$6="All",TRUE,$CP277=DASHBOARD!$C$6),IF(DASHBOARD!$C$8="All",TRUE,$AF277&gt;=DASHBOARD!$C$8),IF(DASHBOARD!$C$10="All",TRUE,$AF277&lt;=DASHBOARD!$C$10),IF(DASHBOARD!$C$12="All",TRUE,$AH277=VALUE(DASHBOARD!$C$12)),IF(DASHBOARD!$C$14="All",TRUE,$AJ277=DASHBOARD!$C$14)),1,0))</f>
        <v/>
      </c>
    </row>
    <row r="278">
      <c r="A278" t="n">
        <v>162095</v>
      </c>
      <c r="B278" t="inlineStr">
        <is>
          <t>Face Malai</t>
        </is>
      </c>
      <c r="H278" t="inlineStr">
        <is>
          <t>Turmeric Nutmeg (Pigmentation)  Face Malai - 30g</t>
        </is>
      </c>
      <c r="N278" t="inlineStr">
        <is>
          <t>FC-DM-PG-030</t>
        </is>
      </c>
      <c r="T278" t="inlineStr">
        <is>
          <t>Feb 24, 2026</t>
        </is>
      </c>
      <c r="AE278" t="inlineStr">
        <is>
          <t>Mumbai</t>
        </is>
      </c>
      <c r="AF278" t="inlineStr">
        <is>
          <t>2026-02</t>
        </is>
      </c>
      <c r="AG278" t="n">
        <v>2</v>
      </c>
      <c r="AH278" t="n">
        <v>1</v>
      </c>
      <c r="AI278" t="n">
        <v>0</v>
      </c>
      <c r="AJ278">
        <f>IF($AE278="","",IFERROR(VLOOKUP(TRIM($AE278),DECODE!$H$3:$I$60,2,FALSE),"Rest of India"))</f>
        <v/>
      </c>
      <c r="AK278">
        <f>IF($N278="","",UPPER(TRIM(LEFT($N278&amp;",",FIND(",",$N278&amp;",")-1))))</f>
        <v/>
      </c>
      <c r="AL278">
        <f>IF($AK278="","",MID($AK278,4,FIND("~",SUBSTITUTE($AK278,"-","~",2))-4))</f>
        <v/>
      </c>
      <c r="AM278">
        <f>IF($AK278="","",MID($AK278,FIND("~",SUBSTITUTE($AK278,"-","~",2))+1,FIND("~",SUBSTITUTE($AK278,"-","~",3))-FIND("~",SUBSTITUTE($AK278,"-","~",2))-1))</f>
        <v/>
      </c>
      <c r="AN278">
        <f>IF($AL278="","",IFERROR(VLOOKUP($AL278,DECODE!$A$3:$C$8,3,FALSE),"?"))</f>
        <v/>
      </c>
      <c r="AO278">
        <f>IF($AM278="","",IFERROR(VLOOKUP($AL278&amp;"-"&amp;$AM278,DECODE!$E$3:$F$21,2,FALSE),"?"))</f>
        <v/>
      </c>
      <c r="AP278">
        <f>IF($AK278="","",IFERROR(VALUE(RIGHT($AK278,3)),""))</f>
        <v/>
      </c>
      <c r="AQ278">
        <f>IF($T278="","",IFERROR(IF(ISNUMBER($T278),$T278,DATEVALUE(TRIM($T278))),""))</f>
        <v/>
      </c>
      <c r="AR278">
        <f>IF($AQ278="","",IF(MONTH($AQ278)&gt;=12,"Cold Winter",IF(MONTH($AQ278)&gt;=10,"Post-Monsoon",IF(MONTH($AQ278)&gt;=6,"Hot Humid",IF(MONTH($AQ278)&gt;=3,"Hot Dry","Cold Winter")))))</f>
        <v/>
      </c>
      <c r="AS278">
        <f>IF($AL278="","",IFERROR(VLOOKUP($AL278,DECODE!$A$3:$C$8,2,FALSE),"?"))</f>
        <v/>
      </c>
      <c r="AT278">
        <f>IF($O278="","",UPPER(TRIM(LEFT($O278&amp;",",FIND(",",$O278&amp;",")-1))))</f>
        <v/>
      </c>
      <c r="AU278">
        <f>IF($AT278="","",MID($AT278,4,FIND("~",SUBSTITUTE($AT278,"-","~",2))-4))</f>
        <v/>
      </c>
      <c r="AV278">
        <f>IF($AT278="","",MID($AT278,FIND("~",SUBSTITUTE($AT278,"-","~",2))+1,FIND("~",SUBSTITUTE($AT278,"-","~",3))-FIND("~",SUBSTITUTE($AT278,"-","~",2))-1))</f>
        <v/>
      </c>
      <c r="AW278">
        <f>IF($AU278="","",IFERROR(VLOOKUP($AU278,DECODE!$A$3:$C$8,3,FALSE),"?"))</f>
        <v/>
      </c>
      <c r="AX278">
        <f>IF($AV278="","",IFERROR(VLOOKUP($AU278&amp;"-"&amp;$AV278,DECODE!$E$3:$F$21,2,FALSE),"?"))</f>
        <v/>
      </c>
      <c r="AY278">
        <f>IF($AT278="","",IFERROR(VALUE(RIGHT($AT278,3)),""))</f>
        <v/>
      </c>
      <c r="AZ278">
        <f>IF($U278="","",IFERROR(IF(ISNUMBER($U278),$U278,DATEVALUE(TRIM($U278))),""))</f>
        <v/>
      </c>
      <c r="BA278">
        <f>IF($AZ278="","",IF(MONTH($AZ278)&gt;=12,"Cold Winter",IF(MONTH($AZ278)&gt;=10,"Post-Monsoon",IF(MONTH($AZ278)&gt;=6,"Hot Humid",IF(MONTH($AZ278)&gt;=3,"Hot Dry","Cold Winter")))))</f>
        <v/>
      </c>
      <c r="BB278">
        <f>IF($AU278="","",IFERROR(VLOOKUP($AU278,DECODE!$A$3:$C$8,2,FALSE),"?"))</f>
        <v/>
      </c>
      <c r="BC278">
        <f>IF($P278="","",UPPER(TRIM(LEFT($P278&amp;",",FIND(",",$P278&amp;",")-1))))</f>
        <v/>
      </c>
      <c r="BD278">
        <f>IF($BC278="","",MID($BC278,4,FIND("~",SUBSTITUTE($BC278,"-","~",2))-4))</f>
        <v/>
      </c>
      <c r="BE278">
        <f>IF($BC278="","",MID($BC278,FIND("~",SUBSTITUTE($BC278,"-","~",2))+1,FIND("~",SUBSTITUTE($BC278,"-","~",3))-FIND("~",SUBSTITUTE($BC278,"-","~",2))-1))</f>
        <v/>
      </c>
      <c r="BF278">
        <f>IF($BD278="","",IFERROR(VLOOKUP($BD278,DECODE!$A$3:$C$8,3,FALSE),"?"))</f>
        <v/>
      </c>
      <c r="BG278">
        <f>IF($BE278="","",IFERROR(VLOOKUP($BD278&amp;"-"&amp;$BE278,DECODE!$E$3:$F$21,2,FALSE),"?"))</f>
        <v/>
      </c>
      <c r="BH278">
        <f>IF($BC278="","",IFERROR(VALUE(RIGHT($BC278,3)),""))</f>
        <v/>
      </c>
      <c r="BI278">
        <f>IF($V278="","",IFERROR(IF(ISNUMBER($V278),$V278,DATEVALUE(TRIM($V278))),""))</f>
        <v/>
      </c>
      <c r="BJ278">
        <f>IF($BI278="","",IF(MONTH($BI278)&gt;=12,"Cold Winter",IF(MONTH($BI278)&gt;=10,"Post-Monsoon",IF(MONTH($BI278)&gt;=6,"Hot Humid",IF(MONTH($BI278)&gt;=3,"Hot Dry","Cold Winter")))))</f>
        <v/>
      </c>
      <c r="BK278">
        <f>IF($BD278="","",IFERROR(VLOOKUP($BD278,DECODE!$A$3:$C$8,2,FALSE),"?"))</f>
        <v/>
      </c>
      <c r="BL278">
        <f>IF($Q278="","",UPPER(TRIM(LEFT($Q278&amp;",",FIND(",",$Q278&amp;",")-1))))</f>
        <v/>
      </c>
      <c r="BM278">
        <f>IF($BL278="","",MID($BL278,4,FIND("~",SUBSTITUTE($BL278,"-","~",2))-4))</f>
        <v/>
      </c>
      <c r="BN278">
        <f>IF($BL278="","",MID($BL278,FIND("~",SUBSTITUTE($BL278,"-","~",2))+1,FIND("~",SUBSTITUTE($BL278,"-","~",3))-FIND("~",SUBSTITUTE($BL278,"-","~",2))-1))</f>
        <v/>
      </c>
      <c r="BO278">
        <f>IF($BM278="","",IFERROR(VLOOKUP($BM278,DECODE!$A$3:$C$8,3,FALSE),"?"))</f>
        <v/>
      </c>
      <c r="BP278">
        <f>IF($BN278="","",IFERROR(VLOOKUP($BM278&amp;"-"&amp;$BN278,DECODE!$E$3:$F$21,2,FALSE),"?"))</f>
        <v/>
      </c>
      <c r="BQ278">
        <f>IF($BL278="","",IFERROR(VALUE(RIGHT($BL278,3)),""))</f>
        <v/>
      </c>
      <c r="BR278">
        <f>IF($W278="","",IFERROR(IF(ISNUMBER($W278),$W278,DATEVALUE(TRIM($W278))),""))</f>
        <v/>
      </c>
      <c r="BS278">
        <f>IF($BR278="","",IF(MONTH($BR278)&gt;=12,"Cold Winter",IF(MONTH($BR278)&gt;=10,"Post-Monsoon",IF(MONTH($BR278)&gt;=6,"Hot Humid",IF(MONTH($BR278)&gt;=3,"Hot Dry","Cold Winter")))))</f>
        <v/>
      </c>
      <c r="BT278">
        <f>IF($BM278="","",IFERROR(VLOOKUP($BM278,DECODE!$A$3:$C$8,2,FALSE),"?"))</f>
        <v/>
      </c>
      <c r="BU278">
        <f>IF($R278="","",UPPER(TRIM(LEFT($R278&amp;",",FIND(",",$R278&amp;",")-1))))</f>
        <v/>
      </c>
      <c r="BV278">
        <f>IF($BU278="","",MID($BU278,4,FIND("~",SUBSTITUTE($BU278,"-","~",2))-4))</f>
        <v/>
      </c>
      <c r="BW278">
        <f>IF($BU278="","",MID($BU278,FIND("~",SUBSTITUTE($BU278,"-","~",2))+1,FIND("~",SUBSTITUTE($BU278,"-","~",3))-FIND("~",SUBSTITUTE($BU278,"-","~",2))-1))</f>
        <v/>
      </c>
      <c r="BX278">
        <f>IF($BV278="","",IFERROR(VLOOKUP($BV278,DECODE!$A$3:$C$8,3,FALSE),"?"))</f>
        <v/>
      </c>
      <c r="BY278">
        <f>IF($BW278="","",IFERROR(VLOOKUP($BV278&amp;"-"&amp;$BW278,DECODE!$E$3:$F$21,2,FALSE),"?"))</f>
        <v/>
      </c>
      <c r="BZ278">
        <f>IF($BU278="","",IFERROR(VALUE(RIGHT($BU278,3)),""))</f>
        <v/>
      </c>
      <c r="CA278">
        <f>IF($X278="","",IFERROR(IF(ISNUMBER($X278),$X278,DATEVALUE(TRIM($X278))),""))</f>
        <v/>
      </c>
      <c r="CB278">
        <f>IF($CA278="","",IF(MONTH($CA278)&gt;=12,"Cold Winter",IF(MONTH($CA278)&gt;=10,"Post-Monsoon",IF(MONTH($CA278)&gt;=6,"Hot Humid",IF(MONTH($CA278)&gt;=3,"Hot Dry","Cold Winter")))))</f>
        <v/>
      </c>
      <c r="CC278">
        <f>IF($BV278="","",IFERROR(VLOOKUP($BV278,DECODE!$A$3:$C$8,2,FALSE),"?"))</f>
        <v/>
      </c>
      <c r="CD278">
        <f>IF($S278="","",UPPER(TRIM(LEFT($S278&amp;",",FIND(",",$S278&amp;",")-1))))</f>
        <v/>
      </c>
      <c r="CE278">
        <f>IF($CD278="","",MID($CD278,4,FIND("~",SUBSTITUTE($CD278,"-","~",2))-4))</f>
        <v/>
      </c>
      <c r="CF278">
        <f>IF($CD278="","",MID($CD278,FIND("~",SUBSTITUTE($CD278,"-","~",2))+1,FIND("~",SUBSTITUTE($CD278,"-","~",3))-FIND("~",SUBSTITUTE($CD278,"-","~",2))-1))</f>
        <v/>
      </c>
      <c r="CG278">
        <f>IF($CE278="","",IFERROR(VLOOKUP($CE278,DECODE!$A$3:$C$8,3,FALSE),"?"))</f>
        <v/>
      </c>
      <c r="CH278">
        <f>IF($CF278="","",IFERROR(VLOOKUP($CE278&amp;"-"&amp;$CF278,DECODE!$E$3:$F$21,2,FALSE),"?"))</f>
        <v/>
      </c>
      <c r="CI278">
        <f>IF($CD278="","",IFERROR(VALUE(RIGHT($CD278,3)),""))</f>
        <v/>
      </c>
      <c r="CJ278">
        <f>IF($Y278="","",IFERROR(IF(ISNUMBER($Y278),$Y278,DATEVALUE(TRIM($Y278))),""))</f>
        <v/>
      </c>
      <c r="CK278">
        <f>IF($CJ278="","",IF(MONTH($CJ278)&gt;=12,"Cold Winter",IF(MONTH($CJ278)&gt;=10,"Post-Monsoon",IF(MONTH($CJ278)&gt;=6,"Hot Humid",IF(MONTH($CJ278)&gt;=3,"Hot Dry","Cold Winter")))))</f>
        <v/>
      </c>
      <c r="CL278">
        <f>IF($CE278="","",IFERROR(VLOOKUP($CE278,DECODE!$A$3:$C$8,2,FALSE),"?"))</f>
        <v/>
      </c>
      <c r="CM278">
        <f>IF($AN278="","",AN278)</f>
        <v/>
      </c>
      <c r="CN278">
        <f>IF($AO278="","",AO278)</f>
        <v/>
      </c>
      <c r="CO278">
        <f>IF($AP278="","",AP278)</f>
        <v/>
      </c>
      <c r="CP278">
        <f>IF($CM278="","",IF($CM278="Aloe Vera Gel","Aloe Vera Gel "&amp;$CO278&amp;"g",CN278&amp;" "&amp;$CO278&amp;"g"))</f>
        <v/>
      </c>
      <c r="CQ278">
        <f>IF($AT278="",0,1)</f>
        <v/>
      </c>
      <c r="CR278">
        <f>IF($CQ278=0,"",AW278)</f>
        <v/>
      </c>
      <c r="CS278">
        <f>IF($CQ278=0,"",AX278)</f>
        <v/>
      </c>
      <c r="CT278">
        <f>IF($CQ278=0,"",AY278)</f>
        <v/>
      </c>
      <c r="CU278">
        <f>IF($CR278="","",IF($CR278="Aloe Vera Gel","Aloe Vera Gel "&amp;$CT278&amp;"g",CS278&amp;" "&amp;$CT278&amp;"g"))</f>
        <v/>
      </c>
      <c r="CV278">
        <f>IF($CQ278=0,"",IF($CP278=$CU278,"Repeat Exact",IF($CT278&gt;$CO278,"Upsized",IF($CT278&lt;$CO278,"Downsized",IF($CM278&lt;&gt;$CR278,"Lateral","Same Size Diff Variant")))))</f>
        <v/>
      </c>
      <c r="CW278">
        <f>IF($CQ278=0,"",AZ278-AQ278)</f>
        <v/>
      </c>
      <c r="CX278">
        <f>IF($CQ278=0,0,IF(CS278=CN278,1,0))</f>
        <v/>
      </c>
      <c r="CY278">
        <f>IF($CQ278=0,0,IF(CR278=CM278,1,0))</f>
        <v/>
      </c>
      <c r="CZ278">
        <f>IF($A278="","",IF(AND(IF(DASHBOARD!$C$4="All",TRUE,$CM278=DASHBOARD!$C$4),IF(DASHBOARD!$C$6="All",TRUE,$CP278=DASHBOARD!$C$6),IF(DASHBOARD!$C$8="All",TRUE,$AF278&gt;=DASHBOARD!$C$8),IF(DASHBOARD!$C$10="All",TRUE,$AF278&lt;=DASHBOARD!$C$10),IF(DASHBOARD!$C$12="All",TRUE,$AH278=VALUE(DASHBOARD!$C$12)),IF(DASHBOARD!$C$14="All",TRUE,$AJ278=DASHBOARD!$C$14)),1,0))</f>
        <v/>
      </c>
    </row>
    <row r="279">
      <c r="A279" t="n">
        <v>162259</v>
      </c>
      <c r="B279" t="inlineStr">
        <is>
          <t>Face Malai</t>
        </is>
      </c>
      <c r="H279" t="inlineStr">
        <is>
          <t>Flax Walnut (Cold) 35+ Face Malai</t>
        </is>
      </c>
      <c r="N279" t="inlineStr">
        <is>
          <t>FC-CWDM-FW-030</t>
        </is>
      </c>
      <c r="T279" t="inlineStr">
        <is>
          <t>Dec 3, 2024</t>
        </is>
      </c>
      <c r="AE279" t="inlineStr">
        <is>
          <t>Kolkata</t>
        </is>
      </c>
      <c r="AF279" t="inlineStr">
        <is>
          <t>2024-12</t>
        </is>
      </c>
      <c r="AG279" t="n">
        <v>12</v>
      </c>
      <c r="AH279" t="n">
        <v>1</v>
      </c>
      <c r="AI279" t="n">
        <v>0</v>
      </c>
      <c r="AJ279">
        <f>IF($AE279="","",IFERROR(VLOOKUP(TRIM($AE279),DECODE!$H$3:$I$60,2,FALSE),"Rest of India"))</f>
        <v/>
      </c>
      <c r="AK279">
        <f>IF($N279="","",UPPER(TRIM(LEFT($N279&amp;",",FIND(",",$N279&amp;",")-1))))</f>
        <v/>
      </c>
      <c r="AL279">
        <f>IF($AK279="","",MID($AK279,4,FIND("~",SUBSTITUTE($AK279,"-","~",2))-4))</f>
        <v/>
      </c>
      <c r="AM279">
        <f>IF($AK279="","",MID($AK279,FIND("~",SUBSTITUTE($AK279,"-","~",2))+1,FIND("~",SUBSTITUTE($AK279,"-","~",3))-FIND("~",SUBSTITUTE($AK279,"-","~",2))-1))</f>
        <v/>
      </c>
      <c r="AN279">
        <f>IF($AL279="","",IFERROR(VLOOKUP($AL279,DECODE!$A$3:$C$8,3,FALSE),"?"))</f>
        <v/>
      </c>
      <c r="AO279">
        <f>IF($AM279="","",IFERROR(VLOOKUP($AL279&amp;"-"&amp;$AM279,DECODE!$E$3:$F$21,2,FALSE),"?"))</f>
        <v/>
      </c>
      <c r="AP279">
        <f>IF($AK279="","",IFERROR(VALUE(RIGHT($AK279,3)),""))</f>
        <v/>
      </c>
      <c r="AQ279">
        <f>IF($T279="","",IFERROR(IF(ISNUMBER($T279),$T279,DATEVALUE(TRIM($T279))),""))</f>
        <v/>
      </c>
      <c r="AR279">
        <f>IF($AQ279="","",IF(MONTH($AQ279)&gt;=12,"Cold Winter",IF(MONTH($AQ279)&gt;=10,"Post-Monsoon",IF(MONTH($AQ279)&gt;=6,"Hot Humid",IF(MONTH($AQ279)&gt;=3,"Hot Dry","Cold Winter")))))</f>
        <v/>
      </c>
      <c r="AS279">
        <f>IF($AL279="","",IFERROR(VLOOKUP($AL279,DECODE!$A$3:$C$8,2,FALSE),"?"))</f>
        <v/>
      </c>
      <c r="AT279">
        <f>IF($O279="","",UPPER(TRIM(LEFT($O279&amp;",",FIND(",",$O279&amp;",")-1))))</f>
        <v/>
      </c>
      <c r="AU279">
        <f>IF($AT279="","",MID($AT279,4,FIND("~",SUBSTITUTE($AT279,"-","~",2))-4))</f>
        <v/>
      </c>
      <c r="AV279">
        <f>IF($AT279="","",MID($AT279,FIND("~",SUBSTITUTE($AT279,"-","~",2))+1,FIND("~",SUBSTITUTE($AT279,"-","~",3))-FIND("~",SUBSTITUTE($AT279,"-","~",2))-1))</f>
        <v/>
      </c>
      <c r="AW279">
        <f>IF($AU279="","",IFERROR(VLOOKUP($AU279,DECODE!$A$3:$C$8,3,FALSE),"?"))</f>
        <v/>
      </c>
      <c r="AX279">
        <f>IF($AV279="","",IFERROR(VLOOKUP($AU279&amp;"-"&amp;$AV279,DECODE!$E$3:$F$21,2,FALSE),"?"))</f>
        <v/>
      </c>
      <c r="AY279">
        <f>IF($AT279="","",IFERROR(VALUE(RIGHT($AT279,3)),""))</f>
        <v/>
      </c>
      <c r="AZ279">
        <f>IF($U279="","",IFERROR(IF(ISNUMBER($U279),$U279,DATEVALUE(TRIM($U279))),""))</f>
        <v/>
      </c>
      <c r="BA279">
        <f>IF($AZ279="","",IF(MONTH($AZ279)&gt;=12,"Cold Winter",IF(MONTH($AZ279)&gt;=10,"Post-Monsoon",IF(MONTH($AZ279)&gt;=6,"Hot Humid",IF(MONTH($AZ279)&gt;=3,"Hot Dry","Cold Winter")))))</f>
        <v/>
      </c>
      <c r="BB279">
        <f>IF($AU279="","",IFERROR(VLOOKUP($AU279,DECODE!$A$3:$C$8,2,FALSE),"?"))</f>
        <v/>
      </c>
      <c r="BC279">
        <f>IF($P279="","",UPPER(TRIM(LEFT($P279&amp;",",FIND(",",$P279&amp;",")-1))))</f>
        <v/>
      </c>
      <c r="BD279">
        <f>IF($BC279="","",MID($BC279,4,FIND("~",SUBSTITUTE($BC279,"-","~",2))-4))</f>
        <v/>
      </c>
      <c r="BE279">
        <f>IF($BC279="","",MID($BC279,FIND("~",SUBSTITUTE($BC279,"-","~",2))+1,FIND("~",SUBSTITUTE($BC279,"-","~",3))-FIND("~",SUBSTITUTE($BC279,"-","~",2))-1))</f>
        <v/>
      </c>
      <c r="BF279">
        <f>IF($BD279="","",IFERROR(VLOOKUP($BD279,DECODE!$A$3:$C$8,3,FALSE),"?"))</f>
        <v/>
      </c>
      <c r="BG279">
        <f>IF($BE279="","",IFERROR(VLOOKUP($BD279&amp;"-"&amp;$BE279,DECODE!$E$3:$F$21,2,FALSE),"?"))</f>
        <v/>
      </c>
      <c r="BH279">
        <f>IF($BC279="","",IFERROR(VALUE(RIGHT($BC279,3)),""))</f>
        <v/>
      </c>
      <c r="BI279">
        <f>IF($V279="","",IFERROR(IF(ISNUMBER($V279),$V279,DATEVALUE(TRIM($V279))),""))</f>
        <v/>
      </c>
      <c r="BJ279">
        <f>IF($BI279="","",IF(MONTH($BI279)&gt;=12,"Cold Winter",IF(MONTH($BI279)&gt;=10,"Post-Monsoon",IF(MONTH($BI279)&gt;=6,"Hot Humid",IF(MONTH($BI279)&gt;=3,"Hot Dry","Cold Winter")))))</f>
        <v/>
      </c>
      <c r="BK279">
        <f>IF($BD279="","",IFERROR(VLOOKUP($BD279,DECODE!$A$3:$C$8,2,FALSE),"?"))</f>
        <v/>
      </c>
      <c r="BL279">
        <f>IF($Q279="","",UPPER(TRIM(LEFT($Q279&amp;",",FIND(",",$Q279&amp;",")-1))))</f>
        <v/>
      </c>
      <c r="BM279">
        <f>IF($BL279="","",MID($BL279,4,FIND("~",SUBSTITUTE($BL279,"-","~",2))-4))</f>
        <v/>
      </c>
      <c r="BN279">
        <f>IF($BL279="","",MID($BL279,FIND("~",SUBSTITUTE($BL279,"-","~",2))+1,FIND("~",SUBSTITUTE($BL279,"-","~",3))-FIND("~",SUBSTITUTE($BL279,"-","~",2))-1))</f>
        <v/>
      </c>
      <c r="BO279">
        <f>IF($BM279="","",IFERROR(VLOOKUP($BM279,DECODE!$A$3:$C$8,3,FALSE),"?"))</f>
        <v/>
      </c>
      <c r="BP279">
        <f>IF($BN279="","",IFERROR(VLOOKUP($BM279&amp;"-"&amp;$BN279,DECODE!$E$3:$F$21,2,FALSE),"?"))</f>
        <v/>
      </c>
      <c r="BQ279">
        <f>IF($BL279="","",IFERROR(VALUE(RIGHT($BL279,3)),""))</f>
        <v/>
      </c>
      <c r="BR279">
        <f>IF($W279="","",IFERROR(IF(ISNUMBER($W279),$W279,DATEVALUE(TRIM($W279))),""))</f>
        <v/>
      </c>
      <c r="BS279">
        <f>IF($BR279="","",IF(MONTH($BR279)&gt;=12,"Cold Winter",IF(MONTH($BR279)&gt;=10,"Post-Monsoon",IF(MONTH($BR279)&gt;=6,"Hot Humid",IF(MONTH($BR279)&gt;=3,"Hot Dry","Cold Winter")))))</f>
        <v/>
      </c>
      <c r="BT279">
        <f>IF($BM279="","",IFERROR(VLOOKUP($BM279,DECODE!$A$3:$C$8,2,FALSE),"?"))</f>
        <v/>
      </c>
      <c r="BU279">
        <f>IF($R279="","",UPPER(TRIM(LEFT($R279&amp;",",FIND(",",$R279&amp;",")-1))))</f>
        <v/>
      </c>
      <c r="BV279">
        <f>IF($BU279="","",MID($BU279,4,FIND("~",SUBSTITUTE($BU279,"-","~",2))-4))</f>
        <v/>
      </c>
      <c r="BW279">
        <f>IF($BU279="","",MID($BU279,FIND("~",SUBSTITUTE($BU279,"-","~",2))+1,FIND("~",SUBSTITUTE($BU279,"-","~",3))-FIND("~",SUBSTITUTE($BU279,"-","~",2))-1))</f>
        <v/>
      </c>
      <c r="BX279">
        <f>IF($BV279="","",IFERROR(VLOOKUP($BV279,DECODE!$A$3:$C$8,3,FALSE),"?"))</f>
        <v/>
      </c>
      <c r="BY279">
        <f>IF($BW279="","",IFERROR(VLOOKUP($BV279&amp;"-"&amp;$BW279,DECODE!$E$3:$F$21,2,FALSE),"?"))</f>
        <v/>
      </c>
      <c r="BZ279">
        <f>IF($BU279="","",IFERROR(VALUE(RIGHT($BU279,3)),""))</f>
        <v/>
      </c>
      <c r="CA279">
        <f>IF($X279="","",IFERROR(IF(ISNUMBER($X279),$X279,DATEVALUE(TRIM($X279))),""))</f>
        <v/>
      </c>
      <c r="CB279">
        <f>IF($CA279="","",IF(MONTH($CA279)&gt;=12,"Cold Winter",IF(MONTH($CA279)&gt;=10,"Post-Monsoon",IF(MONTH($CA279)&gt;=6,"Hot Humid",IF(MONTH($CA279)&gt;=3,"Hot Dry","Cold Winter")))))</f>
        <v/>
      </c>
      <c r="CC279">
        <f>IF($BV279="","",IFERROR(VLOOKUP($BV279,DECODE!$A$3:$C$8,2,FALSE),"?"))</f>
        <v/>
      </c>
      <c r="CD279">
        <f>IF($S279="","",UPPER(TRIM(LEFT($S279&amp;",",FIND(",",$S279&amp;",")-1))))</f>
        <v/>
      </c>
      <c r="CE279">
        <f>IF($CD279="","",MID($CD279,4,FIND("~",SUBSTITUTE($CD279,"-","~",2))-4))</f>
        <v/>
      </c>
      <c r="CF279">
        <f>IF($CD279="","",MID($CD279,FIND("~",SUBSTITUTE($CD279,"-","~",2))+1,FIND("~",SUBSTITUTE($CD279,"-","~",3))-FIND("~",SUBSTITUTE($CD279,"-","~",2))-1))</f>
        <v/>
      </c>
      <c r="CG279">
        <f>IF($CE279="","",IFERROR(VLOOKUP($CE279,DECODE!$A$3:$C$8,3,FALSE),"?"))</f>
        <v/>
      </c>
      <c r="CH279">
        <f>IF($CF279="","",IFERROR(VLOOKUP($CE279&amp;"-"&amp;$CF279,DECODE!$E$3:$F$21,2,FALSE),"?"))</f>
        <v/>
      </c>
      <c r="CI279">
        <f>IF($CD279="","",IFERROR(VALUE(RIGHT($CD279,3)),""))</f>
        <v/>
      </c>
      <c r="CJ279">
        <f>IF($Y279="","",IFERROR(IF(ISNUMBER($Y279),$Y279,DATEVALUE(TRIM($Y279))),""))</f>
        <v/>
      </c>
      <c r="CK279">
        <f>IF($CJ279="","",IF(MONTH($CJ279)&gt;=12,"Cold Winter",IF(MONTH($CJ279)&gt;=10,"Post-Monsoon",IF(MONTH($CJ279)&gt;=6,"Hot Humid",IF(MONTH($CJ279)&gt;=3,"Hot Dry","Cold Winter")))))</f>
        <v/>
      </c>
      <c r="CL279">
        <f>IF($CE279="","",IFERROR(VLOOKUP($CE279,DECODE!$A$3:$C$8,2,FALSE),"?"))</f>
        <v/>
      </c>
      <c r="CM279">
        <f>IF($AN279="","",AN279)</f>
        <v/>
      </c>
      <c r="CN279">
        <f>IF($AO279="","",AO279)</f>
        <v/>
      </c>
      <c r="CO279">
        <f>IF($AP279="","",AP279)</f>
        <v/>
      </c>
      <c r="CP279">
        <f>IF($CM279="","",IF($CM279="Aloe Vera Gel","Aloe Vera Gel "&amp;$CO279&amp;"g",CN279&amp;" "&amp;$CO279&amp;"g"))</f>
        <v/>
      </c>
      <c r="CQ279">
        <f>IF($AT279="",0,1)</f>
        <v/>
      </c>
      <c r="CR279">
        <f>IF($CQ279=0,"",AW279)</f>
        <v/>
      </c>
      <c r="CS279">
        <f>IF($CQ279=0,"",AX279)</f>
        <v/>
      </c>
      <c r="CT279">
        <f>IF($CQ279=0,"",AY279)</f>
        <v/>
      </c>
      <c r="CU279">
        <f>IF($CR279="","",IF($CR279="Aloe Vera Gel","Aloe Vera Gel "&amp;$CT279&amp;"g",CS279&amp;" "&amp;$CT279&amp;"g"))</f>
        <v/>
      </c>
      <c r="CV279">
        <f>IF($CQ279=0,"",IF($CP279=$CU279,"Repeat Exact",IF($CT279&gt;$CO279,"Upsized",IF($CT279&lt;$CO279,"Downsized",IF($CM279&lt;&gt;$CR279,"Lateral","Same Size Diff Variant")))))</f>
        <v/>
      </c>
      <c r="CW279">
        <f>IF($CQ279=0,"",AZ279-AQ279)</f>
        <v/>
      </c>
      <c r="CX279">
        <f>IF($CQ279=0,0,IF(CS279=CN279,1,0))</f>
        <v/>
      </c>
      <c r="CY279">
        <f>IF($CQ279=0,0,IF(CR279=CM279,1,0))</f>
        <v/>
      </c>
      <c r="CZ279">
        <f>IF($A279="","",IF(AND(IF(DASHBOARD!$C$4="All",TRUE,$CM279=DASHBOARD!$C$4),IF(DASHBOARD!$C$6="All",TRUE,$CP279=DASHBOARD!$C$6),IF(DASHBOARD!$C$8="All",TRUE,$AF279&gt;=DASHBOARD!$C$8),IF(DASHBOARD!$C$10="All",TRUE,$AF279&lt;=DASHBOARD!$C$10),IF(DASHBOARD!$C$12="All",TRUE,$AH279=VALUE(DASHBOARD!$C$12)),IF(DASHBOARD!$C$14="All",TRUE,$AJ279=DASHBOARD!$C$14)),1,0))</f>
        <v/>
      </c>
    </row>
    <row r="280">
      <c r="A280" t="n">
        <v>162323</v>
      </c>
      <c r="B280" t="inlineStr">
        <is>
          <t>Face Malai</t>
        </is>
      </c>
      <c r="H280" t="inlineStr">
        <is>
          <t>Tomato Rosehip (Hot Dry) 20 - 35 Yrs Face Malai - 30g, Cocoa Mogra (Overnight) Face Malai - 30g, Flax Bakuchi (Hot Dry) 35+ Face Malai - 30g</t>
        </is>
      </c>
      <c r="N280" t="inlineStr">
        <is>
          <t>FC-HDDM-FB-030, FC-HDDM-TR-030, FC-DM-NR-030</t>
        </is>
      </c>
      <c r="T280" t="inlineStr">
        <is>
          <t>Sep 21, 2025</t>
        </is>
      </c>
      <c r="AE280" t="inlineStr">
        <is>
          <t>Gandhinagar</t>
        </is>
      </c>
      <c r="AF280" t="inlineStr">
        <is>
          <t>2025-09</t>
        </is>
      </c>
      <c r="AG280" t="n">
        <v>9</v>
      </c>
      <c r="AH280" t="n">
        <v>1</v>
      </c>
      <c r="AI280" t="n">
        <v>0</v>
      </c>
      <c r="AJ280">
        <f>IF($AE280="","",IFERROR(VLOOKUP(TRIM($AE280),DECODE!$H$3:$I$60,2,FALSE),"Rest of India"))</f>
        <v/>
      </c>
      <c r="AK280">
        <f>IF($N280="","",UPPER(TRIM(LEFT($N280&amp;",",FIND(",",$N280&amp;",")-1))))</f>
        <v/>
      </c>
      <c r="AL280">
        <f>IF($AK280="","",MID($AK280,4,FIND("~",SUBSTITUTE($AK280,"-","~",2))-4))</f>
        <v/>
      </c>
      <c r="AM280">
        <f>IF($AK280="","",MID($AK280,FIND("~",SUBSTITUTE($AK280,"-","~",2))+1,FIND("~",SUBSTITUTE($AK280,"-","~",3))-FIND("~",SUBSTITUTE($AK280,"-","~",2))-1))</f>
        <v/>
      </c>
      <c r="AN280">
        <f>IF($AL280="","",IFERROR(VLOOKUP($AL280,DECODE!$A$3:$C$8,3,FALSE),"?"))</f>
        <v/>
      </c>
      <c r="AO280">
        <f>IF($AM280="","",IFERROR(VLOOKUP($AL280&amp;"-"&amp;$AM280,DECODE!$E$3:$F$21,2,FALSE),"?"))</f>
        <v/>
      </c>
      <c r="AP280">
        <f>IF($AK280="","",IFERROR(VALUE(RIGHT($AK280,3)),""))</f>
        <v/>
      </c>
      <c r="AQ280">
        <f>IF($T280="","",IFERROR(IF(ISNUMBER($T280),$T280,DATEVALUE(TRIM($T280))),""))</f>
        <v/>
      </c>
      <c r="AR280">
        <f>IF($AQ280="","",IF(MONTH($AQ280)&gt;=12,"Cold Winter",IF(MONTH($AQ280)&gt;=10,"Post-Monsoon",IF(MONTH($AQ280)&gt;=6,"Hot Humid",IF(MONTH($AQ280)&gt;=3,"Hot Dry","Cold Winter")))))</f>
        <v/>
      </c>
      <c r="AS280">
        <f>IF($AL280="","",IFERROR(VLOOKUP($AL280,DECODE!$A$3:$C$8,2,FALSE),"?"))</f>
        <v/>
      </c>
      <c r="AT280">
        <f>IF($O280="","",UPPER(TRIM(LEFT($O280&amp;",",FIND(",",$O280&amp;",")-1))))</f>
        <v/>
      </c>
      <c r="AU280">
        <f>IF($AT280="","",MID($AT280,4,FIND("~",SUBSTITUTE($AT280,"-","~",2))-4))</f>
        <v/>
      </c>
      <c r="AV280">
        <f>IF($AT280="","",MID($AT280,FIND("~",SUBSTITUTE($AT280,"-","~",2))+1,FIND("~",SUBSTITUTE($AT280,"-","~",3))-FIND("~",SUBSTITUTE($AT280,"-","~",2))-1))</f>
        <v/>
      </c>
      <c r="AW280">
        <f>IF($AU280="","",IFERROR(VLOOKUP($AU280,DECODE!$A$3:$C$8,3,FALSE),"?"))</f>
        <v/>
      </c>
      <c r="AX280">
        <f>IF($AV280="","",IFERROR(VLOOKUP($AU280&amp;"-"&amp;$AV280,DECODE!$E$3:$F$21,2,FALSE),"?"))</f>
        <v/>
      </c>
      <c r="AY280">
        <f>IF($AT280="","",IFERROR(VALUE(RIGHT($AT280,3)),""))</f>
        <v/>
      </c>
      <c r="AZ280">
        <f>IF($U280="","",IFERROR(IF(ISNUMBER($U280),$U280,DATEVALUE(TRIM($U280))),""))</f>
        <v/>
      </c>
      <c r="BA280">
        <f>IF($AZ280="","",IF(MONTH($AZ280)&gt;=12,"Cold Winter",IF(MONTH($AZ280)&gt;=10,"Post-Monsoon",IF(MONTH($AZ280)&gt;=6,"Hot Humid",IF(MONTH($AZ280)&gt;=3,"Hot Dry","Cold Winter")))))</f>
        <v/>
      </c>
      <c r="BB280">
        <f>IF($AU280="","",IFERROR(VLOOKUP($AU280,DECODE!$A$3:$C$8,2,FALSE),"?"))</f>
        <v/>
      </c>
      <c r="BC280">
        <f>IF($P280="","",UPPER(TRIM(LEFT($P280&amp;",",FIND(",",$P280&amp;",")-1))))</f>
        <v/>
      </c>
      <c r="BD280">
        <f>IF($BC280="","",MID($BC280,4,FIND("~",SUBSTITUTE($BC280,"-","~",2))-4))</f>
        <v/>
      </c>
      <c r="BE280">
        <f>IF($BC280="","",MID($BC280,FIND("~",SUBSTITUTE($BC280,"-","~",2))+1,FIND("~",SUBSTITUTE($BC280,"-","~",3))-FIND("~",SUBSTITUTE($BC280,"-","~",2))-1))</f>
        <v/>
      </c>
      <c r="BF280">
        <f>IF($BD280="","",IFERROR(VLOOKUP($BD280,DECODE!$A$3:$C$8,3,FALSE),"?"))</f>
        <v/>
      </c>
      <c r="BG280">
        <f>IF($BE280="","",IFERROR(VLOOKUP($BD280&amp;"-"&amp;$BE280,DECODE!$E$3:$F$21,2,FALSE),"?"))</f>
        <v/>
      </c>
      <c r="BH280">
        <f>IF($BC280="","",IFERROR(VALUE(RIGHT($BC280,3)),""))</f>
        <v/>
      </c>
      <c r="BI280">
        <f>IF($V280="","",IFERROR(IF(ISNUMBER($V280),$V280,DATEVALUE(TRIM($V280))),""))</f>
        <v/>
      </c>
      <c r="BJ280">
        <f>IF($BI280="","",IF(MONTH($BI280)&gt;=12,"Cold Winter",IF(MONTH($BI280)&gt;=10,"Post-Monsoon",IF(MONTH($BI280)&gt;=6,"Hot Humid",IF(MONTH($BI280)&gt;=3,"Hot Dry","Cold Winter")))))</f>
        <v/>
      </c>
      <c r="BK280">
        <f>IF($BD280="","",IFERROR(VLOOKUP($BD280,DECODE!$A$3:$C$8,2,FALSE),"?"))</f>
        <v/>
      </c>
      <c r="BL280">
        <f>IF($Q280="","",UPPER(TRIM(LEFT($Q280&amp;",",FIND(",",$Q280&amp;",")-1))))</f>
        <v/>
      </c>
      <c r="BM280">
        <f>IF($BL280="","",MID($BL280,4,FIND("~",SUBSTITUTE($BL280,"-","~",2))-4))</f>
        <v/>
      </c>
      <c r="BN280">
        <f>IF($BL280="","",MID($BL280,FIND("~",SUBSTITUTE($BL280,"-","~",2))+1,FIND("~",SUBSTITUTE($BL280,"-","~",3))-FIND("~",SUBSTITUTE($BL280,"-","~",2))-1))</f>
        <v/>
      </c>
      <c r="BO280">
        <f>IF($BM280="","",IFERROR(VLOOKUP($BM280,DECODE!$A$3:$C$8,3,FALSE),"?"))</f>
        <v/>
      </c>
      <c r="BP280">
        <f>IF($BN280="","",IFERROR(VLOOKUP($BM280&amp;"-"&amp;$BN280,DECODE!$E$3:$F$21,2,FALSE),"?"))</f>
        <v/>
      </c>
      <c r="BQ280">
        <f>IF($BL280="","",IFERROR(VALUE(RIGHT($BL280,3)),""))</f>
        <v/>
      </c>
      <c r="BR280">
        <f>IF($W280="","",IFERROR(IF(ISNUMBER($W280),$W280,DATEVALUE(TRIM($W280))),""))</f>
        <v/>
      </c>
      <c r="BS280">
        <f>IF($BR280="","",IF(MONTH($BR280)&gt;=12,"Cold Winter",IF(MONTH($BR280)&gt;=10,"Post-Monsoon",IF(MONTH($BR280)&gt;=6,"Hot Humid",IF(MONTH($BR280)&gt;=3,"Hot Dry","Cold Winter")))))</f>
        <v/>
      </c>
      <c r="BT280">
        <f>IF($BM280="","",IFERROR(VLOOKUP($BM280,DECODE!$A$3:$C$8,2,FALSE),"?"))</f>
        <v/>
      </c>
      <c r="BU280">
        <f>IF($R280="","",UPPER(TRIM(LEFT($R280&amp;",",FIND(",",$R280&amp;",")-1))))</f>
        <v/>
      </c>
      <c r="BV280">
        <f>IF($BU280="","",MID($BU280,4,FIND("~",SUBSTITUTE($BU280,"-","~",2))-4))</f>
        <v/>
      </c>
      <c r="BW280">
        <f>IF($BU280="","",MID($BU280,FIND("~",SUBSTITUTE($BU280,"-","~",2))+1,FIND("~",SUBSTITUTE($BU280,"-","~",3))-FIND("~",SUBSTITUTE($BU280,"-","~",2))-1))</f>
        <v/>
      </c>
      <c r="BX280">
        <f>IF($BV280="","",IFERROR(VLOOKUP($BV280,DECODE!$A$3:$C$8,3,FALSE),"?"))</f>
        <v/>
      </c>
      <c r="BY280">
        <f>IF($BW280="","",IFERROR(VLOOKUP($BV280&amp;"-"&amp;$BW280,DECODE!$E$3:$F$21,2,FALSE),"?"))</f>
        <v/>
      </c>
      <c r="BZ280">
        <f>IF($BU280="","",IFERROR(VALUE(RIGHT($BU280,3)),""))</f>
        <v/>
      </c>
      <c r="CA280">
        <f>IF($X280="","",IFERROR(IF(ISNUMBER($X280),$X280,DATEVALUE(TRIM($X280))),""))</f>
        <v/>
      </c>
      <c r="CB280">
        <f>IF($CA280="","",IF(MONTH($CA280)&gt;=12,"Cold Winter",IF(MONTH($CA280)&gt;=10,"Post-Monsoon",IF(MONTH($CA280)&gt;=6,"Hot Humid",IF(MONTH($CA280)&gt;=3,"Hot Dry","Cold Winter")))))</f>
        <v/>
      </c>
      <c r="CC280">
        <f>IF($BV280="","",IFERROR(VLOOKUP($BV280,DECODE!$A$3:$C$8,2,FALSE),"?"))</f>
        <v/>
      </c>
      <c r="CD280">
        <f>IF($S280="","",UPPER(TRIM(LEFT($S280&amp;",",FIND(",",$S280&amp;",")-1))))</f>
        <v/>
      </c>
      <c r="CE280">
        <f>IF($CD280="","",MID($CD280,4,FIND("~",SUBSTITUTE($CD280,"-","~",2))-4))</f>
        <v/>
      </c>
      <c r="CF280">
        <f>IF($CD280="","",MID($CD280,FIND("~",SUBSTITUTE($CD280,"-","~",2))+1,FIND("~",SUBSTITUTE($CD280,"-","~",3))-FIND("~",SUBSTITUTE($CD280,"-","~",2))-1))</f>
        <v/>
      </c>
      <c r="CG280">
        <f>IF($CE280="","",IFERROR(VLOOKUP($CE280,DECODE!$A$3:$C$8,3,FALSE),"?"))</f>
        <v/>
      </c>
      <c r="CH280">
        <f>IF($CF280="","",IFERROR(VLOOKUP($CE280&amp;"-"&amp;$CF280,DECODE!$E$3:$F$21,2,FALSE),"?"))</f>
        <v/>
      </c>
      <c r="CI280">
        <f>IF($CD280="","",IFERROR(VALUE(RIGHT($CD280,3)),""))</f>
        <v/>
      </c>
      <c r="CJ280">
        <f>IF($Y280="","",IFERROR(IF(ISNUMBER($Y280),$Y280,DATEVALUE(TRIM($Y280))),""))</f>
        <v/>
      </c>
      <c r="CK280">
        <f>IF($CJ280="","",IF(MONTH($CJ280)&gt;=12,"Cold Winter",IF(MONTH($CJ280)&gt;=10,"Post-Monsoon",IF(MONTH($CJ280)&gt;=6,"Hot Humid",IF(MONTH($CJ280)&gt;=3,"Hot Dry","Cold Winter")))))</f>
        <v/>
      </c>
      <c r="CL280">
        <f>IF($CE280="","",IFERROR(VLOOKUP($CE280,DECODE!$A$3:$C$8,2,FALSE),"?"))</f>
        <v/>
      </c>
      <c r="CM280">
        <f>IF($AN280="","",AN280)</f>
        <v/>
      </c>
      <c r="CN280">
        <f>IF($AO280="","",AO280)</f>
        <v/>
      </c>
      <c r="CO280">
        <f>IF($AP280="","",AP280)</f>
        <v/>
      </c>
      <c r="CP280">
        <f>IF($CM280="","",IF($CM280="Aloe Vera Gel","Aloe Vera Gel "&amp;$CO280&amp;"g",CN280&amp;" "&amp;$CO280&amp;"g"))</f>
        <v/>
      </c>
      <c r="CQ280">
        <f>IF($AT280="",0,1)</f>
        <v/>
      </c>
      <c r="CR280">
        <f>IF($CQ280=0,"",AW280)</f>
        <v/>
      </c>
      <c r="CS280">
        <f>IF($CQ280=0,"",AX280)</f>
        <v/>
      </c>
      <c r="CT280">
        <f>IF($CQ280=0,"",AY280)</f>
        <v/>
      </c>
      <c r="CU280">
        <f>IF($CR280="","",IF($CR280="Aloe Vera Gel","Aloe Vera Gel "&amp;$CT280&amp;"g",CS280&amp;" "&amp;$CT280&amp;"g"))</f>
        <v/>
      </c>
      <c r="CV280">
        <f>IF($CQ280=0,"",IF($CP280=$CU280,"Repeat Exact",IF($CT280&gt;$CO280,"Upsized",IF($CT280&lt;$CO280,"Downsized",IF($CM280&lt;&gt;$CR280,"Lateral","Same Size Diff Variant")))))</f>
        <v/>
      </c>
      <c r="CW280">
        <f>IF($CQ280=0,"",AZ280-AQ280)</f>
        <v/>
      </c>
      <c r="CX280">
        <f>IF($CQ280=0,0,IF(CS280=CN280,1,0))</f>
        <v/>
      </c>
      <c r="CY280">
        <f>IF($CQ280=0,0,IF(CR280=CM280,1,0))</f>
        <v/>
      </c>
      <c r="CZ280">
        <f>IF($A280="","",IF(AND(IF(DASHBOARD!$C$4="All",TRUE,$CM280=DASHBOARD!$C$4),IF(DASHBOARD!$C$6="All",TRUE,$CP280=DASHBOARD!$C$6),IF(DASHBOARD!$C$8="All",TRUE,$AF280&gt;=DASHBOARD!$C$8),IF(DASHBOARD!$C$10="All",TRUE,$AF280&lt;=DASHBOARD!$C$10),IF(DASHBOARD!$C$12="All",TRUE,$AH280=VALUE(DASHBOARD!$C$12)),IF(DASHBOARD!$C$14="All",TRUE,$AJ280=DASHBOARD!$C$14)),1,0))</f>
        <v/>
      </c>
    </row>
    <row r="281">
      <c r="A281" t="n">
        <v>163073</v>
      </c>
      <c r="B281" t="inlineStr">
        <is>
          <t>Face Malai</t>
        </is>
      </c>
      <c r="C281" t="inlineStr">
        <is>
          <t>Face Malai</t>
        </is>
      </c>
      <c r="H281" t="inlineStr">
        <is>
          <t>Honey Multi-Nut (Dry &amp; Peeling Skin) Face Malai</t>
        </is>
      </c>
      <c r="I281" t="inlineStr">
        <is>
          <t>Honey Multi-Nut (Dry &amp; Peeling Skin) Face Malai</t>
        </is>
      </c>
      <c r="N281" t="inlineStr">
        <is>
          <t>FC-DM-DP-030</t>
        </is>
      </c>
      <c r="O281" t="inlineStr">
        <is>
          <t>FC-DM-DP-030</t>
        </is>
      </c>
      <c r="T281" t="inlineStr">
        <is>
          <t>Dec 30, 2025</t>
        </is>
      </c>
      <c r="U281" t="inlineStr">
        <is>
          <t>Jan 3, 2026</t>
        </is>
      </c>
      <c r="Z281" t="n">
        <v>4</v>
      </c>
      <c r="AE281" t="inlineStr">
        <is>
          <t>Hyderabad</t>
        </is>
      </c>
      <c r="AF281" t="inlineStr">
        <is>
          <t>2025-12</t>
        </is>
      </c>
      <c r="AG281" t="n">
        <v>12</v>
      </c>
      <c r="AH281" t="n">
        <v>2</v>
      </c>
      <c r="AI281" t="n">
        <v>1</v>
      </c>
      <c r="AJ281">
        <f>IF($AE281="","",IFERROR(VLOOKUP(TRIM($AE281),DECODE!$H$3:$I$60,2,FALSE),"Rest of India"))</f>
        <v/>
      </c>
      <c r="AK281">
        <f>IF($N281="","",UPPER(TRIM(LEFT($N281&amp;",",FIND(",",$N281&amp;",")-1))))</f>
        <v/>
      </c>
      <c r="AL281">
        <f>IF($AK281="","",MID($AK281,4,FIND("~",SUBSTITUTE($AK281,"-","~",2))-4))</f>
        <v/>
      </c>
      <c r="AM281">
        <f>IF($AK281="","",MID($AK281,FIND("~",SUBSTITUTE($AK281,"-","~",2))+1,FIND("~",SUBSTITUTE($AK281,"-","~",3))-FIND("~",SUBSTITUTE($AK281,"-","~",2))-1))</f>
        <v/>
      </c>
      <c r="AN281">
        <f>IF($AL281="","",IFERROR(VLOOKUP($AL281,DECODE!$A$3:$C$8,3,FALSE),"?"))</f>
        <v/>
      </c>
      <c r="AO281">
        <f>IF($AM281="","",IFERROR(VLOOKUP($AL281&amp;"-"&amp;$AM281,DECODE!$E$3:$F$21,2,FALSE),"?"))</f>
        <v/>
      </c>
      <c r="AP281">
        <f>IF($AK281="","",IFERROR(VALUE(RIGHT($AK281,3)),""))</f>
        <v/>
      </c>
      <c r="AQ281">
        <f>IF($T281="","",IFERROR(IF(ISNUMBER($T281),$T281,DATEVALUE(TRIM($T281))),""))</f>
        <v/>
      </c>
      <c r="AR281">
        <f>IF($AQ281="","",IF(MONTH($AQ281)&gt;=12,"Cold Winter",IF(MONTH($AQ281)&gt;=10,"Post-Monsoon",IF(MONTH($AQ281)&gt;=6,"Hot Humid",IF(MONTH($AQ281)&gt;=3,"Hot Dry","Cold Winter")))))</f>
        <v/>
      </c>
      <c r="AS281">
        <f>IF($AL281="","",IFERROR(VLOOKUP($AL281,DECODE!$A$3:$C$8,2,FALSE),"?"))</f>
        <v/>
      </c>
      <c r="AT281">
        <f>IF($O281="","",UPPER(TRIM(LEFT($O281&amp;",",FIND(",",$O281&amp;",")-1))))</f>
        <v/>
      </c>
      <c r="AU281">
        <f>IF($AT281="","",MID($AT281,4,FIND("~",SUBSTITUTE($AT281,"-","~",2))-4))</f>
        <v/>
      </c>
      <c r="AV281">
        <f>IF($AT281="","",MID($AT281,FIND("~",SUBSTITUTE($AT281,"-","~",2))+1,FIND("~",SUBSTITUTE($AT281,"-","~",3))-FIND("~",SUBSTITUTE($AT281,"-","~",2))-1))</f>
        <v/>
      </c>
      <c r="AW281">
        <f>IF($AU281="","",IFERROR(VLOOKUP($AU281,DECODE!$A$3:$C$8,3,FALSE),"?"))</f>
        <v/>
      </c>
      <c r="AX281">
        <f>IF($AV281="","",IFERROR(VLOOKUP($AU281&amp;"-"&amp;$AV281,DECODE!$E$3:$F$21,2,FALSE),"?"))</f>
        <v/>
      </c>
      <c r="AY281">
        <f>IF($AT281="","",IFERROR(VALUE(RIGHT($AT281,3)),""))</f>
        <v/>
      </c>
      <c r="AZ281">
        <f>IF($U281="","",IFERROR(IF(ISNUMBER($U281),$U281,DATEVALUE(TRIM($U281))),""))</f>
        <v/>
      </c>
      <c r="BA281">
        <f>IF($AZ281="","",IF(MONTH($AZ281)&gt;=12,"Cold Winter",IF(MONTH($AZ281)&gt;=10,"Post-Monsoon",IF(MONTH($AZ281)&gt;=6,"Hot Humid",IF(MONTH($AZ281)&gt;=3,"Hot Dry","Cold Winter")))))</f>
        <v/>
      </c>
      <c r="BB281">
        <f>IF($AU281="","",IFERROR(VLOOKUP($AU281,DECODE!$A$3:$C$8,2,FALSE),"?"))</f>
        <v/>
      </c>
      <c r="BC281">
        <f>IF($P281="","",UPPER(TRIM(LEFT($P281&amp;",",FIND(",",$P281&amp;",")-1))))</f>
        <v/>
      </c>
      <c r="BD281">
        <f>IF($BC281="","",MID($BC281,4,FIND("~",SUBSTITUTE($BC281,"-","~",2))-4))</f>
        <v/>
      </c>
      <c r="BE281">
        <f>IF($BC281="","",MID($BC281,FIND("~",SUBSTITUTE($BC281,"-","~",2))+1,FIND("~",SUBSTITUTE($BC281,"-","~",3))-FIND("~",SUBSTITUTE($BC281,"-","~",2))-1))</f>
        <v/>
      </c>
      <c r="BF281">
        <f>IF($BD281="","",IFERROR(VLOOKUP($BD281,DECODE!$A$3:$C$8,3,FALSE),"?"))</f>
        <v/>
      </c>
      <c r="BG281">
        <f>IF($BE281="","",IFERROR(VLOOKUP($BD281&amp;"-"&amp;$BE281,DECODE!$E$3:$F$21,2,FALSE),"?"))</f>
        <v/>
      </c>
      <c r="BH281">
        <f>IF($BC281="","",IFERROR(VALUE(RIGHT($BC281,3)),""))</f>
        <v/>
      </c>
      <c r="BI281">
        <f>IF($V281="","",IFERROR(IF(ISNUMBER($V281),$V281,DATEVALUE(TRIM($V281))),""))</f>
        <v/>
      </c>
      <c r="BJ281">
        <f>IF($BI281="","",IF(MONTH($BI281)&gt;=12,"Cold Winter",IF(MONTH($BI281)&gt;=10,"Post-Monsoon",IF(MONTH($BI281)&gt;=6,"Hot Humid",IF(MONTH($BI281)&gt;=3,"Hot Dry","Cold Winter")))))</f>
        <v/>
      </c>
      <c r="BK281">
        <f>IF($BD281="","",IFERROR(VLOOKUP($BD281,DECODE!$A$3:$C$8,2,FALSE),"?"))</f>
        <v/>
      </c>
      <c r="BL281">
        <f>IF($Q281="","",UPPER(TRIM(LEFT($Q281&amp;",",FIND(",",$Q281&amp;",")-1))))</f>
        <v/>
      </c>
      <c r="BM281">
        <f>IF($BL281="","",MID($BL281,4,FIND("~",SUBSTITUTE($BL281,"-","~",2))-4))</f>
        <v/>
      </c>
      <c r="BN281">
        <f>IF($BL281="","",MID($BL281,FIND("~",SUBSTITUTE($BL281,"-","~",2))+1,FIND("~",SUBSTITUTE($BL281,"-","~",3))-FIND("~",SUBSTITUTE($BL281,"-","~",2))-1))</f>
        <v/>
      </c>
      <c r="BO281">
        <f>IF($BM281="","",IFERROR(VLOOKUP($BM281,DECODE!$A$3:$C$8,3,FALSE),"?"))</f>
        <v/>
      </c>
      <c r="BP281">
        <f>IF($BN281="","",IFERROR(VLOOKUP($BM281&amp;"-"&amp;$BN281,DECODE!$E$3:$F$21,2,FALSE),"?"))</f>
        <v/>
      </c>
      <c r="BQ281">
        <f>IF($BL281="","",IFERROR(VALUE(RIGHT($BL281,3)),""))</f>
        <v/>
      </c>
      <c r="BR281">
        <f>IF($W281="","",IFERROR(IF(ISNUMBER($W281),$W281,DATEVALUE(TRIM($W281))),""))</f>
        <v/>
      </c>
      <c r="BS281">
        <f>IF($BR281="","",IF(MONTH($BR281)&gt;=12,"Cold Winter",IF(MONTH($BR281)&gt;=10,"Post-Monsoon",IF(MONTH($BR281)&gt;=6,"Hot Humid",IF(MONTH($BR281)&gt;=3,"Hot Dry","Cold Winter")))))</f>
        <v/>
      </c>
      <c r="BT281">
        <f>IF($BM281="","",IFERROR(VLOOKUP($BM281,DECODE!$A$3:$C$8,2,FALSE),"?"))</f>
        <v/>
      </c>
      <c r="BU281">
        <f>IF($R281="","",UPPER(TRIM(LEFT($R281&amp;",",FIND(",",$R281&amp;",")-1))))</f>
        <v/>
      </c>
      <c r="BV281">
        <f>IF($BU281="","",MID($BU281,4,FIND("~",SUBSTITUTE($BU281,"-","~",2))-4))</f>
        <v/>
      </c>
      <c r="BW281">
        <f>IF($BU281="","",MID($BU281,FIND("~",SUBSTITUTE($BU281,"-","~",2))+1,FIND("~",SUBSTITUTE($BU281,"-","~",3))-FIND("~",SUBSTITUTE($BU281,"-","~",2))-1))</f>
        <v/>
      </c>
      <c r="BX281">
        <f>IF($BV281="","",IFERROR(VLOOKUP($BV281,DECODE!$A$3:$C$8,3,FALSE),"?"))</f>
        <v/>
      </c>
      <c r="BY281">
        <f>IF($BW281="","",IFERROR(VLOOKUP($BV281&amp;"-"&amp;$BW281,DECODE!$E$3:$F$21,2,FALSE),"?"))</f>
        <v/>
      </c>
      <c r="BZ281">
        <f>IF($BU281="","",IFERROR(VALUE(RIGHT($BU281,3)),""))</f>
        <v/>
      </c>
      <c r="CA281">
        <f>IF($X281="","",IFERROR(IF(ISNUMBER($X281),$X281,DATEVALUE(TRIM($X281))),""))</f>
        <v/>
      </c>
      <c r="CB281">
        <f>IF($CA281="","",IF(MONTH($CA281)&gt;=12,"Cold Winter",IF(MONTH($CA281)&gt;=10,"Post-Monsoon",IF(MONTH($CA281)&gt;=6,"Hot Humid",IF(MONTH($CA281)&gt;=3,"Hot Dry","Cold Winter")))))</f>
        <v/>
      </c>
      <c r="CC281">
        <f>IF($BV281="","",IFERROR(VLOOKUP($BV281,DECODE!$A$3:$C$8,2,FALSE),"?"))</f>
        <v/>
      </c>
      <c r="CD281">
        <f>IF($S281="","",UPPER(TRIM(LEFT($S281&amp;",",FIND(",",$S281&amp;",")-1))))</f>
        <v/>
      </c>
      <c r="CE281">
        <f>IF($CD281="","",MID($CD281,4,FIND("~",SUBSTITUTE($CD281,"-","~",2))-4))</f>
        <v/>
      </c>
      <c r="CF281">
        <f>IF($CD281="","",MID($CD281,FIND("~",SUBSTITUTE($CD281,"-","~",2))+1,FIND("~",SUBSTITUTE($CD281,"-","~",3))-FIND("~",SUBSTITUTE($CD281,"-","~",2))-1))</f>
        <v/>
      </c>
      <c r="CG281">
        <f>IF($CE281="","",IFERROR(VLOOKUP($CE281,DECODE!$A$3:$C$8,3,FALSE),"?"))</f>
        <v/>
      </c>
      <c r="CH281">
        <f>IF($CF281="","",IFERROR(VLOOKUP($CE281&amp;"-"&amp;$CF281,DECODE!$E$3:$F$21,2,FALSE),"?"))</f>
        <v/>
      </c>
      <c r="CI281">
        <f>IF($CD281="","",IFERROR(VALUE(RIGHT($CD281,3)),""))</f>
        <v/>
      </c>
      <c r="CJ281">
        <f>IF($Y281="","",IFERROR(IF(ISNUMBER($Y281),$Y281,DATEVALUE(TRIM($Y281))),""))</f>
        <v/>
      </c>
      <c r="CK281">
        <f>IF($CJ281="","",IF(MONTH($CJ281)&gt;=12,"Cold Winter",IF(MONTH($CJ281)&gt;=10,"Post-Monsoon",IF(MONTH($CJ281)&gt;=6,"Hot Humid",IF(MONTH($CJ281)&gt;=3,"Hot Dry","Cold Winter")))))</f>
        <v/>
      </c>
      <c r="CL281">
        <f>IF($CE281="","",IFERROR(VLOOKUP($CE281,DECODE!$A$3:$C$8,2,FALSE),"?"))</f>
        <v/>
      </c>
      <c r="CM281">
        <f>IF($AN281="","",AN281)</f>
        <v/>
      </c>
      <c r="CN281">
        <f>IF($AO281="","",AO281)</f>
        <v/>
      </c>
      <c r="CO281">
        <f>IF($AP281="","",AP281)</f>
        <v/>
      </c>
      <c r="CP281">
        <f>IF($CM281="","",IF($CM281="Aloe Vera Gel","Aloe Vera Gel "&amp;$CO281&amp;"g",CN281&amp;" "&amp;$CO281&amp;"g"))</f>
        <v/>
      </c>
      <c r="CQ281">
        <f>IF($AT281="",0,1)</f>
        <v/>
      </c>
      <c r="CR281">
        <f>IF($CQ281=0,"",AW281)</f>
        <v/>
      </c>
      <c r="CS281">
        <f>IF($CQ281=0,"",AX281)</f>
        <v/>
      </c>
      <c r="CT281">
        <f>IF($CQ281=0,"",AY281)</f>
        <v/>
      </c>
      <c r="CU281">
        <f>IF($CR281="","",IF($CR281="Aloe Vera Gel","Aloe Vera Gel "&amp;$CT281&amp;"g",CS281&amp;" "&amp;$CT281&amp;"g"))</f>
        <v/>
      </c>
      <c r="CV281">
        <f>IF($CQ281=0,"",IF($CP281=$CU281,"Repeat Exact",IF($CT281&gt;$CO281,"Upsized",IF($CT281&lt;$CO281,"Downsized",IF($CM281&lt;&gt;$CR281,"Lateral","Same Size Diff Variant")))))</f>
        <v/>
      </c>
      <c r="CW281">
        <f>IF($CQ281=0,"",AZ281-AQ281)</f>
        <v/>
      </c>
      <c r="CX281">
        <f>IF($CQ281=0,0,IF(CS281=CN281,1,0))</f>
        <v/>
      </c>
      <c r="CY281">
        <f>IF($CQ281=0,0,IF(CR281=CM281,1,0))</f>
        <v/>
      </c>
      <c r="CZ281">
        <f>IF($A281="","",IF(AND(IF(DASHBOARD!$C$4="All",TRUE,$CM281=DASHBOARD!$C$4),IF(DASHBOARD!$C$6="All",TRUE,$CP281=DASHBOARD!$C$6),IF(DASHBOARD!$C$8="All",TRUE,$AF281&gt;=DASHBOARD!$C$8),IF(DASHBOARD!$C$10="All",TRUE,$AF281&lt;=DASHBOARD!$C$10),IF(DASHBOARD!$C$12="All",TRUE,$AH281=VALUE(DASHBOARD!$C$12)),IF(DASHBOARD!$C$14="All",TRUE,$AJ281=DASHBOARD!$C$14)),1,0))</f>
        <v/>
      </c>
    </row>
    <row r="282">
      <c r="A282" t="n">
        <v>163421</v>
      </c>
      <c r="B282" t="inlineStr">
        <is>
          <t>Active Gel</t>
        </is>
      </c>
      <c r="H282" t="inlineStr">
        <is>
          <t>Active Orange Kiwi Vit-C Gel</t>
        </is>
      </c>
      <c r="N282" t="inlineStr">
        <is>
          <t>FC-AC-OK-050</t>
        </is>
      </c>
      <c r="T282" t="inlineStr">
        <is>
          <t>Oct 27, 2024</t>
        </is>
      </c>
      <c r="AE282" t="inlineStr">
        <is>
          <t>Gurgaon</t>
        </is>
      </c>
      <c r="AF282" t="inlineStr">
        <is>
          <t>2024-10</t>
        </is>
      </c>
      <c r="AG282" t="n">
        <v>10</v>
      </c>
      <c r="AH282" t="n">
        <v>1</v>
      </c>
      <c r="AI282" t="n">
        <v>0</v>
      </c>
      <c r="AJ282">
        <f>IF($AE282="","",IFERROR(VLOOKUP(TRIM($AE282),DECODE!$H$3:$I$60,2,FALSE),"Rest of India"))</f>
        <v/>
      </c>
      <c r="AK282">
        <f>IF($N282="","",UPPER(TRIM(LEFT($N282&amp;",",FIND(",",$N282&amp;",")-1))))</f>
        <v/>
      </c>
      <c r="AL282">
        <f>IF($AK282="","",MID($AK282,4,FIND("~",SUBSTITUTE($AK282,"-","~",2))-4))</f>
        <v/>
      </c>
      <c r="AM282">
        <f>IF($AK282="","",MID($AK282,FIND("~",SUBSTITUTE($AK282,"-","~",2))+1,FIND("~",SUBSTITUTE($AK282,"-","~",3))-FIND("~",SUBSTITUTE($AK282,"-","~",2))-1))</f>
        <v/>
      </c>
      <c r="AN282">
        <f>IF($AL282="","",IFERROR(VLOOKUP($AL282,DECODE!$A$3:$C$8,3,FALSE),"?"))</f>
        <v/>
      </c>
      <c r="AO282">
        <f>IF($AM282="","",IFERROR(VLOOKUP($AL282&amp;"-"&amp;$AM282,DECODE!$E$3:$F$21,2,FALSE),"?"))</f>
        <v/>
      </c>
      <c r="AP282">
        <f>IF($AK282="","",IFERROR(VALUE(RIGHT($AK282,3)),""))</f>
        <v/>
      </c>
      <c r="AQ282">
        <f>IF($T282="","",IFERROR(IF(ISNUMBER($T282),$T282,DATEVALUE(TRIM($T282))),""))</f>
        <v/>
      </c>
      <c r="AR282">
        <f>IF($AQ282="","",IF(MONTH($AQ282)&gt;=12,"Cold Winter",IF(MONTH($AQ282)&gt;=10,"Post-Monsoon",IF(MONTH($AQ282)&gt;=6,"Hot Humid",IF(MONTH($AQ282)&gt;=3,"Hot Dry","Cold Winter")))))</f>
        <v/>
      </c>
      <c r="AS282">
        <f>IF($AL282="","",IFERROR(VLOOKUP($AL282,DECODE!$A$3:$C$8,2,FALSE),"?"))</f>
        <v/>
      </c>
      <c r="AT282">
        <f>IF($O282="","",UPPER(TRIM(LEFT($O282&amp;",",FIND(",",$O282&amp;",")-1))))</f>
        <v/>
      </c>
      <c r="AU282">
        <f>IF($AT282="","",MID($AT282,4,FIND("~",SUBSTITUTE($AT282,"-","~",2))-4))</f>
        <v/>
      </c>
      <c r="AV282">
        <f>IF($AT282="","",MID($AT282,FIND("~",SUBSTITUTE($AT282,"-","~",2))+1,FIND("~",SUBSTITUTE($AT282,"-","~",3))-FIND("~",SUBSTITUTE($AT282,"-","~",2))-1))</f>
        <v/>
      </c>
      <c r="AW282">
        <f>IF($AU282="","",IFERROR(VLOOKUP($AU282,DECODE!$A$3:$C$8,3,FALSE),"?"))</f>
        <v/>
      </c>
      <c r="AX282">
        <f>IF($AV282="","",IFERROR(VLOOKUP($AU282&amp;"-"&amp;$AV282,DECODE!$E$3:$F$21,2,FALSE),"?"))</f>
        <v/>
      </c>
      <c r="AY282">
        <f>IF($AT282="","",IFERROR(VALUE(RIGHT($AT282,3)),""))</f>
        <v/>
      </c>
      <c r="AZ282">
        <f>IF($U282="","",IFERROR(IF(ISNUMBER($U282),$U282,DATEVALUE(TRIM($U282))),""))</f>
        <v/>
      </c>
      <c r="BA282">
        <f>IF($AZ282="","",IF(MONTH($AZ282)&gt;=12,"Cold Winter",IF(MONTH($AZ282)&gt;=10,"Post-Monsoon",IF(MONTH($AZ282)&gt;=6,"Hot Humid",IF(MONTH($AZ282)&gt;=3,"Hot Dry","Cold Winter")))))</f>
        <v/>
      </c>
      <c r="BB282">
        <f>IF($AU282="","",IFERROR(VLOOKUP($AU282,DECODE!$A$3:$C$8,2,FALSE),"?"))</f>
        <v/>
      </c>
      <c r="BC282">
        <f>IF($P282="","",UPPER(TRIM(LEFT($P282&amp;",",FIND(",",$P282&amp;",")-1))))</f>
        <v/>
      </c>
      <c r="BD282">
        <f>IF($BC282="","",MID($BC282,4,FIND("~",SUBSTITUTE($BC282,"-","~",2))-4))</f>
        <v/>
      </c>
      <c r="BE282">
        <f>IF($BC282="","",MID($BC282,FIND("~",SUBSTITUTE($BC282,"-","~",2))+1,FIND("~",SUBSTITUTE($BC282,"-","~",3))-FIND("~",SUBSTITUTE($BC282,"-","~",2))-1))</f>
        <v/>
      </c>
      <c r="BF282">
        <f>IF($BD282="","",IFERROR(VLOOKUP($BD282,DECODE!$A$3:$C$8,3,FALSE),"?"))</f>
        <v/>
      </c>
      <c r="BG282">
        <f>IF($BE282="","",IFERROR(VLOOKUP($BD282&amp;"-"&amp;$BE282,DECODE!$E$3:$F$21,2,FALSE),"?"))</f>
        <v/>
      </c>
      <c r="BH282">
        <f>IF($BC282="","",IFERROR(VALUE(RIGHT($BC282,3)),""))</f>
        <v/>
      </c>
      <c r="BI282">
        <f>IF($V282="","",IFERROR(IF(ISNUMBER($V282),$V282,DATEVALUE(TRIM($V282))),""))</f>
        <v/>
      </c>
      <c r="BJ282">
        <f>IF($BI282="","",IF(MONTH($BI282)&gt;=12,"Cold Winter",IF(MONTH($BI282)&gt;=10,"Post-Monsoon",IF(MONTH($BI282)&gt;=6,"Hot Humid",IF(MONTH($BI282)&gt;=3,"Hot Dry","Cold Winter")))))</f>
        <v/>
      </c>
      <c r="BK282">
        <f>IF($BD282="","",IFERROR(VLOOKUP($BD282,DECODE!$A$3:$C$8,2,FALSE),"?"))</f>
        <v/>
      </c>
      <c r="BL282">
        <f>IF($Q282="","",UPPER(TRIM(LEFT($Q282&amp;",",FIND(",",$Q282&amp;",")-1))))</f>
        <v/>
      </c>
      <c r="BM282">
        <f>IF($BL282="","",MID($BL282,4,FIND("~",SUBSTITUTE($BL282,"-","~",2))-4))</f>
        <v/>
      </c>
      <c r="BN282">
        <f>IF($BL282="","",MID($BL282,FIND("~",SUBSTITUTE($BL282,"-","~",2))+1,FIND("~",SUBSTITUTE($BL282,"-","~",3))-FIND("~",SUBSTITUTE($BL282,"-","~",2))-1))</f>
        <v/>
      </c>
      <c r="BO282">
        <f>IF($BM282="","",IFERROR(VLOOKUP($BM282,DECODE!$A$3:$C$8,3,FALSE),"?"))</f>
        <v/>
      </c>
      <c r="BP282">
        <f>IF($BN282="","",IFERROR(VLOOKUP($BM282&amp;"-"&amp;$BN282,DECODE!$E$3:$F$21,2,FALSE),"?"))</f>
        <v/>
      </c>
      <c r="BQ282">
        <f>IF($BL282="","",IFERROR(VALUE(RIGHT($BL282,3)),""))</f>
        <v/>
      </c>
      <c r="BR282">
        <f>IF($W282="","",IFERROR(IF(ISNUMBER($W282),$W282,DATEVALUE(TRIM($W282))),""))</f>
        <v/>
      </c>
      <c r="BS282">
        <f>IF($BR282="","",IF(MONTH($BR282)&gt;=12,"Cold Winter",IF(MONTH($BR282)&gt;=10,"Post-Monsoon",IF(MONTH($BR282)&gt;=6,"Hot Humid",IF(MONTH($BR282)&gt;=3,"Hot Dry","Cold Winter")))))</f>
        <v/>
      </c>
      <c r="BT282">
        <f>IF($BM282="","",IFERROR(VLOOKUP($BM282,DECODE!$A$3:$C$8,2,FALSE),"?"))</f>
        <v/>
      </c>
      <c r="BU282">
        <f>IF($R282="","",UPPER(TRIM(LEFT($R282&amp;",",FIND(",",$R282&amp;",")-1))))</f>
        <v/>
      </c>
      <c r="BV282">
        <f>IF($BU282="","",MID($BU282,4,FIND("~",SUBSTITUTE($BU282,"-","~",2))-4))</f>
        <v/>
      </c>
      <c r="BW282">
        <f>IF($BU282="","",MID($BU282,FIND("~",SUBSTITUTE($BU282,"-","~",2))+1,FIND("~",SUBSTITUTE($BU282,"-","~",3))-FIND("~",SUBSTITUTE($BU282,"-","~",2))-1))</f>
        <v/>
      </c>
      <c r="BX282">
        <f>IF($BV282="","",IFERROR(VLOOKUP($BV282,DECODE!$A$3:$C$8,3,FALSE),"?"))</f>
        <v/>
      </c>
      <c r="BY282">
        <f>IF($BW282="","",IFERROR(VLOOKUP($BV282&amp;"-"&amp;$BW282,DECODE!$E$3:$F$21,2,FALSE),"?"))</f>
        <v/>
      </c>
      <c r="BZ282">
        <f>IF($BU282="","",IFERROR(VALUE(RIGHT($BU282,3)),""))</f>
        <v/>
      </c>
      <c r="CA282">
        <f>IF($X282="","",IFERROR(IF(ISNUMBER($X282),$X282,DATEVALUE(TRIM($X282))),""))</f>
        <v/>
      </c>
      <c r="CB282">
        <f>IF($CA282="","",IF(MONTH($CA282)&gt;=12,"Cold Winter",IF(MONTH($CA282)&gt;=10,"Post-Monsoon",IF(MONTH($CA282)&gt;=6,"Hot Humid",IF(MONTH($CA282)&gt;=3,"Hot Dry","Cold Winter")))))</f>
        <v/>
      </c>
      <c r="CC282">
        <f>IF($BV282="","",IFERROR(VLOOKUP($BV282,DECODE!$A$3:$C$8,2,FALSE),"?"))</f>
        <v/>
      </c>
      <c r="CD282">
        <f>IF($S282="","",UPPER(TRIM(LEFT($S282&amp;",",FIND(",",$S282&amp;",")-1))))</f>
        <v/>
      </c>
      <c r="CE282">
        <f>IF($CD282="","",MID($CD282,4,FIND("~",SUBSTITUTE($CD282,"-","~",2))-4))</f>
        <v/>
      </c>
      <c r="CF282">
        <f>IF($CD282="","",MID($CD282,FIND("~",SUBSTITUTE($CD282,"-","~",2))+1,FIND("~",SUBSTITUTE($CD282,"-","~",3))-FIND("~",SUBSTITUTE($CD282,"-","~",2))-1))</f>
        <v/>
      </c>
      <c r="CG282">
        <f>IF($CE282="","",IFERROR(VLOOKUP($CE282,DECODE!$A$3:$C$8,3,FALSE),"?"))</f>
        <v/>
      </c>
      <c r="CH282">
        <f>IF($CF282="","",IFERROR(VLOOKUP($CE282&amp;"-"&amp;$CF282,DECODE!$E$3:$F$21,2,FALSE),"?"))</f>
        <v/>
      </c>
      <c r="CI282">
        <f>IF($CD282="","",IFERROR(VALUE(RIGHT($CD282,3)),""))</f>
        <v/>
      </c>
      <c r="CJ282">
        <f>IF($Y282="","",IFERROR(IF(ISNUMBER($Y282),$Y282,DATEVALUE(TRIM($Y282))),""))</f>
        <v/>
      </c>
      <c r="CK282">
        <f>IF($CJ282="","",IF(MONTH($CJ282)&gt;=12,"Cold Winter",IF(MONTH($CJ282)&gt;=10,"Post-Monsoon",IF(MONTH($CJ282)&gt;=6,"Hot Humid",IF(MONTH($CJ282)&gt;=3,"Hot Dry","Cold Winter")))))</f>
        <v/>
      </c>
      <c r="CL282">
        <f>IF($CE282="","",IFERROR(VLOOKUP($CE282,DECODE!$A$3:$C$8,2,FALSE),"?"))</f>
        <v/>
      </c>
      <c r="CM282">
        <f>IF($AN282="","",AN282)</f>
        <v/>
      </c>
      <c r="CN282">
        <f>IF($AO282="","",AO282)</f>
        <v/>
      </c>
      <c r="CO282">
        <f>IF($AP282="","",AP282)</f>
        <v/>
      </c>
      <c r="CP282">
        <f>IF($CM282="","",IF($CM282="Aloe Vera Gel","Aloe Vera Gel "&amp;$CO282&amp;"g",CN282&amp;" "&amp;$CO282&amp;"g"))</f>
        <v/>
      </c>
      <c r="CQ282">
        <f>IF($AT282="",0,1)</f>
        <v/>
      </c>
      <c r="CR282">
        <f>IF($CQ282=0,"",AW282)</f>
        <v/>
      </c>
      <c r="CS282">
        <f>IF($CQ282=0,"",AX282)</f>
        <v/>
      </c>
      <c r="CT282">
        <f>IF($CQ282=0,"",AY282)</f>
        <v/>
      </c>
      <c r="CU282">
        <f>IF($CR282="","",IF($CR282="Aloe Vera Gel","Aloe Vera Gel "&amp;$CT282&amp;"g",CS282&amp;" "&amp;$CT282&amp;"g"))</f>
        <v/>
      </c>
      <c r="CV282">
        <f>IF($CQ282=0,"",IF($CP282=$CU282,"Repeat Exact",IF($CT282&gt;$CO282,"Upsized",IF($CT282&lt;$CO282,"Downsized",IF($CM282&lt;&gt;$CR282,"Lateral","Same Size Diff Variant")))))</f>
        <v/>
      </c>
      <c r="CW282">
        <f>IF($CQ282=0,"",AZ282-AQ282)</f>
        <v/>
      </c>
      <c r="CX282">
        <f>IF($CQ282=0,0,IF(CS282=CN282,1,0))</f>
        <v/>
      </c>
      <c r="CY282">
        <f>IF($CQ282=0,0,IF(CR282=CM282,1,0))</f>
        <v/>
      </c>
      <c r="CZ282">
        <f>IF($A282="","",IF(AND(IF(DASHBOARD!$C$4="All",TRUE,$CM282=DASHBOARD!$C$4),IF(DASHBOARD!$C$6="All",TRUE,$CP282=DASHBOARD!$C$6),IF(DASHBOARD!$C$8="All",TRUE,$AF282&gt;=DASHBOARD!$C$8),IF(DASHBOARD!$C$10="All",TRUE,$AF282&lt;=DASHBOARD!$C$10),IF(DASHBOARD!$C$12="All",TRUE,$AH282=VALUE(DASHBOARD!$C$12)),IF(DASHBOARD!$C$14="All",TRUE,$AJ282=DASHBOARD!$C$14)),1,0))</f>
        <v/>
      </c>
    </row>
    <row r="283">
      <c r="A283" t="n">
        <v>163585</v>
      </c>
      <c r="B283" t="inlineStr">
        <is>
          <t>Face Malai</t>
        </is>
      </c>
      <c r="H283" t="inlineStr">
        <is>
          <t>Turmeric Nutmeg (Pigmentation)  Face Malai - 30g</t>
        </is>
      </c>
      <c r="N283" t="inlineStr">
        <is>
          <t>FC-DM-PG-030</t>
        </is>
      </c>
      <c r="T283" t="inlineStr">
        <is>
          <t>Jul 27, 2025</t>
        </is>
      </c>
      <c r="AE283" t="inlineStr">
        <is>
          <t>Tambaram</t>
        </is>
      </c>
      <c r="AF283" t="inlineStr">
        <is>
          <t>2025-07</t>
        </is>
      </c>
      <c r="AG283" t="n">
        <v>7</v>
      </c>
      <c r="AH283" t="n">
        <v>1</v>
      </c>
      <c r="AI283" t="n">
        <v>0</v>
      </c>
      <c r="AJ283">
        <f>IF($AE283="","",IFERROR(VLOOKUP(TRIM($AE283),DECODE!$H$3:$I$60,2,FALSE),"Rest of India"))</f>
        <v/>
      </c>
      <c r="AK283">
        <f>IF($N283="","",UPPER(TRIM(LEFT($N283&amp;",",FIND(",",$N283&amp;",")-1))))</f>
        <v/>
      </c>
      <c r="AL283">
        <f>IF($AK283="","",MID($AK283,4,FIND("~",SUBSTITUTE($AK283,"-","~",2))-4))</f>
        <v/>
      </c>
      <c r="AM283">
        <f>IF($AK283="","",MID($AK283,FIND("~",SUBSTITUTE($AK283,"-","~",2))+1,FIND("~",SUBSTITUTE($AK283,"-","~",3))-FIND("~",SUBSTITUTE($AK283,"-","~",2))-1))</f>
        <v/>
      </c>
      <c r="AN283">
        <f>IF($AL283="","",IFERROR(VLOOKUP($AL283,DECODE!$A$3:$C$8,3,FALSE),"?"))</f>
        <v/>
      </c>
      <c r="AO283">
        <f>IF($AM283="","",IFERROR(VLOOKUP($AL283&amp;"-"&amp;$AM283,DECODE!$E$3:$F$21,2,FALSE),"?"))</f>
        <v/>
      </c>
      <c r="AP283">
        <f>IF($AK283="","",IFERROR(VALUE(RIGHT($AK283,3)),""))</f>
        <v/>
      </c>
      <c r="AQ283">
        <f>IF($T283="","",IFERROR(IF(ISNUMBER($T283),$T283,DATEVALUE(TRIM($T283))),""))</f>
        <v/>
      </c>
      <c r="AR283">
        <f>IF($AQ283="","",IF(MONTH($AQ283)&gt;=12,"Cold Winter",IF(MONTH($AQ283)&gt;=10,"Post-Monsoon",IF(MONTH($AQ283)&gt;=6,"Hot Humid",IF(MONTH($AQ283)&gt;=3,"Hot Dry","Cold Winter")))))</f>
        <v/>
      </c>
      <c r="AS283">
        <f>IF($AL283="","",IFERROR(VLOOKUP($AL283,DECODE!$A$3:$C$8,2,FALSE),"?"))</f>
        <v/>
      </c>
      <c r="AT283">
        <f>IF($O283="","",UPPER(TRIM(LEFT($O283&amp;",",FIND(",",$O283&amp;",")-1))))</f>
        <v/>
      </c>
      <c r="AU283">
        <f>IF($AT283="","",MID($AT283,4,FIND("~",SUBSTITUTE($AT283,"-","~",2))-4))</f>
        <v/>
      </c>
      <c r="AV283">
        <f>IF($AT283="","",MID($AT283,FIND("~",SUBSTITUTE($AT283,"-","~",2))+1,FIND("~",SUBSTITUTE($AT283,"-","~",3))-FIND("~",SUBSTITUTE($AT283,"-","~",2))-1))</f>
        <v/>
      </c>
      <c r="AW283">
        <f>IF($AU283="","",IFERROR(VLOOKUP($AU283,DECODE!$A$3:$C$8,3,FALSE),"?"))</f>
        <v/>
      </c>
      <c r="AX283">
        <f>IF($AV283="","",IFERROR(VLOOKUP($AU283&amp;"-"&amp;$AV283,DECODE!$E$3:$F$21,2,FALSE),"?"))</f>
        <v/>
      </c>
      <c r="AY283">
        <f>IF($AT283="","",IFERROR(VALUE(RIGHT($AT283,3)),""))</f>
        <v/>
      </c>
      <c r="AZ283">
        <f>IF($U283="","",IFERROR(IF(ISNUMBER($U283),$U283,DATEVALUE(TRIM($U283))),""))</f>
        <v/>
      </c>
      <c r="BA283">
        <f>IF($AZ283="","",IF(MONTH($AZ283)&gt;=12,"Cold Winter",IF(MONTH($AZ283)&gt;=10,"Post-Monsoon",IF(MONTH($AZ283)&gt;=6,"Hot Humid",IF(MONTH($AZ283)&gt;=3,"Hot Dry","Cold Winter")))))</f>
        <v/>
      </c>
      <c r="BB283">
        <f>IF($AU283="","",IFERROR(VLOOKUP($AU283,DECODE!$A$3:$C$8,2,FALSE),"?"))</f>
        <v/>
      </c>
      <c r="BC283">
        <f>IF($P283="","",UPPER(TRIM(LEFT($P283&amp;",",FIND(",",$P283&amp;",")-1))))</f>
        <v/>
      </c>
      <c r="BD283">
        <f>IF($BC283="","",MID($BC283,4,FIND("~",SUBSTITUTE($BC283,"-","~",2))-4))</f>
        <v/>
      </c>
      <c r="BE283">
        <f>IF($BC283="","",MID($BC283,FIND("~",SUBSTITUTE($BC283,"-","~",2))+1,FIND("~",SUBSTITUTE($BC283,"-","~",3))-FIND("~",SUBSTITUTE($BC283,"-","~",2))-1))</f>
        <v/>
      </c>
      <c r="BF283">
        <f>IF($BD283="","",IFERROR(VLOOKUP($BD283,DECODE!$A$3:$C$8,3,FALSE),"?"))</f>
        <v/>
      </c>
      <c r="BG283">
        <f>IF($BE283="","",IFERROR(VLOOKUP($BD283&amp;"-"&amp;$BE283,DECODE!$E$3:$F$21,2,FALSE),"?"))</f>
        <v/>
      </c>
      <c r="BH283">
        <f>IF($BC283="","",IFERROR(VALUE(RIGHT($BC283,3)),""))</f>
        <v/>
      </c>
      <c r="BI283">
        <f>IF($V283="","",IFERROR(IF(ISNUMBER($V283),$V283,DATEVALUE(TRIM($V283))),""))</f>
        <v/>
      </c>
      <c r="BJ283">
        <f>IF($BI283="","",IF(MONTH($BI283)&gt;=12,"Cold Winter",IF(MONTH($BI283)&gt;=10,"Post-Monsoon",IF(MONTH($BI283)&gt;=6,"Hot Humid",IF(MONTH($BI283)&gt;=3,"Hot Dry","Cold Winter")))))</f>
        <v/>
      </c>
      <c r="BK283">
        <f>IF($BD283="","",IFERROR(VLOOKUP($BD283,DECODE!$A$3:$C$8,2,FALSE),"?"))</f>
        <v/>
      </c>
      <c r="BL283">
        <f>IF($Q283="","",UPPER(TRIM(LEFT($Q283&amp;",",FIND(",",$Q283&amp;",")-1))))</f>
        <v/>
      </c>
      <c r="BM283">
        <f>IF($BL283="","",MID($BL283,4,FIND("~",SUBSTITUTE($BL283,"-","~",2))-4))</f>
        <v/>
      </c>
      <c r="BN283">
        <f>IF($BL283="","",MID($BL283,FIND("~",SUBSTITUTE($BL283,"-","~",2))+1,FIND("~",SUBSTITUTE($BL283,"-","~",3))-FIND("~",SUBSTITUTE($BL283,"-","~",2))-1))</f>
        <v/>
      </c>
      <c r="BO283">
        <f>IF($BM283="","",IFERROR(VLOOKUP($BM283,DECODE!$A$3:$C$8,3,FALSE),"?"))</f>
        <v/>
      </c>
      <c r="BP283">
        <f>IF($BN283="","",IFERROR(VLOOKUP($BM283&amp;"-"&amp;$BN283,DECODE!$E$3:$F$21,2,FALSE),"?"))</f>
        <v/>
      </c>
      <c r="BQ283">
        <f>IF($BL283="","",IFERROR(VALUE(RIGHT($BL283,3)),""))</f>
        <v/>
      </c>
      <c r="BR283">
        <f>IF($W283="","",IFERROR(IF(ISNUMBER($W283),$W283,DATEVALUE(TRIM($W283))),""))</f>
        <v/>
      </c>
      <c r="BS283">
        <f>IF($BR283="","",IF(MONTH($BR283)&gt;=12,"Cold Winter",IF(MONTH($BR283)&gt;=10,"Post-Monsoon",IF(MONTH($BR283)&gt;=6,"Hot Humid",IF(MONTH($BR283)&gt;=3,"Hot Dry","Cold Winter")))))</f>
        <v/>
      </c>
      <c r="BT283">
        <f>IF($BM283="","",IFERROR(VLOOKUP($BM283,DECODE!$A$3:$C$8,2,FALSE),"?"))</f>
        <v/>
      </c>
      <c r="BU283">
        <f>IF($R283="","",UPPER(TRIM(LEFT($R283&amp;",",FIND(",",$R283&amp;",")-1))))</f>
        <v/>
      </c>
      <c r="BV283">
        <f>IF($BU283="","",MID($BU283,4,FIND("~",SUBSTITUTE($BU283,"-","~",2))-4))</f>
        <v/>
      </c>
      <c r="BW283">
        <f>IF($BU283="","",MID($BU283,FIND("~",SUBSTITUTE($BU283,"-","~",2))+1,FIND("~",SUBSTITUTE($BU283,"-","~",3))-FIND("~",SUBSTITUTE($BU283,"-","~",2))-1))</f>
        <v/>
      </c>
      <c r="BX283">
        <f>IF($BV283="","",IFERROR(VLOOKUP($BV283,DECODE!$A$3:$C$8,3,FALSE),"?"))</f>
        <v/>
      </c>
      <c r="BY283">
        <f>IF($BW283="","",IFERROR(VLOOKUP($BV283&amp;"-"&amp;$BW283,DECODE!$E$3:$F$21,2,FALSE),"?"))</f>
        <v/>
      </c>
      <c r="BZ283">
        <f>IF($BU283="","",IFERROR(VALUE(RIGHT($BU283,3)),""))</f>
        <v/>
      </c>
      <c r="CA283">
        <f>IF($X283="","",IFERROR(IF(ISNUMBER($X283),$X283,DATEVALUE(TRIM($X283))),""))</f>
        <v/>
      </c>
      <c r="CB283">
        <f>IF($CA283="","",IF(MONTH($CA283)&gt;=12,"Cold Winter",IF(MONTH($CA283)&gt;=10,"Post-Monsoon",IF(MONTH($CA283)&gt;=6,"Hot Humid",IF(MONTH($CA283)&gt;=3,"Hot Dry","Cold Winter")))))</f>
        <v/>
      </c>
      <c r="CC283">
        <f>IF($BV283="","",IFERROR(VLOOKUP($BV283,DECODE!$A$3:$C$8,2,FALSE),"?"))</f>
        <v/>
      </c>
      <c r="CD283">
        <f>IF($S283="","",UPPER(TRIM(LEFT($S283&amp;",",FIND(",",$S283&amp;",")-1))))</f>
        <v/>
      </c>
      <c r="CE283">
        <f>IF($CD283="","",MID($CD283,4,FIND("~",SUBSTITUTE($CD283,"-","~",2))-4))</f>
        <v/>
      </c>
      <c r="CF283">
        <f>IF($CD283="","",MID($CD283,FIND("~",SUBSTITUTE($CD283,"-","~",2))+1,FIND("~",SUBSTITUTE($CD283,"-","~",3))-FIND("~",SUBSTITUTE($CD283,"-","~",2))-1))</f>
        <v/>
      </c>
      <c r="CG283">
        <f>IF($CE283="","",IFERROR(VLOOKUP($CE283,DECODE!$A$3:$C$8,3,FALSE),"?"))</f>
        <v/>
      </c>
      <c r="CH283">
        <f>IF($CF283="","",IFERROR(VLOOKUP($CE283&amp;"-"&amp;$CF283,DECODE!$E$3:$F$21,2,FALSE),"?"))</f>
        <v/>
      </c>
      <c r="CI283">
        <f>IF($CD283="","",IFERROR(VALUE(RIGHT($CD283,3)),""))</f>
        <v/>
      </c>
      <c r="CJ283">
        <f>IF($Y283="","",IFERROR(IF(ISNUMBER($Y283),$Y283,DATEVALUE(TRIM($Y283))),""))</f>
        <v/>
      </c>
      <c r="CK283">
        <f>IF($CJ283="","",IF(MONTH($CJ283)&gt;=12,"Cold Winter",IF(MONTH($CJ283)&gt;=10,"Post-Monsoon",IF(MONTH($CJ283)&gt;=6,"Hot Humid",IF(MONTH($CJ283)&gt;=3,"Hot Dry","Cold Winter")))))</f>
        <v/>
      </c>
      <c r="CL283">
        <f>IF($CE283="","",IFERROR(VLOOKUP($CE283,DECODE!$A$3:$C$8,2,FALSE),"?"))</f>
        <v/>
      </c>
      <c r="CM283">
        <f>IF($AN283="","",AN283)</f>
        <v/>
      </c>
      <c r="CN283">
        <f>IF($AO283="","",AO283)</f>
        <v/>
      </c>
      <c r="CO283">
        <f>IF($AP283="","",AP283)</f>
        <v/>
      </c>
      <c r="CP283">
        <f>IF($CM283="","",IF($CM283="Aloe Vera Gel","Aloe Vera Gel "&amp;$CO283&amp;"g",CN283&amp;" "&amp;$CO283&amp;"g"))</f>
        <v/>
      </c>
      <c r="CQ283">
        <f>IF($AT283="",0,1)</f>
        <v/>
      </c>
      <c r="CR283">
        <f>IF($CQ283=0,"",AW283)</f>
        <v/>
      </c>
      <c r="CS283">
        <f>IF($CQ283=0,"",AX283)</f>
        <v/>
      </c>
      <c r="CT283">
        <f>IF($CQ283=0,"",AY283)</f>
        <v/>
      </c>
      <c r="CU283">
        <f>IF($CR283="","",IF($CR283="Aloe Vera Gel","Aloe Vera Gel "&amp;$CT283&amp;"g",CS283&amp;" "&amp;$CT283&amp;"g"))</f>
        <v/>
      </c>
      <c r="CV283">
        <f>IF($CQ283=0,"",IF($CP283=$CU283,"Repeat Exact",IF($CT283&gt;$CO283,"Upsized",IF($CT283&lt;$CO283,"Downsized",IF($CM283&lt;&gt;$CR283,"Lateral","Same Size Diff Variant")))))</f>
        <v/>
      </c>
      <c r="CW283">
        <f>IF($CQ283=0,"",AZ283-AQ283)</f>
        <v/>
      </c>
      <c r="CX283">
        <f>IF($CQ283=0,0,IF(CS283=CN283,1,0))</f>
        <v/>
      </c>
      <c r="CY283">
        <f>IF($CQ283=0,0,IF(CR283=CM283,1,0))</f>
        <v/>
      </c>
      <c r="CZ283">
        <f>IF($A283="","",IF(AND(IF(DASHBOARD!$C$4="All",TRUE,$CM283=DASHBOARD!$C$4),IF(DASHBOARD!$C$6="All",TRUE,$CP283=DASHBOARD!$C$6),IF(DASHBOARD!$C$8="All",TRUE,$AF283&gt;=DASHBOARD!$C$8),IF(DASHBOARD!$C$10="All",TRUE,$AF283&lt;=DASHBOARD!$C$10),IF(DASHBOARD!$C$12="All",TRUE,$AH283=VALUE(DASHBOARD!$C$12)),IF(DASHBOARD!$C$14="All",TRUE,$AJ283=DASHBOARD!$C$14)),1,0))</f>
        <v/>
      </c>
    </row>
    <row r="284">
      <c r="A284" t="n">
        <v>163722</v>
      </c>
      <c r="B284" t="inlineStr">
        <is>
          <t>Aloe Vera Gel, Face Malai</t>
        </is>
      </c>
      <c r="H284" t="inlineStr">
        <is>
          <t>Aloe Vera Gel - 80 gms, Flax Bakuchi (Hot Dry) 35+ Face Malai - 50g</t>
        </is>
      </c>
      <c r="N284" t="inlineStr">
        <is>
          <t>FC-HDDM-FB-050, FC-HG-PA-080</t>
        </is>
      </c>
      <c r="T284" t="inlineStr">
        <is>
          <t>Mar 28, 2026</t>
        </is>
      </c>
      <c r="AE284" t="inlineStr">
        <is>
          <t>Gurgaon</t>
        </is>
      </c>
      <c r="AF284" t="inlineStr">
        <is>
          <t>2026-03</t>
        </is>
      </c>
      <c r="AG284" t="n">
        <v>3</v>
      </c>
      <c r="AH284" t="n">
        <v>1</v>
      </c>
      <c r="AI284" t="n">
        <v>0</v>
      </c>
      <c r="AJ284">
        <f>IF($AE284="","",IFERROR(VLOOKUP(TRIM($AE284),DECODE!$H$3:$I$60,2,FALSE),"Rest of India"))</f>
        <v/>
      </c>
      <c r="AK284">
        <f>IF($N284="","",UPPER(TRIM(LEFT($N284&amp;",",FIND(",",$N284&amp;",")-1))))</f>
        <v/>
      </c>
      <c r="AL284">
        <f>IF($AK284="","",MID($AK284,4,FIND("~",SUBSTITUTE($AK284,"-","~",2))-4))</f>
        <v/>
      </c>
      <c r="AM284">
        <f>IF($AK284="","",MID($AK284,FIND("~",SUBSTITUTE($AK284,"-","~",2))+1,FIND("~",SUBSTITUTE($AK284,"-","~",3))-FIND("~",SUBSTITUTE($AK284,"-","~",2))-1))</f>
        <v/>
      </c>
      <c r="AN284">
        <f>IF($AL284="","",IFERROR(VLOOKUP($AL284,DECODE!$A$3:$C$8,3,FALSE),"?"))</f>
        <v/>
      </c>
      <c r="AO284">
        <f>IF($AM284="","",IFERROR(VLOOKUP($AL284&amp;"-"&amp;$AM284,DECODE!$E$3:$F$21,2,FALSE),"?"))</f>
        <v/>
      </c>
      <c r="AP284">
        <f>IF($AK284="","",IFERROR(VALUE(RIGHT($AK284,3)),""))</f>
        <v/>
      </c>
      <c r="AQ284">
        <f>IF($T284="","",IFERROR(IF(ISNUMBER($T284),$T284,DATEVALUE(TRIM($T284))),""))</f>
        <v/>
      </c>
      <c r="AR284">
        <f>IF($AQ284="","",IF(MONTH($AQ284)&gt;=12,"Cold Winter",IF(MONTH($AQ284)&gt;=10,"Post-Monsoon",IF(MONTH($AQ284)&gt;=6,"Hot Humid",IF(MONTH($AQ284)&gt;=3,"Hot Dry","Cold Winter")))))</f>
        <v/>
      </c>
      <c r="AS284">
        <f>IF($AL284="","",IFERROR(VLOOKUP($AL284,DECODE!$A$3:$C$8,2,FALSE),"?"))</f>
        <v/>
      </c>
      <c r="AT284">
        <f>IF($O284="","",UPPER(TRIM(LEFT($O284&amp;",",FIND(",",$O284&amp;",")-1))))</f>
        <v/>
      </c>
      <c r="AU284">
        <f>IF($AT284="","",MID($AT284,4,FIND("~",SUBSTITUTE($AT284,"-","~",2))-4))</f>
        <v/>
      </c>
      <c r="AV284">
        <f>IF($AT284="","",MID($AT284,FIND("~",SUBSTITUTE($AT284,"-","~",2))+1,FIND("~",SUBSTITUTE($AT284,"-","~",3))-FIND("~",SUBSTITUTE($AT284,"-","~",2))-1))</f>
        <v/>
      </c>
      <c r="AW284">
        <f>IF($AU284="","",IFERROR(VLOOKUP($AU284,DECODE!$A$3:$C$8,3,FALSE),"?"))</f>
        <v/>
      </c>
      <c r="AX284">
        <f>IF($AV284="","",IFERROR(VLOOKUP($AU284&amp;"-"&amp;$AV284,DECODE!$E$3:$F$21,2,FALSE),"?"))</f>
        <v/>
      </c>
      <c r="AY284">
        <f>IF($AT284="","",IFERROR(VALUE(RIGHT($AT284,3)),""))</f>
        <v/>
      </c>
      <c r="AZ284">
        <f>IF($U284="","",IFERROR(IF(ISNUMBER($U284),$U284,DATEVALUE(TRIM($U284))),""))</f>
        <v/>
      </c>
      <c r="BA284">
        <f>IF($AZ284="","",IF(MONTH($AZ284)&gt;=12,"Cold Winter",IF(MONTH($AZ284)&gt;=10,"Post-Monsoon",IF(MONTH($AZ284)&gt;=6,"Hot Humid",IF(MONTH($AZ284)&gt;=3,"Hot Dry","Cold Winter")))))</f>
        <v/>
      </c>
      <c r="BB284">
        <f>IF($AU284="","",IFERROR(VLOOKUP($AU284,DECODE!$A$3:$C$8,2,FALSE),"?"))</f>
        <v/>
      </c>
      <c r="BC284">
        <f>IF($P284="","",UPPER(TRIM(LEFT($P284&amp;",",FIND(",",$P284&amp;",")-1))))</f>
        <v/>
      </c>
      <c r="BD284">
        <f>IF($BC284="","",MID($BC284,4,FIND("~",SUBSTITUTE($BC284,"-","~",2))-4))</f>
        <v/>
      </c>
      <c r="BE284">
        <f>IF($BC284="","",MID($BC284,FIND("~",SUBSTITUTE($BC284,"-","~",2))+1,FIND("~",SUBSTITUTE($BC284,"-","~",3))-FIND("~",SUBSTITUTE($BC284,"-","~",2))-1))</f>
        <v/>
      </c>
      <c r="BF284">
        <f>IF($BD284="","",IFERROR(VLOOKUP($BD284,DECODE!$A$3:$C$8,3,FALSE),"?"))</f>
        <v/>
      </c>
      <c r="BG284">
        <f>IF($BE284="","",IFERROR(VLOOKUP($BD284&amp;"-"&amp;$BE284,DECODE!$E$3:$F$21,2,FALSE),"?"))</f>
        <v/>
      </c>
      <c r="BH284">
        <f>IF($BC284="","",IFERROR(VALUE(RIGHT($BC284,3)),""))</f>
        <v/>
      </c>
      <c r="BI284">
        <f>IF($V284="","",IFERROR(IF(ISNUMBER($V284),$V284,DATEVALUE(TRIM($V284))),""))</f>
        <v/>
      </c>
      <c r="BJ284">
        <f>IF($BI284="","",IF(MONTH($BI284)&gt;=12,"Cold Winter",IF(MONTH($BI284)&gt;=10,"Post-Monsoon",IF(MONTH($BI284)&gt;=6,"Hot Humid",IF(MONTH($BI284)&gt;=3,"Hot Dry","Cold Winter")))))</f>
        <v/>
      </c>
      <c r="BK284">
        <f>IF($BD284="","",IFERROR(VLOOKUP($BD284,DECODE!$A$3:$C$8,2,FALSE),"?"))</f>
        <v/>
      </c>
      <c r="BL284">
        <f>IF($Q284="","",UPPER(TRIM(LEFT($Q284&amp;",",FIND(",",$Q284&amp;",")-1))))</f>
        <v/>
      </c>
      <c r="BM284">
        <f>IF($BL284="","",MID($BL284,4,FIND("~",SUBSTITUTE($BL284,"-","~",2))-4))</f>
        <v/>
      </c>
      <c r="BN284">
        <f>IF($BL284="","",MID($BL284,FIND("~",SUBSTITUTE($BL284,"-","~",2))+1,FIND("~",SUBSTITUTE($BL284,"-","~",3))-FIND("~",SUBSTITUTE($BL284,"-","~",2))-1))</f>
        <v/>
      </c>
      <c r="BO284">
        <f>IF($BM284="","",IFERROR(VLOOKUP($BM284,DECODE!$A$3:$C$8,3,FALSE),"?"))</f>
        <v/>
      </c>
      <c r="BP284">
        <f>IF($BN284="","",IFERROR(VLOOKUP($BM284&amp;"-"&amp;$BN284,DECODE!$E$3:$F$21,2,FALSE),"?"))</f>
        <v/>
      </c>
      <c r="BQ284">
        <f>IF($BL284="","",IFERROR(VALUE(RIGHT($BL284,3)),""))</f>
        <v/>
      </c>
      <c r="BR284">
        <f>IF($W284="","",IFERROR(IF(ISNUMBER($W284),$W284,DATEVALUE(TRIM($W284))),""))</f>
        <v/>
      </c>
      <c r="BS284">
        <f>IF($BR284="","",IF(MONTH($BR284)&gt;=12,"Cold Winter",IF(MONTH($BR284)&gt;=10,"Post-Monsoon",IF(MONTH($BR284)&gt;=6,"Hot Humid",IF(MONTH($BR284)&gt;=3,"Hot Dry","Cold Winter")))))</f>
        <v/>
      </c>
      <c r="BT284">
        <f>IF($BM284="","",IFERROR(VLOOKUP($BM284,DECODE!$A$3:$C$8,2,FALSE),"?"))</f>
        <v/>
      </c>
      <c r="BU284">
        <f>IF($R284="","",UPPER(TRIM(LEFT($R284&amp;",",FIND(",",$R284&amp;",")-1))))</f>
        <v/>
      </c>
      <c r="BV284">
        <f>IF($BU284="","",MID($BU284,4,FIND("~",SUBSTITUTE($BU284,"-","~",2))-4))</f>
        <v/>
      </c>
      <c r="BW284">
        <f>IF($BU284="","",MID($BU284,FIND("~",SUBSTITUTE($BU284,"-","~",2))+1,FIND("~",SUBSTITUTE($BU284,"-","~",3))-FIND("~",SUBSTITUTE($BU284,"-","~",2))-1))</f>
        <v/>
      </c>
      <c r="BX284">
        <f>IF($BV284="","",IFERROR(VLOOKUP($BV284,DECODE!$A$3:$C$8,3,FALSE),"?"))</f>
        <v/>
      </c>
      <c r="BY284">
        <f>IF($BW284="","",IFERROR(VLOOKUP($BV284&amp;"-"&amp;$BW284,DECODE!$E$3:$F$21,2,FALSE),"?"))</f>
        <v/>
      </c>
      <c r="BZ284">
        <f>IF($BU284="","",IFERROR(VALUE(RIGHT($BU284,3)),""))</f>
        <v/>
      </c>
      <c r="CA284">
        <f>IF($X284="","",IFERROR(IF(ISNUMBER($X284),$X284,DATEVALUE(TRIM($X284))),""))</f>
        <v/>
      </c>
      <c r="CB284">
        <f>IF($CA284="","",IF(MONTH($CA284)&gt;=12,"Cold Winter",IF(MONTH($CA284)&gt;=10,"Post-Monsoon",IF(MONTH($CA284)&gt;=6,"Hot Humid",IF(MONTH($CA284)&gt;=3,"Hot Dry","Cold Winter")))))</f>
        <v/>
      </c>
      <c r="CC284">
        <f>IF($BV284="","",IFERROR(VLOOKUP($BV284,DECODE!$A$3:$C$8,2,FALSE),"?"))</f>
        <v/>
      </c>
      <c r="CD284">
        <f>IF($S284="","",UPPER(TRIM(LEFT($S284&amp;",",FIND(",",$S284&amp;",")-1))))</f>
        <v/>
      </c>
      <c r="CE284">
        <f>IF($CD284="","",MID($CD284,4,FIND("~",SUBSTITUTE($CD284,"-","~",2))-4))</f>
        <v/>
      </c>
      <c r="CF284">
        <f>IF($CD284="","",MID($CD284,FIND("~",SUBSTITUTE($CD284,"-","~",2))+1,FIND("~",SUBSTITUTE($CD284,"-","~",3))-FIND("~",SUBSTITUTE($CD284,"-","~",2))-1))</f>
        <v/>
      </c>
      <c r="CG284">
        <f>IF($CE284="","",IFERROR(VLOOKUP($CE284,DECODE!$A$3:$C$8,3,FALSE),"?"))</f>
        <v/>
      </c>
      <c r="CH284">
        <f>IF($CF284="","",IFERROR(VLOOKUP($CE284&amp;"-"&amp;$CF284,DECODE!$E$3:$F$21,2,FALSE),"?"))</f>
        <v/>
      </c>
      <c r="CI284">
        <f>IF($CD284="","",IFERROR(VALUE(RIGHT($CD284,3)),""))</f>
        <v/>
      </c>
      <c r="CJ284">
        <f>IF($Y284="","",IFERROR(IF(ISNUMBER($Y284),$Y284,DATEVALUE(TRIM($Y284))),""))</f>
        <v/>
      </c>
      <c r="CK284">
        <f>IF($CJ284="","",IF(MONTH($CJ284)&gt;=12,"Cold Winter",IF(MONTH($CJ284)&gt;=10,"Post-Monsoon",IF(MONTH($CJ284)&gt;=6,"Hot Humid",IF(MONTH($CJ284)&gt;=3,"Hot Dry","Cold Winter")))))</f>
        <v/>
      </c>
      <c r="CL284">
        <f>IF($CE284="","",IFERROR(VLOOKUP($CE284,DECODE!$A$3:$C$8,2,FALSE),"?"))</f>
        <v/>
      </c>
      <c r="CM284">
        <f>IF($AN284="","",AN284)</f>
        <v/>
      </c>
      <c r="CN284">
        <f>IF($AO284="","",AO284)</f>
        <v/>
      </c>
      <c r="CO284">
        <f>IF($AP284="","",AP284)</f>
        <v/>
      </c>
      <c r="CP284">
        <f>IF($CM284="","",IF($CM284="Aloe Vera Gel","Aloe Vera Gel "&amp;$CO284&amp;"g",CN284&amp;" "&amp;$CO284&amp;"g"))</f>
        <v/>
      </c>
      <c r="CQ284">
        <f>IF($AT284="",0,1)</f>
        <v/>
      </c>
      <c r="CR284">
        <f>IF($CQ284=0,"",AW284)</f>
        <v/>
      </c>
      <c r="CS284">
        <f>IF($CQ284=0,"",AX284)</f>
        <v/>
      </c>
      <c r="CT284">
        <f>IF($CQ284=0,"",AY284)</f>
        <v/>
      </c>
      <c r="CU284">
        <f>IF($CR284="","",IF($CR284="Aloe Vera Gel","Aloe Vera Gel "&amp;$CT284&amp;"g",CS284&amp;" "&amp;$CT284&amp;"g"))</f>
        <v/>
      </c>
      <c r="CV284">
        <f>IF($CQ284=0,"",IF($CP284=$CU284,"Repeat Exact",IF($CT284&gt;$CO284,"Upsized",IF($CT284&lt;$CO284,"Downsized",IF($CM284&lt;&gt;$CR284,"Lateral","Same Size Diff Variant")))))</f>
        <v/>
      </c>
      <c r="CW284">
        <f>IF($CQ284=0,"",AZ284-AQ284)</f>
        <v/>
      </c>
      <c r="CX284">
        <f>IF($CQ284=0,0,IF(CS284=CN284,1,0))</f>
        <v/>
      </c>
      <c r="CY284">
        <f>IF($CQ284=0,0,IF(CR284=CM284,1,0))</f>
        <v/>
      </c>
      <c r="CZ284">
        <f>IF($A284="","",IF(AND(IF(DASHBOARD!$C$4="All",TRUE,$CM284=DASHBOARD!$C$4),IF(DASHBOARD!$C$6="All",TRUE,$CP284=DASHBOARD!$C$6),IF(DASHBOARD!$C$8="All",TRUE,$AF284&gt;=DASHBOARD!$C$8),IF(DASHBOARD!$C$10="All",TRUE,$AF284&lt;=DASHBOARD!$C$10),IF(DASHBOARD!$C$12="All",TRUE,$AH284=VALUE(DASHBOARD!$C$12)),IF(DASHBOARD!$C$14="All",TRUE,$AJ284=DASHBOARD!$C$14)),1,0))</f>
        <v/>
      </c>
    </row>
    <row r="285">
      <c r="A285" t="n">
        <v>164043</v>
      </c>
      <c r="B285" t="inlineStr">
        <is>
          <t>Face Malai</t>
        </is>
      </c>
      <c r="H285" t="inlineStr">
        <is>
          <t>GreenApple Tulsi (Hot Humid) 13 - 19 Yrs Face Malai</t>
        </is>
      </c>
      <c r="N285" t="inlineStr">
        <is>
          <t>FC-HHDM-GAT-030</t>
        </is>
      </c>
      <c r="T285" t="inlineStr">
        <is>
          <t>Jan 7, 2024</t>
        </is>
      </c>
      <c r="AE285" t="inlineStr">
        <is>
          <t>Saharanpur</t>
        </is>
      </c>
      <c r="AF285" t="inlineStr">
        <is>
          <t>2024-01</t>
        </is>
      </c>
      <c r="AG285" t="n">
        <v>1</v>
      </c>
      <c r="AH285" t="n">
        <v>1</v>
      </c>
      <c r="AI285" t="n">
        <v>0</v>
      </c>
      <c r="AJ285">
        <f>IF($AE285="","",IFERROR(VLOOKUP(TRIM($AE285),DECODE!$H$3:$I$60,2,FALSE),"Rest of India"))</f>
        <v/>
      </c>
      <c r="AK285">
        <f>IF($N285="","",UPPER(TRIM(LEFT($N285&amp;",",FIND(",",$N285&amp;",")-1))))</f>
        <v/>
      </c>
      <c r="AL285">
        <f>IF($AK285="","",MID($AK285,4,FIND("~",SUBSTITUTE($AK285,"-","~",2))-4))</f>
        <v/>
      </c>
      <c r="AM285">
        <f>IF($AK285="","",MID($AK285,FIND("~",SUBSTITUTE($AK285,"-","~",2))+1,FIND("~",SUBSTITUTE($AK285,"-","~",3))-FIND("~",SUBSTITUTE($AK285,"-","~",2))-1))</f>
        <v/>
      </c>
      <c r="AN285">
        <f>IF($AL285="","",IFERROR(VLOOKUP($AL285,DECODE!$A$3:$C$8,3,FALSE),"?"))</f>
        <v/>
      </c>
      <c r="AO285">
        <f>IF($AM285="","",IFERROR(VLOOKUP($AL285&amp;"-"&amp;$AM285,DECODE!$E$3:$F$21,2,FALSE),"?"))</f>
        <v/>
      </c>
      <c r="AP285">
        <f>IF($AK285="","",IFERROR(VALUE(RIGHT($AK285,3)),""))</f>
        <v/>
      </c>
      <c r="AQ285">
        <f>IF($T285="","",IFERROR(IF(ISNUMBER($T285),$T285,DATEVALUE(TRIM($T285))),""))</f>
        <v/>
      </c>
      <c r="AR285">
        <f>IF($AQ285="","",IF(MONTH($AQ285)&gt;=12,"Cold Winter",IF(MONTH($AQ285)&gt;=10,"Post-Monsoon",IF(MONTH($AQ285)&gt;=6,"Hot Humid",IF(MONTH($AQ285)&gt;=3,"Hot Dry","Cold Winter")))))</f>
        <v/>
      </c>
      <c r="AS285">
        <f>IF($AL285="","",IFERROR(VLOOKUP($AL285,DECODE!$A$3:$C$8,2,FALSE),"?"))</f>
        <v/>
      </c>
      <c r="AT285">
        <f>IF($O285="","",UPPER(TRIM(LEFT($O285&amp;",",FIND(",",$O285&amp;",")-1))))</f>
        <v/>
      </c>
      <c r="AU285">
        <f>IF($AT285="","",MID($AT285,4,FIND("~",SUBSTITUTE($AT285,"-","~",2))-4))</f>
        <v/>
      </c>
      <c r="AV285">
        <f>IF($AT285="","",MID($AT285,FIND("~",SUBSTITUTE($AT285,"-","~",2))+1,FIND("~",SUBSTITUTE($AT285,"-","~",3))-FIND("~",SUBSTITUTE($AT285,"-","~",2))-1))</f>
        <v/>
      </c>
      <c r="AW285">
        <f>IF($AU285="","",IFERROR(VLOOKUP($AU285,DECODE!$A$3:$C$8,3,FALSE),"?"))</f>
        <v/>
      </c>
      <c r="AX285">
        <f>IF($AV285="","",IFERROR(VLOOKUP($AU285&amp;"-"&amp;$AV285,DECODE!$E$3:$F$21,2,FALSE),"?"))</f>
        <v/>
      </c>
      <c r="AY285">
        <f>IF($AT285="","",IFERROR(VALUE(RIGHT($AT285,3)),""))</f>
        <v/>
      </c>
      <c r="AZ285">
        <f>IF($U285="","",IFERROR(IF(ISNUMBER($U285),$U285,DATEVALUE(TRIM($U285))),""))</f>
        <v/>
      </c>
      <c r="BA285">
        <f>IF($AZ285="","",IF(MONTH($AZ285)&gt;=12,"Cold Winter",IF(MONTH($AZ285)&gt;=10,"Post-Monsoon",IF(MONTH($AZ285)&gt;=6,"Hot Humid",IF(MONTH($AZ285)&gt;=3,"Hot Dry","Cold Winter")))))</f>
        <v/>
      </c>
      <c r="BB285">
        <f>IF($AU285="","",IFERROR(VLOOKUP($AU285,DECODE!$A$3:$C$8,2,FALSE),"?"))</f>
        <v/>
      </c>
      <c r="BC285">
        <f>IF($P285="","",UPPER(TRIM(LEFT($P285&amp;",",FIND(",",$P285&amp;",")-1))))</f>
        <v/>
      </c>
      <c r="BD285">
        <f>IF($BC285="","",MID($BC285,4,FIND("~",SUBSTITUTE($BC285,"-","~",2))-4))</f>
        <v/>
      </c>
      <c r="BE285">
        <f>IF($BC285="","",MID($BC285,FIND("~",SUBSTITUTE($BC285,"-","~",2))+1,FIND("~",SUBSTITUTE($BC285,"-","~",3))-FIND("~",SUBSTITUTE($BC285,"-","~",2))-1))</f>
        <v/>
      </c>
      <c r="BF285">
        <f>IF($BD285="","",IFERROR(VLOOKUP($BD285,DECODE!$A$3:$C$8,3,FALSE),"?"))</f>
        <v/>
      </c>
      <c r="BG285">
        <f>IF($BE285="","",IFERROR(VLOOKUP($BD285&amp;"-"&amp;$BE285,DECODE!$E$3:$F$21,2,FALSE),"?"))</f>
        <v/>
      </c>
      <c r="BH285">
        <f>IF($BC285="","",IFERROR(VALUE(RIGHT($BC285,3)),""))</f>
        <v/>
      </c>
      <c r="BI285">
        <f>IF($V285="","",IFERROR(IF(ISNUMBER($V285),$V285,DATEVALUE(TRIM($V285))),""))</f>
        <v/>
      </c>
      <c r="BJ285">
        <f>IF($BI285="","",IF(MONTH($BI285)&gt;=12,"Cold Winter",IF(MONTH($BI285)&gt;=10,"Post-Monsoon",IF(MONTH($BI285)&gt;=6,"Hot Humid",IF(MONTH($BI285)&gt;=3,"Hot Dry","Cold Winter")))))</f>
        <v/>
      </c>
      <c r="BK285">
        <f>IF($BD285="","",IFERROR(VLOOKUP($BD285,DECODE!$A$3:$C$8,2,FALSE),"?"))</f>
        <v/>
      </c>
      <c r="BL285">
        <f>IF($Q285="","",UPPER(TRIM(LEFT($Q285&amp;",",FIND(",",$Q285&amp;",")-1))))</f>
        <v/>
      </c>
      <c r="BM285">
        <f>IF($BL285="","",MID($BL285,4,FIND("~",SUBSTITUTE($BL285,"-","~",2))-4))</f>
        <v/>
      </c>
      <c r="BN285">
        <f>IF($BL285="","",MID($BL285,FIND("~",SUBSTITUTE($BL285,"-","~",2))+1,FIND("~",SUBSTITUTE($BL285,"-","~",3))-FIND("~",SUBSTITUTE($BL285,"-","~",2))-1))</f>
        <v/>
      </c>
      <c r="BO285">
        <f>IF($BM285="","",IFERROR(VLOOKUP($BM285,DECODE!$A$3:$C$8,3,FALSE),"?"))</f>
        <v/>
      </c>
      <c r="BP285">
        <f>IF($BN285="","",IFERROR(VLOOKUP($BM285&amp;"-"&amp;$BN285,DECODE!$E$3:$F$21,2,FALSE),"?"))</f>
        <v/>
      </c>
      <c r="BQ285">
        <f>IF($BL285="","",IFERROR(VALUE(RIGHT($BL285,3)),""))</f>
        <v/>
      </c>
      <c r="BR285">
        <f>IF($W285="","",IFERROR(IF(ISNUMBER($W285),$W285,DATEVALUE(TRIM($W285))),""))</f>
        <v/>
      </c>
      <c r="BS285">
        <f>IF($BR285="","",IF(MONTH($BR285)&gt;=12,"Cold Winter",IF(MONTH($BR285)&gt;=10,"Post-Monsoon",IF(MONTH($BR285)&gt;=6,"Hot Humid",IF(MONTH($BR285)&gt;=3,"Hot Dry","Cold Winter")))))</f>
        <v/>
      </c>
      <c r="BT285">
        <f>IF($BM285="","",IFERROR(VLOOKUP($BM285,DECODE!$A$3:$C$8,2,FALSE),"?"))</f>
        <v/>
      </c>
      <c r="BU285">
        <f>IF($R285="","",UPPER(TRIM(LEFT($R285&amp;",",FIND(",",$R285&amp;",")-1))))</f>
        <v/>
      </c>
      <c r="BV285">
        <f>IF($BU285="","",MID($BU285,4,FIND("~",SUBSTITUTE($BU285,"-","~",2))-4))</f>
        <v/>
      </c>
      <c r="BW285">
        <f>IF($BU285="","",MID($BU285,FIND("~",SUBSTITUTE($BU285,"-","~",2))+1,FIND("~",SUBSTITUTE($BU285,"-","~",3))-FIND("~",SUBSTITUTE($BU285,"-","~",2))-1))</f>
        <v/>
      </c>
      <c r="BX285">
        <f>IF($BV285="","",IFERROR(VLOOKUP($BV285,DECODE!$A$3:$C$8,3,FALSE),"?"))</f>
        <v/>
      </c>
      <c r="BY285">
        <f>IF($BW285="","",IFERROR(VLOOKUP($BV285&amp;"-"&amp;$BW285,DECODE!$E$3:$F$21,2,FALSE),"?"))</f>
        <v/>
      </c>
      <c r="BZ285">
        <f>IF($BU285="","",IFERROR(VALUE(RIGHT($BU285,3)),""))</f>
        <v/>
      </c>
      <c r="CA285">
        <f>IF($X285="","",IFERROR(IF(ISNUMBER($X285),$X285,DATEVALUE(TRIM($X285))),""))</f>
        <v/>
      </c>
      <c r="CB285">
        <f>IF($CA285="","",IF(MONTH($CA285)&gt;=12,"Cold Winter",IF(MONTH($CA285)&gt;=10,"Post-Monsoon",IF(MONTH($CA285)&gt;=6,"Hot Humid",IF(MONTH($CA285)&gt;=3,"Hot Dry","Cold Winter")))))</f>
        <v/>
      </c>
      <c r="CC285">
        <f>IF($BV285="","",IFERROR(VLOOKUP($BV285,DECODE!$A$3:$C$8,2,FALSE),"?"))</f>
        <v/>
      </c>
      <c r="CD285">
        <f>IF($S285="","",UPPER(TRIM(LEFT($S285&amp;",",FIND(",",$S285&amp;",")-1))))</f>
        <v/>
      </c>
      <c r="CE285">
        <f>IF($CD285="","",MID($CD285,4,FIND("~",SUBSTITUTE($CD285,"-","~",2))-4))</f>
        <v/>
      </c>
      <c r="CF285">
        <f>IF($CD285="","",MID($CD285,FIND("~",SUBSTITUTE($CD285,"-","~",2))+1,FIND("~",SUBSTITUTE($CD285,"-","~",3))-FIND("~",SUBSTITUTE($CD285,"-","~",2))-1))</f>
        <v/>
      </c>
      <c r="CG285">
        <f>IF($CE285="","",IFERROR(VLOOKUP($CE285,DECODE!$A$3:$C$8,3,FALSE),"?"))</f>
        <v/>
      </c>
      <c r="CH285">
        <f>IF($CF285="","",IFERROR(VLOOKUP($CE285&amp;"-"&amp;$CF285,DECODE!$E$3:$F$21,2,FALSE),"?"))</f>
        <v/>
      </c>
      <c r="CI285">
        <f>IF($CD285="","",IFERROR(VALUE(RIGHT($CD285,3)),""))</f>
        <v/>
      </c>
      <c r="CJ285">
        <f>IF($Y285="","",IFERROR(IF(ISNUMBER($Y285),$Y285,DATEVALUE(TRIM($Y285))),""))</f>
        <v/>
      </c>
      <c r="CK285">
        <f>IF($CJ285="","",IF(MONTH($CJ285)&gt;=12,"Cold Winter",IF(MONTH($CJ285)&gt;=10,"Post-Monsoon",IF(MONTH($CJ285)&gt;=6,"Hot Humid",IF(MONTH($CJ285)&gt;=3,"Hot Dry","Cold Winter")))))</f>
        <v/>
      </c>
      <c r="CL285">
        <f>IF($CE285="","",IFERROR(VLOOKUP($CE285,DECODE!$A$3:$C$8,2,FALSE),"?"))</f>
        <v/>
      </c>
      <c r="CM285">
        <f>IF($AN285="","",AN285)</f>
        <v/>
      </c>
      <c r="CN285">
        <f>IF($AO285="","",AO285)</f>
        <v/>
      </c>
      <c r="CO285">
        <f>IF($AP285="","",AP285)</f>
        <v/>
      </c>
      <c r="CP285">
        <f>IF($CM285="","",IF($CM285="Aloe Vera Gel","Aloe Vera Gel "&amp;$CO285&amp;"g",CN285&amp;" "&amp;$CO285&amp;"g"))</f>
        <v/>
      </c>
      <c r="CQ285">
        <f>IF($AT285="",0,1)</f>
        <v/>
      </c>
      <c r="CR285">
        <f>IF($CQ285=0,"",AW285)</f>
        <v/>
      </c>
      <c r="CS285">
        <f>IF($CQ285=0,"",AX285)</f>
        <v/>
      </c>
      <c r="CT285">
        <f>IF($CQ285=0,"",AY285)</f>
        <v/>
      </c>
      <c r="CU285">
        <f>IF($CR285="","",IF($CR285="Aloe Vera Gel","Aloe Vera Gel "&amp;$CT285&amp;"g",CS285&amp;" "&amp;$CT285&amp;"g"))</f>
        <v/>
      </c>
      <c r="CV285">
        <f>IF($CQ285=0,"",IF($CP285=$CU285,"Repeat Exact",IF($CT285&gt;$CO285,"Upsized",IF($CT285&lt;$CO285,"Downsized",IF($CM285&lt;&gt;$CR285,"Lateral","Same Size Diff Variant")))))</f>
        <v/>
      </c>
      <c r="CW285">
        <f>IF($CQ285=0,"",AZ285-AQ285)</f>
        <v/>
      </c>
      <c r="CX285">
        <f>IF($CQ285=0,0,IF(CS285=CN285,1,0))</f>
        <v/>
      </c>
      <c r="CY285">
        <f>IF($CQ285=0,0,IF(CR285=CM285,1,0))</f>
        <v/>
      </c>
      <c r="CZ285">
        <f>IF($A285="","",IF(AND(IF(DASHBOARD!$C$4="All",TRUE,$CM285=DASHBOARD!$C$4),IF(DASHBOARD!$C$6="All",TRUE,$CP285=DASHBOARD!$C$6),IF(DASHBOARD!$C$8="All",TRUE,$AF285&gt;=DASHBOARD!$C$8),IF(DASHBOARD!$C$10="All",TRUE,$AF285&lt;=DASHBOARD!$C$10),IF(DASHBOARD!$C$12="All",TRUE,$AH285=VALUE(DASHBOARD!$C$12)),IF(DASHBOARD!$C$14="All",TRUE,$AJ285=DASHBOARD!$C$14)),1,0))</f>
        <v/>
      </c>
    </row>
    <row r="286">
      <c r="A286" t="n">
        <v>164500</v>
      </c>
      <c r="B286" t="inlineStr">
        <is>
          <t>Face Malai</t>
        </is>
      </c>
      <c r="H286" t="inlineStr">
        <is>
          <t>Flax Bakuchi (Hot Dry) 35+ Face Malai - 50g</t>
        </is>
      </c>
      <c r="N286" t="inlineStr">
        <is>
          <t>FC-HDDM-FB-050</t>
        </is>
      </c>
      <c r="T286" t="inlineStr">
        <is>
          <t>Mar 7, 2025</t>
        </is>
      </c>
      <c r="AE286" t="inlineStr">
        <is>
          <t>Gurgaon</t>
        </is>
      </c>
      <c r="AF286" t="inlineStr">
        <is>
          <t>2025-03</t>
        </is>
      </c>
      <c r="AG286" t="n">
        <v>3</v>
      </c>
      <c r="AH286" t="n">
        <v>1</v>
      </c>
      <c r="AI286" t="n">
        <v>0</v>
      </c>
      <c r="AJ286">
        <f>IF($AE286="","",IFERROR(VLOOKUP(TRIM($AE286),DECODE!$H$3:$I$60,2,FALSE),"Rest of India"))</f>
        <v/>
      </c>
      <c r="AK286">
        <f>IF($N286="","",UPPER(TRIM(LEFT($N286&amp;",",FIND(",",$N286&amp;",")-1))))</f>
        <v/>
      </c>
      <c r="AL286">
        <f>IF($AK286="","",MID($AK286,4,FIND("~",SUBSTITUTE($AK286,"-","~",2))-4))</f>
        <v/>
      </c>
      <c r="AM286">
        <f>IF($AK286="","",MID($AK286,FIND("~",SUBSTITUTE($AK286,"-","~",2))+1,FIND("~",SUBSTITUTE($AK286,"-","~",3))-FIND("~",SUBSTITUTE($AK286,"-","~",2))-1))</f>
        <v/>
      </c>
      <c r="AN286">
        <f>IF($AL286="","",IFERROR(VLOOKUP($AL286,DECODE!$A$3:$C$8,3,FALSE),"?"))</f>
        <v/>
      </c>
      <c r="AO286">
        <f>IF($AM286="","",IFERROR(VLOOKUP($AL286&amp;"-"&amp;$AM286,DECODE!$E$3:$F$21,2,FALSE),"?"))</f>
        <v/>
      </c>
      <c r="AP286">
        <f>IF($AK286="","",IFERROR(VALUE(RIGHT($AK286,3)),""))</f>
        <v/>
      </c>
      <c r="AQ286">
        <f>IF($T286="","",IFERROR(IF(ISNUMBER($T286),$T286,DATEVALUE(TRIM($T286))),""))</f>
        <v/>
      </c>
      <c r="AR286">
        <f>IF($AQ286="","",IF(MONTH($AQ286)&gt;=12,"Cold Winter",IF(MONTH($AQ286)&gt;=10,"Post-Monsoon",IF(MONTH($AQ286)&gt;=6,"Hot Humid",IF(MONTH($AQ286)&gt;=3,"Hot Dry","Cold Winter")))))</f>
        <v/>
      </c>
      <c r="AS286">
        <f>IF($AL286="","",IFERROR(VLOOKUP($AL286,DECODE!$A$3:$C$8,2,FALSE),"?"))</f>
        <v/>
      </c>
      <c r="AT286">
        <f>IF($O286="","",UPPER(TRIM(LEFT($O286&amp;",",FIND(",",$O286&amp;",")-1))))</f>
        <v/>
      </c>
      <c r="AU286">
        <f>IF($AT286="","",MID($AT286,4,FIND("~",SUBSTITUTE($AT286,"-","~",2))-4))</f>
        <v/>
      </c>
      <c r="AV286">
        <f>IF($AT286="","",MID($AT286,FIND("~",SUBSTITUTE($AT286,"-","~",2))+1,FIND("~",SUBSTITUTE($AT286,"-","~",3))-FIND("~",SUBSTITUTE($AT286,"-","~",2))-1))</f>
        <v/>
      </c>
      <c r="AW286">
        <f>IF($AU286="","",IFERROR(VLOOKUP($AU286,DECODE!$A$3:$C$8,3,FALSE),"?"))</f>
        <v/>
      </c>
      <c r="AX286">
        <f>IF($AV286="","",IFERROR(VLOOKUP($AU286&amp;"-"&amp;$AV286,DECODE!$E$3:$F$21,2,FALSE),"?"))</f>
        <v/>
      </c>
      <c r="AY286">
        <f>IF($AT286="","",IFERROR(VALUE(RIGHT($AT286,3)),""))</f>
        <v/>
      </c>
      <c r="AZ286">
        <f>IF($U286="","",IFERROR(IF(ISNUMBER($U286),$U286,DATEVALUE(TRIM($U286))),""))</f>
        <v/>
      </c>
      <c r="BA286">
        <f>IF($AZ286="","",IF(MONTH($AZ286)&gt;=12,"Cold Winter",IF(MONTH($AZ286)&gt;=10,"Post-Monsoon",IF(MONTH($AZ286)&gt;=6,"Hot Humid",IF(MONTH($AZ286)&gt;=3,"Hot Dry","Cold Winter")))))</f>
        <v/>
      </c>
      <c r="BB286">
        <f>IF($AU286="","",IFERROR(VLOOKUP($AU286,DECODE!$A$3:$C$8,2,FALSE),"?"))</f>
        <v/>
      </c>
      <c r="BC286">
        <f>IF($P286="","",UPPER(TRIM(LEFT($P286&amp;",",FIND(",",$P286&amp;",")-1))))</f>
        <v/>
      </c>
      <c r="BD286">
        <f>IF($BC286="","",MID($BC286,4,FIND("~",SUBSTITUTE($BC286,"-","~",2))-4))</f>
        <v/>
      </c>
      <c r="BE286">
        <f>IF($BC286="","",MID($BC286,FIND("~",SUBSTITUTE($BC286,"-","~",2))+1,FIND("~",SUBSTITUTE($BC286,"-","~",3))-FIND("~",SUBSTITUTE($BC286,"-","~",2))-1))</f>
        <v/>
      </c>
      <c r="BF286">
        <f>IF($BD286="","",IFERROR(VLOOKUP($BD286,DECODE!$A$3:$C$8,3,FALSE),"?"))</f>
        <v/>
      </c>
      <c r="BG286">
        <f>IF($BE286="","",IFERROR(VLOOKUP($BD286&amp;"-"&amp;$BE286,DECODE!$E$3:$F$21,2,FALSE),"?"))</f>
        <v/>
      </c>
      <c r="BH286">
        <f>IF($BC286="","",IFERROR(VALUE(RIGHT($BC286,3)),""))</f>
        <v/>
      </c>
      <c r="BI286">
        <f>IF($V286="","",IFERROR(IF(ISNUMBER($V286),$V286,DATEVALUE(TRIM($V286))),""))</f>
        <v/>
      </c>
      <c r="BJ286">
        <f>IF($BI286="","",IF(MONTH($BI286)&gt;=12,"Cold Winter",IF(MONTH($BI286)&gt;=10,"Post-Monsoon",IF(MONTH($BI286)&gt;=6,"Hot Humid",IF(MONTH($BI286)&gt;=3,"Hot Dry","Cold Winter")))))</f>
        <v/>
      </c>
      <c r="BK286">
        <f>IF($BD286="","",IFERROR(VLOOKUP($BD286,DECODE!$A$3:$C$8,2,FALSE),"?"))</f>
        <v/>
      </c>
      <c r="BL286">
        <f>IF($Q286="","",UPPER(TRIM(LEFT($Q286&amp;",",FIND(",",$Q286&amp;",")-1))))</f>
        <v/>
      </c>
      <c r="BM286">
        <f>IF($BL286="","",MID($BL286,4,FIND("~",SUBSTITUTE($BL286,"-","~",2))-4))</f>
        <v/>
      </c>
      <c r="BN286">
        <f>IF($BL286="","",MID($BL286,FIND("~",SUBSTITUTE($BL286,"-","~",2))+1,FIND("~",SUBSTITUTE($BL286,"-","~",3))-FIND("~",SUBSTITUTE($BL286,"-","~",2))-1))</f>
        <v/>
      </c>
      <c r="BO286">
        <f>IF($BM286="","",IFERROR(VLOOKUP($BM286,DECODE!$A$3:$C$8,3,FALSE),"?"))</f>
        <v/>
      </c>
      <c r="BP286">
        <f>IF($BN286="","",IFERROR(VLOOKUP($BM286&amp;"-"&amp;$BN286,DECODE!$E$3:$F$21,2,FALSE),"?"))</f>
        <v/>
      </c>
      <c r="BQ286">
        <f>IF($BL286="","",IFERROR(VALUE(RIGHT($BL286,3)),""))</f>
        <v/>
      </c>
      <c r="BR286">
        <f>IF($W286="","",IFERROR(IF(ISNUMBER($W286),$W286,DATEVALUE(TRIM($W286))),""))</f>
        <v/>
      </c>
      <c r="BS286">
        <f>IF($BR286="","",IF(MONTH($BR286)&gt;=12,"Cold Winter",IF(MONTH($BR286)&gt;=10,"Post-Monsoon",IF(MONTH($BR286)&gt;=6,"Hot Humid",IF(MONTH($BR286)&gt;=3,"Hot Dry","Cold Winter")))))</f>
        <v/>
      </c>
      <c r="BT286">
        <f>IF($BM286="","",IFERROR(VLOOKUP($BM286,DECODE!$A$3:$C$8,2,FALSE),"?"))</f>
        <v/>
      </c>
      <c r="BU286">
        <f>IF($R286="","",UPPER(TRIM(LEFT($R286&amp;",",FIND(",",$R286&amp;",")-1))))</f>
        <v/>
      </c>
      <c r="BV286">
        <f>IF($BU286="","",MID($BU286,4,FIND("~",SUBSTITUTE($BU286,"-","~",2))-4))</f>
        <v/>
      </c>
      <c r="BW286">
        <f>IF($BU286="","",MID($BU286,FIND("~",SUBSTITUTE($BU286,"-","~",2))+1,FIND("~",SUBSTITUTE($BU286,"-","~",3))-FIND("~",SUBSTITUTE($BU286,"-","~",2))-1))</f>
        <v/>
      </c>
      <c r="BX286">
        <f>IF($BV286="","",IFERROR(VLOOKUP($BV286,DECODE!$A$3:$C$8,3,FALSE),"?"))</f>
        <v/>
      </c>
      <c r="BY286">
        <f>IF($BW286="","",IFERROR(VLOOKUP($BV286&amp;"-"&amp;$BW286,DECODE!$E$3:$F$21,2,FALSE),"?"))</f>
        <v/>
      </c>
      <c r="BZ286">
        <f>IF($BU286="","",IFERROR(VALUE(RIGHT($BU286,3)),""))</f>
        <v/>
      </c>
      <c r="CA286">
        <f>IF($X286="","",IFERROR(IF(ISNUMBER($X286),$X286,DATEVALUE(TRIM($X286))),""))</f>
        <v/>
      </c>
      <c r="CB286">
        <f>IF($CA286="","",IF(MONTH($CA286)&gt;=12,"Cold Winter",IF(MONTH($CA286)&gt;=10,"Post-Monsoon",IF(MONTH($CA286)&gt;=6,"Hot Humid",IF(MONTH($CA286)&gt;=3,"Hot Dry","Cold Winter")))))</f>
        <v/>
      </c>
      <c r="CC286">
        <f>IF($BV286="","",IFERROR(VLOOKUP($BV286,DECODE!$A$3:$C$8,2,FALSE),"?"))</f>
        <v/>
      </c>
      <c r="CD286">
        <f>IF($S286="","",UPPER(TRIM(LEFT($S286&amp;",",FIND(",",$S286&amp;",")-1))))</f>
        <v/>
      </c>
      <c r="CE286">
        <f>IF($CD286="","",MID($CD286,4,FIND("~",SUBSTITUTE($CD286,"-","~",2))-4))</f>
        <v/>
      </c>
      <c r="CF286">
        <f>IF($CD286="","",MID($CD286,FIND("~",SUBSTITUTE($CD286,"-","~",2))+1,FIND("~",SUBSTITUTE($CD286,"-","~",3))-FIND("~",SUBSTITUTE($CD286,"-","~",2))-1))</f>
        <v/>
      </c>
      <c r="CG286">
        <f>IF($CE286="","",IFERROR(VLOOKUP($CE286,DECODE!$A$3:$C$8,3,FALSE),"?"))</f>
        <v/>
      </c>
      <c r="CH286">
        <f>IF($CF286="","",IFERROR(VLOOKUP($CE286&amp;"-"&amp;$CF286,DECODE!$E$3:$F$21,2,FALSE),"?"))</f>
        <v/>
      </c>
      <c r="CI286">
        <f>IF($CD286="","",IFERROR(VALUE(RIGHT($CD286,3)),""))</f>
        <v/>
      </c>
      <c r="CJ286">
        <f>IF($Y286="","",IFERROR(IF(ISNUMBER($Y286),$Y286,DATEVALUE(TRIM($Y286))),""))</f>
        <v/>
      </c>
      <c r="CK286">
        <f>IF($CJ286="","",IF(MONTH($CJ286)&gt;=12,"Cold Winter",IF(MONTH($CJ286)&gt;=10,"Post-Monsoon",IF(MONTH($CJ286)&gt;=6,"Hot Humid",IF(MONTH($CJ286)&gt;=3,"Hot Dry","Cold Winter")))))</f>
        <v/>
      </c>
      <c r="CL286">
        <f>IF($CE286="","",IFERROR(VLOOKUP($CE286,DECODE!$A$3:$C$8,2,FALSE),"?"))</f>
        <v/>
      </c>
      <c r="CM286">
        <f>IF($AN286="","",AN286)</f>
        <v/>
      </c>
      <c r="CN286">
        <f>IF($AO286="","",AO286)</f>
        <v/>
      </c>
      <c r="CO286">
        <f>IF($AP286="","",AP286)</f>
        <v/>
      </c>
      <c r="CP286">
        <f>IF($CM286="","",IF($CM286="Aloe Vera Gel","Aloe Vera Gel "&amp;$CO286&amp;"g",CN286&amp;" "&amp;$CO286&amp;"g"))</f>
        <v/>
      </c>
      <c r="CQ286">
        <f>IF($AT286="",0,1)</f>
        <v/>
      </c>
      <c r="CR286">
        <f>IF($CQ286=0,"",AW286)</f>
        <v/>
      </c>
      <c r="CS286">
        <f>IF($CQ286=0,"",AX286)</f>
        <v/>
      </c>
      <c r="CT286">
        <f>IF($CQ286=0,"",AY286)</f>
        <v/>
      </c>
      <c r="CU286">
        <f>IF($CR286="","",IF($CR286="Aloe Vera Gel","Aloe Vera Gel "&amp;$CT286&amp;"g",CS286&amp;" "&amp;$CT286&amp;"g"))</f>
        <v/>
      </c>
      <c r="CV286">
        <f>IF($CQ286=0,"",IF($CP286=$CU286,"Repeat Exact",IF($CT286&gt;$CO286,"Upsized",IF($CT286&lt;$CO286,"Downsized",IF($CM286&lt;&gt;$CR286,"Lateral","Same Size Diff Variant")))))</f>
        <v/>
      </c>
      <c r="CW286">
        <f>IF($CQ286=0,"",AZ286-AQ286)</f>
        <v/>
      </c>
      <c r="CX286">
        <f>IF($CQ286=0,0,IF(CS286=CN286,1,0))</f>
        <v/>
      </c>
      <c r="CY286">
        <f>IF($CQ286=0,0,IF(CR286=CM286,1,0))</f>
        <v/>
      </c>
      <c r="CZ286">
        <f>IF($A286="","",IF(AND(IF(DASHBOARD!$C$4="All",TRUE,$CM286=DASHBOARD!$C$4),IF(DASHBOARD!$C$6="All",TRUE,$CP286=DASHBOARD!$C$6),IF(DASHBOARD!$C$8="All",TRUE,$AF286&gt;=DASHBOARD!$C$8),IF(DASHBOARD!$C$10="All",TRUE,$AF286&lt;=DASHBOARD!$C$10),IF(DASHBOARD!$C$12="All",TRUE,$AH286=VALUE(DASHBOARD!$C$12)),IF(DASHBOARD!$C$14="All",TRUE,$AJ286=DASHBOARD!$C$14)),1,0))</f>
        <v/>
      </c>
    </row>
    <row r="287">
      <c r="A287" t="n">
        <v>164628</v>
      </c>
      <c r="B287" t="inlineStr">
        <is>
          <t>Face Malai</t>
        </is>
      </c>
      <c r="H287" t="inlineStr">
        <is>
          <t>Cocoa Mogra (Overnight) Face Malai - 50g</t>
        </is>
      </c>
      <c r="N287" t="inlineStr">
        <is>
          <t>FC-DM-NR-050</t>
        </is>
      </c>
      <c r="T287" t="inlineStr">
        <is>
          <t>Jul 31, 2024</t>
        </is>
      </c>
      <c r="AE287" t="inlineStr">
        <is>
          <t>Rewa</t>
        </is>
      </c>
      <c r="AF287" t="inlineStr">
        <is>
          <t>2024-07</t>
        </is>
      </c>
      <c r="AG287" t="n">
        <v>7</v>
      </c>
      <c r="AH287" t="n">
        <v>1</v>
      </c>
      <c r="AI287" t="n">
        <v>0</v>
      </c>
      <c r="AJ287">
        <f>IF($AE287="","",IFERROR(VLOOKUP(TRIM($AE287),DECODE!$H$3:$I$60,2,FALSE),"Rest of India"))</f>
        <v/>
      </c>
      <c r="AK287">
        <f>IF($N287="","",UPPER(TRIM(LEFT($N287&amp;",",FIND(",",$N287&amp;",")-1))))</f>
        <v/>
      </c>
      <c r="AL287">
        <f>IF($AK287="","",MID($AK287,4,FIND("~",SUBSTITUTE($AK287,"-","~",2))-4))</f>
        <v/>
      </c>
      <c r="AM287">
        <f>IF($AK287="","",MID($AK287,FIND("~",SUBSTITUTE($AK287,"-","~",2))+1,FIND("~",SUBSTITUTE($AK287,"-","~",3))-FIND("~",SUBSTITUTE($AK287,"-","~",2))-1))</f>
        <v/>
      </c>
      <c r="AN287">
        <f>IF($AL287="","",IFERROR(VLOOKUP($AL287,DECODE!$A$3:$C$8,3,FALSE),"?"))</f>
        <v/>
      </c>
      <c r="AO287">
        <f>IF($AM287="","",IFERROR(VLOOKUP($AL287&amp;"-"&amp;$AM287,DECODE!$E$3:$F$21,2,FALSE),"?"))</f>
        <v/>
      </c>
      <c r="AP287">
        <f>IF($AK287="","",IFERROR(VALUE(RIGHT($AK287,3)),""))</f>
        <v/>
      </c>
      <c r="AQ287">
        <f>IF($T287="","",IFERROR(IF(ISNUMBER($T287),$T287,DATEVALUE(TRIM($T287))),""))</f>
        <v/>
      </c>
      <c r="AR287">
        <f>IF($AQ287="","",IF(MONTH($AQ287)&gt;=12,"Cold Winter",IF(MONTH($AQ287)&gt;=10,"Post-Monsoon",IF(MONTH($AQ287)&gt;=6,"Hot Humid",IF(MONTH($AQ287)&gt;=3,"Hot Dry","Cold Winter")))))</f>
        <v/>
      </c>
      <c r="AS287">
        <f>IF($AL287="","",IFERROR(VLOOKUP($AL287,DECODE!$A$3:$C$8,2,FALSE),"?"))</f>
        <v/>
      </c>
      <c r="AT287">
        <f>IF($O287="","",UPPER(TRIM(LEFT($O287&amp;",",FIND(",",$O287&amp;",")-1))))</f>
        <v/>
      </c>
      <c r="AU287">
        <f>IF($AT287="","",MID($AT287,4,FIND("~",SUBSTITUTE($AT287,"-","~",2))-4))</f>
        <v/>
      </c>
      <c r="AV287">
        <f>IF($AT287="","",MID($AT287,FIND("~",SUBSTITUTE($AT287,"-","~",2))+1,FIND("~",SUBSTITUTE($AT287,"-","~",3))-FIND("~",SUBSTITUTE($AT287,"-","~",2))-1))</f>
        <v/>
      </c>
      <c r="AW287">
        <f>IF($AU287="","",IFERROR(VLOOKUP($AU287,DECODE!$A$3:$C$8,3,FALSE),"?"))</f>
        <v/>
      </c>
      <c r="AX287">
        <f>IF($AV287="","",IFERROR(VLOOKUP($AU287&amp;"-"&amp;$AV287,DECODE!$E$3:$F$21,2,FALSE),"?"))</f>
        <v/>
      </c>
      <c r="AY287">
        <f>IF($AT287="","",IFERROR(VALUE(RIGHT($AT287,3)),""))</f>
        <v/>
      </c>
      <c r="AZ287">
        <f>IF($U287="","",IFERROR(IF(ISNUMBER($U287),$U287,DATEVALUE(TRIM($U287))),""))</f>
        <v/>
      </c>
      <c r="BA287">
        <f>IF($AZ287="","",IF(MONTH($AZ287)&gt;=12,"Cold Winter",IF(MONTH($AZ287)&gt;=10,"Post-Monsoon",IF(MONTH($AZ287)&gt;=6,"Hot Humid",IF(MONTH($AZ287)&gt;=3,"Hot Dry","Cold Winter")))))</f>
        <v/>
      </c>
      <c r="BB287">
        <f>IF($AU287="","",IFERROR(VLOOKUP($AU287,DECODE!$A$3:$C$8,2,FALSE),"?"))</f>
        <v/>
      </c>
      <c r="BC287">
        <f>IF($P287="","",UPPER(TRIM(LEFT($P287&amp;",",FIND(",",$P287&amp;",")-1))))</f>
        <v/>
      </c>
      <c r="BD287">
        <f>IF($BC287="","",MID($BC287,4,FIND("~",SUBSTITUTE($BC287,"-","~",2))-4))</f>
        <v/>
      </c>
      <c r="BE287">
        <f>IF($BC287="","",MID($BC287,FIND("~",SUBSTITUTE($BC287,"-","~",2))+1,FIND("~",SUBSTITUTE($BC287,"-","~",3))-FIND("~",SUBSTITUTE($BC287,"-","~",2))-1))</f>
        <v/>
      </c>
      <c r="BF287">
        <f>IF($BD287="","",IFERROR(VLOOKUP($BD287,DECODE!$A$3:$C$8,3,FALSE),"?"))</f>
        <v/>
      </c>
      <c r="BG287">
        <f>IF($BE287="","",IFERROR(VLOOKUP($BD287&amp;"-"&amp;$BE287,DECODE!$E$3:$F$21,2,FALSE),"?"))</f>
        <v/>
      </c>
      <c r="BH287">
        <f>IF($BC287="","",IFERROR(VALUE(RIGHT($BC287,3)),""))</f>
        <v/>
      </c>
      <c r="BI287">
        <f>IF($V287="","",IFERROR(IF(ISNUMBER($V287),$V287,DATEVALUE(TRIM($V287))),""))</f>
        <v/>
      </c>
      <c r="BJ287">
        <f>IF($BI287="","",IF(MONTH($BI287)&gt;=12,"Cold Winter",IF(MONTH($BI287)&gt;=10,"Post-Monsoon",IF(MONTH($BI287)&gt;=6,"Hot Humid",IF(MONTH($BI287)&gt;=3,"Hot Dry","Cold Winter")))))</f>
        <v/>
      </c>
      <c r="BK287">
        <f>IF($BD287="","",IFERROR(VLOOKUP($BD287,DECODE!$A$3:$C$8,2,FALSE),"?"))</f>
        <v/>
      </c>
      <c r="BL287">
        <f>IF($Q287="","",UPPER(TRIM(LEFT($Q287&amp;",",FIND(",",$Q287&amp;",")-1))))</f>
        <v/>
      </c>
      <c r="BM287">
        <f>IF($BL287="","",MID($BL287,4,FIND("~",SUBSTITUTE($BL287,"-","~",2))-4))</f>
        <v/>
      </c>
      <c r="BN287">
        <f>IF($BL287="","",MID($BL287,FIND("~",SUBSTITUTE($BL287,"-","~",2))+1,FIND("~",SUBSTITUTE($BL287,"-","~",3))-FIND("~",SUBSTITUTE($BL287,"-","~",2))-1))</f>
        <v/>
      </c>
      <c r="BO287">
        <f>IF($BM287="","",IFERROR(VLOOKUP($BM287,DECODE!$A$3:$C$8,3,FALSE),"?"))</f>
        <v/>
      </c>
      <c r="BP287">
        <f>IF($BN287="","",IFERROR(VLOOKUP($BM287&amp;"-"&amp;$BN287,DECODE!$E$3:$F$21,2,FALSE),"?"))</f>
        <v/>
      </c>
      <c r="BQ287">
        <f>IF($BL287="","",IFERROR(VALUE(RIGHT($BL287,3)),""))</f>
        <v/>
      </c>
      <c r="BR287">
        <f>IF($W287="","",IFERROR(IF(ISNUMBER($W287),$W287,DATEVALUE(TRIM($W287))),""))</f>
        <v/>
      </c>
      <c r="BS287">
        <f>IF($BR287="","",IF(MONTH($BR287)&gt;=12,"Cold Winter",IF(MONTH($BR287)&gt;=10,"Post-Monsoon",IF(MONTH($BR287)&gt;=6,"Hot Humid",IF(MONTH($BR287)&gt;=3,"Hot Dry","Cold Winter")))))</f>
        <v/>
      </c>
      <c r="BT287">
        <f>IF($BM287="","",IFERROR(VLOOKUP($BM287,DECODE!$A$3:$C$8,2,FALSE),"?"))</f>
        <v/>
      </c>
      <c r="BU287">
        <f>IF($R287="","",UPPER(TRIM(LEFT($R287&amp;",",FIND(",",$R287&amp;",")-1))))</f>
        <v/>
      </c>
      <c r="BV287">
        <f>IF($BU287="","",MID($BU287,4,FIND("~",SUBSTITUTE($BU287,"-","~",2))-4))</f>
        <v/>
      </c>
      <c r="BW287">
        <f>IF($BU287="","",MID($BU287,FIND("~",SUBSTITUTE($BU287,"-","~",2))+1,FIND("~",SUBSTITUTE($BU287,"-","~",3))-FIND("~",SUBSTITUTE($BU287,"-","~",2))-1))</f>
        <v/>
      </c>
      <c r="BX287">
        <f>IF($BV287="","",IFERROR(VLOOKUP($BV287,DECODE!$A$3:$C$8,3,FALSE),"?"))</f>
        <v/>
      </c>
      <c r="BY287">
        <f>IF($BW287="","",IFERROR(VLOOKUP($BV287&amp;"-"&amp;$BW287,DECODE!$E$3:$F$21,2,FALSE),"?"))</f>
        <v/>
      </c>
      <c r="BZ287">
        <f>IF($BU287="","",IFERROR(VALUE(RIGHT($BU287,3)),""))</f>
        <v/>
      </c>
      <c r="CA287">
        <f>IF($X287="","",IFERROR(IF(ISNUMBER($X287),$X287,DATEVALUE(TRIM($X287))),""))</f>
        <v/>
      </c>
      <c r="CB287">
        <f>IF($CA287="","",IF(MONTH($CA287)&gt;=12,"Cold Winter",IF(MONTH($CA287)&gt;=10,"Post-Monsoon",IF(MONTH($CA287)&gt;=6,"Hot Humid",IF(MONTH($CA287)&gt;=3,"Hot Dry","Cold Winter")))))</f>
        <v/>
      </c>
      <c r="CC287">
        <f>IF($BV287="","",IFERROR(VLOOKUP($BV287,DECODE!$A$3:$C$8,2,FALSE),"?"))</f>
        <v/>
      </c>
      <c r="CD287">
        <f>IF($S287="","",UPPER(TRIM(LEFT($S287&amp;",",FIND(",",$S287&amp;",")-1))))</f>
        <v/>
      </c>
      <c r="CE287">
        <f>IF($CD287="","",MID($CD287,4,FIND("~",SUBSTITUTE($CD287,"-","~",2))-4))</f>
        <v/>
      </c>
      <c r="CF287">
        <f>IF($CD287="","",MID($CD287,FIND("~",SUBSTITUTE($CD287,"-","~",2))+1,FIND("~",SUBSTITUTE($CD287,"-","~",3))-FIND("~",SUBSTITUTE($CD287,"-","~",2))-1))</f>
        <v/>
      </c>
      <c r="CG287">
        <f>IF($CE287="","",IFERROR(VLOOKUP($CE287,DECODE!$A$3:$C$8,3,FALSE),"?"))</f>
        <v/>
      </c>
      <c r="CH287">
        <f>IF($CF287="","",IFERROR(VLOOKUP($CE287&amp;"-"&amp;$CF287,DECODE!$E$3:$F$21,2,FALSE),"?"))</f>
        <v/>
      </c>
      <c r="CI287">
        <f>IF($CD287="","",IFERROR(VALUE(RIGHT($CD287,3)),""))</f>
        <v/>
      </c>
      <c r="CJ287">
        <f>IF($Y287="","",IFERROR(IF(ISNUMBER($Y287),$Y287,DATEVALUE(TRIM($Y287))),""))</f>
        <v/>
      </c>
      <c r="CK287">
        <f>IF($CJ287="","",IF(MONTH($CJ287)&gt;=12,"Cold Winter",IF(MONTH($CJ287)&gt;=10,"Post-Monsoon",IF(MONTH($CJ287)&gt;=6,"Hot Humid",IF(MONTH($CJ287)&gt;=3,"Hot Dry","Cold Winter")))))</f>
        <v/>
      </c>
      <c r="CL287">
        <f>IF($CE287="","",IFERROR(VLOOKUP($CE287,DECODE!$A$3:$C$8,2,FALSE),"?"))</f>
        <v/>
      </c>
      <c r="CM287">
        <f>IF($AN287="","",AN287)</f>
        <v/>
      </c>
      <c r="CN287">
        <f>IF($AO287="","",AO287)</f>
        <v/>
      </c>
      <c r="CO287">
        <f>IF($AP287="","",AP287)</f>
        <v/>
      </c>
      <c r="CP287">
        <f>IF($CM287="","",IF($CM287="Aloe Vera Gel","Aloe Vera Gel "&amp;$CO287&amp;"g",CN287&amp;" "&amp;$CO287&amp;"g"))</f>
        <v/>
      </c>
      <c r="CQ287">
        <f>IF($AT287="",0,1)</f>
        <v/>
      </c>
      <c r="CR287">
        <f>IF($CQ287=0,"",AW287)</f>
        <v/>
      </c>
      <c r="CS287">
        <f>IF($CQ287=0,"",AX287)</f>
        <v/>
      </c>
      <c r="CT287">
        <f>IF($CQ287=0,"",AY287)</f>
        <v/>
      </c>
      <c r="CU287">
        <f>IF($CR287="","",IF($CR287="Aloe Vera Gel","Aloe Vera Gel "&amp;$CT287&amp;"g",CS287&amp;" "&amp;$CT287&amp;"g"))</f>
        <v/>
      </c>
      <c r="CV287">
        <f>IF($CQ287=0,"",IF($CP287=$CU287,"Repeat Exact",IF($CT287&gt;$CO287,"Upsized",IF($CT287&lt;$CO287,"Downsized",IF($CM287&lt;&gt;$CR287,"Lateral","Same Size Diff Variant")))))</f>
        <v/>
      </c>
      <c r="CW287">
        <f>IF($CQ287=0,"",AZ287-AQ287)</f>
        <v/>
      </c>
      <c r="CX287">
        <f>IF($CQ287=0,0,IF(CS287=CN287,1,0))</f>
        <v/>
      </c>
      <c r="CY287">
        <f>IF($CQ287=0,0,IF(CR287=CM287,1,0))</f>
        <v/>
      </c>
      <c r="CZ287">
        <f>IF($A287="","",IF(AND(IF(DASHBOARD!$C$4="All",TRUE,$CM287=DASHBOARD!$C$4),IF(DASHBOARD!$C$6="All",TRUE,$CP287=DASHBOARD!$C$6),IF(DASHBOARD!$C$8="All",TRUE,$AF287&gt;=DASHBOARD!$C$8),IF(DASHBOARD!$C$10="All",TRUE,$AF287&lt;=DASHBOARD!$C$10),IF(DASHBOARD!$C$12="All",TRUE,$AH287=VALUE(DASHBOARD!$C$12)),IF(DASHBOARD!$C$14="All",TRUE,$AJ287=DASHBOARD!$C$14)),1,0))</f>
        <v/>
      </c>
    </row>
    <row r="288">
      <c r="A288" t="n">
        <v>164713</v>
      </c>
      <c r="B288" t="inlineStr">
        <is>
          <t>Aloe Vera Gel</t>
        </is>
      </c>
      <c r="H288" t="inlineStr">
        <is>
          <t>Aloe Vera Gel - 80 gms</t>
        </is>
      </c>
      <c r="N288" t="inlineStr">
        <is>
          <t>FC-HG-PA-080</t>
        </is>
      </c>
      <c r="T288" t="inlineStr">
        <is>
          <t>May 8, 2025</t>
        </is>
      </c>
      <c r="AE288" t="inlineStr">
        <is>
          <t>Pune</t>
        </is>
      </c>
      <c r="AF288" t="inlineStr">
        <is>
          <t>2025-05</t>
        </is>
      </c>
      <c r="AG288" t="n">
        <v>5</v>
      </c>
      <c r="AH288" t="n">
        <v>1</v>
      </c>
      <c r="AI288" t="n">
        <v>0</v>
      </c>
      <c r="AJ288">
        <f>IF($AE288="","",IFERROR(VLOOKUP(TRIM($AE288),DECODE!$H$3:$I$60,2,FALSE),"Rest of India"))</f>
        <v/>
      </c>
      <c r="AK288">
        <f>IF($N288="","",UPPER(TRIM(LEFT($N288&amp;",",FIND(",",$N288&amp;",")-1))))</f>
        <v/>
      </c>
      <c r="AL288">
        <f>IF($AK288="","",MID($AK288,4,FIND("~",SUBSTITUTE($AK288,"-","~",2))-4))</f>
        <v/>
      </c>
      <c r="AM288">
        <f>IF($AK288="","",MID($AK288,FIND("~",SUBSTITUTE($AK288,"-","~",2))+1,FIND("~",SUBSTITUTE($AK288,"-","~",3))-FIND("~",SUBSTITUTE($AK288,"-","~",2))-1))</f>
        <v/>
      </c>
      <c r="AN288">
        <f>IF($AL288="","",IFERROR(VLOOKUP($AL288,DECODE!$A$3:$C$8,3,FALSE),"?"))</f>
        <v/>
      </c>
      <c r="AO288">
        <f>IF($AM288="","",IFERROR(VLOOKUP($AL288&amp;"-"&amp;$AM288,DECODE!$E$3:$F$21,2,FALSE),"?"))</f>
        <v/>
      </c>
      <c r="AP288">
        <f>IF($AK288="","",IFERROR(VALUE(RIGHT($AK288,3)),""))</f>
        <v/>
      </c>
      <c r="AQ288">
        <f>IF($T288="","",IFERROR(IF(ISNUMBER($T288),$T288,DATEVALUE(TRIM($T288))),""))</f>
        <v/>
      </c>
      <c r="AR288">
        <f>IF($AQ288="","",IF(MONTH($AQ288)&gt;=12,"Cold Winter",IF(MONTH($AQ288)&gt;=10,"Post-Monsoon",IF(MONTH($AQ288)&gt;=6,"Hot Humid",IF(MONTH($AQ288)&gt;=3,"Hot Dry","Cold Winter")))))</f>
        <v/>
      </c>
      <c r="AS288">
        <f>IF($AL288="","",IFERROR(VLOOKUP($AL288,DECODE!$A$3:$C$8,2,FALSE),"?"))</f>
        <v/>
      </c>
      <c r="AT288">
        <f>IF($O288="","",UPPER(TRIM(LEFT($O288&amp;",",FIND(",",$O288&amp;",")-1))))</f>
        <v/>
      </c>
      <c r="AU288">
        <f>IF($AT288="","",MID($AT288,4,FIND("~",SUBSTITUTE($AT288,"-","~",2))-4))</f>
        <v/>
      </c>
      <c r="AV288">
        <f>IF($AT288="","",MID($AT288,FIND("~",SUBSTITUTE($AT288,"-","~",2))+1,FIND("~",SUBSTITUTE($AT288,"-","~",3))-FIND("~",SUBSTITUTE($AT288,"-","~",2))-1))</f>
        <v/>
      </c>
      <c r="AW288">
        <f>IF($AU288="","",IFERROR(VLOOKUP($AU288,DECODE!$A$3:$C$8,3,FALSE),"?"))</f>
        <v/>
      </c>
      <c r="AX288">
        <f>IF($AV288="","",IFERROR(VLOOKUP($AU288&amp;"-"&amp;$AV288,DECODE!$E$3:$F$21,2,FALSE),"?"))</f>
        <v/>
      </c>
      <c r="AY288">
        <f>IF($AT288="","",IFERROR(VALUE(RIGHT($AT288,3)),""))</f>
        <v/>
      </c>
      <c r="AZ288">
        <f>IF($U288="","",IFERROR(IF(ISNUMBER($U288),$U288,DATEVALUE(TRIM($U288))),""))</f>
        <v/>
      </c>
      <c r="BA288">
        <f>IF($AZ288="","",IF(MONTH($AZ288)&gt;=12,"Cold Winter",IF(MONTH($AZ288)&gt;=10,"Post-Monsoon",IF(MONTH($AZ288)&gt;=6,"Hot Humid",IF(MONTH($AZ288)&gt;=3,"Hot Dry","Cold Winter")))))</f>
        <v/>
      </c>
      <c r="BB288">
        <f>IF($AU288="","",IFERROR(VLOOKUP($AU288,DECODE!$A$3:$C$8,2,FALSE),"?"))</f>
        <v/>
      </c>
      <c r="BC288">
        <f>IF($P288="","",UPPER(TRIM(LEFT($P288&amp;",",FIND(",",$P288&amp;",")-1))))</f>
        <v/>
      </c>
      <c r="BD288">
        <f>IF($BC288="","",MID($BC288,4,FIND("~",SUBSTITUTE($BC288,"-","~",2))-4))</f>
        <v/>
      </c>
      <c r="BE288">
        <f>IF($BC288="","",MID($BC288,FIND("~",SUBSTITUTE($BC288,"-","~",2))+1,FIND("~",SUBSTITUTE($BC288,"-","~",3))-FIND("~",SUBSTITUTE($BC288,"-","~",2))-1))</f>
        <v/>
      </c>
      <c r="BF288">
        <f>IF($BD288="","",IFERROR(VLOOKUP($BD288,DECODE!$A$3:$C$8,3,FALSE),"?"))</f>
        <v/>
      </c>
      <c r="BG288">
        <f>IF($BE288="","",IFERROR(VLOOKUP($BD288&amp;"-"&amp;$BE288,DECODE!$E$3:$F$21,2,FALSE),"?"))</f>
        <v/>
      </c>
      <c r="BH288">
        <f>IF($BC288="","",IFERROR(VALUE(RIGHT($BC288,3)),""))</f>
        <v/>
      </c>
      <c r="BI288">
        <f>IF($V288="","",IFERROR(IF(ISNUMBER($V288),$V288,DATEVALUE(TRIM($V288))),""))</f>
        <v/>
      </c>
      <c r="BJ288">
        <f>IF($BI288="","",IF(MONTH($BI288)&gt;=12,"Cold Winter",IF(MONTH($BI288)&gt;=10,"Post-Monsoon",IF(MONTH($BI288)&gt;=6,"Hot Humid",IF(MONTH($BI288)&gt;=3,"Hot Dry","Cold Winter")))))</f>
        <v/>
      </c>
      <c r="BK288">
        <f>IF($BD288="","",IFERROR(VLOOKUP($BD288,DECODE!$A$3:$C$8,2,FALSE),"?"))</f>
        <v/>
      </c>
      <c r="BL288">
        <f>IF($Q288="","",UPPER(TRIM(LEFT($Q288&amp;",",FIND(",",$Q288&amp;",")-1))))</f>
        <v/>
      </c>
      <c r="BM288">
        <f>IF($BL288="","",MID($BL288,4,FIND("~",SUBSTITUTE($BL288,"-","~",2))-4))</f>
        <v/>
      </c>
      <c r="BN288">
        <f>IF($BL288="","",MID($BL288,FIND("~",SUBSTITUTE($BL288,"-","~",2))+1,FIND("~",SUBSTITUTE($BL288,"-","~",3))-FIND("~",SUBSTITUTE($BL288,"-","~",2))-1))</f>
        <v/>
      </c>
      <c r="BO288">
        <f>IF($BM288="","",IFERROR(VLOOKUP($BM288,DECODE!$A$3:$C$8,3,FALSE),"?"))</f>
        <v/>
      </c>
      <c r="BP288">
        <f>IF($BN288="","",IFERROR(VLOOKUP($BM288&amp;"-"&amp;$BN288,DECODE!$E$3:$F$21,2,FALSE),"?"))</f>
        <v/>
      </c>
      <c r="BQ288">
        <f>IF($BL288="","",IFERROR(VALUE(RIGHT($BL288,3)),""))</f>
        <v/>
      </c>
      <c r="BR288">
        <f>IF($W288="","",IFERROR(IF(ISNUMBER($W288),$W288,DATEVALUE(TRIM($W288))),""))</f>
        <v/>
      </c>
      <c r="BS288">
        <f>IF($BR288="","",IF(MONTH($BR288)&gt;=12,"Cold Winter",IF(MONTH($BR288)&gt;=10,"Post-Monsoon",IF(MONTH($BR288)&gt;=6,"Hot Humid",IF(MONTH($BR288)&gt;=3,"Hot Dry","Cold Winter")))))</f>
        <v/>
      </c>
      <c r="BT288">
        <f>IF($BM288="","",IFERROR(VLOOKUP($BM288,DECODE!$A$3:$C$8,2,FALSE),"?"))</f>
        <v/>
      </c>
      <c r="BU288">
        <f>IF($R288="","",UPPER(TRIM(LEFT($R288&amp;",",FIND(",",$R288&amp;",")-1))))</f>
        <v/>
      </c>
      <c r="BV288">
        <f>IF($BU288="","",MID($BU288,4,FIND("~",SUBSTITUTE($BU288,"-","~",2))-4))</f>
        <v/>
      </c>
      <c r="BW288">
        <f>IF($BU288="","",MID($BU288,FIND("~",SUBSTITUTE($BU288,"-","~",2))+1,FIND("~",SUBSTITUTE($BU288,"-","~",3))-FIND("~",SUBSTITUTE($BU288,"-","~",2))-1))</f>
        <v/>
      </c>
      <c r="BX288">
        <f>IF($BV288="","",IFERROR(VLOOKUP($BV288,DECODE!$A$3:$C$8,3,FALSE),"?"))</f>
        <v/>
      </c>
      <c r="BY288">
        <f>IF($BW288="","",IFERROR(VLOOKUP($BV288&amp;"-"&amp;$BW288,DECODE!$E$3:$F$21,2,FALSE),"?"))</f>
        <v/>
      </c>
      <c r="BZ288">
        <f>IF($BU288="","",IFERROR(VALUE(RIGHT($BU288,3)),""))</f>
        <v/>
      </c>
      <c r="CA288">
        <f>IF($X288="","",IFERROR(IF(ISNUMBER($X288),$X288,DATEVALUE(TRIM($X288))),""))</f>
        <v/>
      </c>
      <c r="CB288">
        <f>IF($CA288="","",IF(MONTH($CA288)&gt;=12,"Cold Winter",IF(MONTH($CA288)&gt;=10,"Post-Monsoon",IF(MONTH($CA288)&gt;=6,"Hot Humid",IF(MONTH($CA288)&gt;=3,"Hot Dry","Cold Winter")))))</f>
        <v/>
      </c>
      <c r="CC288">
        <f>IF($BV288="","",IFERROR(VLOOKUP($BV288,DECODE!$A$3:$C$8,2,FALSE),"?"))</f>
        <v/>
      </c>
      <c r="CD288">
        <f>IF($S288="","",UPPER(TRIM(LEFT($S288&amp;",",FIND(",",$S288&amp;",")-1))))</f>
        <v/>
      </c>
      <c r="CE288">
        <f>IF($CD288="","",MID($CD288,4,FIND("~",SUBSTITUTE($CD288,"-","~",2))-4))</f>
        <v/>
      </c>
      <c r="CF288">
        <f>IF($CD288="","",MID($CD288,FIND("~",SUBSTITUTE($CD288,"-","~",2))+1,FIND("~",SUBSTITUTE($CD288,"-","~",3))-FIND("~",SUBSTITUTE($CD288,"-","~",2))-1))</f>
        <v/>
      </c>
      <c r="CG288">
        <f>IF($CE288="","",IFERROR(VLOOKUP($CE288,DECODE!$A$3:$C$8,3,FALSE),"?"))</f>
        <v/>
      </c>
      <c r="CH288">
        <f>IF($CF288="","",IFERROR(VLOOKUP($CE288&amp;"-"&amp;$CF288,DECODE!$E$3:$F$21,2,FALSE),"?"))</f>
        <v/>
      </c>
      <c r="CI288">
        <f>IF($CD288="","",IFERROR(VALUE(RIGHT($CD288,3)),""))</f>
        <v/>
      </c>
      <c r="CJ288">
        <f>IF($Y288="","",IFERROR(IF(ISNUMBER($Y288),$Y288,DATEVALUE(TRIM($Y288))),""))</f>
        <v/>
      </c>
      <c r="CK288">
        <f>IF($CJ288="","",IF(MONTH($CJ288)&gt;=12,"Cold Winter",IF(MONTH($CJ288)&gt;=10,"Post-Monsoon",IF(MONTH($CJ288)&gt;=6,"Hot Humid",IF(MONTH($CJ288)&gt;=3,"Hot Dry","Cold Winter")))))</f>
        <v/>
      </c>
      <c r="CL288">
        <f>IF($CE288="","",IFERROR(VLOOKUP($CE288,DECODE!$A$3:$C$8,2,FALSE),"?"))</f>
        <v/>
      </c>
      <c r="CM288">
        <f>IF($AN288="","",AN288)</f>
        <v/>
      </c>
      <c r="CN288">
        <f>IF($AO288="","",AO288)</f>
        <v/>
      </c>
      <c r="CO288">
        <f>IF($AP288="","",AP288)</f>
        <v/>
      </c>
      <c r="CP288">
        <f>IF($CM288="","",IF($CM288="Aloe Vera Gel","Aloe Vera Gel "&amp;$CO288&amp;"g",CN288&amp;" "&amp;$CO288&amp;"g"))</f>
        <v/>
      </c>
      <c r="CQ288">
        <f>IF($AT288="",0,1)</f>
        <v/>
      </c>
      <c r="CR288">
        <f>IF($CQ288=0,"",AW288)</f>
        <v/>
      </c>
      <c r="CS288">
        <f>IF($CQ288=0,"",AX288)</f>
        <v/>
      </c>
      <c r="CT288">
        <f>IF($CQ288=0,"",AY288)</f>
        <v/>
      </c>
      <c r="CU288">
        <f>IF($CR288="","",IF($CR288="Aloe Vera Gel","Aloe Vera Gel "&amp;$CT288&amp;"g",CS288&amp;" "&amp;$CT288&amp;"g"))</f>
        <v/>
      </c>
      <c r="CV288">
        <f>IF($CQ288=0,"",IF($CP288=$CU288,"Repeat Exact",IF($CT288&gt;$CO288,"Upsized",IF($CT288&lt;$CO288,"Downsized",IF($CM288&lt;&gt;$CR288,"Lateral","Same Size Diff Variant")))))</f>
        <v/>
      </c>
      <c r="CW288">
        <f>IF($CQ288=0,"",AZ288-AQ288)</f>
        <v/>
      </c>
      <c r="CX288">
        <f>IF($CQ288=0,0,IF(CS288=CN288,1,0))</f>
        <v/>
      </c>
      <c r="CY288">
        <f>IF($CQ288=0,0,IF(CR288=CM288,1,0))</f>
        <v/>
      </c>
      <c r="CZ288">
        <f>IF($A288="","",IF(AND(IF(DASHBOARD!$C$4="All",TRUE,$CM288=DASHBOARD!$C$4),IF(DASHBOARD!$C$6="All",TRUE,$CP288=DASHBOARD!$C$6),IF(DASHBOARD!$C$8="All",TRUE,$AF288&gt;=DASHBOARD!$C$8),IF(DASHBOARD!$C$10="All",TRUE,$AF288&lt;=DASHBOARD!$C$10),IF(DASHBOARD!$C$12="All",TRUE,$AH288=VALUE(DASHBOARD!$C$12)),IF(DASHBOARD!$C$14="All",TRUE,$AJ288=DASHBOARD!$C$14)),1,0))</f>
        <v/>
      </c>
    </row>
    <row r="289">
      <c r="A289" t="n">
        <v>164888</v>
      </c>
      <c r="B289" t="inlineStr">
        <is>
          <t>Active Gel</t>
        </is>
      </c>
      <c r="C289" t="inlineStr">
        <is>
          <t>Active Gel</t>
        </is>
      </c>
      <c r="H289" t="inlineStr">
        <is>
          <t>Active Beetroot Tomato Vit-A Gel</t>
        </is>
      </c>
      <c r="I289" t="inlineStr">
        <is>
          <t>Active Orange Kiwi Vit-C Gel</t>
        </is>
      </c>
      <c r="N289" t="inlineStr">
        <is>
          <t>FC-AC-BT-050</t>
        </is>
      </c>
      <c r="O289" t="inlineStr">
        <is>
          <t>FC-AC-OK-050</t>
        </is>
      </c>
      <c r="T289" t="inlineStr">
        <is>
          <t>Feb 21, 2026</t>
        </is>
      </c>
      <c r="U289" t="inlineStr">
        <is>
          <t>May 7, 2026</t>
        </is>
      </c>
      <c r="Z289" t="n">
        <v>75</v>
      </c>
      <c r="AE289" t="inlineStr">
        <is>
          <t>Bengaluru</t>
        </is>
      </c>
      <c r="AF289" t="inlineStr">
        <is>
          <t>2026-02</t>
        </is>
      </c>
      <c r="AG289" t="n">
        <v>2</v>
      </c>
      <c r="AH289" t="n">
        <v>2</v>
      </c>
      <c r="AI289" t="n">
        <v>1</v>
      </c>
      <c r="AJ289">
        <f>IF($AE289="","",IFERROR(VLOOKUP(TRIM($AE289),DECODE!$H$3:$I$60,2,FALSE),"Rest of India"))</f>
        <v/>
      </c>
      <c r="AK289">
        <f>IF($N289="","",UPPER(TRIM(LEFT($N289&amp;",",FIND(",",$N289&amp;",")-1))))</f>
        <v/>
      </c>
      <c r="AL289">
        <f>IF($AK289="","",MID($AK289,4,FIND("~",SUBSTITUTE($AK289,"-","~",2))-4))</f>
        <v/>
      </c>
      <c r="AM289">
        <f>IF($AK289="","",MID($AK289,FIND("~",SUBSTITUTE($AK289,"-","~",2))+1,FIND("~",SUBSTITUTE($AK289,"-","~",3))-FIND("~",SUBSTITUTE($AK289,"-","~",2))-1))</f>
        <v/>
      </c>
      <c r="AN289">
        <f>IF($AL289="","",IFERROR(VLOOKUP($AL289,DECODE!$A$3:$C$8,3,FALSE),"?"))</f>
        <v/>
      </c>
      <c r="AO289">
        <f>IF($AM289="","",IFERROR(VLOOKUP($AL289&amp;"-"&amp;$AM289,DECODE!$E$3:$F$21,2,FALSE),"?"))</f>
        <v/>
      </c>
      <c r="AP289">
        <f>IF($AK289="","",IFERROR(VALUE(RIGHT($AK289,3)),""))</f>
        <v/>
      </c>
      <c r="AQ289">
        <f>IF($T289="","",IFERROR(IF(ISNUMBER($T289),$T289,DATEVALUE(TRIM($T289))),""))</f>
        <v/>
      </c>
      <c r="AR289">
        <f>IF($AQ289="","",IF(MONTH($AQ289)&gt;=12,"Cold Winter",IF(MONTH($AQ289)&gt;=10,"Post-Monsoon",IF(MONTH($AQ289)&gt;=6,"Hot Humid",IF(MONTH($AQ289)&gt;=3,"Hot Dry","Cold Winter")))))</f>
        <v/>
      </c>
      <c r="AS289">
        <f>IF($AL289="","",IFERROR(VLOOKUP($AL289,DECODE!$A$3:$C$8,2,FALSE),"?"))</f>
        <v/>
      </c>
      <c r="AT289">
        <f>IF($O289="","",UPPER(TRIM(LEFT($O289&amp;",",FIND(",",$O289&amp;",")-1))))</f>
        <v/>
      </c>
      <c r="AU289">
        <f>IF($AT289="","",MID($AT289,4,FIND("~",SUBSTITUTE($AT289,"-","~",2))-4))</f>
        <v/>
      </c>
      <c r="AV289">
        <f>IF($AT289="","",MID($AT289,FIND("~",SUBSTITUTE($AT289,"-","~",2))+1,FIND("~",SUBSTITUTE($AT289,"-","~",3))-FIND("~",SUBSTITUTE($AT289,"-","~",2))-1))</f>
        <v/>
      </c>
      <c r="AW289">
        <f>IF($AU289="","",IFERROR(VLOOKUP($AU289,DECODE!$A$3:$C$8,3,FALSE),"?"))</f>
        <v/>
      </c>
      <c r="AX289">
        <f>IF($AV289="","",IFERROR(VLOOKUP($AU289&amp;"-"&amp;$AV289,DECODE!$E$3:$F$21,2,FALSE),"?"))</f>
        <v/>
      </c>
      <c r="AY289">
        <f>IF($AT289="","",IFERROR(VALUE(RIGHT($AT289,3)),""))</f>
        <v/>
      </c>
      <c r="AZ289">
        <f>IF($U289="","",IFERROR(IF(ISNUMBER($U289),$U289,DATEVALUE(TRIM($U289))),""))</f>
        <v/>
      </c>
      <c r="BA289">
        <f>IF($AZ289="","",IF(MONTH($AZ289)&gt;=12,"Cold Winter",IF(MONTH($AZ289)&gt;=10,"Post-Monsoon",IF(MONTH($AZ289)&gt;=6,"Hot Humid",IF(MONTH($AZ289)&gt;=3,"Hot Dry","Cold Winter")))))</f>
        <v/>
      </c>
      <c r="BB289">
        <f>IF($AU289="","",IFERROR(VLOOKUP($AU289,DECODE!$A$3:$C$8,2,FALSE),"?"))</f>
        <v/>
      </c>
      <c r="BC289">
        <f>IF($P289="","",UPPER(TRIM(LEFT($P289&amp;",",FIND(",",$P289&amp;",")-1))))</f>
        <v/>
      </c>
      <c r="BD289">
        <f>IF($BC289="","",MID($BC289,4,FIND("~",SUBSTITUTE($BC289,"-","~",2))-4))</f>
        <v/>
      </c>
      <c r="BE289">
        <f>IF($BC289="","",MID($BC289,FIND("~",SUBSTITUTE($BC289,"-","~",2))+1,FIND("~",SUBSTITUTE($BC289,"-","~",3))-FIND("~",SUBSTITUTE($BC289,"-","~",2))-1))</f>
        <v/>
      </c>
      <c r="BF289">
        <f>IF($BD289="","",IFERROR(VLOOKUP($BD289,DECODE!$A$3:$C$8,3,FALSE),"?"))</f>
        <v/>
      </c>
      <c r="BG289">
        <f>IF($BE289="","",IFERROR(VLOOKUP($BD289&amp;"-"&amp;$BE289,DECODE!$E$3:$F$21,2,FALSE),"?"))</f>
        <v/>
      </c>
      <c r="BH289">
        <f>IF($BC289="","",IFERROR(VALUE(RIGHT($BC289,3)),""))</f>
        <v/>
      </c>
      <c r="BI289">
        <f>IF($V289="","",IFERROR(IF(ISNUMBER($V289),$V289,DATEVALUE(TRIM($V289))),""))</f>
        <v/>
      </c>
      <c r="BJ289">
        <f>IF($BI289="","",IF(MONTH($BI289)&gt;=12,"Cold Winter",IF(MONTH($BI289)&gt;=10,"Post-Monsoon",IF(MONTH($BI289)&gt;=6,"Hot Humid",IF(MONTH($BI289)&gt;=3,"Hot Dry","Cold Winter")))))</f>
        <v/>
      </c>
      <c r="BK289">
        <f>IF($BD289="","",IFERROR(VLOOKUP($BD289,DECODE!$A$3:$C$8,2,FALSE),"?"))</f>
        <v/>
      </c>
      <c r="BL289">
        <f>IF($Q289="","",UPPER(TRIM(LEFT($Q289&amp;",",FIND(",",$Q289&amp;",")-1))))</f>
        <v/>
      </c>
      <c r="BM289">
        <f>IF($BL289="","",MID($BL289,4,FIND("~",SUBSTITUTE($BL289,"-","~",2))-4))</f>
        <v/>
      </c>
      <c r="BN289">
        <f>IF($BL289="","",MID($BL289,FIND("~",SUBSTITUTE($BL289,"-","~",2))+1,FIND("~",SUBSTITUTE($BL289,"-","~",3))-FIND("~",SUBSTITUTE($BL289,"-","~",2))-1))</f>
        <v/>
      </c>
      <c r="BO289">
        <f>IF($BM289="","",IFERROR(VLOOKUP($BM289,DECODE!$A$3:$C$8,3,FALSE),"?"))</f>
        <v/>
      </c>
      <c r="BP289">
        <f>IF($BN289="","",IFERROR(VLOOKUP($BM289&amp;"-"&amp;$BN289,DECODE!$E$3:$F$21,2,FALSE),"?"))</f>
        <v/>
      </c>
      <c r="BQ289">
        <f>IF($BL289="","",IFERROR(VALUE(RIGHT($BL289,3)),""))</f>
        <v/>
      </c>
      <c r="BR289">
        <f>IF($W289="","",IFERROR(IF(ISNUMBER($W289),$W289,DATEVALUE(TRIM($W289))),""))</f>
        <v/>
      </c>
      <c r="BS289">
        <f>IF($BR289="","",IF(MONTH($BR289)&gt;=12,"Cold Winter",IF(MONTH($BR289)&gt;=10,"Post-Monsoon",IF(MONTH($BR289)&gt;=6,"Hot Humid",IF(MONTH($BR289)&gt;=3,"Hot Dry","Cold Winter")))))</f>
        <v/>
      </c>
      <c r="BT289">
        <f>IF($BM289="","",IFERROR(VLOOKUP($BM289,DECODE!$A$3:$C$8,2,FALSE),"?"))</f>
        <v/>
      </c>
      <c r="BU289">
        <f>IF($R289="","",UPPER(TRIM(LEFT($R289&amp;",",FIND(",",$R289&amp;",")-1))))</f>
        <v/>
      </c>
      <c r="BV289">
        <f>IF($BU289="","",MID($BU289,4,FIND("~",SUBSTITUTE($BU289,"-","~",2))-4))</f>
        <v/>
      </c>
      <c r="BW289">
        <f>IF($BU289="","",MID($BU289,FIND("~",SUBSTITUTE($BU289,"-","~",2))+1,FIND("~",SUBSTITUTE($BU289,"-","~",3))-FIND("~",SUBSTITUTE($BU289,"-","~",2))-1))</f>
        <v/>
      </c>
      <c r="BX289">
        <f>IF($BV289="","",IFERROR(VLOOKUP($BV289,DECODE!$A$3:$C$8,3,FALSE),"?"))</f>
        <v/>
      </c>
      <c r="BY289">
        <f>IF($BW289="","",IFERROR(VLOOKUP($BV289&amp;"-"&amp;$BW289,DECODE!$E$3:$F$21,2,FALSE),"?"))</f>
        <v/>
      </c>
      <c r="BZ289">
        <f>IF($BU289="","",IFERROR(VALUE(RIGHT($BU289,3)),""))</f>
        <v/>
      </c>
      <c r="CA289">
        <f>IF($X289="","",IFERROR(IF(ISNUMBER($X289),$X289,DATEVALUE(TRIM($X289))),""))</f>
        <v/>
      </c>
      <c r="CB289">
        <f>IF($CA289="","",IF(MONTH($CA289)&gt;=12,"Cold Winter",IF(MONTH($CA289)&gt;=10,"Post-Monsoon",IF(MONTH($CA289)&gt;=6,"Hot Humid",IF(MONTH($CA289)&gt;=3,"Hot Dry","Cold Winter")))))</f>
        <v/>
      </c>
      <c r="CC289">
        <f>IF($BV289="","",IFERROR(VLOOKUP($BV289,DECODE!$A$3:$C$8,2,FALSE),"?"))</f>
        <v/>
      </c>
      <c r="CD289">
        <f>IF($S289="","",UPPER(TRIM(LEFT($S289&amp;",",FIND(",",$S289&amp;",")-1))))</f>
        <v/>
      </c>
      <c r="CE289">
        <f>IF($CD289="","",MID($CD289,4,FIND("~",SUBSTITUTE($CD289,"-","~",2))-4))</f>
        <v/>
      </c>
      <c r="CF289">
        <f>IF($CD289="","",MID($CD289,FIND("~",SUBSTITUTE($CD289,"-","~",2))+1,FIND("~",SUBSTITUTE($CD289,"-","~",3))-FIND("~",SUBSTITUTE($CD289,"-","~",2))-1))</f>
        <v/>
      </c>
      <c r="CG289">
        <f>IF($CE289="","",IFERROR(VLOOKUP($CE289,DECODE!$A$3:$C$8,3,FALSE),"?"))</f>
        <v/>
      </c>
      <c r="CH289">
        <f>IF($CF289="","",IFERROR(VLOOKUP($CE289&amp;"-"&amp;$CF289,DECODE!$E$3:$F$21,2,FALSE),"?"))</f>
        <v/>
      </c>
      <c r="CI289">
        <f>IF($CD289="","",IFERROR(VALUE(RIGHT($CD289,3)),""))</f>
        <v/>
      </c>
      <c r="CJ289">
        <f>IF($Y289="","",IFERROR(IF(ISNUMBER($Y289),$Y289,DATEVALUE(TRIM($Y289))),""))</f>
        <v/>
      </c>
      <c r="CK289">
        <f>IF($CJ289="","",IF(MONTH($CJ289)&gt;=12,"Cold Winter",IF(MONTH($CJ289)&gt;=10,"Post-Monsoon",IF(MONTH($CJ289)&gt;=6,"Hot Humid",IF(MONTH($CJ289)&gt;=3,"Hot Dry","Cold Winter")))))</f>
        <v/>
      </c>
      <c r="CL289">
        <f>IF($CE289="","",IFERROR(VLOOKUP($CE289,DECODE!$A$3:$C$8,2,FALSE),"?"))</f>
        <v/>
      </c>
      <c r="CM289">
        <f>IF($AN289="","",AN289)</f>
        <v/>
      </c>
      <c r="CN289">
        <f>IF($AO289="","",AO289)</f>
        <v/>
      </c>
      <c r="CO289">
        <f>IF($AP289="","",AP289)</f>
        <v/>
      </c>
      <c r="CP289">
        <f>IF($CM289="","",IF($CM289="Aloe Vera Gel","Aloe Vera Gel "&amp;$CO289&amp;"g",CN289&amp;" "&amp;$CO289&amp;"g"))</f>
        <v/>
      </c>
      <c r="CQ289">
        <f>IF($AT289="",0,1)</f>
        <v/>
      </c>
      <c r="CR289">
        <f>IF($CQ289=0,"",AW289)</f>
        <v/>
      </c>
      <c r="CS289">
        <f>IF($CQ289=0,"",AX289)</f>
        <v/>
      </c>
      <c r="CT289">
        <f>IF($CQ289=0,"",AY289)</f>
        <v/>
      </c>
      <c r="CU289">
        <f>IF($CR289="","",IF($CR289="Aloe Vera Gel","Aloe Vera Gel "&amp;$CT289&amp;"g",CS289&amp;" "&amp;$CT289&amp;"g"))</f>
        <v/>
      </c>
      <c r="CV289">
        <f>IF($CQ289=0,"",IF($CP289=$CU289,"Repeat Exact",IF($CT289&gt;$CO289,"Upsized",IF($CT289&lt;$CO289,"Downsized",IF($CM289&lt;&gt;$CR289,"Lateral","Same Size Diff Variant")))))</f>
        <v/>
      </c>
      <c r="CW289">
        <f>IF($CQ289=0,"",AZ289-AQ289)</f>
        <v/>
      </c>
      <c r="CX289">
        <f>IF($CQ289=0,0,IF(CS289=CN289,1,0))</f>
        <v/>
      </c>
      <c r="CY289">
        <f>IF($CQ289=0,0,IF(CR289=CM289,1,0))</f>
        <v/>
      </c>
      <c r="CZ289">
        <f>IF($A289="","",IF(AND(IF(DASHBOARD!$C$4="All",TRUE,$CM289=DASHBOARD!$C$4),IF(DASHBOARD!$C$6="All",TRUE,$CP289=DASHBOARD!$C$6),IF(DASHBOARD!$C$8="All",TRUE,$AF289&gt;=DASHBOARD!$C$8),IF(DASHBOARD!$C$10="All",TRUE,$AF289&lt;=DASHBOARD!$C$10),IF(DASHBOARD!$C$12="All",TRUE,$AH289=VALUE(DASHBOARD!$C$12)),IF(DASHBOARD!$C$14="All",TRUE,$AJ289=DASHBOARD!$C$14)),1,0))</f>
        <v/>
      </c>
    </row>
    <row r="290">
      <c r="A290" t="n">
        <v>164982</v>
      </c>
      <c r="B290" t="inlineStr">
        <is>
          <t>Active Gel</t>
        </is>
      </c>
      <c r="H290" t="inlineStr">
        <is>
          <t>Active Orange Kiwi Vit-C Gel</t>
        </is>
      </c>
      <c r="N290" t="inlineStr">
        <is>
          <t>FC-AC-OK-050</t>
        </is>
      </c>
      <c r="T290" t="inlineStr">
        <is>
          <t>Dec 19, 2024</t>
        </is>
      </c>
      <c r="AE290" t="inlineStr">
        <is>
          <t>Ghaziabad</t>
        </is>
      </c>
      <c r="AF290" t="inlineStr">
        <is>
          <t>2024-12</t>
        </is>
      </c>
      <c r="AG290" t="n">
        <v>12</v>
      </c>
      <c r="AH290" t="n">
        <v>1</v>
      </c>
      <c r="AI290" t="n">
        <v>0</v>
      </c>
      <c r="AJ290">
        <f>IF($AE290="","",IFERROR(VLOOKUP(TRIM($AE290),DECODE!$H$3:$I$60,2,FALSE),"Rest of India"))</f>
        <v/>
      </c>
      <c r="AK290">
        <f>IF($N290="","",UPPER(TRIM(LEFT($N290&amp;",",FIND(",",$N290&amp;",")-1))))</f>
        <v/>
      </c>
      <c r="AL290">
        <f>IF($AK290="","",MID($AK290,4,FIND("~",SUBSTITUTE($AK290,"-","~",2))-4))</f>
        <v/>
      </c>
      <c r="AM290">
        <f>IF($AK290="","",MID($AK290,FIND("~",SUBSTITUTE($AK290,"-","~",2))+1,FIND("~",SUBSTITUTE($AK290,"-","~",3))-FIND("~",SUBSTITUTE($AK290,"-","~",2))-1))</f>
        <v/>
      </c>
      <c r="AN290">
        <f>IF($AL290="","",IFERROR(VLOOKUP($AL290,DECODE!$A$3:$C$8,3,FALSE),"?"))</f>
        <v/>
      </c>
      <c r="AO290">
        <f>IF($AM290="","",IFERROR(VLOOKUP($AL290&amp;"-"&amp;$AM290,DECODE!$E$3:$F$21,2,FALSE),"?"))</f>
        <v/>
      </c>
      <c r="AP290">
        <f>IF($AK290="","",IFERROR(VALUE(RIGHT($AK290,3)),""))</f>
        <v/>
      </c>
      <c r="AQ290">
        <f>IF($T290="","",IFERROR(IF(ISNUMBER($T290),$T290,DATEVALUE(TRIM($T290))),""))</f>
        <v/>
      </c>
      <c r="AR290">
        <f>IF($AQ290="","",IF(MONTH($AQ290)&gt;=12,"Cold Winter",IF(MONTH($AQ290)&gt;=10,"Post-Monsoon",IF(MONTH($AQ290)&gt;=6,"Hot Humid",IF(MONTH($AQ290)&gt;=3,"Hot Dry","Cold Winter")))))</f>
        <v/>
      </c>
      <c r="AS290">
        <f>IF($AL290="","",IFERROR(VLOOKUP($AL290,DECODE!$A$3:$C$8,2,FALSE),"?"))</f>
        <v/>
      </c>
      <c r="AT290">
        <f>IF($O290="","",UPPER(TRIM(LEFT($O290&amp;",",FIND(",",$O290&amp;",")-1))))</f>
        <v/>
      </c>
      <c r="AU290">
        <f>IF($AT290="","",MID($AT290,4,FIND("~",SUBSTITUTE($AT290,"-","~",2))-4))</f>
        <v/>
      </c>
      <c r="AV290">
        <f>IF($AT290="","",MID($AT290,FIND("~",SUBSTITUTE($AT290,"-","~",2))+1,FIND("~",SUBSTITUTE($AT290,"-","~",3))-FIND("~",SUBSTITUTE($AT290,"-","~",2))-1))</f>
        <v/>
      </c>
      <c r="AW290">
        <f>IF($AU290="","",IFERROR(VLOOKUP($AU290,DECODE!$A$3:$C$8,3,FALSE),"?"))</f>
        <v/>
      </c>
      <c r="AX290">
        <f>IF($AV290="","",IFERROR(VLOOKUP($AU290&amp;"-"&amp;$AV290,DECODE!$E$3:$F$21,2,FALSE),"?"))</f>
        <v/>
      </c>
      <c r="AY290">
        <f>IF($AT290="","",IFERROR(VALUE(RIGHT($AT290,3)),""))</f>
        <v/>
      </c>
      <c r="AZ290">
        <f>IF($U290="","",IFERROR(IF(ISNUMBER($U290),$U290,DATEVALUE(TRIM($U290))),""))</f>
        <v/>
      </c>
      <c r="BA290">
        <f>IF($AZ290="","",IF(MONTH($AZ290)&gt;=12,"Cold Winter",IF(MONTH($AZ290)&gt;=10,"Post-Monsoon",IF(MONTH($AZ290)&gt;=6,"Hot Humid",IF(MONTH($AZ290)&gt;=3,"Hot Dry","Cold Winter")))))</f>
        <v/>
      </c>
      <c r="BB290">
        <f>IF($AU290="","",IFERROR(VLOOKUP($AU290,DECODE!$A$3:$C$8,2,FALSE),"?"))</f>
        <v/>
      </c>
      <c r="BC290">
        <f>IF($P290="","",UPPER(TRIM(LEFT($P290&amp;",",FIND(",",$P290&amp;",")-1))))</f>
        <v/>
      </c>
      <c r="BD290">
        <f>IF($BC290="","",MID($BC290,4,FIND("~",SUBSTITUTE($BC290,"-","~",2))-4))</f>
        <v/>
      </c>
      <c r="BE290">
        <f>IF($BC290="","",MID($BC290,FIND("~",SUBSTITUTE($BC290,"-","~",2))+1,FIND("~",SUBSTITUTE($BC290,"-","~",3))-FIND("~",SUBSTITUTE($BC290,"-","~",2))-1))</f>
        <v/>
      </c>
      <c r="BF290">
        <f>IF($BD290="","",IFERROR(VLOOKUP($BD290,DECODE!$A$3:$C$8,3,FALSE),"?"))</f>
        <v/>
      </c>
      <c r="BG290">
        <f>IF($BE290="","",IFERROR(VLOOKUP($BD290&amp;"-"&amp;$BE290,DECODE!$E$3:$F$21,2,FALSE),"?"))</f>
        <v/>
      </c>
      <c r="BH290">
        <f>IF($BC290="","",IFERROR(VALUE(RIGHT($BC290,3)),""))</f>
        <v/>
      </c>
      <c r="BI290">
        <f>IF($V290="","",IFERROR(IF(ISNUMBER($V290),$V290,DATEVALUE(TRIM($V290))),""))</f>
        <v/>
      </c>
      <c r="BJ290">
        <f>IF($BI290="","",IF(MONTH($BI290)&gt;=12,"Cold Winter",IF(MONTH($BI290)&gt;=10,"Post-Monsoon",IF(MONTH($BI290)&gt;=6,"Hot Humid",IF(MONTH($BI290)&gt;=3,"Hot Dry","Cold Winter")))))</f>
        <v/>
      </c>
      <c r="BK290">
        <f>IF($BD290="","",IFERROR(VLOOKUP($BD290,DECODE!$A$3:$C$8,2,FALSE),"?"))</f>
        <v/>
      </c>
      <c r="BL290">
        <f>IF($Q290="","",UPPER(TRIM(LEFT($Q290&amp;",",FIND(",",$Q290&amp;",")-1))))</f>
        <v/>
      </c>
      <c r="BM290">
        <f>IF($BL290="","",MID($BL290,4,FIND("~",SUBSTITUTE($BL290,"-","~",2))-4))</f>
        <v/>
      </c>
      <c r="BN290">
        <f>IF($BL290="","",MID($BL290,FIND("~",SUBSTITUTE($BL290,"-","~",2))+1,FIND("~",SUBSTITUTE($BL290,"-","~",3))-FIND("~",SUBSTITUTE($BL290,"-","~",2))-1))</f>
        <v/>
      </c>
      <c r="BO290">
        <f>IF($BM290="","",IFERROR(VLOOKUP($BM290,DECODE!$A$3:$C$8,3,FALSE),"?"))</f>
        <v/>
      </c>
      <c r="BP290">
        <f>IF($BN290="","",IFERROR(VLOOKUP($BM290&amp;"-"&amp;$BN290,DECODE!$E$3:$F$21,2,FALSE),"?"))</f>
        <v/>
      </c>
      <c r="BQ290">
        <f>IF($BL290="","",IFERROR(VALUE(RIGHT($BL290,3)),""))</f>
        <v/>
      </c>
      <c r="BR290">
        <f>IF($W290="","",IFERROR(IF(ISNUMBER($W290),$W290,DATEVALUE(TRIM($W290))),""))</f>
        <v/>
      </c>
      <c r="BS290">
        <f>IF($BR290="","",IF(MONTH($BR290)&gt;=12,"Cold Winter",IF(MONTH($BR290)&gt;=10,"Post-Monsoon",IF(MONTH($BR290)&gt;=6,"Hot Humid",IF(MONTH($BR290)&gt;=3,"Hot Dry","Cold Winter")))))</f>
        <v/>
      </c>
      <c r="BT290">
        <f>IF($BM290="","",IFERROR(VLOOKUP($BM290,DECODE!$A$3:$C$8,2,FALSE),"?"))</f>
        <v/>
      </c>
      <c r="BU290">
        <f>IF($R290="","",UPPER(TRIM(LEFT($R290&amp;",",FIND(",",$R290&amp;",")-1))))</f>
        <v/>
      </c>
      <c r="BV290">
        <f>IF($BU290="","",MID($BU290,4,FIND("~",SUBSTITUTE($BU290,"-","~",2))-4))</f>
        <v/>
      </c>
      <c r="BW290">
        <f>IF($BU290="","",MID($BU290,FIND("~",SUBSTITUTE($BU290,"-","~",2))+1,FIND("~",SUBSTITUTE($BU290,"-","~",3))-FIND("~",SUBSTITUTE($BU290,"-","~",2))-1))</f>
        <v/>
      </c>
      <c r="BX290">
        <f>IF($BV290="","",IFERROR(VLOOKUP($BV290,DECODE!$A$3:$C$8,3,FALSE),"?"))</f>
        <v/>
      </c>
      <c r="BY290">
        <f>IF($BW290="","",IFERROR(VLOOKUP($BV290&amp;"-"&amp;$BW290,DECODE!$E$3:$F$21,2,FALSE),"?"))</f>
        <v/>
      </c>
      <c r="BZ290">
        <f>IF($BU290="","",IFERROR(VALUE(RIGHT($BU290,3)),""))</f>
        <v/>
      </c>
      <c r="CA290">
        <f>IF($X290="","",IFERROR(IF(ISNUMBER($X290),$X290,DATEVALUE(TRIM($X290))),""))</f>
        <v/>
      </c>
      <c r="CB290">
        <f>IF($CA290="","",IF(MONTH($CA290)&gt;=12,"Cold Winter",IF(MONTH($CA290)&gt;=10,"Post-Monsoon",IF(MONTH($CA290)&gt;=6,"Hot Humid",IF(MONTH($CA290)&gt;=3,"Hot Dry","Cold Winter")))))</f>
        <v/>
      </c>
      <c r="CC290">
        <f>IF($BV290="","",IFERROR(VLOOKUP($BV290,DECODE!$A$3:$C$8,2,FALSE),"?"))</f>
        <v/>
      </c>
      <c r="CD290">
        <f>IF($S290="","",UPPER(TRIM(LEFT($S290&amp;",",FIND(",",$S290&amp;",")-1))))</f>
        <v/>
      </c>
      <c r="CE290">
        <f>IF($CD290="","",MID($CD290,4,FIND("~",SUBSTITUTE($CD290,"-","~",2))-4))</f>
        <v/>
      </c>
      <c r="CF290">
        <f>IF($CD290="","",MID($CD290,FIND("~",SUBSTITUTE($CD290,"-","~",2))+1,FIND("~",SUBSTITUTE($CD290,"-","~",3))-FIND("~",SUBSTITUTE($CD290,"-","~",2))-1))</f>
        <v/>
      </c>
      <c r="CG290">
        <f>IF($CE290="","",IFERROR(VLOOKUP($CE290,DECODE!$A$3:$C$8,3,FALSE),"?"))</f>
        <v/>
      </c>
      <c r="CH290">
        <f>IF($CF290="","",IFERROR(VLOOKUP($CE290&amp;"-"&amp;$CF290,DECODE!$E$3:$F$21,2,FALSE),"?"))</f>
        <v/>
      </c>
      <c r="CI290">
        <f>IF($CD290="","",IFERROR(VALUE(RIGHT($CD290,3)),""))</f>
        <v/>
      </c>
      <c r="CJ290">
        <f>IF($Y290="","",IFERROR(IF(ISNUMBER($Y290),$Y290,DATEVALUE(TRIM($Y290))),""))</f>
        <v/>
      </c>
      <c r="CK290">
        <f>IF($CJ290="","",IF(MONTH($CJ290)&gt;=12,"Cold Winter",IF(MONTH($CJ290)&gt;=10,"Post-Monsoon",IF(MONTH($CJ290)&gt;=6,"Hot Humid",IF(MONTH($CJ290)&gt;=3,"Hot Dry","Cold Winter")))))</f>
        <v/>
      </c>
      <c r="CL290">
        <f>IF($CE290="","",IFERROR(VLOOKUP($CE290,DECODE!$A$3:$C$8,2,FALSE),"?"))</f>
        <v/>
      </c>
      <c r="CM290">
        <f>IF($AN290="","",AN290)</f>
        <v/>
      </c>
      <c r="CN290">
        <f>IF($AO290="","",AO290)</f>
        <v/>
      </c>
      <c r="CO290">
        <f>IF($AP290="","",AP290)</f>
        <v/>
      </c>
      <c r="CP290">
        <f>IF($CM290="","",IF($CM290="Aloe Vera Gel","Aloe Vera Gel "&amp;$CO290&amp;"g",CN290&amp;" "&amp;$CO290&amp;"g"))</f>
        <v/>
      </c>
      <c r="CQ290">
        <f>IF($AT290="",0,1)</f>
        <v/>
      </c>
      <c r="CR290">
        <f>IF($CQ290=0,"",AW290)</f>
        <v/>
      </c>
      <c r="CS290">
        <f>IF($CQ290=0,"",AX290)</f>
        <v/>
      </c>
      <c r="CT290">
        <f>IF($CQ290=0,"",AY290)</f>
        <v/>
      </c>
      <c r="CU290">
        <f>IF($CR290="","",IF($CR290="Aloe Vera Gel","Aloe Vera Gel "&amp;$CT290&amp;"g",CS290&amp;" "&amp;$CT290&amp;"g"))</f>
        <v/>
      </c>
      <c r="CV290">
        <f>IF($CQ290=0,"",IF($CP290=$CU290,"Repeat Exact",IF($CT290&gt;$CO290,"Upsized",IF($CT290&lt;$CO290,"Downsized",IF($CM290&lt;&gt;$CR290,"Lateral","Same Size Diff Variant")))))</f>
        <v/>
      </c>
      <c r="CW290">
        <f>IF($CQ290=0,"",AZ290-AQ290)</f>
        <v/>
      </c>
      <c r="CX290">
        <f>IF($CQ290=0,0,IF(CS290=CN290,1,0))</f>
        <v/>
      </c>
      <c r="CY290">
        <f>IF($CQ290=0,0,IF(CR290=CM290,1,0))</f>
        <v/>
      </c>
      <c r="CZ290">
        <f>IF($A290="","",IF(AND(IF(DASHBOARD!$C$4="All",TRUE,$CM290=DASHBOARD!$C$4),IF(DASHBOARD!$C$6="All",TRUE,$CP290=DASHBOARD!$C$6),IF(DASHBOARD!$C$8="All",TRUE,$AF290&gt;=DASHBOARD!$C$8),IF(DASHBOARD!$C$10="All",TRUE,$AF290&lt;=DASHBOARD!$C$10),IF(DASHBOARD!$C$12="All",TRUE,$AH290=VALUE(DASHBOARD!$C$12)),IF(DASHBOARD!$C$14="All",TRUE,$AJ290=DASHBOARD!$C$14)),1,0))</f>
        <v/>
      </c>
    </row>
    <row r="291">
      <c r="A291" t="n">
        <v>165060</v>
      </c>
      <c r="B291" t="inlineStr">
        <is>
          <t>Active Gel, Face Malai</t>
        </is>
      </c>
      <c r="H291" t="inlineStr">
        <is>
          <t>Clove Tea-Tree (Anti-Acne) Face Malai, Active Neem TeaTree Gel</t>
        </is>
      </c>
      <c r="N291" t="inlineStr">
        <is>
          <t>FC-DM-AA-030, FC-AC-NT-050</t>
        </is>
      </c>
      <c r="T291" t="inlineStr">
        <is>
          <t>May 21, 2024</t>
        </is>
      </c>
      <c r="AE291" t="inlineStr">
        <is>
          <t>Hyderabad</t>
        </is>
      </c>
      <c r="AF291" t="inlineStr">
        <is>
          <t>2024-05</t>
        </is>
      </c>
      <c r="AG291" t="n">
        <v>5</v>
      </c>
      <c r="AH291" t="n">
        <v>1</v>
      </c>
      <c r="AI291" t="n">
        <v>0</v>
      </c>
      <c r="AJ291">
        <f>IF($AE291="","",IFERROR(VLOOKUP(TRIM($AE291),DECODE!$H$3:$I$60,2,FALSE),"Rest of India"))</f>
        <v/>
      </c>
      <c r="AK291">
        <f>IF($N291="","",UPPER(TRIM(LEFT($N291&amp;",",FIND(",",$N291&amp;",")-1))))</f>
        <v/>
      </c>
      <c r="AL291">
        <f>IF($AK291="","",MID($AK291,4,FIND("~",SUBSTITUTE($AK291,"-","~",2))-4))</f>
        <v/>
      </c>
      <c r="AM291">
        <f>IF($AK291="","",MID($AK291,FIND("~",SUBSTITUTE($AK291,"-","~",2))+1,FIND("~",SUBSTITUTE($AK291,"-","~",3))-FIND("~",SUBSTITUTE($AK291,"-","~",2))-1))</f>
        <v/>
      </c>
      <c r="AN291">
        <f>IF($AL291="","",IFERROR(VLOOKUP($AL291,DECODE!$A$3:$C$8,3,FALSE),"?"))</f>
        <v/>
      </c>
      <c r="AO291">
        <f>IF($AM291="","",IFERROR(VLOOKUP($AL291&amp;"-"&amp;$AM291,DECODE!$E$3:$F$21,2,FALSE),"?"))</f>
        <v/>
      </c>
      <c r="AP291">
        <f>IF($AK291="","",IFERROR(VALUE(RIGHT($AK291,3)),""))</f>
        <v/>
      </c>
      <c r="AQ291">
        <f>IF($T291="","",IFERROR(IF(ISNUMBER($T291),$T291,DATEVALUE(TRIM($T291))),""))</f>
        <v/>
      </c>
      <c r="AR291">
        <f>IF($AQ291="","",IF(MONTH($AQ291)&gt;=12,"Cold Winter",IF(MONTH($AQ291)&gt;=10,"Post-Monsoon",IF(MONTH($AQ291)&gt;=6,"Hot Humid",IF(MONTH($AQ291)&gt;=3,"Hot Dry","Cold Winter")))))</f>
        <v/>
      </c>
      <c r="AS291">
        <f>IF($AL291="","",IFERROR(VLOOKUP($AL291,DECODE!$A$3:$C$8,2,FALSE),"?"))</f>
        <v/>
      </c>
      <c r="AT291">
        <f>IF($O291="","",UPPER(TRIM(LEFT($O291&amp;",",FIND(",",$O291&amp;",")-1))))</f>
        <v/>
      </c>
      <c r="AU291">
        <f>IF($AT291="","",MID($AT291,4,FIND("~",SUBSTITUTE($AT291,"-","~",2))-4))</f>
        <v/>
      </c>
      <c r="AV291">
        <f>IF($AT291="","",MID($AT291,FIND("~",SUBSTITUTE($AT291,"-","~",2))+1,FIND("~",SUBSTITUTE($AT291,"-","~",3))-FIND("~",SUBSTITUTE($AT291,"-","~",2))-1))</f>
        <v/>
      </c>
      <c r="AW291">
        <f>IF($AU291="","",IFERROR(VLOOKUP($AU291,DECODE!$A$3:$C$8,3,FALSE),"?"))</f>
        <v/>
      </c>
      <c r="AX291">
        <f>IF($AV291="","",IFERROR(VLOOKUP($AU291&amp;"-"&amp;$AV291,DECODE!$E$3:$F$21,2,FALSE),"?"))</f>
        <v/>
      </c>
      <c r="AY291">
        <f>IF($AT291="","",IFERROR(VALUE(RIGHT($AT291,3)),""))</f>
        <v/>
      </c>
      <c r="AZ291">
        <f>IF($U291="","",IFERROR(IF(ISNUMBER($U291),$U291,DATEVALUE(TRIM($U291))),""))</f>
        <v/>
      </c>
      <c r="BA291">
        <f>IF($AZ291="","",IF(MONTH($AZ291)&gt;=12,"Cold Winter",IF(MONTH($AZ291)&gt;=10,"Post-Monsoon",IF(MONTH($AZ291)&gt;=6,"Hot Humid",IF(MONTH($AZ291)&gt;=3,"Hot Dry","Cold Winter")))))</f>
        <v/>
      </c>
      <c r="BB291">
        <f>IF($AU291="","",IFERROR(VLOOKUP($AU291,DECODE!$A$3:$C$8,2,FALSE),"?"))</f>
        <v/>
      </c>
      <c r="BC291">
        <f>IF($P291="","",UPPER(TRIM(LEFT($P291&amp;",",FIND(",",$P291&amp;",")-1))))</f>
        <v/>
      </c>
      <c r="BD291">
        <f>IF($BC291="","",MID($BC291,4,FIND("~",SUBSTITUTE($BC291,"-","~",2))-4))</f>
        <v/>
      </c>
      <c r="BE291">
        <f>IF($BC291="","",MID($BC291,FIND("~",SUBSTITUTE($BC291,"-","~",2))+1,FIND("~",SUBSTITUTE($BC291,"-","~",3))-FIND("~",SUBSTITUTE($BC291,"-","~",2))-1))</f>
        <v/>
      </c>
      <c r="BF291">
        <f>IF($BD291="","",IFERROR(VLOOKUP($BD291,DECODE!$A$3:$C$8,3,FALSE),"?"))</f>
        <v/>
      </c>
      <c r="BG291">
        <f>IF($BE291="","",IFERROR(VLOOKUP($BD291&amp;"-"&amp;$BE291,DECODE!$E$3:$F$21,2,FALSE),"?"))</f>
        <v/>
      </c>
      <c r="BH291">
        <f>IF($BC291="","",IFERROR(VALUE(RIGHT($BC291,3)),""))</f>
        <v/>
      </c>
      <c r="BI291">
        <f>IF($V291="","",IFERROR(IF(ISNUMBER($V291),$V291,DATEVALUE(TRIM($V291))),""))</f>
        <v/>
      </c>
      <c r="BJ291">
        <f>IF($BI291="","",IF(MONTH($BI291)&gt;=12,"Cold Winter",IF(MONTH($BI291)&gt;=10,"Post-Monsoon",IF(MONTH($BI291)&gt;=6,"Hot Humid",IF(MONTH($BI291)&gt;=3,"Hot Dry","Cold Winter")))))</f>
        <v/>
      </c>
      <c r="BK291">
        <f>IF($BD291="","",IFERROR(VLOOKUP($BD291,DECODE!$A$3:$C$8,2,FALSE),"?"))</f>
        <v/>
      </c>
      <c r="BL291">
        <f>IF($Q291="","",UPPER(TRIM(LEFT($Q291&amp;",",FIND(",",$Q291&amp;",")-1))))</f>
        <v/>
      </c>
      <c r="BM291">
        <f>IF($BL291="","",MID($BL291,4,FIND("~",SUBSTITUTE($BL291,"-","~",2))-4))</f>
        <v/>
      </c>
      <c r="BN291">
        <f>IF($BL291="","",MID($BL291,FIND("~",SUBSTITUTE($BL291,"-","~",2))+1,FIND("~",SUBSTITUTE($BL291,"-","~",3))-FIND("~",SUBSTITUTE($BL291,"-","~",2))-1))</f>
        <v/>
      </c>
      <c r="BO291">
        <f>IF($BM291="","",IFERROR(VLOOKUP($BM291,DECODE!$A$3:$C$8,3,FALSE),"?"))</f>
        <v/>
      </c>
      <c r="BP291">
        <f>IF($BN291="","",IFERROR(VLOOKUP($BM291&amp;"-"&amp;$BN291,DECODE!$E$3:$F$21,2,FALSE),"?"))</f>
        <v/>
      </c>
      <c r="BQ291">
        <f>IF($BL291="","",IFERROR(VALUE(RIGHT($BL291,3)),""))</f>
        <v/>
      </c>
      <c r="BR291">
        <f>IF($W291="","",IFERROR(IF(ISNUMBER($W291),$W291,DATEVALUE(TRIM($W291))),""))</f>
        <v/>
      </c>
      <c r="BS291">
        <f>IF($BR291="","",IF(MONTH($BR291)&gt;=12,"Cold Winter",IF(MONTH($BR291)&gt;=10,"Post-Monsoon",IF(MONTH($BR291)&gt;=6,"Hot Humid",IF(MONTH($BR291)&gt;=3,"Hot Dry","Cold Winter")))))</f>
        <v/>
      </c>
      <c r="BT291">
        <f>IF($BM291="","",IFERROR(VLOOKUP($BM291,DECODE!$A$3:$C$8,2,FALSE),"?"))</f>
        <v/>
      </c>
      <c r="BU291">
        <f>IF($R291="","",UPPER(TRIM(LEFT($R291&amp;",",FIND(",",$R291&amp;",")-1))))</f>
        <v/>
      </c>
      <c r="BV291">
        <f>IF($BU291="","",MID($BU291,4,FIND("~",SUBSTITUTE($BU291,"-","~",2))-4))</f>
        <v/>
      </c>
      <c r="BW291">
        <f>IF($BU291="","",MID($BU291,FIND("~",SUBSTITUTE($BU291,"-","~",2))+1,FIND("~",SUBSTITUTE($BU291,"-","~",3))-FIND("~",SUBSTITUTE($BU291,"-","~",2))-1))</f>
        <v/>
      </c>
      <c r="BX291">
        <f>IF($BV291="","",IFERROR(VLOOKUP($BV291,DECODE!$A$3:$C$8,3,FALSE),"?"))</f>
        <v/>
      </c>
      <c r="BY291">
        <f>IF($BW291="","",IFERROR(VLOOKUP($BV291&amp;"-"&amp;$BW291,DECODE!$E$3:$F$21,2,FALSE),"?"))</f>
        <v/>
      </c>
      <c r="BZ291">
        <f>IF($BU291="","",IFERROR(VALUE(RIGHT($BU291,3)),""))</f>
        <v/>
      </c>
      <c r="CA291">
        <f>IF($X291="","",IFERROR(IF(ISNUMBER($X291),$X291,DATEVALUE(TRIM($X291))),""))</f>
        <v/>
      </c>
      <c r="CB291">
        <f>IF($CA291="","",IF(MONTH($CA291)&gt;=12,"Cold Winter",IF(MONTH($CA291)&gt;=10,"Post-Monsoon",IF(MONTH($CA291)&gt;=6,"Hot Humid",IF(MONTH($CA291)&gt;=3,"Hot Dry","Cold Winter")))))</f>
        <v/>
      </c>
      <c r="CC291">
        <f>IF($BV291="","",IFERROR(VLOOKUP($BV291,DECODE!$A$3:$C$8,2,FALSE),"?"))</f>
        <v/>
      </c>
      <c r="CD291">
        <f>IF($S291="","",UPPER(TRIM(LEFT($S291&amp;",",FIND(",",$S291&amp;",")-1))))</f>
        <v/>
      </c>
      <c r="CE291">
        <f>IF($CD291="","",MID($CD291,4,FIND("~",SUBSTITUTE($CD291,"-","~",2))-4))</f>
        <v/>
      </c>
      <c r="CF291">
        <f>IF($CD291="","",MID($CD291,FIND("~",SUBSTITUTE($CD291,"-","~",2))+1,FIND("~",SUBSTITUTE($CD291,"-","~",3))-FIND("~",SUBSTITUTE($CD291,"-","~",2))-1))</f>
        <v/>
      </c>
      <c r="CG291">
        <f>IF($CE291="","",IFERROR(VLOOKUP($CE291,DECODE!$A$3:$C$8,3,FALSE),"?"))</f>
        <v/>
      </c>
      <c r="CH291">
        <f>IF($CF291="","",IFERROR(VLOOKUP($CE291&amp;"-"&amp;$CF291,DECODE!$E$3:$F$21,2,FALSE),"?"))</f>
        <v/>
      </c>
      <c r="CI291">
        <f>IF($CD291="","",IFERROR(VALUE(RIGHT($CD291,3)),""))</f>
        <v/>
      </c>
      <c r="CJ291">
        <f>IF($Y291="","",IFERROR(IF(ISNUMBER($Y291),$Y291,DATEVALUE(TRIM($Y291))),""))</f>
        <v/>
      </c>
      <c r="CK291">
        <f>IF($CJ291="","",IF(MONTH($CJ291)&gt;=12,"Cold Winter",IF(MONTH($CJ291)&gt;=10,"Post-Monsoon",IF(MONTH($CJ291)&gt;=6,"Hot Humid",IF(MONTH($CJ291)&gt;=3,"Hot Dry","Cold Winter")))))</f>
        <v/>
      </c>
      <c r="CL291">
        <f>IF($CE291="","",IFERROR(VLOOKUP($CE291,DECODE!$A$3:$C$8,2,FALSE),"?"))</f>
        <v/>
      </c>
      <c r="CM291">
        <f>IF($AN291="","",AN291)</f>
        <v/>
      </c>
      <c r="CN291">
        <f>IF($AO291="","",AO291)</f>
        <v/>
      </c>
      <c r="CO291">
        <f>IF($AP291="","",AP291)</f>
        <v/>
      </c>
      <c r="CP291">
        <f>IF($CM291="","",IF($CM291="Aloe Vera Gel","Aloe Vera Gel "&amp;$CO291&amp;"g",CN291&amp;" "&amp;$CO291&amp;"g"))</f>
        <v/>
      </c>
      <c r="CQ291">
        <f>IF($AT291="",0,1)</f>
        <v/>
      </c>
      <c r="CR291">
        <f>IF($CQ291=0,"",AW291)</f>
        <v/>
      </c>
      <c r="CS291">
        <f>IF($CQ291=0,"",AX291)</f>
        <v/>
      </c>
      <c r="CT291">
        <f>IF($CQ291=0,"",AY291)</f>
        <v/>
      </c>
      <c r="CU291">
        <f>IF($CR291="","",IF($CR291="Aloe Vera Gel","Aloe Vera Gel "&amp;$CT291&amp;"g",CS291&amp;" "&amp;$CT291&amp;"g"))</f>
        <v/>
      </c>
      <c r="CV291">
        <f>IF($CQ291=0,"",IF($CP291=$CU291,"Repeat Exact",IF($CT291&gt;$CO291,"Upsized",IF($CT291&lt;$CO291,"Downsized",IF($CM291&lt;&gt;$CR291,"Lateral","Same Size Diff Variant")))))</f>
        <v/>
      </c>
      <c r="CW291">
        <f>IF($CQ291=0,"",AZ291-AQ291)</f>
        <v/>
      </c>
      <c r="CX291">
        <f>IF($CQ291=0,0,IF(CS291=CN291,1,0))</f>
        <v/>
      </c>
      <c r="CY291">
        <f>IF($CQ291=0,0,IF(CR291=CM291,1,0))</f>
        <v/>
      </c>
      <c r="CZ291">
        <f>IF($A291="","",IF(AND(IF(DASHBOARD!$C$4="All",TRUE,$CM291=DASHBOARD!$C$4),IF(DASHBOARD!$C$6="All",TRUE,$CP291=DASHBOARD!$C$6),IF(DASHBOARD!$C$8="All",TRUE,$AF291&gt;=DASHBOARD!$C$8),IF(DASHBOARD!$C$10="All",TRUE,$AF291&lt;=DASHBOARD!$C$10),IF(DASHBOARD!$C$12="All",TRUE,$AH291=VALUE(DASHBOARD!$C$12)),IF(DASHBOARD!$C$14="All",TRUE,$AJ291=DASHBOARD!$C$14)),1,0))</f>
        <v/>
      </c>
    </row>
    <row r="292">
      <c r="A292" t="n">
        <v>165192</v>
      </c>
      <c r="B292" t="inlineStr">
        <is>
          <t>Face Malai</t>
        </is>
      </c>
      <c r="H292" t="inlineStr">
        <is>
          <t>Flax Walnut (Cold) 35+ Face Malai</t>
        </is>
      </c>
      <c r="N292" t="inlineStr">
        <is>
          <t>FC-CWDM-FW-030</t>
        </is>
      </c>
      <c r="T292" t="inlineStr">
        <is>
          <t>Oct 10, 2024</t>
        </is>
      </c>
      <c r="AE292" t="inlineStr">
        <is>
          <t>New Delhi</t>
        </is>
      </c>
      <c r="AF292" t="inlineStr">
        <is>
          <t>2024-10</t>
        </is>
      </c>
      <c r="AG292" t="n">
        <v>10</v>
      </c>
      <c r="AH292" t="n">
        <v>1</v>
      </c>
      <c r="AI292" t="n">
        <v>0</v>
      </c>
      <c r="AJ292">
        <f>IF($AE292="","",IFERROR(VLOOKUP(TRIM($AE292),DECODE!$H$3:$I$60,2,FALSE),"Rest of India"))</f>
        <v/>
      </c>
      <c r="AK292">
        <f>IF($N292="","",UPPER(TRIM(LEFT($N292&amp;",",FIND(",",$N292&amp;",")-1))))</f>
        <v/>
      </c>
      <c r="AL292">
        <f>IF($AK292="","",MID($AK292,4,FIND("~",SUBSTITUTE($AK292,"-","~",2))-4))</f>
        <v/>
      </c>
      <c r="AM292">
        <f>IF($AK292="","",MID($AK292,FIND("~",SUBSTITUTE($AK292,"-","~",2))+1,FIND("~",SUBSTITUTE($AK292,"-","~",3))-FIND("~",SUBSTITUTE($AK292,"-","~",2))-1))</f>
        <v/>
      </c>
      <c r="AN292">
        <f>IF($AL292="","",IFERROR(VLOOKUP($AL292,DECODE!$A$3:$C$8,3,FALSE),"?"))</f>
        <v/>
      </c>
      <c r="AO292">
        <f>IF($AM292="","",IFERROR(VLOOKUP($AL292&amp;"-"&amp;$AM292,DECODE!$E$3:$F$21,2,FALSE),"?"))</f>
        <v/>
      </c>
      <c r="AP292">
        <f>IF($AK292="","",IFERROR(VALUE(RIGHT($AK292,3)),""))</f>
        <v/>
      </c>
      <c r="AQ292">
        <f>IF($T292="","",IFERROR(IF(ISNUMBER($T292),$T292,DATEVALUE(TRIM($T292))),""))</f>
        <v/>
      </c>
      <c r="AR292">
        <f>IF($AQ292="","",IF(MONTH($AQ292)&gt;=12,"Cold Winter",IF(MONTH($AQ292)&gt;=10,"Post-Monsoon",IF(MONTH($AQ292)&gt;=6,"Hot Humid",IF(MONTH($AQ292)&gt;=3,"Hot Dry","Cold Winter")))))</f>
        <v/>
      </c>
      <c r="AS292">
        <f>IF($AL292="","",IFERROR(VLOOKUP($AL292,DECODE!$A$3:$C$8,2,FALSE),"?"))</f>
        <v/>
      </c>
      <c r="AT292">
        <f>IF($O292="","",UPPER(TRIM(LEFT($O292&amp;",",FIND(",",$O292&amp;",")-1))))</f>
        <v/>
      </c>
      <c r="AU292">
        <f>IF($AT292="","",MID($AT292,4,FIND("~",SUBSTITUTE($AT292,"-","~",2))-4))</f>
        <v/>
      </c>
      <c r="AV292">
        <f>IF($AT292="","",MID($AT292,FIND("~",SUBSTITUTE($AT292,"-","~",2))+1,FIND("~",SUBSTITUTE($AT292,"-","~",3))-FIND("~",SUBSTITUTE($AT292,"-","~",2))-1))</f>
        <v/>
      </c>
      <c r="AW292">
        <f>IF($AU292="","",IFERROR(VLOOKUP($AU292,DECODE!$A$3:$C$8,3,FALSE),"?"))</f>
        <v/>
      </c>
      <c r="AX292">
        <f>IF($AV292="","",IFERROR(VLOOKUP($AU292&amp;"-"&amp;$AV292,DECODE!$E$3:$F$21,2,FALSE),"?"))</f>
        <v/>
      </c>
      <c r="AY292">
        <f>IF($AT292="","",IFERROR(VALUE(RIGHT($AT292,3)),""))</f>
        <v/>
      </c>
      <c r="AZ292">
        <f>IF($U292="","",IFERROR(IF(ISNUMBER($U292),$U292,DATEVALUE(TRIM($U292))),""))</f>
        <v/>
      </c>
      <c r="BA292">
        <f>IF($AZ292="","",IF(MONTH($AZ292)&gt;=12,"Cold Winter",IF(MONTH($AZ292)&gt;=10,"Post-Monsoon",IF(MONTH($AZ292)&gt;=6,"Hot Humid",IF(MONTH($AZ292)&gt;=3,"Hot Dry","Cold Winter")))))</f>
        <v/>
      </c>
      <c r="BB292">
        <f>IF($AU292="","",IFERROR(VLOOKUP($AU292,DECODE!$A$3:$C$8,2,FALSE),"?"))</f>
        <v/>
      </c>
      <c r="BC292">
        <f>IF($P292="","",UPPER(TRIM(LEFT($P292&amp;",",FIND(",",$P292&amp;",")-1))))</f>
        <v/>
      </c>
      <c r="BD292">
        <f>IF($BC292="","",MID($BC292,4,FIND("~",SUBSTITUTE($BC292,"-","~",2))-4))</f>
        <v/>
      </c>
      <c r="BE292">
        <f>IF($BC292="","",MID($BC292,FIND("~",SUBSTITUTE($BC292,"-","~",2))+1,FIND("~",SUBSTITUTE($BC292,"-","~",3))-FIND("~",SUBSTITUTE($BC292,"-","~",2))-1))</f>
        <v/>
      </c>
      <c r="BF292">
        <f>IF($BD292="","",IFERROR(VLOOKUP($BD292,DECODE!$A$3:$C$8,3,FALSE),"?"))</f>
        <v/>
      </c>
      <c r="BG292">
        <f>IF($BE292="","",IFERROR(VLOOKUP($BD292&amp;"-"&amp;$BE292,DECODE!$E$3:$F$21,2,FALSE),"?"))</f>
        <v/>
      </c>
      <c r="BH292">
        <f>IF($BC292="","",IFERROR(VALUE(RIGHT($BC292,3)),""))</f>
        <v/>
      </c>
      <c r="BI292">
        <f>IF($V292="","",IFERROR(IF(ISNUMBER($V292),$V292,DATEVALUE(TRIM($V292))),""))</f>
        <v/>
      </c>
      <c r="BJ292">
        <f>IF($BI292="","",IF(MONTH($BI292)&gt;=12,"Cold Winter",IF(MONTH($BI292)&gt;=10,"Post-Monsoon",IF(MONTH($BI292)&gt;=6,"Hot Humid",IF(MONTH($BI292)&gt;=3,"Hot Dry","Cold Winter")))))</f>
        <v/>
      </c>
      <c r="BK292">
        <f>IF($BD292="","",IFERROR(VLOOKUP($BD292,DECODE!$A$3:$C$8,2,FALSE),"?"))</f>
        <v/>
      </c>
      <c r="BL292">
        <f>IF($Q292="","",UPPER(TRIM(LEFT($Q292&amp;",",FIND(",",$Q292&amp;",")-1))))</f>
        <v/>
      </c>
      <c r="BM292">
        <f>IF($BL292="","",MID($BL292,4,FIND("~",SUBSTITUTE($BL292,"-","~",2))-4))</f>
        <v/>
      </c>
      <c r="BN292">
        <f>IF($BL292="","",MID($BL292,FIND("~",SUBSTITUTE($BL292,"-","~",2))+1,FIND("~",SUBSTITUTE($BL292,"-","~",3))-FIND("~",SUBSTITUTE($BL292,"-","~",2))-1))</f>
        <v/>
      </c>
      <c r="BO292">
        <f>IF($BM292="","",IFERROR(VLOOKUP($BM292,DECODE!$A$3:$C$8,3,FALSE),"?"))</f>
        <v/>
      </c>
      <c r="BP292">
        <f>IF($BN292="","",IFERROR(VLOOKUP($BM292&amp;"-"&amp;$BN292,DECODE!$E$3:$F$21,2,FALSE),"?"))</f>
        <v/>
      </c>
      <c r="BQ292">
        <f>IF($BL292="","",IFERROR(VALUE(RIGHT($BL292,3)),""))</f>
        <v/>
      </c>
      <c r="BR292">
        <f>IF($W292="","",IFERROR(IF(ISNUMBER($W292),$W292,DATEVALUE(TRIM($W292))),""))</f>
        <v/>
      </c>
      <c r="BS292">
        <f>IF($BR292="","",IF(MONTH($BR292)&gt;=12,"Cold Winter",IF(MONTH($BR292)&gt;=10,"Post-Monsoon",IF(MONTH($BR292)&gt;=6,"Hot Humid",IF(MONTH($BR292)&gt;=3,"Hot Dry","Cold Winter")))))</f>
        <v/>
      </c>
      <c r="BT292">
        <f>IF($BM292="","",IFERROR(VLOOKUP($BM292,DECODE!$A$3:$C$8,2,FALSE),"?"))</f>
        <v/>
      </c>
      <c r="BU292">
        <f>IF($R292="","",UPPER(TRIM(LEFT($R292&amp;",",FIND(",",$R292&amp;",")-1))))</f>
        <v/>
      </c>
      <c r="BV292">
        <f>IF($BU292="","",MID($BU292,4,FIND("~",SUBSTITUTE($BU292,"-","~",2))-4))</f>
        <v/>
      </c>
      <c r="BW292">
        <f>IF($BU292="","",MID($BU292,FIND("~",SUBSTITUTE($BU292,"-","~",2))+1,FIND("~",SUBSTITUTE($BU292,"-","~",3))-FIND("~",SUBSTITUTE($BU292,"-","~",2))-1))</f>
        <v/>
      </c>
      <c r="BX292">
        <f>IF($BV292="","",IFERROR(VLOOKUP($BV292,DECODE!$A$3:$C$8,3,FALSE),"?"))</f>
        <v/>
      </c>
      <c r="BY292">
        <f>IF($BW292="","",IFERROR(VLOOKUP($BV292&amp;"-"&amp;$BW292,DECODE!$E$3:$F$21,2,FALSE),"?"))</f>
        <v/>
      </c>
      <c r="BZ292">
        <f>IF($BU292="","",IFERROR(VALUE(RIGHT($BU292,3)),""))</f>
        <v/>
      </c>
      <c r="CA292">
        <f>IF($X292="","",IFERROR(IF(ISNUMBER($X292),$X292,DATEVALUE(TRIM($X292))),""))</f>
        <v/>
      </c>
      <c r="CB292">
        <f>IF($CA292="","",IF(MONTH($CA292)&gt;=12,"Cold Winter",IF(MONTH($CA292)&gt;=10,"Post-Monsoon",IF(MONTH($CA292)&gt;=6,"Hot Humid",IF(MONTH($CA292)&gt;=3,"Hot Dry","Cold Winter")))))</f>
        <v/>
      </c>
      <c r="CC292">
        <f>IF($BV292="","",IFERROR(VLOOKUP($BV292,DECODE!$A$3:$C$8,2,FALSE),"?"))</f>
        <v/>
      </c>
      <c r="CD292">
        <f>IF($S292="","",UPPER(TRIM(LEFT($S292&amp;",",FIND(",",$S292&amp;",")-1))))</f>
        <v/>
      </c>
      <c r="CE292">
        <f>IF($CD292="","",MID($CD292,4,FIND("~",SUBSTITUTE($CD292,"-","~",2))-4))</f>
        <v/>
      </c>
      <c r="CF292">
        <f>IF($CD292="","",MID($CD292,FIND("~",SUBSTITUTE($CD292,"-","~",2))+1,FIND("~",SUBSTITUTE($CD292,"-","~",3))-FIND("~",SUBSTITUTE($CD292,"-","~",2))-1))</f>
        <v/>
      </c>
      <c r="CG292">
        <f>IF($CE292="","",IFERROR(VLOOKUP($CE292,DECODE!$A$3:$C$8,3,FALSE),"?"))</f>
        <v/>
      </c>
      <c r="CH292">
        <f>IF($CF292="","",IFERROR(VLOOKUP($CE292&amp;"-"&amp;$CF292,DECODE!$E$3:$F$21,2,FALSE),"?"))</f>
        <v/>
      </c>
      <c r="CI292">
        <f>IF($CD292="","",IFERROR(VALUE(RIGHT($CD292,3)),""))</f>
        <v/>
      </c>
      <c r="CJ292">
        <f>IF($Y292="","",IFERROR(IF(ISNUMBER($Y292),$Y292,DATEVALUE(TRIM($Y292))),""))</f>
        <v/>
      </c>
      <c r="CK292">
        <f>IF($CJ292="","",IF(MONTH($CJ292)&gt;=12,"Cold Winter",IF(MONTH($CJ292)&gt;=10,"Post-Monsoon",IF(MONTH($CJ292)&gt;=6,"Hot Humid",IF(MONTH($CJ292)&gt;=3,"Hot Dry","Cold Winter")))))</f>
        <v/>
      </c>
      <c r="CL292">
        <f>IF($CE292="","",IFERROR(VLOOKUP($CE292,DECODE!$A$3:$C$8,2,FALSE),"?"))</f>
        <v/>
      </c>
      <c r="CM292">
        <f>IF($AN292="","",AN292)</f>
        <v/>
      </c>
      <c r="CN292">
        <f>IF($AO292="","",AO292)</f>
        <v/>
      </c>
      <c r="CO292">
        <f>IF($AP292="","",AP292)</f>
        <v/>
      </c>
      <c r="CP292">
        <f>IF($CM292="","",IF($CM292="Aloe Vera Gel","Aloe Vera Gel "&amp;$CO292&amp;"g",CN292&amp;" "&amp;$CO292&amp;"g"))</f>
        <v/>
      </c>
      <c r="CQ292">
        <f>IF($AT292="",0,1)</f>
        <v/>
      </c>
      <c r="CR292">
        <f>IF($CQ292=0,"",AW292)</f>
        <v/>
      </c>
      <c r="CS292">
        <f>IF($CQ292=0,"",AX292)</f>
        <v/>
      </c>
      <c r="CT292">
        <f>IF($CQ292=0,"",AY292)</f>
        <v/>
      </c>
      <c r="CU292">
        <f>IF($CR292="","",IF($CR292="Aloe Vera Gel","Aloe Vera Gel "&amp;$CT292&amp;"g",CS292&amp;" "&amp;$CT292&amp;"g"))</f>
        <v/>
      </c>
      <c r="CV292">
        <f>IF($CQ292=0,"",IF($CP292=$CU292,"Repeat Exact",IF($CT292&gt;$CO292,"Upsized",IF($CT292&lt;$CO292,"Downsized",IF($CM292&lt;&gt;$CR292,"Lateral","Same Size Diff Variant")))))</f>
        <v/>
      </c>
      <c r="CW292">
        <f>IF($CQ292=0,"",AZ292-AQ292)</f>
        <v/>
      </c>
      <c r="CX292">
        <f>IF($CQ292=0,0,IF(CS292=CN292,1,0))</f>
        <v/>
      </c>
      <c r="CY292">
        <f>IF($CQ292=0,0,IF(CR292=CM292,1,0))</f>
        <v/>
      </c>
      <c r="CZ292">
        <f>IF($A292="","",IF(AND(IF(DASHBOARD!$C$4="All",TRUE,$CM292=DASHBOARD!$C$4),IF(DASHBOARD!$C$6="All",TRUE,$CP292=DASHBOARD!$C$6),IF(DASHBOARD!$C$8="All",TRUE,$AF292&gt;=DASHBOARD!$C$8),IF(DASHBOARD!$C$10="All",TRUE,$AF292&lt;=DASHBOARD!$C$10),IF(DASHBOARD!$C$12="All",TRUE,$AH292=VALUE(DASHBOARD!$C$12)),IF(DASHBOARD!$C$14="All",TRUE,$AJ292=DASHBOARD!$C$14)),1,0))</f>
        <v/>
      </c>
    </row>
    <row r="293">
      <c r="A293" t="n">
        <v>165942</v>
      </c>
      <c r="B293" t="inlineStr">
        <is>
          <t>Face Malai</t>
        </is>
      </c>
      <c r="C293" t="inlineStr">
        <is>
          <t>Face Malai</t>
        </is>
      </c>
      <c r="D293" t="inlineStr">
        <is>
          <t>Active Gel</t>
        </is>
      </c>
      <c r="E293" t="inlineStr">
        <is>
          <t>Active Gel</t>
        </is>
      </c>
      <c r="H293" t="inlineStr">
        <is>
          <t>Cocoa Mogra (Overnight) Face Malai - 30g</t>
        </is>
      </c>
      <c r="I293" t="inlineStr">
        <is>
          <t>Cocoa Mogra (Overnight) Face Malai - 30g</t>
        </is>
      </c>
      <c r="J293" t="inlineStr">
        <is>
          <t>Active Orange Kiwi Vit-C Gel</t>
        </is>
      </c>
      <c r="K293" t="inlineStr">
        <is>
          <t>Active Orange Kiwi Vit-C Gel</t>
        </is>
      </c>
      <c r="N293" t="inlineStr">
        <is>
          <t>FC-DM-NR-030</t>
        </is>
      </c>
      <c r="O293" t="inlineStr">
        <is>
          <t>FC-DM-NR-030</t>
        </is>
      </c>
      <c r="P293" t="inlineStr">
        <is>
          <t>FC-AC-OK-050</t>
        </is>
      </c>
      <c r="Q293" t="inlineStr">
        <is>
          <t>FC-AC-OK-050</t>
        </is>
      </c>
      <c r="T293" t="inlineStr">
        <is>
          <t>Jul 14, 2024</t>
        </is>
      </c>
      <c r="U293" t="inlineStr">
        <is>
          <t>Jul 22, 2024</t>
        </is>
      </c>
      <c r="V293" t="inlineStr">
        <is>
          <t>Apr 18, 2025</t>
        </is>
      </c>
      <c r="W293" t="inlineStr">
        <is>
          <t>Jul 3, 2026</t>
        </is>
      </c>
      <c r="Z293" t="n">
        <v>8</v>
      </c>
      <c r="AA293" t="n">
        <v>270</v>
      </c>
      <c r="AB293" t="n">
        <v>441</v>
      </c>
      <c r="AE293" t="inlineStr">
        <is>
          <t>Palghar</t>
        </is>
      </c>
      <c r="AF293" t="inlineStr">
        <is>
          <t>2024-07</t>
        </is>
      </c>
      <c r="AG293" t="n">
        <v>7</v>
      </c>
      <c r="AH293" t="n">
        <v>4</v>
      </c>
      <c r="AI293" t="n">
        <v>1</v>
      </c>
      <c r="AJ293">
        <f>IF($AE293="","",IFERROR(VLOOKUP(TRIM($AE293),DECODE!$H$3:$I$60,2,FALSE),"Rest of India"))</f>
        <v/>
      </c>
      <c r="AK293">
        <f>IF($N293="","",UPPER(TRIM(LEFT($N293&amp;",",FIND(",",$N293&amp;",")-1))))</f>
        <v/>
      </c>
      <c r="AL293">
        <f>IF($AK293="","",MID($AK293,4,FIND("~",SUBSTITUTE($AK293,"-","~",2))-4))</f>
        <v/>
      </c>
      <c r="AM293">
        <f>IF($AK293="","",MID($AK293,FIND("~",SUBSTITUTE($AK293,"-","~",2))+1,FIND("~",SUBSTITUTE($AK293,"-","~",3))-FIND("~",SUBSTITUTE($AK293,"-","~",2))-1))</f>
        <v/>
      </c>
      <c r="AN293">
        <f>IF($AL293="","",IFERROR(VLOOKUP($AL293,DECODE!$A$3:$C$8,3,FALSE),"?"))</f>
        <v/>
      </c>
      <c r="AO293">
        <f>IF($AM293="","",IFERROR(VLOOKUP($AL293&amp;"-"&amp;$AM293,DECODE!$E$3:$F$21,2,FALSE),"?"))</f>
        <v/>
      </c>
      <c r="AP293">
        <f>IF($AK293="","",IFERROR(VALUE(RIGHT($AK293,3)),""))</f>
        <v/>
      </c>
      <c r="AQ293">
        <f>IF($T293="","",IFERROR(IF(ISNUMBER($T293),$T293,DATEVALUE(TRIM($T293))),""))</f>
        <v/>
      </c>
      <c r="AR293">
        <f>IF($AQ293="","",IF(MONTH($AQ293)&gt;=12,"Cold Winter",IF(MONTH($AQ293)&gt;=10,"Post-Monsoon",IF(MONTH($AQ293)&gt;=6,"Hot Humid",IF(MONTH($AQ293)&gt;=3,"Hot Dry","Cold Winter")))))</f>
        <v/>
      </c>
      <c r="AS293">
        <f>IF($AL293="","",IFERROR(VLOOKUP($AL293,DECODE!$A$3:$C$8,2,FALSE),"?"))</f>
        <v/>
      </c>
      <c r="AT293">
        <f>IF($O293="","",UPPER(TRIM(LEFT($O293&amp;",",FIND(",",$O293&amp;",")-1))))</f>
        <v/>
      </c>
      <c r="AU293">
        <f>IF($AT293="","",MID($AT293,4,FIND("~",SUBSTITUTE($AT293,"-","~",2))-4))</f>
        <v/>
      </c>
      <c r="AV293">
        <f>IF($AT293="","",MID($AT293,FIND("~",SUBSTITUTE($AT293,"-","~",2))+1,FIND("~",SUBSTITUTE($AT293,"-","~",3))-FIND("~",SUBSTITUTE($AT293,"-","~",2))-1))</f>
        <v/>
      </c>
      <c r="AW293">
        <f>IF($AU293="","",IFERROR(VLOOKUP($AU293,DECODE!$A$3:$C$8,3,FALSE),"?"))</f>
        <v/>
      </c>
      <c r="AX293">
        <f>IF($AV293="","",IFERROR(VLOOKUP($AU293&amp;"-"&amp;$AV293,DECODE!$E$3:$F$21,2,FALSE),"?"))</f>
        <v/>
      </c>
      <c r="AY293">
        <f>IF($AT293="","",IFERROR(VALUE(RIGHT($AT293,3)),""))</f>
        <v/>
      </c>
      <c r="AZ293">
        <f>IF($U293="","",IFERROR(IF(ISNUMBER($U293),$U293,DATEVALUE(TRIM($U293))),""))</f>
        <v/>
      </c>
      <c r="BA293">
        <f>IF($AZ293="","",IF(MONTH($AZ293)&gt;=12,"Cold Winter",IF(MONTH($AZ293)&gt;=10,"Post-Monsoon",IF(MONTH($AZ293)&gt;=6,"Hot Humid",IF(MONTH($AZ293)&gt;=3,"Hot Dry","Cold Winter")))))</f>
        <v/>
      </c>
      <c r="BB293">
        <f>IF($AU293="","",IFERROR(VLOOKUP($AU293,DECODE!$A$3:$C$8,2,FALSE),"?"))</f>
        <v/>
      </c>
      <c r="BC293">
        <f>IF($P293="","",UPPER(TRIM(LEFT($P293&amp;",",FIND(",",$P293&amp;",")-1))))</f>
        <v/>
      </c>
      <c r="BD293">
        <f>IF($BC293="","",MID($BC293,4,FIND("~",SUBSTITUTE($BC293,"-","~",2))-4))</f>
        <v/>
      </c>
      <c r="BE293">
        <f>IF($BC293="","",MID($BC293,FIND("~",SUBSTITUTE($BC293,"-","~",2))+1,FIND("~",SUBSTITUTE($BC293,"-","~",3))-FIND("~",SUBSTITUTE($BC293,"-","~",2))-1))</f>
        <v/>
      </c>
      <c r="BF293">
        <f>IF($BD293="","",IFERROR(VLOOKUP($BD293,DECODE!$A$3:$C$8,3,FALSE),"?"))</f>
        <v/>
      </c>
      <c r="BG293">
        <f>IF($BE293="","",IFERROR(VLOOKUP($BD293&amp;"-"&amp;$BE293,DECODE!$E$3:$F$21,2,FALSE),"?"))</f>
        <v/>
      </c>
      <c r="BH293">
        <f>IF($BC293="","",IFERROR(VALUE(RIGHT($BC293,3)),""))</f>
        <v/>
      </c>
      <c r="BI293">
        <f>IF($V293="","",IFERROR(IF(ISNUMBER($V293),$V293,DATEVALUE(TRIM($V293))),""))</f>
        <v/>
      </c>
      <c r="BJ293">
        <f>IF($BI293="","",IF(MONTH($BI293)&gt;=12,"Cold Winter",IF(MONTH($BI293)&gt;=10,"Post-Monsoon",IF(MONTH($BI293)&gt;=6,"Hot Humid",IF(MONTH($BI293)&gt;=3,"Hot Dry","Cold Winter")))))</f>
        <v/>
      </c>
      <c r="BK293">
        <f>IF($BD293="","",IFERROR(VLOOKUP($BD293,DECODE!$A$3:$C$8,2,FALSE),"?"))</f>
        <v/>
      </c>
      <c r="BL293">
        <f>IF($Q293="","",UPPER(TRIM(LEFT($Q293&amp;",",FIND(",",$Q293&amp;",")-1))))</f>
        <v/>
      </c>
      <c r="BM293">
        <f>IF($BL293="","",MID($BL293,4,FIND("~",SUBSTITUTE($BL293,"-","~",2))-4))</f>
        <v/>
      </c>
      <c r="BN293">
        <f>IF($BL293="","",MID($BL293,FIND("~",SUBSTITUTE($BL293,"-","~",2))+1,FIND("~",SUBSTITUTE($BL293,"-","~",3))-FIND("~",SUBSTITUTE($BL293,"-","~",2))-1))</f>
        <v/>
      </c>
      <c r="BO293">
        <f>IF($BM293="","",IFERROR(VLOOKUP($BM293,DECODE!$A$3:$C$8,3,FALSE),"?"))</f>
        <v/>
      </c>
      <c r="BP293">
        <f>IF($BN293="","",IFERROR(VLOOKUP($BM293&amp;"-"&amp;$BN293,DECODE!$E$3:$F$21,2,FALSE),"?"))</f>
        <v/>
      </c>
      <c r="BQ293">
        <f>IF($BL293="","",IFERROR(VALUE(RIGHT($BL293,3)),""))</f>
        <v/>
      </c>
      <c r="BR293">
        <f>IF($W293="","",IFERROR(IF(ISNUMBER($W293),$W293,DATEVALUE(TRIM($W293))),""))</f>
        <v/>
      </c>
      <c r="BS293">
        <f>IF($BR293="","",IF(MONTH($BR293)&gt;=12,"Cold Winter",IF(MONTH($BR293)&gt;=10,"Post-Monsoon",IF(MONTH($BR293)&gt;=6,"Hot Humid",IF(MONTH($BR293)&gt;=3,"Hot Dry","Cold Winter")))))</f>
        <v/>
      </c>
      <c r="BT293">
        <f>IF($BM293="","",IFERROR(VLOOKUP($BM293,DECODE!$A$3:$C$8,2,FALSE),"?"))</f>
        <v/>
      </c>
      <c r="BU293">
        <f>IF($R293="","",UPPER(TRIM(LEFT($R293&amp;",",FIND(",",$R293&amp;",")-1))))</f>
        <v/>
      </c>
      <c r="BV293">
        <f>IF($BU293="","",MID($BU293,4,FIND("~",SUBSTITUTE($BU293,"-","~",2))-4))</f>
        <v/>
      </c>
      <c r="BW293">
        <f>IF($BU293="","",MID($BU293,FIND("~",SUBSTITUTE($BU293,"-","~",2))+1,FIND("~",SUBSTITUTE($BU293,"-","~",3))-FIND("~",SUBSTITUTE($BU293,"-","~",2))-1))</f>
        <v/>
      </c>
      <c r="BX293">
        <f>IF($BV293="","",IFERROR(VLOOKUP($BV293,DECODE!$A$3:$C$8,3,FALSE),"?"))</f>
        <v/>
      </c>
      <c r="BY293">
        <f>IF($BW293="","",IFERROR(VLOOKUP($BV293&amp;"-"&amp;$BW293,DECODE!$E$3:$F$21,2,FALSE),"?"))</f>
        <v/>
      </c>
      <c r="BZ293">
        <f>IF($BU293="","",IFERROR(VALUE(RIGHT($BU293,3)),""))</f>
        <v/>
      </c>
      <c r="CA293">
        <f>IF($X293="","",IFERROR(IF(ISNUMBER($X293),$X293,DATEVALUE(TRIM($X293))),""))</f>
        <v/>
      </c>
      <c r="CB293">
        <f>IF($CA293="","",IF(MONTH($CA293)&gt;=12,"Cold Winter",IF(MONTH($CA293)&gt;=10,"Post-Monsoon",IF(MONTH($CA293)&gt;=6,"Hot Humid",IF(MONTH($CA293)&gt;=3,"Hot Dry","Cold Winter")))))</f>
        <v/>
      </c>
      <c r="CC293">
        <f>IF($BV293="","",IFERROR(VLOOKUP($BV293,DECODE!$A$3:$C$8,2,FALSE),"?"))</f>
        <v/>
      </c>
      <c r="CD293">
        <f>IF($S293="","",UPPER(TRIM(LEFT($S293&amp;",",FIND(",",$S293&amp;",")-1))))</f>
        <v/>
      </c>
      <c r="CE293">
        <f>IF($CD293="","",MID($CD293,4,FIND("~",SUBSTITUTE($CD293,"-","~",2))-4))</f>
        <v/>
      </c>
      <c r="CF293">
        <f>IF($CD293="","",MID($CD293,FIND("~",SUBSTITUTE($CD293,"-","~",2))+1,FIND("~",SUBSTITUTE($CD293,"-","~",3))-FIND("~",SUBSTITUTE($CD293,"-","~",2))-1))</f>
        <v/>
      </c>
      <c r="CG293">
        <f>IF($CE293="","",IFERROR(VLOOKUP($CE293,DECODE!$A$3:$C$8,3,FALSE),"?"))</f>
        <v/>
      </c>
      <c r="CH293">
        <f>IF($CF293="","",IFERROR(VLOOKUP($CE293&amp;"-"&amp;$CF293,DECODE!$E$3:$F$21,2,FALSE),"?"))</f>
        <v/>
      </c>
      <c r="CI293">
        <f>IF($CD293="","",IFERROR(VALUE(RIGHT($CD293,3)),""))</f>
        <v/>
      </c>
      <c r="CJ293">
        <f>IF($Y293="","",IFERROR(IF(ISNUMBER($Y293),$Y293,DATEVALUE(TRIM($Y293))),""))</f>
        <v/>
      </c>
      <c r="CK293">
        <f>IF($CJ293="","",IF(MONTH($CJ293)&gt;=12,"Cold Winter",IF(MONTH($CJ293)&gt;=10,"Post-Monsoon",IF(MONTH($CJ293)&gt;=6,"Hot Humid",IF(MONTH($CJ293)&gt;=3,"Hot Dry","Cold Winter")))))</f>
        <v/>
      </c>
      <c r="CL293">
        <f>IF($CE293="","",IFERROR(VLOOKUP($CE293,DECODE!$A$3:$C$8,2,FALSE),"?"))</f>
        <v/>
      </c>
      <c r="CM293">
        <f>IF($AN293="","",AN293)</f>
        <v/>
      </c>
      <c r="CN293">
        <f>IF($AO293="","",AO293)</f>
        <v/>
      </c>
      <c r="CO293">
        <f>IF($AP293="","",AP293)</f>
        <v/>
      </c>
      <c r="CP293">
        <f>IF($CM293="","",IF($CM293="Aloe Vera Gel","Aloe Vera Gel "&amp;$CO293&amp;"g",CN293&amp;" "&amp;$CO293&amp;"g"))</f>
        <v/>
      </c>
      <c r="CQ293">
        <f>IF($AT293="",0,1)</f>
        <v/>
      </c>
      <c r="CR293">
        <f>IF($CQ293=0,"",AW293)</f>
        <v/>
      </c>
      <c r="CS293">
        <f>IF($CQ293=0,"",AX293)</f>
        <v/>
      </c>
      <c r="CT293">
        <f>IF($CQ293=0,"",AY293)</f>
        <v/>
      </c>
      <c r="CU293">
        <f>IF($CR293="","",IF($CR293="Aloe Vera Gel","Aloe Vera Gel "&amp;$CT293&amp;"g",CS293&amp;" "&amp;$CT293&amp;"g"))</f>
        <v/>
      </c>
      <c r="CV293">
        <f>IF($CQ293=0,"",IF($CP293=$CU293,"Repeat Exact",IF($CT293&gt;$CO293,"Upsized",IF($CT293&lt;$CO293,"Downsized",IF($CM293&lt;&gt;$CR293,"Lateral","Same Size Diff Variant")))))</f>
        <v/>
      </c>
      <c r="CW293">
        <f>IF($CQ293=0,"",AZ293-AQ293)</f>
        <v/>
      </c>
      <c r="CX293">
        <f>IF($CQ293=0,0,IF(CS293=CN293,1,0))</f>
        <v/>
      </c>
      <c r="CY293">
        <f>IF($CQ293=0,0,IF(CR293=CM293,1,0))</f>
        <v/>
      </c>
      <c r="CZ293">
        <f>IF($A293="","",IF(AND(IF(DASHBOARD!$C$4="All",TRUE,$CM293=DASHBOARD!$C$4),IF(DASHBOARD!$C$6="All",TRUE,$CP293=DASHBOARD!$C$6),IF(DASHBOARD!$C$8="All",TRUE,$AF293&gt;=DASHBOARD!$C$8),IF(DASHBOARD!$C$10="All",TRUE,$AF293&lt;=DASHBOARD!$C$10),IF(DASHBOARD!$C$12="All",TRUE,$AH293=VALUE(DASHBOARD!$C$12)),IF(DASHBOARD!$C$14="All",TRUE,$AJ293=DASHBOARD!$C$14)),1,0))</f>
        <v/>
      </c>
    </row>
    <row r="294">
      <c r="A294" t="n">
        <v>166505</v>
      </c>
      <c r="B294" t="inlineStr">
        <is>
          <t>Face Malai</t>
        </is>
      </c>
      <c r="H294" t="inlineStr">
        <is>
          <t>Turmeric Nutmeg (Pigmentation)  Face Malai - 50g</t>
        </is>
      </c>
      <c r="N294" t="inlineStr">
        <is>
          <t>FC-DM-PG-050</t>
        </is>
      </c>
      <c r="T294" t="inlineStr">
        <is>
          <t>Jun 11, 2024</t>
        </is>
      </c>
      <c r="AE294" t="inlineStr">
        <is>
          <t>Surguja</t>
        </is>
      </c>
      <c r="AF294" t="inlineStr">
        <is>
          <t>2024-06</t>
        </is>
      </c>
      <c r="AG294" t="n">
        <v>6</v>
      </c>
      <c r="AH294" t="n">
        <v>1</v>
      </c>
      <c r="AI294" t="n">
        <v>0</v>
      </c>
      <c r="AJ294">
        <f>IF($AE294="","",IFERROR(VLOOKUP(TRIM($AE294),DECODE!$H$3:$I$60,2,FALSE),"Rest of India"))</f>
        <v/>
      </c>
      <c r="AK294">
        <f>IF($N294="","",UPPER(TRIM(LEFT($N294&amp;",",FIND(",",$N294&amp;",")-1))))</f>
        <v/>
      </c>
      <c r="AL294">
        <f>IF($AK294="","",MID($AK294,4,FIND("~",SUBSTITUTE($AK294,"-","~",2))-4))</f>
        <v/>
      </c>
      <c r="AM294">
        <f>IF($AK294="","",MID($AK294,FIND("~",SUBSTITUTE($AK294,"-","~",2))+1,FIND("~",SUBSTITUTE($AK294,"-","~",3))-FIND("~",SUBSTITUTE($AK294,"-","~",2))-1))</f>
        <v/>
      </c>
      <c r="AN294">
        <f>IF($AL294="","",IFERROR(VLOOKUP($AL294,DECODE!$A$3:$C$8,3,FALSE),"?"))</f>
        <v/>
      </c>
      <c r="AO294">
        <f>IF($AM294="","",IFERROR(VLOOKUP($AL294&amp;"-"&amp;$AM294,DECODE!$E$3:$F$21,2,FALSE),"?"))</f>
        <v/>
      </c>
      <c r="AP294">
        <f>IF($AK294="","",IFERROR(VALUE(RIGHT($AK294,3)),""))</f>
        <v/>
      </c>
      <c r="AQ294">
        <f>IF($T294="","",IFERROR(IF(ISNUMBER($T294),$T294,DATEVALUE(TRIM($T294))),""))</f>
        <v/>
      </c>
      <c r="AR294">
        <f>IF($AQ294="","",IF(MONTH($AQ294)&gt;=12,"Cold Winter",IF(MONTH($AQ294)&gt;=10,"Post-Monsoon",IF(MONTH($AQ294)&gt;=6,"Hot Humid",IF(MONTH($AQ294)&gt;=3,"Hot Dry","Cold Winter")))))</f>
        <v/>
      </c>
      <c r="AS294">
        <f>IF($AL294="","",IFERROR(VLOOKUP($AL294,DECODE!$A$3:$C$8,2,FALSE),"?"))</f>
        <v/>
      </c>
      <c r="AT294">
        <f>IF($O294="","",UPPER(TRIM(LEFT($O294&amp;",",FIND(",",$O294&amp;",")-1))))</f>
        <v/>
      </c>
      <c r="AU294">
        <f>IF($AT294="","",MID($AT294,4,FIND("~",SUBSTITUTE($AT294,"-","~",2))-4))</f>
        <v/>
      </c>
      <c r="AV294">
        <f>IF($AT294="","",MID($AT294,FIND("~",SUBSTITUTE($AT294,"-","~",2))+1,FIND("~",SUBSTITUTE($AT294,"-","~",3))-FIND("~",SUBSTITUTE($AT294,"-","~",2))-1))</f>
        <v/>
      </c>
      <c r="AW294">
        <f>IF($AU294="","",IFERROR(VLOOKUP($AU294,DECODE!$A$3:$C$8,3,FALSE),"?"))</f>
        <v/>
      </c>
      <c r="AX294">
        <f>IF($AV294="","",IFERROR(VLOOKUP($AU294&amp;"-"&amp;$AV294,DECODE!$E$3:$F$21,2,FALSE),"?"))</f>
        <v/>
      </c>
      <c r="AY294">
        <f>IF($AT294="","",IFERROR(VALUE(RIGHT($AT294,3)),""))</f>
        <v/>
      </c>
      <c r="AZ294">
        <f>IF($U294="","",IFERROR(IF(ISNUMBER($U294),$U294,DATEVALUE(TRIM($U294))),""))</f>
        <v/>
      </c>
      <c r="BA294">
        <f>IF($AZ294="","",IF(MONTH($AZ294)&gt;=12,"Cold Winter",IF(MONTH($AZ294)&gt;=10,"Post-Monsoon",IF(MONTH($AZ294)&gt;=6,"Hot Humid",IF(MONTH($AZ294)&gt;=3,"Hot Dry","Cold Winter")))))</f>
        <v/>
      </c>
      <c r="BB294">
        <f>IF($AU294="","",IFERROR(VLOOKUP($AU294,DECODE!$A$3:$C$8,2,FALSE),"?"))</f>
        <v/>
      </c>
      <c r="BC294">
        <f>IF($P294="","",UPPER(TRIM(LEFT($P294&amp;",",FIND(",",$P294&amp;",")-1))))</f>
        <v/>
      </c>
      <c r="BD294">
        <f>IF($BC294="","",MID($BC294,4,FIND("~",SUBSTITUTE($BC294,"-","~",2))-4))</f>
        <v/>
      </c>
      <c r="BE294">
        <f>IF($BC294="","",MID($BC294,FIND("~",SUBSTITUTE($BC294,"-","~",2))+1,FIND("~",SUBSTITUTE($BC294,"-","~",3))-FIND("~",SUBSTITUTE($BC294,"-","~",2))-1))</f>
        <v/>
      </c>
      <c r="BF294">
        <f>IF($BD294="","",IFERROR(VLOOKUP($BD294,DECODE!$A$3:$C$8,3,FALSE),"?"))</f>
        <v/>
      </c>
      <c r="BG294">
        <f>IF($BE294="","",IFERROR(VLOOKUP($BD294&amp;"-"&amp;$BE294,DECODE!$E$3:$F$21,2,FALSE),"?"))</f>
        <v/>
      </c>
      <c r="BH294">
        <f>IF($BC294="","",IFERROR(VALUE(RIGHT($BC294,3)),""))</f>
        <v/>
      </c>
      <c r="BI294">
        <f>IF($V294="","",IFERROR(IF(ISNUMBER($V294),$V294,DATEVALUE(TRIM($V294))),""))</f>
        <v/>
      </c>
      <c r="BJ294">
        <f>IF($BI294="","",IF(MONTH($BI294)&gt;=12,"Cold Winter",IF(MONTH($BI294)&gt;=10,"Post-Monsoon",IF(MONTH($BI294)&gt;=6,"Hot Humid",IF(MONTH($BI294)&gt;=3,"Hot Dry","Cold Winter")))))</f>
        <v/>
      </c>
      <c r="BK294">
        <f>IF($BD294="","",IFERROR(VLOOKUP($BD294,DECODE!$A$3:$C$8,2,FALSE),"?"))</f>
        <v/>
      </c>
      <c r="BL294">
        <f>IF($Q294="","",UPPER(TRIM(LEFT($Q294&amp;",",FIND(",",$Q294&amp;",")-1))))</f>
        <v/>
      </c>
      <c r="BM294">
        <f>IF($BL294="","",MID($BL294,4,FIND("~",SUBSTITUTE($BL294,"-","~",2))-4))</f>
        <v/>
      </c>
      <c r="BN294">
        <f>IF($BL294="","",MID($BL294,FIND("~",SUBSTITUTE($BL294,"-","~",2))+1,FIND("~",SUBSTITUTE($BL294,"-","~",3))-FIND("~",SUBSTITUTE($BL294,"-","~",2))-1))</f>
        <v/>
      </c>
      <c r="BO294">
        <f>IF($BM294="","",IFERROR(VLOOKUP($BM294,DECODE!$A$3:$C$8,3,FALSE),"?"))</f>
        <v/>
      </c>
      <c r="BP294">
        <f>IF($BN294="","",IFERROR(VLOOKUP($BM294&amp;"-"&amp;$BN294,DECODE!$E$3:$F$21,2,FALSE),"?"))</f>
        <v/>
      </c>
      <c r="BQ294">
        <f>IF($BL294="","",IFERROR(VALUE(RIGHT($BL294,3)),""))</f>
        <v/>
      </c>
      <c r="BR294">
        <f>IF($W294="","",IFERROR(IF(ISNUMBER($W294),$W294,DATEVALUE(TRIM($W294))),""))</f>
        <v/>
      </c>
      <c r="BS294">
        <f>IF($BR294="","",IF(MONTH($BR294)&gt;=12,"Cold Winter",IF(MONTH($BR294)&gt;=10,"Post-Monsoon",IF(MONTH($BR294)&gt;=6,"Hot Humid",IF(MONTH($BR294)&gt;=3,"Hot Dry","Cold Winter")))))</f>
        <v/>
      </c>
      <c r="BT294">
        <f>IF($BM294="","",IFERROR(VLOOKUP($BM294,DECODE!$A$3:$C$8,2,FALSE),"?"))</f>
        <v/>
      </c>
      <c r="BU294">
        <f>IF($R294="","",UPPER(TRIM(LEFT($R294&amp;",",FIND(",",$R294&amp;",")-1))))</f>
        <v/>
      </c>
      <c r="BV294">
        <f>IF($BU294="","",MID($BU294,4,FIND("~",SUBSTITUTE($BU294,"-","~",2))-4))</f>
        <v/>
      </c>
      <c r="BW294">
        <f>IF($BU294="","",MID($BU294,FIND("~",SUBSTITUTE($BU294,"-","~",2))+1,FIND("~",SUBSTITUTE($BU294,"-","~",3))-FIND("~",SUBSTITUTE($BU294,"-","~",2))-1))</f>
        <v/>
      </c>
      <c r="BX294">
        <f>IF($BV294="","",IFERROR(VLOOKUP($BV294,DECODE!$A$3:$C$8,3,FALSE),"?"))</f>
        <v/>
      </c>
      <c r="BY294">
        <f>IF($BW294="","",IFERROR(VLOOKUP($BV294&amp;"-"&amp;$BW294,DECODE!$E$3:$F$21,2,FALSE),"?"))</f>
        <v/>
      </c>
      <c r="BZ294">
        <f>IF($BU294="","",IFERROR(VALUE(RIGHT($BU294,3)),""))</f>
        <v/>
      </c>
      <c r="CA294">
        <f>IF($X294="","",IFERROR(IF(ISNUMBER($X294),$X294,DATEVALUE(TRIM($X294))),""))</f>
        <v/>
      </c>
      <c r="CB294">
        <f>IF($CA294="","",IF(MONTH($CA294)&gt;=12,"Cold Winter",IF(MONTH($CA294)&gt;=10,"Post-Monsoon",IF(MONTH($CA294)&gt;=6,"Hot Humid",IF(MONTH($CA294)&gt;=3,"Hot Dry","Cold Winter")))))</f>
        <v/>
      </c>
      <c r="CC294">
        <f>IF($BV294="","",IFERROR(VLOOKUP($BV294,DECODE!$A$3:$C$8,2,FALSE),"?"))</f>
        <v/>
      </c>
      <c r="CD294">
        <f>IF($S294="","",UPPER(TRIM(LEFT($S294&amp;",",FIND(",",$S294&amp;",")-1))))</f>
        <v/>
      </c>
      <c r="CE294">
        <f>IF($CD294="","",MID($CD294,4,FIND("~",SUBSTITUTE($CD294,"-","~",2))-4))</f>
        <v/>
      </c>
      <c r="CF294">
        <f>IF($CD294="","",MID($CD294,FIND("~",SUBSTITUTE($CD294,"-","~",2))+1,FIND("~",SUBSTITUTE($CD294,"-","~",3))-FIND("~",SUBSTITUTE($CD294,"-","~",2))-1))</f>
        <v/>
      </c>
      <c r="CG294">
        <f>IF($CE294="","",IFERROR(VLOOKUP($CE294,DECODE!$A$3:$C$8,3,FALSE),"?"))</f>
        <v/>
      </c>
      <c r="CH294">
        <f>IF($CF294="","",IFERROR(VLOOKUP($CE294&amp;"-"&amp;$CF294,DECODE!$E$3:$F$21,2,FALSE),"?"))</f>
        <v/>
      </c>
      <c r="CI294">
        <f>IF($CD294="","",IFERROR(VALUE(RIGHT($CD294,3)),""))</f>
        <v/>
      </c>
      <c r="CJ294">
        <f>IF($Y294="","",IFERROR(IF(ISNUMBER($Y294),$Y294,DATEVALUE(TRIM($Y294))),""))</f>
        <v/>
      </c>
      <c r="CK294">
        <f>IF($CJ294="","",IF(MONTH($CJ294)&gt;=12,"Cold Winter",IF(MONTH($CJ294)&gt;=10,"Post-Monsoon",IF(MONTH($CJ294)&gt;=6,"Hot Humid",IF(MONTH($CJ294)&gt;=3,"Hot Dry","Cold Winter")))))</f>
        <v/>
      </c>
      <c r="CL294">
        <f>IF($CE294="","",IFERROR(VLOOKUP($CE294,DECODE!$A$3:$C$8,2,FALSE),"?"))</f>
        <v/>
      </c>
      <c r="CM294">
        <f>IF($AN294="","",AN294)</f>
        <v/>
      </c>
      <c r="CN294">
        <f>IF($AO294="","",AO294)</f>
        <v/>
      </c>
      <c r="CO294">
        <f>IF($AP294="","",AP294)</f>
        <v/>
      </c>
      <c r="CP294">
        <f>IF($CM294="","",IF($CM294="Aloe Vera Gel","Aloe Vera Gel "&amp;$CO294&amp;"g",CN294&amp;" "&amp;$CO294&amp;"g"))</f>
        <v/>
      </c>
      <c r="CQ294">
        <f>IF($AT294="",0,1)</f>
        <v/>
      </c>
      <c r="CR294">
        <f>IF($CQ294=0,"",AW294)</f>
        <v/>
      </c>
      <c r="CS294">
        <f>IF($CQ294=0,"",AX294)</f>
        <v/>
      </c>
      <c r="CT294">
        <f>IF($CQ294=0,"",AY294)</f>
        <v/>
      </c>
      <c r="CU294">
        <f>IF($CR294="","",IF($CR294="Aloe Vera Gel","Aloe Vera Gel "&amp;$CT294&amp;"g",CS294&amp;" "&amp;$CT294&amp;"g"))</f>
        <v/>
      </c>
      <c r="CV294">
        <f>IF($CQ294=0,"",IF($CP294=$CU294,"Repeat Exact",IF($CT294&gt;$CO294,"Upsized",IF($CT294&lt;$CO294,"Downsized",IF($CM294&lt;&gt;$CR294,"Lateral","Same Size Diff Variant")))))</f>
        <v/>
      </c>
      <c r="CW294">
        <f>IF($CQ294=0,"",AZ294-AQ294)</f>
        <v/>
      </c>
      <c r="CX294">
        <f>IF($CQ294=0,0,IF(CS294=CN294,1,0))</f>
        <v/>
      </c>
      <c r="CY294">
        <f>IF($CQ294=0,0,IF(CR294=CM294,1,0))</f>
        <v/>
      </c>
      <c r="CZ294">
        <f>IF($A294="","",IF(AND(IF(DASHBOARD!$C$4="All",TRUE,$CM294=DASHBOARD!$C$4),IF(DASHBOARD!$C$6="All",TRUE,$CP294=DASHBOARD!$C$6),IF(DASHBOARD!$C$8="All",TRUE,$AF294&gt;=DASHBOARD!$C$8),IF(DASHBOARD!$C$10="All",TRUE,$AF294&lt;=DASHBOARD!$C$10),IF(DASHBOARD!$C$12="All",TRUE,$AH294=VALUE(DASHBOARD!$C$12)),IF(DASHBOARD!$C$14="All",TRUE,$AJ294=DASHBOARD!$C$14)),1,0))</f>
        <v/>
      </c>
    </row>
    <row r="295">
      <c r="A295" t="n">
        <v>166695</v>
      </c>
      <c r="B295" t="inlineStr">
        <is>
          <t>Aloe Vera Gel, Face Malai</t>
        </is>
      </c>
      <c r="H295" t="inlineStr">
        <is>
          <t>Aloe Vera Gel - 40 gms, Cocoa Mogra (Overnight) Face Malai - 30g</t>
        </is>
      </c>
      <c r="N295" t="inlineStr">
        <is>
          <t>FC-HG-PA-040, FC-DM-NR-030</t>
        </is>
      </c>
      <c r="T295" t="inlineStr">
        <is>
          <t>Jul 6, 2024</t>
        </is>
      </c>
      <c r="AE295" t="inlineStr">
        <is>
          <t>Quilon</t>
        </is>
      </c>
      <c r="AF295" t="inlineStr">
        <is>
          <t>2024-07</t>
        </is>
      </c>
      <c r="AG295" t="n">
        <v>7</v>
      </c>
      <c r="AH295" t="n">
        <v>1</v>
      </c>
      <c r="AI295" t="n">
        <v>0</v>
      </c>
      <c r="AJ295">
        <f>IF($AE295="","",IFERROR(VLOOKUP(TRIM($AE295),DECODE!$H$3:$I$60,2,FALSE),"Rest of India"))</f>
        <v/>
      </c>
      <c r="AK295">
        <f>IF($N295="","",UPPER(TRIM(LEFT($N295&amp;",",FIND(",",$N295&amp;",")-1))))</f>
        <v/>
      </c>
      <c r="AL295">
        <f>IF($AK295="","",MID($AK295,4,FIND("~",SUBSTITUTE($AK295,"-","~",2))-4))</f>
        <v/>
      </c>
      <c r="AM295">
        <f>IF($AK295="","",MID($AK295,FIND("~",SUBSTITUTE($AK295,"-","~",2))+1,FIND("~",SUBSTITUTE($AK295,"-","~",3))-FIND("~",SUBSTITUTE($AK295,"-","~",2))-1))</f>
        <v/>
      </c>
      <c r="AN295">
        <f>IF($AL295="","",IFERROR(VLOOKUP($AL295,DECODE!$A$3:$C$8,3,FALSE),"?"))</f>
        <v/>
      </c>
      <c r="AO295">
        <f>IF($AM295="","",IFERROR(VLOOKUP($AL295&amp;"-"&amp;$AM295,DECODE!$E$3:$F$21,2,FALSE),"?"))</f>
        <v/>
      </c>
      <c r="AP295">
        <f>IF($AK295="","",IFERROR(VALUE(RIGHT($AK295,3)),""))</f>
        <v/>
      </c>
      <c r="AQ295">
        <f>IF($T295="","",IFERROR(IF(ISNUMBER($T295),$T295,DATEVALUE(TRIM($T295))),""))</f>
        <v/>
      </c>
      <c r="AR295">
        <f>IF($AQ295="","",IF(MONTH($AQ295)&gt;=12,"Cold Winter",IF(MONTH($AQ295)&gt;=10,"Post-Monsoon",IF(MONTH($AQ295)&gt;=6,"Hot Humid",IF(MONTH($AQ295)&gt;=3,"Hot Dry","Cold Winter")))))</f>
        <v/>
      </c>
      <c r="AS295">
        <f>IF($AL295="","",IFERROR(VLOOKUP($AL295,DECODE!$A$3:$C$8,2,FALSE),"?"))</f>
        <v/>
      </c>
      <c r="AT295">
        <f>IF($O295="","",UPPER(TRIM(LEFT($O295&amp;",",FIND(",",$O295&amp;",")-1))))</f>
        <v/>
      </c>
      <c r="AU295">
        <f>IF($AT295="","",MID($AT295,4,FIND("~",SUBSTITUTE($AT295,"-","~",2))-4))</f>
        <v/>
      </c>
      <c r="AV295">
        <f>IF($AT295="","",MID($AT295,FIND("~",SUBSTITUTE($AT295,"-","~",2))+1,FIND("~",SUBSTITUTE($AT295,"-","~",3))-FIND("~",SUBSTITUTE($AT295,"-","~",2))-1))</f>
        <v/>
      </c>
      <c r="AW295">
        <f>IF($AU295="","",IFERROR(VLOOKUP($AU295,DECODE!$A$3:$C$8,3,FALSE),"?"))</f>
        <v/>
      </c>
      <c r="AX295">
        <f>IF($AV295="","",IFERROR(VLOOKUP($AU295&amp;"-"&amp;$AV295,DECODE!$E$3:$F$21,2,FALSE),"?"))</f>
        <v/>
      </c>
      <c r="AY295">
        <f>IF($AT295="","",IFERROR(VALUE(RIGHT($AT295,3)),""))</f>
        <v/>
      </c>
      <c r="AZ295">
        <f>IF($U295="","",IFERROR(IF(ISNUMBER($U295),$U295,DATEVALUE(TRIM($U295))),""))</f>
        <v/>
      </c>
      <c r="BA295">
        <f>IF($AZ295="","",IF(MONTH($AZ295)&gt;=12,"Cold Winter",IF(MONTH($AZ295)&gt;=10,"Post-Monsoon",IF(MONTH($AZ295)&gt;=6,"Hot Humid",IF(MONTH($AZ295)&gt;=3,"Hot Dry","Cold Winter")))))</f>
        <v/>
      </c>
      <c r="BB295">
        <f>IF($AU295="","",IFERROR(VLOOKUP($AU295,DECODE!$A$3:$C$8,2,FALSE),"?"))</f>
        <v/>
      </c>
      <c r="BC295">
        <f>IF($P295="","",UPPER(TRIM(LEFT($P295&amp;",",FIND(",",$P295&amp;",")-1))))</f>
        <v/>
      </c>
      <c r="BD295">
        <f>IF($BC295="","",MID($BC295,4,FIND("~",SUBSTITUTE($BC295,"-","~",2))-4))</f>
        <v/>
      </c>
      <c r="BE295">
        <f>IF($BC295="","",MID($BC295,FIND("~",SUBSTITUTE($BC295,"-","~",2))+1,FIND("~",SUBSTITUTE($BC295,"-","~",3))-FIND("~",SUBSTITUTE($BC295,"-","~",2))-1))</f>
        <v/>
      </c>
      <c r="BF295">
        <f>IF($BD295="","",IFERROR(VLOOKUP($BD295,DECODE!$A$3:$C$8,3,FALSE),"?"))</f>
        <v/>
      </c>
      <c r="BG295">
        <f>IF($BE295="","",IFERROR(VLOOKUP($BD295&amp;"-"&amp;$BE295,DECODE!$E$3:$F$21,2,FALSE),"?"))</f>
        <v/>
      </c>
      <c r="BH295">
        <f>IF($BC295="","",IFERROR(VALUE(RIGHT($BC295,3)),""))</f>
        <v/>
      </c>
      <c r="BI295">
        <f>IF($V295="","",IFERROR(IF(ISNUMBER($V295),$V295,DATEVALUE(TRIM($V295))),""))</f>
        <v/>
      </c>
      <c r="BJ295">
        <f>IF($BI295="","",IF(MONTH($BI295)&gt;=12,"Cold Winter",IF(MONTH($BI295)&gt;=10,"Post-Monsoon",IF(MONTH($BI295)&gt;=6,"Hot Humid",IF(MONTH($BI295)&gt;=3,"Hot Dry","Cold Winter")))))</f>
        <v/>
      </c>
      <c r="BK295">
        <f>IF($BD295="","",IFERROR(VLOOKUP($BD295,DECODE!$A$3:$C$8,2,FALSE),"?"))</f>
        <v/>
      </c>
      <c r="BL295">
        <f>IF($Q295="","",UPPER(TRIM(LEFT($Q295&amp;",",FIND(",",$Q295&amp;",")-1))))</f>
        <v/>
      </c>
      <c r="BM295">
        <f>IF($BL295="","",MID($BL295,4,FIND("~",SUBSTITUTE($BL295,"-","~",2))-4))</f>
        <v/>
      </c>
      <c r="BN295">
        <f>IF($BL295="","",MID($BL295,FIND("~",SUBSTITUTE($BL295,"-","~",2))+1,FIND("~",SUBSTITUTE($BL295,"-","~",3))-FIND("~",SUBSTITUTE($BL295,"-","~",2))-1))</f>
        <v/>
      </c>
      <c r="BO295">
        <f>IF($BM295="","",IFERROR(VLOOKUP($BM295,DECODE!$A$3:$C$8,3,FALSE),"?"))</f>
        <v/>
      </c>
      <c r="BP295">
        <f>IF($BN295="","",IFERROR(VLOOKUP($BM295&amp;"-"&amp;$BN295,DECODE!$E$3:$F$21,2,FALSE),"?"))</f>
        <v/>
      </c>
      <c r="BQ295">
        <f>IF($BL295="","",IFERROR(VALUE(RIGHT($BL295,3)),""))</f>
        <v/>
      </c>
      <c r="BR295">
        <f>IF($W295="","",IFERROR(IF(ISNUMBER($W295),$W295,DATEVALUE(TRIM($W295))),""))</f>
        <v/>
      </c>
      <c r="BS295">
        <f>IF($BR295="","",IF(MONTH($BR295)&gt;=12,"Cold Winter",IF(MONTH($BR295)&gt;=10,"Post-Monsoon",IF(MONTH($BR295)&gt;=6,"Hot Humid",IF(MONTH($BR295)&gt;=3,"Hot Dry","Cold Winter")))))</f>
        <v/>
      </c>
      <c r="BT295">
        <f>IF($BM295="","",IFERROR(VLOOKUP($BM295,DECODE!$A$3:$C$8,2,FALSE),"?"))</f>
        <v/>
      </c>
      <c r="BU295">
        <f>IF($R295="","",UPPER(TRIM(LEFT($R295&amp;",",FIND(",",$R295&amp;",")-1))))</f>
        <v/>
      </c>
      <c r="BV295">
        <f>IF($BU295="","",MID($BU295,4,FIND("~",SUBSTITUTE($BU295,"-","~",2))-4))</f>
        <v/>
      </c>
      <c r="BW295">
        <f>IF($BU295="","",MID($BU295,FIND("~",SUBSTITUTE($BU295,"-","~",2))+1,FIND("~",SUBSTITUTE($BU295,"-","~",3))-FIND("~",SUBSTITUTE($BU295,"-","~",2))-1))</f>
        <v/>
      </c>
      <c r="BX295">
        <f>IF($BV295="","",IFERROR(VLOOKUP($BV295,DECODE!$A$3:$C$8,3,FALSE),"?"))</f>
        <v/>
      </c>
      <c r="BY295">
        <f>IF($BW295="","",IFERROR(VLOOKUP($BV295&amp;"-"&amp;$BW295,DECODE!$E$3:$F$21,2,FALSE),"?"))</f>
        <v/>
      </c>
      <c r="BZ295">
        <f>IF($BU295="","",IFERROR(VALUE(RIGHT($BU295,3)),""))</f>
        <v/>
      </c>
      <c r="CA295">
        <f>IF($X295="","",IFERROR(IF(ISNUMBER($X295),$X295,DATEVALUE(TRIM($X295))),""))</f>
        <v/>
      </c>
      <c r="CB295">
        <f>IF($CA295="","",IF(MONTH($CA295)&gt;=12,"Cold Winter",IF(MONTH($CA295)&gt;=10,"Post-Monsoon",IF(MONTH($CA295)&gt;=6,"Hot Humid",IF(MONTH($CA295)&gt;=3,"Hot Dry","Cold Winter")))))</f>
        <v/>
      </c>
      <c r="CC295">
        <f>IF($BV295="","",IFERROR(VLOOKUP($BV295,DECODE!$A$3:$C$8,2,FALSE),"?"))</f>
        <v/>
      </c>
      <c r="CD295">
        <f>IF($S295="","",UPPER(TRIM(LEFT($S295&amp;",",FIND(",",$S295&amp;",")-1))))</f>
        <v/>
      </c>
      <c r="CE295">
        <f>IF($CD295="","",MID($CD295,4,FIND("~",SUBSTITUTE($CD295,"-","~",2))-4))</f>
        <v/>
      </c>
      <c r="CF295">
        <f>IF($CD295="","",MID($CD295,FIND("~",SUBSTITUTE($CD295,"-","~",2))+1,FIND("~",SUBSTITUTE($CD295,"-","~",3))-FIND("~",SUBSTITUTE($CD295,"-","~",2))-1))</f>
        <v/>
      </c>
      <c r="CG295">
        <f>IF($CE295="","",IFERROR(VLOOKUP($CE295,DECODE!$A$3:$C$8,3,FALSE),"?"))</f>
        <v/>
      </c>
      <c r="CH295">
        <f>IF($CF295="","",IFERROR(VLOOKUP($CE295&amp;"-"&amp;$CF295,DECODE!$E$3:$F$21,2,FALSE),"?"))</f>
        <v/>
      </c>
      <c r="CI295">
        <f>IF($CD295="","",IFERROR(VALUE(RIGHT($CD295,3)),""))</f>
        <v/>
      </c>
      <c r="CJ295">
        <f>IF($Y295="","",IFERROR(IF(ISNUMBER($Y295),$Y295,DATEVALUE(TRIM($Y295))),""))</f>
        <v/>
      </c>
      <c r="CK295">
        <f>IF($CJ295="","",IF(MONTH($CJ295)&gt;=12,"Cold Winter",IF(MONTH($CJ295)&gt;=10,"Post-Monsoon",IF(MONTH($CJ295)&gt;=6,"Hot Humid",IF(MONTH($CJ295)&gt;=3,"Hot Dry","Cold Winter")))))</f>
        <v/>
      </c>
      <c r="CL295">
        <f>IF($CE295="","",IFERROR(VLOOKUP($CE295,DECODE!$A$3:$C$8,2,FALSE),"?"))</f>
        <v/>
      </c>
      <c r="CM295">
        <f>IF($AN295="","",AN295)</f>
        <v/>
      </c>
      <c r="CN295">
        <f>IF($AO295="","",AO295)</f>
        <v/>
      </c>
      <c r="CO295">
        <f>IF($AP295="","",AP295)</f>
        <v/>
      </c>
      <c r="CP295">
        <f>IF($CM295="","",IF($CM295="Aloe Vera Gel","Aloe Vera Gel "&amp;$CO295&amp;"g",CN295&amp;" "&amp;$CO295&amp;"g"))</f>
        <v/>
      </c>
      <c r="CQ295">
        <f>IF($AT295="",0,1)</f>
        <v/>
      </c>
      <c r="CR295">
        <f>IF($CQ295=0,"",AW295)</f>
        <v/>
      </c>
      <c r="CS295">
        <f>IF($CQ295=0,"",AX295)</f>
        <v/>
      </c>
      <c r="CT295">
        <f>IF($CQ295=0,"",AY295)</f>
        <v/>
      </c>
      <c r="CU295">
        <f>IF($CR295="","",IF($CR295="Aloe Vera Gel","Aloe Vera Gel "&amp;$CT295&amp;"g",CS295&amp;" "&amp;$CT295&amp;"g"))</f>
        <v/>
      </c>
      <c r="CV295">
        <f>IF($CQ295=0,"",IF($CP295=$CU295,"Repeat Exact",IF($CT295&gt;$CO295,"Upsized",IF($CT295&lt;$CO295,"Downsized",IF($CM295&lt;&gt;$CR295,"Lateral","Same Size Diff Variant")))))</f>
        <v/>
      </c>
      <c r="CW295">
        <f>IF($CQ295=0,"",AZ295-AQ295)</f>
        <v/>
      </c>
      <c r="CX295">
        <f>IF($CQ295=0,0,IF(CS295=CN295,1,0))</f>
        <v/>
      </c>
      <c r="CY295">
        <f>IF($CQ295=0,0,IF(CR295=CM295,1,0))</f>
        <v/>
      </c>
      <c r="CZ295">
        <f>IF($A295="","",IF(AND(IF(DASHBOARD!$C$4="All",TRUE,$CM295=DASHBOARD!$C$4),IF(DASHBOARD!$C$6="All",TRUE,$CP295=DASHBOARD!$C$6),IF(DASHBOARD!$C$8="All",TRUE,$AF295&gt;=DASHBOARD!$C$8),IF(DASHBOARD!$C$10="All",TRUE,$AF295&lt;=DASHBOARD!$C$10),IF(DASHBOARD!$C$12="All",TRUE,$AH295=VALUE(DASHBOARD!$C$12)),IF(DASHBOARD!$C$14="All",TRUE,$AJ295=DASHBOARD!$C$14)),1,0))</f>
        <v/>
      </c>
    </row>
    <row r="296">
      <c r="A296" t="n">
        <v>166939</v>
      </c>
      <c r="B296" t="inlineStr">
        <is>
          <t>Face Malai</t>
        </is>
      </c>
      <c r="H296" t="inlineStr">
        <is>
          <t>Tomato Patchouli (Cold) 20 - 35 Yrs Face Malai</t>
        </is>
      </c>
      <c r="N296" t="inlineStr">
        <is>
          <t>FC-CWDM-TP-030</t>
        </is>
      </c>
      <c r="T296" t="inlineStr">
        <is>
          <t>Jan 2, 2024</t>
        </is>
      </c>
      <c r="AE296" t="inlineStr">
        <is>
          <t>Chennai</t>
        </is>
      </c>
      <c r="AF296" t="inlineStr">
        <is>
          <t>2024-01</t>
        </is>
      </c>
      <c r="AG296" t="n">
        <v>1</v>
      </c>
      <c r="AH296" t="n">
        <v>1</v>
      </c>
      <c r="AI296" t="n">
        <v>0</v>
      </c>
      <c r="AJ296">
        <f>IF($AE296="","",IFERROR(VLOOKUP(TRIM($AE296),DECODE!$H$3:$I$60,2,FALSE),"Rest of India"))</f>
        <v/>
      </c>
      <c r="AK296">
        <f>IF($N296="","",UPPER(TRIM(LEFT($N296&amp;",",FIND(",",$N296&amp;",")-1))))</f>
        <v/>
      </c>
      <c r="AL296">
        <f>IF($AK296="","",MID($AK296,4,FIND("~",SUBSTITUTE($AK296,"-","~",2))-4))</f>
        <v/>
      </c>
      <c r="AM296">
        <f>IF($AK296="","",MID($AK296,FIND("~",SUBSTITUTE($AK296,"-","~",2))+1,FIND("~",SUBSTITUTE($AK296,"-","~",3))-FIND("~",SUBSTITUTE($AK296,"-","~",2))-1))</f>
        <v/>
      </c>
      <c r="AN296">
        <f>IF($AL296="","",IFERROR(VLOOKUP($AL296,DECODE!$A$3:$C$8,3,FALSE),"?"))</f>
        <v/>
      </c>
      <c r="AO296">
        <f>IF($AM296="","",IFERROR(VLOOKUP($AL296&amp;"-"&amp;$AM296,DECODE!$E$3:$F$21,2,FALSE),"?"))</f>
        <v/>
      </c>
      <c r="AP296">
        <f>IF($AK296="","",IFERROR(VALUE(RIGHT($AK296,3)),""))</f>
        <v/>
      </c>
      <c r="AQ296">
        <f>IF($T296="","",IFERROR(IF(ISNUMBER($T296),$T296,DATEVALUE(TRIM($T296))),""))</f>
        <v/>
      </c>
      <c r="AR296">
        <f>IF($AQ296="","",IF(MONTH($AQ296)&gt;=12,"Cold Winter",IF(MONTH($AQ296)&gt;=10,"Post-Monsoon",IF(MONTH($AQ296)&gt;=6,"Hot Humid",IF(MONTH($AQ296)&gt;=3,"Hot Dry","Cold Winter")))))</f>
        <v/>
      </c>
      <c r="AS296">
        <f>IF($AL296="","",IFERROR(VLOOKUP($AL296,DECODE!$A$3:$C$8,2,FALSE),"?"))</f>
        <v/>
      </c>
      <c r="AT296">
        <f>IF($O296="","",UPPER(TRIM(LEFT($O296&amp;",",FIND(",",$O296&amp;",")-1))))</f>
        <v/>
      </c>
      <c r="AU296">
        <f>IF($AT296="","",MID($AT296,4,FIND("~",SUBSTITUTE($AT296,"-","~",2))-4))</f>
        <v/>
      </c>
      <c r="AV296">
        <f>IF($AT296="","",MID($AT296,FIND("~",SUBSTITUTE($AT296,"-","~",2))+1,FIND("~",SUBSTITUTE($AT296,"-","~",3))-FIND("~",SUBSTITUTE($AT296,"-","~",2))-1))</f>
        <v/>
      </c>
      <c r="AW296">
        <f>IF($AU296="","",IFERROR(VLOOKUP($AU296,DECODE!$A$3:$C$8,3,FALSE),"?"))</f>
        <v/>
      </c>
      <c r="AX296">
        <f>IF($AV296="","",IFERROR(VLOOKUP($AU296&amp;"-"&amp;$AV296,DECODE!$E$3:$F$21,2,FALSE),"?"))</f>
        <v/>
      </c>
      <c r="AY296">
        <f>IF($AT296="","",IFERROR(VALUE(RIGHT($AT296,3)),""))</f>
        <v/>
      </c>
      <c r="AZ296">
        <f>IF($U296="","",IFERROR(IF(ISNUMBER($U296),$U296,DATEVALUE(TRIM($U296))),""))</f>
        <v/>
      </c>
      <c r="BA296">
        <f>IF($AZ296="","",IF(MONTH($AZ296)&gt;=12,"Cold Winter",IF(MONTH($AZ296)&gt;=10,"Post-Monsoon",IF(MONTH($AZ296)&gt;=6,"Hot Humid",IF(MONTH($AZ296)&gt;=3,"Hot Dry","Cold Winter")))))</f>
        <v/>
      </c>
      <c r="BB296">
        <f>IF($AU296="","",IFERROR(VLOOKUP($AU296,DECODE!$A$3:$C$8,2,FALSE),"?"))</f>
        <v/>
      </c>
      <c r="BC296">
        <f>IF($P296="","",UPPER(TRIM(LEFT($P296&amp;",",FIND(",",$P296&amp;",")-1))))</f>
        <v/>
      </c>
      <c r="BD296">
        <f>IF($BC296="","",MID($BC296,4,FIND("~",SUBSTITUTE($BC296,"-","~",2))-4))</f>
        <v/>
      </c>
      <c r="BE296">
        <f>IF($BC296="","",MID($BC296,FIND("~",SUBSTITUTE($BC296,"-","~",2))+1,FIND("~",SUBSTITUTE($BC296,"-","~",3))-FIND("~",SUBSTITUTE($BC296,"-","~",2))-1))</f>
        <v/>
      </c>
      <c r="BF296">
        <f>IF($BD296="","",IFERROR(VLOOKUP($BD296,DECODE!$A$3:$C$8,3,FALSE),"?"))</f>
        <v/>
      </c>
      <c r="BG296">
        <f>IF($BE296="","",IFERROR(VLOOKUP($BD296&amp;"-"&amp;$BE296,DECODE!$E$3:$F$21,2,FALSE),"?"))</f>
        <v/>
      </c>
      <c r="BH296">
        <f>IF($BC296="","",IFERROR(VALUE(RIGHT($BC296,3)),""))</f>
        <v/>
      </c>
      <c r="BI296">
        <f>IF($V296="","",IFERROR(IF(ISNUMBER($V296),$V296,DATEVALUE(TRIM($V296))),""))</f>
        <v/>
      </c>
      <c r="BJ296">
        <f>IF($BI296="","",IF(MONTH($BI296)&gt;=12,"Cold Winter",IF(MONTH($BI296)&gt;=10,"Post-Monsoon",IF(MONTH($BI296)&gt;=6,"Hot Humid",IF(MONTH($BI296)&gt;=3,"Hot Dry","Cold Winter")))))</f>
        <v/>
      </c>
      <c r="BK296">
        <f>IF($BD296="","",IFERROR(VLOOKUP($BD296,DECODE!$A$3:$C$8,2,FALSE),"?"))</f>
        <v/>
      </c>
      <c r="BL296">
        <f>IF($Q296="","",UPPER(TRIM(LEFT($Q296&amp;",",FIND(",",$Q296&amp;",")-1))))</f>
        <v/>
      </c>
      <c r="BM296">
        <f>IF($BL296="","",MID($BL296,4,FIND("~",SUBSTITUTE($BL296,"-","~",2))-4))</f>
        <v/>
      </c>
      <c r="BN296">
        <f>IF($BL296="","",MID($BL296,FIND("~",SUBSTITUTE($BL296,"-","~",2))+1,FIND("~",SUBSTITUTE($BL296,"-","~",3))-FIND("~",SUBSTITUTE($BL296,"-","~",2))-1))</f>
        <v/>
      </c>
      <c r="BO296">
        <f>IF($BM296="","",IFERROR(VLOOKUP($BM296,DECODE!$A$3:$C$8,3,FALSE),"?"))</f>
        <v/>
      </c>
      <c r="BP296">
        <f>IF($BN296="","",IFERROR(VLOOKUP($BM296&amp;"-"&amp;$BN296,DECODE!$E$3:$F$21,2,FALSE),"?"))</f>
        <v/>
      </c>
      <c r="BQ296">
        <f>IF($BL296="","",IFERROR(VALUE(RIGHT($BL296,3)),""))</f>
        <v/>
      </c>
      <c r="BR296">
        <f>IF($W296="","",IFERROR(IF(ISNUMBER($W296),$W296,DATEVALUE(TRIM($W296))),""))</f>
        <v/>
      </c>
      <c r="BS296">
        <f>IF($BR296="","",IF(MONTH($BR296)&gt;=12,"Cold Winter",IF(MONTH($BR296)&gt;=10,"Post-Monsoon",IF(MONTH($BR296)&gt;=6,"Hot Humid",IF(MONTH($BR296)&gt;=3,"Hot Dry","Cold Winter")))))</f>
        <v/>
      </c>
      <c r="BT296">
        <f>IF($BM296="","",IFERROR(VLOOKUP($BM296,DECODE!$A$3:$C$8,2,FALSE),"?"))</f>
        <v/>
      </c>
      <c r="BU296">
        <f>IF($R296="","",UPPER(TRIM(LEFT($R296&amp;",",FIND(",",$R296&amp;",")-1))))</f>
        <v/>
      </c>
      <c r="BV296">
        <f>IF($BU296="","",MID($BU296,4,FIND("~",SUBSTITUTE($BU296,"-","~",2))-4))</f>
        <v/>
      </c>
      <c r="BW296">
        <f>IF($BU296="","",MID($BU296,FIND("~",SUBSTITUTE($BU296,"-","~",2))+1,FIND("~",SUBSTITUTE($BU296,"-","~",3))-FIND("~",SUBSTITUTE($BU296,"-","~",2))-1))</f>
        <v/>
      </c>
      <c r="BX296">
        <f>IF($BV296="","",IFERROR(VLOOKUP($BV296,DECODE!$A$3:$C$8,3,FALSE),"?"))</f>
        <v/>
      </c>
      <c r="BY296">
        <f>IF($BW296="","",IFERROR(VLOOKUP($BV296&amp;"-"&amp;$BW296,DECODE!$E$3:$F$21,2,FALSE),"?"))</f>
        <v/>
      </c>
      <c r="BZ296">
        <f>IF($BU296="","",IFERROR(VALUE(RIGHT($BU296,3)),""))</f>
        <v/>
      </c>
      <c r="CA296">
        <f>IF($X296="","",IFERROR(IF(ISNUMBER($X296),$X296,DATEVALUE(TRIM($X296))),""))</f>
        <v/>
      </c>
      <c r="CB296">
        <f>IF($CA296="","",IF(MONTH($CA296)&gt;=12,"Cold Winter",IF(MONTH($CA296)&gt;=10,"Post-Monsoon",IF(MONTH($CA296)&gt;=6,"Hot Humid",IF(MONTH($CA296)&gt;=3,"Hot Dry","Cold Winter")))))</f>
        <v/>
      </c>
      <c r="CC296">
        <f>IF($BV296="","",IFERROR(VLOOKUP($BV296,DECODE!$A$3:$C$8,2,FALSE),"?"))</f>
        <v/>
      </c>
      <c r="CD296">
        <f>IF($S296="","",UPPER(TRIM(LEFT($S296&amp;",",FIND(",",$S296&amp;",")-1))))</f>
        <v/>
      </c>
      <c r="CE296">
        <f>IF($CD296="","",MID($CD296,4,FIND("~",SUBSTITUTE($CD296,"-","~",2))-4))</f>
        <v/>
      </c>
      <c r="CF296">
        <f>IF($CD296="","",MID($CD296,FIND("~",SUBSTITUTE($CD296,"-","~",2))+1,FIND("~",SUBSTITUTE($CD296,"-","~",3))-FIND("~",SUBSTITUTE($CD296,"-","~",2))-1))</f>
        <v/>
      </c>
      <c r="CG296">
        <f>IF($CE296="","",IFERROR(VLOOKUP($CE296,DECODE!$A$3:$C$8,3,FALSE),"?"))</f>
        <v/>
      </c>
      <c r="CH296">
        <f>IF($CF296="","",IFERROR(VLOOKUP($CE296&amp;"-"&amp;$CF296,DECODE!$E$3:$F$21,2,FALSE),"?"))</f>
        <v/>
      </c>
      <c r="CI296">
        <f>IF($CD296="","",IFERROR(VALUE(RIGHT($CD296,3)),""))</f>
        <v/>
      </c>
      <c r="CJ296">
        <f>IF($Y296="","",IFERROR(IF(ISNUMBER($Y296),$Y296,DATEVALUE(TRIM($Y296))),""))</f>
        <v/>
      </c>
      <c r="CK296">
        <f>IF($CJ296="","",IF(MONTH($CJ296)&gt;=12,"Cold Winter",IF(MONTH($CJ296)&gt;=10,"Post-Monsoon",IF(MONTH($CJ296)&gt;=6,"Hot Humid",IF(MONTH($CJ296)&gt;=3,"Hot Dry","Cold Winter")))))</f>
        <v/>
      </c>
      <c r="CL296">
        <f>IF($CE296="","",IFERROR(VLOOKUP($CE296,DECODE!$A$3:$C$8,2,FALSE),"?"))</f>
        <v/>
      </c>
      <c r="CM296">
        <f>IF($AN296="","",AN296)</f>
        <v/>
      </c>
      <c r="CN296">
        <f>IF($AO296="","",AO296)</f>
        <v/>
      </c>
      <c r="CO296">
        <f>IF($AP296="","",AP296)</f>
        <v/>
      </c>
      <c r="CP296">
        <f>IF($CM296="","",IF($CM296="Aloe Vera Gel","Aloe Vera Gel "&amp;$CO296&amp;"g",CN296&amp;" "&amp;$CO296&amp;"g"))</f>
        <v/>
      </c>
      <c r="CQ296">
        <f>IF($AT296="",0,1)</f>
        <v/>
      </c>
      <c r="CR296">
        <f>IF($CQ296=0,"",AW296)</f>
        <v/>
      </c>
      <c r="CS296">
        <f>IF($CQ296=0,"",AX296)</f>
        <v/>
      </c>
      <c r="CT296">
        <f>IF($CQ296=0,"",AY296)</f>
        <v/>
      </c>
      <c r="CU296">
        <f>IF($CR296="","",IF($CR296="Aloe Vera Gel","Aloe Vera Gel "&amp;$CT296&amp;"g",CS296&amp;" "&amp;$CT296&amp;"g"))</f>
        <v/>
      </c>
      <c r="CV296">
        <f>IF($CQ296=0,"",IF($CP296=$CU296,"Repeat Exact",IF($CT296&gt;$CO296,"Upsized",IF($CT296&lt;$CO296,"Downsized",IF($CM296&lt;&gt;$CR296,"Lateral","Same Size Diff Variant")))))</f>
        <v/>
      </c>
      <c r="CW296">
        <f>IF($CQ296=0,"",AZ296-AQ296)</f>
        <v/>
      </c>
      <c r="CX296">
        <f>IF($CQ296=0,0,IF(CS296=CN296,1,0))</f>
        <v/>
      </c>
      <c r="CY296">
        <f>IF($CQ296=0,0,IF(CR296=CM296,1,0))</f>
        <v/>
      </c>
      <c r="CZ296">
        <f>IF($A296="","",IF(AND(IF(DASHBOARD!$C$4="All",TRUE,$CM296=DASHBOARD!$C$4),IF(DASHBOARD!$C$6="All",TRUE,$CP296=DASHBOARD!$C$6),IF(DASHBOARD!$C$8="All",TRUE,$AF296&gt;=DASHBOARD!$C$8),IF(DASHBOARD!$C$10="All",TRUE,$AF296&lt;=DASHBOARD!$C$10),IF(DASHBOARD!$C$12="All",TRUE,$AH296=VALUE(DASHBOARD!$C$12)),IF(DASHBOARD!$C$14="All",TRUE,$AJ296=DASHBOARD!$C$14)),1,0))</f>
        <v/>
      </c>
    </row>
    <row r="297">
      <c r="A297" t="n">
        <v>167311</v>
      </c>
      <c r="B297" t="inlineStr">
        <is>
          <t>Aloe Vera Gel</t>
        </is>
      </c>
      <c r="H297" t="inlineStr">
        <is>
          <t>Aloe Vera Gel - 40 gms</t>
        </is>
      </c>
      <c r="N297" t="inlineStr">
        <is>
          <t>FC-HG-PA-040</t>
        </is>
      </c>
      <c r="T297" t="inlineStr">
        <is>
          <t>May 14, 2024</t>
        </is>
      </c>
      <c r="AE297" t="inlineStr">
        <is>
          <t>Tambaram</t>
        </is>
      </c>
      <c r="AF297" t="inlineStr">
        <is>
          <t>2024-05</t>
        </is>
      </c>
      <c r="AG297" t="n">
        <v>5</v>
      </c>
      <c r="AH297" t="n">
        <v>1</v>
      </c>
      <c r="AI297" t="n">
        <v>0</v>
      </c>
      <c r="AJ297">
        <f>IF($AE297="","",IFERROR(VLOOKUP(TRIM($AE297),DECODE!$H$3:$I$60,2,FALSE),"Rest of India"))</f>
        <v/>
      </c>
      <c r="AK297">
        <f>IF($N297="","",UPPER(TRIM(LEFT($N297&amp;",",FIND(",",$N297&amp;",")-1))))</f>
        <v/>
      </c>
      <c r="AL297">
        <f>IF($AK297="","",MID($AK297,4,FIND("~",SUBSTITUTE($AK297,"-","~",2))-4))</f>
        <v/>
      </c>
      <c r="AM297">
        <f>IF($AK297="","",MID($AK297,FIND("~",SUBSTITUTE($AK297,"-","~",2))+1,FIND("~",SUBSTITUTE($AK297,"-","~",3))-FIND("~",SUBSTITUTE($AK297,"-","~",2))-1))</f>
        <v/>
      </c>
      <c r="AN297">
        <f>IF($AL297="","",IFERROR(VLOOKUP($AL297,DECODE!$A$3:$C$8,3,FALSE),"?"))</f>
        <v/>
      </c>
      <c r="AO297">
        <f>IF($AM297="","",IFERROR(VLOOKUP($AL297&amp;"-"&amp;$AM297,DECODE!$E$3:$F$21,2,FALSE),"?"))</f>
        <v/>
      </c>
      <c r="AP297">
        <f>IF($AK297="","",IFERROR(VALUE(RIGHT($AK297,3)),""))</f>
        <v/>
      </c>
      <c r="AQ297">
        <f>IF($T297="","",IFERROR(IF(ISNUMBER($T297),$T297,DATEVALUE(TRIM($T297))),""))</f>
        <v/>
      </c>
      <c r="AR297">
        <f>IF($AQ297="","",IF(MONTH($AQ297)&gt;=12,"Cold Winter",IF(MONTH($AQ297)&gt;=10,"Post-Monsoon",IF(MONTH($AQ297)&gt;=6,"Hot Humid",IF(MONTH($AQ297)&gt;=3,"Hot Dry","Cold Winter")))))</f>
        <v/>
      </c>
      <c r="AS297">
        <f>IF($AL297="","",IFERROR(VLOOKUP($AL297,DECODE!$A$3:$C$8,2,FALSE),"?"))</f>
        <v/>
      </c>
      <c r="AT297">
        <f>IF($O297="","",UPPER(TRIM(LEFT($O297&amp;",",FIND(",",$O297&amp;",")-1))))</f>
        <v/>
      </c>
      <c r="AU297">
        <f>IF($AT297="","",MID($AT297,4,FIND("~",SUBSTITUTE($AT297,"-","~",2))-4))</f>
        <v/>
      </c>
      <c r="AV297">
        <f>IF($AT297="","",MID($AT297,FIND("~",SUBSTITUTE($AT297,"-","~",2))+1,FIND("~",SUBSTITUTE($AT297,"-","~",3))-FIND("~",SUBSTITUTE($AT297,"-","~",2))-1))</f>
        <v/>
      </c>
      <c r="AW297">
        <f>IF($AU297="","",IFERROR(VLOOKUP($AU297,DECODE!$A$3:$C$8,3,FALSE),"?"))</f>
        <v/>
      </c>
      <c r="AX297">
        <f>IF($AV297="","",IFERROR(VLOOKUP($AU297&amp;"-"&amp;$AV297,DECODE!$E$3:$F$21,2,FALSE),"?"))</f>
        <v/>
      </c>
      <c r="AY297">
        <f>IF($AT297="","",IFERROR(VALUE(RIGHT($AT297,3)),""))</f>
        <v/>
      </c>
      <c r="AZ297">
        <f>IF($U297="","",IFERROR(IF(ISNUMBER($U297),$U297,DATEVALUE(TRIM($U297))),""))</f>
        <v/>
      </c>
      <c r="BA297">
        <f>IF($AZ297="","",IF(MONTH($AZ297)&gt;=12,"Cold Winter",IF(MONTH($AZ297)&gt;=10,"Post-Monsoon",IF(MONTH($AZ297)&gt;=6,"Hot Humid",IF(MONTH($AZ297)&gt;=3,"Hot Dry","Cold Winter")))))</f>
        <v/>
      </c>
      <c r="BB297">
        <f>IF($AU297="","",IFERROR(VLOOKUP($AU297,DECODE!$A$3:$C$8,2,FALSE),"?"))</f>
        <v/>
      </c>
      <c r="BC297">
        <f>IF($P297="","",UPPER(TRIM(LEFT($P297&amp;",",FIND(",",$P297&amp;",")-1))))</f>
        <v/>
      </c>
      <c r="BD297">
        <f>IF($BC297="","",MID($BC297,4,FIND("~",SUBSTITUTE($BC297,"-","~",2))-4))</f>
        <v/>
      </c>
      <c r="BE297">
        <f>IF($BC297="","",MID($BC297,FIND("~",SUBSTITUTE($BC297,"-","~",2))+1,FIND("~",SUBSTITUTE($BC297,"-","~",3))-FIND("~",SUBSTITUTE($BC297,"-","~",2))-1))</f>
        <v/>
      </c>
      <c r="BF297">
        <f>IF($BD297="","",IFERROR(VLOOKUP($BD297,DECODE!$A$3:$C$8,3,FALSE),"?"))</f>
        <v/>
      </c>
      <c r="BG297">
        <f>IF($BE297="","",IFERROR(VLOOKUP($BD297&amp;"-"&amp;$BE297,DECODE!$E$3:$F$21,2,FALSE),"?"))</f>
        <v/>
      </c>
      <c r="BH297">
        <f>IF($BC297="","",IFERROR(VALUE(RIGHT($BC297,3)),""))</f>
        <v/>
      </c>
      <c r="BI297">
        <f>IF($V297="","",IFERROR(IF(ISNUMBER($V297),$V297,DATEVALUE(TRIM($V297))),""))</f>
        <v/>
      </c>
      <c r="BJ297">
        <f>IF($BI297="","",IF(MONTH($BI297)&gt;=12,"Cold Winter",IF(MONTH($BI297)&gt;=10,"Post-Monsoon",IF(MONTH($BI297)&gt;=6,"Hot Humid",IF(MONTH($BI297)&gt;=3,"Hot Dry","Cold Winter")))))</f>
        <v/>
      </c>
      <c r="BK297">
        <f>IF($BD297="","",IFERROR(VLOOKUP($BD297,DECODE!$A$3:$C$8,2,FALSE),"?"))</f>
        <v/>
      </c>
      <c r="BL297">
        <f>IF($Q297="","",UPPER(TRIM(LEFT($Q297&amp;",",FIND(",",$Q297&amp;",")-1))))</f>
        <v/>
      </c>
      <c r="BM297">
        <f>IF($BL297="","",MID($BL297,4,FIND("~",SUBSTITUTE($BL297,"-","~",2))-4))</f>
        <v/>
      </c>
      <c r="BN297">
        <f>IF($BL297="","",MID($BL297,FIND("~",SUBSTITUTE($BL297,"-","~",2))+1,FIND("~",SUBSTITUTE($BL297,"-","~",3))-FIND("~",SUBSTITUTE($BL297,"-","~",2))-1))</f>
        <v/>
      </c>
      <c r="BO297">
        <f>IF($BM297="","",IFERROR(VLOOKUP($BM297,DECODE!$A$3:$C$8,3,FALSE),"?"))</f>
        <v/>
      </c>
      <c r="BP297">
        <f>IF($BN297="","",IFERROR(VLOOKUP($BM297&amp;"-"&amp;$BN297,DECODE!$E$3:$F$21,2,FALSE),"?"))</f>
        <v/>
      </c>
      <c r="BQ297">
        <f>IF($BL297="","",IFERROR(VALUE(RIGHT($BL297,3)),""))</f>
        <v/>
      </c>
      <c r="BR297">
        <f>IF($W297="","",IFERROR(IF(ISNUMBER($W297),$W297,DATEVALUE(TRIM($W297))),""))</f>
        <v/>
      </c>
      <c r="BS297">
        <f>IF($BR297="","",IF(MONTH($BR297)&gt;=12,"Cold Winter",IF(MONTH($BR297)&gt;=10,"Post-Monsoon",IF(MONTH($BR297)&gt;=6,"Hot Humid",IF(MONTH($BR297)&gt;=3,"Hot Dry","Cold Winter")))))</f>
        <v/>
      </c>
      <c r="BT297">
        <f>IF($BM297="","",IFERROR(VLOOKUP($BM297,DECODE!$A$3:$C$8,2,FALSE),"?"))</f>
        <v/>
      </c>
      <c r="BU297">
        <f>IF($R297="","",UPPER(TRIM(LEFT($R297&amp;",",FIND(",",$R297&amp;",")-1))))</f>
        <v/>
      </c>
      <c r="BV297">
        <f>IF($BU297="","",MID($BU297,4,FIND("~",SUBSTITUTE($BU297,"-","~",2))-4))</f>
        <v/>
      </c>
      <c r="BW297">
        <f>IF($BU297="","",MID($BU297,FIND("~",SUBSTITUTE($BU297,"-","~",2))+1,FIND("~",SUBSTITUTE($BU297,"-","~",3))-FIND("~",SUBSTITUTE($BU297,"-","~",2))-1))</f>
        <v/>
      </c>
      <c r="BX297">
        <f>IF($BV297="","",IFERROR(VLOOKUP($BV297,DECODE!$A$3:$C$8,3,FALSE),"?"))</f>
        <v/>
      </c>
      <c r="BY297">
        <f>IF($BW297="","",IFERROR(VLOOKUP($BV297&amp;"-"&amp;$BW297,DECODE!$E$3:$F$21,2,FALSE),"?"))</f>
        <v/>
      </c>
      <c r="BZ297">
        <f>IF($BU297="","",IFERROR(VALUE(RIGHT($BU297,3)),""))</f>
        <v/>
      </c>
      <c r="CA297">
        <f>IF($X297="","",IFERROR(IF(ISNUMBER($X297),$X297,DATEVALUE(TRIM($X297))),""))</f>
        <v/>
      </c>
      <c r="CB297">
        <f>IF($CA297="","",IF(MONTH($CA297)&gt;=12,"Cold Winter",IF(MONTH($CA297)&gt;=10,"Post-Monsoon",IF(MONTH($CA297)&gt;=6,"Hot Humid",IF(MONTH($CA297)&gt;=3,"Hot Dry","Cold Winter")))))</f>
        <v/>
      </c>
      <c r="CC297">
        <f>IF($BV297="","",IFERROR(VLOOKUP($BV297,DECODE!$A$3:$C$8,2,FALSE),"?"))</f>
        <v/>
      </c>
      <c r="CD297">
        <f>IF($S297="","",UPPER(TRIM(LEFT($S297&amp;",",FIND(",",$S297&amp;",")-1))))</f>
        <v/>
      </c>
      <c r="CE297">
        <f>IF($CD297="","",MID($CD297,4,FIND("~",SUBSTITUTE($CD297,"-","~",2))-4))</f>
        <v/>
      </c>
      <c r="CF297">
        <f>IF($CD297="","",MID($CD297,FIND("~",SUBSTITUTE($CD297,"-","~",2))+1,FIND("~",SUBSTITUTE($CD297,"-","~",3))-FIND("~",SUBSTITUTE($CD297,"-","~",2))-1))</f>
        <v/>
      </c>
      <c r="CG297">
        <f>IF($CE297="","",IFERROR(VLOOKUP($CE297,DECODE!$A$3:$C$8,3,FALSE),"?"))</f>
        <v/>
      </c>
      <c r="CH297">
        <f>IF($CF297="","",IFERROR(VLOOKUP($CE297&amp;"-"&amp;$CF297,DECODE!$E$3:$F$21,2,FALSE),"?"))</f>
        <v/>
      </c>
      <c r="CI297">
        <f>IF($CD297="","",IFERROR(VALUE(RIGHT($CD297,3)),""))</f>
        <v/>
      </c>
      <c r="CJ297">
        <f>IF($Y297="","",IFERROR(IF(ISNUMBER($Y297),$Y297,DATEVALUE(TRIM($Y297))),""))</f>
        <v/>
      </c>
      <c r="CK297">
        <f>IF($CJ297="","",IF(MONTH($CJ297)&gt;=12,"Cold Winter",IF(MONTH($CJ297)&gt;=10,"Post-Monsoon",IF(MONTH($CJ297)&gt;=6,"Hot Humid",IF(MONTH($CJ297)&gt;=3,"Hot Dry","Cold Winter")))))</f>
        <v/>
      </c>
      <c r="CL297">
        <f>IF($CE297="","",IFERROR(VLOOKUP($CE297,DECODE!$A$3:$C$8,2,FALSE),"?"))</f>
        <v/>
      </c>
      <c r="CM297">
        <f>IF($AN297="","",AN297)</f>
        <v/>
      </c>
      <c r="CN297">
        <f>IF($AO297="","",AO297)</f>
        <v/>
      </c>
      <c r="CO297">
        <f>IF($AP297="","",AP297)</f>
        <v/>
      </c>
      <c r="CP297">
        <f>IF($CM297="","",IF($CM297="Aloe Vera Gel","Aloe Vera Gel "&amp;$CO297&amp;"g",CN297&amp;" "&amp;$CO297&amp;"g"))</f>
        <v/>
      </c>
      <c r="CQ297">
        <f>IF($AT297="",0,1)</f>
        <v/>
      </c>
      <c r="CR297">
        <f>IF($CQ297=0,"",AW297)</f>
        <v/>
      </c>
      <c r="CS297">
        <f>IF($CQ297=0,"",AX297)</f>
        <v/>
      </c>
      <c r="CT297">
        <f>IF($CQ297=0,"",AY297)</f>
        <v/>
      </c>
      <c r="CU297">
        <f>IF($CR297="","",IF($CR297="Aloe Vera Gel","Aloe Vera Gel "&amp;$CT297&amp;"g",CS297&amp;" "&amp;$CT297&amp;"g"))</f>
        <v/>
      </c>
      <c r="CV297">
        <f>IF($CQ297=0,"",IF($CP297=$CU297,"Repeat Exact",IF($CT297&gt;$CO297,"Upsized",IF($CT297&lt;$CO297,"Downsized",IF($CM297&lt;&gt;$CR297,"Lateral","Same Size Diff Variant")))))</f>
        <v/>
      </c>
      <c r="CW297">
        <f>IF($CQ297=0,"",AZ297-AQ297)</f>
        <v/>
      </c>
      <c r="CX297">
        <f>IF($CQ297=0,0,IF(CS297=CN297,1,0))</f>
        <v/>
      </c>
      <c r="CY297">
        <f>IF($CQ297=0,0,IF(CR297=CM297,1,0))</f>
        <v/>
      </c>
      <c r="CZ297">
        <f>IF($A297="","",IF(AND(IF(DASHBOARD!$C$4="All",TRUE,$CM297=DASHBOARD!$C$4),IF(DASHBOARD!$C$6="All",TRUE,$CP297=DASHBOARD!$C$6),IF(DASHBOARD!$C$8="All",TRUE,$AF297&gt;=DASHBOARD!$C$8),IF(DASHBOARD!$C$10="All",TRUE,$AF297&lt;=DASHBOARD!$C$10),IF(DASHBOARD!$C$12="All",TRUE,$AH297=VALUE(DASHBOARD!$C$12)),IF(DASHBOARD!$C$14="All",TRUE,$AJ297=DASHBOARD!$C$14)),1,0))</f>
        <v/>
      </c>
    </row>
    <row r="298">
      <c r="A298" t="n">
        <v>167395</v>
      </c>
      <c r="B298" t="inlineStr">
        <is>
          <t>Active Gel</t>
        </is>
      </c>
      <c r="H298" t="inlineStr">
        <is>
          <t>Active Orange Kiwi Vit-C Gel</t>
        </is>
      </c>
      <c r="N298" t="inlineStr">
        <is>
          <t>FC-AC-OK-050</t>
        </is>
      </c>
      <c r="T298" t="inlineStr">
        <is>
          <t>Jan 14, 2024</t>
        </is>
      </c>
      <c r="AE298" t="inlineStr">
        <is>
          <t>Thane</t>
        </is>
      </c>
      <c r="AF298" t="inlineStr">
        <is>
          <t>2024-01</t>
        </is>
      </c>
      <c r="AG298" t="n">
        <v>1</v>
      </c>
      <c r="AH298" t="n">
        <v>1</v>
      </c>
      <c r="AI298" t="n">
        <v>0</v>
      </c>
      <c r="AJ298">
        <f>IF($AE298="","",IFERROR(VLOOKUP(TRIM($AE298),DECODE!$H$3:$I$60,2,FALSE),"Rest of India"))</f>
        <v/>
      </c>
      <c r="AK298">
        <f>IF($N298="","",UPPER(TRIM(LEFT($N298&amp;",",FIND(",",$N298&amp;",")-1))))</f>
        <v/>
      </c>
      <c r="AL298">
        <f>IF($AK298="","",MID($AK298,4,FIND("~",SUBSTITUTE($AK298,"-","~",2))-4))</f>
        <v/>
      </c>
      <c r="AM298">
        <f>IF($AK298="","",MID($AK298,FIND("~",SUBSTITUTE($AK298,"-","~",2))+1,FIND("~",SUBSTITUTE($AK298,"-","~",3))-FIND("~",SUBSTITUTE($AK298,"-","~",2))-1))</f>
        <v/>
      </c>
      <c r="AN298">
        <f>IF($AL298="","",IFERROR(VLOOKUP($AL298,DECODE!$A$3:$C$8,3,FALSE),"?"))</f>
        <v/>
      </c>
      <c r="AO298">
        <f>IF($AM298="","",IFERROR(VLOOKUP($AL298&amp;"-"&amp;$AM298,DECODE!$E$3:$F$21,2,FALSE),"?"))</f>
        <v/>
      </c>
      <c r="AP298">
        <f>IF($AK298="","",IFERROR(VALUE(RIGHT($AK298,3)),""))</f>
        <v/>
      </c>
      <c r="AQ298">
        <f>IF($T298="","",IFERROR(IF(ISNUMBER($T298),$T298,DATEVALUE(TRIM($T298))),""))</f>
        <v/>
      </c>
      <c r="AR298">
        <f>IF($AQ298="","",IF(MONTH($AQ298)&gt;=12,"Cold Winter",IF(MONTH($AQ298)&gt;=10,"Post-Monsoon",IF(MONTH($AQ298)&gt;=6,"Hot Humid",IF(MONTH($AQ298)&gt;=3,"Hot Dry","Cold Winter")))))</f>
        <v/>
      </c>
      <c r="AS298">
        <f>IF($AL298="","",IFERROR(VLOOKUP($AL298,DECODE!$A$3:$C$8,2,FALSE),"?"))</f>
        <v/>
      </c>
      <c r="AT298">
        <f>IF($O298="","",UPPER(TRIM(LEFT($O298&amp;",",FIND(",",$O298&amp;",")-1))))</f>
        <v/>
      </c>
      <c r="AU298">
        <f>IF($AT298="","",MID($AT298,4,FIND("~",SUBSTITUTE($AT298,"-","~",2))-4))</f>
        <v/>
      </c>
      <c r="AV298">
        <f>IF($AT298="","",MID($AT298,FIND("~",SUBSTITUTE($AT298,"-","~",2))+1,FIND("~",SUBSTITUTE($AT298,"-","~",3))-FIND("~",SUBSTITUTE($AT298,"-","~",2))-1))</f>
        <v/>
      </c>
      <c r="AW298">
        <f>IF($AU298="","",IFERROR(VLOOKUP($AU298,DECODE!$A$3:$C$8,3,FALSE),"?"))</f>
        <v/>
      </c>
      <c r="AX298">
        <f>IF($AV298="","",IFERROR(VLOOKUP($AU298&amp;"-"&amp;$AV298,DECODE!$E$3:$F$21,2,FALSE),"?"))</f>
        <v/>
      </c>
      <c r="AY298">
        <f>IF($AT298="","",IFERROR(VALUE(RIGHT($AT298,3)),""))</f>
        <v/>
      </c>
      <c r="AZ298">
        <f>IF($U298="","",IFERROR(IF(ISNUMBER($U298),$U298,DATEVALUE(TRIM($U298))),""))</f>
        <v/>
      </c>
      <c r="BA298">
        <f>IF($AZ298="","",IF(MONTH($AZ298)&gt;=12,"Cold Winter",IF(MONTH($AZ298)&gt;=10,"Post-Monsoon",IF(MONTH($AZ298)&gt;=6,"Hot Humid",IF(MONTH($AZ298)&gt;=3,"Hot Dry","Cold Winter")))))</f>
        <v/>
      </c>
      <c r="BB298">
        <f>IF($AU298="","",IFERROR(VLOOKUP($AU298,DECODE!$A$3:$C$8,2,FALSE),"?"))</f>
        <v/>
      </c>
      <c r="BC298">
        <f>IF($P298="","",UPPER(TRIM(LEFT($P298&amp;",",FIND(",",$P298&amp;",")-1))))</f>
        <v/>
      </c>
      <c r="BD298">
        <f>IF($BC298="","",MID($BC298,4,FIND("~",SUBSTITUTE($BC298,"-","~",2))-4))</f>
        <v/>
      </c>
      <c r="BE298">
        <f>IF($BC298="","",MID($BC298,FIND("~",SUBSTITUTE($BC298,"-","~",2))+1,FIND("~",SUBSTITUTE($BC298,"-","~",3))-FIND("~",SUBSTITUTE($BC298,"-","~",2))-1))</f>
        <v/>
      </c>
      <c r="BF298">
        <f>IF($BD298="","",IFERROR(VLOOKUP($BD298,DECODE!$A$3:$C$8,3,FALSE),"?"))</f>
        <v/>
      </c>
      <c r="BG298">
        <f>IF($BE298="","",IFERROR(VLOOKUP($BD298&amp;"-"&amp;$BE298,DECODE!$E$3:$F$21,2,FALSE),"?"))</f>
        <v/>
      </c>
      <c r="BH298">
        <f>IF($BC298="","",IFERROR(VALUE(RIGHT($BC298,3)),""))</f>
        <v/>
      </c>
      <c r="BI298">
        <f>IF($V298="","",IFERROR(IF(ISNUMBER($V298),$V298,DATEVALUE(TRIM($V298))),""))</f>
        <v/>
      </c>
      <c r="BJ298">
        <f>IF($BI298="","",IF(MONTH($BI298)&gt;=12,"Cold Winter",IF(MONTH($BI298)&gt;=10,"Post-Monsoon",IF(MONTH($BI298)&gt;=6,"Hot Humid",IF(MONTH($BI298)&gt;=3,"Hot Dry","Cold Winter")))))</f>
        <v/>
      </c>
      <c r="BK298">
        <f>IF($BD298="","",IFERROR(VLOOKUP($BD298,DECODE!$A$3:$C$8,2,FALSE),"?"))</f>
        <v/>
      </c>
      <c r="BL298">
        <f>IF($Q298="","",UPPER(TRIM(LEFT($Q298&amp;",",FIND(",",$Q298&amp;",")-1))))</f>
        <v/>
      </c>
      <c r="BM298">
        <f>IF($BL298="","",MID($BL298,4,FIND("~",SUBSTITUTE($BL298,"-","~",2))-4))</f>
        <v/>
      </c>
      <c r="BN298">
        <f>IF($BL298="","",MID($BL298,FIND("~",SUBSTITUTE($BL298,"-","~",2))+1,FIND("~",SUBSTITUTE($BL298,"-","~",3))-FIND("~",SUBSTITUTE($BL298,"-","~",2))-1))</f>
        <v/>
      </c>
      <c r="BO298">
        <f>IF($BM298="","",IFERROR(VLOOKUP($BM298,DECODE!$A$3:$C$8,3,FALSE),"?"))</f>
        <v/>
      </c>
      <c r="BP298">
        <f>IF($BN298="","",IFERROR(VLOOKUP($BM298&amp;"-"&amp;$BN298,DECODE!$E$3:$F$21,2,FALSE),"?"))</f>
        <v/>
      </c>
      <c r="BQ298">
        <f>IF($BL298="","",IFERROR(VALUE(RIGHT($BL298,3)),""))</f>
        <v/>
      </c>
      <c r="BR298">
        <f>IF($W298="","",IFERROR(IF(ISNUMBER($W298),$W298,DATEVALUE(TRIM($W298))),""))</f>
        <v/>
      </c>
      <c r="BS298">
        <f>IF($BR298="","",IF(MONTH($BR298)&gt;=12,"Cold Winter",IF(MONTH($BR298)&gt;=10,"Post-Monsoon",IF(MONTH($BR298)&gt;=6,"Hot Humid",IF(MONTH($BR298)&gt;=3,"Hot Dry","Cold Winter")))))</f>
        <v/>
      </c>
      <c r="BT298">
        <f>IF($BM298="","",IFERROR(VLOOKUP($BM298,DECODE!$A$3:$C$8,2,FALSE),"?"))</f>
        <v/>
      </c>
      <c r="BU298">
        <f>IF($R298="","",UPPER(TRIM(LEFT($R298&amp;",",FIND(",",$R298&amp;",")-1))))</f>
        <v/>
      </c>
      <c r="BV298">
        <f>IF($BU298="","",MID($BU298,4,FIND("~",SUBSTITUTE($BU298,"-","~",2))-4))</f>
        <v/>
      </c>
      <c r="BW298">
        <f>IF($BU298="","",MID($BU298,FIND("~",SUBSTITUTE($BU298,"-","~",2))+1,FIND("~",SUBSTITUTE($BU298,"-","~",3))-FIND("~",SUBSTITUTE($BU298,"-","~",2))-1))</f>
        <v/>
      </c>
      <c r="BX298">
        <f>IF($BV298="","",IFERROR(VLOOKUP($BV298,DECODE!$A$3:$C$8,3,FALSE),"?"))</f>
        <v/>
      </c>
      <c r="BY298">
        <f>IF($BW298="","",IFERROR(VLOOKUP($BV298&amp;"-"&amp;$BW298,DECODE!$E$3:$F$21,2,FALSE),"?"))</f>
        <v/>
      </c>
      <c r="BZ298">
        <f>IF($BU298="","",IFERROR(VALUE(RIGHT($BU298,3)),""))</f>
        <v/>
      </c>
      <c r="CA298">
        <f>IF($X298="","",IFERROR(IF(ISNUMBER($X298),$X298,DATEVALUE(TRIM($X298))),""))</f>
        <v/>
      </c>
      <c r="CB298">
        <f>IF($CA298="","",IF(MONTH($CA298)&gt;=12,"Cold Winter",IF(MONTH($CA298)&gt;=10,"Post-Monsoon",IF(MONTH($CA298)&gt;=6,"Hot Humid",IF(MONTH($CA298)&gt;=3,"Hot Dry","Cold Winter")))))</f>
        <v/>
      </c>
      <c r="CC298">
        <f>IF($BV298="","",IFERROR(VLOOKUP($BV298,DECODE!$A$3:$C$8,2,FALSE),"?"))</f>
        <v/>
      </c>
      <c r="CD298">
        <f>IF($S298="","",UPPER(TRIM(LEFT($S298&amp;",",FIND(",",$S298&amp;",")-1))))</f>
        <v/>
      </c>
      <c r="CE298">
        <f>IF($CD298="","",MID($CD298,4,FIND("~",SUBSTITUTE($CD298,"-","~",2))-4))</f>
        <v/>
      </c>
      <c r="CF298">
        <f>IF($CD298="","",MID($CD298,FIND("~",SUBSTITUTE($CD298,"-","~",2))+1,FIND("~",SUBSTITUTE($CD298,"-","~",3))-FIND("~",SUBSTITUTE($CD298,"-","~",2))-1))</f>
        <v/>
      </c>
      <c r="CG298">
        <f>IF($CE298="","",IFERROR(VLOOKUP($CE298,DECODE!$A$3:$C$8,3,FALSE),"?"))</f>
        <v/>
      </c>
      <c r="CH298">
        <f>IF($CF298="","",IFERROR(VLOOKUP($CE298&amp;"-"&amp;$CF298,DECODE!$E$3:$F$21,2,FALSE),"?"))</f>
        <v/>
      </c>
      <c r="CI298">
        <f>IF($CD298="","",IFERROR(VALUE(RIGHT($CD298,3)),""))</f>
        <v/>
      </c>
      <c r="CJ298">
        <f>IF($Y298="","",IFERROR(IF(ISNUMBER($Y298),$Y298,DATEVALUE(TRIM($Y298))),""))</f>
        <v/>
      </c>
      <c r="CK298">
        <f>IF($CJ298="","",IF(MONTH($CJ298)&gt;=12,"Cold Winter",IF(MONTH($CJ298)&gt;=10,"Post-Monsoon",IF(MONTH($CJ298)&gt;=6,"Hot Humid",IF(MONTH($CJ298)&gt;=3,"Hot Dry","Cold Winter")))))</f>
        <v/>
      </c>
      <c r="CL298">
        <f>IF($CE298="","",IFERROR(VLOOKUP($CE298,DECODE!$A$3:$C$8,2,FALSE),"?"))</f>
        <v/>
      </c>
      <c r="CM298">
        <f>IF($AN298="","",AN298)</f>
        <v/>
      </c>
      <c r="CN298">
        <f>IF($AO298="","",AO298)</f>
        <v/>
      </c>
      <c r="CO298">
        <f>IF($AP298="","",AP298)</f>
        <v/>
      </c>
      <c r="CP298">
        <f>IF($CM298="","",IF($CM298="Aloe Vera Gel","Aloe Vera Gel "&amp;$CO298&amp;"g",CN298&amp;" "&amp;$CO298&amp;"g"))</f>
        <v/>
      </c>
      <c r="CQ298">
        <f>IF($AT298="",0,1)</f>
        <v/>
      </c>
      <c r="CR298">
        <f>IF($CQ298=0,"",AW298)</f>
        <v/>
      </c>
      <c r="CS298">
        <f>IF($CQ298=0,"",AX298)</f>
        <v/>
      </c>
      <c r="CT298">
        <f>IF($CQ298=0,"",AY298)</f>
        <v/>
      </c>
      <c r="CU298">
        <f>IF($CR298="","",IF($CR298="Aloe Vera Gel","Aloe Vera Gel "&amp;$CT298&amp;"g",CS298&amp;" "&amp;$CT298&amp;"g"))</f>
        <v/>
      </c>
      <c r="CV298">
        <f>IF($CQ298=0,"",IF($CP298=$CU298,"Repeat Exact",IF($CT298&gt;$CO298,"Upsized",IF($CT298&lt;$CO298,"Downsized",IF($CM298&lt;&gt;$CR298,"Lateral","Same Size Diff Variant")))))</f>
        <v/>
      </c>
      <c r="CW298">
        <f>IF($CQ298=0,"",AZ298-AQ298)</f>
        <v/>
      </c>
      <c r="CX298">
        <f>IF($CQ298=0,0,IF(CS298=CN298,1,0))</f>
        <v/>
      </c>
      <c r="CY298">
        <f>IF($CQ298=0,0,IF(CR298=CM298,1,0))</f>
        <v/>
      </c>
      <c r="CZ298">
        <f>IF($A298="","",IF(AND(IF(DASHBOARD!$C$4="All",TRUE,$CM298=DASHBOARD!$C$4),IF(DASHBOARD!$C$6="All",TRUE,$CP298=DASHBOARD!$C$6),IF(DASHBOARD!$C$8="All",TRUE,$AF298&gt;=DASHBOARD!$C$8),IF(DASHBOARD!$C$10="All",TRUE,$AF298&lt;=DASHBOARD!$C$10),IF(DASHBOARD!$C$12="All",TRUE,$AH298=VALUE(DASHBOARD!$C$12)),IF(DASHBOARD!$C$14="All",TRUE,$AJ298=DASHBOARD!$C$14)),1,0))</f>
        <v/>
      </c>
    </row>
    <row r="299">
      <c r="A299" t="n">
        <v>167517</v>
      </c>
      <c r="B299" t="inlineStr">
        <is>
          <t>Face Malai</t>
        </is>
      </c>
      <c r="H299" t="inlineStr">
        <is>
          <t>Tomato Rosehip (Hot Dry) 20 - 35 Yrs Face Malai - 30g</t>
        </is>
      </c>
      <c r="N299" t="inlineStr">
        <is>
          <t>FC-HDDM-TR-030</t>
        </is>
      </c>
      <c r="T299" t="inlineStr">
        <is>
          <t>Mar 10, 2024</t>
        </is>
      </c>
      <c r="AE299" t="inlineStr">
        <is>
          <t>Indore</t>
        </is>
      </c>
      <c r="AF299" t="inlineStr">
        <is>
          <t>2024-03</t>
        </is>
      </c>
      <c r="AG299" t="n">
        <v>3</v>
      </c>
      <c r="AH299" t="n">
        <v>1</v>
      </c>
      <c r="AI299" t="n">
        <v>0</v>
      </c>
      <c r="AJ299">
        <f>IF($AE299="","",IFERROR(VLOOKUP(TRIM($AE299),DECODE!$H$3:$I$60,2,FALSE),"Rest of India"))</f>
        <v/>
      </c>
      <c r="AK299">
        <f>IF($N299="","",UPPER(TRIM(LEFT($N299&amp;",",FIND(",",$N299&amp;",")-1))))</f>
        <v/>
      </c>
      <c r="AL299">
        <f>IF($AK299="","",MID($AK299,4,FIND("~",SUBSTITUTE($AK299,"-","~",2))-4))</f>
        <v/>
      </c>
      <c r="AM299">
        <f>IF($AK299="","",MID($AK299,FIND("~",SUBSTITUTE($AK299,"-","~",2))+1,FIND("~",SUBSTITUTE($AK299,"-","~",3))-FIND("~",SUBSTITUTE($AK299,"-","~",2))-1))</f>
        <v/>
      </c>
      <c r="AN299">
        <f>IF($AL299="","",IFERROR(VLOOKUP($AL299,DECODE!$A$3:$C$8,3,FALSE),"?"))</f>
        <v/>
      </c>
      <c r="AO299">
        <f>IF($AM299="","",IFERROR(VLOOKUP($AL299&amp;"-"&amp;$AM299,DECODE!$E$3:$F$21,2,FALSE),"?"))</f>
        <v/>
      </c>
      <c r="AP299">
        <f>IF($AK299="","",IFERROR(VALUE(RIGHT($AK299,3)),""))</f>
        <v/>
      </c>
      <c r="AQ299">
        <f>IF($T299="","",IFERROR(IF(ISNUMBER($T299),$T299,DATEVALUE(TRIM($T299))),""))</f>
        <v/>
      </c>
      <c r="AR299">
        <f>IF($AQ299="","",IF(MONTH($AQ299)&gt;=12,"Cold Winter",IF(MONTH($AQ299)&gt;=10,"Post-Monsoon",IF(MONTH($AQ299)&gt;=6,"Hot Humid",IF(MONTH($AQ299)&gt;=3,"Hot Dry","Cold Winter")))))</f>
        <v/>
      </c>
      <c r="AS299">
        <f>IF($AL299="","",IFERROR(VLOOKUP($AL299,DECODE!$A$3:$C$8,2,FALSE),"?"))</f>
        <v/>
      </c>
      <c r="AT299">
        <f>IF($O299="","",UPPER(TRIM(LEFT($O299&amp;",",FIND(",",$O299&amp;",")-1))))</f>
        <v/>
      </c>
      <c r="AU299">
        <f>IF($AT299="","",MID($AT299,4,FIND("~",SUBSTITUTE($AT299,"-","~",2))-4))</f>
        <v/>
      </c>
      <c r="AV299">
        <f>IF($AT299="","",MID($AT299,FIND("~",SUBSTITUTE($AT299,"-","~",2))+1,FIND("~",SUBSTITUTE($AT299,"-","~",3))-FIND("~",SUBSTITUTE($AT299,"-","~",2))-1))</f>
        <v/>
      </c>
      <c r="AW299">
        <f>IF($AU299="","",IFERROR(VLOOKUP($AU299,DECODE!$A$3:$C$8,3,FALSE),"?"))</f>
        <v/>
      </c>
      <c r="AX299">
        <f>IF($AV299="","",IFERROR(VLOOKUP($AU299&amp;"-"&amp;$AV299,DECODE!$E$3:$F$21,2,FALSE),"?"))</f>
        <v/>
      </c>
      <c r="AY299">
        <f>IF($AT299="","",IFERROR(VALUE(RIGHT($AT299,3)),""))</f>
        <v/>
      </c>
      <c r="AZ299">
        <f>IF($U299="","",IFERROR(IF(ISNUMBER($U299),$U299,DATEVALUE(TRIM($U299))),""))</f>
        <v/>
      </c>
      <c r="BA299">
        <f>IF($AZ299="","",IF(MONTH($AZ299)&gt;=12,"Cold Winter",IF(MONTH($AZ299)&gt;=10,"Post-Monsoon",IF(MONTH($AZ299)&gt;=6,"Hot Humid",IF(MONTH($AZ299)&gt;=3,"Hot Dry","Cold Winter")))))</f>
        <v/>
      </c>
      <c r="BB299">
        <f>IF($AU299="","",IFERROR(VLOOKUP($AU299,DECODE!$A$3:$C$8,2,FALSE),"?"))</f>
        <v/>
      </c>
      <c r="BC299">
        <f>IF($P299="","",UPPER(TRIM(LEFT($P299&amp;",",FIND(",",$P299&amp;",")-1))))</f>
        <v/>
      </c>
      <c r="BD299">
        <f>IF($BC299="","",MID($BC299,4,FIND("~",SUBSTITUTE($BC299,"-","~",2))-4))</f>
        <v/>
      </c>
      <c r="BE299">
        <f>IF($BC299="","",MID($BC299,FIND("~",SUBSTITUTE($BC299,"-","~",2))+1,FIND("~",SUBSTITUTE($BC299,"-","~",3))-FIND("~",SUBSTITUTE($BC299,"-","~",2))-1))</f>
        <v/>
      </c>
      <c r="BF299">
        <f>IF($BD299="","",IFERROR(VLOOKUP($BD299,DECODE!$A$3:$C$8,3,FALSE),"?"))</f>
        <v/>
      </c>
      <c r="BG299">
        <f>IF($BE299="","",IFERROR(VLOOKUP($BD299&amp;"-"&amp;$BE299,DECODE!$E$3:$F$21,2,FALSE),"?"))</f>
        <v/>
      </c>
      <c r="BH299">
        <f>IF($BC299="","",IFERROR(VALUE(RIGHT($BC299,3)),""))</f>
        <v/>
      </c>
      <c r="BI299">
        <f>IF($V299="","",IFERROR(IF(ISNUMBER($V299),$V299,DATEVALUE(TRIM($V299))),""))</f>
        <v/>
      </c>
      <c r="BJ299">
        <f>IF($BI299="","",IF(MONTH($BI299)&gt;=12,"Cold Winter",IF(MONTH($BI299)&gt;=10,"Post-Monsoon",IF(MONTH($BI299)&gt;=6,"Hot Humid",IF(MONTH($BI299)&gt;=3,"Hot Dry","Cold Winter")))))</f>
        <v/>
      </c>
      <c r="BK299">
        <f>IF($BD299="","",IFERROR(VLOOKUP($BD299,DECODE!$A$3:$C$8,2,FALSE),"?"))</f>
        <v/>
      </c>
      <c r="BL299">
        <f>IF($Q299="","",UPPER(TRIM(LEFT($Q299&amp;",",FIND(",",$Q299&amp;",")-1))))</f>
        <v/>
      </c>
      <c r="BM299">
        <f>IF($BL299="","",MID($BL299,4,FIND("~",SUBSTITUTE($BL299,"-","~",2))-4))</f>
        <v/>
      </c>
      <c r="BN299">
        <f>IF($BL299="","",MID($BL299,FIND("~",SUBSTITUTE($BL299,"-","~",2))+1,FIND("~",SUBSTITUTE($BL299,"-","~",3))-FIND("~",SUBSTITUTE($BL299,"-","~",2))-1))</f>
        <v/>
      </c>
      <c r="BO299">
        <f>IF($BM299="","",IFERROR(VLOOKUP($BM299,DECODE!$A$3:$C$8,3,FALSE),"?"))</f>
        <v/>
      </c>
      <c r="BP299">
        <f>IF($BN299="","",IFERROR(VLOOKUP($BM299&amp;"-"&amp;$BN299,DECODE!$E$3:$F$21,2,FALSE),"?"))</f>
        <v/>
      </c>
      <c r="BQ299">
        <f>IF($BL299="","",IFERROR(VALUE(RIGHT($BL299,3)),""))</f>
        <v/>
      </c>
      <c r="BR299">
        <f>IF($W299="","",IFERROR(IF(ISNUMBER($W299),$W299,DATEVALUE(TRIM($W299))),""))</f>
        <v/>
      </c>
      <c r="BS299">
        <f>IF($BR299="","",IF(MONTH($BR299)&gt;=12,"Cold Winter",IF(MONTH($BR299)&gt;=10,"Post-Monsoon",IF(MONTH($BR299)&gt;=6,"Hot Humid",IF(MONTH($BR299)&gt;=3,"Hot Dry","Cold Winter")))))</f>
        <v/>
      </c>
      <c r="BT299">
        <f>IF($BM299="","",IFERROR(VLOOKUP($BM299,DECODE!$A$3:$C$8,2,FALSE),"?"))</f>
        <v/>
      </c>
      <c r="BU299">
        <f>IF($R299="","",UPPER(TRIM(LEFT($R299&amp;",",FIND(",",$R299&amp;",")-1))))</f>
        <v/>
      </c>
      <c r="BV299">
        <f>IF($BU299="","",MID($BU299,4,FIND("~",SUBSTITUTE($BU299,"-","~",2))-4))</f>
        <v/>
      </c>
      <c r="BW299">
        <f>IF($BU299="","",MID($BU299,FIND("~",SUBSTITUTE($BU299,"-","~",2))+1,FIND("~",SUBSTITUTE($BU299,"-","~",3))-FIND("~",SUBSTITUTE($BU299,"-","~",2))-1))</f>
        <v/>
      </c>
      <c r="BX299">
        <f>IF($BV299="","",IFERROR(VLOOKUP($BV299,DECODE!$A$3:$C$8,3,FALSE),"?"))</f>
        <v/>
      </c>
      <c r="BY299">
        <f>IF($BW299="","",IFERROR(VLOOKUP($BV299&amp;"-"&amp;$BW299,DECODE!$E$3:$F$21,2,FALSE),"?"))</f>
        <v/>
      </c>
      <c r="BZ299">
        <f>IF($BU299="","",IFERROR(VALUE(RIGHT($BU299,3)),""))</f>
        <v/>
      </c>
      <c r="CA299">
        <f>IF($X299="","",IFERROR(IF(ISNUMBER($X299),$X299,DATEVALUE(TRIM($X299))),""))</f>
        <v/>
      </c>
      <c r="CB299">
        <f>IF($CA299="","",IF(MONTH($CA299)&gt;=12,"Cold Winter",IF(MONTH($CA299)&gt;=10,"Post-Monsoon",IF(MONTH($CA299)&gt;=6,"Hot Humid",IF(MONTH($CA299)&gt;=3,"Hot Dry","Cold Winter")))))</f>
        <v/>
      </c>
      <c r="CC299">
        <f>IF($BV299="","",IFERROR(VLOOKUP($BV299,DECODE!$A$3:$C$8,2,FALSE),"?"))</f>
        <v/>
      </c>
      <c r="CD299">
        <f>IF($S299="","",UPPER(TRIM(LEFT($S299&amp;",",FIND(",",$S299&amp;",")-1))))</f>
        <v/>
      </c>
      <c r="CE299">
        <f>IF($CD299="","",MID($CD299,4,FIND("~",SUBSTITUTE($CD299,"-","~",2))-4))</f>
        <v/>
      </c>
      <c r="CF299">
        <f>IF($CD299="","",MID($CD299,FIND("~",SUBSTITUTE($CD299,"-","~",2))+1,FIND("~",SUBSTITUTE($CD299,"-","~",3))-FIND("~",SUBSTITUTE($CD299,"-","~",2))-1))</f>
        <v/>
      </c>
      <c r="CG299">
        <f>IF($CE299="","",IFERROR(VLOOKUP($CE299,DECODE!$A$3:$C$8,3,FALSE),"?"))</f>
        <v/>
      </c>
      <c r="CH299">
        <f>IF($CF299="","",IFERROR(VLOOKUP($CE299&amp;"-"&amp;$CF299,DECODE!$E$3:$F$21,2,FALSE),"?"))</f>
        <v/>
      </c>
      <c r="CI299">
        <f>IF($CD299="","",IFERROR(VALUE(RIGHT($CD299,3)),""))</f>
        <v/>
      </c>
      <c r="CJ299">
        <f>IF($Y299="","",IFERROR(IF(ISNUMBER($Y299),$Y299,DATEVALUE(TRIM($Y299))),""))</f>
        <v/>
      </c>
      <c r="CK299">
        <f>IF($CJ299="","",IF(MONTH($CJ299)&gt;=12,"Cold Winter",IF(MONTH($CJ299)&gt;=10,"Post-Monsoon",IF(MONTH($CJ299)&gt;=6,"Hot Humid",IF(MONTH($CJ299)&gt;=3,"Hot Dry","Cold Winter")))))</f>
        <v/>
      </c>
      <c r="CL299">
        <f>IF($CE299="","",IFERROR(VLOOKUP($CE299,DECODE!$A$3:$C$8,2,FALSE),"?"))</f>
        <v/>
      </c>
      <c r="CM299">
        <f>IF($AN299="","",AN299)</f>
        <v/>
      </c>
      <c r="CN299">
        <f>IF($AO299="","",AO299)</f>
        <v/>
      </c>
      <c r="CO299">
        <f>IF($AP299="","",AP299)</f>
        <v/>
      </c>
      <c r="CP299">
        <f>IF($CM299="","",IF($CM299="Aloe Vera Gel","Aloe Vera Gel "&amp;$CO299&amp;"g",CN299&amp;" "&amp;$CO299&amp;"g"))</f>
        <v/>
      </c>
      <c r="CQ299">
        <f>IF($AT299="",0,1)</f>
        <v/>
      </c>
      <c r="CR299">
        <f>IF($CQ299=0,"",AW299)</f>
        <v/>
      </c>
      <c r="CS299">
        <f>IF($CQ299=0,"",AX299)</f>
        <v/>
      </c>
      <c r="CT299">
        <f>IF($CQ299=0,"",AY299)</f>
        <v/>
      </c>
      <c r="CU299">
        <f>IF($CR299="","",IF($CR299="Aloe Vera Gel","Aloe Vera Gel "&amp;$CT299&amp;"g",CS299&amp;" "&amp;$CT299&amp;"g"))</f>
        <v/>
      </c>
      <c r="CV299">
        <f>IF($CQ299=0,"",IF($CP299=$CU299,"Repeat Exact",IF($CT299&gt;$CO299,"Upsized",IF($CT299&lt;$CO299,"Downsized",IF($CM299&lt;&gt;$CR299,"Lateral","Same Size Diff Variant")))))</f>
        <v/>
      </c>
      <c r="CW299">
        <f>IF($CQ299=0,"",AZ299-AQ299)</f>
        <v/>
      </c>
      <c r="CX299">
        <f>IF($CQ299=0,0,IF(CS299=CN299,1,0))</f>
        <v/>
      </c>
      <c r="CY299">
        <f>IF($CQ299=0,0,IF(CR299=CM299,1,0))</f>
        <v/>
      </c>
      <c r="CZ299">
        <f>IF($A299="","",IF(AND(IF(DASHBOARD!$C$4="All",TRUE,$CM299=DASHBOARD!$C$4),IF(DASHBOARD!$C$6="All",TRUE,$CP299=DASHBOARD!$C$6),IF(DASHBOARD!$C$8="All",TRUE,$AF299&gt;=DASHBOARD!$C$8),IF(DASHBOARD!$C$10="All",TRUE,$AF299&lt;=DASHBOARD!$C$10),IF(DASHBOARD!$C$12="All",TRUE,$AH299=VALUE(DASHBOARD!$C$12)),IF(DASHBOARD!$C$14="All",TRUE,$AJ299=DASHBOARD!$C$14)),1,0))</f>
        <v/>
      </c>
    </row>
    <row r="300">
      <c r="A300" t="n">
        <v>167697</v>
      </c>
      <c r="B300" t="inlineStr">
        <is>
          <t>Face Malai</t>
        </is>
      </c>
      <c r="H300" t="inlineStr">
        <is>
          <t>Winter Blackseed Tulsi (Cold) 13 - 19 Yrs Face Malai</t>
        </is>
      </c>
      <c r="N300" t="inlineStr">
        <is>
          <t>FC-CWDM-BT-030</t>
        </is>
      </c>
      <c r="T300" t="inlineStr">
        <is>
          <t>Feb 18, 2024</t>
        </is>
      </c>
      <c r="AE300" t="inlineStr">
        <is>
          <t>Bengaluru</t>
        </is>
      </c>
      <c r="AF300" t="inlineStr">
        <is>
          <t>2024-02</t>
        </is>
      </c>
      <c r="AG300" t="n">
        <v>2</v>
      </c>
      <c r="AH300" t="n">
        <v>1</v>
      </c>
      <c r="AI300" t="n">
        <v>0</v>
      </c>
      <c r="AJ300">
        <f>IF($AE300="","",IFERROR(VLOOKUP(TRIM($AE300),DECODE!$H$3:$I$60,2,FALSE),"Rest of India"))</f>
        <v/>
      </c>
      <c r="AK300">
        <f>IF($N300="","",UPPER(TRIM(LEFT($N300&amp;",",FIND(",",$N300&amp;",")-1))))</f>
        <v/>
      </c>
      <c r="AL300">
        <f>IF($AK300="","",MID($AK300,4,FIND("~",SUBSTITUTE($AK300,"-","~",2))-4))</f>
        <v/>
      </c>
      <c r="AM300">
        <f>IF($AK300="","",MID($AK300,FIND("~",SUBSTITUTE($AK300,"-","~",2))+1,FIND("~",SUBSTITUTE($AK300,"-","~",3))-FIND("~",SUBSTITUTE($AK300,"-","~",2))-1))</f>
        <v/>
      </c>
      <c r="AN300">
        <f>IF($AL300="","",IFERROR(VLOOKUP($AL300,DECODE!$A$3:$C$8,3,FALSE),"?"))</f>
        <v/>
      </c>
      <c r="AO300">
        <f>IF($AM300="","",IFERROR(VLOOKUP($AL300&amp;"-"&amp;$AM300,DECODE!$E$3:$F$21,2,FALSE),"?"))</f>
        <v/>
      </c>
      <c r="AP300">
        <f>IF($AK300="","",IFERROR(VALUE(RIGHT($AK300,3)),""))</f>
        <v/>
      </c>
      <c r="AQ300">
        <f>IF($T300="","",IFERROR(IF(ISNUMBER($T300),$T300,DATEVALUE(TRIM($T300))),""))</f>
        <v/>
      </c>
      <c r="AR300">
        <f>IF($AQ300="","",IF(MONTH($AQ300)&gt;=12,"Cold Winter",IF(MONTH($AQ300)&gt;=10,"Post-Monsoon",IF(MONTH($AQ300)&gt;=6,"Hot Humid",IF(MONTH($AQ300)&gt;=3,"Hot Dry","Cold Winter")))))</f>
        <v/>
      </c>
      <c r="AS300">
        <f>IF($AL300="","",IFERROR(VLOOKUP($AL300,DECODE!$A$3:$C$8,2,FALSE),"?"))</f>
        <v/>
      </c>
      <c r="AT300">
        <f>IF($O300="","",UPPER(TRIM(LEFT($O300&amp;",",FIND(",",$O300&amp;",")-1))))</f>
        <v/>
      </c>
      <c r="AU300">
        <f>IF($AT300="","",MID($AT300,4,FIND("~",SUBSTITUTE($AT300,"-","~",2))-4))</f>
        <v/>
      </c>
      <c r="AV300">
        <f>IF($AT300="","",MID($AT300,FIND("~",SUBSTITUTE($AT300,"-","~",2))+1,FIND("~",SUBSTITUTE($AT300,"-","~",3))-FIND("~",SUBSTITUTE($AT300,"-","~",2))-1))</f>
        <v/>
      </c>
      <c r="AW300">
        <f>IF($AU300="","",IFERROR(VLOOKUP($AU300,DECODE!$A$3:$C$8,3,FALSE),"?"))</f>
        <v/>
      </c>
      <c r="AX300">
        <f>IF($AV300="","",IFERROR(VLOOKUP($AU300&amp;"-"&amp;$AV300,DECODE!$E$3:$F$21,2,FALSE),"?"))</f>
        <v/>
      </c>
      <c r="AY300">
        <f>IF($AT300="","",IFERROR(VALUE(RIGHT($AT300,3)),""))</f>
        <v/>
      </c>
      <c r="AZ300">
        <f>IF($U300="","",IFERROR(IF(ISNUMBER($U300),$U300,DATEVALUE(TRIM($U300))),""))</f>
        <v/>
      </c>
      <c r="BA300">
        <f>IF($AZ300="","",IF(MONTH($AZ300)&gt;=12,"Cold Winter",IF(MONTH($AZ300)&gt;=10,"Post-Monsoon",IF(MONTH($AZ300)&gt;=6,"Hot Humid",IF(MONTH($AZ300)&gt;=3,"Hot Dry","Cold Winter")))))</f>
        <v/>
      </c>
      <c r="BB300">
        <f>IF($AU300="","",IFERROR(VLOOKUP($AU300,DECODE!$A$3:$C$8,2,FALSE),"?"))</f>
        <v/>
      </c>
      <c r="BC300">
        <f>IF($P300="","",UPPER(TRIM(LEFT($P300&amp;",",FIND(",",$P300&amp;",")-1))))</f>
        <v/>
      </c>
      <c r="BD300">
        <f>IF($BC300="","",MID($BC300,4,FIND("~",SUBSTITUTE($BC300,"-","~",2))-4))</f>
        <v/>
      </c>
      <c r="BE300">
        <f>IF($BC300="","",MID($BC300,FIND("~",SUBSTITUTE($BC300,"-","~",2))+1,FIND("~",SUBSTITUTE($BC300,"-","~",3))-FIND("~",SUBSTITUTE($BC300,"-","~",2))-1))</f>
        <v/>
      </c>
      <c r="BF300">
        <f>IF($BD300="","",IFERROR(VLOOKUP($BD300,DECODE!$A$3:$C$8,3,FALSE),"?"))</f>
        <v/>
      </c>
      <c r="BG300">
        <f>IF($BE300="","",IFERROR(VLOOKUP($BD300&amp;"-"&amp;$BE300,DECODE!$E$3:$F$21,2,FALSE),"?"))</f>
        <v/>
      </c>
      <c r="BH300">
        <f>IF($BC300="","",IFERROR(VALUE(RIGHT($BC300,3)),""))</f>
        <v/>
      </c>
      <c r="BI300">
        <f>IF($V300="","",IFERROR(IF(ISNUMBER($V300),$V300,DATEVALUE(TRIM($V300))),""))</f>
        <v/>
      </c>
      <c r="BJ300">
        <f>IF($BI300="","",IF(MONTH($BI300)&gt;=12,"Cold Winter",IF(MONTH($BI300)&gt;=10,"Post-Monsoon",IF(MONTH($BI300)&gt;=6,"Hot Humid",IF(MONTH($BI300)&gt;=3,"Hot Dry","Cold Winter")))))</f>
        <v/>
      </c>
      <c r="BK300">
        <f>IF($BD300="","",IFERROR(VLOOKUP($BD300,DECODE!$A$3:$C$8,2,FALSE),"?"))</f>
        <v/>
      </c>
      <c r="BL300">
        <f>IF($Q300="","",UPPER(TRIM(LEFT($Q300&amp;",",FIND(",",$Q300&amp;",")-1))))</f>
        <v/>
      </c>
      <c r="BM300">
        <f>IF($BL300="","",MID($BL300,4,FIND("~",SUBSTITUTE($BL300,"-","~",2))-4))</f>
        <v/>
      </c>
      <c r="BN300">
        <f>IF($BL300="","",MID($BL300,FIND("~",SUBSTITUTE($BL300,"-","~",2))+1,FIND("~",SUBSTITUTE($BL300,"-","~",3))-FIND("~",SUBSTITUTE($BL300,"-","~",2))-1))</f>
        <v/>
      </c>
      <c r="BO300">
        <f>IF($BM300="","",IFERROR(VLOOKUP($BM300,DECODE!$A$3:$C$8,3,FALSE),"?"))</f>
        <v/>
      </c>
      <c r="BP300">
        <f>IF($BN300="","",IFERROR(VLOOKUP($BM300&amp;"-"&amp;$BN300,DECODE!$E$3:$F$21,2,FALSE),"?"))</f>
        <v/>
      </c>
      <c r="BQ300">
        <f>IF($BL300="","",IFERROR(VALUE(RIGHT($BL300,3)),""))</f>
        <v/>
      </c>
      <c r="BR300">
        <f>IF($W300="","",IFERROR(IF(ISNUMBER($W300),$W300,DATEVALUE(TRIM($W300))),""))</f>
        <v/>
      </c>
      <c r="BS300">
        <f>IF($BR300="","",IF(MONTH($BR300)&gt;=12,"Cold Winter",IF(MONTH($BR300)&gt;=10,"Post-Monsoon",IF(MONTH($BR300)&gt;=6,"Hot Humid",IF(MONTH($BR300)&gt;=3,"Hot Dry","Cold Winter")))))</f>
        <v/>
      </c>
      <c r="BT300">
        <f>IF($BM300="","",IFERROR(VLOOKUP($BM300,DECODE!$A$3:$C$8,2,FALSE),"?"))</f>
        <v/>
      </c>
      <c r="BU300">
        <f>IF($R300="","",UPPER(TRIM(LEFT($R300&amp;",",FIND(",",$R300&amp;",")-1))))</f>
        <v/>
      </c>
      <c r="BV300">
        <f>IF($BU300="","",MID($BU300,4,FIND("~",SUBSTITUTE($BU300,"-","~",2))-4))</f>
        <v/>
      </c>
      <c r="BW300">
        <f>IF($BU300="","",MID($BU300,FIND("~",SUBSTITUTE($BU300,"-","~",2))+1,FIND("~",SUBSTITUTE($BU300,"-","~",3))-FIND("~",SUBSTITUTE($BU300,"-","~",2))-1))</f>
        <v/>
      </c>
      <c r="BX300">
        <f>IF($BV300="","",IFERROR(VLOOKUP($BV300,DECODE!$A$3:$C$8,3,FALSE),"?"))</f>
        <v/>
      </c>
      <c r="BY300">
        <f>IF($BW300="","",IFERROR(VLOOKUP($BV300&amp;"-"&amp;$BW300,DECODE!$E$3:$F$21,2,FALSE),"?"))</f>
        <v/>
      </c>
      <c r="BZ300">
        <f>IF($BU300="","",IFERROR(VALUE(RIGHT($BU300,3)),""))</f>
        <v/>
      </c>
      <c r="CA300">
        <f>IF($X300="","",IFERROR(IF(ISNUMBER($X300),$X300,DATEVALUE(TRIM($X300))),""))</f>
        <v/>
      </c>
      <c r="CB300">
        <f>IF($CA300="","",IF(MONTH($CA300)&gt;=12,"Cold Winter",IF(MONTH($CA300)&gt;=10,"Post-Monsoon",IF(MONTH($CA300)&gt;=6,"Hot Humid",IF(MONTH($CA300)&gt;=3,"Hot Dry","Cold Winter")))))</f>
        <v/>
      </c>
      <c r="CC300">
        <f>IF($BV300="","",IFERROR(VLOOKUP($BV300,DECODE!$A$3:$C$8,2,FALSE),"?"))</f>
        <v/>
      </c>
      <c r="CD300">
        <f>IF($S300="","",UPPER(TRIM(LEFT($S300&amp;",",FIND(",",$S300&amp;",")-1))))</f>
        <v/>
      </c>
      <c r="CE300">
        <f>IF($CD300="","",MID($CD300,4,FIND("~",SUBSTITUTE($CD300,"-","~",2))-4))</f>
        <v/>
      </c>
      <c r="CF300">
        <f>IF($CD300="","",MID($CD300,FIND("~",SUBSTITUTE($CD300,"-","~",2))+1,FIND("~",SUBSTITUTE($CD300,"-","~",3))-FIND("~",SUBSTITUTE($CD300,"-","~",2))-1))</f>
        <v/>
      </c>
      <c r="CG300">
        <f>IF($CE300="","",IFERROR(VLOOKUP($CE300,DECODE!$A$3:$C$8,3,FALSE),"?"))</f>
        <v/>
      </c>
      <c r="CH300">
        <f>IF($CF300="","",IFERROR(VLOOKUP($CE300&amp;"-"&amp;$CF300,DECODE!$E$3:$F$21,2,FALSE),"?"))</f>
        <v/>
      </c>
      <c r="CI300">
        <f>IF($CD300="","",IFERROR(VALUE(RIGHT($CD300,3)),""))</f>
        <v/>
      </c>
      <c r="CJ300">
        <f>IF($Y300="","",IFERROR(IF(ISNUMBER($Y300),$Y300,DATEVALUE(TRIM($Y300))),""))</f>
        <v/>
      </c>
      <c r="CK300">
        <f>IF($CJ300="","",IF(MONTH($CJ300)&gt;=12,"Cold Winter",IF(MONTH($CJ300)&gt;=10,"Post-Monsoon",IF(MONTH($CJ300)&gt;=6,"Hot Humid",IF(MONTH($CJ300)&gt;=3,"Hot Dry","Cold Winter")))))</f>
        <v/>
      </c>
      <c r="CL300">
        <f>IF($CE300="","",IFERROR(VLOOKUP($CE300,DECODE!$A$3:$C$8,2,FALSE),"?"))</f>
        <v/>
      </c>
      <c r="CM300">
        <f>IF($AN300="","",AN300)</f>
        <v/>
      </c>
      <c r="CN300">
        <f>IF($AO300="","",AO300)</f>
        <v/>
      </c>
      <c r="CO300">
        <f>IF($AP300="","",AP300)</f>
        <v/>
      </c>
      <c r="CP300">
        <f>IF($CM300="","",IF($CM300="Aloe Vera Gel","Aloe Vera Gel "&amp;$CO300&amp;"g",CN300&amp;" "&amp;$CO300&amp;"g"))</f>
        <v/>
      </c>
      <c r="CQ300">
        <f>IF($AT300="",0,1)</f>
        <v/>
      </c>
      <c r="CR300">
        <f>IF($CQ300=0,"",AW300)</f>
        <v/>
      </c>
      <c r="CS300">
        <f>IF($CQ300=0,"",AX300)</f>
        <v/>
      </c>
      <c r="CT300">
        <f>IF($CQ300=0,"",AY300)</f>
        <v/>
      </c>
      <c r="CU300">
        <f>IF($CR300="","",IF($CR300="Aloe Vera Gel","Aloe Vera Gel "&amp;$CT300&amp;"g",CS300&amp;" "&amp;$CT300&amp;"g"))</f>
        <v/>
      </c>
      <c r="CV300">
        <f>IF($CQ300=0,"",IF($CP300=$CU300,"Repeat Exact",IF($CT300&gt;$CO300,"Upsized",IF($CT300&lt;$CO300,"Downsized",IF($CM300&lt;&gt;$CR300,"Lateral","Same Size Diff Variant")))))</f>
        <v/>
      </c>
      <c r="CW300">
        <f>IF($CQ300=0,"",AZ300-AQ300)</f>
        <v/>
      </c>
      <c r="CX300">
        <f>IF($CQ300=0,0,IF(CS300=CN300,1,0))</f>
        <v/>
      </c>
      <c r="CY300">
        <f>IF($CQ300=0,0,IF(CR300=CM300,1,0))</f>
        <v/>
      </c>
      <c r="CZ300">
        <f>IF($A300="","",IF(AND(IF(DASHBOARD!$C$4="All",TRUE,$CM300=DASHBOARD!$C$4),IF(DASHBOARD!$C$6="All",TRUE,$CP300=DASHBOARD!$C$6),IF(DASHBOARD!$C$8="All",TRUE,$AF300&gt;=DASHBOARD!$C$8),IF(DASHBOARD!$C$10="All",TRUE,$AF300&lt;=DASHBOARD!$C$10),IF(DASHBOARD!$C$12="All",TRUE,$AH300=VALUE(DASHBOARD!$C$12)),IF(DASHBOARD!$C$14="All",TRUE,$AJ300=DASHBOARD!$C$14)),1,0))</f>
        <v/>
      </c>
    </row>
    <row r="301">
      <c r="A301" t="n">
        <v>167811</v>
      </c>
      <c r="B301" t="inlineStr">
        <is>
          <t>Face Malai</t>
        </is>
      </c>
      <c r="H301" t="inlineStr">
        <is>
          <t>Turmeric Nutmeg (Pigmentation)  Face Malai - 50g , Tomato Rosehip (Hot Dry) 20 - 35 Yrs Face Malai - 50g</t>
        </is>
      </c>
      <c r="N301" t="inlineStr">
        <is>
          <t>FC-DM-PG-050, FC-HDDM-TR-050</t>
        </is>
      </c>
      <c r="T301" t="inlineStr">
        <is>
          <t>May 11, 2026</t>
        </is>
      </c>
      <c r="AE301" t="inlineStr">
        <is>
          <t>Patna</t>
        </is>
      </c>
      <c r="AF301" t="inlineStr">
        <is>
          <t>2026-05</t>
        </is>
      </c>
      <c r="AG301" t="n">
        <v>5</v>
      </c>
      <c r="AH301" t="n">
        <v>1</v>
      </c>
      <c r="AI301" t="n">
        <v>0</v>
      </c>
      <c r="AJ301">
        <f>IF($AE301="","",IFERROR(VLOOKUP(TRIM($AE301),DECODE!$H$3:$I$60,2,FALSE),"Rest of India"))</f>
        <v/>
      </c>
      <c r="AK301">
        <f>IF($N301="","",UPPER(TRIM(LEFT($N301&amp;",",FIND(",",$N301&amp;",")-1))))</f>
        <v/>
      </c>
      <c r="AL301">
        <f>IF($AK301="","",MID($AK301,4,FIND("~",SUBSTITUTE($AK301,"-","~",2))-4))</f>
        <v/>
      </c>
      <c r="AM301">
        <f>IF($AK301="","",MID($AK301,FIND("~",SUBSTITUTE($AK301,"-","~",2))+1,FIND("~",SUBSTITUTE($AK301,"-","~",3))-FIND("~",SUBSTITUTE($AK301,"-","~",2))-1))</f>
        <v/>
      </c>
      <c r="AN301">
        <f>IF($AL301="","",IFERROR(VLOOKUP($AL301,DECODE!$A$3:$C$8,3,FALSE),"?"))</f>
        <v/>
      </c>
      <c r="AO301">
        <f>IF($AM301="","",IFERROR(VLOOKUP($AL301&amp;"-"&amp;$AM301,DECODE!$E$3:$F$21,2,FALSE),"?"))</f>
        <v/>
      </c>
      <c r="AP301">
        <f>IF($AK301="","",IFERROR(VALUE(RIGHT($AK301,3)),""))</f>
        <v/>
      </c>
      <c r="AQ301">
        <f>IF($T301="","",IFERROR(IF(ISNUMBER($T301),$T301,DATEVALUE(TRIM($T301))),""))</f>
        <v/>
      </c>
      <c r="AR301">
        <f>IF($AQ301="","",IF(MONTH($AQ301)&gt;=12,"Cold Winter",IF(MONTH($AQ301)&gt;=10,"Post-Monsoon",IF(MONTH($AQ301)&gt;=6,"Hot Humid",IF(MONTH($AQ301)&gt;=3,"Hot Dry","Cold Winter")))))</f>
        <v/>
      </c>
      <c r="AS301">
        <f>IF($AL301="","",IFERROR(VLOOKUP($AL301,DECODE!$A$3:$C$8,2,FALSE),"?"))</f>
        <v/>
      </c>
      <c r="AT301">
        <f>IF($O301="","",UPPER(TRIM(LEFT($O301&amp;",",FIND(",",$O301&amp;",")-1))))</f>
        <v/>
      </c>
      <c r="AU301">
        <f>IF($AT301="","",MID($AT301,4,FIND("~",SUBSTITUTE($AT301,"-","~",2))-4))</f>
        <v/>
      </c>
      <c r="AV301">
        <f>IF($AT301="","",MID($AT301,FIND("~",SUBSTITUTE($AT301,"-","~",2))+1,FIND("~",SUBSTITUTE($AT301,"-","~",3))-FIND("~",SUBSTITUTE($AT301,"-","~",2))-1))</f>
        <v/>
      </c>
      <c r="AW301">
        <f>IF($AU301="","",IFERROR(VLOOKUP($AU301,DECODE!$A$3:$C$8,3,FALSE),"?"))</f>
        <v/>
      </c>
      <c r="AX301">
        <f>IF($AV301="","",IFERROR(VLOOKUP($AU301&amp;"-"&amp;$AV301,DECODE!$E$3:$F$21,2,FALSE),"?"))</f>
        <v/>
      </c>
      <c r="AY301">
        <f>IF($AT301="","",IFERROR(VALUE(RIGHT($AT301,3)),""))</f>
        <v/>
      </c>
      <c r="AZ301">
        <f>IF($U301="","",IFERROR(IF(ISNUMBER($U301),$U301,DATEVALUE(TRIM($U301))),""))</f>
        <v/>
      </c>
      <c r="BA301">
        <f>IF($AZ301="","",IF(MONTH($AZ301)&gt;=12,"Cold Winter",IF(MONTH($AZ301)&gt;=10,"Post-Monsoon",IF(MONTH($AZ301)&gt;=6,"Hot Humid",IF(MONTH($AZ301)&gt;=3,"Hot Dry","Cold Winter")))))</f>
        <v/>
      </c>
      <c r="BB301">
        <f>IF($AU301="","",IFERROR(VLOOKUP($AU301,DECODE!$A$3:$C$8,2,FALSE),"?"))</f>
        <v/>
      </c>
      <c r="BC301">
        <f>IF($P301="","",UPPER(TRIM(LEFT($P301&amp;",",FIND(",",$P301&amp;",")-1))))</f>
        <v/>
      </c>
      <c r="BD301">
        <f>IF($BC301="","",MID($BC301,4,FIND("~",SUBSTITUTE($BC301,"-","~",2))-4))</f>
        <v/>
      </c>
      <c r="BE301">
        <f>IF($BC301="","",MID($BC301,FIND("~",SUBSTITUTE($BC301,"-","~",2))+1,FIND("~",SUBSTITUTE($BC301,"-","~",3))-FIND("~",SUBSTITUTE($BC301,"-","~",2))-1))</f>
        <v/>
      </c>
      <c r="BF301">
        <f>IF($BD301="","",IFERROR(VLOOKUP($BD301,DECODE!$A$3:$C$8,3,FALSE),"?"))</f>
        <v/>
      </c>
      <c r="BG301">
        <f>IF($BE301="","",IFERROR(VLOOKUP($BD301&amp;"-"&amp;$BE301,DECODE!$E$3:$F$21,2,FALSE),"?"))</f>
        <v/>
      </c>
      <c r="BH301">
        <f>IF($BC301="","",IFERROR(VALUE(RIGHT($BC301,3)),""))</f>
        <v/>
      </c>
      <c r="BI301">
        <f>IF($V301="","",IFERROR(IF(ISNUMBER($V301),$V301,DATEVALUE(TRIM($V301))),""))</f>
        <v/>
      </c>
      <c r="BJ301">
        <f>IF($BI301="","",IF(MONTH($BI301)&gt;=12,"Cold Winter",IF(MONTH($BI301)&gt;=10,"Post-Monsoon",IF(MONTH($BI301)&gt;=6,"Hot Humid",IF(MONTH($BI301)&gt;=3,"Hot Dry","Cold Winter")))))</f>
        <v/>
      </c>
      <c r="BK301">
        <f>IF($BD301="","",IFERROR(VLOOKUP($BD301,DECODE!$A$3:$C$8,2,FALSE),"?"))</f>
        <v/>
      </c>
      <c r="BL301">
        <f>IF($Q301="","",UPPER(TRIM(LEFT($Q301&amp;",",FIND(",",$Q301&amp;",")-1))))</f>
        <v/>
      </c>
      <c r="BM301">
        <f>IF($BL301="","",MID($BL301,4,FIND("~",SUBSTITUTE($BL301,"-","~",2))-4))</f>
        <v/>
      </c>
      <c r="BN301">
        <f>IF($BL301="","",MID($BL301,FIND("~",SUBSTITUTE($BL301,"-","~",2))+1,FIND("~",SUBSTITUTE($BL301,"-","~",3))-FIND("~",SUBSTITUTE($BL301,"-","~",2))-1))</f>
        <v/>
      </c>
      <c r="BO301">
        <f>IF($BM301="","",IFERROR(VLOOKUP($BM301,DECODE!$A$3:$C$8,3,FALSE),"?"))</f>
        <v/>
      </c>
      <c r="BP301">
        <f>IF($BN301="","",IFERROR(VLOOKUP($BM301&amp;"-"&amp;$BN301,DECODE!$E$3:$F$21,2,FALSE),"?"))</f>
        <v/>
      </c>
      <c r="BQ301">
        <f>IF($BL301="","",IFERROR(VALUE(RIGHT($BL301,3)),""))</f>
        <v/>
      </c>
      <c r="BR301">
        <f>IF($W301="","",IFERROR(IF(ISNUMBER($W301),$W301,DATEVALUE(TRIM($W301))),""))</f>
        <v/>
      </c>
      <c r="BS301">
        <f>IF($BR301="","",IF(MONTH($BR301)&gt;=12,"Cold Winter",IF(MONTH($BR301)&gt;=10,"Post-Monsoon",IF(MONTH($BR301)&gt;=6,"Hot Humid",IF(MONTH($BR301)&gt;=3,"Hot Dry","Cold Winter")))))</f>
        <v/>
      </c>
      <c r="BT301">
        <f>IF($BM301="","",IFERROR(VLOOKUP($BM301,DECODE!$A$3:$C$8,2,FALSE),"?"))</f>
        <v/>
      </c>
      <c r="BU301">
        <f>IF($R301="","",UPPER(TRIM(LEFT($R301&amp;",",FIND(",",$R301&amp;",")-1))))</f>
        <v/>
      </c>
      <c r="BV301">
        <f>IF($BU301="","",MID($BU301,4,FIND("~",SUBSTITUTE($BU301,"-","~",2))-4))</f>
        <v/>
      </c>
      <c r="BW301">
        <f>IF($BU301="","",MID($BU301,FIND("~",SUBSTITUTE($BU301,"-","~",2))+1,FIND("~",SUBSTITUTE($BU301,"-","~",3))-FIND("~",SUBSTITUTE($BU301,"-","~",2))-1))</f>
        <v/>
      </c>
      <c r="BX301">
        <f>IF($BV301="","",IFERROR(VLOOKUP($BV301,DECODE!$A$3:$C$8,3,FALSE),"?"))</f>
        <v/>
      </c>
      <c r="BY301">
        <f>IF($BW301="","",IFERROR(VLOOKUP($BV301&amp;"-"&amp;$BW301,DECODE!$E$3:$F$21,2,FALSE),"?"))</f>
        <v/>
      </c>
      <c r="BZ301">
        <f>IF($BU301="","",IFERROR(VALUE(RIGHT($BU301,3)),""))</f>
        <v/>
      </c>
      <c r="CA301">
        <f>IF($X301="","",IFERROR(IF(ISNUMBER($X301),$X301,DATEVALUE(TRIM($X301))),""))</f>
        <v/>
      </c>
      <c r="CB301">
        <f>IF($CA301="","",IF(MONTH($CA301)&gt;=12,"Cold Winter",IF(MONTH($CA301)&gt;=10,"Post-Monsoon",IF(MONTH($CA301)&gt;=6,"Hot Humid",IF(MONTH($CA301)&gt;=3,"Hot Dry","Cold Winter")))))</f>
        <v/>
      </c>
      <c r="CC301">
        <f>IF($BV301="","",IFERROR(VLOOKUP($BV301,DECODE!$A$3:$C$8,2,FALSE),"?"))</f>
        <v/>
      </c>
      <c r="CD301">
        <f>IF($S301="","",UPPER(TRIM(LEFT($S301&amp;",",FIND(",",$S301&amp;",")-1))))</f>
        <v/>
      </c>
      <c r="CE301">
        <f>IF($CD301="","",MID($CD301,4,FIND("~",SUBSTITUTE($CD301,"-","~",2))-4))</f>
        <v/>
      </c>
      <c r="CF301">
        <f>IF($CD301="","",MID($CD301,FIND("~",SUBSTITUTE($CD301,"-","~",2))+1,FIND("~",SUBSTITUTE($CD301,"-","~",3))-FIND("~",SUBSTITUTE($CD301,"-","~",2))-1))</f>
        <v/>
      </c>
      <c r="CG301">
        <f>IF($CE301="","",IFERROR(VLOOKUP($CE301,DECODE!$A$3:$C$8,3,FALSE),"?"))</f>
        <v/>
      </c>
      <c r="CH301">
        <f>IF($CF301="","",IFERROR(VLOOKUP($CE301&amp;"-"&amp;$CF301,DECODE!$E$3:$F$21,2,FALSE),"?"))</f>
        <v/>
      </c>
      <c r="CI301">
        <f>IF($CD301="","",IFERROR(VALUE(RIGHT($CD301,3)),""))</f>
        <v/>
      </c>
      <c r="CJ301">
        <f>IF($Y301="","",IFERROR(IF(ISNUMBER($Y301),$Y301,DATEVALUE(TRIM($Y301))),""))</f>
        <v/>
      </c>
      <c r="CK301">
        <f>IF($CJ301="","",IF(MONTH($CJ301)&gt;=12,"Cold Winter",IF(MONTH($CJ301)&gt;=10,"Post-Monsoon",IF(MONTH($CJ301)&gt;=6,"Hot Humid",IF(MONTH($CJ301)&gt;=3,"Hot Dry","Cold Winter")))))</f>
        <v/>
      </c>
      <c r="CL301">
        <f>IF($CE301="","",IFERROR(VLOOKUP($CE301,DECODE!$A$3:$C$8,2,FALSE),"?"))</f>
        <v/>
      </c>
      <c r="CM301">
        <f>IF($AN301="","",AN301)</f>
        <v/>
      </c>
      <c r="CN301">
        <f>IF($AO301="","",AO301)</f>
        <v/>
      </c>
      <c r="CO301">
        <f>IF($AP301="","",AP301)</f>
        <v/>
      </c>
      <c r="CP301">
        <f>IF($CM301="","",IF($CM301="Aloe Vera Gel","Aloe Vera Gel "&amp;$CO301&amp;"g",CN301&amp;" "&amp;$CO301&amp;"g"))</f>
        <v/>
      </c>
      <c r="CQ301">
        <f>IF($AT301="",0,1)</f>
        <v/>
      </c>
      <c r="CR301">
        <f>IF($CQ301=0,"",AW301)</f>
        <v/>
      </c>
      <c r="CS301">
        <f>IF($CQ301=0,"",AX301)</f>
        <v/>
      </c>
      <c r="CT301">
        <f>IF($CQ301=0,"",AY301)</f>
        <v/>
      </c>
      <c r="CU301">
        <f>IF($CR301="","",IF($CR301="Aloe Vera Gel","Aloe Vera Gel "&amp;$CT301&amp;"g",CS301&amp;" "&amp;$CT301&amp;"g"))</f>
        <v/>
      </c>
      <c r="CV301">
        <f>IF($CQ301=0,"",IF($CP301=$CU301,"Repeat Exact",IF($CT301&gt;$CO301,"Upsized",IF($CT301&lt;$CO301,"Downsized",IF($CM301&lt;&gt;$CR301,"Lateral","Same Size Diff Variant")))))</f>
        <v/>
      </c>
      <c r="CW301">
        <f>IF($CQ301=0,"",AZ301-AQ301)</f>
        <v/>
      </c>
      <c r="CX301">
        <f>IF($CQ301=0,0,IF(CS301=CN301,1,0))</f>
        <v/>
      </c>
      <c r="CY301">
        <f>IF($CQ301=0,0,IF(CR301=CM301,1,0))</f>
        <v/>
      </c>
      <c r="CZ301">
        <f>IF($A301="","",IF(AND(IF(DASHBOARD!$C$4="All",TRUE,$CM301=DASHBOARD!$C$4),IF(DASHBOARD!$C$6="All",TRUE,$CP301=DASHBOARD!$C$6),IF(DASHBOARD!$C$8="All",TRUE,$AF301&gt;=DASHBOARD!$C$8),IF(DASHBOARD!$C$10="All",TRUE,$AF301&lt;=DASHBOARD!$C$10),IF(DASHBOARD!$C$12="All",TRUE,$AH301=VALUE(DASHBOARD!$C$12)),IF(DASHBOARD!$C$14="All",TRUE,$AJ301=DASHBOARD!$C$14)),1,0))</f>
        <v/>
      </c>
    </row>
    <row r="302">
      <c r="A302" t="n">
        <v>168069</v>
      </c>
      <c r="B302" t="inlineStr">
        <is>
          <t>Aloe Vera Gel</t>
        </is>
      </c>
      <c r="H302" t="inlineStr">
        <is>
          <t>Aloe Vera Gel - 80 gms</t>
        </is>
      </c>
      <c r="N302" t="inlineStr">
        <is>
          <t>FC-HG-PA-080</t>
        </is>
      </c>
      <c r="T302" t="inlineStr">
        <is>
          <t>Apr 10, 2025</t>
        </is>
      </c>
      <c r="AE302" t="inlineStr">
        <is>
          <t>Thane</t>
        </is>
      </c>
      <c r="AF302" t="inlineStr">
        <is>
          <t>2025-04</t>
        </is>
      </c>
      <c r="AG302" t="n">
        <v>4</v>
      </c>
      <c r="AH302" t="n">
        <v>1</v>
      </c>
      <c r="AI302" t="n">
        <v>0</v>
      </c>
      <c r="AJ302">
        <f>IF($AE302="","",IFERROR(VLOOKUP(TRIM($AE302),DECODE!$H$3:$I$60,2,FALSE),"Rest of India"))</f>
        <v/>
      </c>
      <c r="AK302">
        <f>IF($N302="","",UPPER(TRIM(LEFT($N302&amp;",",FIND(",",$N302&amp;",")-1))))</f>
        <v/>
      </c>
      <c r="AL302">
        <f>IF($AK302="","",MID($AK302,4,FIND("~",SUBSTITUTE($AK302,"-","~",2))-4))</f>
        <v/>
      </c>
      <c r="AM302">
        <f>IF($AK302="","",MID($AK302,FIND("~",SUBSTITUTE($AK302,"-","~",2))+1,FIND("~",SUBSTITUTE($AK302,"-","~",3))-FIND("~",SUBSTITUTE($AK302,"-","~",2))-1))</f>
        <v/>
      </c>
      <c r="AN302">
        <f>IF($AL302="","",IFERROR(VLOOKUP($AL302,DECODE!$A$3:$C$8,3,FALSE),"?"))</f>
        <v/>
      </c>
      <c r="AO302">
        <f>IF($AM302="","",IFERROR(VLOOKUP($AL302&amp;"-"&amp;$AM302,DECODE!$E$3:$F$21,2,FALSE),"?"))</f>
        <v/>
      </c>
      <c r="AP302">
        <f>IF($AK302="","",IFERROR(VALUE(RIGHT($AK302,3)),""))</f>
        <v/>
      </c>
      <c r="AQ302">
        <f>IF($T302="","",IFERROR(IF(ISNUMBER($T302),$T302,DATEVALUE(TRIM($T302))),""))</f>
        <v/>
      </c>
      <c r="AR302">
        <f>IF($AQ302="","",IF(MONTH($AQ302)&gt;=12,"Cold Winter",IF(MONTH($AQ302)&gt;=10,"Post-Monsoon",IF(MONTH($AQ302)&gt;=6,"Hot Humid",IF(MONTH($AQ302)&gt;=3,"Hot Dry","Cold Winter")))))</f>
        <v/>
      </c>
      <c r="AS302">
        <f>IF($AL302="","",IFERROR(VLOOKUP($AL302,DECODE!$A$3:$C$8,2,FALSE),"?"))</f>
        <v/>
      </c>
      <c r="AT302">
        <f>IF($O302="","",UPPER(TRIM(LEFT($O302&amp;",",FIND(",",$O302&amp;",")-1))))</f>
        <v/>
      </c>
      <c r="AU302">
        <f>IF($AT302="","",MID($AT302,4,FIND("~",SUBSTITUTE($AT302,"-","~",2))-4))</f>
        <v/>
      </c>
      <c r="AV302">
        <f>IF($AT302="","",MID($AT302,FIND("~",SUBSTITUTE($AT302,"-","~",2))+1,FIND("~",SUBSTITUTE($AT302,"-","~",3))-FIND("~",SUBSTITUTE($AT302,"-","~",2))-1))</f>
        <v/>
      </c>
      <c r="AW302">
        <f>IF($AU302="","",IFERROR(VLOOKUP($AU302,DECODE!$A$3:$C$8,3,FALSE),"?"))</f>
        <v/>
      </c>
      <c r="AX302">
        <f>IF($AV302="","",IFERROR(VLOOKUP($AU302&amp;"-"&amp;$AV302,DECODE!$E$3:$F$21,2,FALSE),"?"))</f>
        <v/>
      </c>
      <c r="AY302">
        <f>IF($AT302="","",IFERROR(VALUE(RIGHT($AT302,3)),""))</f>
        <v/>
      </c>
      <c r="AZ302">
        <f>IF($U302="","",IFERROR(IF(ISNUMBER($U302),$U302,DATEVALUE(TRIM($U302))),""))</f>
        <v/>
      </c>
      <c r="BA302">
        <f>IF($AZ302="","",IF(MONTH($AZ302)&gt;=12,"Cold Winter",IF(MONTH($AZ302)&gt;=10,"Post-Monsoon",IF(MONTH($AZ302)&gt;=6,"Hot Humid",IF(MONTH($AZ302)&gt;=3,"Hot Dry","Cold Winter")))))</f>
        <v/>
      </c>
      <c r="BB302">
        <f>IF($AU302="","",IFERROR(VLOOKUP($AU302,DECODE!$A$3:$C$8,2,FALSE),"?"))</f>
        <v/>
      </c>
      <c r="BC302">
        <f>IF($P302="","",UPPER(TRIM(LEFT($P302&amp;",",FIND(",",$P302&amp;",")-1))))</f>
        <v/>
      </c>
      <c r="BD302">
        <f>IF($BC302="","",MID($BC302,4,FIND("~",SUBSTITUTE($BC302,"-","~",2))-4))</f>
        <v/>
      </c>
      <c r="BE302">
        <f>IF($BC302="","",MID($BC302,FIND("~",SUBSTITUTE($BC302,"-","~",2))+1,FIND("~",SUBSTITUTE($BC302,"-","~",3))-FIND("~",SUBSTITUTE($BC302,"-","~",2))-1))</f>
        <v/>
      </c>
      <c r="BF302">
        <f>IF($BD302="","",IFERROR(VLOOKUP($BD302,DECODE!$A$3:$C$8,3,FALSE),"?"))</f>
        <v/>
      </c>
      <c r="BG302">
        <f>IF($BE302="","",IFERROR(VLOOKUP($BD302&amp;"-"&amp;$BE302,DECODE!$E$3:$F$21,2,FALSE),"?"))</f>
        <v/>
      </c>
      <c r="BH302">
        <f>IF($BC302="","",IFERROR(VALUE(RIGHT($BC302,3)),""))</f>
        <v/>
      </c>
      <c r="BI302">
        <f>IF($V302="","",IFERROR(IF(ISNUMBER($V302),$V302,DATEVALUE(TRIM($V302))),""))</f>
        <v/>
      </c>
      <c r="BJ302">
        <f>IF($BI302="","",IF(MONTH($BI302)&gt;=12,"Cold Winter",IF(MONTH($BI302)&gt;=10,"Post-Monsoon",IF(MONTH($BI302)&gt;=6,"Hot Humid",IF(MONTH($BI302)&gt;=3,"Hot Dry","Cold Winter")))))</f>
        <v/>
      </c>
      <c r="BK302">
        <f>IF($BD302="","",IFERROR(VLOOKUP($BD302,DECODE!$A$3:$C$8,2,FALSE),"?"))</f>
        <v/>
      </c>
      <c r="BL302">
        <f>IF($Q302="","",UPPER(TRIM(LEFT($Q302&amp;",",FIND(",",$Q302&amp;",")-1))))</f>
        <v/>
      </c>
      <c r="BM302">
        <f>IF($BL302="","",MID($BL302,4,FIND("~",SUBSTITUTE($BL302,"-","~",2))-4))</f>
        <v/>
      </c>
      <c r="BN302">
        <f>IF($BL302="","",MID($BL302,FIND("~",SUBSTITUTE($BL302,"-","~",2))+1,FIND("~",SUBSTITUTE($BL302,"-","~",3))-FIND("~",SUBSTITUTE($BL302,"-","~",2))-1))</f>
        <v/>
      </c>
      <c r="BO302">
        <f>IF($BM302="","",IFERROR(VLOOKUP($BM302,DECODE!$A$3:$C$8,3,FALSE),"?"))</f>
        <v/>
      </c>
      <c r="BP302">
        <f>IF($BN302="","",IFERROR(VLOOKUP($BM302&amp;"-"&amp;$BN302,DECODE!$E$3:$F$21,2,FALSE),"?"))</f>
        <v/>
      </c>
      <c r="BQ302">
        <f>IF($BL302="","",IFERROR(VALUE(RIGHT($BL302,3)),""))</f>
        <v/>
      </c>
      <c r="BR302">
        <f>IF($W302="","",IFERROR(IF(ISNUMBER($W302),$W302,DATEVALUE(TRIM($W302))),""))</f>
        <v/>
      </c>
      <c r="BS302">
        <f>IF($BR302="","",IF(MONTH($BR302)&gt;=12,"Cold Winter",IF(MONTH($BR302)&gt;=10,"Post-Monsoon",IF(MONTH($BR302)&gt;=6,"Hot Humid",IF(MONTH($BR302)&gt;=3,"Hot Dry","Cold Winter")))))</f>
        <v/>
      </c>
      <c r="BT302">
        <f>IF($BM302="","",IFERROR(VLOOKUP($BM302,DECODE!$A$3:$C$8,2,FALSE),"?"))</f>
        <v/>
      </c>
      <c r="BU302">
        <f>IF($R302="","",UPPER(TRIM(LEFT($R302&amp;",",FIND(",",$R302&amp;",")-1))))</f>
        <v/>
      </c>
      <c r="BV302">
        <f>IF($BU302="","",MID($BU302,4,FIND("~",SUBSTITUTE($BU302,"-","~",2))-4))</f>
        <v/>
      </c>
      <c r="BW302">
        <f>IF($BU302="","",MID($BU302,FIND("~",SUBSTITUTE($BU302,"-","~",2))+1,FIND("~",SUBSTITUTE($BU302,"-","~",3))-FIND("~",SUBSTITUTE($BU302,"-","~",2))-1))</f>
        <v/>
      </c>
      <c r="BX302">
        <f>IF($BV302="","",IFERROR(VLOOKUP($BV302,DECODE!$A$3:$C$8,3,FALSE),"?"))</f>
        <v/>
      </c>
      <c r="BY302">
        <f>IF($BW302="","",IFERROR(VLOOKUP($BV302&amp;"-"&amp;$BW302,DECODE!$E$3:$F$21,2,FALSE),"?"))</f>
        <v/>
      </c>
      <c r="BZ302">
        <f>IF($BU302="","",IFERROR(VALUE(RIGHT($BU302,3)),""))</f>
        <v/>
      </c>
      <c r="CA302">
        <f>IF($X302="","",IFERROR(IF(ISNUMBER($X302),$X302,DATEVALUE(TRIM($X302))),""))</f>
        <v/>
      </c>
      <c r="CB302">
        <f>IF($CA302="","",IF(MONTH($CA302)&gt;=12,"Cold Winter",IF(MONTH($CA302)&gt;=10,"Post-Monsoon",IF(MONTH($CA302)&gt;=6,"Hot Humid",IF(MONTH($CA302)&gt;=3,"Hot Dry","Cold Winter")))))</f>
        <v/>
      </c>
      <c r="CC302">
        <f>IF($BV302="","",IFERROR(VLOOKUP($BV302,DECODE!$A$3:$C$8,2,FALSE),"?"))</f>
        <v/>
      </c>
      <c r="CD302">
        <f>IF($S302="","",UPPER(TRIM(LEFT($S302&amp;",",FIND(",",$S302&amp;",")-1))))</f>
        <v/>
      </c>
      <c r="CE302">
        <f>IF($CD302="","",MID($CD302,4,FIND("~",SUBSTITUTE($CD302,"-","~",2))-4))</f>
        <v/>
      </c>
      <c r="CF302">
        <f>IF($CD302="","",MID($CD302,FIND("~",SUBSTITUTE($CD302,"-","~",2))+1,FIND("~",SUBSTITUTE($CD302,"-","~",3))-FIND("~",SUBSTITUTE($CD302,"-","~",2))-1))</f>
        <v/>
      </c>
      <c r="CG302">
        <f>IF($CE302="","",IFERROR(VLOOKUP($CE302,DECODE!$A$3:$C$8,3,FALSE),"?"))</f>
        <v/>
      </c>
      <c r="CH302">
        <f>IF($CF302="","",IFERROR(VLOOKUP($CE302&amp;"-"&amp;$CF302,DECODE!$E$3:$F$21,2,FALSE),"?"))</f>
        <v/>
      </c>
      <c r="CI302">
        <f>IF($CD302="","",IFERROR(VALUE(RIGHT($CD302,3)),""))</f>
        <v/>
      </c>
      <c r="CJ302">
        <f>IF($Y302="","",IFERROR(IF(ISNUMBER($Y302),$Y302,DATEVALUE(TRIM($Y302))),""))</f>
        <v/>
      </c>
      <c r="CK302">
        <f>IF($CJ302="","",IF(MONTH($CJ302)&gt;=12,"Cold Winter",IF(MONTH($CJ302)&gt;=10,"Post-Monsoon",IF(MONTH($CJ302)&gt;=6,"Hot Humid",IF(MONTH($CJ302)&gt;=3,"Hot Dry","Cold Winter")))))</f>
        <v/>
      </c>
      <c r="CL302">
        <f>IF($CE302="","",IFERROR(VLOOKUP($CE302,DECODE!$A$3:$C$8,2,FALSE),"?"))</f>
        <v/>
      </c>
      <c r="CM302">
        <f>IF($AN302="","",AN302)</f>
        <v/>
      </c>
      <c r="CN302">
        <f>IF($AO302="","",AO302)</f>
        <v/>
      </c>
      <c r="CO302">
        <f>IF($AP302="","",AP302)</f>
        <v/>
      </c>
      <c r="CP302">
        <f>IF($CM302="","",IF($CM302="Aloe Vera Gel","Aloe Vera Gel "&amp;$CO302&amp;"g",CN302&amp;" "&amp;$CO302&amp;"g"))</f>
        <v/>
      </c>
      <c r="CQ302">
        <f>IF($AT302="",0,1)</f>
        <v/>
      </c>
      <c r="CR302">
        <f>IF($CQ302=0,"",AW302)</f>
        <v/>
      </c>
      <c r="CS302">
        <f>IF($CQ302=0,"",AX302)</f>
        <v/>
      </c>
      <c r="CT302">
        <f>IF($CQ302=0,"",AY302)</f>
        <v/>
      </c>
      <c r="CU302">
        <f>IF($CR302="","",IF($CR302="Aloe Vera Gel","Aloe Vera Gel "&amp;$CT302&amp;"g",CS302&amp;" "&amp;$CT302&amp;"g"))</f>
        <v/>
      </c>
      <c r="CV302">
        <f>IF($CQ302=0,"",IF($CP302=$CU302,"Repeat Exact",IF($CT302&gt;$CO302,"Upsized",IF($CT302&lt;$CO302,"Downsized",IF($CM302&lt;&gt;$CR302,"Lateral","Same Size Diff Variant")))))</f>
        <v/>
      </c>
      <c r="CW302">
        <f>IF($CQ302=0,"",AZ302-AQ302)</f>
        <v/>
      </c>
      <c r="CX302">
        <f>IF($CQ302=0,0,IF(CS302=CN302,1,0))</f>
        <v/>
      </c>
      <c r="CY302">
        <f>IF($CQ302=0,0,IF(CR302=CM302,1,0))</f>
        <v/>
      </c>
      <c r="CZ302">
        <f>IF($A302="","",IF(AND(IF(DASHBOARD!$C$4="All",TRUE,$CM302=DASHBOARD!$C$4),IF(DASHBOARD!$C$6="All",TRUE,$CP302=DASHBOARD!$C$6),IF(DASHBOARD!$C$8="All",TRUE,$AF302&gt;=DASHBOARD!$C$8),IF(DASHBOARD!$C$10="All",TRUE,$AF302&lt;=DASHBOARD!$C$10),IF(DASHBOARD!$C$12="All",TRUE,$AH302=VALUE(DASHBOARD!$C$12)),IF(DASHBOARD!$C$14="All",TRUE,$AJ302=DASHBOARD!$C$14)),1,0))</f>
        <v/>
      </c>
    </row>
    <row r="303">
      <c r="A303" t="n">
        <v>169200</v>
      </c>
      <c r="B303" t="inlineStr">
        <is>
          <t>Aloe Vera Gel</t>
        </is>
      </c>
      <c r="H303" t="inlineStr">
        <is>
          <t>Aloe Vera Gel - 40 gms</t>
        </is>
      </c>
      <c r="N303" t="inlineStr">
        <is>
          <t>FC-HG-PA-040</t>
        </is>
      </c>
      <c r="T303" t="inlineStr">
        <is>
          <t>Jan 23, 2024</t>
        </is>
      </c>
      <c r="AE303" t="inlineStr">
        <is>
          <t>Gurgaon</t>
        </is>
      </c>
      <c r="AF303" t="inlineStr">
        <is>
          <t>2024-01</t>
        </is>
      </c>
      <c r="AG303" t="n">
        <v>1</v>
      </c>
      <c r="AH303" t="n">
        <v>1</v>
      </c>
      <c r="AI303" t="n">
        <v>0</v>
      </c>
      <c r="AJ303">
        <f>IF($AE303="","",IFERROR(VLOOKUP(TRIM($AE303),DECODE!$H$3:$I$60,2,FALSE),"Rest of India"))</f>
        <v/>
      </c>
      <c r="AK303">
        <f>IF($N303="","",UPPER(TRIM(LEFT($N303&amp;",",FIND(",",$N303&amp;",")-1))))</f>
        <v/>
      </c>
      <c r="AL303">
        <f>IF($AK303="","",MID($AK303,4,FIND("~",SUBSTITUTE($AK303,"-","~",2))-4))</f>
        <v/>
      </c>
      <c r="AM303">
        <f>IF($AK303="","",MID($AK303,FIND("~",SUBSTITUTE($AK303,"-","~",2))+1,FIND("~",SUBSTITUTE($AK303,"-","~",3))-FIND("~",SUBSTITUTE($AK303,"-","~",2))-1))</f>
        <v/>
      </c>
      <c r="AN303">
        <f>IF($AL303="","",IFERROR(VLOOKUP($AL303,DECODE!$A$3:$C$8,3,FALSE),"?"))</f>
        <v/>
      </c>
      <c r="AO303">
        <f>IF($AM303="","",IFERROR(VLOOKUP($AL303&amp;"-"&amp;$AM303,DECODE!$E$3:$F$21,2,FALSE),"?"))</f>
        <v/>
      </c>
      <c r="AP303">
        <f>IF($AK303="","",IFERROR(VALUE(RIGHT($AK303,3)),""))</f>
        <v/>
      </c>
      <c r="AQ303">
        <f>IF($T303="","",IFERROR(IF(ISNUMBER($T303),$T303,DATEVALUE(TRIM($T303))),""))</f>
        <v/>
      </c>
      <c r="AR303">
        <f>IF($AQ303="","",IF(MONTH($AQ303)&gt;=12,"Cold Winter",IF(MONTH($AQ303)&gt;=10,"Post-Monsoon",IF(MONTH($AQ303)&gt;=6,"Hot Humid",IF(MONTH($AQ303)&gt;=3,"Hot Dry","Cold Winter")))))</f>
        <v/>
      </c>
      <c r="AS303">
        <f>IF($AL303="","",IFERROR(VLOOKUP($AL303,DECODE!$A$3:$C$8,2,FALSE),"?"))</f>
        <v/>
      </c>
      <c r="AT303">
        <f>IF($O303="","",UPPER(TRIM(LEFT($O303&amp;",",FIND(",",$O303&amp;",")-1))))</f>
        <v/>
      </c>
      <c r="AU303">
        <f>IF($AT303="","",MID($AT303,4,FIND("~",SUBSTITUTE($AT303,"-","~",2))-4))</f>
        <v/>
      </c>
      <c r="AV303">
        <f>IF($AT303="","",MID($AT303,FIND("~",SUBSTITUTE($AT303,"-","~",2))+1,FIND("~",SUBSTITUTE($AT303,"-","~",3))-FIND("~",SUBSTITUTE($AT303,"-","~",2))-1))</f>
        <v/>
      </c>
      <c r="AW303">
        <f>IF($AU303="","",IFERROR(VLOOKUP($AU303,DECODE!$A$3:$C$8,3,FALSE),"?"))</f>
        <v/>
      </c>
      <c r="AX303">
        <f>IF($AV303="","",IFERROR(VLOOKUP($AU303&amp;"-"&amp;$AV303,DECODE!$E$3:$F$21,2,FALSE),"?"))</f>
        <v/>
      </c>
      <c r="AY303">
        <f>IF($AT303="","",IFERROR(VALUE(RIGHT($AT303,3)),""))</f>
        <v/>
      </c>
      <c r="AZ303">
        <f>IF($U303="","",IFERROR(IF(ISNUMBER($U303),$U303,DATEVALUE(TRIM($U303))),""))</f>
        <v/>
      </c>
      <c r="BA303">
        <f>IF($AZ303="","",IF(MONTH($AZ303)&gt;=12,"Cold Winter",IF(MONTH($AZ303)&gt;=10,"Post-Monsoon",IF(MONTH($AZ303)&gt;=6,"Hot Humid",IF(MONTH($AZ303)&gt;=3,"Hot Dry","Cold Winter")))))</f>
        <v/>
      </c>
      <c r="BB303">
        <f>IF($AU303="","",IFERROR(VLOOKUP($AU303,DECODE!$A$3:$C$8,2,FALSE),"?"))</f>
        <v/>
      </c>
      <c r="BC303">
        <f>IF($P303="","",UPPER(TRIM(LEFT($P303&amp;",",FIND(",",$P303&amp;",")-1))))</f>
        <v/>
      </c>
      <c r="BD303">
        <f>IF($BC303="","",MID($BC303,4,FIND("~",SUBSTITUTE($BC303,"-","~",2))-4))</f>
        <v/>
      </c>
      <c r="BE303">
        <f>IF($BC303="","",MID($BC303,FIND("~",SUBSTITUTE($BC303,"-","~",2))+1,FIND("~",SUBSTITUTE($BC303,"-","~",3))-FIND("~",SUBSTITUTE($BC303,"-","~",2))-1))</f>
        <v/>
      </c>
      <c r="BF303">
        <f>IF($BD303="","",IFERROR(VLOOKUP($BD303,DECODE!$A$3:$C$8,3,FALSE),"?"))</f>
        <v/>
      </c>
      <c r="BG303">
        <f>IF($BE303="","",IFERROR(VLOOKUP($BD303&amp;"-"&amp;$BE303,DECODE!$E$3:$F$21,2,FALSE),"?"))</f>
        <v/>
      </c>
      <c r="BH303">
        <f>IF($BC303="","",IFERROR(VALUE(RIGHT($BC303,3)),""))</f>
        <v/>
      </c>
      <c r="BI303">
        <f>IF($V303="","",IFERROR(IF(ISNUMBER($V303),$V303,DATEVALUE(TRIM($V303))),""))</f>
        <v/>
      </c>
      <c r="BJ303">
        <f>IF($BI303="","",IF(MONTH($BI303)&gt;=12,"Cold Winter",IF(MONTH($BI303)&gt;=10,"Post-Monsoon",IF(MONTH($BI303)&gt;=6,"Hot Humid",IF(MONTH($BI303)&gt;=3,"Hot Dry","Cold Winter")))))</f>
        <v/>
      </c>
      <c r="BK303">
        <f>IF($BD303="","",IFERROR(VLOOKUP($BD303,DECODE!$A$3:$C$8,2,FALSE),"?"))</f>
        <v/>
      </c>
      <c r="BL303">
        <f>IF($Q303="","",UPPER(TRIM(LEFT($Q303&amp;",",FIND(",",$Q303&amp;",")-1))))</f>
        <v/>
      </c>
      <c r="BM303">
        <f>IF($BL303="","",MID($BL303,4,FIND("~",SUBSTITUTE($BL303,"-","~",2))-4))</f>
        <v/>
      </c>
      <c r="BN303">
        <f>IF($BL303="","",MID($BL303,FIND("~",SUBSTITUTE($BL303,"-","~",2))+1,FIND("~",SUBSTITUTE($BL303,"-","~",3))-FIND("~",SUBSTITUTE($BL303,"-","~",2))-1))</f>
        <v/>
      </c>
      <c r="BO303">
        <f>IF($BM303="","",IFERROR(VLOOKUP($BM303,DECODE!$A$3:$C$8,3,FALSE),"?"))</f>
        <v/>
      </c>
      <c r="BP303">
        <f>IF($BN303="","",IFERROR(VLOOKUP($BM303&amp;"-"&amp;$BN303,DECODE!$E$3:$F$21,2,FALSE),"?"))</f>
        <v/>
      </c>
      <c r="BQ303">
        <f>IF($BL303="","",IFERROR(VALUE(RIGHT($BL303,3)),""))</f>
        <v/>
      </c>
      <c r="BR303">
        <f>IF($W303="","",IFERROR(IF(ISNUMBER($W303),$W303,DATEVALUE(TRIM($W303))),""))</f>
        <v/>
      </c>
      <c r="BS303">
        <f>IF($BR303="","",IF(MONTH($BR303)&gt;=12,"Cold Winter",IF(MONTH($BR303)&gt;=10,"Post-Monsoon",IF(MONTH($BR303)&gt;=6,"Hot Humid",IF(MONTH($BR303)&gt;=3,"Hot Dry","Cold Winter")))))</f>
        <v/>
      </c>
      <c r="BT303">
        <f>IF($BM303="","",IFERROR(VLOOKUP($BM303,DECODE!$A$3:$C$8,2,FALSE),"?"))</f>
        <v/>
      </c>
      <c r="BU303">
        <f>IF($R303="","",UPPER(TRIM(LEFT($R303&amp;",",FIND(",",$R303&amp;",")-1))))</f>
        <v/>
      </c>
      <c r="BV303">
        <f>IF($BU303="","",MID($BU303,4,FIND("~",SUBSTITUTE($BU303,"-","~",2))-4))</f>
        <v/>
      </c>
      <c r="BW303">
        <f>IF($BU303="","",MID($BU303,FIND("~",SUBSTITUTE($BU303,"-","~",2))+1,FIND("~",SUBSTITUTE($BU303,"-","~",3))-FIND("~",SUBSTITUTE($BU303,"-","~",2))-1))</f>
        <v/>
      </c>
      <c r="BX303">
        <f>IF($BV303="","",IFERROR(VLOOKUP($BV303,DECODE!$A$3:$C$8,3,FALSE),"?"))</f>
        <v/>
      </c>
      <c r="BY303">
        <f>IF($BW303="","",IFERROR(VLOOKUP($BV303&amp;"-"&amp;$BW303,DECODE!$E$3:$F$21,2,FALSE),"?"))</f>
        <v/>
      </c>
      <c r="BZ303">
        <f>IF($BU303="","",IFERROR(VALUE(RIGHT($BU303,3)),""))</f>
        <v/>
      </c>
      <c r="CA303">
        <f>IF($X303="","",IFERROR(IF(ISNUMBER($X303),$X303,DATEVALUE(TRIM($X303))),""))</f>
        <v/>
      </c>
      <c r="CB303">
        <f>IF($CA303="","",IF(MONTH($CA303)&gt;=12,"Cold Winter",IF(MONTH($CA303)&gt;=10,"Post-Monsoon",IF(MONTH($CA303)&gt;=6,"Hot Humid",IF(MONTH($CA303)&gt;=3,"Hot Dry","Cold Winter")))))</f>
        <v/>
      </c>
      <c r="CC303">
        <f>IF($BV303="","",IFERROR(VLOOKUP($BV303,DECODE!$A$3:$C$8,2,FALSE),"?"))</f>
        <v/>
      </c>
      <c r="CD303">
        <f>IF($S303="","",UPPER(TRIM(LEFT($S303&amp;",",FIND(",",$S303&amp;",")-1))))</f>
        <v/>
      </c>
      <c r="CE303">
        <f>IF($CD303="","",MID($CD303,4,FIND("~",SUBSTITUTE($CD303,"-","~",2))-4))</f>
        <v/>
      </c>
      <c r="CF303">
        <f>IF($CD303="","",MID($CD303,FIND("~",SUBSTITUTE($CD303,"-","~",2))+1,FIND("~",SUBSTITUTE($CD303,"-","~",3))-FIND("~",SUBSTITUTE($CD303,"-","~",2))-1))</f>
        <v/>
      </c>
      <c r="CG303">
        <f>IF($CE303="","",IFERROR(VLOOKUP($CE303,DECODE!$A$3:$C$8,3,FALSE),"?"))</f>
        <v/>
      </c>
      <c r="CH303">
        <f>IF($CF303="","",IFERROR(VLOOKUP($CE303&amp;"-"&amp;$CF303,DECODE!$E$3:$F$21,2,FALSE),"?"))</f>
        <v/>
      </c>
      <c r="CI303">
        <f>IF($CD303="","",IFERROR(VALUE(RIGHT($CD303,3)),""))</f>
        <v/>
      </c>
      <c r="CJ303">
        <f>IF($Y303="","",IFERROR(IF(ISNUMBER($Y303),$Y303,DATEVALUE(TRIM($Y303))),""))</f>
        <v/>
      </c>
      <c r="CK303">
        <f>IF($CJ303="","",IF(MONTH($CJ303)&gt;=12,"Cold Winter",IF(MONTH($CJ303)&gt;=10,"Post-Monsoon",IF(MONTH($CJ303)&gt;=6,"Hot Humid",IF(MONTH($CJ303)&gt;=3,"Hot Dry","Cold Winter")))))</f>
        <v/>
      </c>
      <c r="CL303">
        <f>IF($CE303="","",IFERROR(VLOOKUP($CE303,DECODE!$A$3:$C$8,2,FALSE),"?"))</f>
        <v/>
      </c>
      <c r="CM303">
        <f>IF($AN303="","",AN303)</f>
        <v/>
      </c>
      <c r="CN303">
        <f>IF($AO303="","",AO303)</f>
        <v/>
      </c>
      <c r="CO303">
        <f>IF($AP303="","",AP303)</f>
        <v/>
      </c>
      <c r="CP303">
        <f>IF($CM303="","",IF($CM303="Aloe Vera Gel","Aloe Vera Gel "&amp;$CO303&amp;"g",CN303&amp;" "&amp;$CO303&amp;"g"))</f>
        <v/>
      </c>
      <c r="CQ303">
        <f>IF($AT303="",0,1)</f>
        <v/>
      </c>
      <c r="CR303">
        <f>IF($CQ303=0,"",AW303)</f>
        <v/>
      </c>
      <c r="CS303">
        <f>IF($CQ303=0,"",AX303)</f>
        <v/>
      </c>
      <c r="CT303">
        <f>IF($CQ303=0,"",AY303)</f>
        <v/>
      </c>
      <c r="CU303">
        <f>IF($CR303="","",IF($CR303="Aloe Vera Gel","Aloe Vera Gel "&amp;$CT303&amp;"g",CS303&amp;" "&amp;$CT303&amp;"g"))</f>
        <v/>
      </c>
      <c r="CV303">
        <f>IF($CQ303=0,"",IF($CP303=$CU303,"Repeat Exact",IF($CT303&gt;$CO303,"Upsized",IF($CT303&lt;$CO303,"Downsized",IF($CM303&lt;&gt;$CR303,"Lateral","Same Size Diff Variant")))))</f>
        <v/>
      </c>
      <c r="CW303">
        <f>IF($CQ303=0,"",AZ303-AQ303)</f>
        <v/>
      </c>
      <c r="CX303">
        <f>IF($CQ303=0,0,IF(CS303=CN303,1,0))</f>
        <v/>
      </c>
      <c r="CY303">
        <f>IF($CQ303=0,0,IF(CR303=CM303,1,0))</f>
        <v/>
      </c>
      <c r="CZ303">
        <f>IF($A303="","",IF(AND(IF(DASHBOARD!$C$4="All",TRUE,$CM303=DASHBOARD!$C$4),IF(DASHBOARD!$C$6="All",TRUE,$CP303=DASHBOARD!$C$6),IF(DASHBOARD!$C$8="All",TRUE,$AF303&gt;=DASHBOARD!$C$8),IF(DASHBOARD!$C$10="All",TRUE,$AF303&lt;=DASHBOARD!$C$10),IF(DASHBOARD!$C$12="All",TRUE,$AH303=VALUE(DASHBOARD!$C$12)),IF(DASHBOARD!$C$14="All",TRUE,$AJ303=DASHBOARD!$C$14)),1,0))</f>
        <v/>
      </c>
    </row>
    <row r="304">
      <c r="A304" t="n">
        <v>169259</v>
      </c>
      <c r="B304" t="inlineStr">
        <is>
          <t>Face Malai</t>
        </is>
      </c>
      <c r="H304" t="inlineStr">
        <is>
          <t>Turmeric Nutmeg (Pigmentation)  Face Malai - 30g</t>
        </is>
      </c>
      <c r="N304" t="inlineStr">
        <is>
          <t>FC-DM-PG-030</t>
        </is>
      </c>
      <c r="T304" t="inlineStr">
        <is>
          <t>Feb 5, 2024</t>
        </is>
      </c>
      <c r="AE304" t="inlineStr">
        <is>
          <t>Saharanpur</t>
        </is>
      </c>
      <c r="AF304" t="inlineStr">
        <is>
          <t>2024-02</t>
        </is>
      </c>
      <c r="AG304" t="n">
        <v>2</v>
      </c>
      <c r="AH304" t="n">
        <v>1</v>
      </c>
      <c r="AI304" t="n">
        <v>0</v>
      </c>
      <c r="AJ304">
        <f>IF($AE304="","",IFERROR(VLOOKUP(TRIM($AE304),DECODE!$H$3:$I$60,2,FALSE),"Rest of India"))</f>
        <v/>
      </c>
      <c r="AK304">
        <f>IF($N304="","",UPPER(TRIM(LEFT($N304&amp;",",FIND(",",$N304&amp;",")-1))))</f>
        <v/>
      </c>
      <c r="AL304">
        <f>IF($AK304="","",MID($AK304,4,FIND("~",SUBSTITUTE($AK304,"-","~",2))-4))</f>
        <v/>
      </c>
      <c r="AM304">
        <f>IF($AK304="","",MID($AK304,FIND("~",SUBSTITUTE($AK304,"-","~",2))+1,FIND("~",SUBSTITUTE($AK304,"-","~",3))-FIND("~",SUBSTITUTE($AK304,"-","~",2))-1))</f>
        <v/>
      </c>
      <c r="AN304">
        <f>IF($AL304="","",IFERROR(VLOOKUP($AL304,DECODE!$A$3:$C$8,3,FALSE),"?"))</f>
        <v/>
      </c>
      <c r="AO304">
        <f>IF($AM304="","",IFERROR(VLOOKUP($AL304&amp;"-"&amp;$AM304,DECODE!$E$3:$F$21,2,FALSE),"?"))</f>
        <v/>
      </c>
      <c r="AP304">
        <f>IF($AK304="","",IFERROR(VALUE(RIGHT($AK304,3)),""))</f>
        <v/>
      </c>
      <c r="AQ304">
        <f>IF($T304="","",IFERROR(IF(ISNUMBER($T304),$T304,DATEVALUE(TRIM($T304))),""))</f>
        <v/>
      </c>
      <c r="AR304">
        <f>IF($AQ304="","",IF(MONTH($AQ304)&gt;=12,"Cold Winter",IF(MONTH($AQ304)&gt;=10,"Post-Monsoon",IF(MONTH($AQ304)&gt;=6,"Hot Humid",IF(MONTH($AQ304)&gt;=3,"Hot Dry","Cold Winter")))))</f>
        <v/>
      </c>
      <c r="AS304">
        <f>IF($AL304="","",IFERROR(VLOOKUP($AL304,DECODE!$A$3:$C$8,2,FALSE),"?"))</f>
        <v/>
      </c>
      <c r="AT304">
        <f>IF($O304="","",UPPER(TRIM(LEFT($O304&amp;",",FIND(",",$O304&amp;",")-1))))</f>
        <v/>
      </c>
      <c r="AU304">
        <f>IF($AT304="","",MID($AT304,4,FIND("~",SUBSTITUTE($AT304,"-","~",2))-4))</f>
        <v/>
      </c>
      <c r="AV304">
        <f>IF($AT304="","",MID($AT304,FIND("~",SUBSTITUTE($AT304,"-","~",2))+1,FIND("~",SUBSTITUTE($AT304,"-","~",3))-FIND("~",SUBSTITUTE($AT304,"-","~",2))-1))</f>
        <v/>
      </c>
      <c r="AW304">
        <f>IF($AU304="","",IFERROR(VLOOKUP($AU304,DECODE!$A$3:$C$8,3,FALSE),"?"))</f>
        <v/>
      </c>
      <c r="AX304">
        <f>IF($AV304="","",IFERROR(VLOOKUP($AU304&amp;"-"&amp;$AV304,DECODE!$E$3:$F$21,2,FALSE),"?"))</f>
        <v/>
      </c>
      <c r="AY304">
        <f>IF($AT304="","",IFERROR(VALUE(RIGHT($AT304,3)),""))</f>
        <v/>
      </c>
      <c r="AZ304">
        <f>IF($U304="","",IFERROR(IF(ISNUMBER($U304),$U304,DATEVALUE(TRIM($U304))),""))</f>
        <v/>
      </c>
      <c r="BA304">
        <f>IF($AZ304="","",IF(MONTH($AZ304)&gt;=12,"Cold Winter",IF(MONTH($AZ304)&gt;=10,"Post-Monsoon",IF(MONTH($AZ304)&gt;=6,"Hot Humid",IF(MONTH($AZ304)&gt;=3,"Hot Dry","Cold Winter")))))</f>
        <v/>
      </c>
      <c r="BB304">
        <f>IF($AU304="","",IFERROR(VLOOKUP($AU304,DECODE!$A$3:$C$8,2,FALSE),"?"))</f>
        <v/>
      </c>
      <c r="BC304">
        <f>IF($P304="","",UPPER(TRIM(LEFT($P304&amp;",",FIND(",",$P304&amp;",")-1))))</f>
        <v/>
      </c>
      <c r="BD304">
        <f>IF($BC304="","",MID($BC304,4,FIND("~",SUBSTITUTE($BC304,"-","~",2))-4))</f>
        <v/>
      </c>
      <c r="BE304">
        <f>IF($BC304="","",MID($BC304,FIND("~",SUBSTITUTE($BC304,"-","~",2))+1,FIND("~",SUBSTITUTE($BC304,"-","~",3))-FIND("~",SUBSTITUTE($BC304,"-","~",2))-1))</f>
        <v/>
      </c>
      <c r="BF304">
        <f>IF($BD304="","",IFERROR(VLOOKUP($BD304,DECODE!$A$3:$C$8,3,FALSE),"?"))</f>
        <v/>
      </c>
      <c r="BG304">
        <f>IF($BE304="","",IFERROR(VLOOKUP($BD304&amp;"-"&amp;$BE304,DECODE!$E$3:$F$21,2,FALSE),"?"))</f>
        <v/>
      </c>
      <c r="BH304">
        <f>IF($BC304="","",IFERROR(VALUE(RIGHT($BC304,3)),""))</f>
        <v/>
      </c>
      <c r="BI304">
        <f>IF($V304="","",IFERROR(IF(ISNUMBER($V304),$V304,DATEVALUE(TRIM($V304))),""))</f>
        <v/>
      </c>
      <c r="BJ304">
        <f>IF($BI304="","",IF(MONTH($BI304)&gt;=12,"Cold Winter",IF(MONTH($BI304)&gt;=10,"Post-Monsoon",IF(MONTH($BI304)&gt;=6,"Hot Humid",IF(MONTH($BI304)&gt;=3,"Hot Dry","Cold Winter")))))</f>
        <v/>
      </c>
      <c r="BK304">
        <f>IF($BD304="","",IFERROR(VLOOKUP($BD304,DECODE!$A$3:$C$8,2,FALSE),"?"))</f>
        <v/>
      </c>
      <c r="BL304">
        <f>IF($Q304="","",UPPER(TRIM(LEFT($Q304&amp;",",FIND(",",$Q304&amp;",")-1))))</f>
        <v/>
      </c>
      <c r="BM304">
        <f>IF($BL304="","",MID($BL304,4,FIND("~",SUBSTITUTE($BL304,"-","~",2))-4))</f>
        <v/>
      </c>
      <c r="BN304">
        <f>IF($BL304="","",MID($BL304,FIND("~",SUBSTITUTE($BL304,"-","~",2))+1,FIND("~",SUBSTITUTE($BL304,"-","~",3))-FIND("~",SUBSTITUTE($BL304,"-","~",2))-1))</f>
        <v/>
      </c>
      <c r="BO304">
        <f>IF($BM304="","",IFERROR(VLOOKUP($BM304,DECODE!$A$3:$C$8,3,FALSE),"?"))</f>
        <v/>
      </c>
      <c r="BP304">
        <f>IF($BN304="","",IFERROR(VLOOKUP($BM304&amp;"-"&amp;$BN304,DECODE!$E$3:$F$21,2,FALSE),"?"))</f>
        <v/>
      </c>
      <c r="BQ304">
        <f>IF($BL304="","",IFERROR(VALUE(RIGHT($BL304,3)),""))</f>
        <v/>
      </c>
      <c r="BR304">
        <f>IF($W304="","",IFERROR(IF(ISNUMBER($W304),$W304,DATEVALUE(TRIM($W304))),""))</f>
        <v/>
      </c>
      <c r="BS304">
        <f>IF($BR304="","",IF(MONTH($BR304)&gt;=12,"Cold Winter",IF(MONTH($BR304)&gt;=10,"Post-Monsoon",IF(MONTH($BR304)&gt;=6,"Hot Humid",IF(MONTH($BR304)&gt;=3,"Hot Dry","Cold Winter")))))</f>
        <v/>
      </c>
      <c r="BT304">
        <f>IF($BM304="","",IFERROR(VLOOKUP($BM304,DECODE!$A$3:$C$8,2,FALSE),"?"))</f>
        <v/>
      </c>
      <c r="BU304">
        <f>IF($R304="","",UPPER(TRIM(LEFT($R304&amp;",",FIND(",",$R304&amp;",")-1))))</f>
        <v/>
      </c>
      <c r="BV304">
        <f>IF($BU304="","",MID($BU304,4,FIND("~",SUBSTITUTE($BU304,"-","~",2))-4))</f>
        <v/>
      </c>
      <c r="BW304">
        <f>IF($BU304="","",MID($BU304,FIND("~",SUBSTITUTE($BU304,"-","~",2))+1,FIND("~",SUBSTITUTE($BU304,"-","~",3))-FIND("~",SUBSTITUTE($BU304,"-","~",2))-1))</f>
        <v/>
      </c>
      <c r="BX304">
        <f>IF($BV304="","",IFERROR(VLOOKUP($BV304,DECODE!$A$3:$C$8,3,FALSE),"?"))</f>
        <v/>
      </c>
      <c r="BY304">
        <f>IF($BW304="","",IFERROR(VLOOKUP($BV304&amp;"-"&amp;$BW304,DECODE!$E$3:$F$21,2,FALSE),"?"))</f>
        <v/>
      </c>
      <c r="BZ304">
        <f>IF($BU304="","",IFERROR(VALUE(RIGHT($BU304,3)),""))</f>
        <v/>
      </c>
      <c r="CA304">
        <f>IF($X304="","",IFERROR(IF(ISNUMBER($X304),$X304,DATEVALUE(TRIM($X304))),""))</f>
        <v/>
      </c>
      <c r="CB304">
        <f>IF($CA304="","",IF(MONTH($CA304)&gt;=12,"Cold Winter",IF(MONTH($CA304)&gt;=10,"Post-Monsoon",IF(MONTH($CA304)&gt;=6,"Hot Humid",IF(MONTH($CA304)&gt;=3,"Hot Dry","Cold Winter")))))</f>
        <v/>
      </c>
      <c r="CC304">
        <f>IF($BV304="","",IFERROR(VLOOKUP($BV304,DECODE!$A$3:$C$8,2,FALSE),"?"))</f>
        <v/>
      </c>
      <c r="CD304">
        <f>IF($S304="","",UPPER(TRIM(LEFT($S304&amp;",",FIND(",",$S304&amp;",")-1))))</f>
        <v/>
      </c>
      <c r="CE304">
        <f>IF($CD304="","",MID($CD304,4,FIND("~",SUBSTITUTE($CD304,"-","~",2))-4))</f>
        <v/>
      </c>
      <c r="CF304">
        <f>IF($CD304="","",MID($CD304,FIND("~",SUBSTITUTE($CD304,"-","~",2))+1,FIND("~",SUBSTITUTE($CD304,"-","~",3))-FIND("~",SUBSTITUTE($CD304,"-","~",2))-1))</f>
        <v/>
      </c>
      <c r="CG304">
        <f>IF($CE304="","",IFERROR(VLOOKUP($CE304,DECODE!$A$3:$C$8,3,FALSE),"?"))</f>
        <v/>
      </c>
      <c r="CH304">
        <f>IF($CF304="","",IFERROR(VLOOKUP($CE304&amp;"-"&amp;$CF304,DECODE!$E$3:$F$21,2,FALSE),"?"))</f>
        <v/>
      </c>
      <c r="CI304">
        <f>IF($CD304="","",IFERROR(VALUE(RIGHT($CD304,3)),""))</f>
        <v/>
      </c>
      <c r="CJ304">
        <f>IF($Y304="","",IFERROR(IF(ISNUMBER($Y304),$Y304,DATEVALUE(TRIM($Y304))),""))</f>
        <v/>
      </c>
      <c r="CK304">
        <f>IF($CJ304="","",IF(MONTH($CJ304)&gt;=12,"Cold Winter",IF(MONTH($CJ304)&gt;=10,"Post-Monsoon",IF(MONTH($CJ304)&gt;=6,"Hot Humid",IF(MONTH($CJ304)&gt;=3,"Hot Dry","Cold Winter")))))</f>
        <v/>
      </c>
      <c r="CL304">
        <f>IF($CE304="","",IFERROR(VLOOKUP($CE304,DECODE!$A$3:$C$8,2,FALSE),"?"))</f>
        <v/>
      </c>
      <c r="CM304">
        <f>IF($AN304="","",AN304)</f>
        <v/>
      </c>
      <c r="CN304">
        <f>IF($AO304="","",AO304)</f>
        <v/>
      </c>
      <c r="CO304">
        <f>IF($AP304="","",AP304)</f>
        <v/>
      </c>
      <c r="CP304">
        <f>IF($CM304="","",IF($CM304="Aloe Vera Gel","Aloe Vera Gel "&amp;$CO304&amp;"g",CN304&amp;" "&amp;$CO304&amp;"g"))</f>
        <v/>
      </c>
      <c r="CQ304">
        <f>IF($AT304="",0,1)</f>
        <v/>
      </c>
      <c r="CR304">
        <f>IF($CQ304=0,"",AW304)</f>
        <v/>
      </c>
      <c r="CS304">
        <f>IF($CQ304=0,"",AX304)</f>
        <v/>
      </c>
      <c r="CT304">
        <f>IF($CQ304=0,"",AY304)</f>
        <v/>
      </c>
      <c r="CU304">
        <f>IF($CR304="","",IF($CR304="Aloe Vera Gel","Aloe Vera Gel "&amp;$CT304&amp;"g",CS304&amp;" "&amp;$CT304&amp;"g"))</f>
        <v/>
      </c>
      <c r="CV304">
        <f>IF($CQ304=0,"",IF($CP304=$CU304,"Repeat Exact",IF($CT304&gt;$CO304,"Upsized",IF($CT304&lt;$CO304,"Downsized",IF($CM304&lt;&gt;$CR304,"Lateral","Same Size Diff Variant")))))</f>
        <v/>
      </c>
      <c r="CW304">
        <f>IF($CQ304=0,"",AZ304-AQ304)</f>
        <v/>
      </c>
      <c r="CX304">
        <f>IF($CQ304=0,0,IF(CS304=CN304,1,0))</f>
        <v/>
      </c>
      <c r="CY304">
        <f>IF($CQ304=0,0,IF(CR304=CM304,1,0))</f>
        <v/>
      </c>
      <c r="CZ304">
        <f>IF($A304="","",IF(AND(IF(DASHBOARD!$C$4="All",TRUE,$CM304=DASHBOARD!$C$4),IF(DASHBOARD!$C$6="All",TRUE,$CP304=DASHBOARD!$C$6),IF(DASHBOARD!$C$8="All",TRUE,$AF304&gt;=DASHBOARD!$C$8),IF(DASHBOARD!$C$10="All",TRUE,$AF304&lt;=DASHBOARD!$C$10),IF(DASHBOARD!$C$12="All",TRUE,$AH304=VALUE(DASHBOARD!$C$12)),IF(DASHBOARD!$C$14="All",TRUE,$AJ304=DASHBOARD!$C$14)),1,0))</f>
        <v/>
      </c>
    </row>
    <row r="305">
      <c r="A305" t="n">
        <v>169270</v>
      </c>
      <c r="B305" t="inlineStr">
        <is>
          <t>Active Gel</t>
        </is>
      </c>
      <c r="H305" t="inlineStr">
        <is>
          <t>Active Orange Kiwi Vit-C Gel</t>
        </is>
      </c>
      <c r="N305" t="inlineStr">
        <is>
          <t>FC-AC-OK-050</t>
        </is>
      </c>
      <c r="T305" t="inlineStr">
        <is>
          <t>Mar 25, 2024</t>
        </is>
      </c>
      <c r="AE305" t="inlineStr">
        <is>
          <t>Gautam Buddha Nagar</t>
        </is>
      </c>
      <c r="AF305" t="inlineStr">
        <is>
          <t>2024-03</t>
        </is>
      </c>
      <c r="AG305" t="n">
        <v>3</v>
      </c>
      <c r="AH305" t="n">
        <v>1</v>
      </c>
      <c r="AI305" t="n">
        <v>0</v>
      </c>
      <c r="AJ305">
        <f>IF($AE305="","",IFERROR(VLOOKUP(TRIM($AE305),DECODE!$H$3:$I$60,2,FALSE),"Rest of India"))</f>
        <v/>
      </c>
      <c r="AK305">
        <f>IF($N305="","",UPPER(TRIM(LEFT($N305&amp;",",FIND(",",$N305&amp;",")-1))))</f>
        <v/>
      </c>
      <c r="AL305">
        <f>IF($AK305="","",MID($AK305,4,FIND("~",SUBSTITUTE($AK305,"-","~",2))-4))</f>
        <v/>
      </c>
      <c r="AM305">
        <f>IF($AK305="","",MID($AK305,FIND("~",SUBSTITUTE($AK305,"-","~",2))+1,FIND("~",SUBSTITUTE($AK305,"-","~",3))-FIND("~",SUBSTITUTE($AK305,"-","~",2))-1))</f>
        <v/>
      </c>
      <c r="AN305">
        <f>IF($AL305="","",IFERROR(VLOOKUP($AL305,DECODE!$A$3:$C$8,3,FALSE),"?"))</f>
        <v/>
      </c>
      <c r="AO305">
        <f>IF($AM305="","",IFERROR(VLOOKUP($AL305&amp;"-"&amp;$AM305,DECODE!$E$3:$F$21,2,FALSE),"?"))</f>
        <v/>
      </c>
      <c r="AP305">
        <f>IF($AK305="","",IFERROR(VALUE(RIGHT($AK305,3)),""))</f>
        <v/>
      </c>
      <c r="AQ305">
        <f>IF($T305="","",IFERROR(IF(ISNUMBER($T305),$T305,DATEVALUE(TRIM($T305))),""))</f>
        <v/>
      </c>
      <c r="AR305">
        <f>IF($AQ305="","",IF(MONTH($AQ305)&gt;=12,"Cold Winter",IF(MONTH($AQ305)&gt;=10,"Post-Monsoon",IF(MONTH($AQ305)&gt;=6,"Hot Humid",IF(MONTH($AQ305)&gt;=3,"Hot Dry","Cold Winter")))))</f>
        <v/>
      </c>
      <c r="AS305">
        <f>IF($AL305="","",IFERROR(VLOOKUP($AL305,DECODE!$A$3:$C$8,2,FALSE),"?"))</f>
        <v/>
      </c>
      <c r="AT305">
        <f>IF($O305="","",UPPER(TRIM(LEFT($O305&amp;",",FIND(",",$O305&amp;",")-1))))</f>
        <v/>
      </c>
      <c r="AU305">
        <f>IF($AT305="","",MID($AT305,4,FIND("~",SUBSTITUTE($AT305,"-","~",2))-4))</f>
        <v/>
      </c>
      <c r="AV305">
        <f>IF($AT305="","",MID($AT305,FIND("~",SUBSTITUTE($AT305,"-","~",2))+1,FIND("~",SUBSTITUTE($AT305,"-","~",3))-FIND("~",SUBSTITUTE($AT305,"-","~",2))-1))</f>
        <v/>
      </c>
      <c r="AW305">
        <f>IF($AU305="","",IFERROR(VLOOKUP($AU305,DECODE!$A$3:$C$8,3,FALSE),"?"))</f>
        <v/>
      </c>
      <c r="AX305">
        <f>IF($AV305="","",IFERROR(VLOOKUP($AU305&amp;"-"&amp;$AV305,DECODE!$E$3:$F$21,2,FALSE),"?"))</f>
        <v/>
      </c>
      <c r="AY305">
        <f>IF($AT305="","",IFERROR(VALUE(RIGHT($AT305,3)),""))</f>
        <v/>
      </c>
      <c r="AZ305">
        <f>IF($U305="","",IFERROR(IF(ISNUMBER($U305),$U305,DATEVALUE(TRIM($U305))),""))</f>
        <v/>
      </c>
      <c r="BA305">
        <f>IF($AZ305="","",IF(MONTH($AZ305)&gt;=12,"Cold Winter",IF(MONTH($AZ305)&gt;=10,"Post-Monsoon",IF(MONTH($AZ305)&gt;=6,"Hot Humid",IF(MONTH($AZ305)&gt;=3,"Hot Dry","Cold Winter")))))</f>
        <v/>
      </c>
      <c r="BB305">
        <f>IF($AU305="","",IFERROR(VLOOKUP($AU305,DECODE!$A$3:$C$8,2,FALSE),"?"))</f>
        <v/>
      </c>
      <c r="BC305">
        <f>IF($P305="","",UPPER(TRIM(LEFT($P305&amp;",",FIND(",",$P305&amp;",")-1))))</f>
        <v/>
      </c>
      <c r="BD305">
        <f>IF($BC305="","",MID($BC305,4,FIND("~",SUBSTITUTE($BC305,"-","~",2))-4))</f>
        <v/>
      </c>
      <c r="BE305">
        <f>IF($BC305="","",MID($BC305,FIND("~",SUBSTITUTE($BC305,"-","~",2))+1,FIND("~",SUBSTITUTE($BC305,"-","~",3))-FIND("~",SUBSTITUTE($BC305,"-","~",2))-1))</f>
        <v/>
      </c>
      <c r="BF305">
        <f>IF($BD305="","",IFERROR(VLOOKUP($BD305,DECODE!$A$3:$C$8,3,FALSE),"?"))</f>
        <v/>
      </c>
      <c r="BG305">
        <f>IF($BE305="","",IFERROR(VLOOKUP($BD305&amp;"-"&amp;$BE305,DECODE!$E$3:$F$21,2,FALSE),"?"))</f>
        <v/>
      </c>
      <c r="BH305">
        <f>IF($BC305="","",IFERROR(VALUE(RIGHT($BC305,3)),""))</f>
        <v/>
      </c>
      <c r="BI305">
        <f>IF($V305="","",IFERROR(IF(ISNUMBER($V305),$V305,DATEVALUE(TRIM($V305))),""))</f>
        <v/>
      </c>
      <c r="BJ305">
        <f>IF($BI305="","",IF(MONTH($BI305)&gt;=12,"Cold Winter",IF(MONTH($BI305)&gt;=10,"Post-Monsoon",IF(MONTH($BI305)&gt;=6,"Hot Humid",IF(MONTH($BI305)&gt;=3,"Hot Dry","Cold Winter")))))</f>
        <v/>
      </c>
      <c r="BK305">
        <f>IF($BD305="","",IFERROR(VLOOKUP($BD305,DECODE!$A$3:$C$8,2,FALSE),"?"))</f>
        <v/>
      </c>
      <c r="BL305">
        <f>IF($Q305="","",UPPER(TRIM(LEFT($Q305&amp;",",FIND(",",$Q305&amp;",")-1))))</f>
        <v/>
      </c>
      <c r="BM305">
        <f>IF($BL305="","",MID($BL305,4,FIND("~",SUBSTITUTE($BL305,"-","~",2))-4))</f>
        <v/>
      </c>
      <c r="BN305">
        <f>IF($BL305="","",MID($BL305,FIND("~",SUBSTITUTE($BL305,"-","~",2))+1,FIND("~",SUBSTITUTE($BL305,"-","~",3))-FIND("~",SUBSTITUTE($BL305,"-","~",2))-1))</f>
        <v/>
      </c>
      <c r="BO305">
        <f>IF($BM305="","",IFERROR(VLOOKUP($BM305,DECODE!$A$3:$C$8,3,FALSE),"?"))</f>
        <v/>
      </c>
      <c r="BP305">
        <f>IF($BN305="","",IFERROR(VLOOKUP($BM305&amp;"-"&amp;$BN305,DECODE!$E$3:$F$21,2,FALSE),"?"))</f>
        <v/>
      </c>
      <c r="BQ305">
        <f>IF($BL305="","",IFERROR(VALUE(RIGHT($BL305,3)),""))</f>
        <v/>
      </c>
      <c r="BR305">
        <f>IF($W305="","",IFERROR(IF(ISNUMBER($W305),$W305,DATEVALUE(TRIM($W305))),""))</f>
        <v/>
      </c>
      <c r="BS305">
        <f>IF($BR305="","",IF(MONTH($BR305)&gt;=12,"Cold Winter",IF(MONTH($BR305)&gt;=10,"Post-Monsoon",IF(MONTH($BR305)&gt;=6,"Hot Humid",IF(MONTH($BR305)&gt;=3,"Hot Dry","Cold Winter")))))</f>
        <v/>
      </c>
      <c r="BT305">
        <f>IF($BM305="","",IFERROR(VLOOKUP($BM305,DECODE!$A$3:$C$8,2,FALSE),"?"))</f>
        <v/>
      </c>
      <c r="BU305">
        <f>IF($R305="","",UPPER(TRIM(LEFT($R305&amp;",",FIND(",",$R305&amp;",")-1))))</f>
        <v/>
      </c>
      <c r="BV305">
        <f>IF($BU305="","",MID($BU305,4,FIND("~",SUBSTITUTE($BU305,"-","~",2))-4))</f>
        <v/>
      </c>
      <c r="BW305">
        <f>IF($BU305="","",MID($BU305,FIND("~",SUBSTITUTE($BU305,"-","~",2))+1,FIND("~",SUBSTITUTE($BU305,"-","~",3))-FIND("~",SUBSTITUTE($BU305,"-","~",2))-1))</f>
        <v/>
      </c>
      <c r="BX305">
        <f>IF($BV305="","",IFERROR(VLOOKUP($BV305,DECODE!$A$3:$C$8,3,FALSE),"?"))</f>
        <v/>
      </c>
      <c r="BY305">
        <f>IF($BW305="","",IFERROR(VLOOKUP($BV305&amp;"-"&amp;$BW305,DECODE!$E$3:$F$21,2,FALSE),"?"))</f>
        <v/>
      </c>
      <c r="BZ305">
        <f>IF($BU305="","",IFERROR(VALUE(RIGHT($BU305,3)),""))</f>
        <v/>
      </c>
      <c r="CA305">
        <f>IF($X305="","",IFERROR(IF(ISNUMBER($X305),$X305,DATEVALUE(TRIM($X305))),""))</f>
        <v/>
      </c>
      <c r="CB305">
        <f>IF($CA305="","",IF(MONTH($CA305)&gt;=12,"Cold Winter",IF(MONTH($CA305)&gt;=10,"Post-Monsoon",IF(MONTH($CA305)&gt;=6,"Hot Humid",IF(MONTH($CA305)&gt;=3,"Hot Dry","Cold Winter")))))</f>
        <v/>
      </c>
      <c r="CC305">
        <f>IF($BV305="","",IFERROR(VLOOKUP($BV305,DECODE!$A$3:$C$8,2,FALSE),"?"))</f>
        <v/>
      </c>
      <c r="CD305">
        <f>IF($S305="","",UPPER(TRIM(LEFT($S305&amp;",",FIND(",",$S305&amp;",")-1))))</f>
        <v/>
      </c>
      <c r="CE305">
        <f>IF($CD305="","",MID($CD305,4,FIND("~",SUBSTITUTE($CD305,"-","~",2))-4))</f>
        <v/>
      </c>
      <c r="CF305">
        <f>IF($CD305="","",MID($CD305,FIND("~",SUBSTITUTE($CD305,"-","~",2))+1,FIND("~",SUBSTITUTE($CD305,"-","~",3))-FIND("~",SUBSTITUTE($CD305,"-","~",2))-1))</f>
        <v/>
      </c>
      <c r="CG305">
        <f>IF($CE305="","",IFERROR(VLOOKUP($CE305,DECODE!$A$3:$C$8,3,FALSE),"?"))</f>
        <v/>
      </c>
      <c r="CH305">
        <f>IF($CF305="","",IFERROR(VLOOKUP($CE305&amp;"-"&amp;$CF305,DECODE!$E$3:$F$21,2,FALSE),"?"))</f>
        <v/>
      </c>
      <c r="CI305">
        <f>IF($CD305="","",IFERROR(VALUE(RIGHT($CD305,3)),""))</f>
        <v/>
      </c>
      <c r="CJ305">
        <f>IF($Y305="","",IFERROR(IF(ISNUMBER($Y305),$Y305,DATEVALUE(TRIM($Y305))),""))</f>
        <v/>
      </c>
      <c r="CK305">
        <f>IF($CJ305="","",IF(MONTH($CJ305)&gt;=12,"Cold Winter",IF(MONTH($CJ305)&gt;=10,"Post-Monsoon",IF(MONTH($CJ305)&gt;=6,"Hot Humid",IF(MONTH($CJ305)&gt;=3,"Hot Dry","Cold Winter")))))</f>
        <v/>
      </c>
      <c r="CL305">
        <f>IF($CE305="","",IFERROR(VLOOKUP($CE305,DECODE!$A$3:$C$8,2,FALSE),"?"))</f>
        <v/>
      </c>
      <c r="CM305">
        <f>IF($AN305="","",AN305)</f>
        <v/>
      </c>
      <c r="CN305">
        <f>IF($AO305="","",AO305)</f>
        <v/>
      </c>
      <c r="CO305">
        <f>IF($AP305="","",AP305)</f>
        <v/>
      </c>
      <c r="CP305">
        <f>IF($CM305="","",IF($CM305="Aloe Vera Gel","Aloe Vera Gel "&amp;$CO305&amp;"g",CN305&amp;" "&amp;$CO305&amp;"g"))</f>
        <v/>
      </c>
      <c r="CQ305">
        <f>IF($AT305="",0,1)</f>
        <v/>
      </c>
      <c r="CR305">
        <f>IF($CQ305=0,"",AW305)</f>
        <v/>
      </c>
      <c r="CS305">
        <f>IF($CQ305=0,"",AX305)</f>
        <v/>
      </c>
      <c r="CT305">
        <f>IF($CQ305=0,"",AY305)</f>
        <v/>
      </c>
      <c r="CU305">
        <f>IF($CR305="","",IF($CR305="Aloe Vera Gel","Aloe Vera Gel "&amp;$CT305&amp;"g",CS305&amp;" "&amp;$CT305&amp;"g"))</f>
        <v/>
      </c>
      <c r="CV305">
        <f>IF($CQ305=0,"",IF($CP305=$CU305,"Repeat Exact",IF($CT305&gt;$CO305,"Upsized",IF($CT305&lt;$CO305,"Downsized",IF($CM305&lt;&gt;$CR305,"Lateral","Same Size Diff Variant")))))</f>
        <v/>
      </c>
      <c r="CW305">
        <f>IF($CQ305=0,"",AZ305-AQ305)</f>
        <v/>
      </c>
      <c r="CX305">
        <f>IF($CQ305=0,0,IF(CS305=CN305,1,0))</f>
        <v/>
      </c>
      <c r="CY305">
        <f>IF($CQ305=0,0,IF(CR305=CM305,1,0))</f>
        <v/>
      </c>
      <c r="CZ305">
        <f>IF($A305="","",IF(AND(IF(DASHBOARD!$C$4="All",TRUE,$CM305=DASHBOARD!$C$4),IF(DASHBOARD!$C$6="All",TRUE,$CP305=DASHBOARD!$C$6),IF(DASHBOARD!$C$8="All",TRUE,$AF305&gt;=DASHBOARD!$C$8),IF(DASHBOARD!$C$10="All",TRUE,$AF305&lt;=DASHBOARD!$C$10),IF(DASHBOARD!$C$12="All",TRUE,$AH305=VALUE(DASHBOARD!$C$12)),IF(DASHBOARD!$C$14="All",TRUE,$AJ305=DASHBOARD!$C$14)),1,0))</f>
        <v/>
      </c>
    </row>
    <row r="306">
      <c r="A306" t="n">
        <v>169476</v>
      </c>
      <c r="B306" t="inlineStr">
        <is>
          <t>Face Malai</t>
        </is>
      </c>
      <c r="H306" t="inlineStr">
        <is>
          <t>Clove Tea-Tree (Anti-Acne) Face Malai</t>
        </is>
      </c>
      <c r="N306" t="inlineStr">
        <is>
          <t>FC-DM-AA-030</t>
        </is>
      </c>
      <c r="T306" t="inlineStr">
        <is>
          <t>Jun 6, 2024</t>
        </is>
      </c>
      <c r="AE306" t="inlineStr">
        <is>
          <t>Ahmedabad</t>
        </is>
      </c>
      <c r="AF306" t="inlineStr">
        <is>
          <t>2024-06</t>
        </is>
      </c>
      <c r="AG306" t="n">
        <v>6</v>
      </c>
      <c r="AH306" t="n">
        <v>1</v>
      </c>
      <c r="AI306" t="n">
        <v>0</v>
      </c>
      <c r="AJ306">
        <f>IF($AE306="","",IFERROR(VLOOKUP(TRIM($AE306),DECODE!$H$3:$I$60,2,FALSE),"Rest of India"))</f>
        <v/>
      </c>
      <c r="AK306">
        <f>IF($N306="","",UPPER(TRIM(LEFT($N306&amp;",",FIND(",",$N306&amp;",")-1))))</f>
        <v/>
      </c>
      <c r="AL306">
        <f>IF($AK306="","",MID($AK306,4,FIND("~",SUBSTITUTE($AK306,"-","~",2))-4))</f>
        <v/>
      </c>
      <c r="AM306">
        <f>IF($AK306="","",MID($AK306,FIND("~",SUBSTITUTE($AK306,"-","~",2))+1,FIND("~",SUBSTITUTE($AK306,"-","~",3))-FIND("~",SUBSTITUTE($AK306,"-","~",2))-1))</f>
        <v/>
      </c>
      <c r="AN306">
        <f>IF($AL306="","",IFERROR(VLOOKUP($AL306,DECODE!$A$3:$C$8,3,FALSE),"?"))</f>
        <v/>
      </c>
      <c r="AO306">
        <f>IF($AM306="","",IFERROR(VLOOKUP($AL306&amp;"-"&amp;$AM306,DECODE!$E$3:$F$21,2,FALSE),"?"))</f>
        <v/>
      </c>
      <c r="AP306">
        <f>IF($AK306="","",IFERROR(VALUE(RIGHT($AK306,3)),""))</f>
        <v/>
      </c>
      <c r="AQ306">
        <f>IF($T306="","",IFERROR(IF(ISNUMBER($T306),$T306,DATEVALUE(TRIM($T306))),""))</f>
        <v/>
      </c>
      <c r="AR306">
        <f>IF($AQ306="","",IF(MONTH($AQ306)&gt;=12,"Cold Winter",IF(MONTH($AQ306)&gt;=10,"Post-Monsoon",IF(MONTH($AQ306)&gt;=6,"Hot Humid",IF(MONTH($AQ306)&gt;=3,"Hot Dry","Cold Winter")))))</f>
        <v/>
      </c>
      <c r="AS306">
        <f>IF($AL306="","",IFERROR(VLOOKUP($AL306,DECODE!$A$3:$C$8,2,FALSE),"?"))</f>
        <v/>
      </c>
      <c r="AT306">
        <f>IF($O306="","",UPPER(TRIM(LEFT($O306&amp;",",FIND(",",$O306&amp;",")-1))))</f>
        <v/>
      </c>
      <c r="AU306">
        <f>IF($AT306="","",MID($AT306,4,FIND("~",SUBSTITUTE($AT306,"-","~",2))-4))</f>
        <v/>
      </c>
      <c r="AV306">
        <f>IF($AT306="","",MID($AT306,FIND("~",SUBSTITUTE($AT306,"-","~",2))+1,FIND("~",SUBSTITUTE($AT306,"-","~",3))-FIND("~",SUBSTITUTE($AT306,"-","~",2))-1))</f>
        <v/>
      </c>
      <c r="AW306">
        <f>IF($AU306="","",IFERROR(VLOOKUP($AU306,DECODE!$A$3:$C$8,3,FALSE),"?"))</f>
        <v/>
      </c>
      <c r="AX306">
        <f>IF($AV306="","",IFERROR(VLOOKUP($AU306&amp;"-"&amp;$AV306,DECODE!$E$3:$F$21,2,FALSE),"?"))</f>
        <v/>
      </c>
      <c r="AY306">
        <f>IF($AT306="","",IFERROR(VALUE(RIGHT($AT306,3)),""))</f>
        <v/>
      </c>
      <c r="AZ306">
        <f>IF($U306="","",IFERROR(IF(ISNUMBER($U306),$U306,DATEVALUE(TRIM($U306))),""))</f>
        <v/>
      </c>
      <c r="BA306">
        <f>IF($AZ306="","",IF(MONTH($AZ306)&gt;=12,"Cold Winter",IF(MONTH($AZ306)&gt;=10,"Post-Monsoon",IF(MONTH($AZ306)&gt;=6,"Hot Humid",IF(MONTH($AZ306)&gt;=3,"Hot Dry","Cold Winter")))))</f>
        <v/>
      </c>
      <c r="BB306">
        <f>IF($AU306="","",IFERROR(VLOOKUP($AU306,DECODE!$A$3:$C$8,2,FALSE),"?"))</f>
        <v/>
      </c>
      <c r="BC306">
        <f>IF($P306="","",UPPER(TRIM(LEFT($P306&amp;",",FIND(",",$P306&amp;",")-1))))</f>
        <v/>
      </c>
      <c r="BD306">
        <f>IF($BC306="","",MID($BC306,4,FIND("~",SUBSTITUTE($BC306,"-","~",2))-4))</f>
        <v/>
      </c>
      <c r="BE306">
        <f>IF($BC306="","",MID($BC306,FIND("~",SUBSTITUTE($BC306,"-","~",2))+1,FIND("~",SUBSTITUTE($BC306,"-","~",3))-FIND("~",SUBSTITUTE($BC306,"-","~",2))-1))</f>
        <v/>
      </c>
      <c r="BF306">
        <f>IF($BD306="","",IFERROR(VLOOKUP($BD306,DECODE!$A$3:$C$8,3,FALSE),"?"))</f>
        <v/>
      </c>
      <c r="BG306">
        <f>IF($BE306="","",IFERROR(VLOOKUP($BD306&amp;"-"&amp;$BE306,DECODE!$E$3:$F$21,2,FALSE),"?"))</f>
        <v/>
      </c>
      <c r="BH306">
        <f>IF($BC306="","",IFERROR(VALUE(RIGHT($BC306,3)),""))</f>
        <v/>
      </c>
      <c r="BI306">
        <f>IF($V306="","",IFERROR(IF(ISNUMBER($V306),$V306,DATEVALUE(TRIM($V306))),""))</f>
        <v/>
      </c>
      <c r="BJ306">
        <f>IF($BI306="","",IF(MONTH($BI306)&gt;=12,"Cold Winter",IF(MONTH($BI306)&gt;=10,"Post-Monsoon",IF(MONTH($BI306)&gt;=6,"Hot Humid",IF(MONTH($BI306)&gt;=3,"Hot Dry","Cold Winter")))))</f>
        <v/>
      </c>
      <c r="BK306">
        <f>IF($BD306="","",IFERROR(VLOOKUP($BD306,DECODE!$A$3:$C$8,2,FALSE),"?"))</f>
        <v/>
      </c>
      <c r="BL306">
        <f>IF($Q306="","",UPPER(TRIM(LEFT($Q306&amp;",",FIND(",",$Q306&amp;",")-1))))</f>
        <v/>
      </c>
      <c r="BM306">
        <f>IF($BL306="","",MID($BL306,4,FIND("~",SUBSTITUTE($BL306,"-","~",2))-4))</f>
        <v/>
      </c>
      <c r="BN306">
        <f>IF($BL306="","",MID($BL306,FIND("~",SUBSTITUTE($BL306,"-","~",2))+1,FIND("~",SUBSTITUTE($BL306,"-","~",3))-FIND("~",SUBSTITUTE($BL306,"-","~",2))-1))</f>
        <v/>
      </c>
      <c r="BO306">
        <f>IF($BM306="","",IFERROR(VLOOKUP($BM306,DECODE!$A$3:$C$8,3,FALSE),"?"))</f>
        <v/>
      </c>
      <c r="BP306">
        <f>IF($BN306="","",IFERROR(VLOOKUP($BM306&amp;"-"&amp;$BN306,DECODE!$E$3:$F$21,2,FALSE),"?"))</f>
        <v/>
      </c>
      <c r="BQ306">
        <f>IF($BL306="","",IFERROR(VALUE(RIGHT($BL306,3)),""))</f>
        <v/>
      </c>
      <c r="BR306">
        <f>IF($W306="","",IFERROR(IF(ISNUMBER($W306),$W306,DATEVALUE(TRIM($W306))),""))</f>
        <v/>
      </c>
      <c r="BS306">
        <f>IF($BR306="","",IF(MONTH($BR306)&gt;=12,"Cold Winter",IF(MONTH($BR306)&gt;=10,"Post-Monsoon",IF(MONTH($BR306)&gt;=6,"Hot Humid",IF(MONTH($BR306)&gt;=3,"Hot Dry","Cold Winter")))))</f>
        <v/>
      </c>
      <c r="BT306">
        <f>IF($BM306="","",IFERROR(VLOOKUP($BM306,DECODE!$A$3:$C$8,2,FALSE),"?"))</f>
        <v/>
      </c>
      <c r="BU306">
        <f>IF($R306="","",UPPER(TRIM(LEFT($R306&amp;",",FIND(",",$R306&amp;",")-1))))</f>
        <v/>
      </c>
      <c r="BV306">
        <f>IF($BU306="","",MID($BU306,4,FIND("~",SUBSTITUTE($BU306,"-","~",2))-4))</f>
        <v/>
      </c>
      <c r="BW306">
        <f>IF($BU306="","",MID($BU306,FIND("~",SUBSTITUTE($BU306,"-","~",2))+1,FIND("~",SUBSTITUTE($BU306,"-","~",3))-FIND("~",SUBSTITUTE($BU306,"-","~",2))-1))</f>
        <v/>
      </c>
      <c r="BX306">
        <f>IF($BV306="","",IFERROR(VLOOKUP($BV306,DECODE!$A$3:$C$8,3,FALSE),"?"))</f>
        <v/>
      </c>
      <c r="BY306">
        <f>IF($BW306="","",IFERROR(VLOOKUP($BV306&amp;"-"&amp;$BW306,DECODE!$E$3:$F$21,2,FALSE),"?"))</f>
        <v/>
      </c>
      <c r="BZ306">
        <f>IF($BU306="","",IFERROR(VALUE(RIGHT($BU306,3)),""))</f>
        <v/>
      </c>
      <c r="CA306">
        <f>IF($X306="","",IFERROR(IF(ISNUMBER($X306),$X306,DATEVALUE(TRIM($X306))),""))</f>
        <v/>
      </c>
      <c r="CB306">
        <f>IF($CA306="","",IF(MONTH($CA306)&gt;=12,"Cold Winter",IF(MONTH($CA306)&gt;=10,"Post-Monsoon",IF(MONTH($CA306)&gt;=6,"Hot Humid",IF(MONTH($CA306)&gt;=3,"Hot Dry","Cold Winter")))))</f>
        <v/>
      </c>
      <c r="CC306">
        <f>IF($BV306="","",IFERROR(VLOOKUP($BV306,DECODE!$A$3:$C$8,2,FALSE),"?"))</f>
        <v/>
      </c>
      <c r="CD306">
        <f>IF($S306="","",UPPER(TRIM(LEFT($S306&amp;",",FIND(",",$S306&amp;",")-1))))</f>
        <v/>
      </c>
      <c r="CE306">
        <f>IF($CD306="","",MID($CD306,4,FIND("~",SUBSTITUTE($CD306,"-","~",2))-4))</f>
        <v/>
      </c>
      <c r="CF306">
        <f>IF($CD306="","",MID($CD306,FIND("~",SUBSTITUTE($CD306,"-","~",2))+1,FIND("~",SUBSTITUTE($CD306,"-","~",3))-FIND("~",SUBSTITUTE($CD306,"-","~",2))-1))</f>
        <v/>
      </c>
      <c r="CG306">
        <f>IF($CE306="","",IFERROR(VLOOKUP($CE306,DECODE!$A$3:$C$8,3,FALSE),"?"))</f>
        <v/>
      </c>
      <c r="CH306">
        <f>IF($CF306="","",IFERROR(VLOOKUP($CE306&amp;"-"&amp;$CF306,DECODE!$E$3:$F$21,2,FALSE),"?"))</f>
        <v/>
      </c>
      <c r="CI306">
        <f>IF($CD306="","",IFERROR(VALUE(RIGHT($CD306,3)),""))</f>
        <v/>
      </c>
      <c r="CJ306">
        <f>IF($Y306="","",IFERROR(IF(ISNUMBER($Y306),$Y306,DATEVALUE(TRIM($Y306))),""))</f>
        <v/>
      </c>
      <c r="CK306">
        <f>IF($CJ306="","",IF(MONTH($CJ306)&gt;=12,"Cold Winter",IF(MONTH($CJ306)&gt;=10,"Post-Monsoon",IF(MONTH($CJ306)&gt;=6,"Hot Humid",IF(MONTH($CJ306)&gt;=3,"Hot Dry","Cold Winter")))))</f>
        <v/>
      </c>
      <c r="CL306">
        <f>IF($CE306="","",IFERROR(VLOOKUP($CE306,DECODE!$A$3:$C$8,2,FALSE),"?"))</f>
        <v/>
      </c>
      <c r="CM306">
        <f>IF($AN306="","",AN306)</f>
        <v/>
      </c>
      <c r="CN306">
        <f>IF($AO306="","",AO306)</f>
        <v/>
      </c>
      <c r="CO306">
        <f>IF($AP306="","",AP306)</f>
        <v/>
      </c>
      <c r="CP306">
        <f>IF($CM306="","",IF($CM306="Aloe Vera Gel","Aloe Vera Gel "&amp;$CO306&amp;"g",CN306&amp;" "&amp;$CO306&amp;"g"))</f>
        <v/>
      </c>
      <c r="CQ306">
        <f>IF($AT306="",0,1)</f>
        <v/>
      </c>
      <c r="CR306">
        <f>IF($CQ306=0,"",AW306)</f>
        <v/>
      </c>
      <c r="CS306">
        <f>IF($CQ306=0,"",AX306)</f>
        <v/>
      </c>
      <c r="CT306">
        <f>IF($CQ306=0,"",AY306)</f>
        <v/>
      </c>
      <c r="CU306">
        <f>IF($CR306="","",IF($CR306="Aloe Vera Gel","Aloe Vera Gel "&amp;$CT306&amp;"g",CS306&amp;" "&amp;$CT306&amp;"g"))</f>
        <v/>
      </c>
      <c r="CV306">
        <f>IF($CQ306=0,"",IF($CP306=$CU306,"Repeat Exact",IF($CT306&gt;$CO306,"Upsized",IF($CT306&lt;$CO306,"Downsized",IF($CM306&lt;&gt;$CR306,"Lateral","Same Size Diff Variant")))))</f>
        <v/>
      </c>
      <c r="CW306">
        <f>IF($CQ306=0,"",AZ306-AQ306)</f>
        <v/>
      </c>
      <c r="CX306">
        <f>IF($CQ306=0,0,IF(CS306=CN306,1,0))</f>
        <v/>
      </c>
      <c r="CY306">
        <f>IF($CQ306=0,0,IF(CR306=CM306,1,0))</f>
        <v/>
      </c>
      <c r="CZ306">
        <f>IF($A306="","",IF(AND(IF(DASHBOARD!$C$4="All",TRUE,$CM306=DASHBOARD!$C$4),IF(DASHBOARD!$C$6="All",TRUE,$CP306=DASHBOARD!$C$6),IF(DASHBOARD!$C$8="All",TRUE,$AF306&gt;=DASHBOARD!$C$8),IF(DASHBOARD!$C$10="All",TRUE,$AF306&lt;=DASHBOARD!$C$10),IF(DASHBOARD!$C$12="All",TRUE,$AH306=VALUE(DASHBOARD!$C$12)),IF(DASHBOARD!$C$14="All",TRUE,$AJ306=DASHBOARD!$C$14)),1,0))</f>
        <v/>
      </c>
    </row>
    <row r="307">
      <c r="A307" t="n">
        <v>169843</v>
      </c>
      <c r="B307" t="inlineStr">
        <is>
          <t>Aloe Vera Gel</t>
        </is>
      </c>
      <c r="C307" t="inlineStr">
        <is>
          <t>Aloe Vera Gel</t>
        </is>
      </c>
      <c r="H307" t="inlineStr">
        <is>
          <t>Aloe Vera Gel - 40 gms</t>
        </is>
      </c>
      <c r="I307" t="inlineStr">
        <is>
          <t>Aloe Vera Gel - 80 gms</t>
        </is>
      </c>
      <c r="N307" t="inlineStr">
        <is>
          <t>FC-HG-PA-040</t>
        </is>
      </c>
      <c r="O307" t="inlineStr">
        <is>
          <t>FC-HG-PA-080</t>
        </is>
      </c>
      <c r="T307" t="inlineStr">
        <is>
          <t>May 4, 2024</t>
        </is>
      </c>
      <c r="U307" t="inlineStr">
        <is>
          <t>Aug 19, 2025</t>
        </is>
      </c>
      <c r="Z307" t="n">
        <v>472</v>
      </c>
      <c r="AE307" t="inlineStr">
        <is>
          <t>Alwaye</t>
        </is>
      </c>
      <c r="AF307" t="inlineStr">
        <is>
          <t>2024-05</t>
        </is>
      </c>
      <c r="AG307" t="n">
        <v>5</v>
      </c>
      <c r="AH307" t="n">
        <v>2</v>
      </c>
      <c r="AI307" t="n">
        <v>1</v>
      </c>
      <c r="AJ307">
        <f>IF($AE307="","",IFERROR(VLOOKUP(TRIM($AE307),DECODE!$H$3:$I$60,2,FALSE),"Rest of India"))</f>
        <v/>
      </c>
      <c r="AK307">
        <f>IF($N307="","",UPPER(TRIM(LEFT($N307&amp;",",FIND(",",$N307&amp;",")-1))))</f>
        <v/>
      </c>
      <c r="AL307">
        <f>IF($AK307="","",MID($AK307,4,FIND("~",SUBSTITUTE($AK307,"-","~",2))-4))</f>
        <v/>
      </c>
      <c r="AM307">
        <f>IF($AK307="","",MID($AK307,FIND("~",SUBSTITUTE($AK307,"-","~",2))+1,FIND("~",SUBSTITUTE($AK307,"-","~",3))-FIND("~",SUBSTITUTE($AK307,"-","~",2))-1))</f>
        <v/>
      </c>
      <c r="AN307">
        <f>IF($AL307="","",IFERROR(VLOOKUP($AL307,DECODE!$A$3:$C$8,3,FALSE),"?"))</f>
        <v/>
      </c>
      <c r="AO307">
        <f>IF($AM307="","",IFERROR(VLOOKUP($AL307&amp;"-"&amp;$AM307,DECODE!$E$3:$F$21,2,FALSE),"?"))</f>
        <v/>
      </c>
      <c r="AP307">
        <f>IF($AK307="","",IFERROR(VALUE(RIGHT($AK307,3)),""))</f>
        <v/>
      </c>
      <c r="AQ307">
        <f>IF($T307="","",IFERROR(IF(ISNUMBER($T307),$T307,DATEVALUE(TRIM($T307))),""))</f>
        <v/>
      </c>
      <c r="AR307">
        <f>IF($AQ307="","",IF(MONTH($AQ307)&gt;=12,"Cold Winter",IF(MONTH($AQ307)&gt;=10,"Post-Monsoon",IF(MONTH($AQ307)&gt;=6,"Hot Humid",IF(MONTH($AQ307)&gt;=3,"Hot Dry","Cold Winter")))))</f>
        <v/>
      </c>
      <c r="AS307">
        <f>IF($AL307="","",IFERROR(VLOOKUP($AL307,DECODE!$A$3:$C$8,2,FALSE),"?"))</f>
        <v/>
      </c>
      <c r="AT307">
        <f>IF($O307="","",UPPER(TRIM(LEFT($O307&amp;",",FIND(",",$O307&amp;",")-1))))</f>
        <v/>
      </c>
      <c r="AU307">
        <f>IF($AT307="","",MID($AT307,4,FIND("~",SUBSTITUTE($AT307,"-","~",2))-4))</f>
        <v/>
      </c>
      <c r="AV307">
        <f>IF($AT307="","",MID($AT307,FIND("~",SUBSTITUTE($AT307,"-","~",2))+1,FIND("~",SUBSTITUTE($AT307,"-","~",3))-FIND("~",SUBSTITUTE($AT307,"-","~",2))-1))</f>
        <v/>
      </c>
      <c r="AW307">
        <f>IF($AU307="","",IFERROR(VLOOKUP($AU307,DECODE!$A$3:$C$8,3,FALSE),"?"))</f>
        <v/>
      </c>
      <c r="AX307">
        <f>IF($AV307="","",IFERROR(VLOOKUP($AU307&amp;"-"&amp;$AV307,DECODE!$E$3:$F$21,2,FALSE),"?"))</f>
        <v/>
      </c>
      <c r="AY307">
        <f>IF($AT307="","",IFERROR(VALUE(RIGHT($AT307,3)),""))</f>
        <v/>
      </c>
      <c r="AZ307">
        <f>IF($U307="","",IFERROR(IF(ISNUMBER($U307),$U307,DATEVALUE(TRIM($U307))),""))</f>
        <v/>
      </c>
      <c r="BA307">
        <f>IF($AZ307="","",IF(MONTH($AZ307)&gt;=12,"Cold Winter",IF(MONTH($AZ307)&gt;=10,"Post-Monsoon",IF(MONTH($AZ307)&gt;=6,"Hot Humid",IF(MONTH($AZ307)&gt;=3,"Hot Dry","Cold Winter")))))</f>
        <v/>
      </c>
      <c r="BB307">
        <f>IF($AU307="","",IFERROR(VLOOKUP($AU307,DECODE!$A$3:$C$8,2,FALSE),"?"))</f>
        <v/>
      </c>
      <c r="BC307">
        <f>IF($P307="","",UPPER(TRIM(LEFT($P307&amp;",",FIND(",",$P307&amp;",")-1))))</f>
        <v/>
      </c>
      <c r="BD307">
        <f>IF($BC307="","",MID($BC307,4,FIND("~",SUBSTITUTE($BC307,"-","~",2))-4))</f>
        <v/>
      </c>
      <c r="BE307">
        <f>IF($BC307="","",MID($BC307,FIND("~",SUBSTITUTE($BC307,"-","~",2))+1,FIND("~",SUBSTITUTE($BC307,"-","~",3))-FIND("~",SUBSTITUTE($BC307,"-","~",2))-1))</f>
        <v/>
      </c>
      <c r="BF307">
        <f>IF($BD307="","",IFERROR(VLOOKUP($BD307,DECODE!$A$3:$C$8,3,FALSE),"?"))</f>
        <v/>
      </c>
      <c r="BG307">
        <f>IF($BE307="","",IFERROR(VLOOKUP($BD307&amp;"-"&amp;$BE307,DECODE!$E$3:$F$21,2,FALSE),"?"))</f>
        <v/>
      </c>
      <c r="BH307">
        <f>IF($BC307="","",IFERROR(VALUE(RIGHT($BC307,3)),""))</f>
        <v/>
      </c>
      <c r="BI307">
        <f>IF($V307="","",IFERROR(IF(ISNUMBER($V307),$V307,DATEVALUE(TRIM($V307))),""))</f>
        <v/>
      </c>
      <c r="BJ307">
        <f>IF($BI307="","",IF(MONTH($BI307)&gt;=12,"Cold Winter",IF(MONTH($BI307)&gt;=10,"Post-Monsoon",IF(MONTH($BI307)&gt;=6,"Hot Humid",IF(MONTH($BI307)&gt;=3,"Hot Dry","Cold Winter")))))</f>
        <v/>
      </c>
      <c r="BK307">
        <f>IF($BD307="","",IFERROR(VLOOKUP($BD307,DECODE!$A$3:$C$8,2,FALSE),"?"))</f>
        <v/>
      </c>
      <c r="BL307">
        <f>IF($Q307="","",UPPER(TRIM(LEFT($Q307&amp;",",FIND(",",$Q307&amp;",")-1))))</f>
        <v/>
      </c>
      <c r="BM307">
        <f>IF($BL307="","",MID($BL307,4,FIND("~",SUBSTITUTE($BL307,"-","~",2))-4))</f>
        <v/>
      </c>
      <c r="BN307">
        <f>IF($BL307="","",MID($BL307,FIND("~",SUBSTITUTE($BL307,"-","~",2))+1,FIND("~",SUBSTITUTE($BL307,"-","~",3))-FIND("~",SUBSTITUTE($BL307,"-","~",2))-1))</f>
        <v/>
      </c>
      <c r="BO307">
        <f>IF($BM307="","",IFERROR(VLOOKUP($BM307,DECODE!$A$3:$C$8,3,FALSE),"?"))</f>
        <v/>
      </c>
      <c r="BP307">
        <f>IF($BN307="","",IFERROR(VLOOKUP($BM307&amp;"-"&amp;$BN307,DECODE!$E$3:$F$21,2,FALSE),"?"))</f>
        <v/>
      </c>
      <c r="BQ307">
        <f>IF($BL307="","",IFERROR(VALUE(RIGHT($BL307,3)),""))</f>
        <v/>
      </c>
      <c r="BR307">
        <f>IF($W307="","",IFERROR(IF(ISNUMBER($W307),$W307,DATEVALUE(TRIM($W307))),""))</f>
        <v/>
      </c>
      <c r="BS307">
        <f>IF($BR307="","",IF(MONTH($BR307)&gt;=12,"Cold Winter",IF(MONTH($BR307)&gt;=10,"Post-Monsoon",IF(MONTH($BR307)&gt;=6,"Hot Humid",IF(MONTH($BR307)&gt;=3,"Hot Dry","Cold Winter")))))</f>
        <v/>
      </c>
      <c r="BT307">
        <f>IF($BM307="","",IFERROR(VLOOKUP($BM307,DECODE!$A$3:$C$8,2,FALSE),"?"))</f>
        <v/>
      </c>
      <c r="BU307">
        <f>IF($R307="","",UPPER(TRIM(LEFT($R307&amp;",",FIND(",",$R307&amp;",")-1))))</f>
        <v/>
      </c>
      <c r="BV307">
        <f>IF($BU307="","",MID($BU307,4,FIND("~",SUBSTITUTE($BU307,"-","~",2))-4))</f>
        <v/>
      </c>
      <c r="BW307">
        <f>IF($BU307="","",MID($BU307,FIND("~",SUBSTITUTE($BU307,"-","~",2))+1,FIND("~",SUBSTITUTE($BU307,"-","~",3))-FIND("~",SUBSTITUTE($BU307,"-","~",2))-1))</f>
        <v/>
      </c>
      <c r="BX307">
        <f>IF($BV307="","",IFERROR(VLOOKUP($BV307,DECODE!$A$3:$C$8,3,FALSE),"?"))</f>
        <v/>
      </c>
      <c r="BY307">
        <f>IF($BW307="","",IFERROR(VLOOKUP($BV307&amp;"-"&amp;$BW307,DECODE!$E$3:$F$21,2,FALSE),"?"))</f>
        <v/>
      </c>
      <c r="BZ307">
        <f>IF($BU307="","",IFERROR(VALUE(RIGHT($BU307,3)),""))</f>
        <v/>
      </c>
      <c r="CA307">
        <f>IF($X307="","",IFERROR(IF(ISNUMBER($X307),$X307,DATEVALUE(TRIM($X307))),""))</f>
        <v/>
      </c>
      <c r="CB307">
        <f>IF($CA307="","",IF(MONTH($CA307)&gt;=12,"Cold Winter",IF(MONTH($CA307)&gt;=10,"Post-Monsoon",IF(MONTH($CA307)&gt;=6,"Hot Humid",IF(MONTH($CA307)&gt;=3,"Hot Dry","Cold Winter")))))</f>
        <v/>
      </c>
      <c r="CC307">
        <f>IF($BV307="","",IFERROR(VLOOKUP($BV307,DECODE!$A$3:$C$8,2,FALSE),"?"))</f>
        <v/>
      </c>
      <c r="CD307">
        <f>IF($S307="","",UPPER(TRIM(LEFT($S307&amp;",",FIND(",",$S307&amp;",")-1))))</f>
        <v/>
      </c>
      <c r="CE307">
        <f>IF($CD307="","",MID($CD307,4,FIND("~",SUBSTITUTE($CD307,"-","~",2))-4))</f>
        <v/>
      </c>
      <c r="CF307">
        <f>IF($CD307="","",MID($CD307,FIND("~",SUBSTITUTE($CD307,"-","~",2))+1,FIND("~",SUBSTITUTE($CD307,"-","~",3))-FIND("~",SUBSTITUTE($CD307,"-","~",2))-1))</f>
        <v/>
      </c>
      <c r="CG307">
        <f>IF($CE307="","",IFERROR(VLOOKUP($CE307,DECODE!$A$3:$C$8,3,FALSE),"?"))</f>
        <v/>
      </c>
      <c r="CH307">
        <f>IF($CF307="","",IFERROR(VLOOKUP($CE307&amp;"-"&amp;$CF307,DECODE!$E$3:$F$21,2,FALSE),"?"))</f>
        <v/>
      </c>
      <c r="CI307">
        <f>IF($CD307="","",IFERROR(VALUE(RIGHT($CD307,3)),""))</f>
        <v/>
      </c>
      <c r="CJ307">
        <f>IF($Y307="","",IFERROR(IF(ISNUMBER($Y307),$Y307,DATEVALUE(TRIM($Y307))),""))</f>
        <v/>
      </c>
      <c r="CK307">
        <f>IF($CJ307="","",IF(MONTH($CJ307)&gt;=12,"Cold Winter",IF(MONTH($CJ307)&gt;=10,"Post-Monsoon",IF(MONTH($CJ307)&gt;=6,"Hot Humid",IF(MONTH($CJ307)&gt;=3,"Hot Dry","Cold Winter")))))</f>
        <v/>
      </c>
      <c r="CL307">
        <f>IF($CE307="","",IFERROR(VLOOKUP($CE307,DECODE!$A$3:$C$8,2,FALSE),"?"))</f>
        <v/>
      </c>
      <c r="CM307">
        <f>IF($AN307="","",AN307)</f>
        <v/>
      </c>
      <c r="CN307">
        <f>IF($AO307="","",AO307)</f>
        <v/>
      </c>
      <c r="CO307">
        <f>IF($AP307="","",AP307)</f>
        <v/>
      </c>
      <c r="CP307">
        <f>IF($CM307="","",IF($CM307="Aloe Vera Gel","Aloe Vera Gel "&amp;$CO307&amp;"g",CN307&amp;" "&amp;$CO307&amp;"g"))</f>
        <v/>
      </c>
      <c r="CQ307">
        <f>IF($AT307="",0,1)</f>
        <v/>
      </c>
      <c r="CR307">
        <f>IF($CQ307=0,"",AW307)</f>
        <v/>
      </c>
      <c r="CS307">
        <f>IF($CQ307=0,"",AX307)</f>
        <v/>
      </c>
      <c r="CT307">
        <f>IF($CQ307=0,"",AY307)</f>
        <v/>
      </c>
      <c r="CU307">
        <f>IF($CR307="","",IF($CR307="Aloe Vera Gel","Aloe Vera Gel "&amp;$CT307&amp;"g",CS307&amp;" "&amp;$CT307&amp;"g"))</f>
        <v/>
      </c>
      <c r="CV307">
        <f>IF($CQ307=0,"",IF($CP307=$CU307,"Repeat Exact",IF($CT307&gt;$CO307,"Upsized",IF($CT307&lt;$CO307,"Downsized",IF($CM307&lt;&gt;$CR307,"Lateral","Same Size Diff Variant")))))</f>
        <v/>
      </c>
      <c r="CW307">
        <f>IF($CQ307=0,"",AZ307-AQ307)</f>
        <v/>
      </c>
      <c r="CX307">
        <f>IF($CQ307=0,0,IF(CS307=CN307,1,0))</f>
        <v/>
      </c>
      <c r="CY307">
        <f>IF($CQ307=0,0,IF(CR307=CM307,1,0))</f>
        <v/>
      </c>
      <c r="CZ307">
        <f>IF($A307="","",IF(AND(IF(DASHBOARD!$C$4="All",TRUE,$CM307=DASHBOARD!$C$4),IF(DASHBOARD!$C$6="All",TRUE,$CP307=DASHBOARD!$C$6),IF(DASHBOARD!$C$8="All",TRUE,$AF307&gt;=DASHBOARD!$C$8),IF(DASHBOARD!$C$10="All",TRUE,$AF307&lt;=DASHBOARD!$C$10),IF(DASHBOARD!$C$12="All",TRUE,$AH307=VALUE(DASHBOARD!$C$12)),IF(DASHBOARD!$C$14="All",TRUE,$AJ307=DASHBOARD!$C$14)),1,0))</f>
        <v/>
      </c>
    </row>
    <row r="308">
      <c r="A308" t="n">
        <v>170196</v>
      </c>
      <c r="B308" t="inlineStr">
        <is>
          <t>Aloe Vera Gel</t>
        </is>
      </c>
      <c r="H308" t="inlineStr">
        <is>
          <t>Aloe Vera Gel - 40 gms</t>
        </is>
      </c>
      <c r="N308" t="inlineStr">
        <is>
          <t>FC-HG-PA-040</t>
        </is>
      </c>
      <c r="T308" t="inlineStr">
        <is>
          <t>Mar 29, 2024</t>
        </is>
      </c>
      <c r="AE308" t="inlineStr">
        <is>
          <t>Thane</t>
        </is>
      </c>
      <c r="AF308" t="inlineStr">
        <is>
          <t>2024-03</t>
        </is>
      </c>
      <c r="AG308" t="n">
        <v>3</v>
      </c>
      <c r="AH308" t="n">
        <v>1</v>
      </c>
      <c r="AI308" t="n">
        <v>0</v>
      </c>
      <c r="AJ308">
        <f>IF($AE308="","",IFERROR(VLOOKUP(TRIM($AE308),DECODE!$H$3:$I$60,2,FALSE),"Rest of India"))</f>
        <v/>
      </c>
      <c r="AK308">
        <f>IF($N308="","",UPPER(TRIM(LEFT($N308&amp;",",FIND(",",$N308&amp;",")-1))))</f>
        <v/>
      </c>
      <c r="AL308">
        <f>IF($AK308="","",MID($AK308,4,FIND("~",SUBSTITUTE($AK308,"-","~",2))-4))</f>
        <v/>
      </c>
      <c r="AM308">
        <f>IF($AK308="","",MID($AK308,FIND("~",SUBSTITUTE($AK308,"-","~",2))+1,FIND("~",SUBSTITUTE($AK308,"-","~",3))-FIND("~",SUBSTITUTE($AK308,"-","~",2))-1))</f>
        <v/>
      </c>
      <c r="AN308">
        <f>IF($AL308="","",IFERROR(VLOOKUP($AL308,DECODE!$A$3:$C$8,3,FALSE),"?"))</f>
        <v/>
      </c>
      <c r="AO308">
        <f>IF($AM308="","",IFERROR(VLOOKUP($AL308&amp;"-"&amp;$AM308,DECODE!$E$3:$F$21,2,FALSE),"?"))</f>
        <v/>
      </c>
      <c r="AP308">
        <f>IF($AK308="","",IFERROR(VALUE(RIGHT($AK308,3)),""))</f>
        <v/>
      </c>
      <c r="AQ308">
        <f>IF($T308="","",IFERROR(IF(ISNUMBER($T308),$T308,DATEVALUE(TRIM($T308))),""))</f>
        <v/>
      </c>
      <c r="AR308">
        <f>IF($AQ308="","",IF(MONTH($AQ308)&gt;=12,"Cold Winter",IF(MONTH($AQ308)&gt;=10,"Post-Monsoon",IF(MONTH($AQ308)&gt;=6,"Hot Humid",IF(MONTH($AQ308)&gt;=3,"Hot Dry","Cold Winter")))))</f>
        <v/>
      </c>
      <c r="AS308">
        <f>IF($AL308="","",IFERROR(VLOOKUP($AL308,DECODE!$A$3:$C$8,2,FALSE),"?"))</f>
        <v/>
      </c>
      <c r="AT308">
        <f>IF($O308="","",UPPER(TRIM(LEFT($O308&amp;",",FIND(",",$O308&amp;",")-1))))</f>
        <v/>
      </c>
      <c r="AU308">
        <f>IF($AT308="","",MID($AT308,4,FIND("~",SUBSTITUTE($AT308,"-","~",2))-4))</f>
        <v/>
      </c>
      <c r="AV308">
        <f>IF($AT308="","",MID($AT308,FIND("~",SUBSTITUTE($AT308,"-","~",2))+1,FIND("~",SUBSTITUTE($AT308,"-","~",3))-FIND("~",SUBSTITUTE($AT308,"-","~",2))-1))</f>
        <v/>
      </c>
      <c r="AW308">
        <f>IF($AU308="","",IFERROR(VLOOKUP($AU308,DECODE!$A$3:$C$8,3,FALSE),"?"))</f>
        <v/>
      </c>
      <c r="AX308">
        <f>IF($AV308="","",IFERROR(VLOOKUP($AU308&amp;"-"&amp;$AV308,DECODE!$E$3:$F$21,2,FALSE),"?"))</f>
        <v/>
      </c>
      <c r="AY308">
        <f>IF($AT308="","",IFERROR(VALUE(RIGHT($AT308,3)),""))</f>
        <v/>
      </c>
      <c r="AZ308">
        <f>IF($U308="","",IFERROR(IF(ISNUMBER($U308),$U308,DATEVALUE(TRIM($U308))),""))</f>
        <v/>
      </c>
      <c r="BA308">
        <f>IF($AZ308="","",IF(MONTH($AZ308)&gt;=12,"Cold Winter",IF(MONTH($AZ308)&gt;=10,"Post-Monsoon",IF(MONTH($AZ308)&gt;=6,"Hot Humid",IF(MONTH($AZ308)&gt;=3,"Hot Dry","Cold Winter")))))</f>
        <v/>
      </c>
      <c r="BB308">
        <f>IF($AU308="","",IFERROR(VLOOKUP($AU308,DECODE!$A$3:$C$8,2,FALSE),"?"))</f>
        <v/>
      </c>
      <c r="BC308">
        <f>IF($P308="","",UPPER(TRIM(LEFT($P308&amp;",",FIND(",",$P308&amp;",")-1))))</f>
        <v/>
      </c>
      <c r="BD308">
        <f>IF($BC308="","",MID($BC308,4,FIND("~",SUBSTITUTE($BC308,"-","~",2))-4))</f>
        <v/>
      </c>
      <c r="BE308">
        <f>IF($BC308="","",MID($BC308,FIND("~",SUBSTITUTE($BC308,"-","~",2))+1,FIND("~",SUBSTITUTE($BC308,"-","~",3))-FIND("~",SUBSTITUTE($BC308,"-","~",2))-1))</f>
        <v/>
      </c>
      <c r="BF308">
        <f>IF($BD308="","",IFERROR(VLOOKUP($BD308,DECODE!$A$3:$C$8,3,FALSE),"?"))</f>
        <v/>
      </c>
      <c r="BG308">
        <f>IF($BE308="","",IFERROR(VLOOKUP($BD308&amp;"-"&amp;$BE308,DECODE!$E$3:$F$21,2,FALSE),"?"))</f>
        <v/>
      </c>
      <c r="BH308">
        <f>IF($BC308="","",IFERROR(VALUE(RIGHT($BC308,3)),""))</f>
        <v/>
      </c>
      <c r="BI308">
        <f>IF($V308="","",IFERROR(IF(ISNUMBER($V308),$V308,DATEVALUE(TRIM($V308))),""))</f>
        <v/>
      </c>
      <c r="BJ308">
        <f>IF($BI308="","",IF(MONTH($BI308)&gt;=12,"Cold Winter",IF(MONTH($BI308)&gt;=10,"Post-Monsoon",IF(MONTH($BI308)&gt;=6,"Hot Humid",IF(MONTH($BI308)&gt;=3,"Hot Dry","Cold Winter")))))</f>
        <v/>
      </c>
      <c r="BK308">
        <f>IF($BD308="","",IFERROR(VLOOKUP($BD308,DECODE!$A$3:$C$8,2,FALSE),"?"))</f>
        <v/>
      </c>
      <c r="BL308">
        <f>IF($Q308="","",UPPER(TRIM(LEFT($Q308&amp;",",FIND(",",$Q308&amp;",")-1))))</f>
        <v/>
      </c>
      <c r="BM308">
        <f>IF($BL308="","",MID($BL308,4,FIND("~",SUBSTITUTE($BL308,"-","~",2))-4))</f>
        <v/>
      </c>
      <c r="BN308">
        <f>IF($BL308="","",MID($BL308,FIND("~",SUBSTITUTE($BL308,"-","~",2))+1,FIND("~",SUBSTITUTE($BL308,"-","~",3))-FIND("~",SUBSTITUTE($BL308,"-","~",2))-1))</f>
        <v/>
      </c>
      <c r="BO308">
        <f>IF($BM308="","",IFERROR(VLOOKUP($BM308,DECODE!$A$3:$C$8,3,FALSE),"?"))</f>
        <v/>
      </c>
      <c r="BP308">
        <f>IF($BN308="","",IFERROR(VLOOKUP($BM308&amp;"-"&amp;$BN308,DECODE!$E$3:$F$21,2,FALSE),"?"))</f>
        <v/>
      </c>
      <c r="BQ308">
        <f>IF($BL308="","",IFERROR(VALUE(RIGHT($BL308,3)),""))</f>
        <v/>
      </c>
      <c r="BR308">
        <f>IF($W308="","",IFERROR(IF(ISNUMBER($W308),$W308,DATEVALUE(TRIM($W308))),""))</f>
        <v/>
      </c>
      <c r="BS308">
        <f>IF($BR308="","",IF(MONTH($BR308)&gt;=12,"Cold Winter",IF(MONTH($BR308)&gt;=10,"Post-Monsoon",IF(MONTH($BR308)&gt;=6,"Hot Humid",IF(MONTH($BR308)&gt;=3,"Hot Dry","Cold Winter")))))</f>
        <v/>
      </c>
      <c r="BT308">
        <f>IF($BM308="","",IFERROR(VLOOKUP($BM308,DECODE!$A$3:$C$8,2,FALSE),"?"))</f>
        <v/>
      </c>
      <c r="BU308">
        <f>IF($R308="","",UPPER(TRIM(LEFT($R308&amp;",",FIND(",",$R308&amp;",")-1))))</f>
        <v/>
      </c>
      <c r="BV308">
        <f>IF($BU308="","",MID($BU308,4,FIND("~",SUBSTITUTE($BU308,"-","~",2))-4))</f>
        <v/>
      </c>
      <c r="BW308">
        <f>IF($BU308="","",MID($BU308,FIND("~",SUBSTITUTE($BU308,"-","~",2))+1,FIND("~",SUBSTITUTE($BU308,"-","~",3))-FIND("~",SUBSTITUTE($BU308,"-","~",2))-1))</f>
        <v/>
      </c>
      <c r="BX308">
        <f>IF($BV308="","",IFERROR(VLOOKUP($BV308,DECODE!$A$3:$C$8,3,FALSE),"?"))</f>
        <v/>
      </c>
      <c r="BY308">
        <f>IF($BW308="","",IFERROR(VLOOKUP($BV308&amp;"-"&amp;$BW308,DECODE!$E$3:$F$21,2,FALSE),"?"))</f>
        <v/>
      </c>
      <c r="BZ308">
        <f>IF($BU308="","",IFERROR(VALUE(RIGHT($BU308,3)),""))</f>
        <v/>
      </c>
      <c r="CA308">
        <f>IF($X308="","",IFERROR(IF(ISNUMBER($X308),$X308,DATEVALUE(TRIM($X308))),""))</f>
        <v/>
      </c>
      <c r="CB308">
        <f>IF($CA308="","",IF(MONTH($CA308)&gt;=12,"Cold Winter",IF(MONTH($CA308)&gt;=10,"Post-Monsoon",IF(MONTH($CA308)&gt;=6,"Hot Humid",IF(MONTH($CA308)&gt;=3,"Hot Dry","Cold Winter")))))</f>
        <v/>
      </c>
      <c r="CC308">
        <f>IF($BV308="","",IFERROR(VLOOKUP($BV308,DECODE!$A$3:$C$8,2,FALSE),"?"))</f>
        <v/>
      </c>
      <c r="CD308">
        <f>IF($S308="","",UPPER(TRIM(LEFT($S308&amp;",",FIND(",",$S308&amp;",")-1))))</f>
        <v/>
      </c>
      <c r="CE308">
        <f>IF($CD308="","",MID($CD308,4,FIND("~",SUBSTITUTE($CD308,"-","~",2))-4))</f>
        <v/>
      </c>
      <c r="CF308">
        <f>IF($CD308="","",MID($CD308,FIND("~",SUBSTITUTE($CD308,"-","~",2))+1,FIND("~",SUBSTITUTE($CD308,"-","~",3))-FIND("~",SUBSTITUTE($CD308,"-","~",2))-1))</f>
        <v/>
      </c>
      <c r="CG308">
        <f>IF($CE308="","",IFERROR(VLOOKUP($CE308,DECODE!$A$3:$C$8,3,FALSE),"?"))</f>
        <v/>
      </c>
      <c r="CH308">
        <f>IF($CF308="","",IFERROR(VLOOKUP($CE308&amp;"-"&amp;$CF308,DECODE!$E$3:$F$21,2,FALSE),"?"))</f>
        <v/>
      </c>
      <c r="CI308">
        <f>IF($CD308="","",IFERROR(VALUE(RIGHT($CD308,3)),""))</f>
        <v/>
      </c>
      <c r="CJ308">
        <f>IF($Y308="","",IFERROR(IF(ISNUMBER($Y308),$Y308,DATEVALUE(TRIM($Y308))),""))</f>
        <v/>
      </c>
      <c r="CK308">
        <f>IF($CJ308="","",IF(MONTH($CJ308)&gt;=12,"Cold Winter",IF(MONTH($CJ308)&gt;=10,"Post-Monsoon",IF(MONTH($CJ308)&gt;=6,"Hot Humid",IF(MONTH($CJ308)&gt;=3,"Hot Dry","Cold Winter")))))</f>
        <v/>
      </c>
      <c r="CL308">
        <f>IF($CE308="","",IFERROR(VLOOKUP($CE308,DECODE!$A$3:$C$8,2,FALSE),"?"))</f>
        <v/>
      </c>
      <c r="CM308">
        <f>IF($AN308="","",AN308)</f>
        <v/>
      </c>
      <c r="CN308">
        <f>IF($AO308="","",AO308)</f>
        <v/>
      </c>
      <c r="CO308">
        <f>IF($AP308="","",AP308)</f>
        <v/>
      </c>
      <c r="CP308">
        <f>IF($CM308="","",IF($CM308="Aloe Vera Gel","Aloe Vera Gel "&amp;$CO308&amp;"g",CN308&amp;" "&amp;$CO308&amp;"g"))</f>
        <v/>
      </c>
      <c r="CQ308">
        <f>IF($AT308="",0,1)</f>
        <v/>
      </c>
      <c r="CR308">
        <f>IF($CQ308=0,"",AW308)</f>
        <v/>
      </c>
      <c r="CS308">
        <f>IF($CQ308=0,"",AX308)</f>
        <v/>
      </c>
      <c r="CT308">
        <f>IF($CQ308=0,"",AY308)</f>
        <v/>
      </c>
      <c r="CU308">
        <f>IF($CR308="","",IF($CR308="Aloe Vera Gel","Aloe Vera Gel "&amp;$CT308&amp;"g",CS308&amp;" "&amp;$CT308&amp;"g"))</f>
        <v/>
      </c>
      <c r="CV308">
        <f>IF($CQ308=0,"",IF($CP308=$CU308,"Repeat Exact",IF($CT308&gt;$CO308,"Upsized",IF($CT308&lt;$CO308,"Downsized",IF($CM308&lt;&gt;$CR308,"Lateral","Same Size Diff Variant")))))</f>
        <v/>
      </c>
      <c r="CW308">
        <f>IF($CQ308=0,"",AZ308-AQ308)</f>
        <v/>
      </c>
      <c r="CX308">
        <f>IF($CQ308=0,0,IF(CS308=CN308,1,0))</f>
        <v/>
      </c>
      <c r="CY308">
        <f>IF($CQ308=0,0,IF(CR308=CM308,1,0))</f>
        <v/>
      </c>
      <c r="CZ308">
        <f>IF($A308="","",IF(AND(IF(DASHBOARD!$C$4="All",TRUE,$CM308=DASHBOARD!$C$4),IF(DASHBOARD!$C$6="All",TRUE,$CP308=DASHBOARD!$C$6),IF(DASHBOARD!$C$8="All",TRUE,$AF308&gt;=DASHBOARD!$C$8),IF(DASHBOARD!$C$10="All",TRUE,$AF308&lt;=DASHBOARD!$C$10),IF(DASHBOARD!$C$12="All",TRUE,$AH308=VALUE(DASHBOARD!$C$12)),IF(DASHBOARD!$C$14="All",TRUE,$AJ308=DASHBOARD!$C$14)),1,0))</f>
        <v/>
      </c>
    </row>
    <row r="309">
      <c r="A309" t="n">
        <v>170217</v>
      </c>
      <c r="B309" t="inlineStr">
        <is>
          <t>Active Gel, Aloe Vera Gel</t>
        </is>
      </c>
      <c r="H309" t="inlineStr">
        <is>
          <t>Aloe Vera Gel - 40 gms, Active Olive Vit-E Night Gel</t>
        </is>
      </c>
      <c r="N309" t="inlineStr">
        <is>
          <t>FC-HG-PA-040, FC-AC-OV-050</t>
        </is>
      </c>
      <c r="T309" t="inlineStr">
        <is>
          <t>Sep 27, 2024</t>
        </is>
      </c>
      <c r="AE309" t="inlineStr">
        <is>
          <t>Khandwa</t>
        </is>
      </c>
      <c r="AF309" t="inlineStr">
        <is>
          <t>2024-09</t>
        </is>
      </c>
      <c r="AG309" t="n">
        <v>9</v>
      </c>
      <c r="AH309" t="n">
        <v>1</v>
      </c>
      <c r="AI309" t="n">
        <v>0</v>
      </c>
      <c r="AJ309">
        <f>IF($AE309="","",IFERROR(VLOOKUP(TRIM($AE309),DECODE!$H$3:$I$60,2,FALSE),"Rest of India"))</f>
        <v/>
      </c>
      <c r="AK309">
        <f>IF($N309="","",UPPER(TRIM(LEFT($N309&amp;",",FIND(",",$N309&amp;",")-1))))</f>
        <v/>
      </c>
      <c r="AL309">
        <f>IF($AK309="","",MID($AK309,4,FIND("~",SUBSTITUTE($AK309,"-","~",2))-4))</f>
        <v/>
      </c>
      <c r="AM309">
        <f>IF($AK309="","",MID($AK309,FIND("~",SUBSTITUTE($AK309,"-","~",2))+1,FIND("~",SUBSTITUTE($AK309,"-","~",3))-FIND("~",SUBSTITUTE($AK309,"-","~",2))-1))</f>
        <v/>
      </c>
      <c r="AN309">
        <f>IF($AL309="","",IFERROR(VLOOKUP($AL309,DECODE!$A$3:$C$8,3,FALSE),"?"))</f>
        <v/>
      </c>
      <c r="AO309">
        <f>IF($AM309="","",IFERROR(VLOOKUP($AL309&amp;"-"&amp;$AM309,DECODE!$E$3:$F$21,2,FALSE),"?"))</f>
        <v/>
      </c>
      <c r="AP309">
        <f>IF($AK309="","",IFERROR(VALUE(RIGHT($AK309,3)),""))</f>
        <v/>
      </c>
      <c r="AQ309">
        <f>IF($T309="","",IFERROR(IF(ISNUMBER($T309),$T309,DATEVALUE(TRIM($T309))),""))</f>
        <v/>
      </c>
      <c r="AR309">
        <f>IF($AQ309="","",IF(MONTH($AQ309)&gt;=12,"Cold Winter",IF(MONTH($AQ309)&gt;=10,"Post-Monsoon",IF(MONTH($AQ309)&gt;=6,"Hot Humid",IF(MONTH($AQ309)&gt;=3,"Hot Dry","Cold Winter")))))</f>
        <v/>
      </c>
      <c r="AS309">
        <f>IF($AL309="","",IFERROR(VLOOKUP($AL309,DECODE!$A$3:$C$8,2,FALSE),"?"))</f>
        <v/>
      </c>
      <c r="AT309">
        <f>IF($O309="","",UPPER(TRIM(LEFT($O309&amp;",",FIND(",",$O309&amp;",")-1))))</f>
        <v/>
      </c>
      <c r="AU309">
        <f>IF($AT309="","",MID($AT309,4,FIND("~",SUBSTITUTE($AT309,"-","~",2))-4))</f>
        <v/>
      </c>
      <c r="AV309">
        <f>IF($AT309="","",MID($AT309,FIND("~",SUBSTITUTE($AT309,"-","~",2))+1,FIND("~",SUBSTITUTE($AT309,"-","~",3))-FIND("~",SUBSTITUTE($AT309,"-","~",2))-1))</f>
        <v/>
      </c>
      <c r="AW309">
        <f>IF($AU309="","",IFERROR(VLOOKUP($AU309,DECODE!$A$3:$C$8,3,FALSE),"?"))</f>
        <v/>
      </c>
      <c r="AX309">
        <f>IF($AV309="","",IFERROR(VLOOKUP($AU309&amp;"-"&amp;$AV309,DECODE!$E$3:$F$21,2,FALSE),"?"))</f>
        <v/>
      </c>
      <c r="AY309">
        <f>IF($AT309="","",IFERROR(VALUE(RIGHT($AT309,3)),""))</f>
        <v/>
      </c>
      <c r="AZ309">
        <f>IF($U309="","",IFERROR(IF(ISNUMBER($U309),$U309,DATEVALUE(TRIM($U309))),""))</f>
        <v/>
      </c>
      <c r="BA309">
        <f>IF($AZ309="","",IF(MONTH($AZ309)&gt;=12,"Cold Winter",IF(MONTH($AZ309)&gt;=10,"Post-Monsoon",IF(MONTH($AZ309)&gt;=6,"Hot Humid",IF(MONTH($AZ309)&gt;=3,"Hot Dry","Cold Winter")))))</f>
        <v/>
      </c>
      <c r="BB309">
        <f>IF($AU309="","",IFERROR(VLOOKUP($AU309,DECODE!$A$3:$C$8,2,FALSE),"?"))</f>
        <v/>
      </c>
      <c r="BC309">
        <f>IF($P309="","",UPPER(TRIM(LEFT($P309&amp;",",FIND(",",$P309&amp;",")-1))))</f>
        <v/>
      </c>
      <c r="BD309">
        <f>IF($BC309="","",MID($BC309,4,FIND("~",SUBSTITUTE($BC309,"-","~",2))-4))</f>
        <v/>
      </c>
      <c r="BE309">
        <f>IF($BC309="","",MID($BC309,FIND("~",SUBSTITUTE($BC309,"-","~",2))+1,FIND("~",SUBSTITUTE($BC309,"-","~",3))-FIND("~",SUBSTITUTE($BC309,"-","~",2))-1))</f>
        <v/>
      </c>
      <c r="BF309">
        <f>IF($BD309="","",IFERROR(VLOOKUP($BD309,DECODE!$A$3:$C$8,3,FALSE),"?"))</f>
        <v/>
      </c>
      <c r="BG309">
        <f>IF($BE309="","",IFERROR(VLOOKUP($BD309&amp;"-"&amp;$BE309,DECODE!$E$3:$F$21,2,FALSE),"?"))</f>
        <v/>
      </c>
      <c r="BH309">
        <f>IF($BC309="","",IFERROR(VALUE(RIGHT($BC309,3)),""))</f>
        <v/>
      </c>
      <c r="BI309">
        <f>IF($V309="","",IFERROR(IF(ISNUMBER($V309),$V309,DATEVALUE(TRIM($V309))),""))</f>
        <v/>
      </c>
      <c r="BJ309">
        <f>IF($BI309="","",IF(MONTH($BI309)&gt;=12,"Cold Winter",IF(MONTH($BI309)&gt;=10,"Post-Monsoon",IF(MONTH($BI309)&gt;=6,"Hot Humid",IF(MONTH($BI309)&gt;=3,"Hot Dry","Cold Winter")))))</f>
        <v/>
      </c>
      <c r="BK309">
        <f>IF($BD309="","",IFERROR(VLOOKUP($BD309,DECODE!$A$3:$C$8,2,FALSE),"?"))</f>
        <v/>
      </c>
      <c r="BL309">
        <f>IF($Q309="","",UPPER(TRIM(LEFT($Q309&amp;",",FIND(",",$Q309&amp;",")-1))))</f>
        <v/>
      </c>
      <c r="BM309">
        <f>IF($BL309="","",MID($BL309,4,FIND("~",SUBSTITUTE($BL309,"-","~",2))-4))</f>
        <v/>
      </c>
      <c r="BN309">
        <f>IF($BL309="","",MID($BL309,FIND("~",SUBSTITUTE($BL309,"-","~",2))+1,FIND("~",SUBSTITUTE($BL309,"-","~",3))-FIND("~",SUBSTITUTE($BL309,"-","~",2))-1))</f>
        <v/>
      </c>
      <c r="BO309">
        <f>IF($BM309="","",IFERROR(VLOOKUP($BM309,DECODE!$A$3:$C$8,3,FALSE),"?"))</f>
        <v/>
      </c>
      <c r="BP309">
        <f>IF($BN309="","",IFERROR(VLOOKUP($BM309&amp;"-"&amp;$BN309,DECODE!$E$3:$F$21,2,FALSE),"?"))</f>
        <v/>
      </c>
      <c r="BQ309">
        <f>IF($BL309="","",IFERROR(VALUE(RIGHT($BL309,3)),""))</f>
        <v/>
      </c>
      <c r="BR309">
        <f>IF($W309="","",IFERROR(IF(ISNUMBER($W309),$W309,DATEVALUE(TRIM($W309))),""))</f>
        <v/>
      </c>
      <c r="BS309">
        <f>IF($BR309="","",IF(MONTH($BR309)&gt;=12,"Cold Winter",IF(MONTH($BR309)&gt;=10,"Post-Monsoon",IF(MONTH($BR309)&gt;=6,"Hot Humid",IF(MONTH($BR309)&gt;=3,"Hot Dry","Cold Winter")))))</f>
        <v/>
      </c>
      <c r="BT309">
        <f>IF($BM309="","",IFERROR(VLOOKUP($BM309,DECODE!$A$3:$C$8,2,FALSE),"?"))</f>
        <v/>
      </c>
      <c r="BU309">
        <f>IF($R309="","",UPPER(TRIM(LEFT($R309&amp;",",FIND(",",$R309&amp;",")-1))))</f>
        <v/>
      </c>
      <c r="BV309">
        <f>IF($BU309="","",MID($BU309,4,FIND("~",SUBSTITUTE($BU309,"-","~",2))-4))</f>
        <v/>
      </c>
      <c r="BW309">
        <f>IF($BU309="","",MID($BU309,FIND("~",SUBSTITUTE($BU309,"-","~",2))+1,FIND("~",SUBSTITUTE($BU309,"-","~",3))-FIND("~",SUBSTITUTE($BU309,"-","~",2))-1))</f>
        <v/>
      </c>
      <c r="BX309">
        <f>IF($BV309="","",IFERROR(VLOOKUP($BV309,DECODE!$A$3:$C$8,3,FALSE),"?"))</f>
        <v/>
      </c>
      <c r="BY309">
        <f>IF($BW309="","",IFERROR(VLOOKUP($BV309&amp;"-"&amp;$BW309,DECODE!$E$3:$F$21,2,FALSE),"?"))</f>
        <v/>
      </c>
      <c r="BZ309">
        <f>IF($BU309="","",IFERROR(VALUE(RIGHT($BU309,3)),""))</f>
        <v/>
      </c>
      <c r="CA309">
        <f>IF($X309="","",IFERROR(IF(ISNUMBER($X309),$X309,DATEVALUE(TRIM($X309))),""))</f>
        <v/>
      </c>
      <c r="CB309">
        <f>IF($CA309="","",IF(MONTH($CA309)&gt;=12,"Cold Winter",IF(MONTH($CA309)&gt;=10,"Post-Monsoon",IF(MONTH($CA309)&gt;=6,"Hot Humid",IF(MONTH($CA309)&gt;=3,"Hot Dry","Cold Winter")))))</f>
        <v/>
      </c>
      <c r="CC309">
        <f>IF($BV309="","",IFERROR(VLOOKUP($BV309,DECODE!$A$3:$C$8,2,FALSE),"?"))</f>
        <v/>
      </c>
      <c r="CD309">
        <f>IF($S309="","",UPPER(TRIM(LEFT($S309&amp;",",FIND(",",$S309&amp;",")-1))))</f>
        <v/>
      </c>
      <c r="CE309">
        <f>IF($CD309="","",MID($CD309,4,FIND("~",SUBSTITUTE($CD309,"-","~",2))-4))</f>
        <v/>
      </c>
      <c r="CF309">
        <f>IF($CD309="","",MID($CD309,FIND("~",SUBSTITUTE($CD309,"-","~",2))+1,FIND("~",SUBSTITUTE($CD309,"-","~",3))-FIND("~",SUBSTITUTE($CD309,"-","~",2))-1))</f>
        <v/>
      </c>
      <c r="CG309">
        <f>IF($CE309="","",IFERROR(VLOOKUP($CE309,DECODE!$A$3:$C$8,3,FALSE),"?"))</f>
        <v/>
      </c>
      <c r="CH309">
        <f>IF($CF309="","",IFERROR(VLOOKUP($CE309&amp;"-"&amp;$CF309,DECODE!$E$3:$F$21,2,FALSE),"?"))</f>
        <v/>
      </c>
      <c r="CI309">
        <f>IF($CD309="","",IFERROR(VALUE(RIGHT($CD309,3)),""))</f>
        <v/>
      </c>
      <c r="CJ309">
        <f>IF($Y309="","",IFERROR(IF(ISNUMBER($Y309),$Y309,DATEVALUE(TRIM($Y309))),""))</f>
        <v/>
      </c>
      <c r="CK309">
        <f>IF($CJ309="","",IF(MONTH($CJ309)&gt;=12,"Cold Winter",IF(MONTH($CJ309)&gt;=10,"Post-Monsoon",IF(MONTH($CJ309)&gt;=6,"Hot Humid",IF(MONTH($CJ309)&gt;=3,"Hot Dry","Cold Winter")))))</f>
        <v/>
      </c>
      <c r="CL309">
        <f>IF($CE309="","",IFERROR(VLOOKUP($CE309,DECODE!$A$3:$C$8,2,FALSE),"?"))</f>
        <v/>
      </c>
      <c r="CM309">
        <f>IF($AN309="","",AN309)</f>
        <v/>
      </c>
      <c r="CN309">
        <f>IF($AO309="","",AO309)</f>
        <v/>
      </c>
      <c r="CO309">
        <f>IF($AP309="","",AP309)</f>
        <v/>
      </c>
      <c r="CP309">
        <f>IF($CM309="","",IF($CM309="Aloe Vera Gel","Aloe Vera Gel "&amp;$CO309&amp;"g",CN309&amp;" "&amp;$CO309&amp;"g"))</f>
        <v/>
      </c>
      <c r="CQ309">
        <f>IF($AT309="",0,1)</f>
        <v/>
      </c>
      <c r="CR309">
        <f>IF($CQ309=0,"",AW309)</f>
        <v/>
      </c>
      <c r="CS309">
        <f>IF($CQ309=0,"",AX309)</f>
        <v/>
      </c>
      <c r="CT309">
        <f>IF($CQ309=0,"",AY309)</f>
        <v/>
      </c>
      <c r="CU309">
        <f>IF($CR309="","",IF($CR309="Aloe Vera Gel","Aloe Vera Gel "&amp;$CT309&amp;"g",CS309&amp;" "&amp;$CT309&amp;"g"))</f>
        <v/>
      </c>
      <c r="CV309">
        <f>IF($CQ309=0,"",IF($CP309=$CU309,"Repeat Exact",IF($CT309&gt;$CO309,"Upsized",IF($CT309&lt;$CO309,"Downsized",IF($CM309&lt;&gt;$CR309,"Lateral","Same Size Diff Variant")))))</f>
        <v/>
      </c>
      <c r="CW309">
        <f>IF($CQ309=0,"",AZ309-AQ309)</f>
        <v/>
      </c>
      <c r="CX309">
        <f>IF($CQ309=0,0,IF(CS309=CN309,1,0))</f>
        <v/>
      </c>
      <c r="CY309">
        <f>IF($CQ309=0,0,IF(CR309=CM309,1,0))</f>
        <v/>
      </c>
      <c r="CZ309">
        <f>IF($A309="","",IF(AND(IF(DASHBOARD!$C$4="All",TRUE,$CM309=DASHBOARD!$C$4),IF(DASHBOARD!$C$6="All",TRUE,$CP309=DASHBOARD!$C$6),IF(DASHBOARD!$C$8="All",TRUE,$AF309&gt;=DASHBOARD!$C$8),IF(DASHBOARD!$C$10="All",TRUE,$AF309&lt;=DASHBOARD!$C$10),IF(DASHBOARD!$C$12="All",TRUE,$AH309=VALUE(DASHBOARD!$C$12)),IF(DASHBOARD!$C$14="All",TRUE,$AJ309=DASHBOARD!$C$14)),1,0))</f>
        <v/>
      </c>
    </row>
    <row r="310">
      <c r="A310" t="n">
        <v>170666</v>
      </c>
      <c r="B310" t="inlineStr">
        <is>
          <t>Active Gel</t>
        </is>
      </c>
      <c r="H310" t="inlineStr">
        <is>
          <t>Active Neem TeaTree Gel, Active Beetroot Tomato Vit-A Gel</t>
        </is>
      </c>
      <c r="N310" t="inlineStr">
        <is>
          <t>FC-AC-BT-050, FC-AC-NT-050</t>
        </is>
      </c>
      <c r="T310" t="inlineStr">
        <is>
          <t>Aug 14, 2024</t>
        </is>
      </c>
      <c r="AE310" t="inlineStr">
        <is>
          <t>Ernakulam</t>
        </is>
      </c>
      <c r="AF310" t="inlineStr">
        <is>
          <t>2024-08</t>
        </is>
      </c>
      <c r="AG310" t="n">
        <v>8</v>
      </c>
      <c r="AH310" t="n">
        <v>1</v>
      </c>
      <c r="AI310" t="n">
        <v>0</v>
      </c>
      <c r="AJ310">
        <f>IF($AE310="","",IFERROR(VLOOKUP(TRIM($AE310),DECODE!$H$3:$I$60,2,FALSE),"Rest of India"))</f>
        <v/>
      </c>
      <c r="AK310">
        <f>IF($N310="","",UPPER(TRIM(LEFT($N310&amp;",",FIND(",",$N310&amp;",")-1))))</f>
        <v/>
      </c>
      <c r="AL310">
        <f>IF($AK310="","",MID($AK310,4,FIND("~",SUBSTITUTE($AK310,"-","~",2))-4))</f>
        <v/>
      </c>
      <c r="AM310">
        <f>IF($AK310="","",MID($AK310,FIND("~",SUBSTITUTE($AK310,"-","~",2))+1,FIND("~",SUBSTITUTE($AK310,"-","~",3))-FIND("~",SUBSTITUTE($AK310,"-","~",2))-1))</f>
        <v/>
      </c>
      <c r="AN310">
        <f>IF($AL310="","",IFERROR(VLOOKUP($AL310,DECODE!$A$3:$C$8,3,FALSE),"?"))</f>
        <v/>
      </c>
      <c r="AO310">
        <f>IF($AM310="","",IFERROR(VLOOKUP($AL310&amp;"-"&amp;$AM310,DECODE!$E$3:$F$21,2,FALSE),"?"))</f>
        <v/>
      </c>
      <c r="AP310">
        <f>IF($AK310="","",IFERROR(VALUE(RIGHT($AK310,3)),""))</f>
        <v/>
      </c>
      <c r="AQ310">
        <f>IF($T310="","",IFERROR(IF(ISNUMBER($T310),$T310,DATEVALUE(TRIM($T310))),""))</f>
        <v/>
      </c>
      <c r="AR310">
        <f>IF($AQ310="","",IF(MONTH($AQ310)&gt;=12,"Cold Winter",IF(MONTH($AQ310)&gt;=10,"Post-Monsoon",IF(MONTH($AQ310)&gt;=6,"Hot Humid",IF(MONTH($AQ310)&gt;=3,"Hot Dry","Cold Winter")))))</f>
        <v/>
      </c>
      <c r="AS310">
        <f>IF($AL310="","",IFERROR(VLOOKUP($AL310,DECODE!$A$3:$C$8,2,FALSE),"?"))</f>
        <v/>
      </c>
      <c r="AT310">
        <f>IF($O310="","",UPPER(TRIM(LEFT($O310&amp;",",FIND(",",$O310&amp;",")-1))))</f>
        <v/>
      </c>
      <c r="AU310">
        <f>IF($AT310="","",MID($AT310,4,FIND("~",SUBSTITUTE($AT310,"-","~",2))-4))</f>
        <v/>
      </c>
      <c r="AV310">
        <f>IF($AT310="","",MID($AT310,FIND("~",SUBSTITUTE($AT310,"-","~",2))+1,FIND("~",SUBSTITUTE($AT310,"-","~",3))-FIND("~",SUBSTITUTE($AT310,"-","~",2))-1))</f>
        <v/>
      </c>
      <c r="AW310">
        <f>IF($AU310="","",IFERROR(VLOOKUP($AU310,DECODE!$A$3:$C$8,3,FALSE),"?"))</f>
        <v/>
      </c>
      <c r="AX310">
        <f>IF($AV310="","",IFERROR(VLOOKUP($AU310&amp;"-"&amp;$AV310,DECODE!$E$3:$F$21,2,FALSE),"?"))</f>
        <v/>
      </c>
      <c r="AY310">
        <f>IF($AT310="","",IFERROR(VALUE(RIGHT($AT310,3)),""))</f>
        <v/>
      </c>
      <c r="AZ310">
        <f>IF($U310="","",IFERROR(IF(ISNUMBER($U310),$U310,DATEVALUE(TRIM($U310))),""))</f>
        <v/>
      </c>
      <c r="BA310">
        <f>IF($AZ310="","",IF(MONTH($AZ310)&gt;=12,"Cold Winter",IF(MONTH($AZ310)&gt;=10,"Post-Monsoon",IF(MONTH($AZ310)&gt;=6,"Hot Humid",IF(MONTH($AZ310)&gt;=3,"Hot Dry","Cold Winter")))))</f>
        <v/>
      </c>
      <c r="BB310">
        <f>IF($AU310="","",IFERROR(VLOOKUP($AU310,DECODE!$A$3:$C$8,2,FALSE),"?"))</f>
        <v/>
      </c>
      <c r="BC310">
        <f>IF($P310="","",UPPER(TRIM(LEFT($P310&amp;",",FIND(",",$P310&amp;",")-1))))</f>
        <v/>
      </c>
      <c r="BD310">
        <f>IF($BC310="","",MID($BC310,4,FIND("~",SUBSTITUTE($BC310,"-","~",2))-4))</f>
        <v/>
      </c>
      <c r="BE310">
        <f>IF($BC310="","",MID($BC310,FIND("~",SUBSTITUTE($BC310,"-","~",2))+1,FIND("~",SUBSTITUTE($BC310,"-","~",3))-FIND("~",SUBSTITUTE($BC310,"-","~",2))-1))</f>
        <v/>
      </c>
      <c r="BF310">
        <f>IF($BD310="","",IFERROR(VLOOKUP($BD310,DECODE!$A$3:$C$8,3,FALSE),"?"))</f>
        <v/>
      </c>
      <c r="BG310">
        <f>IF($BE310="","",IFERROR(VLOOKUP($BD310&amp;"-"&amp;$BE310,DECODE!$E$3:$F$21,2,FALSE),"?"))</f>
        <v/>
      </c>
      <c r="BH310">
        <f>IF($BC310="","",IFERROR(VALUE(RIGHT($BC310,3)),""))</f>
        <v/>
      </c>
      <c r="BI310">
        <f>IF($V310="","",IFERROR(IF(ISNUMBER($V310),$V310,DATEVALUE(TRIM($V310))),""))</f>
        <v/>
      </c>
      <c r="BJ310">
        <f>IF($BI310="","",IF(MONTH($BI310)&gt;=12,"Cold Winter",IF(MONTH($BI310)&gt;=10,"Post-Monsoon",IF(MONTH($BI310)&gt;=6,"Hot Humid",IF(MONTH($BI310)&gt;=3,"Hot Dry","Cold Winter")))))</f>
        <v/>
      </c>
      <c r="BK310">
        <f>IF($BD310="","",IFERROR(VLOOKUP($BD310,DECODE!$A$3:$C$8,2,FALSE),"?"))</f>
        <v/>
      </c>
      <c r="BL310">
        <f>IF($Q310="","",UPPER(TRIM(LEFT($Q310&amp;",",FIND(",",$Q310&amp;",")-1))))</f>
        <v/>
      </c>
      <c r="BM310">
        <f>IF($BL310="","",MID($BL310,4,FIND("~",SUBSTITUTE($BL310,"-","~",2))-4))</f>
        <v/>
      </c>
      <c r="BN310">
        <f>IF($BL310="","",MID($BL310,FIND("~",SUBSTITUTE($BL310,"-","~",2))+1,FIND("~",SUBSTITUTE($BL310,"-","~",3))-FIND("~",SUBSTITUTE($BL310,"-","~",2))-1))</f>
        <v/>
      </c>
      <c r="BO310">
        <f>IF($BM310="","",IFERROR(VLOOKUP($BM310,DECODE!$A$3:$C$8,3,FALSE),"?"))</f>
        <v/>
      </c>
      <c r="BP310">
        <f>IF($BN310="","",IFERROR(VLOOKUP($BM310&amp;"-"&amp;$BN310,DECODE!$E$3:$F$21,2,FALSE),"?"))</f>
        <v/>
      </c>
      <c r="BQ310">
        <f>IF($BL310="","",IFERROR(VALUE(RIGHT($BL310,3)),""))</f>
        <v/>
      </c>
      <c r="BR310">
        <f>IF($W310="","",IFERROR(IF(ISNUMBER($W310),$W310,DATEVALUE(TRIM($W310))),""))</f>
        <v/>
      </c>
      <c r="BS310">
        <f>IF($BR310="","",IF(MONTH($BR310)&gt;=12,"Cold Winter",IF(MONTH($BR310)&gt;=10,"Post-Monsoon",IF(MONTH($BR310)&gt;=6,"Hot Humid",IF(MONTH($BR310)&gt;=3,"Hot Dry","Cold Winter")))))</f>
        <v/>
      </c>
      <c r="BT310">
        <f>IF($BM310="","",IFERROR(VLOOKUP($BM310,DECODE!$A$3:$C$8,2,FALSE),"?"))</f>
        <v/>
      </c>
      <c r="BU310">
        <f>IF($R310="","",UPPER(TRIM(LEFT($R310&amp;",",FIND(",",$R310&amp;",")-1))))</f>
        <v/>
      </c>
      <c r="BV310">
        <f>IF($BU310="","",MID($BU310,4,FIND("~",SUBSTITUTE($BU310,"-","~",2))-4))</f>
        <v/>
      </c>
      <c r="BW310">
        <f>IF($BU310="","",MID($BU310,FIND("~",SUBSTITUTE($BU310,"-","~",2))+1,FIND("~",SUBSTITUTE($BU310,"-","~",3))-FIND("~",SUBSTITUTE($BU310,"-","~",2))-1))</f>
        <v/>
      </c>
      <c r="BX310">
        <f>IF($BV310="","",IFERROR(VLOOKUP($BV310,DECODE!$A$3:$C$8,3,FALSE),"?"))</f>
        <v/>
      </c>
      <c r="BY310">
        <f>IF($BW310="","",IFERROR(VLOOKUP($BV310&amp;"-"&amp;$BW310,DECODE!$E$3:$F$21,2,FALSE),"?"))</f>
        <v/>
      </c>
      <c r="BZ310">
        <f>IF($BU310="","",IFERROR(VALUE(RIGHT($BU310,3)),""))</f>
        <v/>
      </c>
      <c r="CA310">
        <f>IF($X310="","",IFERROR(IF(ISNUMBER($X310),$X310,DATEVALUE(TRIM($X310))),""))</f>
        <v/>
      </c>
      <c r="CB310">
        <f>IF($CA310="","",IF(MONTH($CA310)&gt;=12,"Cold Winter",IF(MONTH($CA310)&gt;=10,"Post-Monsoon",IF(MONTH($CA310)&gt;=6,"Hot Humid",IF(MONTH($CA310)&gt;=3,"Hot Dry","Cold Winter")))))</f>
        <v/>
      </c>
      <c r="CC310">
        <f>IF($BV310="","",IFERROR(VLOOKUP($BV310,DECODE!$A$3:$C$8,2,FALSE),"?"))</f>
        <v/>
      </c>
      <c r="CD310">
        <f>IF($S310="","",UPPER(TRIM(LEFT($S310&amp;",",FIND(",",$S310&amp;",")-1))))</f>
        <v/>
      </c>
      <c r="CE310">
        <f>IF($CD310="","",MID($CD310,4,FIND("~",SUBSTITUTE($CD310,"-","~",2))-4))</f>
        <v/>
      </c>
      <c r="CF310">
        <f>IF($CD310="","",MID($CD310,FIND("~",SUBSTITUTE($CD310,"-","~",2))+1,FIND("~",SUBSTITUTE($CD310,"-","~",3))-FIND("~",SUBSTITUTE($CD310,"-","~",2))-1))</f>
        <v/>
      </c>
      <c r="CG310">
        <f>IF($CE310="","",IFERROR(VLOOKUP($CE310,DECODE!$A$3:$C$8,3,FALSE),"?"))</f>
        <v/>
      </c>
      <c r="CH310">
        <f>IF($CF310="","",IFERROR(VLOOKUP($CE310&amp;"-"&amp;$CF310,DECODE!$E$3:$F$21,2,FALSE),"?"))</f>
        <v/>
      </c>
      <c r="CI310">
        <f>IF($CD310="","",IFERROR(VALUE(RIGHT($CD310,3)),""))</f>
        <v/>
      </c>
      <c r="CJ310">
        <f>IF($Y310="","",IFERROR(IF(ISNUMBER($Y310),$Y310,DATEVALUE(TRIM($Y310))),""))</f>
        <v/>
      </c>
      <c r="CK310">
        <f>IF($CJ310="","",IF(MONTH($CJ310)&gt;=12,"Cold Winter",IF(MONTH($CJ310)&gt;=10,"Post-Monsoon",IF(MONTH($CJ310)&gt;=6,"Hot Humid",IF(MONTH($CJ310)&gt;=3,"Hot Dry","Cold Winter")))))</f>
        <v/>
      </c>
      <c r="CL310">
        <f>IF($CE310="","",IFERROR(VLOOKUP($CE310,DECODE!$A$3:$C$8,2,FALSE),"?"))</f>
        <v/>
      </c>
      <c r="CM310">
        <f>IF($AN310="","",AN310)</f>
        <v/>
      </c>
      <c r="CN310">
        <f>IF($AO310="","",AO310)</f>
        <v/>
      </c>
      <c r="CO310">
        <f>IF($AP310="","",AP310)</f>
        <v/>
      </c>
      <c r="CP310">
        <f>IF($CM310="","",IF($CM310="Aloe Vera Gel","Aloe Vera Gel "&amp;$CO310&amp;"g",CN310&amp;" "&amp;$CO310&amp;"g"))</f>
        <v/>
      </c>
      <c r="CQ310">
        <f>IF($AT310="",0,1)</f>
        <v/>
      </c>
      <c r="CR310">
        <f>IF($CQ310=0,"",AW310)</f>
        <v/>
      </c>
      <c r="CS310">
        <f>IF($CQ310=0,"",AX310)</f>
        <v/>
      </c>
      <c r="CT310">
        <f>IF($CQ310=0,"",AY310)</f>
        <v/>
      </c>
      <c r="CU310">
        <f>IF($CR310="","",IF($CR310="Aloe Vera Gel","Aloe Vera Gel "&amp;$CT310&amp;"g",CS310&amp;" "&amp;$CT310&amp;"g"))</f>
        <v/>
      </c>
      <c r="CV310">
        <f>IF($CQ310=0,"",IF($CP310=$CU310,"Repeat Exact",IF($CT310&gt;$CO310,"Upsized",IF($CT310&lt;$CO310,"Downsized",IF($CM310&lt;&gt;$CR310,"Lateral","Same Size Diff Variant")))))</f>
        <v/>
      </c>
      <c r="CW310">
        <f>IF($CQ310=0,"",AZ310-AQ310)</f>
        <v/>
      </c>
      <c r="CX310">
        <f>IF($CQ310=0,0,IF(CS310=CN310,1,0))</f>
        <v/>
      </c>
      <c r="CY310">
        <f>IF($CQ310=0,0,IF(CR310=CM310,1,0))</f>
        <v/>
      </c>
      <c r="CZ310">
        <f>IF($A310="","",IF(AND(IF(DASHBOARD!$C$4="All",TRUE,$CM310=DASHBOARD!$C$4),IF(DASHBOARD!$C$6="All",TRUE,$CP310=DASHBOARD!$C$6),IF(DASHBOARD!$C$8="All",TRUE,$AF310&gt;=DASHBOARD!$C$8),IF(DASHBOARD!$C$10="All",TRUE,$AF310&lt;=DASHBOARD!$C$10),IF(DASHBOARD!$C$12="All",TRUE,$AH310=VALUE(DASHBOARD!$C$12)),IF(DASHBOARD!$C$14="All",TRUE,$AJ310=DASHBOARD!$C$14)),1,0))</f>
        <v/>
      </c>
    </row>
    <row r="311">
      <c r="A311" t="n">
        <v>170689</v>
      </c>
      <c r="B311" t="inlineStr">
        <is>
          <t>Face Malai</t>
        </is>
      </c>
      <c r="H311" t="inlineStr">
        <is>
          <t>Pomegranate Tulsi (Hot Dry) 13 - 19 Yrs Face Malai, GreenApple Tulsi (Hot Humid) 13 - 19 Yrs Face Malai</t>
        </is>
      </c>
      <c r="N311" t="inlineStr">
        <is>
          <t>FC-HDDM-PT-030, FC-HHDM-GAT-030</t>
        </is>
      </c>
      <c r="T311" t="inlineStr">
        <is>
          <t>Apr 28, 2025</t>
        </is>
      </c>
      <c r="AE311" t="inlineStr">
        <is>
          <t>Gautam Buddha Nagar</t>
        </is>
      </c>
      <c r="AF311" t="inlineStr">
        <is>
          <t>2025-04</t>
        </is>
      </c>
      <c r="AG311" t="n">
        <v>4</v>
      </c>
      <c r="AH311" t="n">
        <v>1</v>
      </c>
      <c r="AI311" t="n">
        <v>0</v>
      </c>
      <c r="AJ311">
        <f>IF($AE311="","",IFERROR(VLOOKUP(TRIM($AE311),DECODE!$H$3:$I$60,2,FALSE),"Rest of India"))</f>
        <v/>
      </c>
      <c r="AK311">
        <f>IF($N311="","",UPPER(TRIM(LEFT($N311&amp;",",FIND(",",$N311&amp;",")-1))))</f>
        <v/>
      </c>
      <c r="AL311">
        <f>IF($AK311="","",MID($AK311,4,FIND("~",SUBSTITUTE($AK311,"-","~",2))-4))</f>
        <v/>
      </c>
      <c r="AM311">
        <f>IF($AK311="","",MID($AK311,FIND("~",SUBSTITUTE($AK311,"-","~",2))+1,FIND("~",SUBSTITUTE($AK311,"-","~",3))-FIND("~",SUBSTITUTE($AK311,"-","~",2))-1))</f>
        <v/>
      </c>
      <c r="AN311">
        <f>IF($AL311="","",IFERROR(VLOOKUP($AL311,DECODE!$A$3:$C$8,3,FALSE),"?"))</f>
        <v/>
      </c>
      <c r="AO311">
        <f>IF($AM311="","",IFERROR(VLOOKUP($AL311&amp;"-"&amp;$AM311,DECODE!$E$3:$F$21,2,FALSE),"?"))</f>
        <v/>
      </c>
      <c r="AP311">
        <f>IF($AK311="","",IFERROR(VALUE(RIGHT($AK311,3)),""))</f>
        <v/>
      </c>
      <c r="AQ311">
        <f>IF($T311="","",IFERROR(IF(ISNUMBER($T311),$T311,DATEVALUE(TRIM($T311))),""))</f>
        <v/>
      </c>
      <c r="AR311">
        <f>IF($AQ311="","",IF(MONTH($AQ311)&gt;=12,"Cold Winter",IF(MONTH($AQ311)&gt;=10,"Post-Monsoon",IF(MONTH($AQ311)&gt;=6,"Hot Humid",IF(MONTH($AQ311)&gt;=3,"Hot Dry","Cold Winter")))))</f>
        <v/>
      </c>
      <c r="AS311">
        <f>IF($AL311="","",IFERROR(VLOOKUP($AL311,DECODE!$A$3:$C$8,2,FALSE),"?"))</f>
        <v/>
      </c>
      <c r="AT311">
        <f>IF($O311="","",UPPER(TRIM(LEFT($O311&amp;",",FIND(",",$O311&amp;",")-1))))</f>
        <v/>
      </c>
      <c r="AU311">
        <f>IF($AT311="","",MID($AT311,4,FIND("~",SUBSTITUTE($AT311,"-","~",2))-4))</f>
        <v/>
      </c>
      <c r="AV311">
        <f>IF($AT311="","",MID($AT311,FIND("~",SUBSTITUTE($AT311,"-","~",2))+1,FIND("~",SUBSTITUTE($AT311,"-","~",3))-FIND("~",SUBSTITUTE($AT311,"-","~",2))-1))</f>
        <v/>
      </c>
      <c r="AW311">
        <f>IF($AU311="","",IFERROR(VLOOKUP($AU311,DECODE!$A$3:$C$8,3,FALSE),"?"))</f>
        <v/>
      </c>
      <c r="AX311">
        <f>IF($AV311="","",IFERROR(VLOOKUP($AU311&amp;"-"&amp;$AV311,DECODE!$E$3:$F$21,2,FALSE),"?"))</f>
        <v/>
      </c>
      <c r="AY311">
        <f>IF($AT311="","",IFERROR(VALUE(RIGHT($AT311,3)),""))</f>
        <v/>
      </c>
      <c r="AZ311">
        <f>IF($U311="","",IFERROR(IF(ISNUMBER($U311),$U311,DATEVALUE(TRIM($U311))),""))</f>
        <v/>
      </c>
      <c r="BA311">
        <f>IF($AZ311="","",IF(MONTH($AZ311)&gt;=12,"Cold Winter",IF(MONTH($AZ311)&gt;=10,"Post-Monsoon",IF(MONTH($AZ311)&gt;=6,"Hot Humid",IF(MONTH($AZ311)&gt;=3,"Hot Dry","Cold Winter")))))</f>
        <v/>
      </c>
      <c r="BB311">
        <f>IF($AU311="","",IFERROR(VLOOKUP($AU311,DECODE!$A$3:$C$8,2,FALSE),"?"))</f>
        <v/>
      </c>
      <c r="BC311">
        <f>IF($P311="","",UPPER(TRIM(LEFT($P311&amp;",",FIND(",",$P311&amp;",")-1))))</f>
        <v/>
      </c>
      <c r="BD311">
        <f>IF($BC311="","",MID($BC311,4,FIND("~",SUBSTITUTE($BC311,"-","~",2))-4))</f>
        <v/>
      </c>
      <c r="BE311">
        <f>IF($BC311="","",MID($BC311,FIND("~",SUBSTITUTE($BC311,"-","~",2))+1,FIND("~",SUBSTITUTE($BC311,"-","~",3))-FIND("~",SUBSTITUTE($BC311,"-","~",2))-1))</f>
        <v/>
      </c>
      <c r="BF311">
        <f>IF($BD311="","",IFERROR(VLOOKUP($BD311,DECODE!$A$3:$C$8,3,FALSE),"?"))</f>
        <v/>
      </c>
      <c r="BG311">
        <f>IF($BE311="","",IFERROR(VLOOKUP($BD311&amp;"-"&amp;$BE311,DECODE!$E$3:$F$21,2,FALSE),"?"))</f>
        <v/>
      </c>
      <c r="BH311">
        <f>IF($BC311="","",IFERROR(VALUE(RIGHT($BC311,3)),""))</f>
        <v/>
      </c>
      <c r="BI311">
        <f>IF($V311="","",IFERROR(IF(ISNUMBER($V311),$V311,DATEVALUE(TRIM($V311))),""))</f>
        <v/>
      </c>
      <c r="BJ311">
        <f>IF($BI311="","",IF(MONTH($BI311)&gt;=12,"Cold Winter",IF(MONTH($BI311)&gt;=10,"Post-Monsoon",IF(MONTH($BI311)&gt;=6,"Hot Humid",IF(MONTH($BI311)&gt;=3,"Hot Dry","Cold Winter")))))</f>
        <v/>
      </c>
      <c r="BK311">
        <f>IF($BD311="","",IFERROR(VLOOKUP($BD311,DECODE!$A$3:$C$8,2,FALSE),"?"))</f>
        <v/>
      </c>
      <c r="BL311">
        <f>IF($Q311="","",UPPER(TRIM(LEFT($Q311&amp;",",FIND(",",$Q311&amp;",")-1))))</f>
        <v/>
      </c>
      <c r="BM311">
        <f>IF($BL311="","",MID($BL311,4,FIND("~",SUBSTITUTE($BL311,"-","~",2))-4))</f>
        <v/>
      </c>
      <c r="BN311">
        <f>IF($BL311="","",MID($BL311,FIND("~",SUBSTITUTE($BL311,"-","~",2))+1,FIND("~",SUBSTITUTE($BL311,"-","~",3))-FIND("~",SUBSTITUTE($BL311,"-","~",2))-1))</f>
        <v/>
      </c>
      <c r="BO311">
        <f>IF($BM311="","",IFERROR(VLOOKUP($BM311,DECODE!$A$3:$C$8,3,FALSE),"?"))</f>
        <v/>
      </c>
      <c r="BP311">
        <f>IF($BN311="","",IFERROR(VLOOKUP($BM311&amp;"-"&amp;$BN311,DECODE!$E$3:$F$21,2,FALSE),"?"))</f>
        <v/>
      </c>
      <c r="BQ311">
        <f>IF($BL311="","",IFERROR(VALUE(RIGHT($BL311,3)),""))</f>
        <v/>
      </c>
      <c r="BR311">
        <f>IF($W311="","",IFERROR(IF(ISNUMBER($W311),$W311,DATEVALUE(TRIM($W311))),""))</f>
        <v/>
      </c>
      <c r="BS311">
        <f>IF($BR311="","",IF(MONTH($BR311)&gt;=12,"Cold Winter",IF(MONTH($BR311)&gt;=10,"Post-Monsoon",IF(MONTH($BR311)&gt;=6,"Hot Humid",IF(MONTH($BR311)&gt;=3,"Hot Dry","Cold Winter")))))</f>
        <v/>
      </c>
      <c r="BT311">
        <f>IF($BM311="","",IFERROR(VLOOKUP($BM311,DECODE!$A$3:$C$8,2,FALSE),"?"))</f>
        <v/>
      </c>
      <c r="BU311">
        <f>IF($R311="","",UPPER(TRIM(LEFT($R311&amp;",",FIND(",",$R311&amp;",")-1))))</f>
        <v/>
      </c>
      <c r="BV311">
        <f>IF($BU311="","",MID($BU311,4,FIND("~",SUBSTITUTE($BU311,"-","~",2))-4))</f>
        <v/>
      </c>
      <c r="BW311">
        <f>IF($BU311="","",MID($BU311,FIND("~",SUBSTITUTE($BU311,"-","~",2))+1,FIND("~",SUBSTITUTE($BU311,"-","~",3))-FIND("~",SUBSTITUTE($BU311,"-","~",2))-1))</f>
        <v/>
      </c>
      <c r="BX311">
        <f>IF($BV311="","",IFERROR(VLOOKUP($BV311,DECODE!$A$3:$C$8,3,FALSE),"?"))</f>
        <v/>
      </c>
      <c r="BY311">
        <f>IF($BW311="","",IFERROR(VLOOKUP($BV311&amp;"-"&amp;$BW311,DECODE!$E$3:$F$21,2,FALSE),"?"))</f>
        <v/>
      </c>
      <c r="BZ311">
        <f>IF($BU311="","",IFERROR(VALUE(RIGHT($BU311,3)),""))</f>
        <v/>
      </c>
      <c r="CA311">
        <f>IF($X311="","",IFERROR(IF(ISNUMBER($X311),$X311,DATEVALUE(TRIM($X311))),""))</f>
        <v/>
      </c>
      <c r="CB311">
        <f>IF($CA311="","",IF(MONTH($CA311)&gt;=12,"Cold Winter",IF(MONTH($CA311)&gt;=10,"Post-Monsoon",IF(MONTH($CA311)&gt;=6,"Hot Humid",IF(MONTH($CA311)&gt;=3,"Hot Dry","Cold Winter")))))</f>
        <v/>
      </c>
      <c r="CC311">
        <f>IF($BV311="","",IFERROR(VLOOKUP($BV311,DECODE!$A$3:$C$8,2,FALSE),"?"))</f>
        <v/>
      </c>
      <c r="CD311">
        <f>IF($S311="","",UPPER(TRIM(LEFT($S311&amp;",",FIND(",",$S311&amp;",")-1))))</f>
        <v/>
      </c>
      <c r="CE311">
        <f>IF($CD311="","",MID($CD311,4,FIND("~",SUBSTITUTE($CD311,"-","~",2))-4))</f>
        <v/>
      </c>
      <c r="CF311">
        <f>IF($CD311="","",MID($CD311,FIND("~",SUBSTITUTE($CD311,"-","~",2))+1,FIND("~",SUBSTITUTE($CD311,"-","~",3))-FIND("~",SUBSTITUTE($CD311,"-","~",2))-1))</f>
        <v/>
      </c>
      <c r="CG311">
        <f>IF($CE311="","",IFERROR(VLOOKUP($CE311,DECODE!$A$3:$C$8,3,FALSE),"?"))</f>
        <v/>
      </c>
      <c r="CH311">
        <f>IF($CF311="","",IFERROR(VLOOKUP($CE311&amp;"-"&amp;$CF311,DECODE!$E$3:$F$21,2,FALSE),"?"))</f>
        <v/>
      </c>
      <c r="CI311">
        <f>IF($CD311="","",IFERROR(VALUE(RIGHT($CD311,3)),""))</f>
        <v/>
      </c>
      <c r="CJ311">
        <f>IF($Y311="","",IFERROR(IF(ISNUMBER($Y311),$Y311,DATEVALUE(TRIM($Y311))),""))</f>
        <v/>
      </c>
      <c r="CK311">
        <f>IF($CJ311="","",IF(MONTH($CJ311)&gt;=12,"Cold Winter",IF(MONTH($CJ311)&gt;=10,"Post-Monsoon",IF(MONTH($CJ311)&gt;=6,"Hot Humid",IF(MONTH($CJ311)&gt;=3,"Hot Dry","Cold Winter")))))</f>
        <v/>
      </c>
      <c r="CL311">
        <f>IF($CE311="","",IFERROR(VLOOKUP($CE311,DECODE!$A$3:$C$8,2,FALSE),"?"))</f>
        <v/>
      </c>
      <c r="CM311">
        <f>IF($AN311="","",AN311)</f>
        <v/>
      </c>
      <c r="CN311">
        <f>IF($AO311="","",AO311)</f>
        <v/>
      </c>
      <c r="CO311">
        <f>IF($AP311="","",AP311)</f>
        <v/>
      </c>
      <c r="CP311">
        <f>IF($CM311="","",IF($CM311="Aloe Vera Gel","Aloe Vera Gel "&amp;$CO311&amp;"g",CN311&amp;" "&amp;$CO311&amp;"g"))</f>
        <v/>
      </c>
      <c r="CQ311">
        <f>IF($AT311="",0,1)</f>
        <v/>
      </c>
      <c r="CR311">
        <f>IF($CQ311=0,"",AW311)</f>
        <v/>
      </c>
      <c r="CS311">
        <f>IF($CQ311=0,"",AX311)</f>
        <v/>
      </c>
      <c r="CT311">
        <f>IF($CQ311=0,"",AY311)</f>
        <v/>
      </c>
      <c r="CU311">
        <f>IF($CR311="","",IF($CR311="Aloe Vera Gel","Aloe Vera Gel "&amp;$CT311&amp;"g",CS311&amp;" "&amp;$CT311&amp;"g"))</f>
        <v/>
      </c>
      <c r="CV311">
        <f>IF($CQ311=0,"",IF($CP311=$CU311,"Repeat Exact",IF($CT311&gt;$CO311,"Upsized",IF($CT311&lt;$CO311,"Downsized",IF($CM311&lt;&gt;$CR311,"Lateral","Same Size Diff Variant")))))</f>
        <v/>
      </c>
      <c r="CW311">
        <f>IF($CQ311=0,"",AZ311-AQ311)</f>
        <v/>
      </c>
      <c r="CX311">
        <f>IF($CQ311=0,0,IF(CS311=CN311,1,0))</f>
        <v/>
      </c>
      <c r="CY311">
        <f>IF($CQ311=0,0,IF(CR311=CM311,1,0))</f>
        <v/>
      </c>
      <c r="CZ311">
        <f>IF($A311="","",IF(AND(IF(DASHBOARD!$C$4="All",TRUE,$CM311=DASHBOARD!$C$4),IF(DASHBOARD!$C$6="All",TRUE,$CP311=DASHBOARD!$C$6),IF(DASHBOARD!$C$8="All",TRUE,$AF311&gt;=DASHBOARD!$C$8),IF(DASHBOARD!$C$10="All",TRUE,$AF311&lt;=DASHBOARD!$C$10),IF(DASHBOARD!$C$12="All",TRUE,$AH311=VALUE(DASHBOARD!$C$12)),IF(DASHBOARD!$C$14="All",TRUE,$AJ311=DASHBOARD!$C$14)),1,0))</f>
        <v/>
      </c>
    </row>
    <row r="312">
      <c r="A312" t="n">
        <v>171192</v>
      </c>
      <c r="B312" t="inlineStr">
        <is>
          <t>Face Malai</t>
        </is>
      </c>
      <c r="H312" t="inlineStr">
        <is>
          <t>Flax Bakuchi (Hot Dry) 35+ Face Malai - 30g</t>
        </is>
      </c>
      <c r="N312" t="inlineStr">
        <is>
          <t>FC-HDDM-FB-030</t>
        </is>
      </c>
      <c r="T312" t="inlineStr">
        <is>
          <t>May 31, 2024</t>
        </is>
      </c>
      <c r="AE312" t="inlineStr">
        <is>
          <t>Gautam Buddha Nagar</t>
        </is>
      </c>
      <c r="AF312" t="inlineStr">
        <is>
          <t>2024-05</t>
        </is>
      </c>
      <c r="AG312" t="n">
        <v>5</v>
      </c>
      <c r="AH312" t="n">
        <v>1</v>
      </c>
      <c r="AI312" t="n">
        <v>0</v>
      </c>
      <c r="AJ312">
        <f>IF($AE312="","",IFERROR(VLOOKUP(TRIM($AE312),DECODE!$H$3:$I$60,2,FALSE),"Rest of India"))</f>
        <v/>
      </c>
      <c r="AK312">
        <f>IF($N312="","",UPPER(TRIM(LEFT($N312&amp;",",FIND(",",$N312&amp;",")-1))))</f>
        <v/>
      </c>
      <c r="AL312">
        <f>IF($AK312="","",MID($AK312,4,FIND("~",SUBSTITUTE($AK312,"-","~",2))-4))</f>
        <v/>
      </c>
      <c r="AM312">
        <f>IF($AK312="","",MID($AK312,FIND("~",SUBSTITUTE($AK312,"-","~",2))+1,FIND("~",SUBSTITUTE($AK312,"-","~",3))-FIND("~",SUBSTITUTE($AK312,"-","~",2))-1))</f>
        <v/>
      </c>
      <c r="AN312">
        <f>IF($AL312="","",IFERROR(VLOOKUP($AL312,DECODE!$A$3:$C$8,3,FALSE),"?"))</f>
        <v/>
      </c>
      <c r="AO312">
        <f>IF($AM312="","",IFERROR(VLOOKUP($AL312&amp;"-"&amp;$AM312,DECODE!$E$3:$F$21,2,FALSE),"?"))</f>
        <v/>
      </c>
      <c r="AP312">
        <f>IF($AK312="","",IFERROR(VALUE(RIGHT($AK312,3)),""))</f>
        <v/>
      </c>
      <c r="AQ312">
        <f>IF($T312="","",IFERROR(IF(ISNUMBER($T312),$T312,DATEVALUE(TRIM($T312))),""))</f>
        <v/>
      </c>
      <c r="AR312">
        <f>IF($AQ312="","",IF(MONTH($AQ312)&gt;=12,"Cold Winter",IF(MONTH($AQ312)&gt;=10,"Post-Monsoon",IF(MONTH($AQ312)&gt;=6,"Hot Humid",IF(MONTH($AQ312)&gt;=3,"Hot Dry","Cold Winter")))))</f>
        <v/>
      </c>
      <c r="AS312">
        <f>IF($AL312="","",IFERROR(VLOOKUP($AL312,DECODE!$A$3:$C$8,2,FALSE),"?"))</f>
        <v/>
      </c>
      <c r="AT312">
        <f>IF($O312="","",UPPER(TRIM(LEFT($O312&amp;",",FIND(",",$O312&amp;",")-1))))</f>
        <v/>
      </c>
      <c r="AU312">
        <f>IF($AT312="","",MID($AT312,4,FIND("~",SUBSTITUTE($AT312,"-","~",2))-4))</f>
        <v/>
      </c>
      <c r="AV312">
        <f>IF($AT312="","",MID($AT312,FIND("~",SUBSTITUTE($AT312,"-","~",2))+1,FIND("~",SUBSTITUTE($AT312,"-","~",3))-FIND("~",SUBSTITUTE($AT312,"-","~",2))-1))</f>
        <v/>
      </c>
      <c r="AW312">
        <f>IF($AU312="","",IFERROR(VLOOKUP($AU312,DECODE!$A$3:$C$8,3,FALSE),"?"))</f>
        <v/>
      </c>
      <c r="AX312">
        <f>IF($AV312="","",IFERROR(VLOOKUP($AU312&amp;"-"&amp;$AV312,DECODE!$E$3:$F$21,2,FALSE),"?"))</f>
        <v/>
      </c>
      <c r="AY312">
        <f>IF($AT312="","",IFERROR(VALUE(RIGHT($AT312,3)),""))</f>
        <v/>
      </c>
      <c r="AZ312">
        <f>IF($U312="","",IFERROR(IF(ISNUMBER($U312),$U312,DATEVALUE(TRIM($U312))),""))</f>
        <v/>
      </c>
      <c r="BA312">
        <f>IF($AZ312="","",IF(MONTH($AZ312)&gt;=12,"Cold Winter",IF(MONTH($AZ312)&gt;=10,"Post-Monsoon",IF(MONTH($AZ312)&gt;=6,"Hot Humid",IF(MONTH($AZ312)&gt;=3,"Hot Dry","Cold Winter")))))</f>
        <v/>
      </c>
      <c r="BB312">
        <f>IF($AU312="","",IFERROR(VLOOKUP($AU312,DECODE!$A$3:$C$8,2,FALSE),"?"))</f>
        <v/>
      </c>
      <c r="BC312">
        <f>IF($P312="","",UPPER(TRIM(LEFT($P312&amp;",",FIND(",",$P312&amp;",")-1))))</f>
        <v/>
      </c>
      <c r="BD312">
        <f>IF($BC312="","",MID($BC312,4,FIND("~",SUBSTITUTE($BC312,"-","~",2))-4))</f>
        <v/>
      </c>
      <c r="BE312">
        <f>IF($BC312="","",MID($BC312,FIND("~",SUBSTITUTE($BC312,"-","~",2))+1,FIND("~",SUBSTITUTE($BC312,"-","~",3))-FIND("~",SUBSTITUTE($BC312,"-","~",2))-1))</f>
        <v/>
      </c>
      <c r="BF312">
        <f>IF($BD312="","",IFERROR(VLOOKUP($BD312,DECODE!$A$3:$C$8,3,FALSE),"?"))</f>
        <v/>
      </c>
      <c r="BG312">
        <f>IF($BE312="","",IFERROR(VLOOKUP($BD312&amp;"-"&amp;$BE312,DECODE!$E$3:$F$21,2,FALSE),"?"))</f>
        <v/>
      </c>
      <c r="BH312">
        <f>IF($BC312="","",IFERROR(VALUE(RIGHT($BC312,3)),""))</f>
        <v/>
      </c>
      <c r="BI312">
        <f>IF($V312="","",IFERROR(IF(ISNUMBER($V312),$V312,DATEVALUE(TRIM($V312))),""))</f>
        <v/>
      </c>
      <c r="BJ312">
        <f>IF($BI312="","",IF(MONTH($BI312)&gt;=12,"Cold Winter",IF(MONTH($BI312)&gt;=10,"Post-Monsoon",IF(MONTH($BI312)&gt;=6,"Hot Humid",IF(MONTH($BI312)&gt;=3,"Hot Dry","Cold Winter")))))</f>
        <v/>
      </c>
      <c r="BK312">
        <f>IF($BD312="","",IFERROR(VLOOKUP($BD312,DECODE!$A$3:$C$8,2,FALSE),"?"))</f>
        <v/>
      </c>
      <c r="BL312">
        <f>IF($Q312="","",UPPER(TRIM(LEFT($Q312&amp;",",FIND(",",$Q312&amp;",")-1))))</f>
        <v/>
      </c>
      <c r="BM312">
        <f>IF($BL312="","",MID($BL312,4,FIND("~",SUBSTITUTE($BL312,"-","~",2))-4))</f>
        <v/>
      </c>
      <c r="BN312">
        <f>IF($BL312="","",MID($BL312,FIND("~",SUBSTITUTE($BL312,"-","~",2))+1,FIND("~",SUBSTITUTE($BL312,"-","~",3))-FIND("~",SUBSTITUTE($BL312,"-","~",2))-1))</f>
        <v/>
      </c>
      <c r="BO312">
        <f>IF($BM312="","",IFERROR(VLOOKUP($BM312,DECODE!$A$3:$C$8,3,FALSE),"?"))</f>
        <v/>
      </c>
      <c r="BP312">
        <f>IF($BN312="","",IFERROR(VLOOKUP($BM312&amp;"-"&amp;$BN312,DECODE!$E$3:$F$21,2,FALSE),"?"))</f>
        <v/>
      </c>
      <c r="BQ312">
        <f>IF($BL312="","",IFERROR(VALUE(RIGHT($BL312,3)),""))</f>
        <v/>
      </c>
      <c r="BR312">
        <f>IF($W312="","",IFERROR(IF(ISNUMBER($W312),$W312,DATEVALUE(TRIM($W312))),""))</f>
        <v/>
      </c>
      <c r="BS312">
        <f>IF($BR312="","",IF(MONTH($BR312)&gt;=12,"Cold Winter",IF(MONTH($BR312)&gt;=10,"Post-Monsoon",IF(MONTH($BR312)&gt;=6,"Hot Humid",IF(MONTH($BR312)&gt;=3,"Hot Dry","Cold Winter")))))</f>
        <v/>
      </c>
      <c r="BT312">
        <f>IF($BM312="","",IFERROR(VLOOKUP($BM312,DECODE!$A$3:$C$8,2,FALSE),"?"))</f>
        <v/>
      </c>
      <c r="BU312">
        <f>IF($R312="","",UPPER(TRIM(LEFT($R312&amp;",",FIND(",",$R312&amp;",")-1))))</f>
        <v/>
      </c>
      <c r="BV312">
        <f>IF($BU312="","",MID($BU312,4,FIND("~",SUBSTITUTE($BU312,"-","~",2))-4))</f>
        <v/>
      </c>
      <c r="BW312">
        <f>IF($BU312="","",MID($BU312,FIND("~",SUBSTITUTE($BU312,"-","~",2))+1,FIND("~",SUBSTITUTE($BU312,"-","~",3))-FIND("~",SUBSTITUTE($BU312,"-","~",2))-1))</f>
        <v/>
      </c>
      <c r="BX312">
        <f>IF($BV312="","",IFERROR(VLOOKUP($BV312,DECODE!$A$3:$C$8,3,FALSE),"?"))</f>
        <v/>
      </c>
      <c r="BY312">
        <f>IF($BW312="","",IFERROR(VLOOKUP($BV312&amp;"-"&amp;$BW312,DECODE!$E$3:$F$21,2,FALSE),"?"))</f>
        <v/>
      </c>
      <c r="BZ312">
        <f>IF($BU312="","",IFERROR(VALUE(RIGHT($BU312,3)),""))</f>
        <v/>
      </c>
      <c r="CA312">
        <f>IF($X312="","",IFERROR(IF(ISNUMBER($X312),$X312,DATEVALUE(TRIM($X312))),""))</f>
        <v/>
      </c>
      <c r="CB312">
        <f>IF($CA312="","",IF(MONTH($CA312)&gt;=12,"Cold Winter",IF(MONTH($CA312)&gt;=10,"Post-Monsoon",IF(MONTH($CA312)&gt;=6,"Hot Humid",IF(MONTH($CA312)&gt;=3,"Hot Dry","Cold Winter")))))</f>
        <v/>
      </c>
      <c r="CC312">
        <f>IF($BV312="","",IFERROR(VLOOKUP($BV312,DECODE!$A$3:$C$8,2,FALSE),"?"))</f>
        <v/>
      </c>
      <c r="CD312">
        <f>IF($S312="","",UPPER(TRIM(LEFT($S312&amp;",",FIND(",",$S312&amp;",")-1))))</f>
        <v/>
      </c>
      <c r="CE312">
        <f>IF($CD312="","",MID($CD312,4,FIND("~",SUBSTITUTE($CD312,"-","~",2))-4))</f>
        <v/>
      </c>
      <c r="CF312">
        <f>IF($CD312="","",MID($CD312,FIND("~",SUBSTITUTE($CD312,"-","~",2))+1,FIND("~",SUBSTITUTE($CD312,"-","~",3))-FIND("~",SUBSTITUTE($CD312,"-","~",2))-1))</f>
        <v/>
      </c>
      <c r="CG312">
        <f>IF($CE312="","",IFERROR(VLOOKUP($CE312,DECODE!$A$3:$C$8,3,FALSE),"?"))</f>
        <v/>
      </c>
      <c r="CH312">
        <f>IF($CF312="","",IFERROR(VLOOKUP($CE312&amp;"-"&amp;$CF312,DECODE!$E$3:$F$21,2,FALSE),"?"))</f>
        <v/>
      </c>
      <c r="CI312">
        <f>IF($CD312="","",IFERROR(VALUE(RIGHT($CD312,3)),""))</f>
        <v/>
      </c>
      <c r="CJ312">
        <f>IF($Y312="","",IFERROR(IF(ISNUMBER($Y312),$Y312,DATEVALUE(TRIM($Y312))),""))</f>
        <v/>
      </c>
      <c r="CK312">
        <f>IF($CJ312="","",IF(MONTH($CJ312)&gt;=12,"Cold Winter",IF(MONTH($CJ312)&gt;=10,"Post-Monsoon",IF(MONTH($CJ312)&gt;=6,"Hot Humid",IF(MONTH($CJ312)&gt;=3,"Hot Dry","Cold Winter")))))</f>
        <v/>
      </c>
      <c r="CL312">
        <f>IF($CE312="","",IFERROR(VLOOKUP($CE312,DECODE!$A$3:$C$8,2,FALSE),"?"))</f>
        <v/>
      </c>
      <c r="CM312">
        <f>IF($AN312="","",AN312)</f>
        <v/>
      </c>
      <c r="CN312">
        <f>IF($AO312="","",AO312)</f>
        <v/>
      </c>
      <c r="CO312">
        <f>IF($AP312="","",AP312)</f>
        <v/>
      </c>
      <c r="CP312">
        <f>IF($CM312="","",IF($CM312="Aloe Vera Gel","Aloe Vera Gel "&amp;$CO312&amp;"g",CN312&amp;" "&amp;$CO312&amp;"g"))</f>
        <v/>
      </c>
      <c r="CQ312">
        <f>IF($AT312="",0,1)</f>
        <v/>
      </c>
      <c r="CR312">
        <f>IF($CQ312=0,"",AW312)</f>
        <v/>
      </c>
      <c r="CS312">
        <f>IF($CQ312=0,"",AX312)</f>
        <v/>
      </c>
      <c r="CT312">
        <f>IF($CQ312=0,"",AY312)</f>
        <v/>
      </c>
      <c r="CU312">
        <f>IF($CR312="","",IF($CR312="Aloe Vera Gel","Aloe Vera Gel "&amp;$CT312&amp;"g",CS312&amp;" "&amp;$CT312&amp;"g"))</f>
        <v/>
      </c>
      <c r="CV312">
        <f>IF($CQ312=0,"",IF($CP312=$CU312,"Repeat Exact",IF($CT312&gt;$CO312,"Upsized",IF($CT312&lt;$CO312,"Downsized",IF($CM312&lt;&gt;$CR312,"Lateral","Same Size Diff Variant")))))</f>
        <v/>
      </c>
      <c r="CW312">
        <f>IF($CQ312=0,"",AZ312-AQ312)</f>
        <v/>
      </c>
      <c r="CX312">
        <f>IF($CQ312=0,0,IF(CS312=CN312,1,0))</f>
        <v/>
      </c>
      <c r="CY312">
        <f>IF($CQ312=0,0,IF(CR312=CM312,1,0))</f>
        <v/>
      </c>
      <c r="CZ312">
        <f>IF($A312="","",IF(AND(IF(DASHBOARD!$C$4="All",TRUE,$CM312=DASHBOARD!$C$4),IF(DASHBOARD!$C$6="All",TRUE,$CP312=DASHBOARD!$C$6),IF(DASHBOARD!$C$8="All",TRUE,$AF312&gt;=DASHBOARD!$C$8),IF(DASHBOARD!$C$10="All",TRUE,$AF312&lt;=DASHBOARD!$C$10),IF(DASHBOARD!$C$12="All",TRUE,$AH312=VALUE(DASHBOARD!$C$12)),IF(DASHBOARD!$C$14="All",TRUE,$AJ312=DASHBOARD!$C$14)),1,0))</f>
        <v/>
      </c>
    </row>
    <row r="313">
      <c r="A313" t="n">
        <v>171353</v>
      </c>
      <c r="B313" t="inlineStr">
        <is>
          <t>Active Gel</t>
        </is>
      </c>
      <c r="C313" t="inlineStr">
        <is>
          <t>Face Malai</t>
        </is>
      </c>
      <c r="H313" t="inlineStr">
        <is>
          <t>Active Neem TeaTree Gel</t>
        </is>
      </c>
      <c r="I313" t="inlineStr">
        <is>
          <t>Tomato Patchouli (Cold) 20 - 35 Yrs Face Malai</t>
        </is>
      </c>
      <c r="N313" t="inlineStr">
        <is>
          <t>FC-AC-NT-050</t>
        </is>
      </c>
      <c r="O313" t="inlineStr">
        <is>
          <t>FC-CWDM-TP-030</t>
        </is>
      </c>
      <c r="T313" t="inlineStr">
        <is>
          <t>May 21, 2025</t>
        </is>
      </c>
      <c r="U313" t="inlineStr">
        <is>
          <t>Oct 29, 2025</t>
        </is>
      </c>
      <c r="Z313" t="n">
        <v>161</v>
      </c>
      <c r="AE313" t="inlineStr">
        <is>
          <t>Gautam Buddha Nagar</t>
        </is>
      </c>
      <c r="AF313" t="inlineStr">
        <is>
          <t>2025-05</t>
        </is>
      </c>
      <c r="AG313" t="n">
        <v>5</v>
      </c>
      <c r="AH313" t="n">
        <v>2</v>
      </c>
      <c r="AI313" t="n">
        <v>1</v>
      </c>
      <c r="AJ313">
        <f>IF($AE313="","",IFERROR(VLOOKUP(TRIM($AE313),DECODE!$H$3:$I$60,2,FALSE),"Rest of India"))</f>
        <v/>
      </c>
      <c r="AK313">
        <f>IF($N313="","",UPPER(TRIM(LEFT($N313&amp;",",FIND(",",$N313&amp;",")-1))))</f>
        <v/>
      </c>
      <c r="AL313">
        <f>IF($AK313="","",MID($AK313,4,FIND("~",SUBSTITUTE($AK313,"-","~",2))-4))</f>
        <v/>
      </c>
      <c r="AM313">
        <f>IF($AK313="","",MID($AK313,FIND("~",SUBSTITUTE($AK313,"-","~",2))+1,FIND("~",SUBSTITUTE($AK313,"-","~",3))-FIND("~",SUBSTITUTE($AK313,"-","~",2))-1))</f>
        <v/>
      </c>
      <c r="AN313">
        <f>IF($AL313="","",IFERROR(VLOOKUP($AL313,DECODE!$A$3:$C$8,3,FALSE),"?"))</f>
        <v/>
      </c>
      <c r="AO313">
        <f>IF($AM313="","",IFERROR(VLOOKUP($AL313&amp;"-"&amp;$AM313,DECODE!$E$3:$F$21,2,FALSE),"?"))</f>
        <v/>
      </c>
      <c r="AP313">
        <f>IF($AK313="","",IFERROR(VALUE(RIGHT($AK313,3)),""))</f>
        <v/>
      </c>
      <c r="AQ313">
        <f>IF($T313="","",IFERROR(IF(ISNUMBER($T313),$T313,DATEVALUE(TRIM($T313))),""))</f>
        <v/>
      </c>
      <c r="AR313">
        <f>IF($AQ313="","",IF(MONTH($AQ313)&gt;=12,"Cold Winter",IF(MONTH($AQ313)&gt;=10,"Post-Monsoon",IF(MONTH($AQ313)&gt;=6,"Hot Humid",IF(MONTH($AQ313)&gt;=3,"Hot Dry","Cold Winter")))))</f>
        <v/>
      </c>
      <c r="AS313">
        <f>IF($AL313="","",IFERROR(VLOOKUP($AL313,DECODE!$A$3:$C$8,2,FALSE),"?"))</f>
        <v/>
      </c>
      <c r="AT313">
        <f>IF($O313="","",UPPER(TRIM(LEFT($O313&amp;",",FIND(",",$O313&amp;",")-1))))</f>
        <v/>
      </c>
      <c r="AU313">
        <f>IF($AT313="","",MID($AT313,4,FIND("~",SUBSTITUTE($AT313,"-","~",2))-4))</f>
        <v/>
      </c>
      <c r="AV313">
        <f>IF($AT313="","",MID($AT313,FIND("~",SUBSTITUTE($AT313,"-","~",2))+1,FIND("~",SUBSTITUTE($AT313,"-","~",3))-FIND("~",SUBSTITUTE($AT313,"-","~",2))-1))</f>
        <v/>
      </c>
      <c r="AW313">
        <f>IF($AU313="","",IFERROR(VLOOKUP($AU313,DECODE!$A$3:$C$8,3,FALSE),"?"))</f>
        <v/>
      </c>
      <c r="AX313">
        <f>IF($AV313="","",IFERROR(VLOOKUP($AU313&amp;"-"&amp;$AV313,DECODE!$E$3:$F$21,2,FALSE),"?"))</f>
        <v/>
      </c>
      <c r="AY313">
        <f>IF($AT313="","",IFERROR(VALUE(RIGHT($AT313,3)),""))</f>
        <v/>
      </c>
      <c r="AZ313">
        <f>IF($U313="","",IFERROR(IF(ISNUMBER($U313),$U313,DATEVALUE(TRIM($U313))),""))</f>
        <v/>
      </c>
      <c r="BA313">
        <f>IF($AZ313="","",IF(MONTH($AZ313)&gt;=12,"Cold Winter",IF(MONTH($AZ313)&gt;=10,"Post-Monsoon",IF(MONTH($AZ313)&gt;=6,"Hot Humid",IF(MONTH($AZ313)&gt;=3,"Hot Dry","Cold Winter")))))</f>
        <v/>
      </c>
      <c r="BB313">
        <f>IF($AU313="","",IFERROR(VLOOKUP($AU313,DECODE!$A$3:$C$8,2,FALSE),"?"))</f>
        <v/>
      </c>
      <c r="BC313">
        <f>IF($P313="","",UPPER(TRIM(LEFT($P313&amp;",",FIND(",",$P313&amp;",")-1))))</f>
        <v/>
      </c>
      <c r="BD313">
        <f>IF($BC313="","",MID($BC313,4,FIND("~",SUBSTITUTE($BC313,"-","~",2))-4))</f>
        <v/>
      </c>
      <c r="BE313">
        <f>IF($BC313="","",MID($BC313,FIND("~",SUBSTITUTE($BC313,"-","~",2))+1,FIND("~",SUBSTITUTE($BC313,"-","~",3))-FIND("~",SUBSTITUTE($BC313,"-","~",2))-1))</f>
        <v/>
      </c>
      <c r="BF313">
        <f>IF($BD313="","",IFERROR(VLOOKUP($BD313,DECODE!$A$3:$C$8,3,FALSE),"?"))</f>
        <v/>
      </c>
      <c r="BG313">
        <f>IF($BE313="","",IFERROR(VLOOKUP($BD313&amp;"-"&amp;$BE313,DECODE!$E$3:$F$21,2,FALSE),"?"))</f>
        <v/>
      </c>
      <c r="BH313">
        <f>IF($BC313="","",IFERROR(VALUE(RIGHT($BC313,3)),""))</f>
        <v/>
      </c>
      <c r="BI313">
        <f>IF($V313="","",IFERROR(IF(ISNUMBER($V313),$V313,DATEVALUE(TRIM($V313))),""))</f>
        <v/>
      </c>
      <c r="BJ313">
        <f>IF($BI313="","",IF(MONTH($BI313)&gt;=12,"Cold Winter",IF(MONTH($BI313)&gt;=10,"Post-Monsoon",IF(MONTH($BI313)&gt;=6,"Hot Humid",IF(MONTH($BI313)&gt;=3,"Hot Dry","Cold Winter")))))</f>
        <v/>
      </c>
      <c r="BK313">
        <f>IF($BD313="","",IFERROR(VLOOKUP($BD313,DECODE!$A$3:$C$8,2,FALSE),"?"))</f>
        <v/>
      </c>
      <c r="BL313">
        <f>IF($Q313="","",UPPER(TRIM(LEFT($Q313&amp;",",FIND(",",$Q313&amp;",")-1))))</f>
        <v/>
      </c>
      <c r="BM313">
        <f>IF($BL313="","",MID($BL313,4,FIND("~",SUBSTITUTE($BL313,"-","~",2))-4))</f>
        <v/>
      </c>
      <c r="BN313">
        <f>IF($BL313="","",MID($BL313,FIND("~",SUBSTITUTE($BL313,"-","~",2))+1,FIND("~",SUBSTITUTE($BL313,"-","~",3))-FIND("~",SUBSTITUTE($BL313,"-","~",2))-1))</f>
        <v/>
      </c>
      <c r="BO313">
        <f>IF($BM313="","",IFERROR(VLOOKUP($BM313,DECODE!$A$3:$C$8,3,FALSE),"?"))</f>
        <v/>
      </c>
      <c r="BP313">
        <f>IF($BN313="","",IFERROR(VLOOKUP($BM313&amp;"-"&amp;$BN313,DECODE!$E$3:$F$21,2,FALSE),"?"))</f>
        <v/>
      </c>
      <c r="BQ313">
        <f>IF($BL313="","",IFERROR(VALUE(RIGHT($BL313,3)),""))</f>
        <v/>
      </c>
      <c r="BR313">
        <f>IF($W313="","",IFERROR(IF(ISNUMBER($W313),$W313,DATEVALUE(TRIM($W313))),""))</f>
        <v/>
      </c>
      <c r="BS313">
        <f>IF($BR313="","",IF(MONTH($BR313)&gt;=12,"Cold Winter",IF(MONTH($BR313)&gt;=10,"Post-Monsoon",IF(MONTH($BR313)&gt;=6,"Hot Humid",IF(MONTH($BR313)&gt;=3,"Hot Dry","Cold Winter")))))</f>
        <v/>
      </c>
      <c r="BT313">
        <f>IF($BM313="","",IFERROR(VLOOKUP($BM313,DECODE!$A$3:$C$8,2,FALSE),"?"))</f>
        <v/>
      </c>
      <c r="BU313">
        <f>IF($R313="","",UPPER(TRIM(LEFT($R313&amp;",",FIND(",",$R313&amp;",")-1))))</f>
        <v/>
      </c>
      <c r="BV313">
        <f>IF($BU313="","",MID($BU313,4,FIND("~",SUBSTITUTE($BU313,"-","~",2))-4))</f>
        <v/>
      </c>
      <c r="BW313">
        <f>IF($BU313="","",MID($BU313,FIND("~",SUBSTITUTE($BU313,"-","~",2))+1,FIND("~",SUBSTITUTE($BU313,"-","~",3))-FIND("~",SUBSTITUTE($BU313,"-","~",2))-1))</f>
        <v/>
      </c>
      <c r="BX313">
        <f>IF($BV313="","",IFERROR(VLOOKUP($BV313,DECODE!$A$3:$C$8,3,FALSE),"?"))</f>
        <v/>
      </c>
      <c r="BY313">
        <f>IF($BW313="","",IFERROR(VLOOKUP($BV313&amp;"-"&amp;$BW313,DECODE!$E$3:$F$21,2,FALSE),"?"))</f>
        <v/>
      </c>
      <c r="BZ313">
        <f>IF($BU313="","",IFERROR(VALUE(RIGHT($BU313,3)),""))</f>
        <v/>
      </c>
      <c r="CA313">
        <f>IF($X313="","",IFERROR(IF(ISNUMBER($X313),$X313,DATEVALUE(TRIM($X313))),""))</f>
        <v/>
      </c>
      <c r="CB313">
        <f>IF($CA313="","",IF(MONTH($CA313)&gt;=12,"Cold Winter",IF(MONTH($CA313)&gt;=10,"Post-Monsoon",IF(MONTH($CA313)&gt;=6,"Hot Humid",IF(MONTH($CA313)&gt;=3,"Hot Dry","Cold Winter")))))</f>
        <v/>
      </c>
      <c r="CC313">
        <f>IF($BV313="","",IFERROR(VLOOKUP($BV313,DECODE!$A$3:$C$8,2,FALSE),"?"))</f>
        <v/>
      </c>
      <c r="CD313">
        <f>IF($S313="","",UPPER(TRIM(LEFT($S313&amp;",",FIND(",",$S313&amp;",")-1))))</f>
        <v/>
      </c>
      <c r="CE313">
        <f>IF($CD313="","",MID($CD313,4,FIND("~",SUBSTITUTE($CD313,"-","~",2))-4))</f>
        <v/>
      </c>
      <c r="CF313">
        <f>IF($CD313="","",MID($CD313,FIND("~",SUBSTITUTE($CD313,"-","~",2))+1,FIND("~",SUBSTITUTE($CD313,"-","~",3))-FIND("~",SUBSTITUTE($CD313,"-","~",2))-1))</f>
        <v/>
      </c>
      <c r="CG313">
        <f>IF($CE313="","",IFERROR(VLOOKUP($CE313,DECODE!$A$3:$C$8,3,FALSE),"?"))</f>
        <v/>
      </c>
      <c r="CH313">
        <f>IF($CF313="","",IFERROR(VLOOKUP($CE313&amp;"-"&amp;$CF313,DECODE!$E$3:$F$21,2,FALSE),"?"))</f>
        <v/>
      </c>
      <c r="CI313">
        <f>IF($CD313="","",IFERROR(VALUE(RIGHT($CD313,3)),""))</f>
        <v/>
      </c>
      <c r="CJ313">
        <f>IF($Y313="","",IFERROR(IF(ISNUMBER($Y313),$Y313,DATEVALUE(TRIM($Y313))),""))</f>
        <v/>
      </c>
      <c r="CK313">
        <f>IF($CJ313="","",IF(MONTH($CJ313)&gt;=12,"Cold Winter",IF(MONTH($CJ313)&gt;=10,"Post-Monsoon",IF(MONTH($CJ313)&gt;=6,"Hot Humid",IF(MONTH($CJ313)&gt;=3,"Hot Dry","Cold Winter")))))</f>
        <v/>
      </c>
      <c r="CL313">
        <f>IF($CE313="","",IFERROR(VLOOKUP($CE313,DECODE!$A$3:$C$8,2,FALSE),"?"))</f>
        <v/>
      </c>
      <c r="CM313">
        <f>IF($AN313="","",AN313)</f>
        <v/>
      </c>
      <c r="CN313">
        <f>IF($AO313="","",AO313)</f>
        <v/>
      </c>
      <c r="CO313">
        <f>IF($AP313="","",AP313)</f>
        <v/>
      </c>
      <c r="CP313">
        <f>IF($CM313="","",IF($CM313="Aloe Vera Gel","Aloe Vera Gel "&amp;$CO313&amp;"g",CN313&amp;" "&amp;$CO313&amp;"g"))</f>
        <v/>
      </c>
      <c r="CQ313">
        <f>IF($AT313="",0,1)</f>
        <v/>
      </c>
      <c r="CR313">
        <f>IF($CQ313=0,"",AW313)</f>
        <v/>
      </c>
      <c r="CS313">
        <f>IF($CQ313=0,"",AX313)</f>
        <v/>
      </c>
      <c r="CT313">
        <f>IF($CQ313=0,"",AY313)</f>
        <v/>
      </c>
      <c r="CU313">
        <f>IF($CR313="","",IF($CR313="Aloe Vera Gel","Aloe Vera Gel "&amp;$CT313&amp;"g",CS313&amp;" "&amp;$CT313&amp;"g"))</f>
        <v/>
      </c>
      <c r="CV313">
        <f>IF($CQ313=0,"",IF($CP313=$CU313,"Repeat Exact",IF($CT313&gt;$CO313,"Upsized",IF($CT313&lt;$CO313,"Downsized",IF($CM313&lt;&gt;$CR313,"Lateral","Same Size Diff Variant")))))</f>
        <v/>
      </c>
      <c r="CW313">
        <f>IF($CQ313=0,"",AZ313-AQ313)</f>
        <v/>
      </c>
      <c r="CX313">
        <f>IF($CQ313=0,0,IF(CS313=CN313,1,0))</f>
        <v/>
      </c>
      <c r="CY313">
        <f>IF($CQ313=0,0,IF(CR313=CM313,1,0))</f>
        <v/>
      </c>
      <c r="CZ313">
        <f>IF($A313="","",IF(AND(IF(DASHBOARD!$C$4="All",TRUE,$CM313=DASHBOARD!$C$4),IF(DASHBOARD!$C$6="All",TRUE,$CP313=DASHBOARD!$C$6),IF(DASHBOARD!$C$8="All",TRUE,$AF313&gt;=DASHBOARD!$C$8),IF(DASHBOARD!$C$10="All",TRUE,$AF313&lt;=DASHBOARD!$C$10),IF(DASHBOARD!$C$12="All",TRUE,$AH313=VALUE(DASHBOARD!$C$12)),IF(DASHBOARD!$C$14="All",TRUE,$AJ313=DASHBOARD!$C$14)),1,0))</f>
        <v/>
      </c>
    </row>
    <row r="314">
      <c r="A314" t="n">
        <v>172313</v>
      </c>
      <c r="B314" t="inlineStr">
        <is>
          <t>Face Malai</t>
        </is>
      </c>
      <c r="H314" t="inlineStr">
        <is>
          <t>Cocoa Mogra (Overnight) Face Malai - 30g</t>
        </is>
      </c>
      <c r="N314" t="inlineStr">
        <is>
          <t>FC-DM-NR-030</t>
        </is>
      </c>
      <c r="T314" t="inlineStr">
        <is>
          <t>Aug 13, 2025</t>
        </is>
      </c>
      <c r="AE314" t="inlineStr">
        <is>
          <t>Goa</t>
        </is>
      </c>
      <c r="AF314" t="inlineStr">
        <is>
          <t>2025-08</t>
        </is>
      </c>
      <c r="AG314" t="n">
        <v>8</v>
      </c>
      <c r="AH314" t="n">
        <v>1</v>
      </c>
      <c r="AI314" t="n">
        <v>0</v>
      </c>
      <c r="AJ314">
        <f>IF($AE314="","",IFERROR(VLOOKUP(TRIM($AE314),DECODE!$H$3:$I$60,2,FALSE),"Rest of India"))</f>
        <v/>
      </c>
      <c r="AK314">
        <f>IF($N314="","",UPPER(TRIM(LEFT($N314&amp;",",FIND(",",$N314&amp;",")-1))))</f>
        <v/>
      </c>
      <c r="AL314">
        <f>IF($AK314="","",MID($AK314,4,FIND("~",SUBSTITUTE($AK314,"-","~",2))-4))</f>
        <v/>
      </c>
      <c r="AM314">
        <f>IF($AK314="","",MID($AK314,FIND("~",SUBSTITUTE($AK314,"-","~",2))+1,FIND("~",SUBSTITUTE($AK314,"-","~",3))-FIND("~",SUBSTITUTE($AK314,"-","~",2))-1))</f>
        <v/>
      </c>
      <c r="AN314">
        <f>IF($AL314="","",IFERROR(VLOOKUP($AL314,DECODE!$A$3:$C$8,3,FALSE),"?"))</f>
        <v/>
      </c>
      <c r="AO314">
        <f>IF($AM314="","",IFERROR(VLOOKUP($AL314&amp;"-"&amp;$AM314,DECODE!$E$3:$F$21,2,FALSE),"?"))</f>
        <v/>
      </c>
      <c r="AP314">
        <f>IF($AK314="","",IFERROR(VALUE(RIGHT($AK314,3)),""))</f>
        <v/>
      </c>
      <c r="AQ314">
        <f>IF($T314="","",IFERROR(IF(ISNUMBER($T314),$T314,DATEVALUE(TRIM($T314))),""))</f>
        <v/>
      </c>
      <c r="AR314">
        <f>IF($AQ314="","",IF(MONTH($AQ314)&gt;=12,"Cold Winter",IF(MONTH($AQ314)&gt;=10,"Post-Monsoon",IF(MONTH($AQ314)&gt;=6,"Hot Humid",IF(MONTH($AQ314)&gt;=3,"Hot Dry","Cold Winter")))))</f>
        <v/>
      </c>
      <c r="AS314">
        <f>IF($AL314="","",IFERROR(VLOOKUP($AL314,DECODE!$A$3:$C$8,2,FALSE),"?"))</f>
        <v/>
      </c>
      <c r="AT314">
        <f>IF($O314="","",UPPER(TRIM(LEFT($O314&amp;",",FIND(",",$O314&amp;",")-1))))</f>
        <v/>
      </c>
      <c r="AU314">
        <f>IF($AT314="","",MID($AT314,4,FIND("~",SUBSTITUTE($AT314,"-","~",2))-4))</f>
        <v/>
      </c>
      <c r="AV314">
        <f>IF($AT314="","",MID($AT314,FIND("~",SUBSTITUTE($AT314,"-","~",2))+1,FIND("~",SUBSTITUTE($AT314,"-","~",3))-FIND("~",SUBSTITUTE($AT314,"-","~",2))-1))</f>
        <v/>
      </c>
      <c r="AW314">
        <f>IF($AU314="","",IFERROR(VLOOKUP($AU314,DECODE!$A$3:$C$8,3,FALSE),"?"))</f>
        <v/>
      </c>
      <c r="AX314">
        <f>IF($AV314="","",IFERROR(VLOOKUP($AU314&amp;"-"&amp;$AV314,DECODE!$E$3:$F$21,2,FALSE),"?"))</f>
        <v/>
      </c>
      <c r="AY314">
        <f>IF($AT314="","",IFERROR(VALUE(RIGHT($AT314,3)),""))</f>
        <v/>
      </c>
      <c r="AZ314">
        <f>IF($U314="","",IFERROR(IF(ISNUMBER($U314),$U314,DATEVALUE(TRIM($U314))),""))</f>
        <v/>
      </c>
      <c r="BA314">
        <f>IF($AZ314="","",IF(MONTH($AZ314)&gt;=12,"Cold Winter",IF(MONTH($AZ314)&gt;=10,"Post-Monsoon",IF(MONTH($AZ314)&gt;=6,"Hot Humid",IF(MONTH($AZ314)&gt;=3,"Hot Dry","Cold Winter")))))</f>
        <v/>
      </c>
      <c r="BB314">
        <f>IF($AU314="","",IFERROR(VLOOKUP($AU314,DECODE!$A$3:$C$8,2,FALSE),"?"))</f>
        <v/>
      </c>
      <c r="BC314">
        <f>IF($P314="","",UPPER(TRIM(LEFT($P314&amp;",",FIND(",",$P314&amp;",")-1))))</f>
        <v/>
      </c>
      <c r="BD314">
        <f>IF($BC314="","",MID($BC314,4,FIND("~",SUBSTITUTE($BC314,"-","~",2))-4))</f>
        <v/>
      </c>
      <c r="BE314">
        <f>IF($BC314="","",MID($BC314,FIND("~",SUBSTITUTE($BC314,"-","~",2))+1,FIND("~",SUBSTITUTE($BC314,"-","~",3))-FIND("~",SUBSTITUTE($BC314,"-","~",2))-1))</f>
        <v/>
      </c>
      <c r="BF314">
        <f>IF($BD314="","",IFERROR(VLOOKUP($BD314,DECODE!$A$3:$C$8,3,FALSE),"?"))</f>
        <v/>
      </c>
      <c r="BG314">
        <f>IF($BE314="","",IFERROR(VLOOKUP($BD314&amp;"-"&amp;$BE314,DECODE!$E$3:$F$21,2,FALSE),"?"))</f>
        <v/>
      </c>
      <c r="BH314">
        <f>IF($BC314="","",IFERROR(VALUE(RIGHT($BC314,3)),""))</f>
        <v/>
      </c>
      <c r="BI314">
        <f>IF($V314="","",IFERROR(IF(ISNUMBER($V314),$V314,DATEVALUE(TRIM($V314))),""))</f>
        <v/>
      </c>
      <c r="BJ314">
        <f>IF($BI314="","",IF(MONTH($BI314)&gt;=12,"Cold Winter",IF(MONTH($BI314)&gt;=10,"Post-Monsoon",IF(MONTH($BI314)&gt;=6,"Hot Humid",IF(MONTH($BI314)&gt;=3,"Hot Dry","Cold Winter")))))</f>
        <v/>
      </c>
      <c r="BK314">
        <f>IF($BD314="","",IFERROR(VLOOKUP($BD314,DECODE!$A$3:$C$8,2,FALSE),"?"))</f>
        <v/>
      </c>
      <c r="BL314">
        <f>IF($Q314="","",UPPER(TRIM(LEFT($Q314&amp;",",FIND(",",$Q314&amp;",")-1))))</f>
        <v/>
      </c>
      <c r="BM314">
        <f>IF($BL314="","",MID($BL314,4,FIND("~",SUBSTITUTE($BL314,"-","~",2))-4))</f>
        <v/>
      </c>
      <c r="BN314">
        <f>IF($BL314="","",MID($BL314,FIND("~",SUBSTITUTE($BL314,"-","~",2))+1,FIND("~",SUBSTITUTE($BL314,"-","~",3))-FIND("~",SUBSTITUTE($BL314,"-","~",2))-1))</f>
        <v/>
      </c>
      <c r="BO314">
        <f>IF($BM314="","",IFERROR(VLOOKUP($BM314,DECODE!$A$3:$C$8,3,FALSE),"?"))</f>
        <v/>
      </c>
      <c r="BP314">
        <f>IF($BN314="","",IFERROR(VLOOKUP($BM314&amp;"-"&amp;$BN314,DECODE!$E$3:$F$21,2,FALSE),"?"))</f>
        <v/>
      </c>
      <c r="BQ314">
        <f>IF($BL314="","",IFERROR(VALUE(RIGHT($BL314,3)),""))</f>
        <v/>
      </c>
      <c r="BR314">
        <f>IF($W314="","",IFERROR(IF(ISNUMBER($W314),$W314,DATEVALUE(TRIM($W314))),""))</f>
        <v/>
      </c>
      <c r="BS314">
        <f>IF($BR314="","",IF(MONTH($BR314)&gt;=12,"Cold Winter",IF(MONTH($BR314)&gt;=10,"Post-Monsoon",IF(MONTH($BR314)&gt;=6,"Hot Humid",IF(MONTH($BR314)&gt;=3,"Hot Dry","Cold Winter")))))</f>
        <v/>
      </c>
      <c r="BT314">
        <f>IF($BM314="","",IFERROR(VLOOKUP($BM314,DECODE!$A$3:$C$8,2,FALSE),"?"))</f>
        <v/>
      </c>
      <c r="BU314">
        <f>IF($R314="","",UPPER(TRIM(LEFT($R314&amp;",",FIND(",",$R314&amp;",")-1))))</f>
        <v/>
      </c>
      <c r="BV314">
        <f>IF($BU314="","",MID($BU314,4,FIND("~",SUBSTITUTE($BU314,"-","~",2))-4))</f>
        <v/>
      </c>
      <c r="BW314">
        <f>IF($BU314="","",MID($BU314,FIND("~",SUBSTITUTE($BU314,"-","~",2))+1,FIND("~",SUBSTITUTE($BU314,"-","~",3))-FIND("~",SUBSTITUTE($BU314,"-","~",2))-1))</f>
        <v/>
      </c>
      <c r="BX314">
        <f>IF($BV314="","",IFERROR(VLOOKUP($BV314,DECODE!$A$3:$C$8,3,FALSE),"?"))</f>
        <v/>
      </c>
      <c r="BY314">
        <f>IF($BW314="","",IFERROR(VLOOKUP($BV314&amp;"-"&amp;$BW314,DECODE!$E$3:$F$21,2,FALSE),"?"))</f>
        <v/>
      </c>
      <c r="BZ314">
        <f>IF($BU314="","",IFERROR(VALUE(RIGHT($BU314,3)),""))</f>
        <v/>
      </c>
      <c r="CA314">
        <f>IF($X314="","",IFERROR(IF(ISNUMBER($X314),$X314,DATEVALUE(TRIM($X314))),""))</f>
        <v/>
      </c>
      <c r="CB314">
        <f>IF($CA314="","",IF(MONTH($CA314)&gt;=12,"Cold Winter",IF(MONTH($CA314)&gt;=10,"Post-Monsoon",IF(MONTH($CA314)&gt;=6,"Hot Humid",IF(MONTH($CA314)&gt;=3,"Hot Dry","Cold Winter")))))</f>
        <v/>
      </c>
      <c r="CC314">
        <f>IF($BV314="","",IFERROR(VLOOKUP($BV314,DECODE!$A$3:$C$8,2,FALSE),"?"))</f>
        <v/>
      </c>
      <c r="CD314">
        <f>IF($S314="","",UPPER(TRIM(LEFT($S314&amp;",",FIND(",",$S314&amp;",")-1))))</f>
        <v/>
      </c>
      <c r="CE314">
        <f>IF($CD314="","",MID($CD314,4,FIND("~",SUBSTITUTE($CD314,"-","~",2))-4))</f>
        <v/>
      </c>
      <c r="CF314">
        <f>IF($CD314="","",MID($CD314,FIND("~",SUBSTITUTE($CD314,"-","~",2))+1,FIND("~",SUBSTITUTE($CD314,"-","~",3))-FIND("~",SUBSTITUTE($CD314,"-","~",2))-1))</f>
        <v/>
      </c>
      <c r="CG314">
        <f>IF($CE314="","",IFERROR(VLOOKUP($CE314,DECODE!$A$3:$C$8,3,FALSE),"?"))</f>
        <v/>
      </c>
      <c r="CH314">
        <f>IF($CF314="","",IFERROR(VLOOKUP($CE314&amp;"-"&amp;$CF314,DECODE!$E$3:$F$21,2,FALSE),"?"))</f>
        <v/>
      </c>
      <c r="CI314">
        <f>IF($CD314="","",IFERROR(VALUE(RIGHT($CD314,3)),""))</f>
        <v/>
      </c>
      <c r="CJ314">
        <f>IF($Y314="","",IFERROR(IF(ISNUMBER($Y314),$Y314,DATEVALUE(TRIM($Y314))),""))</f>
        <v/>
      </c>
      <c r="CK314">
        <f>IF($CJ314="","",IF(MONTH($CJ314)&gt;=12,"Cold Winter",IF(MONTH($CJ314)&gt;=10,"Post-Monsoon",IF(MONTH($CJ314)&gt;=6,"Hot Humid",IF(MONTH($CJ314)&gt;=3,"Hot Dry","Cold Winter")))))</f>
        <v/>
      </c>
      <c r="CL314">
        <f>IF($CE314="","",IFERROR(VLOOKUP($CE314,DECODE!$A$3:$C$8,2,FALSE),"?"))</f>
        <v/>
      </c>
      <c r="CM314">
        <f>IF($AN314="","",AN314)</f>
        <v/>
      </c>
      <c r="CN314">
        <f>IF($AO314="","",AO314)</f>
        <v/>
      </c>
      <c r="CO314">
        <f>IF($AP314="","",AP314)</f>
        <v/>
      </c>
      <c r="CP314">
        <f>IF($CM314="","",IF($CM314="Aloe Vera Gel","Aloe Vera Gel "&amp;$CO314&amp;"g",CN314&amp;" "&amp;$CO314&amp;"g"))</f>
        <v/>
      </c>
      <c r="CQ314">
        <f>IF($AT314="",0,1)</f>
        <v/>
      </c>
      <c r="CR314">
        <f>IF($CQ314=0,"",AW314)</f>
        <v/>
      </c>
      <c r="CS314">
        <f>IF($CQ314=0,"",AX314)</f>
        <v/>
      </c>
      <c r="CT314">
        <f>IF($CQ314=0,"",AY314)</f>
        <v/>
      </c>
      <c r="CU314">
        <f>IF($CR314="","",IF($CR314="Aloe Vera Gel","Aloe Vera Gel "&amp;$CT314&amp;"g",CS314&amp;" "&amp;$CT314&amp;"g"))</f>
        <v/>
      </c>
      <c r="CV314">
        <f>IF($CQ314=0,"",IF($CP314=$CU314,"Repeat Exact",IF($CT314&gt;$CO314,"Upsized",IF($CT314&lt;$CO314,"Downsized",IF($CM314&lt;&gt;$CR314,"Lateral","Same Size Diff Variant")))))</f>
        <v/>
      </c>
      <c r="CW314">
        <f>IF($CQ314=0,"",AZ314-AQ314)</f>
        <v/>
      </c>
      <c r="CX314">
        <f>IF($CQ314=0,0,IF(CS314=CN314,1,0))</f>
        <v/>
      </c>
      <c r="CY314">
        <f>IF($CQ314=0,0,IF(CR314=CM314,1,0))</f>
        <v/>
      </c>
      <c r="CZ314">
        <f>IF($A314="","",IF(AND(IF(DASHBOARD!$C$4="All",TRUE,$CM314=DASHBOARD!$C$4),IF(DASHBOARD!$C$6="All",TRUE,$CP314=DASHBOARD!$C$6),IF(DASHBOARD!$C$8="All",TRUE,$AF314&gt;=DASHBOARD!$C$8),IF(DASHBOARD!$C$10="All",TRUE,$AF314&lt;=DASHBOARD!$C$10),IF(DASHBOARD!$C$12="All",TRUE,$AH314=VALUE(DASHBOARD!$C$12)),IF(DASHBOARD!$C$14="All",TRUE,$AJ314=DASHBOARD!$C$14)),1,0))</f>
        <v/>
      </c>
    </row>
    <row r="315">
      <c r="A315" t="n">
        <v>172467</v>
      </c>
      <c r="B315" t="inlineStr">
        <is>
          <t>Face Malai</t>
        </is>
      </c>
      <c r="H315" t="inlineStr">
        <is>
          <t>Flax Carrot (Hot Humid) 35+ Face Malai - 50g</t>
        </is>
      </c>
      <c r="N315" t="inlineStr">
        <is>
          <t>FC-HHDM-FC-050</t>
        </is>
      </c>
      <c r="T315" t="inlineStr">
        <is>
          <t>Jul 15, 2024</t>
        </is>
      </c>
      <c r="AE315" t="inlineStr">
        <is>
          <t>Kolkata</t>
        </is>
      </c>
      <c r="AF315" t="inlineStr">
        <is>
          <t>2024-07</t>
        </is>
      </c>
      <c r="AG315" t="n">
        <v>7</v>
      </c>
      <c r="AH315" t="n">
        <v>1</v>
      </c>
      <c r="AI315" t="n">
        <v>0</v>
      </c>
      <c r="AJ315">
        <f>IF($AE315="","",IFERROR(VLOOKUP(TRIM($AE315),DECODE!$H$3:$I$60,2,FALSE),"Rest of India"))</f>
        <v/>
      </c>
      <c r="AK315">
        <f>IF($N315="","",UPPER(TRIM(LEFT($N315&amp;",",FIND(",",$N315&amp;",")-1))))</f>
        <v/>
      </c>
      <c r="AL315">
        <f>IF($AK315="","",MID($AK315,4,FIND("~",SUBSTITUTE($AK315,"-","~",2))-4))</f>
        <v/>
      </c>
      <c r="AM315">
        <f>IF($AK315="","",MID($AK315,FIND("~",SUBSTITUTE($AK315,"-","~",2))+1,FIND("~",SUBSTITUTE($AK315,"-","~",3))-FIND("~",SUBSTITUTE($AK315,"-","~",2))-1))</f>
        <v/>
      </c>
      <c r="AN315">
        <f>IF($AL315="","",IFERROR(VLOOKUP($AL315,DECODE!$A$3:$C$8,3,FALSE),"?"))</f>
        <v/>
      </c>
      <c r="AO315">
        <f>IF($AM315="","",IFERROR(VLOOKUP($AL315&amp;"-"&amp;$AM315,DECODE!$E$3:$F$21,2,FALSE),"?"))</f>
        <v/>
      </c>
      <c r="AP315">
        <f>IF($AK315="","",IFERROR(VALUE(RIGHT($AK315,3)),""))</f>
        <v/>
      </c>
      <c r="AQ315">
        <f>IF($T315="","",IFERROR(IF(ISNUMBER($T315),$T315,DATEVALUE(TRIM($T315))),""))</f>
        <v/>
      </c>
      <c r="AR315">
        <f>IF($AQ315="","",IF(MONTH($AQ315)&gt;=12,"Cold Winter",IF(MONTH($AQ315)&gt;=10,"Post-Monsoon",IF(MONTH($AQ315)&gt;=6,"Hot Humid",IF(MONTH($AQ315)&gt;=3,"Hot Dry","Cold Winter")))))</f>
        <v/>
      </c>
      <c r="AS315">
        <f>IF($AL315="","",IFERROR(VLOOKUP($AL315,DECODE!$A$3:$C$8,2,FALSE),"?"))</f>
        <v/>
      </c>
      <c r="AT315">
        <f>IF($O315="","",UPPER(TRIM(LEFT($O315&amp;",",FIND(",",$O315&amp;",")-1))))</f>
        <v/>
      </c>
      <c r="AU315">
        <f>IF($AT315="","",MID($AT315,4,FIND("~",SUBSTITUTE($AT315,"-","~",2))-4))</f>
        <v/>
      </c>
      <c r="AV315">
        <f>IF($AT315="","",MID($AT315,FIND("~",SUBSTITUTE($AT315,"-","~",2))+1,FIND("~",SUBSTITUTE($AT315,"-","~",3))-FIND("~",SUBSTITUTE($AT315,"-","~",2))-1))</f>
        <v/>
      </c>
      <c r="AW315">
        <f>IF($AU315="","",IFERROR(VLOOKUP($AU315,DECODE!$A$3:$C$8,3,FALSE),"?"))</f>
        <v/>
      </c>
      <c r="AX315">
        <f>IF($AV315="","",IFERROR(VLOOKUP($AU315&amp;"-"&amp;$AV315,DECODE!$E$3:$F$21,2,FALSE),"?"))</f>
        <v/>
      </c>
      <c r="AY315">
        <f>IF($AT315="","",IFERROR(VALUE(RIGHT($AT315,3)),""))</f>
        <v/>
      </c>
      <c r="AZ315">
        <f>IF($U315="","",IFERROR(IF(ISNUMBER($U315),$U315,DATEVALUE(TRIM($U315))),""))</f>
        <v/>
      </c>
      <c r="BA315">
        <f>IF($AZ315="","",IF(MONTH($AZ315)&gt;=12,"Cold Winter",IF(MONTH($AZ315)&gt;=10,"Post-Monsoon",IF(MONTH($AZ315)&gt;=6,"Hot Humid",IF(MONTH($AZ315)&gt;=3,"Hot Dry","Cold Winter")))))</f>
        <v/>
      </c>
      <c r="BB315">
        <f>IF($AU315="","",IFERROR(VLOOKUP($AU315,DECODE!$A$3:$C$8,2,FALSE),"?"))</f>
        <v/>
      </c>
      <c r="BC315">
        <f>IF($P315="","",UPPER(TRIM(LEFT($P315&amp;",",FIND(",",$P315&amp;",")-1))))</f>
        <v/>
      </c>
      <c r="BD315">
        <f>IF($BC315="","",MID($BC315,4,FIND("~",SUBSTITUTE($BC315,"-","~",2))-4))</f>
        <v/>
      </c>
      <c r="BE315">
        <f>IF($BC315="","",MID($BC315,FIND("~",SUBSTITUTE($BC315,"-","~",2))+1,FIND("~",SUBSTITUTE($BC315,"-","~",3))-FIND("~",SUBSTITUTE($BC315,"-","~",2))-1))</f>
        <v/>
      </c>
      <c r="BF315">
        <f>IF($BD315="","",IFERROR(VLOOKUP($BD315,DECODE!$A$3:$C$8,3,FALSE),"?"))</f>
        <v/>
      </c>
      <c r="BG315">
        <f>IF($BE315="","",IFERROR(VLOOKUP($BD315&amp;"-"&amp;$BE315,DECODE!$E$3:$F$21,2,FALSE),"?"))</f>
        <v/>
      </c>
      <c r="BH315">
        <f>IF($BC315="","",IFERROR(VALUE(RIGHT($BC315,3)),""))</f>
        <v/>
      </c>
      <c r="BI315">
        <f>IF($V315="","",IFERROR(IF(ISNUMBER($V315),$V315,DATEVALUE(TRIM($V315))),""))</f>
        <v/>
      </c>
      <c r="BJ315">
        <f>IF($BI315="","",IF(MONTH($BI315)&gt;=12,"Cold Winter",IF(MONTH($BI315)&gt;=10,"Post-Monsoon",IF(MONTH($BI315)&gt;=6,"Hot Humid",IF(MONTH($BI315)&gt;=3,"Hot Dry","Cold Winter")))))</f>
        <v/>
      </c>
      <c r="BK315">
        <f>IF($BD315="","",IFERROR(VLOOKUP($BD315,DECODE!$A$3:$C$8,2,FALSE),"?"))</f>
        <v/>
      </c>
      <c r="BL315">
        <f>IF($Q315="","",UPPER(TRIM(LEFT($Q315&amp;",",FIND(",",$Q315&amp;",")-1))))</f>
        <v/>
      </c>
      <c r="BM315">
        <f>IF($BL315="","",MID($BL315,4,FIND("~",SUBSTITUTE($BL315,"-","~",2))-4))</f>
        <v/>
      </c>
      <c r="BN315">
        <f>IF($BL315="","",MID($BL315,FIND("~",SUBSTITUTE($BL315,"-","~",2))+1,FIND("~",SUBSTITUTE($BL315,"-","~",3))-FIND("~",SUBSTITUTE($BL315,"-","~",2))-1))</f>
        <v/>
      </c>
      <c r="BO315">
        <f>IF($BM315="","",IFERROR(VLOOKUP($BM315,DECODE!$A$3:$C$8,3,FALSE),"?"))</f>
        <v/>
      </c>
      <c r="BP315">
        <f>IF($BN315="","",IFERROR(VLOOKUP($BM315&amp;"-"&amp;$BN315,DECODE!$E$3:$F$21,2,FALSE),"?"))</f>
        <v/>
      </c>
      <c r="BQ315">
        <f>IF($BL315="","",IFERROR(VALUE(RIGHT($BL315,3)),""))</f>
        <v/>
      </c>
      <c r="BR315">
        <f>IF($W315="","",IFERROR(IF(ISNUMBER($W315),$W315,DATEVALUE(TRIM($W315))),""))</f>
        <v/>
      </c>
      <c r="BS315">
        <f>IF($BR315="","",IF(MONTH($BR315)&gt;=12,"Cold Winter",IF(MONTH($BR315)&gt;=10,"Post-Monsoon",IF(MONTH($BR315)&gt;=6,"Hot Humid",IF(MONTH($BR315)&gt;=3,"Hot Dry","Cold Winter")))))</f>
        <v/>
      </c>
      <c r="BT315">
        <f>IF($BM315="","",IFERROR(VLOOKUP($BM315,DECODE!$A$3:$C$8,2,FALSE),"?"))</f>
        <v/>
      </c>
      <c r="BU315">
        <f>IF($R315="","",UPPER(TRIM(LEFT($R315&amp;",",FIND(",",$R315&amp;",")-1))))</f>
        <v/>
      </c>
      <c r="BV315">
        <f>IF($BU315="","",MID($BU315,4,FIND("~",SUBSTITUTE($BU315,"-","~",2))-4))</f>
        <v/>
      </c>
      <c r="BW315">
        <f>IF($BU315="","",MID($BU315,FIND("~",SUBSTITUTE($BU315,"-","~",2))+1,FIND("~",SUBSTITUTE($BU315,"-","~",3))-FIND("~",SUBSTITUTE($BU315,"-","~",2))-1))</f>
        <v/>
      </c>
      <c r="BX315">
        <f>IF($BV315="","",IFERROR(VLOOKUP($BV315,DECODE!$A$3:$C$8,3,FALSE),"?"))</f>
        <v/>
      </c>
      <c r="BY315">
        <f>IF($BW315="","",IFERROR(VLOOKUP($BV315&amp;"-"&amp;$BW315,DECODE!$E$3:$F$21,2,FALSE),"?"))</f>
        <v/>
      </c>
      <c r="BZ315">
        <f>IF($BU315="","",IFERROR(VALUE(RIGHT($BU315,3)),""))</f>
        <v/>
      </c>
      <c r="CA315">
        <f>IF($X315="","",IFERROR(IF(ISNUMBER($X315),$X315,DATEVALUE(TRIM($X315))),""))</f>
        <v/>
      </c>
      <c r="CB315">
        <f>IF($CA315="","",IF(MONTH($CA315)&gt;=12,"Cold Winter",IF(MONTH($CA315)&gt;=10,"Post-Monsoon",IF(MONTH($CA315)&gt;=6,"Hot Humid",IF(MONTH($CA315)&gt;=3,"Hot Dry","Cold Winter")))))</f>
        <v/>
      </c>
      <c r="CC315">
        <f>IF($BV315="","",IFERROR(VLOOKUP($BV315,DECODE!$A$3:$C$8,2,FALSE),"?"))</f>
        <v/>
      </c>
      <c r="CD315">
        <f>IF($S315="","",UPPER(TRIM(LEFT($S315&amp;",",FIND(",",$S315&amp;",")-1))))</f>
        <v/>
      </c>
      <c r="CE315">
        <f>IF($CD315="","",MID($CD315,4,FIND("~",SUBSTITUTE($CD315,"-","~",2))-4))</f>
        <v/>
      </c>
      <c r="CF315">
        <f>IF($CD315="","",MID($CD315,FIND("~",SUBSTITUTE($CD315,"-","~",2))+1,FIND("~",SUBSTITUTE($CD315,"-","~",3))-FIND("~",SUBSTITUTE($CD315,"-","~",2))-1))</f>
        <v/>
      </c>
      <c r="CG315">
        <f>IF($CE315="","",IFERROR(VLOOKUP($CE315,DECODE!$A$3:$C$8,3,FALSE),"?"))</f>
        <v/>
      </c>
      <c r="CH315">
        <f>IF($CF315="","",IFERROR(VLOOKUP($CE315&amp;"-"&amp;$CF315,DECODE!$E$3:$F$21,2,FALSE),"?"))</f>
        <v/>
      </c>
      <c r="CI315">
        <f>IF($CD315="","",IFERROR(VALUE(RIGHT($CD315,3)),""))</f>
        <v/>
      </c>
      <c r="CJ315">
        <f>IF($Y315="","",IFERROR(IF(ISNUMBER($Y315),$Y315,DATEVALUE(TRIM($Y315))),""))</f>
        <v/>
      </c>
      <c r="CK315">
        <f>IF($CJ315="","",IF(MONTH($CJ315)&gt;=12,"Cold Winter",IF(MONTH($CJ315)&gt;=10,"Post-Monsoon",IF(MONTH($CJ315)&gt;=6,"Hot Humid",IF(MONTH($CJ315)&gt;=3,"Hot Dry","Cold Winter")))))</f>
        <v/>
      </c>
      <c r="CL315">
        <f>IF($CE315="","",IFERROR(VLOOKUP($CE315,DECODE!$A$3:$C$8,2,FALSE),"?"))</f>
        <v/>
      </c>
      <c r="CM315">
        <f>IF($AN315="","",AN315)</f>
        <v/>
      </c>
      <c r="CN315">
        <f>IF($AO315="","",AO315)</f>
        <v/>
      </c>
      <c r="CO315">
        <f>IF($AP315="","",AP315)</f>
        <v/>
      </c>
      <c r="CP315">
        <f>IF($CM315="","",IF($CM315="Aloe Vera Gel","Aloe Vera Gel "&amp;$CO315&amp;"g",CN315&amp;" "&amp;$CO315&amp;"g"))</f>
        <v/>
      </c>
      <c r="CQ315">
        <f>IF($AT315="",0,1)</f>
        <v/>
      </c>
      <c r="CR315">
        <f>IF($CQ315=0,"",AW315)</f>
        <v/>
      </c>
      <c r="CS315">
        <f>IF($CQ315=0,"",AX315)</f>
        <v/>
      </c>
      <c r="CT315">
        <f>IF($CQ315=0,"",AY315)</f>
        <v/>
      </c>
      <c r="CU315">
        <f>IF($CR315="","",IF($CR315="Aloe Vera Gel","Aloe Vera Gel "&amp;$CT315&amp;"g",CS315&amp;" "&amp;$CT315&amp;"g"))</f>
        <v/>
      </c>
      <c r="CV315">
        <f>IF($CQ315=0,"",IF($CP315=$CU315,"Repeat Exact",IF($CT315&gt;$CO315,"Upsized",IF($CT315&lt;$CO315,"Downsized",IF($CM315&lt;&gt;$CR315,"Lateral","Same Size Diff Variant")))))</f>
        <v/>
      </c>
      <c r="CW315">
        <f>IF($CQ315=0,"",AZ315-AQ315)</f>
        <v/>
      </c>
      <c r="CX315">
        <f>IF($CQ315=0,0,IF(CS315=CN315,1,0))</f>
        <v/>
      </c>
      <c r="CY315">
        <f>IF($CQ315=0,0,IF(CR315=CM315,1,0))</f>
        <v/>
      </c>
      <c r="CZ315">
        <f>IF($A315="","",IF(AND(IF(DASHBOARD!$C$4="All",TRUE,$CM315=DASHBOARD!$C$4),IF(DASHBOARD!$C$6="All",TRUE,$CP315=DASHBOARD!$C$6),IF(DASHBOARD!$C$8="All",TRUE,$AF315&gt;=DASHBOARD!$C$8),IF(DASHBOARD!$C$10="All",TRUE,$AF315&lt;=DASHBOARD!$C$10),IF(DASHBOARD!$C$12="All",TRUE,$AH315=VALUE(DASHBOARD!$C$12)),IF(DASHBOARD!$C$14="All",TRUE,$AJ315=DASHBOARD!$C$14)),1,0))</f>
        <v/>
      </c>
    </row>
    <row r="316">
      <c r="A316" t="n">
        <v>173036</v>
      </c>
      <c r="B316" t="inlineStr">
        <is>
          <t>Active Gel</t>
        </is>
      </c>
      <c r="C316" t="inlineStr">
        <is>
          <t>Face Malai</t>
        </is>
      </c>
      <c r="H316" t="inlineStr">
        <is>
          <t>Active Beetroot Tomato Vit-A Gel</t>
        </is>
      </c>
      <c r="I316" t="inlineStr">
        <is>
          <t>Cocoa Mogra (Overnight) Face Malai - 50g</t>
        </is>
      </c>
      <c r="N316" t="inlineStr">
        <is>
          <t>FC-AC-BT-050</t>
        </is>
      </c>
      <c r="O316" t="inlineStr">
        <is>
          <t>FC-DM-NR-050</t>
        </is>
      </c>
      <c r="T316" t="inlineStr">
        <is>
          <t>Jul 27, 2024</t>
        </is>
      </c>
      <c r="U316" t="inlineStr">
        <is>
          <t>Oct 8, 2024</t>
        </is>
      </c>
      <c r="Z316" t="n">
        <v>73</v>
      </c>
      <c r="AE316" t="inlineStr">
        <is>
          <t>Koraput</t>
        </is>
      </c>
      <c r="AF316" t="inlineStr">
        <is>
          <t>2024-07</t>
        </is>
      </c>
      <c r="AG316" t="n">
        <v>7</v>
      </c>
      <c r="AH316" t="n">
        <v>2</v>
      </c>
      <c r="AI316" t="n">
        <v>1</v>
      </c>
      <c r="AJ316">
        <f>IF($AE316="","",IFERROR(VLOOKUP(TRIM($AE316),DECODE!$H$3:$I$60,2,FALSE),"Rest of India"))</f>
        <v/>
      </c>
      <c r="AK316">
        <f>IF($N316="","",UPPER(TRIM(LEFT($N316&amp;",",FIND(",",$N316&amp;",")-1))))</f>
        <v/>
      </c>
      <c r="AL316">
        <f>IF($AK316="","",MID($AK316,4,FIND("~",SUBSTITUTE($AK316,"-","~",2))-4))</f>
        <v/>
      </c>
      <c r="AM316">
        <f>IF($AK316="","",MID($AK316,FIND("~",SUBSTITUTE($AK316,"-","~",2))+1,FIND("~",SUBSTITUTE($AK316,"-","~",3))-FIND("~",SUBSTITUTE($AK316,"-","~",2))-1))</f>
        <v/>
      </c>
      <c r="AN316">
        <f>IF($AL316="","",IFERROR(VLOOKUP($AL316,DECODE!$A$3:$C$8,3,FALSE),"?"))</f>
        <v/>
      </c>
      <c r="AO316">
        <f>IF($AM316="","",IFERROR(VLOOKUP($AL316&amp;"-"&amp;$AM316,DECODE!$E$3:$F$21,2,FALSE),"?"))</f>
        <v/>
      </c>
      <c r="AP316">
        <f>IF($AK316="","",IFERROR(VALUE(RIGHT($AK316,3)),""))</f>
        <v/>
      </c>
      <c r="AQ316">
        <f>IF($T316="","",IFERROR(IF(ISNUMBER($T316),$T316,DATEVALUE(TRIM($T316))),""))</f>
        <v/>
      </c>
      <c r="AR316">
        <f>IF($AQ316="","",IF(MONTH($AQ316)&gt;=12,"Cold Winter",IF(MONTH($AQ316)&gt;=10,"Post-Monsoon",IF(MONTH($AQ316)&gt;=6,"Hot Humid",IF(MONTH($AQ316)&gt;=3,"Hot Dry","Cold Winter")))))</f>
        <v/>
      </c>
      <c r="AS316">
        <f>IF($AL316="","",IFERROR(VLOOKUP($AL316,DECODE!$A$3:$C$8,2,FALSE),"?"))</f>
        <v/>
      </c>
      <c r="AT316">
        <f>IF($O316="","",UPPER(TRIM(LEFT($O316&amp;",",FIND(",",$O316&amp;",")-1))))</f>
        <v/>
      </c>
      <c r="AU316">
        <f>IF($AT316="","",MID($AT316,4,FIND("~",SUBSTITUTE($AT316,"-","~",2))-4))</f>
        <v/>
      </c>
      <c r="AV316">
        <f>IF($AT316="","",MID($AT316,FIND("~",SUBSTITUTE($AT316,"-","~",2))+1,FIND("~",SUBSTITUTE($AT316,"-","~",3))-FIND("~",SUBSTITUTE($AT316,"-","~",2))-1))</f>
        <v/>
      </c>
      <c r="AW316">
        <f>IF($AU316="","",IFERROR(VLOOKUP($AU316,DECODE!$A$3:$C$8,3,FALSE),"?"))</f>
        <v/>
      </c>
      <c r="AX316">
        <f>IF($AV316="","",IFERROR(VLOOKUP($AU316&amp;"-"&amp;$AV316,DECODE!$E$3:$F$21,2,FALSE),"?"))</f>
        <v/>
      </c>
      <c r="AY316">
        <f>IF($AT316="","",IFERROR(VALUE(RIGHT($AT316,3)),""))</f>
        <v/>
      </c>
      <c r="AZ316">
        <f>IF($U316="","",IFERROR(IF(ISNUMBER($U316),$U316,DATEVALUE(TRIM($U316))),""))</f>
        <v/>
      </c>
      <c r="BA316">
        <f>IF($AZ316="","",IF(MONTH($AZ316)&gt;=12,"Cold Winter",IF(MONTH($AZ316)&gt;=10,"Post-Monsoon",IF(MONTH($AZ316)&gt;=6,"Hot Humid",IF(MONTH($AZ316)&gt;=3,"Hot Dry","Cold Winter")))))</f>
        <v/>
      </c>
      <c r="BB316">
        <f>IF($AU316="","",IFERROR(VLOOKUP($AU316,DECODE!$A$3:$C$8,2,FALSE),"?"))</f>
        <v/>
      </c>
      <c r="BC316">
        <f>IF($P316="","",UPPER(TRIM(LEFT($P316&amp;",",FIND(",",$P316&amp;",")-1))))</f>
        <v/>
      </c>
      <c r="BD316">
        <f>IF($BC316="","",MID($BC316,4,FIND("~",SUBSTITUTE($BC316,"-","~",2))-4))</f>
        <v/>
      </c>
      <c r="BE316">
        <f>IF($BC316="","",MID($BC316,FIND("~",SUBSTITUTE($BC316,"-","~",2))+1,FIND("~",SUBSTITUTE($BC316,"-","~",3))-FIND("~",SUBSTITUTE($BC316,"-","~",2))-1))</f>
        <v/>
      </c>
      <c r="BF316">
        <f>IF($BD316="","",IFERROR(VLOOKUP($BD316,DECODE!$A$3:$C$8,3,FALSE),"?"))</f>
        <v/>
      </c>
      <c r="BG316">
        <f>IF($BE316="","",IFERROR(VLOOKUP($BD316&amp;"-"&amp;$BE316,DECODE!$E$3:$F$21,2,FALSE),"?"))</f>
        <v/>
      </c>
      <c r="BH316">
        <f>IF($BC316="","",IFERROR(VALUE(RIGHT($BC316,3)),""))</f>
        <v/>
      </c>
      <c r="BI316">
        <f>IF($V316="","",IFERROR(IF(ISNUMBER($V316),$V316,DATEVALUE(TRIM($V316))),""))</f>
        <v/>
      </c>
      <c r="BJ316">
        <f>IF($BI316="","",IF(MONTH($BI316)&gt;=12,"Cold Winter",IF(MONTH($BI316)&gt;=10,"Post-Monsoon",IF(MONTH($BI316)&gt;=6,"Hot Humid",IF(MONTH($BI316)&gt;=3,"Hot Dry","Cold Winter")))))</f>
        <v/>
      </c>
      <c r="BK316">
        <f>IF($BD316="","",IFERROR(VLOOKUP($BD316,DECODE!$A$3:$C$8,2,FALSE),"?"))</f>
        <v/>
      </c>
      <c r="BL316">
        <f>IF($Q316="","",UPPER(TRIM(LEFT($Q316&amp;",",FIND(",",$Q316&amp;",")-1))))</f>
        <v/>
      </c>
      <c r="BM316">
        <f>IF($BL316="","",MID($BL316,4,FIND("~",SUBSTITUTE($BL316,"-","~",2))-4))</f>
        <v/>
      </c>
      <c r="BN316">
        <f>IF($BL316="","",MID($BL316,FIND("~",SUBSTITUTE($BL316,"-","~",2))+1,FIND("~",SUBSTITUTE($BL316,"-","~",3))-FIND("~",SUBSTITUTE($BL316,"-","~",2))-1))</f>
        <v/>
      </c>
      <c r="BO316">
        <f>IF($BM316="","",IFERROR(VLOOKUP($BM316,DECODE!$A$3:$C$8,3,FALSE),"?"))</f>
        <v/>
      </c>
      <c r="BP316">
        <f>IF($BN316="","",IFERROR(VLOOKUP($BM316&amp;"-"&amp;$BN316,DECODE!$E$3:$F$21,2,FALSE),"?"))</f>
        <v/>
      </c>
      <c r="BQ316">
        <f>IF($BL316="","",IFERROR(VALUE(RIGHT($BL316,3)),""))</f>
        <v/>
      </c>
      <c r="BR316">
        <f>IF($W316="","",IFERROR(IF(ISNUMBER($W316),$W316,DATEVALUE(TRIM($W316))),""))</f>
        <v/>
      </c>
      <c r="BS316">
        <f>IF($BR316="","",IF(MONTH($BR316)&gt;=12,"Cold Winter",IF(MONTH($BR316)&gt;=10,"Post-Monsoon",IF(MONTH($BR316)&gt;=6,"Hot Humid",IF(MONTH($BR316)&gt;=3,"Hot Dry","Cold Winter")))))</f>
        <v/>
      </c>
      <c r="BT316">
        <f>IF($BM316="","",IFERROR(VLOOKUP($BM316,DECODE!$A$3:$C$8,2,FALSE),"?"))</f>
        <v/>
      </c>
      <c r="BU316">
        <f>IF($R316="","",UPPER(TRIM(LEFT($R316&amp;",",FIND(",",$R316&amp;",")-1))))</f>
        <v/>
      </c>
      <c r="BV316">
        <f>IF($BU316="","",MID($BU316,4,FIND("~",SUBSTITUTE($BU316,"-","~",2))-4))</f>
        <v/>
      </c>
      <c r="BW316">
        <f>IF($BU316="","",MID($BU316,FIND("~",SUBSTITUTE($BU316,"-","~",2))+1,FIND("~",SUBSTITUTE($BU316,"-","~",3))-FIND("~",SUBSTITUTE($BU316,"-","~",2))-1))</f>
        <v/>
      </c>
      <c r="BX316">
        <f>IF($BV316="","",IFERROR(VLOOKUP($BV316,DECODE!$A$3:$C$8,3,FALSE),"?"))</f>
        <v/>
      </c>
      <c r="BY316">
        <f>IF($BW316="","",IFERROR(VLOOKUP($BV316&amp;"-"&amp;$BW316,DECODE!$E$3:$F$21,2,FALSE),"?"))</f>
        <v/>
      </c>
      <c r="BZ316">
        <f>IF($BU316="","",IFERROR(VALUE(RIGHT($BU316,3)),""))</f>
        <v/>
      </c>
      <c r="CA316">
        <f>IF($X316="","",IFERROR(IF(ISNUMBER($X316),$X316,DATEVALUE(TRIM($X316))),""))</f>
        <v/>
      </c>
      <c r="CB316">
        <f>IF($CA316="","",IF(MONTH($CA316)&gt;=12,"Cold Winter",IF(MONTH($CA316)&gt;=10,"Post-Monsoon",IF(MONTH($CA316)&gt;=6,"Hot Humid",IF(MONTH($CA316)&gt;=3,"Hot Dry","Cold Winter")))))</f>
        <v/>
      </c>
      <c r="CC316">
        <f>IF($BV316="","",IFERROR(VLOOKUP($BV316,DECODE!$A$3:$C$8,2,FALSE),"?"))</f>
        <v/>
      </c>
      <c r="CD316">
        <f>IF($S316="","",UPPER(TRIM(LEFT($S316&amp;",",FIND(",",$S316&amp;",")-1))))</f>
        <v/>
      </c>
      <c r="CE316">
        <f>IF($CD316="","",MID($CD316,4,FIND("~",SUBSTITUTE($CD316,"-","~",2))-4))</f>
        <v/>
      </c>
      <c r="CF316">
        <f>IF($CD316="","",MID($CD316,FIND("~",SUBSTITUTE($CD316,"-","~",2))+1,FIND("~",SUBSTITUTE($CD316,"-","~",3))-FIND("~",SUBSTITUTE($CD316,"-","~",2))-1))</f>
        <v/>
      </c>
      <c r="CG316">
        <f>IF($CE316="","",IFERROR(VLOOKUP($CE316,DECODE!$A$3:$C$8,3,FALSE),"?"))</f>
        <v/>
      </c>
      <c r="CH316">
        <f>IF($CF316="","",IFERROR(VLOOKUP($CE316&amp;"-"&amp;$CF316,DECODE!$E$3:$F$21,2,FALSE),"?"))</f>
        <v/>
      </c>
      <c r="CI316">
        <f>IF($CD316="","",IFERROR(VALUE(RIGHT($CD316,3)),""))</f>
        <v/>
      </c>
      <c r="CJ316">
        <f>IF($Y316="","",IFERROR(IF(ISNUMBER($Y316),$Y316,DATEVALUE(TRIM($Y316))),""))</f>
        <v/>
      </c>
      <c r="CK316">
        <f>IF($CJ316="","",IF(MONTH($CJ316)&gt;=12,"Cold Winter",IF(MONTH($CJ316)&gt;=10,"Post-Monsoon",IF(MONTH($CJ316)&gt;=6,"Hot Humid",IF(MONTH($CJ316)&gt;=3,"Hot Dry","Cold Winter")))))</f>
        <v/>
      </c>
      <c r="CL316">
        <f>IF($CE316="","",IFERROR(VLOOKUP($CE316,DECODE!$A$3:$C$8,2,FALSE),"?"))</f>
        <v/>
      </c>
      <c r="CM316">
        <f>IF($AN316="","",AN316)</f>
        <v/>
      </c>
      <c r="CN316">
        <f>IF($AO316="","",AO316)</f>
        <v/>
      </c>
      <c r="CO316">
        <f>IF($AP316="","",AP316)</f>
        <v/>
      </c>
      <c r="CP316">
        <f>IF($CM316="","",IF($CM316="Aloe Vera Gel","Aloe Vera Gel "&amp;$CO316&amp;"g",CN316&amp;" "&amp;$CO316&amp;"g"))</f>
        <v/>
      </c>
      <c r="CQ316">
        <f>IF($AT316="",0,1)</f>
        <v/>
      </c>
      <c r="CR316">
        <f>IF($CQ316=0,"",AW316)</f>
        <v/>
      </c>
      <c r="CS316">
        <f>IF($CQ316=0,"",AX316)</f>
        <v/>
      </c>
      <c r="CT316">
        <f>IF($CQ316=0,"",AY316)</f>
        <v/>
      </c>
      <c r="CU316">
        <f>IF($CR316="","",IF($CR316="Aloe Vera Gel","Aloe Vera Gel "&amp;$CT316&amp;"g",CS316&amp;" "&amp;$CT316&amp;"g"))</f>
        <v/>
      </c>
      <c r="CV316">
        <f>IF($CQ316=0,"",IF($CP316=$CU316,"Repeat Exact",IF($CT316&gt;$CO316,"Upsized",IF($CT316&lt;$CO316,"Downsized",IF($CM316&lt;&gt;$CR316,"Lateral","Same Size Diff Variant")))))</f>
        <v/>
      </c>
      <c r="CW316">
        <f>IF($CQ316=0,"",AZ316-AQ316)</f>
        <v/>
      </c>
      <c r="CX316">
        <f>IF($CQ316=0,0,IF(CS316=CN316,1,0))</f>
        <v/>
      </c>
      <c r="CY316">
        <f>IF($CQ316=0,0,IF(CR316=CM316,1,0))</f>
        <v/>
      </c>
      <c r="CZ316">
        <f>IF($A316="","",IF(AND(IF(DASHBOARD!$C$4="All",TRUE,$CM316=DASHBOARD!$C$4),IF(DASHBOARD!$C$6="All",TRUE,$CP316=DASHBOARD!$C$6),IF(DASHBOARD!$C$8="All",TRUE,$AF316&gt;=DASHBOARD!$C$8),IF(DASHBOARD!$C$10="All",TRUE,$AF316&lt;=DASHBOARD!$C$10),IF(DASHBOARD!$C$12="All",TRUE,$AH316=VALUE(DASHBOARD!$C$12)),IF(DASHBOARD!$C$14="All",TRUE,$AJ316=DASHBOARD!$C$14)),1,0))</f>
        <v/>
      </c>
    </row>
    <row r="317">
      <c r="A317" t="n">
        <v>173346</v>
      </c>
      <c r="B317" t="inlineStr">
        <is>
          <t>Active Gel</t>
        </is>
      </c>
      <c r="H317" t="inlineStr">
        <is>
          <t>Active Orange Kiwi Vit-C Gel</t>
        </is>
      </c>
      <c r="N317" t="inlineStr">
        <is>
          <t>FC-AC-OK-050</t>
        </is>
      </c>
      <c r="T317" t="inlineStr">
        <is>
          <t>Nov 17, 2024</t>
        </is>
      </c>
      <c r="AE317" t="inlineStr">
        <is>
          <t>Mumbai</t>
        </is>
      </c>
      <c r="AF317" t="inlineStr">
        <is>
          <t>2024-11</t>
        </is>
      </c>
      <c r="AG317" t="n">
        <v>11</v>
      </c>
      <c r="AH317" t="n">
        <v>1</v>
      </c>
      <c r="AI317" t="n">
        <v>0</v>
      </c>
      <c r="AJ317">
        <f>IF($AE317="","",IFERROR(VLOOKUP(TRIM($AE317),DECODE!$H$3:$I$60,2,FALSE),"Rest of India"))</f>
        <v/>
      </c>
      <c r="AK317">
        <f>IF($N317="","",UPPER(TRIM(LEFT($N317&amp;",",FIND(",",$N317&amp;",")-1))))</f>
        <v/>
      </c>
      <c r="AL317">
        <f>IF($AK317="","",MID($AK317,4,FIND("~",SUBSTITUTE($AK317,"-","~",2))-4))</f>
        <v/>
      </c>
      <c r="AM317">
        <f>IF($AK317="","",MID($AK317,FIND("~",SUBSTITUTE($AK317,"-","~",2))+1,FIND("~",SUBSTITUTE($AK317,"-","~",3))-FIND("~",SUBSTITUTE($AK317,"-","~",2))-1))</f>
        <v/>
      </c>
      <c r="AN317">
        <f>IF($AL317="","",IFERROR(VLOOKUP($AL317,DECODE!$A$3:$C$8,3,FALSE),"?"))</f>
        <v/>
      </c>
      <c r="AO317">
        <f>IF($AM317="","",IFERROR(VLOOKUP($AL317&amp;"-"&amp;$AM317,DECODE!$E$3:$F$21,2,FALSE),"?"))</f>
        <v/>
      </c>
      <c r="AP317">
        <f>IF($AK317="","",IFERROR(VALUE(RIGHT($AK317,3)),""))</f>
        <v/>
      </c>
      <c r="AQ317">
        <f>IF($T317="","",IFERROR(IF(ISNUMBER($T317),$T317,DATEVALUE(TRIM($T317))),""))</f>
        <v/>
      </c>
      <c r="AR317">
        <f>IF($AQ317="","",IF(MONTH($AQ317)&gt;=12,"Cold Winter",IF(MONTH($AQ317)&gt;=10,"Post-Monsoon",IF(MONTH($AQ317)&gt;=6,"Hot Humid",IF(MONTH($AQ317)&gt;=3,"Hot Dry","Cold Winter")))))</f>
        <v/>
      </c>
      <c r="AS317">
        <f>IF($AL317="","",IFERROR(VLOOKUP($AL317,DECODE!$A$3:$C$8,2,FALSE),"?"))</f>
        <v/>
      </c>
      <c r="AT317">
        <f>IF($O317="","",UPPER(TRIM(LEFT($O317&amp;",",FIND(",",$O317&amp;",")-1))))</f>
        <v/>
      </c>
      <c r="AU317">
        <f>IF($AT317="","",MID($AT317,4,FIND("~",SUBSTITUTE($AT317,"-","~",2))-4))</f>
        <v/>
      </c>
      <c r="AV317">
        <f>IF($AT317="","",MID($AT317,FIND("~",SUBSTITUTE($AT317,"-","~",2))+1,FIND("~",SUBSTITUTE($AT317,"-","~",3))-FIND("~",SUBSTITUTE($AT317,"-","~",2))-1))</f>
        <v/>
      </c>
      <c r="AW317">
        <f>IF($AU317="","",IFERROR(VLOOKUP($AU317,DECODE!$A$3:$C$8,3,FALSE),"?"))</f>
        <v/>
      </c>
      <c r="AX317">
        <f>IF($AV317="","",IFERROR(VLOOKUP($AU317&amp;"-"&amp;$AV317,DECODE!$E$3:$F$21,2,FALSE),"?"))</f>
        <v/>
      </c>
      <c r="AY317">
        <f>IF($AT317="","",IFERROR(VALUE(RIGHT($AT317,3)),""))</f>
        <v/>
      </c>
      <c r="AZ317">
        <f>IF($U317="","",IFERROR(IF(ISNUMBER($U317),$U317,DATEVALUE(TRIM($U317))),""))</f>
        <v/>
      </c>
      <c r="BA317">
        <f>IF($AZ317="","",IF(MONTH($AZ317)&gt;=12,"Cold Winter",IF(MONTH($AZ317)&gt;=10,"Post-Monsoon",IF(MONTH($AZ317)&gt;=6,"Hot Humid",IF(MONTH($AZ317)&gt;=3,"Hot Dry","Cold Winter")))))</f>
        <v/>
      </c>
      <c r="BB317">
        <f>IF($AU317="","",IFERROR(VLOOKUP($AU317,DECODE!$A$3:$C$8,2,FALSE),"?"))</f>
        <v/>
      </c>
      <c r="BC317">
        <f>IF($P317="","",UPPER(TRIM(LEFT($P317&amp;",",FIND(",",$P317&amp;",")-1))))</f>
        <v/>
      </c>
      <c r="BD317">
        <f>IF($BC317="","",MID($BC317,4,FIND("~",SUBSTITUTE($BC317,"-","~",2))-4))</f>
        <v/>
      </c>
      <c r="BE317">
        <f>IF($BC317="","",MID($BC317,FIND("~",SUBSTITUTE($BC317,"-","~",2))+1,FIND("~",SUBSTITUTE($BC317,"-","~",3))-FIND("~",SUBSTITUTE($BC317,"-","~",2))-1))</f>
        <v/>
      </c>
      <c r="BF317">
        <f>IF($BD317="","",IFERROR(VLOOKUP($BD317,DECODE!$A$3:$C$8,3,FALSE),"?"))</f>
        <v/>
      </c>
      <c r="BG317">
        <f>IF($BE317="","",IFERROR(VLOOKUP($BD317&amp;"-"&amp;$BE317,DECODE!$E$3:$F$21,2,FALSE),"?"))</f>
        <v/>
      </c>
      <c r="BH317">
        <f>IF($BC317="","",IFERROR(VALUE(RIGHT($BC317,3)),""))</f>
        <v/>
      </c>
      <c r="BI317">
        <f>IF($V317="","",IFERROR(IF(ISNUMBER($V317),$V317,DATEVALUE(TRIM($V317))),""))</f>
        <v/>
      </c>
      <c r="BJ317">
        <f>IF($BI317="","",IF(MONTH($BI317)&gt;=12,"Cold Winter",IF(MONTH($BI317)&gt;=10,"Post-Monsoon",IF(MONTH($BI317)&gt;=6,"Hot Humid",IF(MONTH($BI317)&gt;=3,"Hot Dry","Cold Winter")))))</f>
        <v/>
      </c>
      <c r="BK317">
        <f>IF($BD317="","",IFERROR(VLOOKUP($BD317,DECODE!$A$3:$C$8,2,FALSE),"?"))</f>
        <v/>
      </c>
      <c r="BL317">
        <f>IF($Q317="","",UPPER(TRIM(LEFT($Q317&amp;",",FIND(",",$Q317&amp;",")-1))))</f>
        <v/>
      </c>
      <c r="BM317">
        <f>IF($BL317="","",MID($BL317,4,FIND("~",SUBSTITUTE($BL317,"-","~",2))-4))</f>
        <v/>
      </c>
      <c r="BN317">
        <f>IF($BL317="","",MID($BL317,FIND("~",SUBSTITUTE($BL317,"-","~",2))+1,FIND("~",SUBSTITUTE($BL317,"-","~",3))-FIND("~",SUBSTITUTE($BL317,"-","~",2))-1))</f>
        <v/>
      </c>
      <c r="BO317">
        <f>IF($BM317="","",IFERROR(VLOOKUP($BM317,DECODE!$A$3:$C$8,3,FALSE),"?"))</f>
        <v/>
      </c>
      <c r="BP317">
        <f>IF($BN317="","",IFERROR(VLOOKUP($BM317&amp;"-"&amp;$BN317,DECODE!$E$3:$F$21,2,FALSE),"?"))</f>
        <v/>
      </c>
      <c r="BQ317">
        <f>IF($BL317="","",IFERROR(VALUE(RIGHT($BL317,3)),""))</f>
        <v/>
      </c>
      <c r="BR317">
        <f>IF($W317="","",IFERROR(IF(ISNUMBER($W317),$W317,DATEVALUE(TRIM($W317))),""))</f>
        <v/>
      </c>
      <c r="BS317">
        <f>IF($BR317="","",IF(MONTH($BR317)&gt;=12,"Cold Winter",IF(MONTH($BR317)&gt;=10,"Post-Monsoon",IF(MONTH($BR317)&gt;=6,"Hot Humid",IF(MONTH($BR317)&gt;=3,"Hot Dry","Cold Winter")))))</f>
        <v/>
      </c>
      <c r="BT317">
        <f>IF($BM317="","",IFERROR(VLOOKUP($BM317,DECODE!$A$3:$C$8,2,FALSE),"?"))</f>
        <v/>
      </c>
      <c r="BU317">
        <f>IF($R317="","",UPPER(TRIM(LEFT($R317&amp;",",FIND(",",$R317&amp;",")-1))))</f>
        <v/>
      </c>
      <c r="BV317">
        <f>IF($BU317="","",MID($BU317,4,FIND("~",SUBSTITUTE($BU317,"-","~",2))-4))</f>
        <v/>
      </c>
      <c r="BW317">
        <f>IF($BU317="","",MID($BU317,FIND("~",SUBSTITUTE($BU317,"-","~",2))+1,FIND("~",SUBSTITUTE($BU317,"-","~",3))-FIND("~",SUBSTITUTE($BU317,"-","~",2))-1))</f>
        <v/>
      </c>
      <c r="BX317">
        <f>IF($BV317="","",IFERROR(VLOOKUP($BV317,DECODE!$A$3:$C$8,3,FALSE),"?"))</f>
        <v/>
      </c>
      <c r="BY317">
        <f>IF($BW317="","",IFERROR(VLOOKUP($BV317&amp;"-"&amp;$BW317,DECODE!$E$3:$F$21,2,FALSE),"?"))</f>
        <v/>
      </c>
      <c r="BZ317">
        <f>IF($BU317="","",IFERROR(VALUE(RIGHT($BU317,3)),""))</f>
        <v/>
      </c>
      <c r="CA317">
        <f>IF($X317="","",IFERROR(IF(ISNUMBER($X317),$X317,DATEVALUE(TRIM($X317))),""))</f>
        <v/>
      </c>
      <c r="CB317">
        <f>IF($CA317="","",IF(MONTH($CA317)&gt;=12,"Cold Winter",IF(MONTH($CA317)&gt;=10,"Post-Monsoon",IF(MONTH($CA317)&gt;=6,"Hot Humid",IF(MONTH($CA317)&gt;=3,"Hot Dry","Cold Winter")))))</f>
        <v/>
      </c>
      <c r="CC317">
        <f>IF($BV317="","",IFERROR(VLOOKUP($BV317,DECODE!$A$3:$C$8,2,FALSE),"?"))</f>
        <v/>
      </c>
      <c r="CD317">
        <f>IF($S317="","",UPPER(TRIM(LEFT($S317&amp;",",FIND(",",$S317&amp;",")-1))))</f>
        <v/>
      </c>
      <c r="CE317">
        <f>IF($CD317="","",MID($CD317,4,FIND("~",SUBSTITUTE($CD317,"-","~",2))-4))</f>
        <v/>
      </c>
      <c r="CF317">
        <f>IF($CD317="","",MID($CD317,FIND("~",SUBSTITUTE($CD317,"-","~",2))+1,FIND("~",SUBSTITUTE($CD317,"-","~",3))-FIND("~",SUBSTITUTE($CD317,"-","~",2))-1))</f>
        <v/>
      </c>
      <c r="CG317">
        <f>IF($CE317="","",IFERROR(VLOOKUP($CE317,DECODE!$A$3:$C$8,3,FALSE),"?"))</f>
        <v/>
      </c>
      <c r="CH317">
        <f>IF($CF317="","",IFERROR(VLOOKUP($CE317&amp;"-"&amp;$CF317,DECODE!$E$3:$F$21,2,FALSE),"?"))</f>
        <v/>
      </c>
      <c r="CI317">
        <f>IF($CD317="","",IFERROR(VALUE(RIGHT($CD317,3)),""))</f>
        <v/>
      </c>
      <c r="CJ317">
        <f>IF($Y317="","",IFERROR(IF(ISNUMBER($Y317),$Y317,DATEVALUE(TRIM($Y317))),""))</f>
        <v/>
      </c>
      <c r="CK317">
        <f>IF($CJ317="","",IF(MONTH($CJ317)&gt;=12,"Cold Winter",IF(MONTH($CJ317)&gt;=10,"Post-Monsoon",IF(MONTH($CJ317)&gt;=6,"Hot Humid",IF(MONTH($CJ317)&gt;=3,"Hot Dry","Cold Winter")))))</f>
        <v/>
      </c>
      <c r="CL317">
        <f>IF($CE317="","",IFERROR(VLOOKUP($CE317,DECODE!$A$3:$C$8,2,FALSE),"?"))</f>
        <v/>
      </c>
      <c r="CM317">
        <f>IF($AN317="","",AN317)</f>
        <v/>
      </c>
      <c r="CN317">
        <f>IF($AO317="","",AO317)</f>
        <v/>
      </c>
      <c r="CO317">
        <f>IF($AP317="","",AP317)</f>
        <v/>
      </c>
      <c r="CP317">
        <f>IF($CM317="","",IF($CM317="Aloe Vera Gel","Aloe Vera Gel "&amp;$CO317&amp;"g",CN317&amp;" "&amp;$CO317&amp;"g"))</f>
        <v/>
      </c>
      <c r="CQ317">
        <f>IF($AT317="",0,1)</f>
        <v/>
      </c>
      <c r="CR317">
        <f>IF($CQ317=0,"",AW317)</f>
        <v/>
      </c>
      <c r="CS317">
        <f>IF($CQ317=0,"",AX317)</f>
        <v/>
      </c>
      <c r="CT317">
        <f>IF($CQ317=0,"",AY317)</f>
        <v/>
      </c>
      <c r="CU317">
        <f>IF($CR317="","",IF($CR317="Aloe Vera Gel","Aloe Vera Gel "&amp;$CT317&amp;"g",CS317&amp;" "&amp;$CT317&amp;"g"))</f>
        <v/>
      </c>
      <c r="CV317">
        <f>IF($CQ317=0,"",IF($CP317=$CU317,"Repeat Exact",IF($CT317&gt;$CO317,"Upsized",IF($CT317&lt;$CO317,"Downsized",IF($CM317&lt;&gt;$CR317,"Lateral","Same Size Diff Variant")))))</f>
        <v/>
      </c>
      <c r="CW317">
        <f>IF($CQ317=0,"",AZ317-AQ317)</f>
        <v/>
      </c>
      <c r="CX317">
        <f>IF($CQ317=0,0,IF(CS317=CN317,1,0))</f>
        <v/>
      </c>
      <c r="CY317">
        <f>IF($CQ317=0,0,IF(CR317=CM317,1,0))</f>
        <v/>
      </c>
      <c r="CZ317">
        <f>IF($A317="","",IF(AND(IF(DASHBOARD!$C$4="All",TRUE,$CM317=DASHBOARD!$C$4),IF(DASHBOARD!$C$6="All",TRUE,$CP317=DASHBOARD!$C$6),IF(DASHBOARD!$C$8="All",TRUE,$AF317&gt;=DASHBOARD!$C$8),IF(DASHBOARD!$C$10="All",TRUE,$AF317&lt;=DASHBOARD!$C$10),IF(DASHBOARD!$C$12="All",TRUE,$AH317=VALUE(DASHBOARD!$C$12)),IF(DASHBOARD!$C$14="All",TRUE,$AJ317=DASHBOARD!$C$14)),1,0))</f>
        <v/>
      </c>
    </row>
    <row r="318">
      <c r="A318" t="n">
        <v>173695</v>
      </c>
      <c r="B318" t="inlineStr">
        <is>
          <t>Face Malai</t>
        </is>
      </c>
      <c r="C318" t="inlineStr">
        <is>
          <t>Face Malai</t>
        </is>
      </c>
      <c r="H318" t="inlineStr">
        <is>
          <t>Tomato Vetiver (Hot Humid) 20 - 35 Yrs Face Malai</t>
        </is>
      </c>
      <c r="I318" t="inlineStr">
        <is>
          <t>Cocoa Mogra (Overnight) Face Malai - 30g</t>
        </is>
      </c>
      <c r="N318" t="inlineStr">
        <is>
          <t>FC-HHDM-TV-030</t>
        </is>
      </c>
      <c r="O318" t="inlineStr">
        <is>
          <t>FC-DM-NR-030</t>
        </is>
      </c>
      <c r="T318" t="inlineStr">
        <is>
          <t>Sep 9, 2024</t>
        </is>
      </c>
      <c r="U318" t="inlineStr">
        <is>
          <t>Sep 15, 2024</t>
        </is>
      </c>
      <c r="Z318" t="n">
        <v>6</v>
      </c>
      <c r="AE318" t="inlineStr">
        <is>
          <t>Tirupattur</t>
        </is>
      </c>
      <c r="AF318" t="inlineStr">
        <is>
          <t>2024-09</t>
        </is>
      </c>
      <c r="AG318" t="n">
        <v>9</v>
      </c>
      <c r="AH318" t="n">
        <v>2</v>
      </c>
      <c r="AI318" t="n">
        <v>1</v>
      </c>
      <c r="AJ318">
        <f>IF($AE318="","",IFERROR(VLOOKUP(TRIM($AE318),DECODE!$H$3:$I$60,2,FALSE),"Rest of India"))</f>
        <v/>
      </c>
      <c r="AK318">
        <f>IF($N318="","",UPPER(TRIM(LEFT($N318&amp;",",FIND(",",$N318&amp;",")-1))))</f>
        <v/>
      </c>
      <c r="AL318">
        <f>IF($AK318="","",MID($AK318,4,FIND("~",SUBSTITUTE($AK318,"-","~",2))-4))</f>
        <v/>
      </c>
      <c r="AM318">
        <f>IF($AK318="","",MID($AK318,FIND("~",SUBSTITUTE($AK318,"-","~",2))+1,FIND("~",SUBSTITUTE($AK318,"-","~",3))-FIND("~",SUBSTITUTE($AK318,"-","~",2))-1))</f>
        <v/>
      </c>
      <c r="AN318">
        <f>IF($AL318="","",IFERROR(VLOOKUP($AL318,DECODE!$A$3:$C$8,3,FALSE),"?"))</f>
        <v/>
      </c>
      <c r="AO318">
        <f>IF($AM318="","",IFERROR(VLOOKUP($AL318&amp;"-"&amp;$AM318,DECODE!$E$3:$F$21,2,FALSE),"?"))</f>
        <v/>
      </c>
      <c r="AP318">
        <f>IF($AK318="","",IFERROR(VALUE(RIGHT($AK318,3)),""))</f>
        <v/>
      </c>
      <c r="AQ318">
        <f>IF($T318="","",IFERROR(IF(ISNUMBER($T318),$T318,DATEVALUE(TRIM($T318))),""))</f>
        <v/>
      </c>
      <c r="AR318">
        <f>IF($AQ318="","",IF(MONTH($AQ318)&gt;=12,"Cold Winter",IF(MONTH($AQ318)&gt;=10,"Post-Monsoon",IF(MONTH($AQ318)&gt;=6,"Hot Humid",IF(MONTH($AQ318)&gt;=3,"Hot Dry","Cold Winter")))))</f>
        <v/>
      </c>
      <c r="AS318">
        <f>IF($AL318="","",IFERROR(VLOOKUP($AL318,DECODE!$A$3:$C$8,2,FALSE),"?"))</f>
        <v/>
      </c>
      <c r="AT318">
        <f>IF($O318="","",UPPER(TRIM(LEFT($O318&amp;",",FIND(",",$O318&amp;",")-1))))</f>
        <v/>
      </c>
      <c r="AU318">
        <f>IF($AT318="","",MID($AT318,4,FIND("~",SUBSTITUTE($AT318,"-","~",2))-4))</f>
        <v/>
      </c>
      <c r="AV318">
        <f>IF($AT318="","",MID($AT318,FIND("~",SUBSTITUTE($AT318,"-","~",2))+1,FIND("~",SUBSTITUTE($AT318,"-","~",3))-FIND("~",SUBSTITUTE($AT318,"-","~",2))-1))</f>
        <v/>
      </c>
      <c r="AW318">
        <f>IF($AU318="","",IFERROR(VLOOKUP($AU318,DECODE!$A$3:$C$8,3,FALSE),"?"))</f>
        <v/>
      </c>
      <c r="AX318">
        <f>IF($AV318="","",IFERROR(VLOOKUP($AU318&amp;"-"&amp;$AV318,DECODE!$E$3:$F$21,2,FALSE),"?"))</f>
        <v/>
      </c>
      <c r="AY318">
        <f>IF($AT318="","",IFERROR(VALUE(RIGHT($AT318,3)),""))</f>
        <v/>
      </c>
      <c r="AZ318">
        <f>IF($U318="","",IFERROR(IF(ISNUMBER($U318),$U318,DATEVALUE(TRIM($U318))),""))</f>
        <v/>
      </c>
      <c r="BA318">
        <f>IF($AZ318="","",IF(MONTH($AZ318)&gt;=12,"Cold Winter",IF(MONTH($AZ318)&gt;=10,"Post-Monsoon",IF(MONTH($AZ318)&gt;=6,"Hot Humid",IF(MONTH($AZ318)&gt;=3,"Hot Dry","Cold Winter")))))</f>
        <v/>
      </c>
      <c r="BB318">
        <f>IF($AU318="","",IFERROR(VLOOKUP($AU318,DECODE!$A$3:$C$8,2,FALSE),"?"))</f>
        <v/>
      </c>
      <c r="BC318">
        <f>IF($P318="","",UPPER(TRIM(LEFT($P318&amp;",",FIND(",",$P318&amp;",")-1))))</f>
        <v/>
      </c>
      <c r="BD318">
        <f>IF($BC318="","",MID($BC318,4,FIND("~",SUBSTITUTE($BC318,"-","~",2))-4))</f>
        <v/>
      </c>
      <c r="BE318">
        <f>IF($BC318="","",MID($BC318,FIND("~",SUBSTITUTE($BC318,"-","~",2))+1,FIND("~",SUBSTITUTE($BC318,"-","~",3))-FIND("~",SUBSTITUTE($BC318,"-","~",2))-1))</f>
        <v/>
      </c>
      <c r="BF318">
        <f>IF($BD318="","",IFERROR(VLOOKUP($BD318,DECODE!$A$3:$C$8,3,FALSE),"?"))</f>
        <v/>
      </c>
      <c r="BG318">
        <f>IF($BE318="","",IFERROR(VLOOKUP($BD318&amp;"-"&amp;$BE318,DECODE!$E$3:$F$21,2,FALSE),"?"))</f>
        <v/>
      </c>
      <c r="BH318">
        <f>IF($BC318="","",IFERROR(VALUE(RIGHT($BC318,3)),""))</f>
        <v/>
      </c>
      <c r="BI318">
        <f>IF($V318="","",IFERROR(IF(ISNUMBER($V318),$V318,DATEVALUE(TRIM($V318))),""))</f>
        <v/>
      </c>
      <c r="BJ318">
        <f>IF($BI318="","",IF(MONTH($BI318)&gt;=12,"Cold Winter",IF(MONTH($BI318)&gt;=10,"Post-Monsoon",IF(MONTH($BI318)&gt;=6,"Hot Humid",IF(MONTH($BI318)&gt;=3,"Hot Dry","Cold Winter")))))</f>
        <v/>
      </c>
      <c r="BK318">
        <f>IF($BD318="","",IFERROR(VLOOKUP($BD318,DECODE!$A$3:$C$8,2,FALSE),"?"))</f>
        <v/>
      </c>
      <c r="BL318">
        <f>IF($Q318="","",UPPER(TRIM(LEFT($Q318&amp;",",FIND(",",$Q318&amp;",")-1))))</f>
        <v/>
      </c>
      <c r="BM318">
        <f>IF($BL318="","",MID($BL318,4,FIND("~",SUBSTITUTE($BL318,"-","~",2))-4))</f>
        <v/>
      </c>
      <c r="BN318">
        <f>IF($BL318="","",MID($BL318,FIND("~",SUBSTITUTE($BL318,"-","~",2))+1,FIND("~",SUBSTITUTE($BL318,"-","~",3))-FIND("~",SUBSTITUTE($BL318,"-","~",2))-1))</f>
        <v/>
      </c>
      <c r="BO318">
        <f>IF($BM318="","",IFERROR(VLOOKUP($BM318,DECODE!$A$3:$C$8,3,FALSE),"?"))</f>
        <v/>
      </c>
      <c r="BP318">
        <f>IF($BN318="","",IFERROR(VLOOKUP($BM318&amp;"-"&amp;$BN318,DECODE!$E$3:$F$21,2,FALSE),"?"))</f>
        <v/>
      </c>
      <c r="BQ318">
        <f>IF($BL318="","",IFERROR(VALUE(RIGHT($BL318,3)),""))</f>
        <v/>
      </c>
      <c r="BR318">
        <f>IF($W318="","",IFERROR(IF(ISNUMBER($W318),$W318,DATEVALUE(TRIM($W318))),""))</f>
        <v/>
      </c>
      <c r="BS318">
        <f>IF($BR318="","",IF(MONTH($BR318)&gt;=12,"Cold Winter",IF(MONTH($BR318)&gt;=10,"Post-Monsoon",IF(MONTH($BR318)&gt;=6,"Hot Humid",IF(MONTH($BR318)&gt;=3,"Hot Dry","Cold Winter")))))</f>
        <v/>
      </c>
      <c r="BT318">
        <f>IF($BM318="","",IFERROR(VLOOKUP($BM318,DECODE!$A$3:$C$8,2,FALSE),"?"))</f>
        <v/>
      </c>
      <c r="BU318">
        <f>IF($R318="","",UPPER(TRIM(LEFT($R318&amp;",",FIND(",",$R318&amp;",")-1))))</f>
        <v/>
      </c>
      <c r="BV318">
        <f>IF($BU318="","",MID($BU318,4,FIND("~",SUBSTITUTE($BU318,"-","~",2))-4))</f>
        <v/>
      </c>
      <c r="BW318">
        <f>IF($BU318="","",MID($BU318,FIND("~",SUBSTITUTE($BU318,"-","~",2))+1,FIND("~",SUBSTITUTE($BU318,"-","~",3))-FIND("~",SUBSTITUTE($BU318,"-","~",2))-1))</f>
        <v/>
      </c>
      <c r="BX318">
        <f>IF($BV318="","",IFERROR(VLOOKUP($BV318,DECODE!$A$3:$C$8,3,FALSE),"?"))</f>
        <v/>
      </c>
      <c r="BY318">
        <f>IF($BW318="","",IFERROR(VLOOKUP($BV318&amp;"-"&amp;$BW318,DECODE!$E$3:$F$21,2,FALSE),"?"))</f>
        <v/>
      </c>
      <c r="BZ318">
        <f>IF($BU318="","",IFERROR(VALUE(RIGHT($BU318,3)),""))</f>
        <v/>
      </c>
      <c r="CA318">
        <f>IF($X318="","",IFERROR(IF(ISNUMBER($X318),$X318,DATEVALUE(TRIM($X318))),""))</f>
        <v/>
      </c>
      <c r="CB318">
        <f>IF($CA318="","",IF(MONTH($CA318)&gt;=12,"Cold Winter",IF(MONTH($CA318)&gt;=10,"Post-Monsoon",IF(MONTH($CA318)&gt;=6,"Hot Humid",IF(MONTH($CA318)&gt;=3,"Hot Dry","Cold Winter")))))</f>
        <v/>
      </c>
      <c r="CC318">
        <f>IF($BV318="","",IFERROR(VLOOKUP($BV318,DECODE!$A$3:$C$8,2,FALSE),"?"))</f>
        <v/>
      </c>
      <c r="CD318">
        <f>IF($S318="","",UPPER(TRIM(LEFT($S318&amp;",",FIND(",",$S318&amp;",")-1))))</f>
        <v/>
      </c>
      <c r="CE318">
        <f>IF($CD318="","",MID($CD318,4,FIND("~",SUBSTITUTE($CD318,"-","~",2))-4))</f>
        <v/>
      </c>
      <c r="CF318">
        <f>IF($CD318="","",MID($CD318,FIND("~",SUBSTITUTE($CD318,"-","~",2))+1,FIND("~",SUBSTITUTE($CD318,"-","~",3))-FIND("~",SUBSTITUTE($CD318,"-","~",2))-1))</f>
        <v/>
      </c>
      <c r="CG318">
        <f>IF($CE318="","",IFERROR(VLOOKUP($CE318,DECODE!$A$3:$C$8,3,FALSE),"?"))</f>
        <v/>
      </c>
      <c r="CH318">
        <f>IF($CF318="","",IFERROR(VLOOKUP($CE318&amp;"-"&amp;$CF318,DECODE!$E$3:$F$21,2,FALSE),"?"))</f>
        <v/>
      </c>
      <c r="CI318">
        <f>IF($CD318="","",IFERROR(VALUE(RIGHT($CD318,3)),""))</f>
        <v/>
      </c>
      <c r="CJ318">
        <f>IF($Y318="","",IFERROR(IF(ISNUMBER($Y318),$Y318,DATEVALUE(TRIM($Y318))),""))</f>
        <v/>
      </c>
      <c r="CK318">
        <f>IF($CJ318="","",IF(MONTH($CJ318)&gt;=12,"Cold Winter",IF(MONTH($CJ318)&gt;=10,"Post-Monsoon",IF(MONTH($CJ318)&gt;=6,"Hot Humid",IF(MONTH($CJ318)&gt;=3,"Hot Dry","Cold Winter")))))</f>
        <v/>
      </c>
      <c r="CL318">
        <f>IF($CE318="","",IFERROR(VLOOKUP($CE318,DECODE!$A$3:$C$8,2,FALSE),"?"))</f>
        <v/>
      </c>
      <c r="CM318">
        <f>IF($AN318="","",AN318)</f>
        <v/>
      </c>
      <c r="CN318">
        <f>IF($AO318="","",AO318)</f>
        <v/>
      </c>
      <c r="CO318">
        <f>IF($AP318="","",AP318)</f>
        <v/>
      </c>
      <c r="CP318">
        <f>IF($CM318="","",IF($CM318="Aloe Vera Gel","Aloe Vera Gel "&amp;$CO318&amp;"g",CN318&amp;" "&amp;$CO318&amp;"g"))</f>
        <v/>
      </c>
      <c r="CQ318">
        <f>IF($AT318="",0,1)</f>
        <v/>
      </c>
      <c r="CR318">
        <f>IF($CQ318=0,"",AW318)</f>
        <v/>
      </c>
      <c r="CS318">
        <f>IF($CQ318=0,"",AX318)</f>
        <v/>
      </c>
      <c r="CT318">
        <f>IF($CQ318=0,"",AY318)</f>
        <v/>
      </c>
      <c r="CU318">
        <f>IF($CR318="","",IF($CR318="Aloe Vera Gel","Aloe Vera Gel "&amp;$CT318&amp;"g",CS318&amp;" "&amp;$CT318&amp;"g"))</f>
        <v/>
      </c>
      <c r="CV318">
        <f>IF($CQ318=0,"",IF($CP318=$CU318,"Repeat Exact",IF($CT318&gt;$CO318,"Upsized",IF($CT318&lt;$CO318,"Downsized",IF($CM318&lt;&gt;$CR318,"Lateral","Same Size Diff Variant")))))</f>
        <v/>
      </c>
      <c r="CW318">
        <f>IF($CQ318=0,"",AZ318-AQ318)</f>
        <v/>
      </c>
      <c r="CX318">
        <f>IF($CQ318=0,0,IF(CS318=CN318,1,0))</f>
        <v/>
      </c>
      <c r="CY318">
        <f>IF($CQ318=0,0,IF(CR318=CM318,1,0))</f>
        <v/>
      </c>
      <c r="CZ318">
        <f>IF($A318="","",IF(AND(IF(DASHBOARD!$C$4="All",TRUE,$CM318=DASHBOARD!$C$4),IF(DASHBOARD!$C$6="All",TRUE,$CP318=DASHBOARD!$C$6),IF(DASHBOARD!$C$8="All",TRUE,$AF318&gt;=DASHBOARD!$C$8),IF(DASHBOARD!$C$10="All",TRUE,$AF318&lt;=DASHBOARD!$C$10),IF(DASHBOARD!$C$12="All",TRUE,$AH318=VALUE(DASHBOARD!$C$12)),IF(DASHBOARD!$C$14="All",TRUE,$AJ318=DASHBOARD!$C$14)),1,0))</f>
        <v/>
      </c>
    </row>
    <row r="319">
      <c r="A319" t="n">
        <v>174011</v>
      </c>
      <c r="B319" t="inlineStr">
        <is>
          <t>Aloe Vera Gel</t>
        </is>
      </c>
      <c r="H319" t="inlineStr">
        <is>
          <t>Aloe Vera Gel - 80 gms</t>
        </is>
      </c>
      <c r="N319" t="inlineStr">
        <is>
          <t>FC-HG-PA-080</t>
        </is>
      </c>
      <c r="T319" t="inlineStr">
        <is>
          <t>Oct 4, 2025</t>
        </is>
      </c>
      <c r="AE319" t="inlineStr">
        <is>
          <t>Surat</t>
        </is>
      </c>
      <c r="AF319" t="inlineStr">
        <is>
          <t>2025-10</t>
        </is>
      </c>
      <c r="AG319" t="n">
        <v>10</v>
      </c>
      <c r="AH319" t="n">
        <v>1</v>
      </c>
      <c r="AI319" t="n">
        <v>0</v>
      </c>
      <c r="AJ319">
        <f>IF($AE319="","",IFERROR(VLOOKUP(TRIM($AE319),DECODE!$H$3:$I$60,2,FALSE),"Rest of India"))</f>
        <v/>
      </c>
      <c r="AK319">
        <f>IF($N319="","",UPPER(TRIM(LEFT($N319&amp;",",FIND(",",$N319&amp;",")-1))))</f>
        <v/>
      </c>
      <c r="AL319">
        <f>IF($AK319="","",MID($AK319,4,FIND("~",SUBSTITUTE($AK319,"-","~",2))-4))</f>
        <v/>
      </c>
      <c r="AM319">
        <f>IF($AK319="","",MID($AK319,FIND("~",SUBSTITUTE($AK319,"-","~",2))+1,FIND("~",SUBSTITUTE($AK319,"-","~",3))-FIND("~",SUBSTITUTE($AK319,"-","~",2))-1))</f>
        <v/>
      </c>
      <c r="AN319">
        <f>IF($AL319="","",IFERROR(VLOOKUP($AL319,DECODE!$A$3:$C$8,3,FALSE),"?"))</f>
        <v/>
      </c>
      <c r="AO319">
        <f>IF($AM319="","",IFERROR(VLOOKUP($AL319&amp;"-"&amp;$AM319,DECODE!$E$3:$F$21,2,FALSE),"?"))</f>
        <v/>
      </c>
      <c r="AP319">
        <f>IF($AK319="","",IFERROR(VALUE(RIGHT($AK319,3)),""))</f>
        <v/>
      </c>
      <c r="AQ319">
        <f>IF($T319="","",IFERROR(IF(ISNUMBER($T319),$T319,DATEVALUE(TRIM($T319))),""))</f>
        <v/>
      </c>
      <c r="AR319">
        <f>IF($AQ319="","",IF(MONTH($AQ319)&gt;=12,"Cold Winter",IF(MONTH($AQ319)&gt;=10,"Post-Monsoon",IF(MONTH($AQ319)&gt;=6,"Hot Humid",IF(MONTH($AQ319)&gt;=3,"Hot Dry","Cold Winter")))))</f>
        <v/>
      </c>
      <c r="AS319">
        <f>IF($AL319="","",IFERROR(VLOOKUP($AL319,DECODE!$A$3:$C$8,2,FALSE),"?"))</f>
        <v/>
      </c>
      <c r="AT319">
        <f>IF($O319="","",UPPER(TRIM(LEFT($O319&amp;",",FIND(",",$O319&amp;",")-1))))</f>
        <v/>
      </c>
      <c r="AU319">
        <f>IF($AT319="","",MID($AT319,4,FIND("~",SUBSTITUTE($AT319,"-","~",2))-4))</f>
        <v/>
      </c>
      <c r="AV319">
        <f>IF($AT319="","",MID($AT319,FIND("~",SUBSTITUTE($AT319,"-","~",2))+1,FIND("~",SUBSTITUTE($AT319,"-","~",3))-FIND("~",SUBSTITUTE($AT319,"-","~",2))-1))</f>
        <v/>
      </c>
      <c r="AW319">
        <f>IF($AU319="","",IFERROR(VLOOKUP($AU319,DECODE!$A$3:$C$8,3,FALSE),"?"))</f>
        <v/>
      </c>
      <c r="AX319">
        <f>IF($AV319="","",IFERROR(VLOOKUP($AU319&amp;"-"&amp;$AV319,DECODE!$E$3:$F$21,2,FALSE),"?"))</f>
        <v/>
      </c>
      <c r="AY319">
        <f>IF($AT319="","",IFERROR(VALUE(RIGHT($AT319,3)),""))</f>
        <v/>
      </c>
      <c r="AZ319">
        <f>IF($U319="","",IFERROR(IF(ISNUMBER($U319),$U319,DATEVALUE(TRIM($U319))),""))</f>
        <v/>
      </c>
      <c r="BA319">
        <f>IF($AZ319="","",IF(MONTH($AZ319)&gt;=12,"Cold Winter",IF(MONTH($AZ319)&gt;=10,"Post-Monsoon",IF(MONTH($AZ319)&gt;=6,"Hot Humid",IF(MONTH($AZ319)&gt;=3,"Hot Dry","Cold Winter")))))</f>
        <v/>
      </c>
      <c r="BB319">
        <f>IF($AU319="","",IFERROR(VLOOKUP($AU319,DECODE!$A$3:$C$8,2,FALSE),"?"))</f>
        <v/>
      </c>
      <c r="BC319">
        <f>IF($P319="","",UPPER(TRIM(LEFT($P319&amp;",",FIND(",",$P319&amp;",")-1))))</f>
        <v/>
      </c>
      <c r="BD319">
        <f>IF($BC319="","",MID($BC319,4,FIND("~",SUBSTITUTE($BC319,"-","~",2))-4))</f>
        <v/>
      </c>
      <c r="BE319">
        <f>IF($BC319="","",MID($BC319,FIND("~",SUBSTITUTE($BC319,"-","~",2))+1,FIND("~",SUBSTITUTE($BC319,"-","~",3))-FIND("~",SUBSTITUTE($BC319,"-","~",2))-1))</f>
        <v/>
      </c>
      <c r="BF319">
        <f>IF($BD319="","",IFERROR(VLOOKUP($BD319,DECODE!$A$3:$C$8,3,FALSE),"?"))</f>
        <v/>
      </c>
      <c r="BG319">
        <f>IF($BE319="","",IFERROR(VLOOKUP($BD319&amp;"-"&amp;$BE319,DECODE!$E$3:$F$21,2,FALSE),"?"))</f>
        <v/>
      </c>
      <c r="BH319">
        <f>IF($BC319="","",IFERROR(VALUE(RIGHT($BC319,3)),""))</f>
        <v/>
      </c>
      <c r="BI319">
        <f>IF($V319="","",IFERROR(IF(ISNUMBER($V319),$V319,DATEVALUE(TRIM($V319))),""))</f>
        <v/>
      </c>
      <c r="BJ319">
        <f>IF($BI319="","",IF(MONTH($BI319)&gt;=12,"Cold Winter",IF(MONTH($BI319)&gt;=10,"Post-Monsoon",IF(MONTH($BI319)&gt;=6,"Hot Humid",IF(MONTH($BI319)&gt;=3,"Hot Dry","Cold Winter")))))</f>
        <v/>
      </c>
      <c r="BK319">
        <f>IF($BD319="","",IFERROR(VLOOKUP($BD319,DECODE!$A$3:$C$8,2,FALSE),"?"))</f>
        <v/>
      </c>
      <c r="BL319">
        <f>IF($Q319="","",UPPER(TRIM(LEFT($Q319&amp;",",FIND(",",$Q319&amp;",")-1))))</f>
        <v/>
      </c>
      <c r="BM319">
        <f>IF($BL319="","",MID($BL319,4,FIND("~",SUBSTITUTE($BL319,"-","~",2))-4))</f>
        <v/>
      </c>
      <c r="BN319">
        <f>IF($BL319="","",MID($BL319,FIND("~",SUBSTITUTE($BL319,"-","~",2))+1,FIND("~",SUBSTITUTE($BL319,"-","~",3))-FIND("~",SUBSTITUTE($BL319,"-","~",2))-1))</f>
        <v/>
      </c>
      <c r="BO319">
        <f>IF($BM319="","",IFERROR(VLOOKUP($BM319,DECODE!$A$3:$C$8,3,FALSE),"?"))</f>
        <v/>
      </c>
      <c r="BP319">
        <f>IF($BN319="","",IFERROR(VLOOKUP($BM319&amp;"-"&amp;$BN319,DECODE!$E$3:$F$21,2,FALSE),"?"))</f>
        <v/>
      </c>
      <c r="BQ319">
        <f>IF($BL319="","",IFERROR(VALUE(RIGHT($BL319,3)),""))</f>
        <v/>
      </c>
      <c r="BR319">
        <f>IF($W319="","",IFERROR(IF(ISNUMBER($W319),$W319,DATEVALUE(TRIM($W319))),""))</f>
        <v/>
      </c>
      <c r="BS319">
        <f>IF($BR319="","",IF(MONTH($BR319)&gt;=12,"Cold Winter",IF(MONTH($BR319)&gt;=10,"Post-Monsoon",IF(MONTH($BR319)&gt;=6,"Hot Humid",IF(MONTH($BR319)&gt;=3,"Hot Dry","Cold Winter")))))</f>
        <v/>
      </c>
      <c r="BT319">
        <f>IF($BM319="","",IFERROR(VLOOKUP($BM319,DECODE!$A$3:$C$8,2,FALSE),"?"))</f>
        <v/>
      </c>
      <c r="BU319">
        <f>IF($R319="","",UPPER(TRIM(LEFT($R319&amp;",",FIND(",",$R319&amp;",")-1))))</f>
        <v/>
      </c>
      <c r="BV319">
        <f>IF($BU319="","",MID($BU319,4,FIND("~",SUBSTITUTE($BU319,"-","~",2))-4))</f>
        <v/>
      </c>
      <c r="BW319">
        <f>IF($BU319="","",MID($BU319,FIND("~",SUBSTITUTE($BU319,"-","~",2))+1,FIND("~",SUBSTITUTE($BU319,"-","~",3))-FIND("~",SUBSTITUTE($BU319,"-","~",2))-1))</f>
        <v/>
      </c>
      <c r="BX319">
        <f>IF($BV319="","",IFERROR(VLOOKUP($BV319,DECODE!$A$3:$C$8,3,FALSE),"?"))</f>
        <v/>
      </c>
      <c r="BY319">
        <f>IF($BW319="","",IFERROR(VLOOKUP($BV319&amp;"-"&amp;$BW319,DECODE!$E$3:$F$21,2,FALSE),"?"))</f>
        <v/>
      </c>
      <c r="BZ319">
        <f>IF($BU319="","",IFERROR(VALUE(RIGHT($BU319,3)),""))</f>
        <v/>
      </c>
      <c r="CA319">
        <f>IF($X319="","",IFERROR(IF(ISNUMBER($X319),$X319,DATEVALUE(TRIM($X319))),""))</f>
        <v/>
      </c>
      <c r="CB319">
        <f>IF($CA319="","",IF(MONTH($CA319)&gt;=12,"Cold Winter",IF(MONTH($CA319)&gt;=10,"Post-Monsoon",IF(MONTH($CA319)&gt;=6,"Hot Humid",IF(MONTH($CA319)&gt;=3,"Hot Dry","Cold Winter")))))</f>
        <v/>
      </c>
      <c r="CC319">
        <f>IF($BV319="","",IFERROR(VLOOKUP($BV319,DECODE!$A$3:$C$8,2,FALSE),"?"))</f>
        <v/>
      </c>
      <c r="CD319">
        <f>IF($S319="","",UPPER(TRIM(LEFT($S319&amp;",",FIND(",",$S319&amp;",")-1))))</f>
        <v/>
      </c>
      <c r="CE319">
        <f>IF($CD319="","",MID($CD319,4,FIND("~",SUBSTITUTE($CD319,"-","~",2))-4))</f>
        <v/>
      </c>
      <c r="CF319">
        <f>IF($CD319="","",MID($CD319,FIND("~",SUBSTITUTE($CD319,"-","~",2))+1,FIND("~",SUBSTITUTE($CD319,"-","~",3))-FIND("~",SUBSTITUTE($CD319,"-","~",2))-1))</f>
        <v/>
      </c>
      <c r="CG319">
        <f>IF($CE319="","",IFERROR(VLOOKUP($CE319,DECODE!$A$3:$C$8,3,FALSE),"?"))</f>
        <v/>
      </c>
      <c r="CH319">
        <f>IF($CF319="","",IFERROR(VLOOKUP($CE319&amp;"-"&amp;$CF319,DECODE!$E$3:$F$21,2,FALSE),"?"))</f>
        <v/>
      </c>
      <c r="CI319">
        <f>IF($CD319="","",IFERROR(VALUE(RIGHT($CD319,3)),""))</f>
        <v/>
      </c>
      <c r="CJ319">
        <f>IF($Y319="","",IFERROR(IF(ISNUMBER($Y319),$Y319,DATEVALUE(TRIM($Y319))),""))</f>
        <v/>
      </c>
      <c r="CK319">
        <f>IF($CJ319="","",IF(MONTH($CJ319)&gt;=12,"Cold Winter",IF(MONTH($CJ319)&gt;=10,"Post-Monsoon",IF(MONTH($CJ319)&gt;=6,"Hot Humid",IF(MONTH($CJ319)&gt;=3,"Hot Dry","Cold Winter")))))</f>
        <v/>
      </c>
      <c r="CL319">
        <f>IF($CE319="","",IFERROR(VLOOKUP($CE319,DECODE!$A$3:$C$8,2,FALSE),"?"))</f>
        <v/>
      </c>
      <c r="CM319">
        <f>IF($AN319="","",AN319)</f>
        <v/>
      </c>
      <c r="CN319">
        <f>IF($AO319="","",AO319)</f>
        <v/>
      </c>
      <c r="CO319">
        <f>IF($AP319="","",AP319)</f>
        <v/>
      </c>
      <c r="CP319">
        <f>IF($CM319="","",IF($CM319="Aloe Vera Gel","Aloe Vera Gel "&amp;$CO319&amp;"g",CN319&amp;" "&amp;$CO319&amp;"g"))</f>
        <v/>
      </c>
      <c r="CQ319">
        <f>IF($AT319="",0,1)</f>
        <v/>
      </c>
      <c r="CR319">
        <f>IF($CQ319=0,"",AW319)</f>
        <v/>
      </c>
      <c r="CS319">
        <f>IF($CQ319=0,"",AX319)</f>
        <v/>
      </c>
      <c r="CT319">
        <f>IF($CQ319=0,"",AY319)</f>
        <v/>
      </c>
      <c r="CU319">
        <f>IF($CR319="","",IF($CR319="Aloe Vera Gel","Aloe Vera Gel "&amp;$CT319&amp;"g",CS319&amp;" "&amp;$CT319&amp;"g"))</f>
        <v/>
      </c>
      <c r="CV319">
        <f>IF($CQ319=0,"",IF($CP319=$CU319,"Repeat Exact",IF($CT319&gt;$CO319,"Upsized",IF($CT319&lt;$CO319,"Downsized",IF($CM319&lt;&gt;$CR319,"Lateral","Same Size Diff Variant")))))</f>
        <v/>
      </c>
      <c r="CW319">
        <f>IF($CQ319=0,"",AZ319-AQ319)</f>
        <v/>
      </c>
      <c r="CX319">
        <f>IF($CQ319=0,0,IF(CS319=CN319,1,0))</f>
        <v/>
      </c>
      <c r="CY319">
        <f>IF($CQ319=0,0,IF(CR319=CM319,1,0))</f>
        <v/>
      </c>
      <c r="CZ319">
        <f>IF($A319="","",IF(AND(IF(DASHBOARD!$C$4="All",TRUE,$CM319=DASHBOARD!$C$4),IF(DASHBOARD!$C$6="All",TRUE,$CP319=DASHBOARD!$C$6),IF(DASHBOARD!$C$8="All",TRUE,$AF319&gt;=DASHBOARD!$C$8),IF(DASHBOARD!$C$10="All",TRUE,$AF319&lt;=DASHBOARD!$C$10),IF(DASHBOARD!$C$12="All",TRUE,$AH319=VALUE(DASHBOARD!$C$12)),IF(DASHBOARD!$C$14="All",TRUE,$AJ319=DASHBOARD!$C$14)),1,0))</f>
        <v/>
      </c>
    </row>
    <row r="320">
      <c r="A320" t="n">
        <v>174500</v>
      </c>
      <c r="B320" t="inlineStr">
        <is>
          <t>Face Malai</t>
        </is>
      </c>
      <c r="H320" t="inlineStr">
        <is>
          <t>Flax Carrot (Hot Humid) 35+ Face Malai - 30g</t>
        </is>
      </c>
      <c r="N320" t="inlineStr">
        <is>
          <t>FC-HHDM-FC-030</t>
        </is>
      </c>
      <c r="T320" t="inlineStr">
        <is>
          <t>Jun 17, 2025</t>
        </is>
      </c>
      <c r="AE320" t="inlineStr">
        <is>
          <t>Guwahati</t>
        </is>
      </c>
      <c r="AF320" t="inlineStr">
        <is>
          <t>2025-06</t>
        </is>
      </c>
      <c r="AG320" t="n">
        <v>6</v>
      </c>
      <c r="AH320" t="n">
        <v>1</v>
      </c>
      <c r="AI320" t="n">
        <v>0</v>
      </c>
      <c r="AJ320">
        <f>IF($AE320="","",IFERROR(VLOOKUP(TRIM($AE320),DECODE!$H$3:$I$60,2,FALSE),"Rest of India"))</f>
        <v/>
      </c>
      <c r="AK320">
        <f>IF($N320="","",UPPER(TRIM(LEFT($N320&amp;",",FIND(",",$N320&amp;",")-1))))</f>
        <v/>
      </c>
      <c r="AL320">
        <f>IF($AK320="","",MID($AK320,4,FIND("~",SUBSTITUTE($AK320,"-","~",2))-4))</f>
        <v/>
      </c>
      <c r="AM320">
        <f>IF($AK320="","",MID($AK320,FIND("~",SUBSTITUTE($AK320,"-","~",2))+1,FIND("~",SUBSTITUTE($AK320,"-","~",3))-FIND("~",SUBSTITUTE($AK320,"-","~",2))-1))</f>
        <v/>
      </c>
      <c r="AN320">
        <f>IF($AL320="","",IFERROR(VLOOKUP($AL320,DECODE!$A$3:$C$8,3,FALSE),"?"))</f>
        <v/>
      </c>
      <c r="AO320">
        <f>IF($AM320="","",IFERROR(VLOOKUP($AL320&amp;"-"&amp;$AM320,DECODE!$E$3:$F$21,2,FALSE),"?"))</f>
        <v/>
      </c>
      <c r="AP320">
        <f>IF($AK320="","",IFERROR(VALUE(RIGHT($AK320,3)),""))</f>
        <v/>
      </c>
      <c r="AQ320">
        <f>IF($T320="","",IFERROR(IF(ISNUMBER($T320),$T320,DATEVALUE(TRIM($T320))),""))</f>
        <v/>
      </c>
      <c r="AR320">
        <f>IF($AQ320="","",IF(MONTH($AQ320)&gt;=12,"Cold Winter",IF(MONTH($AQ320)&gt;=10,"Post-Monsoon",IF(MONTH($AQ320)&gt;=6,"Hot Humid",IF(MONTH($AQ320)&gt;=3,"Hot Dry","Cold Winter")))))</f>
        <v/>
      </c>
      <c r="AS320">
        <f>IF($AL320="","",IFERROR(VLOOKUP($AL320,DECODE!$A$3:$C$8,2,FALSE),"?"))</f>
        <v/>
      </c>
      <c r="AT320">
        <f>IF($O320="","",UPPER(TRIM(LEFT($O320&amp;",",FIND(",",$O320&amp;",")-1))))</f>
        <v/>
      </c>
      <c r="AU320">
        <f>IF($AT320="","",MID($AT320,4,FIND("~",SUBSTITUTE($AT320,"-","~",2))-4))</f>
        <v/>
      </c>
      <c r="AV320">
        <f>IF($AT320="","",MID($AT320,FIND("~",SUBSTITUTE($AT320,"-","~",2))+1,FIND("~",SUBSTITUTE($AT320,"-","~",3))-FIND("~",SUBSTITUTE($AT320,"-","~",2))-1))</f>
        <v/>
      </c>
      <c r="AW320">
        <f>IF($AU320="","",IFERROR(VLOOKUP($AU320,DECODE!$A$3:$C$8,3,FALSE),"?"))</f>
        <v/>
      </c>
      <c r="AX320">
        <f>IF($AV320="","",IFERROR(VLOOKUP($AU320&amp;"-"&amp;$AV320,DECODE!$E$3:$F$21,2,FALSE),"?"))</f>
        <v/>
      </c>
      <c r="AY320">
        <f>IF($AT320="","",IFERROR(VALUE(RIGHT($AT320,3)),""))</f>
        <v/>
      </c>
      <c r="AZ320">
        <f>IF($U320="","",IFERROR(IF(ISNUMBER($U320),$U320,DATEVALUE(TRIM($U320))),""))</f>
        <v/>
      </c>
      <c r="BA320">
        <f>IF($AZ320="","",IF(MONTH($AZ320)&gt;=12,"Cold Winter",IF(MONTH($AZ320)&gt;=10,"Post-Monsoon",IF(MONTH($AZ320)&gt;=6,"Hot Humid",IF(MONTH($AZ320)&gt;=3,"Hot Dry","Cold Winter")))))</f>
        <v/>
      </c>
      <c r="BB320">
        <f>IF($AU320="","",IFERROR(VLOOKUP($AU320,DECODE!$A$3:$C$8,2,FALSE),"?"))</f>
        <v/>
      </c>
      <c r="BC320">
        <f>IF($P320="","",UPPER(TRIM(LEFT($P320&amp;",",FIND(",",$P320&amp;",")-1))))</f>
        <v/>
      </c>
      <c r="BD320">
        <f>IF($BC320="","",MID($BC320,4,FIND("~",SUBSTITUTE($BC320,"-","~",2))-4))</f>
        <v/>
      </c>
      <c r="BE320">
        <f>IF($BC320="","",MID($BC320,FIND("~",SUBSTITUTE($BC320,"-","~",2))+1,FIND("~",SUBSTITUTE($BC320,"-","~",3))-FIND("~",SUBSTITUTE($BC320,"-","~",2))-1))</f>
        <v/>
      </c>
      <c r="BF320">
        <f>IF($BD320="","",IFERROR(VLOOKUP($BD320,DECODE!$A$3:$C$8,3,FALSE),"?"))</f>
        <v/>
      </c>
      <c r="BG320">
        <f>IF($BE320="","",IFERROR(VLOOKUP($BD320&amp;"-"&amp;$BE320,DECODE!$E$3:$F$21,2,FALSE),"?"))</f>
        <v/>
      </c>
      <c r="BH320">
        <f>IF($BC320="","",IFERROR(VALUE(RIGHT($BC320,3)),""))</f>
        <v/>
      </c>
      <c r="BI320">
        <f>IF($V320="","",IFERROR(IF(ISNUMBER($V320),$V320,DATEVALUE(TRIM($V320))),""))</f>
        <v/>
      </c>
      <c r="BJ320">
        <f>IF($BI320="","",IF(MONTH($BI320)&gt;=12,"Cold Winter",IF(MONTH($BI320)&gt;=10,"Post-Monsoon",IF(MONTH($BI320)&gt;=6,"Hot Humid",IF(MONTH($BI320)&gt;=3,"Hot Dry","Cold Winter")))))</f>
        <v/>
      </c>
      <c r="BK320">
        <f>IF($BD320="","",IFERROR(VLOOKUP($BD320,DECODE!$A$3:$C$8,2,FALSE),"?"))</f>
        <v/>
      </c>
      <c r="BL320">
        <f>IF($Q320="","",UPPER(TRIM(LEFT($Q320&amp;",",FIND(",",$Q320&amp;",")-1))))</f>
        <v/>
      </c>
      <c r="BM320">
        <f>IF($BL320="","",MID($BL320,4,FIND("~",SUBSTITUTE($BL320,"-","~",2))-4))</f>
        <v/>
      </c>
      <c r="BN320">
        <f>IF($BL320="","",MID($BL320,FIND("~",SUBSTITUTE($BL320,"-","~",2))+1,FIND("~",SUBSTITUTE($BL320,"-","~",3))-FIND("~",SUBSTITUTE($BL320,"-","~",2))-1))</f>
        <v/>
      </c>
      <c r="BO320">
        <f>IF($BM320="","",IFERROR(VLOOKUP($BM320,DECODE!$A$3:$C$8,3,FALSE),"?"))</f>
        <v/>
      </c>
      <c r="BP320">
        <f>IF($BN320="","",IFERROR(VLOOKUP($BM320&amp;"-"&amp;$BN320,DECODE!$E$3:$F$21,2,FALSE),"?"))</f>
        <v/>
      </c>
      <c r="BQ320">
        <f>IF($BL320="","",IFERROR(VALUE(RIGHT($BL320,3)),""))</f>
        <v/>
      </c>
      <c r="BR320">
        <f>IF($W320="","",IFERROR(IF(ISNUMBER($W320),$W320,DATEVALUE(TRIM($W320))),""))</f>
        <v/>
      </c>
      <c r="BS320">
        <f>IF($BR320="","",IF(MONTH($BR320)&gt;=12,"Cold Winter",IF(MONTH($BR320)&gt;=10,"Post-Monsoon",IF(MONTH($BR320)&gt;=6,"Hot Humid",IF(MONTH($BR320)&gt;=3,"Hot Dry","Cold Winter")))))</f>
        <v/>
      </c>
      <c r="BT320">
        <f>IF($BM320="","",IFERROR(VLOOKUP($BM320,DECODE!$A$3:$C$8,2,FALSE),"?"))</f>
        <v/>
      </c>
      <c r="BU320">
        <f>IF($R320="","",UPPER(TRIM(LEFT($R320&amp;",",FIND(",",$R320&amp;",")-1))))</f>
        <v/>
      </c>
      <c r="BV320">
        <f>IF($BU320="","",MID($BU320,4,FIND("~",SUBSTITUTE($BU320,"-","~",2))-4))</f>
        <v/>
      </c>
      <c r="BW320">
        <f>IF($BU320="","",MID($BU320,FIND("~",SUBSTITUTE($BU320,"-","~",2))+1,FIND("~",SUBSTITUTE($BU320,"-","~",3))-FIND("~",SUBSTITUTE($BU320,"-","~",2))-1))</f>
        <v/>
      </c>
      <c r="BX320">
        <f>IF($BV320="","",IFERROR(VLOOKUP($BV320,DECODE!$A$3:$C$8,3,FALSE),"?"))</f>
        <v/>
      </c>
      <c r="BY320">
        <f>IF($BW320="","",IFERROR(VLOOKUP($BV320&amp;"-"&amp;$BW320,DECODE!$E$3:$F$21,2,FALSE),"?"))</f>
        <v/>
      </c>
      <c r="BZ320">
        <f>IF($BU320="","",IFERROR(VALUE(RIGHT($BU320,3)),""))</f>
        <v/>
      </c>
      <c r="CA320">
        <f>IF($X320="","",IFERROR(IF(ISNUMBER($X320),$X320,DATEVALUE(TRIM($X320))),""))</f>
        <v/>
      </c>
      <c r="CB320">
        <f>IF($CA320="","",IF(MONTH($CA320)&gt;=12,"Cold Winter",IF(MONTH($CA320)&gt;=10,"Post-Monsoon",IF(MONTH($CA320)&gt;=6,"Hot Humid",IF(MONTH($CA320)&gt;=3,"Hot Dry","Cold Winter")))))</f>
        <v/>
      </c>
      <c r="CC320">
        <f>IF($BV320="","",IFERROR(VLOOKUP($BV320,DECODE!$A$3:$C$8,2,FALSE),"?"))</f>
        <v/>
      </c>
      <c r="CD320">
        <f>IF($S320="","",UPPER(TRIM(LEFT($S320&amp;",",FIND(",",$S320&amp;",")-1))))</f>
        <v/>
      </c>
      <c r="CE320">
        <f>IF($CD320="","",MID($CD320,4,FIND("~",SUBSTITUTE($CD320,"-","~",2))-4))</f>
        <v/>
      </c>
      <c r="CF320">
        <f>IF($CD320="","",MID($CD320,FIND("~",SUBSTITUTE($CD320,"-","~",2))+1,FIND("~",SUBSTITUTE($CD320,"-","~",3))-FIND("~",SUBSTITUTE($CD320,"-","~",2))-1))</f>
        <v/>
      </c>
      <c r="CG320">
        <f>IF($CE320="","",IFERROR(VLOOKUP($CE320,DECODE!$A$3:$C$8,3,FALSE),"?"))</f>
        <v/>
      </c>
      <c r="CH320">
        <f>IF($CF320="","",IFERROR(VLOOKUP($CE320&amp;"-"&amp;$CF320,DECODE!$E$3:$F$21,2,FALSE),"?"))</f>
        <v/>
      </c>
      <c r="CI320">
        <f>IF($CD320="","",IFERROR(VALUE(RIGHT($CD320,3)),""))</f>
        <v/>
      </c>
      <c r="CJ320">
        <f>IF($Y320="","",IFERROR(IF(ISNUMBER($Y320),$Y320,DATEVALUE(TRIM($Y320))),""))</f>
        <v/>
      </c>
      <c r="CK320">
        <f>IF($CJ320="","",IF(MONTH($CJ320)&gt;=12,"Cold Winter",IF(MONTH($CJ320)&gt;=10,"Post-Monsoon",IF(MONTH($CJ320)&gt;=6,"Hot Humid",IF(MONTH($CJ320)&gt;=3,"Hot Dry","Cold Winter")))))</f>
        <v/>
      </c>
      <c r="CL320">
        <f>IF($CE320="","",IFERROR(VLOOKUP($CE320,DECODE!$A$3:$C$8,2,FALSE),"?"))</f>
        <v/>
      </c>
      <c r="CM320">
        <f>IF($AN320="","",AN320)</f>
        <v/>
      </c>
      <c r="CN320">
        <f>IF($AO320="","",AO320)</f>
        <v/>
      </c>
      <c r="CO320">
        <f>IF($AP320="","",AP320)</f>
        <v/>
      </c>
      <c r="CP320">
        <f>IF($CM320="","",IF($CM320="Aloe Vera Gel","Aloe Vera Gel "&amp;$CO320&amp;"g",CN320&amp;" "&amp;$CO320&amp;"g"))</f>
        <v/>
      </c>
      <c r="CQ320">
        <f>IF($AT320="",0,1)</f>
        <v/>
      </c>
      <c r="CR320">
        <f>IF($CQ320=0,"",AW320)</f>
        <v/>
      </c>
      <c r="CS320">
        <f>IF($CQ320=0,"",AX320)</f>
        <v/>
      </c>
      <c r="CT320">
        <f>IF($CQ320=0,"",AY320)</f>
        <v/>
      </c>
      <c r="CU320">
        <f>IF($CR320="","",IF($CR320="Aloe Vera Gel","Aloe Vera Gel "&amp;$CT320&amp;"g",CS320&amp;" "&amp;$CT320&amp;"g"))</f>
        <v/>
      </c>
      <c r="CV320">
        <f>IF($CQ320=0,"",IF($CP320=$CU320,"Repeat Exact",IF($CT320&gt;$CO320,"Upsized",IF($CT320&lt;$CO320,"Downsized",IF($CM320&lt;&gt;$CR320,"Lateral","Same Size Diff Variant")))))</f>
        <v/>
      </c>
      <c r="CW320">
        <f>IF($CQ320=0,"",AZ320-AQ320)</f>
        <v/>
      </c>
      <c r="CX320">
        <f>IF($CQ320=0,0,IF(CS320=CN320,1,0))</f>
        <v/>
      </c>
      <c r="CY320">
        <f>IF($CQ320=0,0,IF(CR320=CM320,1,0))</f>
        <v/>
      </c>
      <c r="CZ320">
        <f>IF($A320="","",IF(AND(IF(DASHBOARD!$C$4="All",TRUE,$CM320=DASHBOARD!$C$4),IF(DASHBOARD!$C$6="All",TRUE,$CP320=DASHBOARD!$C$6),IF(DASHBOARD!$C$8="All",TRUE,$AF320&gt;=DASHBOARD!$C$8),IF(DASHBOARD!$C$10="All",TRUE,$AF320&lt;=DASHBOARD!$C$10),IF(DASHBOARD!$C$12="All",TRUE,$AH320=VALUE(DASHBOARD!$C$12)),IF(DASHBOARD!$C$14="All",TRUE,$AJ320=DASHBOARD!$C$14)),1,0))</f>
        <v/>
      </c>
    </row>
    <row r="321">
      <c r="A321" t="n">
        <v>174645</v>
      </c>
      <c r="B321" t="inlineStr">
        <is>
          <t>Face Malai</t>
        </is>
      </c>
      <c r="C321" t="inlineStr">
        <is>
          <t>Face Malai</t>
        </is>
      </c>
      <c r="H321" t="inlineStr">
        <is>
          <t>Turmeric Nutmeg (Pigmentation)  Face Malai - 50g</t>
        </is>
      </c>
      <c r="I321" t="inlineStr">
        <is>
          <t>Tomato Rosehip (Hot Dry) 20 - 35 Yrs Face Malai - 30g</t>
        </is>
      </c>
      <c r="N321" t="inlineStr">
        <is>
          <t>FC-DM-PG-050</t>
        </is>
      </c>
      <c r="O321" t="inlineStr">
        <is>
          <t>FC-HDDM-TR-030</t>
        </is>
      </c>
      <c r="T321" t="inlineStr">
        <is>
          <t>Jun 27, 2024</t>
        </is>
      </c>
      <c r="U321" t="inlineStr">
        <is>
          <t>May 30, 2025</t>
        </is>
      </c>
      <c r="Z321" t="n">
        <v>337</v>
      </c>
      <c r="AE321" t="inlineStr">
        <is>
          <t>Mumbai</t>
        </is>
      </c>
      <c r="AF321" t="inlineStr">
        <is>
          <t>2024-06</t>
        </is>
      </c>
      <c r="AG321" t="n">
        <v>6</v>
      </c>
      <c r="AH321" t="n">
        <v>2</v>
      </c>
      <c r="AI321" t="n">
        <v>1</v>
      </c>
      <c r="AJ321">
        <f>IF($AE321="","",IFERROR(VLOOKUP(TRIM($AE321),DECODE!$H$3:$I$60,2,FALSE),"Rest of India"))</f>
        <v/>
      </c>
      <c r="AK321">
        <f>IF($N321="","",UPPER(TRIM(LEFT($N321&amp;",",FIND(",",$N321&amp;",")-1))))</f>
        <v/>
      </c>
      <c r="AL321">
        <f>IF($AK321="","",MID($AK321,4,FIND("~",SUBSTITUTE($AK321,"-","~",2))-4))</f>
        <v/>
      </c>
      <c r="AM321">
        <f>IF($AK321="","",MID($AK321,FIND("~",SUBSTITUTE($AK321,"-","~",2))+1,FIND("~",SUBSTITUTE($AK321,"-","~",3))-FIND("~",SUBSTITUTE($AK321,"-","~",2))-1))</f>
        <v/>
      </c>
      <c r="AN321">
        <f>IF($AL321="","",IFERROR(VLOOKUP($AL321,DECODE!$A$3:$C$8,3,FALSE),"?"))</f>
        <v/>
      </c>
      <c r="AO321">
        <f>IF($AM321="","",IFERROR(VLOOKUP($AL321&amp;"-"&amp;$AM321,DECODE!$E$3:$F$21,2,FALSE),"?"))</f>
        <v/>
      </c>
      <c r="AP321">
        <f>IF($AK321="","",IFERROR(VALUE(RIGHT($AK321,3)),""))</f>
        <v/>
      </c>
      <c r="AQ321">
        <f>IF($T321="","",IFERROR(IF(ISNUMBER($T321),$T321,DATEVALUE(TRIM($T321))),""))</f>
        <v/>
      </c>
      <c r="AR321">
        <f>IF($AQ321="","",IF(MONTH($AQ321)&gt;=12,"Cold Winter",IF(MONTH($AQ321)&gt;=10,"Post-Monsoon",IF(MONTH($AQ321)&gt;=6,"Hot Humid",IF(MONTH($AQ321)&gt;=3,"Hot Dry","Cold Winter")))))</f>
        <v/>
      </c>
      <c r="AS321">
        <f>IF($AL321="","",IFERROR(VLOOKUP($AL321,DECODE!$A$3:$C$8,2,FALSE),"?"))</f>
        <v/>
      </c>
      <c r="AT321">
        <f>IF($O321="","",UPPER(TRIM(LEFT($O321&amp;",",FIND(",",$O321&amp;",")-1))))</f>
        <v/>
      </c>
      <c r="AU321">
        <f>IF($AT321="","",MID($AT321,4,FIND("~",SUBSTITUTE($AT321,"-","~",2))-4))</f>
        <v/>
      </c>
      <c r="AV321">
        <f>IF($AT321="","",MID($AT321,FIND("~",SUBSTITUTE($AT321,"-","~",2))+1,FIND("~",SUBSTITUTE($AT321,"-","~",3))-FIND("~",SUBSTITUTE($AT321,"-","~",2))-1))</f>
        <v/>
      </c>
      <c r="AW321">
        <f>IF($AU321="","",IFERROR(VLOOKUP($AU321,DECODE!$A$3:$C$8,3,FALSE),"?"))</f>
        <v/>
      </c>
      <c r="AX321">
        <f>IF($AV321="","",IFERROR(VLOOKUP($AU321&amp;"-"&amp;$AV321,DECODE!$E$3:$F$21,2,FALSE),"?"))</f>
        <v/>
      </c>
      <c r="AY321">
        <f>IF($AT321="","",IFERROR(VALUE(RIGHT($AT321,3)),""))</f>
        <v/>
      </c>
      <c r="AZ321">
        <f>IF($U321="","",IFERROR(IF(ISNUMBER($U321),$U321,DATEVALUE(TRIM($U321))),""))</f>
        <v/>
      </c>
      <c r="BA321">
        <f>IF($AZ321="","",IF(MONTH($AZ321)&gt;=12,"Cold Winter",IF(MONTH($AZ321)&gt;=10,"Post-Monsoon",IF(MONTH($AZ321)&gt;=6,"Hot Humid",IF(MONTH($AZ321)&gt;=3,"Hot Dry","Cold Winter")))))</f>
        <v/>
      </c>
      <c r="BB321">
        <f>IF($AU321="","",IFERROR(VLOOKUP($AU321,DECODE!$A$3:$C$8,2,FALSE),"?"))</f>
        <v/>
      </c>
      <c r="BC321">
        <f>IF($P321="","",UPPER(TRIM(LEFT($P321&amp;",",FIND(",",$P321&amp;",")-1))))</f>
        <v/>
      </c>
      <c r="BD321">
        <f>IF($BC321="","",MID($BC321,4,FIND("~",SUBSTITUTE($BC321,"-","~",2))-4))</f>
        <v/>
      </c>
      <c r="BE321">
        <f>IF($BC321="","",MID($BC321,FIND("~",SUBSTITUTE($BC321,"-","~",2))+1,FIND("~",SUBSTITUTE($BC321,"-","~",3))-FIND("~",SUBSTITUTE($BC321,"-","~",2))-1))</f>
        <v/>
      </c>
      <c r="BF321">
        <f>IF($BD321="","",IFERROR(VLOOKUP($BD321,DECODE!$A$3:$C$8,3,FALSE),"?"))</f>
        <v/>
      </c>
      <c r="BG321">
        <f>IF($BE321="","",IFERROR(VLOOKUP($BD321&amp;"-"&amp;$BE321,DECODE!$E$3:$F$21,2,FALSE),"?"))</f>
        <v/>
      </c>
      <c r="BH321">
        <f>IF($BC321="","",IFERROR(VALUE(RIGHT($BC321,3)),""))</f>
        <v/>
      </c>
      <c r="BI321">
        <f>IF($V321="","",IFERROR(IF(ISNUMBER($V321),$V321,DATEVALUE(TRIM($V321))),""))</f>
        <v/>
      </c>
      <c r="BJ321">
        <f>IF($BI321="","",IF(MONTH($BI321)&gt;=12,"Cold Winter",IF(MONTH($BI321)&gt;=10,"Post-Monsoon",IF(MONTH($BI321)&gt;=6,"Hot Humid",IF(MONTH($BI321)&gt;=3,"Hot Dry","Cold Winter")))))</f>
        <v/>
      </c>
      <c r="BK321">
        <f>IF($BD321="","",IFERROR(VLOOKUP($BD321,DECODE!$A$3:$C$8,2,FALSE),"?"))</f>
        <v/>
      </c>
      <c r="BL321">
        <f>IF($Q321="","",UPPER(TRIM(LEFT($Q321&amp;",",FIND(",",$Q321&amp;",")-1))))</f>
        <v/>
      </c>
      <c r="BM321">
        <f>IF($BL321="","",MID($BL321,4,FIND("~",SUBSTITUTE($BL321,"-","~",2))-4))</f>
        <v/>
      </c>
      <c r="BN321">
        <f>IF($BL321="","",MID($BL321,FIND("~",SUBSTITUTE($BL321,"-","~",2))+1,FIND("~",SUBSTITUTE($BL321,"-","~",3))-FIND("~",SUBSTITUTE($BL321,"-","~",2))-1))</f>
        <v/>
      </c>
      <c r="BO321">
        <f>IF($BM321="","",IFERROR(VLOOKUP($BM321,DECODE!$A$3:$C$8,3,FALSE),"?"))</f>
        <v/>
      </c>
      <c r="BP321">
        <f>IF($BN321="","",IFERROR(VLOOKUP($BM321&amp;"-"&amp;$BN321,DECODE!$E$3:$F$21,2,FALSE),"?"))</f>
        <v/>
      </c>
      <c r="BQ321">
        <f>IF($BL321="","",IFERROR(VALUE(RIGHT($BL321,3)),""))</f>
        <v/>
      </c>
      <c r="BR321">
        <f>IF($W321="","",IFERROR(IF(ISNUMBER($W321),$W321,DATEVALUE(TRIM($W321))),""))</f>
        <v/>
      </c>
      <c r="BS321">
        <f>IF($BR321="","",IF(MONTH($BR321)&gt;=12,"Cold Winter",IF(MONTH($BR321)&gt;=10,"Post-Monsoon",IF(MONTH($BR321)&gt;=6,"Hot Humid",IF(MONTH($BR321)&gt;=3,"Hot Dry","Cold Winter")))))</f>
        <v/>
      </c>
      <c r="BT321">
        <f>IF($BM321="","",IFERROR(VLOOKUP($BM321,DECODE!$A$3:$C$8,2,FALSE),"?"))</f>
        <v/>
      </c>
      <c r="BU321">
        <f>IF($R321="","",UPPER(TRIM(LEFT($R321&amp;",",FIND(",",$R321&amp;",")-1))))</f>
        <v/>
      </c>
      <c r="BV321">
        <f>IF($BU321="","",MID($BU321,4,FIND("~",SUBSTITUTE($BU321,"-","~",2))-4))</f>
        <v/>
      </c>
      <c r="BW321">
        <f>IF($BU321="","",MID($BU321,FIND("~",SUBSTITUTE($BU321,"-","~",2))+1,FIND("~",SUBSTITUTE($BU321,"-","~",3))-FIND("~",SUBSTITUTE($BU321,"-","~",2))-1))</f>
        <v/>
      </c>
      <c r="BX321">
        <f>IF($BV321="","",IFERROR(VLOOKUP($BV321,DECODE!$A$3:$C$8,3,FALSE),"?"))</f>
        <v/>
      </c>
      <c r="BY321">
        <f>IF($BW321="","",IFERROR(VLOOKUP($BV321&amp;"-"&amp;$BW321,DECODE!$E$3:$F$21,2,FALSE),"?"))</f>
        <v/>
      </c>
      <c r="BZ321">
        <f>IF($BU321="","",IFERROR(VALUE(RIGHT($BU321,3)),""))</f>
        <v/>
      </c>
      <c r="CA321">
        <f>IF($X321="","",IFERROR(IF(ISNUMBER($X321),$X321,DATEVALUE(TRIM($X321))),""))</f>
        <v/>
      </c>
      <c r="CB321">
        <f>IF($CA321="","",IF(MONTH($CA321)&gt;=12,"Cold Winter",IF(MONTH($CA321)&gt;=10,"Post-Monsoon",IF(MONTH($CA321)&gt;=6,"Hot Humid",IF(MONTH($CA321)&gt;=3,"Hot Dry","Cold Winter")))))</f>
        <v/>
      </c>
      <c r="CC321">
        <f>IF($BV321="","",IFERROR(VLOOKUP($BV321,DECODE!$A$3:$C$8,2,FALSE),"?"))</f>
        <v/>
      </c>
      <c r="CD321">
        <f>IF($S321="","",UPPER(TRIM(LEFT($S321&amp;",",FIND(",",$S321&amp;",")-1))))</f>
        <v/>
      </c>
      <c r="CE321">
        <f>IF($CD321="","",MID($CD321,4,FIND("~",SUBSTITUTE($CD321,"-","~",2))-4))</f>
        <v/>
      </c>
      <c r="CF321">
        <f>IF($CD321="","",MID($CD321,FIND("~",SUBSTITUTE($CD321,"-","~",2))+1,FIND("~",SUBSTITUTE($CD321,"-","~",3))-FIND("~",SUBSTITUTE($CD321,"-","~",2))-1))</f>
        <v/>
      </c>
      <c r="CG321">
        <f>IF($CE321="","",IFERROR(VLOOKUP($CE321,DECODE!$A$3:$C$8,3,FALSE),"?"))</f>
        <v/>
      </c>
      <c r="CH321">
        <f>IF($CF321="","",IFERROR(VLOOKUP($CE321&amp;"-"&amp;$CF321,DECODE!$E$3:$F$21,2,FALSE),"?"))</f>
        <v/>
      </c>
      <c r="CI321">
        <f>IF($CD321="","",IFERROR(VALUE(RIGHT($CD321,3)),""))</f>
        <v/>
      </c>
      <c r="CJ321">
        <f>IF($Y321="","",IFERROR(IF(ISNUMBER($Y321),$Y321,DATEVALUE(TRIM($Y321))),""))</f>
        <v/>
      </c>
      <c r="CK321">
        <f>IF($CJ321="","",IF(MONTH($CJ321)&gt;=12,"Cold Winter",IF(MONTH($CJ321)&gt;=10,"Post-Monsoon",IF(MONTH($CJ321)&gt;=6,"Hot Humid",IF(MONTH($CJ321)&gt;=3,"Hot Dry","Cold Winter")))))</f>
        <v/>
      </c>
      <c r="CL321">
        <f>IF($CE321="","",IFERROR(VLOOKUP($CE321,DECODE!$A$3:$C$8,2,FALSE),"?"))</f>
        <v/>
      </c>
      <c r="CM321">
        <f>IF($AN321="","",AN321)</f>
        <v/>
      </c>
      <c r="CN321">
        <f>IF($AO321="","",AO321)</f>
        <v/>
      </c>
      <c r="CO321">
        <f>IF($AP321="","",AP321)</f>
        <v/>
      </c>
      <c r="CP321">
        <f>IF($CM321="","",IF($CM321="Aloe Vera Gel","Aloe Vera Gel "&amp;$CO321&amp;"g",CN321&amp;" "&amp;$CO321&amp;"g"))</f>
        <v/>
      </c>
      <c r="CQ321">
        <f>IF($AT321="",0,1)</f>
        <v/>
      </c>
      <c r="CR321">
        <f>IF($CQ321=0,"",AW321)</f>
        <v/>
      </c>
      <c r="CS321">
        <f>IF($CQ321=0,"",AX321)</f>
        <v/>
      </c>
      <c r="CT321">
        <f>IF($CQ321=0,"",AY321)</f>
        <v/>
      </c>
      <c r="CU321">
        <f>IF($CR321="","",IF($CR321="Aloe Vera Gel","Aloe Vera Gel "&amp;$CT321&amp;"g",CS321&amp;" "&amp;$CT321&amp;"g"))</f>
        <v/>
      </c>
      <c r="CV321">
        <f>IF($CQ321=0,"",IF($CP321=$CU321,"Repeat Exact",IF($CT321&gt;$CO321,"Upsized",IF($CT321&lt;$CO321,"Downsized",IF($CM321&lt;&gt;$CR321,"Lateral","Same Size Diff Variant")))))</f>
        <v/>
      </c>
      <c r="CW321">
        <f>IF($CQ321=0,"",AZ321-AQ321)</f>
        <v/>
      </c>
      <c r="CX321">
        <f>IF($CQ321=0,0,IF(CS321=CN321,1,0))</f>
        <v/>
      </c>
      <c r="CY321">
        <f>IF($CQ321=0,0,IF(CR321=CM321,1,0))</f>
        <v/>
      </c>
      <c r="CZ321">
        <f>IF($A321="","",IF(AND(IF(DASHBOARD!$C$4="All",TRUE,$CM321=DASHBOARD!$C$4),IF(DASHBOARD!$C$6="All",TRUE,$CP321=DASHBOARD!$C$6),IF(DASHBOARD!$C$8="All",TRUE,$AF321&gt;=DASHBOARD!$C$8),IF(DASHBOARD!$C$10="All",TRUE,$AF321&lt;=DASHBOARD!$C$10),IF(DASHBOARD!$C$12="All",TRUE,$AH321=VALUE(DASHBOARD!$C$12)),IF(DASHBOARD!$C$14="All",TRUE,$AJ321=DASHBOARD!$C$14)),1,0))</f>
        <v/>
      </c>
    </row>
    <row r="322">
      <c r="A322" t="n">
        <v>174841</v>
      </c>
      <c r="B322" t="inlineStr">
        <is>
          <t>Aloe Vera Gel</t>
        </is>
      </c>
      <c r="H322" t="inlineStr">
        <is>
          <t>Aloe Vera Gel - 80 gms</t>
        </is>
      </c>
      <c r="N322" t="inlineStr">
        <is>
          <t>FC-HG-PA-080</t>
        </is>
      </c>
      <c r="T322" t="inlineStr">
        <is>
          <t>Dec 6, 2025</t>
        </is>
      </c>
      <c r="AE322" t="inlineStr">
        <is>
          <t>Mumbai</t>
        </is>
      </c>
      <c r="AF322" t="inlineStr">
        <is>
          <t>2025-12</t>
        </is>
      </c>
      <c r="AG322" t="n">
        <v>12</v>
      </c>
      <c r="AH322" t="n">
        <v>1</v>
      </c>
      <c r="AI322" t="n">
        <v>0</v>
      </c>
      <c r="AJ322">
        <f>IF($AE322="","",IFERROR(VLOOKUP(TRIM($AE322),DECODE!$H$3:$I$60,2,FALSE),"Rest of India"))</f>
        <v/>
      </c>
      <c r="AK322">
        <f>IF($N322="","",UPPER(TRIM(LEFT($N322&amp;",",FIND(",",$N322&amp;",")-1))))</f>
        <v/>
      </c>
      <c r="AL322">
        <f>IF($AK322="","",MID($AK322,4,FIND("~",SUBSTITUTE($AK322,"-","~",2))-4))</f>
        <v/>
      </c>
      <c r="AM322">
        <f>IF($AK322="","",MID($AK322,FIND("~",SUBSTITUTE($AK322,"-","~",2))+1,FIND("~",SUBSTITUTE($AK322,"-","~",3))-FIND("~",SUBSTITUTE($AK322,"-","~",2))-1))</f>
        <v/>
      </c>
      <c r="AN322">
        <f>IF($AL322="","",IFERROR(VLOOKUP($AL322,DECODE!$A$3:$C$8,3,FALSE),"?"))</f>
        <v/>
      </c>
      <c r="AO322">
        <f>IF($AM322="","",IFERROR(VLOOKUP($AL322&amp;"-"&amp;$AM322,DECODE!$E$3:$F$21,2,FALSE),"?"))</f>
        <v/>
      </c>
      <c r="AP322">
        <f>IF($AK322="","",IFERROR(VALUE(RIGHT($AK322,3)),""))</f>
        <v/>
      </c>
      <c r="AQ322">
        <f>IF($T322="","",IFERROR(IF(ISNUMBER($T322),$T322,DATEVALUE(TRIM($T322))),""))</f>
        <v/>
      </c>
      <c r="AR322">
        <f>IF($AQ322="","",IF(MONTH($AQ322)&gt;=12,"Cold Winter",IF(MONTH($AQ322)&gt;=10,"Post-Monsoon",IF(MONTH($AQ322)&gt;=6,"Hot Humid",IF(MONTH($AQ322)&gt;=3,"Hot Dry","Cold Winter")))))</f>
        <v/>
      </c>
      <c r="AS322">
        <f>IF($AL322="","",IFERROR(VLOOKUP($AL322,DECODE!$A$3:$C$8,2,FALSE),"?"))</f>
        <v/>
      </c>
      <c r="AT322">
        <f>IF($O322="","",UPPER(TRIM(LEFT($O322&amp;",",FIND(",",$O322&amp;",")-1))))</f>
        <v/>
      </c>
      <c r="AU322">
        <f>IF($AT322="","",MID($AT322,4,FIND("~",SUBSTITUTE($AT322,"-","~",2))-4))</f>
        <v/>
      </c>
      <c r="AV322">
        <f>IF($AT322="","",MID($AT322,FIND("~",SUBSTITUTE($AT322,"-","~",2))+1,FIND("~",SUBSTITUTE($AT322,"-","~",3))-FIND("~",SUBSTITUTE($AT322,"-","~",2))-1))</f>
        <v/>
      </c>
      <c r="AW322">
        <f>IF($AU322="","",IFERROR(VLOOKUP($AU322,DECODE!$A$3:$C$8,3,FALSE),"?"))</f>
        <v/>
      </c>
      <c r="AX322">
        <f>IF($AV322="","",IFERROR(VLOOKUP($AU322&amp;"-"&amp;$AV322,DECODE!$E$3:$F$21,2,FALSE),"?"))</f>
        <v/>
      </c>
      <c r="AY322">
        <f>IF($AT322="","",IFERROR(VALUE(RIGHT($AT322,3)),""))</f>
        <v/>
      </c>
      <c r="AZ322">
        <f>IF($U322="","",IFERROR(IF(ISNUMBER($U322),$U322,DATEVALUE(TRIM($U322))),""))</f>
        <v/>
      </c>
      <c r="BA322">
        <f>IF($AZ322="","",IF(MONTH($AZ322)&gt;=12,"Cold Winter",IF(MONTH($AZ322)&gt;=10,"Post-Monsoon",IF(MONTH($AZ322)&gt;=6,"Hot Humid",IF(MONTH($AZ322)&gt;=3,"Hot Dry","Cold Winter")))))</f>
        <v/>
      </c>
      <c r="BB322">
        <f>IF($AU322="","",IFERROR(VLOOKUP($AU322,DECODE!$A$3:$C$8,2,FALSE),"?"))</f>
        <v/>
      </c>
      <c r="BC322">
        <f>IF($P322="","",UPPER(TRIM(LEFT($P322&amp;",",FIND(",",$P322&amp;",")-1))))</f>
        <v/>
      </c>
      <c r="BD322">
        <f>IF($BC322="","",MID($BC322,4,FIND("~",SUBSTITUTE($BC322,"-","~",2))-4))</f>
        <v/>
      </c>
      <c r="BE322">
        <f>IF($BC322="","",MID($BC322,FIND("~",SUBSTITUTE($BC322,"-","~",2))+1,FIND("~",SUBSTITUTE($BC322,"-","~",3))-FIND("~",SUBSTITUTE($BC322,"-","~",2))-1))</f>
        <v/>
      </c>
      <c r="BF322">
        <f>IF($BD322="","",IFERROR(VLOOKUP($BD322,DECODE!$A$3:$C$8,3,FALSE),"?"))</f>
        <v/>
      </c>
      <c r="BG322">
        <f>IF($BE322="","",IFERROR(VLOOKUP($BD322&amp;"-"&amp;$BE322,DECODE!$E$3:$F$21,2,FALSE),"?"))</f>
        <v/>
      </c>
      <c r="BH322">
        <f>IF($BC322="","",IFERROR(VALUE(RIGHT($BC322,3)),""))</f>
        <v/>
      </c>
      <c r="BI322">
        <f>IF($V322="","",IFERROR(IF(ISNUMBER($V322),$V322,DATEVALUE(TRIM($V322))),""))</f>
        <v/>
      </c>
      <c r="BJ322">
        <f>IF($BI322="","",IF(MONTH($BI322)&gt;=12,"Cold Winter",IF(MONTH($BI322)&gt;=10,"Post-Monsoon",IF(MONTH($BI322)&gt;=6,"Hot Humid",IF(MONTH($BI322)&gt;=3,"Hot Dry","Cold Winter")))))</f>
        <v/>
      </c>
      <c r="BK322">
        <f>IF($BD322="","",IFERROR(VLOOKUP($BD322,DECODE!$A$3:$C$8,2,FALSE),"?"))</f>
        <v/>
      </c>
      <c r="BL322">
        <f>IF($Q322="","",UPPER(TRIM(LEFT($Q322&amp;",",FIND(",",$Q322&amp;",")-1))))</f>
        <v/>
      </c>
      <c r="BM322">
        <f>IF($BL322="","",MID($BL322,4,FIND("~",SUBSTITUTE($BL322,"-","~",2))-4))</f>
        <v/>
      </c>
      <c r="BN322">
        <f>IF($BL322="","",MID($BL322,FIND("~",SUBSTITUTE($BL322,"-","~",2))+1,FIND("~",SUBSTITUTE($BL322,"-","~",3))-FIND("~",SUBSTITUTE($BL322,"-","~",2))-1))</f>
        <v/>
      </c>
      <c r="BO322">
        <f>IF($BM322="","",IFERROR(VLOOKUP($BM322,DECODE!$A$3:$C$8,3,FALSE),"?"))</f>
        <v/>
      </c>
      <c r="BP322">
        <f>IF($BN322="","",IFERROR(VLOOKUP($BM322&amp;"-"&amp;$BN322,DECODE!$E$3:$F$21,2,FALSE),"?"))</f>
        <v/>
      </c>
      <c r="BQ322">
        <f>IF($BL322="","",IFERROR(VALUE(RIGHT($BL322,3)),""))</f>
        <v/>
      </c>
      <c r="BR322">
        <f>IF($W322="","",IFERROR(IF(ISNUMBER($W322),$W322,DATEVALUE(TRIM($W322))),""))</f>
        <v/>
      </c>
      <c r="BS322">
        <f>IF($BR322="","",IF(MONTH($BR322)&gt;=12,"Cold Winter",IF(MONTH($BR322)&gt;=10,"Post-Monsoon",IF(MONTH($BR322)&gt;=6,"Hot Humid",IF(MONTH($BR322)&gt;=3,"Hot Dry","Cold Winter")))))</f>
        <v/>
      </c>
      <c r="BT322">
        <f>IF($BM322="","",IFERROR(VLOOKUP($BM322,DECODE!$A$3:$C$8,2,FALSE),"?"))</f>
        <v/>
      </c>
      <c r="BU322">
        <f>IF($R322="","",UPPER(TRIM(LEFT($R322&amp;",",FIND(",",$R322&amp;",")-1))))</f>
        <v/>
      </c>
      <c r="BV322">
        <f>IF($BU322="","",MID($BU322,4,FIND("~",SUBSTITUTE($BU322,"-","~",2))-4))</f>
        <v/>
      </c>
      <c r="BW322">
        <f>IF($BU322="","",MID($BU322,FIND("~",SUBSTITUTE($BU322,"-","~",2))+1,FIND("~",SUBSTITUTE($BU322,"-","~",3))-FIND("~",SUBSTITUTE($BU322,"-","~",2))-1))</f>
        <v/>
      </c>
      <c r="BX322">
        <f>IF($BV322="","",IFERROR(VLOOKUP($BV322,DECODE!$A$3:$C$8,3,FALSE),"?"))</f>
        <v/>
      </c>
      <c r="BY322">
        <f>IF($BW322="","",IFERROR(VLOOKUP($BV322&amp;"-"&amp;$BW322,DECODE!$E$3:$F$21,2,FALSE),"?"))</f>
        <v/>
      </c>
      <c r="BZ322">
        <f>IF($BU322="","",IFERROR(VALUE(RIGHT($BU322,3)),""))</f>
        <v/>
      </c>
      <c r="CA322">
        <f>IF($X322="","",IFERROR(IF(ISNUMBER($X322),$X322,DATEVALUE(TRIM($X322))),""))</f>
        <v/>
      </c>
      <c r="CB322">
        <f>IF($CA322="","",IF(MONTH($CA322)&gt;=12,"Cold Winter",IF(MONTH($CA322)&gt;=10,"Post-Monsoon",IF(MONTH($CA322)&gt;=6,"Hot Humid",IF(MONTH($CA322)&gt;=3,"Hot Dry","Cold Winter")))))</f>
        <v/>
      </c>
      <c r="CC322">
        <f>IF($BV322="","",IFERROR(VLOOKUP($BV322,DECODE!$A$3:$C$8,2,FALSE),"?"))</f>
        <v/>
      </c>
      <c r="CD322">
        <f>IF($S322="","",UPPER(TRIM(LEFT($S322&amp;",",FIND(",",$S322&amp;",")-1))))</f>
        <v/>
      </c>
      <c r="CE322">
        <f>IF($CD322="","",MID($CD322,4,FIND("~",SUBSTITUTE($CD322,"-","~",2))-4))</f>
        <v/>
      </c>
      <c r="CF322">
        <f>IF($CD322="","",MID($CD322,FIND("~",SUBSTITUTE($CD322,"-","~",2))+1,FIND("~",SUBSTITUTE($CD322,"-","~",3))-FIND("~",SUBSTITUTE($CD322,"-","~",2))-1))</f>
        <v/>
      </c>
      <c r="CG322">
        <f>IF($CE322="","",IFERROR(VLOOKUP($CE322,DECODE!$A$3:$C$8,3,FALSE),"?"))</f>
        <v/>
      </c>
      <c r="CH322">
        <f>IF($CF322="","",IFERROR(VLOOKUP($CE322&amp;"-"&amp;$CF322,DECODE!$E$3:$F$21,2,FALSE),"?"))</f>
        <v/>
      </c>
      <c r="CI322">
        <f>IF($CD322="","",IFERROR(VALUE(RIGHT($CD322,3)),""))</f>
        <v/>
      </c>
      <c r="CJ322">
        <f>IF($Y322="","",IFERROR(IF(ISNUMBER($Y322),$Y322,DATEVALUE(TRIM($Y322))),""))</f>
        <v/>
      </c>
      <c r="CK322">
        <f>IF($CJ322="","",IF(MONTH($CJ322)&gt;=12,"Cold Winter",IF(MONTH($CJ322)&gt;=10,"Post-Monsoon",IF(MONTH($CJ322)&gt;=6,"Hot Humid",IF(MONTH($CJ322)&gt;=3,"Hot Dry","Cold Winter")))))</f>
        <v/>
      </c>
      <c r="CL322">
        <f>IF($CE322="","",IFERROR(VLOOKUP($CE322,DECODE!$A$3:$C$8,2,FALSE),"?"))</f>
        <v/>
      </c>
      <c r="CM322">
        <f>IF($AN322="","",AN322)</f>
        <v/>
      </c>
      <c r="CN322">
        <f>IF($AO322="","",AO322)</f>
        <v/>
      </c>
      <c r="CO322">
        <f>IF($AP322="","",AP322)</f>
        <v/>
      </c>
      <c r="CP322">
        <f>IF($CM322="","",IF($CM322="Aloe Vera Gel","Aloe Vera Gel "&amp;$CO322&amp;"g",CN322&amp;" "&amp;$CO322&amp;"g"))</f>
        <v/>
      </c>
      <c r="CQ322">
        <f>IF($AT322="",0,1)</f>
        <v/>
      </c>
      <c r="CR322">
        <f>IF($CQ322=0,"",AW322)</f>
        <v/>
      </c>
      <c r="CS322">
        <f>IF($CQ322=0,"",AX322)</f>
        <v/>
      </c>
      <c r="CT322">
        <f>IF($CQ322=0,"",AY322)</f>
        <v/>
      </c>
      <c r="CU322">
        <f>IF($CR322="","",IF($CR322="Aloe Vera Gel","Aloe Vera Gel "&amp;$CT322&amp;"g",CS322&amp;" "&amp;$CT322&amp;"g"))</f>
        <v/>
      </c>
      <c r="CV322">
        <f>IF($CQ322=0,"",IF($CP322=$CU322,"Repeat Exact",IF($CT322&gt;$CO322,"Upsized",IF($CT322&lt;$CO322,"Downsized",IF($CM322&lt;&gt;$CR322,"Lateral","Same Size Diff Variant")))))</f>
        <v/>
      </c>
      <c r="CW322">
        <f>IF($CQ322=0,"",AZ322-AQ322)</f>
        <v/>
      </c>
      <c r="CX322">
        <f>IF($CQ322=0,0,IF(CS322=CN322,1,0))</f>
        <v/>
      </c>
      <c r="CY322">
        <f>IF($CQ322=0,0,IF(CR322=CM322,1,0))</f>
        <v/>
      </c>
      <c r="CZ322">
        <f>IF($A322="","",IF(AND(IF(DASHBOARD!$C$4="All",TRUE,$CM322=DASHBOARD!$C$4),IF(DASHBOARD!$C$6="All",TRUE,$CP322=DASHBOARD!$C$6),IF(DASHBOARD!$C$8="All",TRUE,$AF322&gt;=DASHBOARD!$C$8),IF(DASHBOARD!$C$10="All",TRUE,$AF322&lt;=DASHBOARD!$C$10),IF(DASHBOARD!$C$12="All",TRUE,$AH322=VALUE(DASHBOARD!$C$12)),IF(DASHBOARD!$C$14="All",TRUE,$AJ322=DASHBOARD!$C$14)),1,0))</f>
        <v/>
      </c>
    </row>
    <row r="323">
      <c r="A323" t="n">
        <v>174993</v>
      </c>
      <c r="B323" t="inlineStr">
        <is>
          <t>Aloe Vera Gel</t>
        </is>
      </c>
      <c r="H323" t="inlineStr">
        <is>
          <t>Aloe Vera Gel - 40 gms</t>
        </is>
      </c>
      <c r="N323" t="inlineStr">
        <is>
          <t>FC-HG-PA-040</t>
        </is>
      </c>
      <c r="T323" t="inlineStr">
        <is>
          <t>Apr 10, 2024</t>
        </is>
      </c>
      <c r="AE323" t="inlineStr">
        <is>
          <t>Bengaluru</t>
        </is>
      </c>
      <c r="AF323" t="inlineStr">
        <is>
          <t>2024-04</t>
        </is>
      </c>
      <c r="AG323" t="n">
        <v>4</v>
      </c>
      <c r="AH323" t="n">
        <v>1</v>
      </c>
      <c r="AI323" t="n">
        <v>0</v>
      </c>
      <c r="AJ323">
        <f>IF($AE323="","",IFERROR(VLOOKUP(TRIM($AE323),DECODE!$H$3:$I$60,2,FALSE),"Rest of India"))</f>
        <v/>
      </c>
      <c r="AK323">
        <f>IF($N323="","",UPPER(TRIM(LEFT($N323&amp;",",FIND(",",$N323&amp;",")-1))))</f>
        <v/>
      </c>
      <c r="AL323">
        <f>IF($AK323="","",MID($AK323,4,FIND("~",SUBSTITUTE($AK323,"-","~",2))-4))</f>
        <v/>
      </c>
      <c r="AM323">
        <f>IF($AK323="","",MID($AK323,FIND("~",SUBSTITUTE($AK323,"-","~",2))+1,FIND("~",SUBSTITUTE($AK323,"-","~",3))-FIND("~",SUBSTITUTE($AK323,"-","~",2))-1))</f>
        <v/>
      </c>
      <c r="AN323">
        <f>IF($AL323="","",IFERROR(VLOOKUP($AL323,DECODE!$A$3:$C$8,3,FALSE),"?"))</f>
        <v/>
      </c>
      <c r="AO323">
        <f>IF($AM323="","",IFERROR(VLOOKUP($AL323&amp;"-"&amp;$AM323,DECODE!$E$3:$F$21,2,FALSE),"?"))</f>
        <v/>
      </c>
      <c r="AP323">
        <f>IF($AK323="","",IFERROR(VALUE(RIGHT($AK323,3)),""))</f>
        <v/>
      </c>
      <c r="AQ323">
        <f>IF($T323="","",IFERROR(IF(ISNUMBER($T323),$T323,DATEVALUE(TRIM($T323))),""))</f>
        <v/>
      </c>
      <c r="AR323">
        <f>IF($AQ323="","",IF(MONTH($AQ323)&gt;=12,"Cold Winter",IF(MONTH($AQ323)&gt;=10,"Post-Monsoon",IF(MONTH($AQ323)&gt;=6,"Hot Humid",IF(MONTH($AQ323)&gt;=3,"Hot Dry","Cold Winter")))))</f>
        <v/>
      </c>
      <c r="AS323">
        <f>IF($AL323="","",IFERROR(VLOOKUP($AL323,DECODE!$A$3:$C$8,2,FALSE),"?"))</f>
        <v/>
      </c>
      <c r="AT323">
        <f>IF($O323="","",UPPER(TRIM(LEFT($O323&amp;",",FIND(",",$O323&amp;",")-1))))</f>
        <v/>
      </c>
      <c r="AU323">
        <f>IF($AT323="","",MID($AT323,4,FIND("~",SUBSTITUTE($AT323,"-","~",2))-4))</f>
        <v/>
      </c>
      <c r="AV323">
        <f>IF($AT323="","",MID($AT323,FIND("~",SUBSTITUTE($AT323,"-","~",2))+1,FIND("~",SUBSTITUTE($AT323,"-","~",3))-FIND("~",SUBSTITUTE($AT323,"-","~",2))-1))</f>
        <v/>
      </c>
      <c r="AW323">
        <f>IF($AU323="","",IFERROR(VLOOKUP($AU323,DECODE!$A$3:$C$8,3,FALSE),"?"))</f>
        <v/>
      </c>
      <c r="AX323">
        <f>IF($AV323="","",IFERROR(VLOOKUP($AU323&amp;"-"&amp;$AV323,DECODE!$E$3:$F$21,2,FALSE),"?"))</f>
        <v/>
      </c>
      <c r="AY323">
        <f>IF($AT323="","",IFERROR(VALUE(RIGHT($AT323,3)),""))</f>
        <v/>
      </c>
      <c r="AZ323">
        <f>IF($U323="","",IFERROR(IF(ISNUMBER($U323),$U323,DATEVALUE(TRIM($U323))),""))</f>
        <v/>
      </c>
      <c r="BA323">
        <f>IF($AZ323="","",IF(MONTH($AZ323)&gt;=12,"Cold Winter",IF(MONTH($AZ323)&gt;=10,"Post-Monsoon",IF(MONTH($AZ323)&gt;=6,"Hot Humid",IF(MONTH($AZ323)&gt;=3,"Hot Dry","Cold Winter")))))</f>
        <v/>
      </c>
      <c r="BB323">
        <f>IF($AU323="","",IFERROR(VLOOKUP($AU323,DECODE!$A$3:$C$8,2,FALSE),"?"))</f>
        <v/>
      </c>
      <c r="BC323">
        <f>IF($P323="","",UPPER(TRIM(LEFT($P323&amp;",",FIND(",",$P323&amp;",")-1))))</f>
        <v/>
      </c>
      <c r="BD323">
        <f>IF($BC323="","",MID($BC323,4,FIND("~",SUBSTITUTE($BC323,"-","~",2))-4))</f>
        <v/>
      </c>
      <c r="BE323">
        <f>IF($BC323="","",MID($BC323,FIND("~",SUBSTITUTE($BC323,"-","~",2))+1,FIND("~",SUBSTITUTE($BC323,"-","~",3))-FIND("~",SUBSTITUTE($BC323,"-","~",2))-1))</f>
        <v/>
      </c>
      <c r="BF323">
        <f>IF($BD323="","",IFERROR(VLOOKUP($BD323,DECODE!$A$3:$C$8,3,FALSE),"?"))</f>
        <v/>
      </c>
      <c r="BG323">
        <f>IF($BE323="","",IFERROR(VLOOKUP($BD323&amp;"-"&amp;$BE323,DECODE!$E$3:$F$21,2,FALSE),"?"))</f>
        <v/>
      </c>
      <c r="BH323">
        <f>IF($BC323="","",IFERROR(VALUE(RIGHT($BC323,3)),""))</f>
        <v/>
      </c>
      <c r="BI323">
        <f>IF($V323="","",IFERROR(IF(ISNUMBER($V323),$V323,DATEVALUE(TRIM($V323))),""))</f>
        <v/>
      </c>
      <c r="BJ323">
        <f>IF($BI323="","",IF(MONTH($BI323)&gt;=12,"Cold Winter",IF(MONTH($BI323)&gt;=10,"Post-Monsoon",IF(MONTH($BI323)&gt;=6,"Hot Humid",IF(MONTH($BI323)&gt;=3,"Hot Dry","Cold Winter")))))</f>
        <v/>
      </c>
      <c r="BK323">
        <f>IF($BD323="","",IFERROR(VLOOKUP($BD323,DECODE!$A$3:$C$8,2,FALSE),"?"))</f>
        <v/>
      </c>
      <c r="BL323">
        <f>IF($Q323="","",UPPER(TRIM(LEFT($Q323&amp;",",FIND(",",$Q323&amp;",")-1))))</f>
        <v/>
      </c>
      <c r="BM323">
        <f>IF($BL323="","",MID($BL323,4,FIND("~",SUBSTITUTE($BL323,"-","~",2))-4))</f>
        <v/>
      </c>
      <c r="BN323">
        <f>IF($BL323="","",MID($BL323,FIND("~",SUBSTITUTE($BL323,"-","~",2))+1,FIND("~",SUBSTITUTE($BL323,"-","~",3))-FIND("~",SUBSTITUTE($BL323,"-","~",2))-1))</f>
        <v/>
      </c>
      <c r="BO323">
        <f>IF($BM323="","",IFERROR(VLOOKUP($BM323,DECODE!$A$3:$C$8,3,FALSE),"?"))</f>
        <v/>
      </c>
      <c r="BP323">
        <f>IF($BN323="","",IFERROR(VLOOKUP($BM323&amp;"-"&amp;$BN323,DECODE!$E$3:$F$21,2,FALSE),"?"))</f>
        <v/>
      </c>
      <c r="BQ323">
        <f>IF($BL323="","",IFERROR(VALUE(RIGHT($BL323,3)),""))</f>
        <v/>
      </c>
      <c r="BR323">
        <f>IF($W323="","",IFERROR(IF(ISNUMBER($W323),$W323,DATEVALUE(TRIM($W323))),""))</f>
        <v/>
      </c>
      <c r="BS323">
        <f>IF($BR323="","",IF(MONTH($BR323)&gt;=12,"Cold Winter",IF(MONTH($BR323)&gt;=10,"Post-Monsoon",IF(MONTH($BR323)&gt;=6,"Hot Humid",IF(MONTH($BR323)&gt;=3,"Hot Dry","Cold Winter")))))</f>
        <v/>
      </c>
      <c r="BT323">
        <f>IF($BM323="","",IFERROR(VLOOKUP($BM323,DECODE!$A$3:$C$8,2,FALSE),"?"))</f>
        <v/>
      </c>
      <c r="BU323">
        <f>IF($R323="","",UPPER(TRIM(LEFT($R323&amp;",",FIND(",",$R323&amp;",")-1))))</f>
        <v/>
      </c>
      <c r="BV323">
        <f>IF($BU323="","",MID($BU323,4,FIND("~",SUBSTITUTE($BU323,"-","~",2))-4))</f>
        <v/>
      </c>
      <c r="BW323">
        <f>IF($BU323="","",MID($BU323,FIND("~",SUBSTITUTE($BU323,"-","~",2))+1,FIND("~",SUBSTITUTE($BU323,"-","~",3))-FIND("~",SUBSTITUTE($BU323,"-","~",2))-1))</f>
        <v/>
      </c>
      <c r="BX323">
        <f>IF($BV323="","",IFERROR(VLOOKUP($BV323,DECODE!$A$3:$C$8,3,FALSE),"?"))</f>
        <v/>
      </c>
      <c r="BY323">
        <f>IF($BW323="","",IFERROR(VLOOKUP($BV323&amp;"-"&amp;$BW323,DECODE!$E$3:$F$21,2,FALSE),"?"))</f>
        <v/>
      </c>
      <c r="BZ323">
        <f>IF($BU323="","",IFERROR(VALUE(RIGHT($BU323,3)),""))</f>
        <v/>
      </c>
      <c r="CA323">
        <f>IF($X323="","",IFERROR(IF(ISNUMBER($X323),$X323,DATEVALUE(TRIM($X323))),""))</f>
        <v/>
      </c>
      <c r="CB323">
        <f>IF($CA323="","",IF(MONTH($CA323)&gt;=12,"Cold Winter",IF(MONTH($CA323)&gt;=10,"Post-Monsoon",IF(MONTH($CA323)&gt;=6,"Hot Humid",IF(MONTH($CA323)&gt;=3,"Hot Dry","Cold Winter")))))</f>
        <v/>
      </c>
      <c r="CC323">
        <f>IF($BV323="","",IFERROR(VLOOKUP($BV323,DECODE!$A$3:$C$8,2,FALSE),"?"))</f>
        <v/>
      </c>
      <c r="CD323">
        <f>IF($S323="","",UPPER(TRIM(LEFT($S323&amp;",",FIND(",",$S323&amp;",")-1))))</f>
        <v/>
      </c>
      <c r="CE323">
        <f>IF($CD323="","",MID($CD323,4,FIND("~",SUBSTITUTE($CD323,"-","~",2))-4))</f>
        <v/>
      </c>
      <c r="CF323">
        <f>IF($CD323="","",MID($CD323,FIND("~",SUBSTITUTE($CD323,"-","~",2))+1,FIND("~",SUBSTITUTE($CD323,"-","~",3))-FIND("~",SUBSTITUTE($CD323,"-","~",2))-1))</f>
        <v/>
      </c>
      <c r="CG323">
        <f>IF($CE323="","",IFERROR(VLOOKUP($CE323,DECODE!$A$3:$C$8,3,FALSE),"?"))</f>
        <v/>
      </c>
      <c r="CH323">
        <f>IF($CF323="","",IFERROR(VLOOKUP($CE323&amp;"-"&amp;$CF323,DECODE!$E$3:$F$21,2,FALSE),"?"))</f>
        <v/>
      </c>
      <c r="CI323">
        <f>IF($CD323="","",IFERROR(VALUE(RIGHT($CD323,3)),""))</f>
        <v/>
      </c>
      <c r="CJ323">
        <f>IF($Y323="","",IFERROR(IF(ISNUMBER($Y323),$Y323,DATEVALUE(TRIM($Y323))),""))</f>
        <v/>
      </c>
      <c r="CK323">
        <f>IF($CJ323="","",IF(MONTH($CJ323)&gt;=12,"Cold Winter",IF(MONTH($CJ323)&gt;=10,"Post-Monsoon",IF(MONTH($CJ323)&gt;=6,"Hot Humid",IF(MONTH($CJ323)&gt;=3,"Hot Dry","Cold Winter")))))</f>
        <v/>
      </c>
      <c r="CL323">
        <f>IF($CE323="","",IFERROR(VLOOKUP($CE323,DECODE!$A$3:$C$8,2,FALSE),"?"))</f>
        <v/>
      </c>
      <c r="CM323">
        <f>IF($AN323="","",AN323)</f>
        <v/>
      </c>
      <c r="CN323">
        <f>IF($AO323="","",AO323)</f>
        <v/>
      </c>
      <c r="CO323">
        <f>IF($AP323="","",AP323)</f>
        <v/>
      </c>
      <c r="CP323">
        <f>IF($CM323="","",IF($CM323="Aloe Vera Gel","Aloe Vera Gel "&amp;$CO323&amp;"g",CN323&amp;" "&amp;$CO323&amp;"g"))</f>
        <v/>
      </c>
      <c r="CQ323">
        <f>IF($AT323="",0,1)</f>
        <v/>
      </c>
      <c r="CR323">
        <f>IF($CQ323=0,"",AW323)</f>
        <v/>
      </c>
      <c r="CS323">
        <f>IF($CQ323=0,"",AX323)</f>
        <v/>
      </c>
      <c r="CT323">
        <f>IF($CQ323=0,"",AY323)</f>
        <v/>
      </c>
      <c r="CU323">
        <f>IF($CR323="","",IF($CR323="Aloe Vera Gel","Aloe Vera Gel "&amp;$CT323&amp;"g",CS323&amp;" "&amp;$CT323&amp;"g"))</f>
        <v/>
      </c>
      <c r="CV323">
        <f>IF($CQ323=0,"",IF($CP323=$CU323,"Repeat Exact",IF($CT323&gt;$CO323,"Upsized",IF($CT323&lt;$CO323,"Downsized",IF($CM323&lt;&gt;$CR323,"Lateral","Same Size Diff Variant")))))</f>
        <v/>
      </c>
      <c r="CW323">
        <f>IF($CQ323=0,"",AZ323-AQ323)</f>
        <v/>
      </c>
      <c r="CX323">
        <f>IF($CQ323=0,0,IF(CS323=CN323,1,0))</f>
        <v/>
      </c>
      <c r="CY323">
        <f>IF($CQ323=0,0,IF(CR323=CM323,1,0))</f>
        <v/>
      </c>
      <c r="CZ323">
        <f>IF($A323="","",IF(AND(IF(DASHBOARD!$C$4="All",TRUE,$CM323=DASHBOARD!$C$4),IF(DASHBOARD!$C$6="All",TRUE,$CP323=DASHBOARD!$C$6),IF(DASHBOARD!$C$8="All",TRUE,$AF323&gt;=DASHBOARD!$C$8),IF(DASHBOARD!$C$10="All",TRUE,$AF323&lt;=DASHBOARD!$C$10),IF(DASHBOARD!$C$12="All",TRUE,$AH323=VALUE(DASHBOARD!$C$12)),IF(DASHBOARD!$C$14="All",TRUE,$AJ323=DASHBOARD!$C$14)),1,0))</f>
        <v/>
      </c>
    </row>
    <row r="324">
      <c r="A324" t="n">
        <v>175920</v>
      </c>
      <c r="B324" t="inlineStr">
        <is>
          <t>Face Malai</t>
        </is>
      </c>
      <c r="H324" t="inlineStr">
        <is>
          <t>Turmeric Nutmeg (Pigmentation)  Face Malai - 30g</t>
        </is>
      </c>
      <c r="N324" t="inlineStr">
        <is>
          <t>FC-DM-PG-030</t>
        </is>
      </c>
      <c r="T324" t="inlineStr">
        <is>
          <t>Feb 17, 2026</t>
        </is>
      </c>
      <c r="AE324" t="inlineStr">
        <is>
          <t>Kolkata</t>
        </is>
      </c>
      <c r="AF324" t="inlineStr">
        <is>
          <t>2026-02</t>
        </is>
      </c>
      <c r="AG324" t="n">
        <v>2</v>
      </c>
      <c r="AH324" t="n">
        <v>1</v>
      </c>
      <c r="AI324" t="n">
        <v>0</v>
      </c>
      <c r="AJ324">
        <f>IF($AE324="","",IFERROR(VLOOKUP(TRIM($AE324),DECODE!$H$3:$I$60,2,FALSE),"Rest of India"))</f>
        <v/>
      </c>
      <c r="AK324">
        <f>IF($N324="","",UPPER(TRIM(LEFT($N324&amp;",",FIND(",",$N324&amp;",")-1))))</f>
        <v/>
      </c>
      <c r="AL324">
        <f>IF($AK324="","",MID($AK324,4,FIND("~",SUBSTITUTE($AK324,"-","~",2))-4))</f>
        <v/>
      </c>
      <c r="AM324">
        <f>IF($AK324="","",MID($AK324,FIND("~",SUBSTITUTE($AK324,"-","~",2))+1,FIND("~",SUBSTITUTE($AK324,"-","~",3))-FIND("~",SUBSTITUTE($AK324,"-","~",2))-1))</f>
        <v/>
      </c>
      <c r="AN324">
        <f>IF($AL324="","",IFERROR(VLOOKUP($AL324,DECODE!$A$3:$C$8,3,FALSE),"?"))</f>
        <v/>
      </c>
      <c r="AO324">
        <f>IF($AM324="","",IFERROR(VLOOKUP($AL324&amp;"-"&amp;$AM324,DECODE!$E$3:$F$21,2,FALSE),"?"))</f>
        <v/>
      </c>
      <c r="AP324">
        <f>IF($AK324="","",IFERROR(VALUE(RIGHT($AK324,3)),""))</f>
        <v/>
      </c>
      <c r="AQ324">
        <f>IF($T324="","",IFERROR(IF(ISNUMBER($T324),$T324,DATEVALUE(TRIM($T324))),""))</f>
        <v/>
      </c>
      <c r="AR324">
        <f>IF($AQ324="","",IF(MONTH($AQ324)&gt;=12,"Cold Winter",IF(MONTH($AQ324)&gt;=10,"Post-Monsoon",IF(MONTH($AQ324)&gt;=6,"Hot Humid",IF(MONTH($AQ324)&gt;=3,"Hot Dry","Cold Winter")))))</f>
        <v/>
      </c>
      <c r="AS324">
        <f>IF($AL324="","",IFERROR(VLOOKUP($AL324,DECODE!$A$3:$C$8,2,FALSE),"?"))</f>
        <v/>
      </c>
      <c r="AT324">
        <f>IF($O324="","",UPPER(TRIM(LEFT($O324&amp;",",FIND(",",$O324&amp;",")-1))))</f>
        <v/>
      </c>
      <c r="AU324">
        <f>IF($AT324="","",MID($AT324,4,FIND("~",SUBSTITUTE($AT324,"-","~",2))-4))</f>
        <v/>
      </c>
      <c r="AV324">
        <f>IF($AT324="","",MID($AT324,FIND("~",SUBSTITUTE($AT324,"-","~",2))+1,FIND("~",SUBSTITUTE($AT324,"-","~",3))-FIND("~",SUBSTITUTE($AT324,"-","~",2))-1))</f>
        <v/>
      </c>
      <c r="AW324">
        <f>IF($AU324="","",IFERROR(VLOOKUP($AU324,DECODE!$A$3:$C$8,3,FALSE),"?"))</f>
        <v/>
      </c>
      <c r="AX324">
        <f>IF($AV324="","",IFERROR(VLOOKUP($AU324&amp;"-"&amp;$AV324,DECODE!$E$3:$F$21,2,FALSE),"?"))</f>
        <v/>
      </c>
      <c r="AY324">
        <f>IF($AT324="","",IFERROR(VALUE(RIGHT($AT324,3)),""))</f>
        <v/>
      </c>
      <c r="AZ324">
        <f>IF($U324="","",IFERROR(IF(ISNUMBER($U324),$U324,DATEVALUE(TRIM($U324))),""))</f>
        <v/>
      </c>
      <c r="BA324">
        <f>IF($AZ324="","",IF(MONTH($AZ324)&gt;=12,"Cold Winter",IF(MONTH($AZ324)&gt;=10,"Post-Monsoon",IF(MONTH($AZ324)&gt;=6,"Hot Humid",IF(MONTH($AZ324)&gt;=3,"Hot Dry","Cold Winter")))))</f>
        <v/>
      </c>
      <c r="BB324">
        <f>IF($AU324="","",IFERROR(VLOOKUP($AU324,DECODE!$A$3:$C$8,2,FALSE),"?"))</f>
        <v/>
      </c>
      <c r="BC324">
        <f>IF($P324="","",UPPER(TRIM(LEFT($P324&amp;",",FIND(",",$P324&amp;",")-1))))</f>
        <v/>
      </c>
      <c r="BD324">
        <f>IF($BC324="","",MID($BC324,4,FIND("~",SUBSTITUTE($BC324,"-","~",2))-4))</f>
        <v/>
      </c>
      <c r="BE324">
        <f>IF($BC324="","",MID($BC324,FIND("~",SUBSTITUTE($BC324,"-","~",2))+1,FIND("~",SUBSTITUTE($BC324,"-","~",3))-FIND("~",SUBSTITUTE($BC324,"-","~",2))-1))</f>
        <v/>
      </c>
      <c r="BF324">
        <f>IF($BD324="","",IFERROR(VLOOKUP($BD324,DECODE!$A$3:$C$8,3,FALSE),"?"))</f>
        <v/>
      </c>
      <c r="BG324">
        <f>IF($BE324="","",IFERROR(VLOOKUP($BD324&amp;"-"&amp;$BE324,DECODE!$E$3:$F$21,2,FALSE),"?"))</f>
        <v/>
      </c>
      <c r="BH324">
        <f>IF($BC324="","",IFERROR(VALUE(RIGHT($BC324,3)),""))</f>
        <v/>
      </c>
      <c r="BI324">
        <f>IF($V324="","",IFERROR(IF(ISNUMBER($V324),$V324,DATEVALUE(TRIM($V324))),""))</f>
        <v/>
      </c>
      <c r="BJ324">
        <f>IF($BI324="","",IF(MONTH($BI324)&gt;=12,"Cold Winter",IF(MONTH($BI324)&gt;=10,"Post-Monsoon",IF(MONTH($BI324)&gt;=6,"Hot Humid",IF(MONTH($BI324)&gt;=3,"Hot Dry","Cold Winter")))))</f>
        <v/>
      </c>
      <c r="BK324">
        <f>IF($BD324="","",IFERROR(VLOOKUP($BD324,DECODE!$A$3:$C$8,2,FALSE),"?"))</f>
        <v/>
      </c>
      <c r="BL324">
        <f>IF($Q324="","",UPPER(TRIM(LEFT($Q324&amp;",",FIND(",",$Q324&amp;",")-1))))</f>
        <v/>
      </c>
      <c r="BM324">
        <f>IF($BL324="","",MID($BL324,4,FIND("~",SUBSTITUTE($BL324,"-","~",2))-4))</f>
        <v/>
      </c>
      <c r="BN324">
        <f>IF($BL324="","",MID($BL324,FIND("~",SUBSTITUTE($BL324,"-","~",2))+1,FIND("~",SUBSTITUTE($BL324,"-","~",3))-FIND("~",SUBSTITUTE($BL324,"-","~",2))-1))</f>
        <v/>
      </c>
      <c r="BO324">
        <f>IF($BM324="","",IFERROR(VLOOKUP($BM324,DECODE!$A$3:$C$8,3,FALSE),"?"))</f>
        <v/>
      </c>
      <c r="BP324">
        <f>IF($BN324="","",IFERROR(VLOOKUP($BM324&amp;"-"&amp;$BN324,DECODE!$E$3:$F$21,2,FALSE),"?"))</f>
        <v/>
      </c>
      <c r="BQ324">
        <f>IF($BL324="","",IFERROR(VALUE(RIGHT($BL324,3)),""))</f>
        <v/>
      </c>
      <c r="BR324">
        <f>IF($W324="","",IFERROR(IF(ISNUMBER($W324),$W324,DATEVALUE(TRIM($W324))),""))</f>
        <v/>
      </c>
      <c r="BS324">
        <f>IF($BR324="","",IF(MONTH($BR324)&gt;=12,"Cold Winter",IF(MONTH($BR324)&gt;=10,"Post-Monsoon",IF(MONTH($BR324)&gt;=6,"Hot Humid",IF(MONTH($BR324)&gt;=3,"Hot Dry","Cold Winter")))))</f>
        <v/>
      </c>
      <c r="BT324">
        <f>IF($BM324="","",IFERROR(VLOOKUP($BM324,DECODE!$A$3:$C$8,2,FALSE),"?"))</f>
        <v/>
      </c>
      <c r="BU324">
        <f>IF($R324="","",UPPER(TRIM(LEFT($R324&amp;",",FIND(",",$R324&amp;",")-1))))</f>
        <v/>
      </c>
      <c r="BV324">
        <f>IF($BU324="","",MID($BU324,4,FIND("~",SUBSTITUTE($BU324,"-","~",2))-4))</f>
        <v/>
      </c>
      <c r="BW324">
        <f>IF($BU324="","",MID($BU324,FIND("~",SUBSTITUTE($BU324,"-","~",2))+1,FIND("~",SUBSTITUTE($BU324,"-","~",3))-FIND("~",SUBSTITUTE($BU324,"-","~",2))-1))</f>
        <v/>
      </c>
      <c r="BX324">
        <f>IF($BV324="","",IFERROR(VLOOKUP($BV324,DECODE!$A$3:$C$8,3,FALSE),"?"))</f>
        <v/>
      </c>
      <c r="BY324">
        <f>IF($BW324="","",IFERROR(VLOOKUP($BV324&amp;"-"&amp;$BW324,DECODE!$E$3:$F$21,2,FALSE),"?"))</f>
        <v/>
      </c>
      <c r="BZ324">
        <f>IF($BU324="","",IFERROR(VALUE(RIGHT($BU324,3)),""))</f>
        <v/>
      </c>
      <c r="CA324">
        <f>IF($X324="","",IFERROR(IF(ISNUMBER($X324),$X324,DATEVALUE(TRIM($X324))),""))</f>
        <v/>
      </c>
      <c r="CB324">
        <f>IF($CA324="","",IF(MONTH($CA324)&gt;=12,"Cold Winter",IF(MONTH($CA324)&gt;=10,"Post-Monsoon",IF(MONTH($CA324)&gt;=6,"Hot Humid",IF(MONTH($CA324)&gt;=3,"Hot Dry","Cold Winter")))))</f>
        <v/>
      </c>
      <c r="CC324">
        <f>IF($BV324="","",IFERROR(VLOOKUP($BV324,DECODE!$A$3:$C$8,2,FALSE),"?"))</f>
        <v/>
      </c>
      <c r="CD324">
        <f>IF($S324="","",UPPER(TRIM(LEFT($S324&amp;",",FIND(",",$S324&amp;",")-1))))</f>
        <v/>
      </c>
      <c r="CE324">
        <f>IF($CD324="","",MID($CD324,4,FIND("~",SUBSTITUTE($CD324,"-","~",2))-4))</f>
        <v/>
      </c>
      <c r="CF324">
        <f>IF($CD324="","",MID($CD324,FIND("~",SUBSTITUTE($CD324,"-","~",2))+1,FIND("~",SUBSTITUTE($CD324,"-","~",3))-FIND("~",SUBSTITUTE($CD324,"-","~",2))-1))</f>
        <v/>
      </c>
      <c r="CG324">
        <f>IF($CE324="","",IFERROR(VLOOKUP($CE324,DECODE!$A$3:$C$8,3,FALSE),"?"))</f>
        <v/>
      </c>
      <c r="CH324">
        <f>IF($CF324="","",IFERROR(VLOOKUP($CE324&amp;"-"&amp;$CF324,DECODE!$E$3:$F$21,2,FALSE),"?"))</f>
        <v/>
      </c>
      <c r="CI324">
        <f>IF($CD324="","",IFERROR(VALUE(RIGHT($CD324,3)),""))</f>
        <v/>
      </c>
      <c r="CJ324">
        <f>IF($Y324="","",IFERROR(IF(ISNUMBER($Y324),$Y324,DATEVALUE(TRIM($Y324))),""))</f>
        <v/>
      </c>
      <c r="CK324">
        <f>IF($CJ324="","",IF(MONTH($CJ324)&gt;=12,"Cold Winter",IF(MONTH($CJ324)&gt;=10,"Post-Monsoon",IF(MONTH($CJ324)&gt;=6,"Hot Humid",IF(MONTH($CJ324)&gt;=3,"Hot Dry","Cold Winter")))))</f>
        <v/>
      </c>
      <c r="CL324">
        <f>IF($CE324="","",IFERROR(VLOOKUP($CE324,DECODE!$A$3:$C$8,2,FALSE),"?"))</f>
        <v/>
      </c>
      <c r="CM324">
        <f>IF($AN324="","",AN324)</f>
        <v/>
      </c>
      <c r="CN324">
        <f>IF($AO324="","",AO324)</f>
        <v/>
      </c>
      <c r="CO324">
        <f>IF($AP324="","",AP324)</f>
        <v/>
      </c>
      <c r="CP324">
        <f>IF($CM324="","",IF($CM324="Aloe Vera Gel","Aloe Vera Gel "&amp;$CO324&amp;"g",CN324&amp;" "&amp;$CO324&amp;"g"))</f>
        <v/>
      </c>
      <c r="CQ324">
        <f>IF($AT324="",0,1)</f>
        <v/>
      </c>
      <c r="CR324">
        <f>IF($CQ324=0,"",AW324)</f>
        <v/>
      </c>
      <c r="CS324">
        <f>IF($CQ324=0,"",AX324)</f>
        <v/>
      </c>
      <c r="CT324">
        <f>IF($CQ324=0,"",AY324)</f>
        <v/>
      </c>
      <c r="CU324">
        <f>IF($CR324="","",IF($CR324="Aloe Vera Gel","Aloe Vera Gel "&amp;$CT324&amp;"g",CS324&amp;" "&amp;$CT324&amp;"g"))</f>
        <v/>
      </c>
      <c r="CV324">
        <f>IF($CQ324=0,"",IF($CP324=$CU324,"Repeat Exact",IF($CT324&gt;$CO324,"Upsized",IF($CT324&lt;$CO324,"Downsized",IF($CM324&lt;&gt;$CR324,"Lateral","Same Size Diff Variant")))))</f>
        <v/>
      </c>
      <c r="CW324">
        <f>IF($CQ324=0,"",AZ324-AQ324)</f>
        <v/>
      </c>
      <c r="CX324">
        <f>IF($CQ324=0,0,IF(CS324=CN324,1,0))</f>
        <v/>
      </c>
      <c r="CY324">
        <f>IF($CQ324=0,0,IF(CR324=CM324,1,0))</f>
        <v/>
      </c>
      <c r="CZ324">
        <f>IF($A324="","",IF(AND(IF(DASHBOARD!$C$4="All",TRUE,$CM324=DASHBOARD!$C$4),IF(DASHBOARD!$C$6="All",TRUE,$CP324=DASHBOARD!$C$6),IF(DASHBOARD!$C$8="All",TRUE,$AF324&gt;=DASHBOARD!$C$8),IF(DASHBOARD!$C$10="All",TRUE,$AF324&lt;=DASHBOARD!$C$10),IF(DASHBOARD!$C$12="All",TRUE,$AH324=VALUE(DASHBOARD!$C$12)),IF(DASHBOARD!$C$14="All",TRUE,$AJ324=DASHBOARD!$C$14)),1,0))</f>
        <v/>
      </c>
    </row>
    <row r="325">
      <c r="A325" t="n">
        <v>176028</v>
      </c>
      <c r="B325" t="inlineStr">
        <is>
          <t>Aloe Vera Gel</t>
        </is>
      </c>
      <c r="H325" t="inlineStr">
        <is>
          <t>Aloe Vera Gel - 80 gms</t>
        </is>
      </c>
      <c r="N325" t="inlineStr">
        <is>
          <t>FC-HG-PA-080</t>
        </is>
      </c>
      <c r="T325" t="inlineStr">
        <is>
          <t>Mar 22, 2025</t>
        </is>
      </c>
      <c r="AE325" t="inlineStr">
        <is>
          <t>Satara</t>
        </is>
      </c>
      <c r="AF325" t="inlineStr">
        <is>
          <t>2025-03</t>
        </is>
      </c>
      <c r="AG325" t="n">
        <v>3</v>
      </c>
      <c r="AH325" t="n">
        <v>1</v>
      </c>
      <c r="AI325" t="n">
        <v>0</v>
      </c>
      <c r="AJ325">
        <f>IF($AE325="","",IFERROR(VLOOKUP(TRIM($AE325),DECODE!$H$3:$I$60,2,FALSE),"Rest of India"))</f>
        <v/>
      </c>
      <c r="AK325">
        <f>IF($N325="","",UPPER(TRIM(LEFT($N325&amp;",",FIND(",",$N325&amp;",")-1))))</f>
        <v/>
      </c>
      <c r="AL325">
        <f>IF($AK325="","",MID($AK325,4,FIND("~",SUBSTITUTE($AK325,"-","~",2))-4))</f>
        <v/>
      </c>
      <c r="AM325">
        <f>IF($AK325="","",MID($AK325,FIND("~",SUBSTITUTE($AK325,"-","~",2))+1,FIND("~",SUBSTITUTE($AK325,"-","~",3))-FIND("~",SUBSTITUTE($AK325,"-","~",2))-1))</f>
        <v/>
      </c>
      <c r="AN325">
        <f>IF($AL325="","",IFERROR(VLOOKUP($AL325,DECODE!$A$3:$C$8,3,FALSE),"?"))</f>
        <v/>
      </c>
      <c r="AO325">
        <f>IF($AM325="","",IFERROR(VLOOKUP($AL325&amp;"-"&amp;$AM325,DECODE!$E$3:$F$21,2,FALSE),"?"))</f>
        <v/>
      </c>
      <c r="AP325">
        <f>IF($AK325="","",IFERROR(VALUE(RIGHT($AK325,3)),""))</f>
        <v/>
      </c>
      <c r="AQ325">
        <f>IF($T325="","",IFERROR(IF(ISNUMBER($T325),$T325,DATEVALUE(TRIM($T325))),""))</f>
        <v/>
      </c>
      <c r="AR325">
        <f>IF($AQ325="","",IF(MONTH($AQ325)&gt;=12,"Cold Winter",IF(MONTH($AQ325)&gt;=10,"Post-Monsoon",IF(MONTH($AQ325)&gt;=6,"Hot Humid",IF(MONTH($AQ325)&gt;=3,"Hot Dry","Cold Winter")))))</f>
        <v/>
      </c>
      <c r="AS325">
        <f>IF($AL325="","",IFERROR(VLOOKUP($AL325,DECODE!$A$3:$C$8,2,FALSE),"?"))</f>
        <v/>
      </c>
      <c r="AT325">
        <f>IF($O325="","",UPPER(TRIM(LEFT($O325&amp;",",FIND(",",$O325&amp;",")-1))))</f>
        <v/>
      </c>
      <c r="AU325">
        <f>IF($AT325="","",MID($AT325,4,FIND("~",SUBSTITUTE($AT325,"-","~",2))-4))</f>
        <v/>
      </c>
      <c r="AV325">
        <f>IF($AT325="","",MID($AT325,FIND("~",SUBSTITUTE($AT325,"-","~",2))+1,FIND("~",SUBSTITUTE($AT325,"-","~",3))-FIND("~",SUBSTITUTE($AT325,"-","~",2))-1))</f>
        <v/>
      </c>
      <c r="AW325">
        <f>IF($AU325="","",IFERROR(VLOOKUP($AU325,DECODE!$A$3:$C$8,3,FALSE),"?"))</f>
        <v/>
      </c>
      <c r="AX325">
        <f>IF($AV325="","",IFERROR(VLOOKUP($AU325&amp;"-"&amp;$AV325,DECODE!$E$3:$F$21,2,FALSE),"?"))</f>
        <v/>
      </c>
      <c r="AY325">
        <f>IF($AT325="","",IFERROR(VALUE(RIGHT($AT325,3)),""))</f>
        <v/>
      </c>
      <c r="AZ325">
        <f>IF($U325="","",IFERROR(IF(ISNUMBER($U325),$U325,DATEVALUE(TRIM($U325))),""))</f>
        <v/>
      </c>
      <c r="BA325">
        <f>IF($AZ325="","",IF(MONTH($AZ325)&gt;=12,"Cold Winter",IF(MONTH($AZ325)&gt;=10,"Post-Monsoon",IF(MONTH($AZ325)&gt;=6,"Hot Humid",IF(MONTH($AZ325)&gt;=3,"Hot Dry","Cold Winter")))))</f>
        <v/>
      </c>
      <c r="BB325">
        <f>IF($AU325="","",IFERROR(VLOOKUP($AU325,DECODE!$A$3:$C$8,2,FALSE),"?"))</f>
        <v/>
      </c>
      <c r="BC325">
        <f>IF($P325="","",UPPER(TRIM(LEFT($P325&amp;",",FIND(",",$P325&amp;",")-1))))</f>
        <v/>
      </c>
      <c r="BD325">
        <f>IF($BC325="","",MID($BC325,4,FIND("~",SUBSTITUTE($BC325,"-","~",2))-4))</f>
        <v/>
      </c>
      <c r="BE325">
        <f>IF($BC325="","",MID($BC325,FIND("~",SUBSTITUTE($BC325,"-","~",2))+1,FIND("~",SUBSTITUTE($BC325,"-","~",3))-FIND("~",SUBSTITUTE($BC325,"-","~",2))-1))</f>
        <v/>
      </c>
      <c r="BF325">
        <f>IF($BD325="","",IFERROR(VLOOKUP($BD325,DECODE!$A$3:$C$8,3,FALSE),"?"))</f>
        <v/>
      </c>
      <c r="BG325">
        <f>IF($BE325="","",IFERROR(VLOOKUP($BD325&amp;"-"&amp;$BE325,DECODE!$E$3:$F$21,2,FALSE),"?"))</f>
        <v/>
      </c>
      <c r="BH325">
        <f>IF($BC325="","",IFERROR(VALUE(RIGHT($BC325,3)),""))</f>
        <v/>
      </c>
      <c r="BI325">
        <f>IF($V325="","",IFERROR(IF(ISNUMBER($V325),$V325,DATEVALUE(TRIM($V325))),""))</f>
        <v/>
      </c>
      <c r="BJ325">
        <f>IF($BI325="","",IF(MONTH($BI325)&gt;=12,"Cold Winter",IF(MONTH($BI325)&gt;=10,"Post-Monsoon",IF(MONTH($BI325)&gt;=6,"Hot Humid",IF(MONTH($BI325)&gt;=3,"Hot Dry","Cold Winter")))))</f>
        <v/>
      </c>
      <c r="BK325">
        <f>IF($BD325="","",IFERROR(VLOOKUP($BD325,DECODE!$A$3:$C$8,2,FALSE),"?"))</f>
        <v/>
      </c>
      <c r="BL325">
        <f>IF($Q325="","",UPPER(TRIM(LEFT($Q325&amp;",",FIND(",",$Q325&amp;",")-1))))</f>
        <v/>
      </c>
      <c r="BM325">
        <f>IF($BL325="","",MID($BL325,4,FIND("~",SUBSTITUTE($BL325,"-","~",2))-4))</f>
        <v/>
      </c>
      <c r="BN325">
        <f>IF($BL325="","",MID($BL325,FIND("~",SUBSTITUTE($BL325,"-","~",2))+1,FIND("~",SUBSTITUTE($BL325,"-","~",3))-FIND("~",SUBSTITUTE($BL325,"-","~",2))-1))</f>
        <v/>
      </c>
      <c r="BO325">
        <f>IF($BM325="","",IFERROR(VLOOKUP($BM325,DECODE!$A$3:$C$8,3,FALSE),"?"))</f>
        <v/>
      </c>
      <c r="BP325">
        <f>IF($BN325="","",IFERROR(VLOOKUP($BM325&amp;"-"&amp;$BN325,DECODE!$E$3:$F$21,2,FALSE),"?"))</f>
        <v/>
      </c>
      <c r="BQ325">
        <f>IF($BL325="","",IFERROR(VALUE(RIGHT($BL325,3)),""))</f>
        <v/>
      </c>
      <c r="BR325">
        <f>IF($W325="","",IFERROR(IF(ISNUMBER($W325),$W325,DATEVALUE(TRIM($W325))),""))</f>
        <v/>
      </c>
      <c r="BS325">
        <f>IF($BR325="","",IF(MONTH($BR325)&gt;=12,"Cold Winter",IF(MONTH($BR325)&gt;=10,"Post-Monsoon",IF(MONTH($BR325)&gt;=6,"Hot Humid",IF(MONTH($BR325)&gt;=3,"Hot Dry","Cold Winter")))))</f>
        <v/>
      </c>
      <c r="BT325">
        <f>IF($BM325="","",IFERROR(VLOOKUP($BM325,DECODE!$A$3:$C$8,2,FALSE),"?"))</f>
        <v/>
      </c>
      <c r="BU325">
        <f>IF($R325="","",UPPER(TRIM(LEFT($R325&amp;",",FIND(",",$R325&amp;",")-1))))</f>
        <v/>
      </c>
      <c r="BV325">
        <f>IF($BU325="","",MID($BU325,4,FIND("~",SUBSTITUTE($BU325,"-","~",2))-4))</f>
        <v/>
      </c>
      <c r="BW325">
        <f>IF($BU325="","",MID($BU325,FIND("~",SUBSTITUTE($BU325,"-","~",2))+1,FIND("~",SUBSTITUTE($BU325,"-","~",3))-FIND("~",SUBSTITUTE($BU325,"-","~",2))-1))</f>
        <v/>
      </c>
      <c r="BX325">
        <f>IF($BV325="","",IFERROR(VLOOKUP($BV325,DECODE!$A$3:$C$8,3,FALSE),"?"))</f>
        <v/>
      </c>
      <c r="BY325">
        <f>IF($BW325="","",IFERROR(VLOOKUP($BV325&amp;"-"&amp;$BW325,DECODE!$E$3:$F$21,2,FALSE),"?"))</f>
        <v/>
      </c>
      <c r="BZ325">
        <f>IF($BU325="","",IFERROR(VALUE(RIGHT($BU325,3)),""))</f>
        <v/>
      </c>
      <c r="CA325">
        <f>IF($X325="","",IFERROR(IF(ISNUMBER($X325),$X325,DATEVALUE(TRIM($X325))),""))</f>
        <v/>
      </c>
      <c r="CB325">
        <f>IF($CA325="","",IF(MONTH($CA325)&gt;=12,"Cold Winter",IF(MONTH($CA325)&gt;=10,"Post-Monsoon",IF(MONTH($CA325)&gt;=6,"Hot Humid",IF(MONTH($CA325)&gt;=3,"Hot Dry","Cold Winter")))))</f>
        <v/>
      </c>
      <c r="CC325">
        <f>IF($BV325="","",IFERROR(VLOOKUP($BV325,DECODE!$A$3:$C$8,2,FALSE),"?"))</f>
        <v/>
      </c>
      <c r="CD325">
        <f>IF($S325="","",UPPER(TRIM(LEFT($S325&amp;",",FIND(",",$S325&amp;",")-1))))</f>
        <v/>
      </c>
      <c r="CE325">
        <f>IF($CD325="","",MID($CD325,4,FIND("~",SUBSTITUTE($CD325,"-","~",2))-4))</f>
        <v/>
      </c>
      <c r="CF325">
        <f>IF($CD325="","",MID($CD325,FIND("~",SUBSTITUTE($CD325,"-","~",2))+1,FIND("~",SUBSTITUTE($CD325,"-","~",3))-FIND("~",SUBSTITUTE($CD325,"-","~",2))-1))</f>
        <v/>
      </c>
      <c r="CG325">
        <f>IF($CE325="","",IFERROR(VLOOKUP($CE325,DECODE!$A$3:$C$8,3,FALSE),"?"))</f>
        <v/>
      </c>
      <c r="CH325">
        <f>IF($CF325="","",IFERROR(VLOOKUP($CE325&amp;"-"&amp;$CF325,DECODE!$E$3:$F$21,2,FALSE),"?"))</f>
        <v/>
      </c>
      <c r="CI325">
        <f>IF($CD325="","",IFERROR(VALUE(RIGHT($CD325,3)),""))</f>
        <v/>
      </c>
      <c r="CJ325">
        <f>IF($Y325="","",IFERROR(IF(ISNUMBER($Y325),$Y325,DATEVALUE(TRIM($Y325))),""))</f>
        <v/>
      </c>
      <c r="CK325">
        <f>IF($CJ325="","",IF(MONTH($CJ325)&gt;=12,"Cold Winter",IF(MONTH($CJ325)&gt;=10,"Post-Monsoon",IF(MONTH($CJ325)&gt;=6,"Hot Humid",IF(MONTH($CJ325)&gt;=3,"Hot Dry","Cold Winter")))))</f>
        <v/>
      </c>
      <c r="CL325">
        <f>IF($CE325="","",IFERROR(VLOOKUP($CE325,DECODE!$A$3:$C$8,2,FALSE),"?"))</f>
        <v/>
      </c>
      <c r="CM325">
        <f>IF($AN325="","",AN325)</f>
        <v/>
      </c>
      <c r="CN325">
        <f>IF($AO325="","",AO325)</f>
        <v/>
      </c>
      <c r="CO325">
        <f>IF($AP325="","",AP325)</f>
        <v/>
      </c>
      <c r="CP325">
        <f>IF($CM325="","",IF($CM325="Aloe Vera Gel","Aloe Vera Gel "&amp;$CO325&amp;"g",CN325&amp;" "&amp;$CO325&amp;"g"))</f>
        <v/>
      </c>
      <c r="CQ325">
        <f>IF($AT325="",0,1)</f>
        <v/>
      </c>
      <c r="CR325">
        <f>IF($CQ325=0,"",AW325)</f>
        <v/>
      </c>
      <c r="CS325">
        <f>IF($CQ325=0,"",AX325)</f>
        <v/>
      </c>
      <c r="CT325">
        <f>IF($CQ325=0,"",AY325)</f>
        <v/>
      </c>
      <c r="CU325">
        <f>IF($CR325="","",IF($CR325="Aloe Vera Gel","Aloe Vera Gel "&amp;$CT325&amp;"g",CS325&amp;" "&amp;$CT325&amp;"g"))</f>
        <v/>
      </c>
      <c r="CV325">
        <f>IF($CQ325=0,"",IF($CP325=$CU325,"Repeat Exact",IF($CT325&gt;$CO325,"Upsized",IF($CT325&lt;$CO325,"Downsized",IF($CM325&lt;&gt;$CR325,"Lateral","Same Size Diff Variant")))))</f>
        <v/>
      </c>
      <c r="CW325">
        <f>IF($CQ325=0,"",AZ325-AQ325)</f>
        <v/>
      </c>
      <c r="CX325">
        <f>IF($CQ325=0,0,IF(CS325=CN325,1,0))</f>
        <v/>
      </c>
      <c r="CY325">
        <f>IF($CQ325=0,0,IF(CR325=CM325,1,0))</f>
        <v/>
      </c>
      <c r="CZ325">
        <f>IF($A325="","",IF(AND(IF(DASHBOARD!$C$4="All",TRUE,$CM325=DASHBOARD!$C$4),IF(DASHBOARD!$C$6="All",TRUE,$CP325=DASHBOARD!$C$6),IF(DASHBOARD!$C$8="All",TRUE,$AF325&gt;=DASHBOARD!$C$8),IF(DASHBOARD!$C$10="All",TRUE,$AF325&lt;=DASHBOARD!$C$10),IF(DASHBOARD!$C$12="All",TRUE,$AH325=VALUE(DASHBOARD!$C$12)),IF(DASHBOARD!$C$14="All",TRUE,$AJ325=DASHBOARD!$C$14)),1,0))</f>
        <v/>
      </c>
    </row>
    <row r="326">
      <c r="A326" t="n">
        <v>176195</v>
      </c>
      <c r="B326" t="inlineStr">
        <is>
          <t>Face Malai</t>
        </is>
      </c>
      <c r="C326" t="inlineStr">
        <is>
          <t>Face Malai</t>
        </is>
      </c>
      <c r="H326" t="inlineStr">
        <is>
          <t>Honey Multi-Nut (Dry &amp; Peeling Skin) Face Malai</t>
        </is>
      </c>
      <c r="I326" t="inlineStr">
        <is>
          <t>Tomato Vetiver (Hot Humid) 20 - 35 Yrs Face Malai - 50g</t>
        </is>
      </c>
      <c r="N326" t="inlineStr">
        <is>
          <t>FC-DM-DP-030</t>
        </is>
      </c>
      <c r="O326" t="inlineStr">
        <is>
          <t>FC-HHDM-TV-050</t>
        </is>
      </c>
      <c r="T326" t="inlineStr">
        <is>
          <t>Nov 10, 2025</t>
        </is>
      </c>
      <c r="U326" t="inlineStr">
        <is>
          <t>Apr 20, 2026</t>
        </is>
      </c>
      <c r="Z326" t="n">
        <v>161</v>
      </c>
      <c r="AE326" t="inlineStr">
        <is>
          <t>Nagpur</t>
        </is>
      </c>
      <c r="AF326" t="inlineStr">
        <is>
          <t>2025-11</t>
        </is>
      </c>
      <c r="AG326" t="n">
        <v>11</v>
      </c>
      <c r="AH326" t="n">
        <v>2</v>
      </c>
      <c r="AI326" t="n">
        <v>1</v>
      </c>
      <c r="AJ326">
        <f>IF($AE326="","",IFERROR(VLOOKUP(TRIM($AE326),DECODE!$H$3:$I$60,2,FALSE),"Rest of India"))</f>
        <v/>
      </c>
      <c r="AK326">
        <f>IF($N326="","",UPPER(TRIM(LEFT($N326&amp;",",FIND(",",$N326&amp;",")-1))))</f>
        <v/>
      </c>
      <c r="AL326">
        <f>IF($AK326="","",MID($AK326,4,FIND("~",SUBSTITUTE($AK326,"-","~",2))-4))</f>
        <v/>
      </c>
      <c r="AM326">
        <f>IF($AK326="","",MID($AK326,FIND("~",SUBSTITUTE($AK326,"-","~",2))+1,FIND("~",SUBSTITUTE($AK326,"-","~",3))-FIND("~",SUBSTITUTE($AK326,"-","~",2))-1))</f>
        <v/>
      </c>
      <c r="AN326">
        <f>IF($AL326="","",IFERROR(VLOOKUP($AL326,DECODE!$A$3:$C$8,3,FALSE),"?"))</f>
        <v/>
      </c>
      <c r="AO326">
        <f>IF($AM326="","",IFERROR(VLOOKUP($AL326&amp;"-"&amp;$AM326,DECODE!$E$3:$F$21,2,FALSE),"?"))</f>
        <v/>
      </c>
      <c r="AP326">
        <f>IF($AK326="","",IFERROR(VALUE(RIGHT($AK326,3)),""))</f>
        <v/>
      </c>
      <c r="AQ326">
        <f>IF($T326="","",IFERROR(IF(ISNUMBER($T326),$T326,DATEVALUE(TRIM($T326))),""))</f>
        <v/>
      </c>
      <c r="AR326">
        <f>IF($AQ326="","",IF(MONTH($AQ326)&gt;=12,"Cold Winter",IF(MONTH($AQ326)&gt;=10,"Post-Monsoon",IF(MONTH($AQ326)&gt;=6,"Hot Humid",IF(MONTH($AQ326)&gt;=3,"Hot Dry","Cold Winter")))))</f>
        <v/>
      </c>
      <c r="AS326">
        <f>IF($AL326="","",IFERROR(VLOOKUP($AL326,DECODE!$A$3:$C$8,2,FALSE),"?"))</f>
        <v/>
      </c>
      <c r="AT326">
        <f>IF($O326="","",UPPER(TRIM(LEFT($O326&amp;",",FIND(",",$O326&amp;",")-1))))</f>
        <v/>
      </c>
      <c r="AU326">
        <f>IF($AT326="","",MID($AT326,4,FIND("~",SUBSTITUTE($AT326,"-","~",2))-4))</f>
        <v/>
      </c>
      <c r="AV326">
        <f>IF($AT326="","",MID($AT326,FIND("~",SUBSTITUTE($AT326,"-","~",2))+1,FIND("~",SUBSTITUTE($AT326,"-","~",3))-FIND("~",SUBSTITUTE($AT326,"-","~",2))-1))</f>
        <v/>
      </c>
      <c r="AW326">
        <f>IF($AU326="","",IFERROR(VLOOKUP($AU326,DECODE!$A$3:$C$8,3,FALSE),"?"))</f>
        <v/>
      </c>
      <c r="AX326">
        <f>IF($AV326="","",IFERROR(VLOOKUP($AU326&amp;"-"&amp;$AV326,DECODE!$E$3:$F$21,2,FALSE),"?"))</f>
        <v/>
      </c>
      <c r="AY326">
        <f>IF($AT326="","",IFERROR(VALUE(RIGHT($AT326,3)),""))</f>
        <v/>
      </c>
      <c r="AZ326">
        <f>IF($U326="","",IFERROR(IF(ISNUMBER($U326),$U326,DATEVALUE(TRIM($U326))),""))</f>
        <v/>
      </c>
      <c r="BA326">
        <f>IF($AZ326="","",IF(MONTH($AZ326)&gt;=12,"Cold Winter",IF(MONTH($AZ326)&gt;=10,"Post-Monsoon",IF(MONTH($AZ326)&gt;=6,"Hot Humid",IF(MONTH($AZ326)&gt;=3,"Hot Dry","Cold Winter")))))</f>
        <v/>
      </c>
      <c r="BB326">
        <f>IF($AU326="","",IFERROR(VLOOKUP($AU326,DECODE!$A$3:$C$8,2,FALSE),"?"))</f>
        <v/>
      </c>
      <c r="BC326">
        <f>IF($P326="","",UPPER(TRIM(LEFT($P326&amp;",",FIND(",",$P326&amp;",")-1))))</f>
        <v/>
      </c>
      <c r="BD326">
        <f>IF($BC326="","",MID($BC326,4,FIND("~",SUBSTITUTE($BC326,"-","~",2))-4))</f>
        <v/>
      </c>
      <c r="BE326">
        <f>IF($BC326="","",MID($BC326,FIND("~",SUBSTITUTE($BC326,"-","~",2))+1,FIND("~",SUBSTITUTE($BC326,"-","~",3))-FIND("~",SUBSTITUTE($BC326,"-","~",2))-1))</f>
        <v/>
      </c>
      <c r="BF326">
        <f>IF($BD326="","",IFERROR(VLOOKUP($BD326,DECODE!$A$3:$C$8,3,FALSE),"?"))</f>
        <v/>
      </c>
      <c r="BG326">
        <f>IF($BE326="","",IFERROR(VLOOKUP($BD326&amp;"-"&amp;$BE326,DECODE!$E$3:$F$21,2,FALSE),"?"))</f>
        <v/>
      </c>
      <c r="BH326">
        <f>IF($BC326="","",IFERROR(VALUE(RIGHT($BC326,3)),""))</f>
        <v/>
      </c>
      <c r="BI326">
        <f>IF($V326="","",IFERROR(IF(ISNUMBER($V326),$V326,DATEVALUE(TRIM($V326))),""))</f>
        <v/>
      </c>
      <c r="BJ326">
        <f>IF($BI326="","",IF(MONTH($BI326)&gt;=12,"Cold Winter",IF(MONTH($BI326)&gt;=10,"Post-Monsoon",IF(MONTH($BI326)&gt;=6,"Hot Humid",IF(MONTH($BI326)&gt;=3,"Hot Dry","Cold Winter")))))</f>
        <v/>
      </c>
      <c r="BK326">
        <f>IF($BD326="","",IFERROR(VLOOKUP($BD326,DECODE!$A$3:$C$8,2,FALSE),"?"))</f>
        <v/>
      </c>
      <c r="BL326">
        <f>IF($Q326="","",UPPER(TRIM(LEFT($Q326&amp;",",FIND(",",$Q326&amp;",")-1))))</f>
        <v/>
      </c>
      <c r="BM326">
        <f>IF($BL326="","",MID($BL326,4,FIND("~",SUBSTITUTE($BL326,"-","~",2))-4))</f>
        <v/>
      </c>
      <c r="BN326">
        <f>IF($BL326="","",MID($BL326,FIND("~",SUBSTITUTE($BL326,"-","~",2))+1,FIND("~",SUBSTITUTE($BL326,"-","~",3))-FIND("~",SUBSTITUTE($BL326,"-","~",2))-1))</f>
        <v/>
      </c>
      <c r="BO326">
        <f>IF($BM326="","",IFERROR(VLOOKUP($BM326,DECODE!$A$3:$C$8,3,FALSE),"?"))</f>
        <v/>
      </c>
      <c r="BP326">
        <f>IF($BN326="","",IFERROR(VLOOKUP($BM326&amp;"-"&amp;$BN326,DECODE!$E$3:$F$21,2,FALSE),"?"))</f>
        <v/>
      </c>
      <c r="BQ326">
        <f>IF($BL326="","",IFERROR(VALUE(RIGHT($BL326,3)),""))</f>
        <v/>
      </c>
      <c r="BR326">
        <f>IF($W326="","",IFERROR(IF(ISNUMBER($W326),$W326,DATEVALUE(TRIM($W326))),""))</f>
        <v/>
      </c>
      <c r="BS326">
        <f>IF($BR326="","",IF(MONTH($BR326)&gt;=12,"Cold Winter",IF(MONTH($BR326)&gt;=10,"Post-Monsoon",IF(MONTH($BR326)&gt;=6,"Hot Humid",IF(MONTH($BR326)&gt;=3,"Hot Dry","Cold Winter")))))</f>
        <v/>
      </c>
      <c r="BT326">
        <f>IF($BM326="","",IFERROR(VLOOKUP($BM326,DECODE!$A$3:$C$8,2,FALSE),"?"))</f>
        <v/>
      </c>
      <c r="BU326">
        <f>IF($R326="","",UPPER(TRIM(LEFT($R326&amp;",",FIND(",",$R326&amp;",")-1))))</f>
        <v/>
      </c>
      <c r="BV326">
        <f>IF($BU326="","",MID($BU326,4,FIND("~",SUBSTITUTE($BU326,"-","~",2))-4))</f>
        <v/>
      </c>
      <c r="BW326">
        <f>IF($BU326="","",MID($BU326,FIND("~",SUBSTITUTE($BU326,"-","~",2))+1,FIND("~",SUBSTITUTE($BU326,"-","~",3))-FIND("~",SUBSTITUTE($BU326,"-","~",2))-1))</f>
        <v/>
      </c>
      <c r="BX326">
        <f>IF($BV326="","",IFERROR(VLOOKUP($BV326,DECODE!$A$3:$C$8,3,FALSE),"?"))</f>
        <v/>
      </c>
      <c r="BY326">
        <f>IF($BW326="","",IFERROR(VLOOKUP($BV326&amp;"-"&amp;$BW326,DECODE!$E$3:$F$21,2,FALSE),"?"))</f>
        <v/>
      </c>
      <c r="BZ326">
        <f>IF($BU326="","",IFERROR(VALUE(RIGHT($BU326,3)),""))</f>
        <v/>
      </c>
      <c r="CA326">
        <f>IF($X326="","",IFERROR(IF(ISNUMBER($X326),$X326,DATEVALUE(TRIM($X326))),""))</f>
        <v/>
      </c>
      <c r="CB326">
        <f>IF($CA326="","",IF(MONTH($CA326)&gt;=12,"Cold Winter",IF(MONTH($CA326)&gt;=10,"Post-Monsoon",IF(MONTH($CA326)&gt;=6,"Hot Humid",IF(MONTH($CA326)&gt;=3,"Hot Dry","Cold Winter")))))</f>
        <v/>
      </c>
      <c r="CC326">
        <f>IF($BV326="","",IFERROR(VLOOKUP($BV326,DECODE!$A$3:$C$8,2,FALSE),"?"))</f>
        <v/>
      </c>
      <c r="CD326">
        <f>IF($S326="","",UPPER(TRIM(LEFT($S326&amp;",",FIND(",",$S326&amp;",")-1))))</f>
        <v/>
      </c>
      <c r="CE326">
        <f>IF($CD326="","",MID($CD326,4,FIND("~",SUBSTITUTE($CD326,"-","~",2))-4))</f>
        <v/>
      </c>
      <c r="CF326">
        <f>IF($CD326="","",MID($CD326,FIND("~",SUBSTITUTE($CD326,"-","~",2))+1,FIND("~",SUBSTITUTE($CD326,"-","~",3))-FIND("~",SUBSTITUTE($CD326,"-","~",2))-1))</f>
        <v/>
      </c>
      <c r="CG326">
        <f>IF($CE326="","",IFERROR(VLOOKUP($CE326,DECODE!$A$3:$C$8,3,FALSE),"?"))</f>
        <v/>
      </c>
      <c r="CH326">
        <f>IF($CF326="","",IFERROR(VLOOKUP($CE326&amp;"-"&amp;$CF326,DECODE!$E$3:$F$21,2,FALSE),"?"))</f>
        <v/>
      </c>
      <c r="CI326">
        <f>IF($CD326="","",IFERROR(VALUE(RIGHT($CD326,3)),""))</f>
        <v/>
      </c>
      <c r="CJ326">
        <f>IF($Y326="","",IFERROR(IF(ISNUMBER($Y326),$Y326,DATEVALUE(TRIM($Y326))),""))</f>
        <v/>
      </c>
      <c r="CK326">
        <f>IF($CJ326="","",IF(MONTH($CJ326)&gt;=12,"Cold Winter",IF(MONTH($CJ326)&gt;=10,"Post-Monsoon",IF(MONTH($CJ326)&gt;=6,"Hot Humid",IF(MONTH($CJ326)&gt;=3,"Hot Dry","Cold Winter")))))</f>
        <v/>
      </c>
      <c r="CL326">
        <f>IF($CE326="","",IFERROR(VLOOKUP($CE326,DECODE!$A$3:$C$8,2,FALSE),"?"))</f>
        <v/>
      </c>
      <c r="CM326">
        <f>IF($AN326="","",AN326)</f>
        <v/>
      </c>
      <c r="CN326">
        <f>IF($AO326="","",AO326)</f>
        <v/>
      </c>
      <c r="CO326">
        <f>IF($AP326="","",AP326)</f>
        <v/>
      </c>
      <c r="CP326">
        <f>IF($CM326="","",IF($CM326="Aloe Vera Gel","Aloe Vera Gel "&amp;$CO326&amp;"g",CN326&amp;" "&amp;$CO326&amp;"g"))</f>
        <v/>
      </c>
      <c r="CQ326">
        <f>IF($AT326="",0,1)</f>
        <v/>
      </c>
      <c r="CR326">
        <f>IF($CQ326=0,"",AW326)</f>
        <v/>
      </c>
      <c r="CS326">
        <f>IF($CQ326=0,"",AX326)</f>
        <v/>
      </c>
      <c r="CT326">
        <f>IF($CQ326=0,"",AY326)</f>
        <v/>
      </c>
      <c r="CU326">
        <f>IF($CR326="","",IF($CR326="Aloe Vera Gel","Aloe Vera Gel "&amp;$CT326&amp;"g",CS326&amp;" "&amp;$CT326&amp;"g"))</f>
        <v/>
      </c>
      <c r="CV326">
        <f>IF($CQ326=0,"",IF($CP326=$CU326,"Repeat Exact",IF($CT326&gt;$CO326,"Upsized",IF($CT326&lt;$CO326,"Downsized",IF($CM326&lt;&gt;$CR326,"Lateral","Same Size Diff Variant")))))</f>
        <v/>
      </c>
      <c r="CW326">
        <f>IF($CQ326=0,"",AZ326-AQ326)</f>
        <v/>
      </c>
      <c r="CX326">
        <f>IF($CQ326=0,0,IF(CS326=CN326,1,0))</f>
        <v/>
      </c>
      <c r="CY326">
        <f>IF($CQ326=0,0,IF(CR326=CM326,1,0))</f>
        <v/>
      </c>
      <c r="CZ326">
        <f>IF($A326="","",IF(AND(IF(DASHBOARD!$C$4="All",TRUE,$CM326=DASHBOARD!$C$4),IF(DASHBOARD!$C$6="All",TRUE,$CP326=DASHBOARD!$C$6),IF(DASHBOARD!$C$8="All",TRUE,$AF326&gt;=DASHBOARD!$C$8),IF(DASHBOARD!$C$10="All",TRUE,$AF326&lt;=DASHBOARD!$C$10),IF(DASHBOARD!$C$12="All",TRUE,$AH326=VALUE(DASHBOARD!$C$12)),IF(DASHBOARD!$C$14="All",TRUE,$AJ326=DASHBOARD!$C$14)),1,0))</f>
        <v/>
      </c>
    </row>
    <row r="327">
      <c r="A327" t="n">
        <v>176221</v>
      </c>
      <c r="B327" t="inlineStr">
        <is>
          <t>Face Malai</t>
        </is>
      </c>
      <c r="H327" t="inlineStr">
        <is>
          <t>Turmeric Nutmeg (Pigmentation)  Face Malai - 30g</t>
        </is>
      </c>
      <c r="N327" t="inlineStr">
        <is>
          <t>FC-DM-PG-030</t>
        </is>
      </c>
      <c r="T327" t="inlineStr">
        <is>
          <t>Jul 27, 2024</t>
        </is>
      </c>
      <c r="AE327" t="inlineStr">
        <is>
          <t>Pune</t>
        </is>
      </c>
      <c r="AF327" t="inlineStr">
        <is>
          <t>2024-07</t>
        </is>
      </c>
      <c r="AG327" t="n">
        <v>7</v>
      </c>
      <c r="AH327" t="n">
        <v>1</v>
      </c>
      <c r="AI327" t="n">
        <v>0</v>
      </c>
      <c r="AJ327">
        <f>IF($AE327="","",IFERROR(VLOOKUP(TRIM($AE327),DECODE!$H$3:$I$60,2,FALSE),"Rest of India"))</f>
        <v/>
      </c>
      <c r="AK327">
        <f>IF($N327="","",UPPER(TRIM(LEFT($N327&amp;",",FIND(",",$N327&amp;",")-1))))</f>
        <v/>
      </c>
      <c r="AL327">
        <f>IF($AK327="","",MID($AK327,4,FIND("~",SUBSTITUTE($AK327,"-","~",2))-4))</f>
        <v/>
      </c>
      <c r="AM327">
        <f>IF($AK327="","",MID($AK327,FIND("~",SUBSTITUTE($AK327,"-","~",2))+1,FIND("~",SUBSTITUTE($AK327,"-","~",3))-FIND("~",SUBSTITUTE($AK327,"-","~",2))-1))</f>
        <v/>
      </c>
      <c r="AN327">
        <f>IF($AL327="","",IFERROR(VLOOKUP($AL327,DECODE!$A$3:$C$8,3,FALSE),"?"))</f>
        <v/>
      </c>
      <c r="AO327">
        <f>IF($AM327="","",IFERROR(VLOOKUP($AL327&amp;"-"&amp;$AM327,DECODE!$E$3:$F$21,2,FALSE),"?"))</f>
        <v/>
      </c>
      <c r="AP327">
        <f>IF($AK327="","",IFERROR(VALUE(RIGHT($AK327,3)),""))</f>
        <v/>
      </c>
      <c r="AQ327">
        <f>IF($T327="","",IFERROR(IF(ISNUMBER($T327),$T327,DATEVALUE(TRIM($T327))),""))</f>
        <v/>
      </c>
      <c r="AR327">
        <f>IF($AQ327="","",IF(MONTH($AQ327)&gt;=12,"Cold Winter",IF(MONTH($AQ327)&gt;=10,"Post-Monsoon",IF(MONTH($AQ327)&gt;=6,"Hot Humid",IF(MONTH($AQ327)&gt;=3,"Hot Dry","Cold Winter")))))</f>
        <v/>
      </c>
      <c r="AS327">
        <f>IF($AL327="","",IFERROR(VLOOKUP($AL327,DECODE!$A$3:$C$8,2,FALSE),"?"))</f>
        <v/>
      </c>
      <c r="AT327">
        <f>IF($O327="","",UPPER(TRIM(LEFT($O327&amp;",",FIND(",",$O327&amp;",")-1))))</f>
        <v/>
      </c>
      <c r="AU327">
        <f>IF($AT327="","",MID($AT327,4,FIND("~",SUBSTITUTE($AT327,"-","~",2))-4))</f>
        <v/>
      </c>
      <c r="AV327">
        <f>IF($AT327="","",MID($AT327,FIND("~",SUBSTITUTE($AT327,"-","~",2))+1,FIND("~",SUBSTITUTE($AT327,"-","~",3))-FIND("~",SUBSTITUTE($AT327,"-","~",2))-1))</f>
        <v/>
      </c>
      <c r="AW327">
        <f>IF($AU327="","",IFERROR(VLOOKUP($AU327,DECODE!$A$3:$C$8,3,FALSE),"?"))</f>
        <v/>
      </c>
      <c r="AX327">
        <f>IF($AV327="","",IFERROR(VLOOKUP($AU327&amp;"-"&amp;$AV327,DECODE!$E$3:$F$21,2,FALSE),"?"))</f>
        <v/>
      </c>
      <c r="AY327">
        <f>IF($AT327="","",IFERROR(VALUE(RIGHT($AT327,3)),""))</f>
        <v/>
      </c>
      <c r="AZ327">
        <f>IF($U327="","",IFERROR(IF(ISNUMBER($U327),$U327,DATEVALUE(TRIM($U327))),""))</f>
        <v/>
      </c>
      <c r="BA327">
        <f>IF($AZ327="","",IF(MONTH($AZ327)&gt;=12,"Cold Winter",IF(MONTH($AZ327)&gt;=10,"Post-Monsoon",IF(MONTH($AZ327)&gt;=6,"Hot Humid",IF(MONTH($AZ327)&gt;=3,"Hot Dry","Cold Winter")))))</f>
        <v/>
      </c>
      <c r="BB327">
        <f>IF($AU327="","",IFERROR(VLOOKUP($AU327,DECODE!$A$3:$C$8,2,FALSE),"?"))</f>
        <v/>
      </c>
      <c r="BC327">
        <f>IF($P327="","",UPPER(TRIM(LEFT($P327&amp;",",FIND(",",$P327&amp;",")-1))))</f>
        <v/>
      </c>
      <c r="BD327">
        <f>IF($BC327="","",MID($BC327,4,FIND("~",SUBSTITUTE($BC327,"-","~",2))-4))</f>
        <v/>
      </c>
      <c r="BE327">
        <f>IF($BC327="","",MID($BC327,FIND("~",SUBSTITUTE($BC327,"-","~",2))+1,FIND("~",SUBSTITUTE($BC327,"-","~",3))-FIND("~",SUBSTITUTE($BC327,"-","~",2))-1))</f>
        <v/>
      </c>
      <c r="BF327">
        <f>IF($BD327="","",IFERROR(VLOOKUP($BD327,DECODE!$A$3:$C$8,3,FALSE),"?"))</f>
        <v/>
      </c>
      <c r="BG327">
        <f>IF($BE327="","",IFERROR(VLOOKUP($BD327&amp;"-"&amp;$BE327,DECODE!$E$3:$F$21,2,FALSE),"?"))</f>
        <v/>
      </c>
      <c r="BH327">
        <f>IF($BC327="","",IFERROR(VALUE(RIGHT($BC327,3)),""))</f>
        <v/>
      </c>
      <c r="BI327">
        <f>IF($V327="","",IFERROR(IF(ISNUMBER($V327),$V327,DATEVALUE(TRIM($V327))),""))</f>
        <v/>
      </c>
      <c r="BJ327">
        <f>IF($BI327="","",IF(MONTH($BI327)&gt;=12,"Cold Winter",IF(MONTH($BI327)&gt;=10,"Post-Monsoon",IF(MONTH($BI327)&gt;=6,"Hot Humid",IF(MONTH($BI327)&gt;=3,"Hot Dry","Cold Winter")))))</f>
        <v/>
      </c>
      <c r="BK327">
        <f>IF($BD327="","",IFERROR(VLOOKUP($BD327,DECODE!$A$3:$C$8,2,FALSE),"?"))</f>
        <v/>
      </c>
      <c r="BL327">
        <f>IF($Q327="","",UPPER(TRIM(LEFT($Q327&amp;",",FIND(",",$Q327&amp;",")-1))))</f>
        <v/>
      </c>
      <c r="BM327">
        <f>IF($BL327="","",MID($BL327,4,FIND("~",SUBSTITUTE($BL327,"-","~",2))-4))</f>
        <v/>
      </c>
      <c r="BN327">
        <f>IF($BL327="","",MID($BL327,FIND("~",SUBSTITUTE($BL327,"-","~",2))+1,FIND("~",SUBSTITUTE($BL327,"-","~",3))-FIND("~",SUBSTITUTE($BL327,"-","~",2))-1))</f>
        <v/>
      </c>
      <c r="BO327">
        <f>IF($BM327="","",IFERROR(VLOOKUP($BM327,DECODE!$A$3:$C$8,3,FALSE),"?"))</f>
        <v/>
      </c>
      <c r="BP327">
        <f>IF($BN327="","",IFERROR(VLOOKUP($BM327&amp;"-"&amp;$BN327,DECODE!$E$3:$F$21,2,FALSE),"?"))</f>
        <v/>
      </c>
      <c r="BQ327">
        <f>IF($BL327="","",IFERROR(VALUE(RIGHT($BL327,3)),""))</f>
        <v/>
      </c>
      <c r="BR327">
        <f>IF($W327="","",IFERROR(IF(ISNUMBER($W327),$W327,DATEVALUE(TRIM($W327))),""))</f>
        <v/>
      </c>
      <c r="BS327">
        <f>IF($BR327="","",IF(MONTH($BR327)&gt;=12,"Cold Winter",IF(MONTH($BR327)&gt;=10,"Post-Monsoon",IF(MONTH($BR327)&gt;=6,"Hot Humid",IF(MONTH($BR327)&gt;=3,"Hot Dry","Cold Winter")))))</f>
        <v/>
      </c>
      <c r="BT327">
        <f>IF($BM327="","",IFERROR(VLOOKUP($BM327,DECODE!$A$3:$C$8,2,FALSE),"?"))</f>
        <v/>
      </c>
      <c r="BU327">
        <f>IF($R327="","",UPPER(TRIM(LEFT($R327&amp;",",FIND(",",$R327&amp;",")-1))))</f>
        <v/>
      </c>
      <c r="BV327">
        <f>IF($BU327="","",MID($BU327,4,FIND("~",SUBSTITUTE($BU327,"-","~",2))-4))</f>
        <v/>
      </c>
      <c r="BW327">
        <f>IF($BU327="","",MID($BU327,FIND("~",SUBSTITUTE($BU327,"-","~",2))+1,FIND("~",SUBSTITUTE($BU327,"-","~",3))-FIND("~",SUBSTITUTE($BU327,"-","~",2))-1))</f>
        <v/>
      </c>
      <c r="BX327">
        <f>IF($BV327="","",IFERROR(VLOOKUP($BV327,DECODE!$A$3:$C$8,3,FALSE),"?"))</f>
        <v/>
      </c>
      <c r="BY327">
        <f>IF($BW327="","",IFERROR(VLOOKUP($BV327&amp;"-"&amp;$BW327,DECODE!$E$3:$F$21,2,FALSE),"?"))</f>
        <v/>
      </c>
      <c r="BZ327">
        <f>IF($BU327="","",IFERROR(VALUE(RIGHT($BU327,3)),""))</f>
        <v/>
      </c>
      <c r="CA327">
        <f>IF($X327="","",IFERROR(IF(ISNUMBER($X327),$X327,DATEVALUE(TRIM($X327))),""))</f>
        <v/>
      </c>
      <c r="CB327">
        <f>IF($CA327="","",IF(MONTH($CA327)&gt;=12,"Cold Winter",IF(MONTH($CA327)&gt;=10,"Post-Monsoon",IF(MONTH($CA327)&gt;=6,"Hot Humid",IF(MONTH($CA327)&gt;=3,"Hot Dry","Cold Winter")))))</f>
        <v/>
      </c>
      <c r="CC327">
        <f>IF($BV327="","",IFERROR(VLOOKUP($BV327,DECODE!$A$3:$C$8,2,FALSE),"?"))</f>
        <v/>
      </c>
      <c r="CD327">
        <f>IF($S327="","",UPPER(TRIM(LEFT($S327&amp;",",FIND(",",$S327&amp;",")-1))))</f>
        <v/>
      </c>
      <c r="CE327">
        <f>IF($CD327="","",MID($CD327,4,FIND("~",SUBSTITUTE($CD327,"-","~",2))-4))</f>
        <v/>
      </c>
      <c r="CF327">
        <f>IF($CD327="","",MID($CD327,FIND("~",SUBSTITUTE($CD327,"-","~",2))+1,FIND("~",SUBSTITUTE($CD327,"-","~",3))-FIND("~",SUBSTITUTE($CD327,"-","~",2))-1))</f>
        <v/>
      </c>
      <c r="CG327">
        <f>IF($CE327="","",IFERROR(VLOOKUP($CE327,DECODE!$A$3:$C$8,3,FALSE),"?"))</f>
        <v/>
      </c>
      <c r="CH327">
        <f>IF($CF327="","",IFERROR(VLOOKUP($CE327&amp;"-"&amp;$CF327,DECODE!$E$3:$F$21,2,FALSE),"?"))</f>
        <v/>
      </c>
      <c r="CI327">
        <f>IF($CD327="","",IFERROR(VALUE(RIGHT($CD327,3)),""))</f>
        <v/>
      </c>
      <c r="CJ327">
        <f>IF($Y327="","",IFERROR(IF(ISNUMBER($Y327),$Y327,DATEVALUE(TRIM($Y327))),""))</f>
        <v/>
      </c>
      <c r="CK327">
        <f>IF($CJ327="","",IF(MONTH($CJ327)&gt;=12,"Cold Winter",IF(MONTH($CJ327)&gt;=10,"Post-Monsoon",IF(MONTH($CJ327)&gt;=6,"Hot Humid",IF(MONTH($CJ327)&gt;=3,"Hot Dry","Cold Winter")))))</f>
        <v/>
      </c>
      <c r="CL327">
        <f>IF($CE327="","",IFERROR(VLOOKUP($CE327,DECODE!$A$3:$C$8,2,FALSE),"?"))</f>
        <v/>
      </c>
      <c r="CM327">
        <f>IF($AN327="","",AN327)</f>
        <v/>
      </c>
      <c r="CN327">
        <f>IF($AO327="","",AO327)</f>
        <v/>
      </c>
      <c r="CO327">
        <f>IF($AP327="","",AP327)</f>
        <v/>
      </c>
      <c r="CP327">
        <f>IF($CM327="","",IF($CM327="Aloe Vera Gel","Aloe Vera Gel "&amp;$CO327&amp;"g",CN327&amp;" "&amp;$CO327&amp;"g"))</f>
        <v/>
      </c>
      <c r="CQ327">
        <f>IF($AT327="",0,1)</f>
        <v/>
      </c>
      <c r="CR327">
        <f>IF($CQ327=0,"",AW327)</f>
        <v/>
      </c>
      <c r="CS327">
        <f>IF($CQ327=0,"",AX327)</f>
        <v/>
      </c>
      <c r="CT327">
        <f>IF($CQ327=0,"",AY327)</f>
        <v/>
      </c>
      <c r="CU327">
        <f>IF($CR327="","",IF($CR327="Aloe Vera Gel","Aloe Vera Gel "&amp;$CT327&amp;"g",CS327&amp;" "&amp;$CT327&amp;"g"))</f>
        <v/>
      </c>
      <c r="CV327">
        <f>IF($CQ327=0,"",IF($CP327=$CU327,"Repeat Exact",IF($CT327&gt;$CO327,"Upsized",IF($CT327&lt;$CO327,"Downsized",IF($CM327&lt;&gt;$CR327,"Lateral","Same Size Diff Variant")))))</f>
        <v/>
      </c>
      <c r="CW327">
        <f>IF($CQ327=0,"",AZ327-AQ327)</f>
        <v/>
      </c>
      <c r="CX327">
        <f>IF($CQ327=0,0,IF(CS327=CN327,1,0))</f>
        <v/>
      </c>
      <c r="CY327">
        <f>IF($CQ327=0,0,IF(CR327=CM327,1,0))</f>
        <v/>
      </c>
      <c r="CZ327">
        <f>IF($A327="","",IF(AND(IF(DASHBOARD!$C$4="All",TRUE,$CM327=DASHBOARD!$C$4),IF(DASHBOARD!$C$6="All",TRUE,$CP327=DASHBOARD!$C$6),IF(DASHBOARD!$C$8="All",TRUE,$AF327&gt;=DASHBOARD!$C$8),IF(DASHBOARD!$C$10="All",TRUE,$AF327&lt;=DASHBOARD!$C$10),IF(DASHBOARD!$C$12="All",TRUE,$AH327=VALUE(DASHBOARD!$C$12)),IF(DASHBOARD!$C$14="All",TRUE,$AJ327=DASHBOARD!$C$14)),1,0))</f>
        <v/>
      </c>
    </row>
    <row r="328">
      <c r="A328" t="n">
        <v>176558</v>
      </c>
      <c r="B328" t="inlineStr">
        <is>
          <t>Aloe Vera Gel</t>
        </is>
      </c>
      <c r="C328" t="inlineStr">
        <is>
          <t>Aloe Vera Gel</t>
        </is>
      </c>
      <c r="H328" t="inlineStr">
        <is>
          <t>Aloe Vera Gel - 80 gms</t>
        </is>
      </c>
      <c r="I328" t="inlineStr">
        <is>
          <t>Aloe Vera Gel - 80 gms</t>
        </is>
      </c>
      <c r="N328" t="inlineStr">
        <is>
          <t>FC-HG-PA-080</t>
        </is>
      </c>
      <c r="O328" t="inlineStr">
        <is>
          <t>FC-HG-PA-080</t>
        </is>
      </c>
      <c r="T328" t="inlineStr">
        <is>
          <t>Feb 25, 2025</t>
        </is>
      </c>
      <c r="U328" t="inlineStr">
        <is>
          <t>Mar 13, 2025</t>
        </is>
      </c>
      <c r="Z328" t="n">
        <v>16</v>
      </c>
      <c r="AE328" t="inlineStr">
        <is>
          <t>New Delhi</t>
        </is>
      </c>
      <c r="AF328" t="inlineStr">
        <is>
          <t>2025-02</t>
        </is>
      </c>
      <c r="AG328" t="n">
        <v>2</v>
      </c>
      <c r="AH328" t="n">
        <v>2</v>
      </c>
      <c r="AI328" t="n">
        <v>1</v>
      </c>
      <c r="AJ328">
        <f>IF($AE328="","",IFERROR(VLOOKUP(TRIM($AE328),DECODE!$H$3:$I$60,2,FALSE),"Rest of India"))</f>
        <v/>
      </c>
      <c r="AK328">
        <f>IF($N328="","",UPPER(TRIM(LEFT($N328&amp;",",FIND(",",$N328&amp;",")-1))))</f>
        <v/>
      </c>
      <c r="AL328">
        <f>IF($AK328="","",MID($AK328,4,FIND("~",SUBSTITUTE($AK328,"-","~",2))-4))</f>
        <v/>
      </c>
      <c r="AM328">
        <f>IF($AK328="","",MID($AK328,FIND("~",SUBSTITUTE($AK328,"-","~",2))+1,FIND("~",SUBSTITUTE($AK328,"-","~",3))-FIND("~",SUBSTITUTE($AK328,"-","~",2))-1))</f>
        <v/>
      </c>
      <c r="AN328">
        <f>IF($AL328="","",IFERROR(VLOOKUP($AL328,DECODE!$A$3:$C$8,3,FALSE),"?"))</f>
        <v/>
      </c>
      <c r="AO328">
        <f>IF($AM328="","",IFERROR(VLOOKUP($AL328&amp;"-"&amp;$AM328,DECODE!$E$3:$F$21,2,FALSE),"?"))</f>
        <v/>
      </c>
      <c r="AP328">
        <f>IF($AK328="","",IFERROR(VALUE(RIGHT($AK328,3)),""))</f>
        <v/>
      </c>
      <c r="AQ328">
        <f>IF($T328="","",IFERROR(IF(ISNUMBER($T328),$T328,DATEVALUE(TRIM($T328))),""))</f>
        <v/>
      </c>
      <c r="AR328">
        <f>IF($AQ328="","",IF(MONTH($AQ328)&gt;=12,"Cold Winter",IF(MONTH($AQ328)&gt;=10,"Post-Monsoon",IF(MONTH($AQ328)&gt;=6,"Hot Humid",IF(MONTH($AQ328)&gt;=3,"Hot Dry","Cold Winter")))))</f>
        <v/>
      </c>
      <c r="AS328">
        <f>IF($AL328="","",IFERROR(VLOOKUP($AL328,DECODE!$A$3:$C$8,2,FALSE),"?"))</f>
        <v/>
      </c>
      <c r="AT328">
        <f>IF($O328="","",UPPER(TRIM(LEFT($O328&amp;",",FIND(",",$O328&amp;",")-1))))</f>
        <v/>
      </c>
      <c r="AU328">
        <f>IF($AT328="","",MID($AT328,4,FIND("~",SUBSTITUTE($AT328,"-","~",2))-4))</f>
        <v/>
      </c>
      <c r="AV328">
        <f>IF($AT328="","",MID($AT328,FIND("~",SUBSTITUTE($AT328,"-","~",2))+1,FIND("~",SUBSTITUTE($AT328,"-","~",3))-FIND("~",SUBSTITUTE($AT328,"-","~",2))-1))</f>
        <v/>
      </c>
      <c r="AW328">
        <f>IF($AU328="","",IFERROR(VLOOKUP($AU328,DECODE!$A$3:$C$8,3,FALSE),"?"))</f>
        <v/>
      </c>
      <c r="AX328">
        <f>IF($AV328="","",IFERROR(VLOOKUP($AU328&amp;"-"&amp;$AV328,DECODE!$E$3:$F$21,2,FALSE),"?"))</f>
        <v/>
      </c>
      <c r="AY328">
        <f>IF($AT328="","",IFERROR(VALUE(RIGHT($AT328,3)),""))</f>
        <v/>
      </c>
      <c r="AZ328">
        <f>IF($U328="","",IFERROR(IF(ISNUMBER($U328),$U328,DATEVALUE(TRIM($U328))),""))</f>
        <v/>
      </c>
      <c r="BA328">
        <f>IF($AZ328="","",IF(MONTH($AZ328)&gt;=12,"Cold Winter",IF(MONTH($AZ328)&gt;=10,"Post-Monsoon",IF(MONTH($AZ328)&gt;=6,"Hot Humid",IF(MONTH($AZ328)&gt;=3,"Hot Dry","Cold Winter")))))</f>
        <v/>
      </c>
      <c r="BB328">
        <f>IF($AU328="","",IFERROR(VLOOKUP($AU328,DECODE!$A$3:$C$8,2,FALSE),"?"))</f>
        <v/>
      </c>
      <c r="BC328">
        <f>IF($P328="","",UPPER(TRIM(LEFT($P328&amp;",",FIND(",",$P328&amp;",")-1))))</f>
        <v/>
      </c>
      <c r="BD328">
        <f>IF($BC328="","",MID($BC328,4,FIND("~",SUBSTITUTE($BC328,"-","~",2))-4))</f>
        <v/>
      </c>
      <c r="BE328">
        <f>IF($BC328="","",MID($BC328,FIND("~",SUBSTITUTE($BC328,"-","~",2))+1,FIND("~",SUBSTITUTE($BC328,"-","~",3))-FIND("~",SUBSTITUTE($BC328,"-","~",2))-1))</f>
        <v/>
      </c>
      <c r="BF328">
        <f>IF($BD328="","",IFERROR(VLOOKUP($BD328,DECODE!$A$3:$C$8,3,FALSE),"?"))</f>
        <v/>
      </c>
      <c r="BG328">
        <f>IF($BE328="","",IFERROR(VLOOKUP($BD328&amp;"-"&amp;$BE328,DECODE!$E$3:$F$21,2,FALSE),"?"))</f>
        <v/>
      </c>
      <c r="BH328">
        <f>IF($BC328="","",IFERROR(VALUE(RIGHT($BC328,3)),""))</f>
        <v/>
      </c>
      <c r="BI328">
        <f>IF($V328="","",IFERROR(IF(ISNUMBER($V328),$V328,DATEVALUE(TRIM($V328))),""))</f>
        <v/>
      </c>
      <c r="BJ328">
        <f>IF($BI328="","",IF(MONTH($BI328)&gt;=12,"Cold Winter",IF(MONTH($BI328)&gt;=10,"Post-Monsoon",IF(MONTH($BI328)&gt;=6,"Hot Humid",IF(MONTH($BI328)&gt;=3,"Hot Dry","Cold Winter")))))</f>
        <v/>
      </c>
      <c r="BK328">
        <f>IF($BD328="","",IFERROR(VLOOKUP($BD328,DECODE!$A$3:$C$8,2,FALSE),"?"))</f>
        <v/>
      </c>
      <c r="BL328">
        <f>IF($Q328="","",UPPER(TRIM(LEFT($Q328&amp;",",FIND(",",$Q328&amp;",")-1))))</f>
        <v/>
      </c>
      <c r="BM328">
        <f>IF($BL328="","",MID($BL328,4,FIND("~",SUBSTITUTE($BL328,"-","~",2))-4))</f>
        <v/>
      </c>
      <c r="BN328">
        <f>IF($BL328="","",MID($BL328,FIND("~",SUBSTITUTE($BL328,"-","~",2))+1,FIND("~",SUBSTITUTE($BL328,"-","~",3))-FIND("~",SUBSTITUTE($BL328,"-","~",2))-1))</f>
        <v/>
      </c>
      <c r="BO328">
        <f>IF($BM328="","",IFERROR(VLOOKUP($BM328,DECODE!$A$3:$C$8,3,FALSE),"?"))</f>
        <v/>
      </c>
      <c r="BP328">
        <f>IF($BN328="","",IFERROR(VLOOKUP($BM328&amp;"-"&amp;$BN328,DECODE!$E$3:$F$21,2,FALSE),"?"))</f>
        <v/>
      </c>
      <c r="BQ328">
        <f>IF($BL328="","",IFERROR(VALUE(RIGHT($BL328,3)),""))</f>
        <v/>
      </c>
      <c r="BR328">
        <f>IF($W328="","",IFERROR(IF(ISNUMBER($W328),$W328,DATEVALUE(TRIM($W328))),""))</f>
        <v/>
      </c>
      <c r="BS328">
        <f>IF($BR328="","",IF(MONTH($BR328)&gt;=12,"Cold Winter",IF(MONTH($BR328)&gt;=10,"Post-Monsoon",IF(MONTH($BR328)&gt;=6,"Hot Humid",IF(MONTH($BR328)&gt;=3,"Hot Dry","Cold Winter")))))</f>
        <v/>
      </c>
      <c r="BT328">
        <f>IF($BM328="","",IFERROR(VLOOKUP($BM328,DECODE!$A$3:$C$8,2,FALSE),"?"))</f>
        <v/>
      </c>
      <c r="BU328">
        <f>IF($R328="","",UPPER(TRIM(LEFT($R328&amp;",",FIND(",",$R328&amp;",")-1))))</f>
        <v/>
      </c>
      <c r="BV328">
        <f>IF($BU328="","",MID($BU328,4,FIND("~",SUBSTITUTE($BU328,"-","~",2))-4))</f>
        <v/>
      </c>
      <c r="BW328">
        <f>IF($BU328="","",MID($BU328,FIND("~",SUBSTITUTE($BU328,"-","~",2))+1,FIND("~",SUBSTITUTE($BU328,"-","~",3))-FIND("~",SUBSTITUTE($BU328,"-","~",2))-1))</f>
        <v/>
      </c>
      <c r="BX328">
        <f>IF($BV328="","",IFERROR(VLOOKUP($BV328,DECODE!$A$3:$C$8,3,FALSE),"?"))</f>
        <v/>
      </c>
      <c r="BY328">
        <f>IF($BW328="","",IFERROR(VLOOKUP($BV328&amp;"-"&amp;$BW328,DECODE!$E$3:$F$21,2,FALSE),"?"))</f>
        <v/>
      </c>
      <c r="BZ328">
        <f>IF($BU328="","",IFERROR(VALUE(RIGHT($BU328,3)),""))</f>
        <v/>
      </c>
      <c r="CA328">
        <f>IF($X328="","",IFERROR(IF(ISNUMBER($X328),$X328,DATEVALUE(TRIM($X328))),""))</f>
        <v/>
      </c>
      <c r="CB328">
        <f>IF($CA328="","",IF(MONTH($CA328)&gt;=12,"Cold Winter",IF(MONTH($CA328)&gt;=10,"Post-Monsoon",IF(MONTH($CA328)&gt;=6,"Hot Humid",IF(MONTH($CA328)&gt;=3,"Hot Dry","Cold Winter")))))</f>
        <v/>
      </c>
      <c r="CC328">
        <f>IF($BV328="","",IFERROR(VLOOKUP($BV328,DECODE!$A$3:$C$8,2,FALSE),"?"))</f>
        <v/>
      </c>
      <c r="CD328">
        <f>IF($S328="","",UPPER(TRIM(LEFT($S328&amp;",",FIND(",",$S328&amp;",")-1))))</f>
        <v/>
      </c>
      <c r="CE328">
        <f>IF($CD328="","",MID($CD328,4,FIND("~",SUBSTITUTE($CD328,"-","~",2))-4))</f>
        <v/>
      </c>
      <c r="CF328">
        <f>IF($CD328="","",MID($CD328,FIND("~",SUBSTITUTE($CD328,"-","~",2))+1,FIND("~",SUBSTITUTE($CD328,"-","~",3))-FIND("~",SUBSTITUTE($CD328,"-","~",2))-1))</f>
        <v/>
      </c>
      <c r="CG328">
        <f>IF($CE328="","",IFERROR(VLOOKUP($CE328,DECODE!$A$3:$C$8,3,FALSE),"?"))</f>
        <v/>
      </c>
      <c r="CH328">
        <f>IF($CF328="","",IFERROR(VLOOKUP($CE328&amp;"-"&amp;$CF328,DECODE!$E$3:$F$21,2,FALSE),"?"))</f>
        <v/>
      </c>
      <c r="CI328">
        <f>IF($CD328="","",IFERROR(VALUE(RIGHT($CD328,3)),""))</f>
        <v/>
      </c>
      <c r="CJ328">
        <f>IF($Y328="","",IFERROR(IF(ISNUMBER($Y328),$Y328,DATEVALUE(TRIM($Y328))),""))</f>
        <v/>
      </c>
      <c r="CK328">
        <f>IF($CJ328="","",IF(MONTH($CJ328)&gt;=12,"Cold Winter",IF(MONTH($CJ328)&gt;=10,"Post-Monsoon",IF(MONTH($CJ328)&gt;=6,"Hot Humid",IF(MONTH($CJ328)&gt;=3,"Hot Dry","Cold Winter")))))</f>
        <v/>
      </c>
      <c r="CL328">
        <f>IF($CE328="","",IFERROR(VLOOKUP($CE328,DECODE!$A$3:$C$8,2,FALSE),"?"))</f>
        <v/>
      </c>
      <c r="CM328">
        <f>IF($AN328="","",AN328)</f>
        <v/>
      </c>
      <c r="CN328">
        <f>IF($AO328="","",AO328)</f>
        <v/>
      </c>
      <c r="CO328">
        <f>IF($AP328="","",AP328)</f>
        <v/>
      </c>
      <c r="CP328">
        <f>IF($CM328="","",IF($CM328="Aloe Vera Gel","Aloe Vera Gel "&amp;$CO328&amp;"g",CN328&amp;" "&amp;$CO328&amp;"g"))</f>
        <v/>
      </c>
      <c r="CQ328">
        <f>IF($AT328="",0,1)</f>
        <v/>
      </c>
      <c r="CR328">
        <f>IF($CQ328=0,"",AW328)</f>
        <v/>
      </c>
      <c r="CS328">
        <f>IF($CQ328=0,"",AX328)</f>
        <v/>
      </c>
      <c r="CT328">
        <f>IF($CQ328=0,"",AY328)</f>
        <v/>
      </c>
      <c r="CU328">
        <f>IF($CR328="","",IF($CR328="Aloe Vera Gel","Aloe Vera Gel "&amp;$CT328&amp;"g",CS328&amp;" "&amp;$CT328&amp;"g"))</f>
        <v/>
      </c>
      <c r="CV328">
        <f>IF($CQ328=0,"",IF($CP328=$CU328,"Repeat Exact",IF($CT328&gt;$CO328,"Upsized",IF($CT328&lt;$CO328,"Downsized",IF($CM328&lt;&gt;$CR328,"Lateral","Same Size Diff Variant")))))</f>
        <v/>
      </c>
      <c r="CW328">
        <f>IF($CQ328=0,"",AZ328-AQ328)</f>
        <v/>
      </c>
      <c r="CX328">
        <f>IF($CQ328=0,0,IF(CS328=CN328,1,0))</f>
        <v/>
      </c>
      <c r="CY328">
        <f>IF($CQ328=0,0,IF(CR328=CM328,1,0))</f>
        <v/>
      </c>
      <c r="CZ328">
        <f>IF($A328="","",IF(AND(IF(DASHBOARD!$C$4="All",TRUE,$CM328=DASHBOARD!$C$4),IF(DASHBOARD!$C$6="All",TRUE,$CP328=DASHBOARD!$C$6),IF(DASHBOARD!$C$8="All",TRUE,$AF328&gt;=DASHBOARD!$C$8),IF(DASHBOARD!$C$10="All",TRUE,$AF328&lt;=DASHBOARD!$C$10),IF(DASHBOARD!$C$12="All",TRUE,$AH328=VALUE(DASHBOARD!$C$12)),IF(DASHBOARD!$C$14="All",TRUE,$AJ328=DASHBOARD!$C$14)),1,0))</f>
        <v/>
      </c>
    </row>
    <row r="329">
      <c r="A329" t="n">
        <v>176581</v>
      </c>
      <c r="B329" t="inlineStr">
        <is>
          <t>Face Malai</t>
        </is>
      </c>
      <c r="H329" t="inlineStr">
        <is>
          <t>Flax Carrot (Hot Humid) 35+ Face Malai - 30g, Cocoa Mogra (Overnight) Face Malai - 30g</t>
        </is>
      </c>
      <c r="N329" t="inlineStr">
        <is>
          <t>FC-DM-NR-030, FC-HHDM-FC-030</t>
        </is>
      </c>
      <c r="T329" t="inlineStr">
        <is>
          <t>Oct 28, 2024</t>
        </is>
      </c>
      <c r="AE329" t="inlineStr">
        <is>
          <t>Mumbai</t>
        </is>
      </c>
      <c r="AF329" t="inlineStr">
        <is>
          <t>2024-10</t>
        </is>
      </c>
      <c r="AG329" t="n">
        <v>10</v>
      </c>
      <c r="AH329" t="n">
        <v>1</v>
      </c>
      <c r="AI329" t="n">
        <v>0</v>
      </c>
      <c r="AJ329">
        <f>IF($AE329="","",IFERROR(VLOOKUP(TRIM($AE329),DECODE!$H$3:$I$60,2,FALSE),"Rest of India"))</f>
        <v/>
      </c>
      <c r="AK329">
        <f>IF($N329="","",UPPER(TRIM(LEFT($N329&amp;",",FIND(",",$N329&amp;",")-1))))</f>
        <v/>
      </c>
      <c r="AL329">
        <f>IF($AK329="","",MID($AK329,4,FIND("~",SUBSTITUTE($AK329,"-","~",2))-4))</f>
        <v/>
      </c>
      <c r="AM329">
        <f>IF($AK329="","",MID($AK329,FIND("~",SUBSTITUTE($AK329,"-","~",2))+1,FIND("~",SUBSTITUTE($AK329,"-","~",3))-FIND("~",SUBSTITUTE($AK329,"-","~",2))-1))</f>
        <v/>
      </c>
      <c r="AN329">
        <f>IF($AL329="","",IFERROR(VLOOKUP($AL329,DECODE!$A$3:$C$8,3,FALSE),"?"))</f>
        <v/>
      </c>
      <c r="AO329">
        <f>IF($AM329="","",IFERROR(VLOOKUP($AL329&amp;"-"&amp;$AM329,DECODE!$E$3:$F$21,2,FALSE),"?"))</f>
        <v/>
      </c>
      <c r="AP329">
        <f>IF($AK329="","",IFERROR(VALUE(RIGHT($AK329,3)),""))</f>
        <v/>
      </c>
      <c r="AQ329">
        <f>IF($T329="","",IFERROR(IF(ISNUMBER($T329),$T329,DATEVALUE(TRIM($T329))),""))</f>
        <v/>
      </c>
      <c r="AR329">
        <f>IF($AQ329="","",IF(MONTH($AQ329)&gt;=12,"Cold Winter",IF(MONTH($AQ329)&gt;=10,"Post-Monsoon",IF(MONTH($AQ329)&gt;=6,"Hot Humid",IF(MONTH($AQ329)&gt;=3,"Hot Dry","Cold Winter")))))</f>
        <v/>
      </c>
      <c r="AS329">
        <f>IF($AL329="","",IFERROR(VLOOKUP($AL329,DECODE!$A$3:$C$8,2,FALSE),"?"))</f>
        <v/>
      </c>
      <c r="AT329">
        <f>IF($O329="","",UPPER(TRIM(LEFT($O329&amp;",",FIND(",",$O329&amp;",")-1))))</f>
        <v/>
      </c>
      <c r="AU329">
        <f>IF($AT329="","",MID($AT329,4,FIND("~",SUBSTITUTE($AT329,"-","~",2))-4))</f>
        <v/>
      </c>
      <c r="AV329">
        <f>IF($AT329="","",MID($AT329,FIND("~",SUBSTITUTE($AT329,"-","~",2))+1,FIND("~",SUBSTITUTE($AT329,"-","~",3))-FIND("~",SUBSTITUTE($AT329,"-","~",2))-1))</f>
        <v/>
      </c>
      <c r="AW329">
        <f>IF($AU329="","",IFERROR(VLOOKUP($AU329,DECODE!$A$3:$C$8,3,FALSE),"?"))</f>
        <v/>
      </c>
      <c r="AX329">
        <f>IF($AV329="","",IFERROR(VLOOKUP($AU329&amp;"-"&amp;$AV329,DECODE!$E$3:$F$21,2,FALSE),"?"))</f>
        <v/>
      </c>
      <c r="AY329">
        <f>IF($AT329="","",IFERROR(VALUE(RIGHT($AT329,3)),""))</f>
        <v/>
      </c>
      <c r="AZ329">
        <f>IF($U329="","",IFERROR(IF(ISNUMBER($U329),$U329,DATEVALUE(TRIM($U329))),""))</f>
        <v/>
      </c>
      <c r="BA329">
        <f>IF($AZ329="","",IF(MONTH($AZ329)&gt;=12,"Cold Winter",IF(MONTH($AZ329)&gt;=10,"Post-Monsoon",IF(MONTH($AZ329)&gt;=6,"Hot Humid",IF(MONTH($AZ329)&gt;=3,"Hot Dry","Cold Winter")))))</f>
        <v/>
      </c>
      <c r="BB329">
        <f>IF($AU329="","",IFERROR(VLOOKUP($AU329,DECODE!$A$3:$C$8,2,FALSE),"?"))</f>
        <v/>
      </c>
      <c r="BC329">
        <f>IF($P329="","",UPPER(TRIM(LEFT($P329&amp;",",FIND(",",$P329&amp;",")-1))))</f>
        <v/>
      </c>
      <c r="BD329">
        <f>IF($BC329="","",MID($BC329,4,FIND("~",SUBSTITUTE($BC329,"-","~",2))-4))</f>
        <v/>
      </c>
      <c r="BE329">
        <f>IF($BC329="","",MID($BC329,FIND("~",SUBSTITUTE($BC329,"-","~",2))+1,FIND("~",SUBSTITUTE($BC329,"-","~",3))-FIND("~",SUBSTITUTE($BC329,"-","~",2))-1))</f>
        <v/>
      </c>
      <c r="BF329">
        <f>IF($BD329="","",IFERROR(VLOOKUP($BD329,DECODE!$A$3:$C$8,3,FALSE),"?"))</f>
        <v/>
      </c>
      <c r="BG329">
        <f>IF($BE329="","",IFERROR(VLOOKUP($BD329&amp;"-"&amp;$BE329,DECODE!$E$3:$F$21,2,FALSE),"?"))</f>
        <v/>
      </c>
      <c r="BH329">
        <f>IF($BC329="","",IFERROR(VALUE(RIGHT($BC329,3)),""))</f>
        <v/>
      </c>
      <c r="BI329">
        <f>IF($V329="","",IFERROR(IF(ISNUMBER($V329),$V329,DATEVALUE(TRIM($V329))),""))</f>
        <v/>
      </c>
      <c r="BJ329">
        <f>IF($BI329="","",IF(MONTH($BI329)&gt;=12,"Cold Winter",IF(MONTH($BI329)&gt;=10,"Post-Monsoon",IF(MONTH($BI329)&gt;=6,"Hot Humid",IF(MONTH($BI329)&gt;=3,"Hot Dry","Cold Winter")))))</f>
        <v/>
      </c>
      <c r="BK329">
        <f>IF($BD329="","",IFERROR(VLOOKUP($BD329,DECODE!$A$3:$C$8,2,FALSE),"?"))</f>
        <v/>
      </c>
      <c r="BL329">
        <f>IF($Q329="","",UPPER(TRIM(LEFT($Q329&amp;",",FIND(",",$Q329&amp;",")-1))))</f>
        <v/>
      </c>
      <c r="BM329">
        <f>IF($BL329="","",MID($BL329,4,FIND("~",SUBSTITUTE($BL329,"-","~",2))-4))</f>
        <v/>
      </c>
      <c r="BN329">
        <f>IF($BL329="","",MID($BL329,FIND("~",SUBSTITUTE($BL329,"-","~",2))+1,FIND("~",SUBSTITUTE($BL329,"-","~",3))-FIND("~",SUBSTITUTE($BL329,"-","~",2))-1))</f>
        <v/>
      </c>
      <c r="BO329">
        <f>IF($BM329="","",IFERROR(VLOOKUP($BM329,DECODE!$A$3:$C$8,3,FALSE),"?"))</f>
        <v/>
      </c>
      <c r="BP329">
        <f>IF($BN329="","",IFERROR(VLOOKUP($BM329&amp;"-"&amp;$BN329,DECODE!$E$3:$F$21,2,FALSE),"?"))</f>
        <v/>
      </c>
      <c r="BQ329">
        <f>IF($BL329="","",IFERROR(VALUE(RIGHT($BL329,3)),""))</f>
        <v/>
      </c>
      <c r="BR329">
        <f>IF($W329="","",IFERROR(IF(ISNUMBER($W329),$W329,DATEVALUE(TRIM($W329))),""))</f>
        <v/>
      </c>
      <c r="BS329">
        <f>IF($BR329="","",IF(MONTH($BR329)&gt;=12,"Cold Winter",IF(MONTH($BR329)&gt;=10,"Post-Monsoon",IF(MONTH($BR329)&gt;=6,"Hot Humid",IF(MONTH($BR329)&gt;=3,"Hot Dry","Cold Winter")))))</f>
        <v/>
      </c>
      <c r="BT329">
        <f>IF($BM329="","",IFERROR(VLOOKUP($BM329,DECODE!$A$3:$C$8,2,FALSE),"?"))</f>
        <v/>
      </c>
      <c r="BU329">
        <f>IF($R329="","",UPPER(TRIM(LEFT($R329&amp;",",FIND(",",$R329&amp;",")-1))))</f>
        <v/>
      </c>
      <c r="BV329">
        <f>IF($BU329="","",MID($BU329,4,FIND("~",SUBSTITUTE($BU329,"-","~",2))-4))</f>
        <v/>
      </c>
      <c r="BW329">
        <f>IF($BU329="","",MID($BU329,FIND("~",SUBSTITUTE($BU329,"-","~",2))+1,FIND("~",SUBSTITUTE($BU329,"-","~",3))-FIND("~",SUBSTITUTE($BU329,"-","~",2))-1))</f>
        <v/>
      </c>
      <c r="BX329">
        <f>IF($BV329="","",IFERROR(VLOOKUP($BV329,DECODE!$A$3:$C$8,3,FALSE),"?"))</f>
        <v/>
      </c>
      <c r="BY329">
        <f>IF($BW329="","",IFERROR(VLOOKUP($BV329&amp;"-"&amp;$BW329,DECODE!$E$3:$F$21,2,FALSE),"?"))</f>
        <v/>
      </c>
      <c r="BZ329">
        <f>IF($BU329="","",IFERROR(VALUE(RIGHT($BU329,3)),""))</f>
        <v/>
      </c>
      <c r="CA329">
        <f>IF($X329="","",IFERROR(IF(ISNUMBER($X329),$X329,DATEVALUE(TRIM($X329))),""))</f>
        <v/>
      </c>
      <c r="CB329">
        <f>IF($CA329="","",IF(MONTH($CA329)&gt;=12,"Cold Winter",IF(MONTH($CA329)&gt;=10,"Post-Monsoon",IF(MONTH($CA329)&gt;=6,"Hot Humid",IF(MONTH($CA329)&gt;=3,"Hot Dry","Cold Winter")))))</f>
        <v/>
      </c>
      <c r="CC329">
        <f>IF($BV329="","",IFERROR(VLOOKUP($BV329,DECODE!$A$3:$C$8,2,FALSE),"?"))</f>
        <v/>
      </c>
      <c r="CD329">
        <f>IF($S329="","",UPPER(TRIM(LEFT($S329&amp;",",FIND(",",$S329&amp;",")-1))))</f>
        <v/>
      </c>
      <c r="CE329">
        <f>IF($CD329="","",MID($CD329,4,FIND("~",SUBSTITUTE($CD329,"-","~",2))-4))</f>
        <v/>
      </c>
      <c r="CF329">
        <f>IF($CD329="","",MID($CD329,FIND("~",SUBSTITUTE($CD329,"-","~",2))+1,FIND("~",SUBSTITUTE($CD329,"-","~",3))-FIND("~",SUBSTITUTE($CD329,"-","~",2))-1))</f>
        <v/>
      </c>
      <c r="CG329">
        <f>IF($CE329="","",IFERROR(VLOOKUP($CE329,DECODE!$A$3:$C$8,3,FALSE),"?"))</f>
        <v/>
      </c>
      <c r="CH329">
        <f>IF($CF329="","",IFERROR(VLOOKUP($CE329&amp;"-"&amp;$CF329,DECODE!$E$3:$F$21,2,FALSE),"?"))</f>
        <v/>
      </c>
      <c r="CI329">
        <f>IF($CD329="","",IFERROR(VALUE(RIGHT($CD329,3)),""))</f>
        <v/>
      </c>
      <c r="CJ329">
        <f>IF($Y329="","",IFERROR(IF(ISNUMBER($Y329),$Y329,DATEVALUE(TRIM($Y329))),""))</f>
        <v/>
      </c>
      <c r="CK329">
        <f>IF($CJ329="","",IF(MONTH($CJ329)&gt;=12,"Cold Winter",IF(MONTH($CJ329)&gt;=10,"Post-Monsoon",IF(MONTH($CJ329)&gt;=6,"Hot Humid",IF(MONTH($CJ329)&gt;=3,"Hot Dry","Cold Winter")))))</f>
        <v/>
      </c>
      <c r="CL329">
        <f>IF($CE329="","",IFERROR(VLOOKUP($CE329,DECODE!$A$3:$C$8,2,FALSE),"?"))</f>
        <v/>
      </c>
      <c r="CM329">
        <f>IF($AN329="","",AN329)</f>
        <v/>
      </c>
      <c r="CN329">
        <f>IF($AO329="","",AO329)</f>
        <v/>
      </c>
      <c r="CO329">
        <f>IF($AP329="","",AP329)</f>
        <v/>
      </c>
      <c r="CP329">
        <f>IF($CM329="","",IF($CM329="Aloe Vera Gel","Aloe Vera Gel "&amp;$CO329&amp;"g",CN329&amp;" "&amp;$CO329&amp;"g"))</f>
        <v/>
      </c>
      <c r="CQ329">
        <f>IF($AT329="",0,1)</f>
        <v/>
      </c>
      <c r="CR329">
        <f>IF($CQ329=0,"",AW329)</f>
        <v/>
      </c>
      <c r="CS329">
        <f>IF($CQ329=0,"",AX329)</f>
        <v/>
      </c>
      <c r="CT329">
        <f>IF($CQ329=0,"",AY329)</f>
        <v/>
      </c>
      <c r="CU329">
        <f>IF($CR329="","",IF($CR329="Aloe Vera Gel","Aloe Vera Gel "&amp;$CT329&amp;"g",CS329&amp;" "&amp;$CT329&amp;"g"))</f>
        <v/>
      </c>
      <c r="CV329">
        <f>IF($CQ329=0,"",IF($CP329=$CU329,"Repeat Exact",IF($CT329&gt;$CO329,"Upsized",IF($CT329&lt;$CO329,"Downsized",IF($CM329&lt;&gt;$CR329,"Lateral","Same Size Diff Variant")))))</f>
        <v/>
      </c>
      <c r="CW329">
        <f>IF($CQ329=0,"",AZ329-AQ329)</f>
        <v/>
      </c>
      <c r="CX329">
        <f>IF($CQ329=0,0,IF(CS329=CN329,1,0))</f>
        <v/>
      </c>
      <c r="CY329">
        <f>IF($CQ329=0,0,IF(CR329=CM329,1,0))</f>
        <v/>
      </c>
      <c r="CZ329">
        <f>IF($A329="","",IF(AND(IF(DASHBOARD!$C$4="All",TRUE,$CM329=DASHBOARD!$C$4),IF(DASHBOARD!$C$6="All",TRUE,$CP329=DASHBOARD!$C$6),IF(DASHBOARD!$C$8="All",TRUE,$AF329&gt;=DASHBOARD!$C$8),IF(DASHBOARD!$C$10="All",TRUE,$AF329&lt;=DASHBOARD!$C$10),IF(DASHBOARD!$C$12="All",TRUE,$AH329=VALUE(DASHBOARD!$C$12)),IF(DASHBOARD!$C$14="All",TRUE,$AJ329=DASHBOARD!$C$14)),1,0))</f>
        <v/>
      </c>
    </row>
    <row r="330">
      <c r="A330" t="n">
        <v>177302</v>
      </c>
      <c r="B330" t="inlineStr">
        <is>
          <t>Face Malai</t>
        </is>
      </c>
      <c r="H330" t="inlineStr">
        <is>
          <t>Flax Walnut (Cold) 35+ Face Malai</t>
        </is>
      </c>
      <c r="N330" t="inlineStr">
        <is>
          <t>FC-CWDM-FW-030</t>
        </is>
      </c>
      <c r="T330" t="inlineStr">
        <is>
          <t>Feb 6, 2024</t>
        </is>
      </c>
      <c r="AE330" t="inlineStr">
        <is>
          <t>Goa</t>
        </is>
      </c>
      <c r="AF330" t="inlineStr">
        <is>
          <t>2024-02</t>
        </is>
      </c>
      <c r="AG330" t="n">
        <v>2</v>
      </c>
      <c r="AH330" t="n">
        <v>1</v>
      </c>
      <c r="AI330" t="n">
        <v>0</v>
      </c>
      <c r="AJ330">
        <f>IF($AE330="","",IFERROR(VLOOKUP(TRIM($AE330),DECODE!$H$3:$I$60,2,FALSE),"Rest of India"))</f>
        <v/>
      </c>
      <c r="AK330">
        <f>IF($N330="","",UPPER(TRIM(LEFT($N330&amp;",",FIND(",",$N330&amp;",")-1))))</f>
        <v/>
      </c>
      <c r="AL330">
        <f>IF($AK330="","",MID($AK330,4,FIND("~",SUBSTITUTE($AK330,"-","~",2))-4))</f>
        <v/>
      </c>
      <c r="AM330">
        <f>IF($AK330="","",MID($AK330,FIND("~",SUBSTITUTE($AK330,"-","~",2))+1,FIND("~",SUBSTITUTE($AK330,"-","~",3))-FIND("~",SUBSTITUTE($AK330,"-","~",2))-1))</f>
        <v/>
      </c>
      <c r="AN330">
        <f>IF($AL330="","",IFERROR(VLOOKUP($AL330,DECODE!$A$3:$C$8,3,FALSE),"?"))</f>
        <v/>
      </c>
      <c r="AO330">
        <f>IF($AM330="","",IFERROR(VLOOKUP($AL330&amp;"-"&amp;$AM330,DECODE!$E$3:$F$21,2,FALSE),"?"))</f>
        <v/>
      </c>
      <c r="AP330">
        <f>IF($AK330="","",IFERROR(VALUE(RIGHT($AK330,3)),""))</f>
        <v/>
      </c>
      <c r="AQ330">
        <f>IF($T330="","",IFERROR(IF(ISNUMBER($T330),$T330,DATEVALUE(TRIM($T330))),""))</f>
        <v/>
      </c>
      <c r="AR330">
        <f>IF($AQ330="","",IF(MONTH($AQ330)&gt;=12,"Cold Winter",IF(MONTH($AQ330)&gt;=10,"Post-Monsoon",IF(MONTH($AQ330)&gt;=6,"Hot Humid",IF(MONTH($AQ330)&gt;=3,"Hot Dry","Cold Winter")))))</f>
        <v/>
      </c>
      <c r="AS330">
        <f>IF($AL330="","",IFERROR(VLOOKUP($AL330,DECODE!$A$3:$C$8,2,FALSE),"?"))</f>
        <v/>
      </c>
      <c r="AT330">
        <f>IF($O330="","",UPPER(TRIM(LEFT($O330&amp;",",FIND(",",$O330&amp;",")-1))))</f>
        <v/>
      </c>
      <c r="AU330">
        <f>IF($AT330="","",MID($AT330,4,FIND("~",SUBSTITUTE($AT330,"-","~",2))-4))</f>
        <v/>
      </c>
      <c r="AV330">
        <f>IF($AT330="","",MID($AT330,FIND("~",SUBSTITUTE($AT330,"-","~",2))+1,FIND("~",SUBSTITUTE($AT330,"-","~",3))-FIND("~",SUBSTITUTE($AT330,"-","~",2))-1))</f>
        <v/>
      </c>
      <c r="AW330">
        <f>IF($AU330="","",IFERROR(VLOOKUP($AU330,DECODE!$A$3:$C$8,3,FALSE),"?"))</f>
        <v/>
      </c>
      <c r="AX330">
        <f>IF($AV330="","",IFERROR(VLOOKUP($AU330&amp;"-"&amp;$AV330,DECODE!$E$3:$F$21,2,FALSE),"?"))</f>
        <v/>
      </c>
      <c r="AY330">
        <f>IF($AT330="","",IFERROR(VALUE(RIGHT($AT330,3)),""))</f>
        <v/>
      </c>
      <c r="AZ330">
        <f>IF($U330="","",IFERROR(IF(ISNUMBER($U330),$U330,DATEVALUE(TRIM($U330))),""))</f>
        <v/>
      </c>
      <c r="BA330">
        <f>IF($AZ330="","",IF(MONTH($AZ330)&gt;=12,"Cold Winter",IF(MONTH($AZ330)&gt;=10,"Post-Monsoon",IF(MONTH($AZ330)&gt;=6,"Hot Humid",IF(MONTH($AZ330)&gt;=3,"Hot Dry","Cold Winter")))))</f>
        <v/>
      </c>
      <c r="BB330">
        <f>IF($AU330="","",IFERROR(VLOOKUP($AU330,DECODE!$A$3:$C$8,2,FALSE),"?"))</f>
        <v/>
      </c>
      <c r="BC330">
        <f>IF($P330="","",UPPER(TRIM(LEFT($P330&amp;",",FIND(",",$P330&amp;",")-1))))</f>
        <v/>
      </c>
      <c r="BD330">
        <f>IF($BC330="","",MID($BC330,4,FIND("~",SUBSTITUTE($BC330,"-","~",2))-4))</f>
        <v/>
      </c>
      <c r="BE330">
        <f>IF($BC330="","",MID($BC330,FIND("~",SUBSTITUTE($BC330,"-","~",2))+1,FIND("~",SUBSTITUTE($BC330,"-","~",3))-FIND("~",SUBSTITUTE($BC330,"-","~",2))-1))</f>
        <v/>
      </c>
      <c r="BF330">
        <f>IF($BD330="","",IFERROR(VLOOKUP($BD330,DECODE!$A$3:$C$8,3,FALSE),"?"))</f>
        <v/>
      </c>
      <c r="BG330">
        <f>IF($BE330="","",IFERROR(VLOOKUP($BD330&amp;"-"&amp;$BE330,DECODE!$E$3:$F$21,2,FALSE),"?"))</f>
        <v/>
      </c>
      <c r="BH330">
        <f>IF($BC330="","",IFERROR(VALUE(RIGHT($BC330,3)),""))</f>
        <v/>
      </c>
      <c r="BI330">
        <f>IF($V330="","",IFERROR(IF(ISNUMBER($V330),$V330,DATEVALUE(TRIM($V330))),""))</f>
        <v/>
      </c>
      <c r="BJ330">
        <f>IF($BI330="","",IF(MONTH($BI330)&gt;=12,"Cold Winter",IF(MONTH($BI330)&gt;=10,"Post-Monsoon",IF(MONTH($BI330)&gt;=6,"Hot Humid",IF(MONTH($BI330)&gt;=3,"Hot Dry","Cold Winter")))))</f>
        <v/>
      </c>
      <c r="BK330">
        <f>IF($BD330="","",IFERROR(VLOOKUP($BD330,DECODE!$A$3:$C$8,2,FALSE),"?"))</f>
        <v/>
      </c>
      <c r="BL330">
        <f>IF($Q330="","",UPPER(TRIM(LEFT($Q330&amp;",",FIND(",",$Q330&amp;",")-1))))</f>
        <v/>
      </c>
      <c r="BM330">
        <f>IF($BL330="","",MID($BL330,4,FIND("~",SUBSTITUTE($BL330,"-","~",2))-4))</f>
        <v/>
      </c>
      <c r="BN330">
        <f>IF($BL330="","",MID($BL330,FIND("~",SUBSTITUTE($BL330,"-","~",2))+1,FIND("~",SUBSTITUTE($BL330,"-","~",3))-FIND("~",SUBSTITUTE($BL330,"-","~",2))-1))</f>
        <v/>
      </c>
      <c r="BO330">
        <f>IF($BM330="","",IFERROR(VLOOKUP($BM330,DECODE!$A$3:$C$8,3,FALSE),"?"))</f>
        <v/>
      </c>
      <c r="BP330">
        <f>IF($BN330="","",IFERROR(VLOOKUP($BM330&amp;"-"&amp;$BN330,DECODE!$E$3:$F$21,2,FALSE),"?"))</f>
        <v/>
      </c>
      <c r="BQ330">
        <f>IF($BL330="","",IFERROR(VALUE(RIGHT($BL330,3)),""))</f>
        <v/>
      </c>
      <c r="BR330">
        <f>IF($W330="","",IFERROR(IF(ISNUMBER($W330),$W330,DATEVALUE(TRIM($W330))),""))</f>
        <v/>
      </c>
      <c r="BS330">
        <f>IF($BR330="","",IF(MONTH($BR330)&gt;=12,"Cold Winter",IF(MONTH($BR330)&gt;=10,"Post-Monsoon",IF(MONTH($BR330)&gt;=6,"Hot Humid",IF(MONTH($BR330)&gt;=3,"Hot Dry","Cold Winter")))))</f>
        <v/>
      </c>
      <c r="BT330">
        <f>IF($BM330="","",IFERROR(VLOOKUP($BM330,DECODE!$A$3:$C$8,2,FALSE),"?"))</f>
        <v/>
      </c>
      <c r="BU330">
        <f>IF($R330="","",UPPER(TRIM(LEFT($R330&amp;",",FIND(",",$R330&amp;",")-1))))</f>
        <v/>
      </c>
      <c r="BV330">
        <f>IF($BU330="","",MID($BU330,4,FIND("~",SUBSTITUTE($BU330,"-","~",2))-4))</f>
        <v/>
      </c>
      <c r="BW330">
        <f>IF($BU330="","",MID($BU330,FIND("~",SUBSTITUTE($BU330,"-","~",2))+1,FIND("~",SUBSTITUTE($BU330,"-","~",3))-FIND("~",SUBSTITUTE($BU330,"-","~",2))-1))</f>
        <v/>
      </c>
      <c r="BX330">
        <f>IF($BV330="","",IFERROR(VLOOKUP($BV330,DECODE!$A$3:$C$8,3,FALSE),"?"))</f>
        <v/>
      </c>
      <c r="BY330">
        <f>IF($BW330="","",IFERROR(VLOOKUP($BV330&amp;"-"&amp;$BW330,DECODE!$E$3:$F$21,2,FALSE),"?"))</f>
        <v/>
      </c>
      <c r="BZ330">
        <f>IF($BU330="","",IFERROR(VALUE(RIGHT($BU330,3)),""))</f>
        <v/>
      </c>
      <c r="CA330">
        <f>IF($X330="","",IFERROR(IF(ISNUMBER($X330),$X330,DATEVALUE(TRIM($X330))),""))</f>
        <v/>
      </c>
      <c r="CB330">
        <f>IF($CA330="","",IF(MONTH($CA330)&gt;=12,"Cold Winter",IF(MONTH($CA330)&gt;=10,"Post-Monsoon",IF(MONTH($CA330)&gt;=6,"Hot Humid",IF(MONTH($CA330)&gt;=3,"Hot Dry","Cold Winter")))))</f>
        <v/>
      </c>
      <c r="CC330">
        <f>IF($BV330="","",IFERROR(VLOOKUP($BV330,DECODE!$A$3:$C$8,2,FALSE),"?"))</f>
        <v/>
      </c>
      <c r="CD330">
        <f>IF($S330="","",UPPER(TRIM(LEFT($S330&amp;",",FIND(",",$S330&amp;",")-1))))</f>
        <v/>
      </c>
      <c r="CE330">
        <f>IF($CD330="","",MID($CD330,4,FIND("~",SUBSTITUTE($CD330,"-","~",2))-4))</f>
        <v/>
      </c>
      <c r="CF330">
        <f>IF($CD330="","",MID($CD330,FIND("~",SUBSTITUTE($CD330,"-","~",2))+1,FIND("~",SUBSTITUTE($CD330,"-","~",3))-FIND("~",SUBSTITUTE($CD330,"-","~",2))-1))</f>
        <v/>
      </c>
      <c r="CG330">
        <f>IF($CE330="","",IFERROR(VLOOKUP($CE330,DECODE!$A$3:$C$8,3,FALSE),"?"))</f>
        <v/>
      </c>
      <c r="CH330">
        <f>IF($CF330="","",IFERROR(VLOOKUP($CE330&amp;"-"&amp;$CF330,DECODE!$E$3:$F$21,2,FALSE),"?"))</f>
        <v/>
      </c>
      <c r="CI330">
        <f>IF($CD330="","",IFERROR(VALUE(RIGHT($CD330,3)),""))</f>
        <v/>
      </c>
      <c r="CJ330">
        <f>IF($Y330="","",IFERROR(IF(ISNUMBER($Y330),$Y330,DATEVALUE(TRIM($Y330))),""))</f>
        <v/>
      </c>
      <c r="CK330">
        <f>IF($CJ330="","",IF(MONTH($CJ330)&gt;=12,"Cold Winter",IF(MONTH($CJ330)&gt;=10,"Post-Monsoon",IF(MONTH($CJ330)&gt;=6,"Hot Humid",IF(MONTH($CJ330)&gt;=3,"Hot Dry","Cold Winter")))))</f>
        <v/>
      </c>
      <c r="CL330">
        <f>IF($CE330="","",IFERROR(VLOOKUP($CE330,DECODE!$A$3:$C$8,2,FALSE),"?"))</f>
        <v/>
      </c>
      <c r="CM330">
        <f>IF($AN330="","",AN330)</f>
        <v/>
      </c>
      <c r="CN330">
        <f>IF($AO330="","",AO330)</f>
        <v/>
      </c>
      <c r="CO330">
        <f>IF($AP330="","",AP330)</f>
        <v/>
      </c>
      <c r="CP330">
        <f>IF($CM330="","",IF($CM330="Aloe Vera Gel","Aloe Vera Gel "&amp;$CO330&amp;"g",CN330&amp;" "&amp;$CO330&amp;"g"))</f>
        <v/>
      </c>
      <c r="CQ330">
        <f>IF($AT330="",0,1)</f>
        <v/>
      </c>
      <c r="CR330">
        <f>IF($CQ330=0,"",AW330)</f>
        <v/>
      </c>
      <c r="CS330">
        <f>IF($CQ330=0,"",AX330)</f>
        <v/>
      </c>
      <c r="CT330">
        <f>IF($CQ330=0,"",AY330)</f>
        <v/>
      </c>
      <c r="CU330">
        <f>IF($CR330="","",IF($CR330="Aloe Vera Gel","Aloe Vera Gel "&amp;$CT330&amp;"g",CS330&amp;" "&amp;$CT330&amp;"g"))</f>
        <v/>
      </c>
      <c r="CV330">
        <f>IF($CQ330=0,"",IF($CP330=$CU330,"Repeat Exact",IF($CT330&gt;$CO330,"Upsized",IF($CT330&lt;$CO330,"Downsized",IF($CM330&lt;&gt;$CR330,"Lateral","Same Size Diff Variant")))))</f>
        <v/>
      </c>
      <c r="CW330">
        <f>IF($CQ330=0,"",AZ330-AQ330)</f>
        <v/>
      </c>
      <c r="CX330">
        <f>IF($CQ330=0,0,IF(CS330=CN330,1,0))</f>
        <v/>
      </c>
      <c r="CY330">
        <f>IF($CQ330=0,0,IF(CR330=CM330,1,0))</f>
        <v/>
      </c>
      <c r="CZ330">
        <f>IF($A330="","",IF(AND(IF(DASHBOARD!$C$4="All",TRUE,$CM330=DASHBOARD!$C$4),IF(DASHBOARD!$C$6="All",TRUE,$CP330=DASHBOARD!$C$6),IF(DASHBOARD!$C$8="All",TRUE,$AF330&gt;=DASHBOARD!$C$8),IF(DASHBOARD!$C$10="All",TRUE,$AF330&lt;=DASHBOARD!$C$10),IF(DASHBOARD!$C$12="All",TRUE,$AH330=VALUE(DASHBOARD!$C$12)),IF(DASHBOARD!$C$14="All",TRUE,$AJ330=DASHBOARD!$C$14)),1,0))</f>
        <v/>
      </c>
    </row>
    <row r="331">
      <c r="A331" t="n">
        <v>178002</v>
      </c>
      <c r="B331" t="inlineStr">
        <is>
          <t>Face Malai</t>
        </is>
      </c>
      <c r="H331" t="inlineStr">
        <is>
          <t>Flax Walnut (Cold) 35+ Face Malai</t>
        </is>
      </c>
      <c r="N331" t="inlineStr">
        <is>
          <t>FC-CWDM-FW-030</t>
        </is>
      </c>
      <c r="T331" t="inlineStr">
        <is>
          <t>Jan 2, 2024</t>
        </is>
      </c>
      <c r="AE331" t="inlineStr">
        <is>
          <t>Guwahati</t>
        </is>
      </c>
      <c r="AF331" t="inlineStr">
        <is>
          <t>2024-01</t>
        </is>
      </c>
      <c r="AG331" t="n">
        <v>1</v>
      </c>
      <c r="AH331" t="n">
        <v>1</v>
      </c>
      <c r="AI331" t="n">
        <v>0</v>
      </c>
      <c r="AJ331">
        <f>IF($AE331="","",IFERROR(VLOOKUP(TRIM($AE331),DECODE!$H$3:$I$60,2,FALSE),"Rest of India"))</f>
        <v/>
      </c>
      <c r="AK331">
        <f>IF($N331="","",UPPER(TRIM(LEFT($N331&amp;",",FIND(",",$N331&amp;",")-1))))</f>
        <v/>
      </c>
      <c r="AL331">
        <f>IF($AK331="","",MID($AK331,4,FIND("~",SUBSTITUTE($AK331,"-","~",2))-4))</f>
        <v/>
      </c>
      <c r="AM331">
        <f>IF($AK331="","",MID($AK331,FIND("~",SUBSTITUTE($AK331,"-","~",2))+1,FIND("~",SUBSTITUTE($AK331,"-","~",3))-FIND("~",SUBSTITUTE($AK331,"-","~",2))-1))</f>
        <v/>
      </c>
      <c r="AN331">
        <f>IF($AL331="","",IFERROR(VLOOKUP($AL331,DECODE!$A$3:$C$8,3,FALSE),"?"))</f>
        <v/>
      </c>
      <c r="AO331">
        <f>IF($AM331="","",IFERROR(VLOOKUP($AL331&amp;"-"&amp;$AM331,DECODE!$E$3:$F$21,2,FALSE),"?"))</f>
        <v/>
      </c>
      <c r="AP331">
        <f>IF($AK331="","",IFERROR(VALUE(RIGHT($AK331,3)),""))</f>
        <v/>
      </c>
      <c r="AQ331">
        <f>IF($T331="","",IFERROR(IF(ISNUMBER($T331),$T331,DATEVALUE(TRIM($T331))),""))</f>
        <v/>
      </c>
      <c r="AR331">
        <f>IF($AQ331="","",IF(MONTH($AQ331)&gt;=12,"Cold Winter",IF(MONTH($AQ331)&gt;=10,"Post-Monsoon",IF(MONTH($AQ331)&gt;=6,"Hot Humid",IF(MONTH($AQ331)&gt;=3,"Hot Dry","Cold Winter")))))</f>
        <v/>
      </c>
      <c r="AS331">
        <f>IF($AL331="","",IFERROR(VLOOKUP($AL331,DECODE!$A$3:$C$8,2,FALSE),"?"))</f>
        <v/>
      </c>
      <c r="AT331">
        <f>IF($O331="","",UPPER(TRIM(LEFT($O331&amp;",",FIND(",",$O331&amp;",")-1))))</f>
        <v/>
      </c>
      <c r="AU331">
        <f>IF($AT331="","",MID($AT331,4,FIND("~",SUBSTITUTE($AT331,"-","~",2))-4))</f>
        <v/>
      </c>
      <c r="AV331">
        <f>IF($AT331="","",MID($AT331,FIND("~",SUBSTITUTE($AT331,"-","~",2))+1,FIND("~",SUBSTITUTE($AT331,"-","~",3))-FIND("~",SUBSTITUTE($AT331,"-","~",2))-1))</f>
        <v/>
      </c>
      <c r="AW331">
        <f>IF($AU331="","",IFERROR(VLOOKUP($AU331,DECODE!$A$3:$C$8,3,FALSE),"?"))</f>
        <v/>
      </c>
      <c r="AX331">
        <f>IF($AV331="","",IFERROR(VLOOKUP($AU331&amp;"-"&amp;$AV331,DECODE!$E$3:$F$21,2,FALSE),"?"))</f>
        <v/>
      </c>
      <c r="AY331">
        <f>IF($AT331="","",IFERROR(VALUE(RIGHT($AT331,3)),""))</f>
        <v/>
      </c>
      <c r="AZ331">
        <f>IF($U331="","",IFERROR(IF(ISNUMBER($U331),$U331,DATEVALUE(TRIM($U331))),""))</f>
        <v/>
      </c>
      <c r="BA331">
        <f>IF($AZ331="","",IF(MONTH($AZ331)&gt;=12,"Cold Winter",IF(MONTH($AZ331)&gt;=10,"Post-Monsoon",IF(MONTH($AZ331)&gt;=6,"Hot Humid",IF(MONTH($AZ331)&gt;=3,"Hot Dry","Cold Winter")))))</f>
        <v/>
      </c>
      <c r="BB331">
        <f>IF($AU331="","",IFERROR(VLOOKUP($AU331,DECODE!$A$3:$C$8,2,FALSE),"?"))</f>
        <v/>
      </c>
      <c r="BC331">
        <f>IF($P331="","",UPPER(TRIM(LEFT($P331&amp;",",FIND(",",$P331&amp;",")-1))))</f>
        <v/>
      </c>
      <c r="BD331">
        <f>IF($BC331="","",MID($BC331,4,FIND("~",SUBSTITUTE($BC331,"-","~",2))-4))</f>
        <v/>
      </c>
      <c r="BE331">
        <f>IF($BC331="","",MID($BC331,FIND("~",SUBSTITUTE($BC331,"-","~",2))+1,FIND("~",SUBSTITUTE($BC331,"-","~",3))-FIND("~",SUBSTITUTE($BC331,"-","~",2))-1))</f>
        <v/>
      </c>
      <c r="BF331">
        <f>IF($BD331="","",IFERROR(VLOOKUP($BD331,DECODE!$A$3:$C$8,3,FALSE),"?"))</f>
        <v/>
      </c>
      <c r="BG331">
        <f>IF($BE331="","",IFERROR(VLOOKUP($BD331&amp;"-"&amp;$BE331,DECODE!$E$3:$F$21,2,FALSE),"?"))</f>
        <v/>
      </c>
      <c r="BH331">
        <f>IF($BC331="","",IFERROR(VALUE(RIGHT($BC331,3)),""))</f>
        <v/>
      </c>
      <c r="BI331">
        <f>IF($V331="","",IFERROR(IF(ISNUMBER($V331),$V331,DATEVALUE(TRIM($V331))),""))</f>
        <v/>
      </c>
      <c r="BJ331">
        <f>IF($BI331="","",IF(MONTH($BI331)&gt;=12,"Cold Winter",IF(MONTH($BI331)&gt;=10,"Post-Monsoon",IF(MONTH($BI331)&gt;=6,"Hot Humid",IF(MONTH($BI331)&gt;=3,"Hot Dry","Cold Winter")))))</f>
        <v/>
      </c>
      <c r="BK331">
        <f>IF($BD331="","",IFERROR(VLOOKUP($BD331,DECODE!$A$3:$C$8,2,FALSE),"?"))</f>
        <v/>
      </c>
      <c r="BL331">
        <f>IF($Q331="","",UPPER(TRIM(LEFT($Q331&amp;",",FIND(",",$Q331&amp;",")-1))))</f>
        <v/>
      </c>
      <c r="BM331">
        <f>IF($BL331="","",MID($BL331,4,FIND("~",SUBSTITUTE($BL331,"-","~",2))-4))</f>
        <v/>
      </c>
      <c r="BN331">
        <f>IF($BL331="","",MID($BL331,FIND("~",SUBSTITUTE($BL331,"-","~",2))+1,FIND("~",SUBSTITUTE($BL331,"-","~",3))-FIND("~",SUBSTITUTE($BL331,"-","~",2))-1))</f>
        <v/>
      </c>
      <c r="BO331">
        <f>IF($BM331="","",IFERROR(VLOOKUP($BM331,DECODE!$A$3:$C$8,3,FALSE),"?"))</f>
        <v/>
      </c>
      <c r="BP331">
        <f>IF($BN331="","",IFERROR(VLOOKUP($BM331&amp;"-"&amp;$BN331,DECODE!$E$3:$F$21,2,FALSE),"?"))</f>
        <v/>
      </c>
      <c r="BQ331">
        <f>IF($BL331="","",IFERROR(VALUE(RIGHT($BL331,3)),""))</f>
        <v/>
      </c>
      <c r="BR331">
        <f>IF($W331="","",IFERROR(IF(ISNUMBER($W331),$W331,DATEVALUE(TRIM($W331))),""))</f>
        <v/>
      </c>
      <c r="BS331">
        <f>IF($BR331="","",IF(MONTH($BR331)&gt;=12,"Cold Winter",IF(MONTH($BR331)&gt;=10,"Post-Monsoon",IF(MONTH($BR331)&gt;=6,"Hot Humid",IF(MONTH($BR331)&gt;=3,"Hot Dry","Cold Winter")))))</f>
        <v/>
      </c>
      <c r="BT331">
        <f>IF($BM331="","",IFERROR(VLOOKUP($BM331,DECODE!$A$3:$C$8,2,FALSE),"?"))</f>
        <v/>
      </c>
      <c r="BU331">
        <f>IF($R331="","",UPPER(TRIM(LEFT($R331&amp;",",FIND(",",$R331&amp;",")-1))))</f>
        <v/>
      </c>
      <c r="BV331">
        <f>IF($BU331="","",MID($BU331,4,FIND("~",SUBSTITUTE($BU331,"-","~",2))-4))</f>
        <v/>
      </c>
      <c r="BW331">
        <f>IF($BU331="","",MID($BU331,FIND("~",SUBSTITUTE($BU331,"-","~",2))+1,FIND("~",SUBSTITUTE($BU331,"-","~",3))-FIND("~",SUBSTITUTE($BU331,"-","~",2))-1))</f>
        <v/>
      </c>
      <c r="BX331">
        <f>IF($BV331="","",IFERROR(VLOOKUP($BV331,DECODE!$A$3:$C$8,3,FALSE),"?"))</f>
        <v/>
      </c>
      <c r="BY331">
        <f>IF($BW331="","",IFERROR(VLOOKUP($BV331&amp;"-"&amp;$BW331,DECODE!$E$3:$F$21,2,FALSE),"?"))</f>
        <v/>
      </c>
      <c r="BZ331">
        <f>IF($BU331="","",IFERROR(VALUE(RIGHT($BU331,3)),""))</f>
        <v/>
      </c>
      <c r="CA331">
        <f>IF($X331="","",IFERROR(IF(ISNUMBER($X331),$X331,DATEVALUE(TRIM($X331))),""))</f>
        <v/>
      </c>
      <c r="CB331">
        <f>IF($CA331="","",IF(MONTH($CA331)&gt;=12,"Cold Winter",IF(MONTH($CA331)&gt;=10,"Post-Monsoon",IF(MONTH($CA331)&gt;=6,"Hot Humid",IF(MONTH($CA331)&gt;=3,"Hot Dry","Cold Winter")))))</f>
        <v/>
      </c>
      <c r="CC331">
        <f>IF($BV331="","",IFERROR(VLOOKUP($BV331,DECODE!$A$3:$C$8,2,FALSE),"?"))</f>
        <v/>
      </c>
      <c r="CD331">
        <f>IF($S331="","",UPPER(TRIM(LEFT($S331&amp;",",FIND(",",$S331&amp;",")-1))))</f>
        <v/>
      </c>
      <c r="CE331">
        <f>IF($CD331="","",MID($CD331,4,FIND("~",SUBSTITUTE($CD331,"-","~",2))-4))</f>
        <v/>
      </c>
      <c r="CF331">
        <f>IF($CD331="","",MID($CD331,FIND("~",SUBSTITUTE($CD331,"-","~",2))+1,FIND("~",SUBSTITUTE($CD331,"-","~",3))-FIND("~",SUBSTITUTE($CD331,"-","~",2))-1))</f>
        <v/>
      </c>
      <c r="CG331">
        <f>IF($CE331="","",IFERROR(VLOOKUP($CE331,DECODE!$A$3:$C$8,3,FALSE),"?"))</f>
        <v/>
      </c>
      <c r="CH331">
        <f>IF($CF331="","",IFERROR(VLOOKUP($CE331&amp;"-"&amp;$CF331,DECODE!$E$3:$F$21,2,FALSE),"?"))</f>
        <v/>
      </c>
      <c r="CI331">
        <f>IF($CD331="","",IFERROR(VALUE(RIGHT($CD331,3)),""))</f>
        <v/>
      </c>
      <c r="CJ331">
        <f>IF($Y331="","",IFERROR(IF(ISNUMBER($Y331),$Y331,DATEVALUE(TRIM($Y331))),""))</f>
        <v/>
      </c>
      <c r="CK331">
        <f>IF($CJ331="","",IF(MONTH($CJ331)&gt;=12,"Cold Winter",IF(MONTH($CJ331)&gt;=10,"Post-Monsoon",IF(MONTH($CJ331)&gt;=6,"Hot Humid",IF(MONTH($CJ331)&gt;=3,"Hot Dry","Cold Winter")))))</f>
        <v/>
      </c>
      <c r="CL331">
        <f>IF($CE331="","",IFERROR(VLOOKUP($CE331,DECODE!$A$3:$C$8,2,FALSE),"?"))</f>
        <v/>
      </c>
      <c r="CM331">
        <f>IF($AN331="","",AN331)</f>
        <v/>
      </c>
      <c r="CN331">
        <f>IF($AO331="","",AO331)</f>
        <v/>
      </c>
      <c r="CO331">
        <f>IF($AP331="","",AP331)</f>
        <v/>
      </c>
      <c r="CP331">
        <f>IF($CM331="","",IF($CM331="Aloe Vera Gel","Aloe Vera Gel "&amp;$CO331&amp;"g",CN331&amp;" "&amp;$CO331&amp;"g"))</f>
        <v/>
      </c>
      <c r="CQ331">
        <f>IF($AT331="",0,1)</f>
        <v/>
      </c>
      <c r="CR331">
        <f>IF($CQ331=0,"",AW331)</f>
        <v/>
      </c>
      <c r="CS331">
        <f>IF($CQ331=0,"",AX331)</f>
        <v/>
      </c>
      <c r="CT331">
        <f>IF($CQ331=0,"",AY331)</f>
        <v/>
      </c>
      <c r="CU331">
        <f>IF($CR331="","",IF($CR331="Aloe Vera Gel","Aloe Vera Gel "&amp;$CT331&amp;"g",CS331&amp;" "&amp;$CT331&amp;"g"))</f>
        <v/>
      </c>
      <c r="CV331">
        <f>IF($CQ331=0,"",IF($CP331=$CU331,"Repeat Exact",IF($CT331&gt;$CO331,"Upsized",IF($CT331&lt;$CO331,"Downsized",IF($CM331&lt;&gt;$CR331,"Lateral","Same Size Diff Variant")))))</f>
        <v/>
      </c>
      <c r="CW331">
        <f>IF($CQ331=0,"",AZ331-AQ331)</f>
        <v/>
      </c>
      <c r="CX331">
        <f>IF($CQ331=0,0,IF(CS331=CN331,1,0))</f>
        <v/>
      </c>
      <c r="CY331">
        <f>IF($CQ331=0,0,IF(CR331=CM331,1,0))</f>
        <v/>
      </c>
      <c r="CZ331">
        <f>IF($A331="","",IF(AND(IF(DASHBOARD!$C$4="All",TRUE,$CM331=DASHBOARD!$C$4),IF(DASHBOARD!$C$6="All",TRUE,$CP331=DASHBOARD!$C$6),IF(DASHBOARD!$C$8="All",TRUE,$AF331&gt;=DASHBOARD!$C$8),IF(DASHBOARD!$C$10="All",TRUE,$AF331&lt;=DASHBOARD!$C$10),IF(DASHBOARD!$C$12="All",TRUE,$AH331=VALUE(DASHBOARD!$C$12)),IF(DASHBOARD!$C$14="All",TRUE,$AJ331=DASHBOARD!$C$14)),1,0))</f>
        <v/>
      </c>
    </row>
    <row r="332">
      <c r="A332" t="n">
        <v>178056</v>
      </c>
      <c r="B332" t="inlineStr">
        <is>
          <t>Active Gel</t>
        </is>
      </c>
      <c r="H332" t="inlineStr">
        <is>
          <t>Active Aloe Cactus Hydra Lift Gel</t>
        </is>
      </c>
      <c r="N332" t="inlineStr">
        <is>
          <t>FC-AC-AC-050</t>
        </is>
      </c>
      <c r="T332" t="inlineStr">
        <is>
          <t>Dec 14, 2024</t>
        </is>
      </c>
      <c r="AE332" t="inlineStr">
        <is>
          <t>Belagavi</t>
        </is>
      </c>
      <c r="AF332" t="inlineStr">
        <is>
          <t>2024-12</t>
        </is>
      </c>
      <c r="AG332" t="n">
        <v>12</v>
      </c>
      <c r="AH332" t="n">
        <v>1</v>
      </c>
      <c r="AI332" t="n">
        <v>0</v>
      </c>
      <c r="AJ332">
        <f>IF($AE332="","",IFERROR(VLOOKUP(TRIM($AE332),DECODE!$H$3:$I$60,2,FALSE),"Rest of India"))</f>
        <v/>
      </c>
      <c r="AK332">
        <f>IF($N332="","",UPPER(TRIM(LEFT($N332&amp;",",FIND(",",$N332&amp;",")-1))))</f>
        <v/>
      </c>
      <c r="AL332">
        <f>IF($AK332="","",MID($AK332,4,FIND("~",SUBSTITUTE($AK332,"-","~",2))-4))</f>
        <v/>
      </c>
      <c r="AM332">
        <f>IF($AK332="","",MID($AK332,FIND("~",SUBSTITUTE($AK332,"-","~",2))+1,FIND("~",SUBSTITUTE($AK332,"-","~",3))-FIND("~",SUBSTITUTE($AK332,"-","~",2))-1))</f>
        <v/>
      </c>
      <c r="AN332">
        <f>IF($AL332="","",IFERROR(VLOOKUP($AL332,DECODE!$A$3:$C$8,3,FALSE),"?"))</f>
        <v/>
      </c>
      <c r="AO332">
        <f>IF($AM332="","",IFERROR(VLOOKUP($AL332&amp;"-"&amp;$AM332,DECODE!$E$3:$F$21,2,FALSE),"?"))</f>
        <v/>
      </c>
      <c r="AP332">
        <f>IF($AK332="","",IFERROR(VALUE(RIGHT($AK332,3)),""))</f>
        <v/>
      </c>
      <c r="AQ332">
        <f>IF($T332="","",IFERROR(IF(ISNUMBER($T332),$T332,DATEVALUE(TRIM($T332))),""))</f>
        <v/>
      </c>
      <c r="AR332">
        <f>IF($AQ332="","",IF(MONTH($AQ332)&gt;=12,"Cold Winter",IF(MONTH($AQ332)&gt;=10,"Post-Monsoon",IF(MONTH($AQ332)&gt;=6,"Hot Humid",IF(MONTH($AQ332)&gt;=3,"Hot Dry","Cold Winter")))))</f>
        <v/>
      </c>
      <c r="AS332">
        <f>IF($AL332="","",IFERROR(VLOOKUP($AL332,DECODE!$A$3:$C$8,2,FALSE),"?"))</f>
        <v/>
      </c>
      <c r="AT332">
        <f>IF($O332="","",UPPER(TRIM(LEFT($O332&amp;",",FIND(",",$O332&amp;",")-1))))</f>
        <v/>
      </c>
      <c r="AU332">
        <f>IF($AT332="","",MID($AT332,4,FIND("~",SUBSTITUTE($AT332,"-","~",2))-4))</f>
        <v/>
      </c>
      <c r="AV332">
        <f>IF($AT332="","",MID($AT332,FIND("~",SUBSTITUTE($AT332,"-","~",2))+1,FIND("~",SUBSTITUTE($AT332,"-","~",3))-FIND("~",SUBSTITUTE($AT332,"-","~",2))-1))</f>
        <v/>
      </c>
      <c r="AW332">
        <f>IF($AU332="","",IFERROR(VLOOKUP($AU332,DECODE!$A$3:$C$8,3,FALSE),"?"))</f>
        <v/>
      </c>
      <c r="AX332">
        <f>IF($AV332="","",IFERROR(VLOOKUP($AU332&amp;"-"&amp;$AV332,DECODE!$E$3:$F$21,2,FALSE),"?"))</f>
        <v/>
      </c>
      <c r="AY332">
        <f>IF($AT332="","",IFERROR(VALUE(RIGHT($AT332,3)),""))</f>
        <v/>
      </c>
      <c r="AZ332">
        <f>IF($U332="","",IFERROR(IF(ISNUMBER($U332),$U332,DATEVALUE(TRIM($U332))),""))</f>
        <v/>
      </c>
      <c r="BA332">
        <f>IF($AZ332="","",IF(MONTH($AZ332)&gt;=12,"Cold Winter",IF(MONTH($AZ332)&gt;=10,"Post-Monsoon",IF(MONTH($AZ332)&gt;=6,"Hot Humid",IF(MONTH($AZ332)&gt;=3,"Hot Dry","Cold Winter")))))</f>
        <v/>
      </c>
      <c r="BB332">
        <f>IF($AU332="","",IFERROR(VLOOKUP($AU332,DECODE!$A$3:$C$8,2,FALSE),"?"))</f>
        <v/>
      </c>
      <c r="BC332">
        <f>IF($P332="","",UPPER(TRIM(LEFT($P332&amp;",",FIND(",",$P332&amp;",")-1))))</f>
        <v/>
      </c>
      <c r="BD332">
        <f>IF($BC332="","",MID($BC332,4,FIND("~",SUBSTITUTE($BC332,"-","~",2))-4))</f>
        <v/>
      </c>
      <c r="BE332">
        <f>IF($BC332="","",MID($BC332,FIND("~",SUBSTITUTE($BC332,"-","~",2))+1,FIND("~",SUBSTITUTE($BC332,"-","~",3))-FIND("~",SUBSTITUTE($BC332,"-","~",2))-1))</f>
        <v/>
      </c>
      <c r="BF332">
        <f>IF($BD332="","",IFERROR(VLOOKUP($BD332,DECODE!$A$3:$C$8,3,FALSE),"?"))</f>
        <v/>
      </c>
      <c r="BG332">
        <f>IF($BE332="","",IFERROR(VLOOKUP($BD332&amp;"-"&amp;$BE332,DECODE!$E$3:$F$21,2,FALSE),"?"))</f>
        <v/>
      </c>
      <c r="BH332">
        <f>IF($BC332="","",IFERROR(VALUE(RIGHT($BC332,3)),""))</f>
        <v/>
      </c>
      <c r="BI332">
        <f>IF($V332="","",IFERROR(IF(ISNUMBER($V332),$V332,DATEVALUE(TRIM($V332))),""))</f>
        <v/>
      </c>
      <c r="BJ332">
        <f>IF($BI332="","",IF(MONTH($BI332)&gt;=12,"Cold Winter",IF(MONTH($BI332)&gt;=10,"Post-Monsoon",IF(MONTH($BI332)&gt;=6,"Hot Humid",IF(MONTH($BI332)&gt;=3,"Hot Dry","Cold Winter")))))</f>
        <v/>
      </c>
      <c r="BK332">
        <f>IF($BD332="","",IFERROR(VLOOKUP($BD332,DECODE!$A$3:$C$8,2,FALSE),"?"))</f>
        <v/>
      </c>
      <c r="BL332">
        <f>IF($Q332="","",UPPER(TRIM(LEFT($Q332&amp;",",FIND(",",$Q332&amp;",")-1))))</f>
        <v/>
      </c>
      <c r="BM332">
        <f>IF($BL332="","",MID($BL332,4,FIND("~",SUBSTITUTE($BL332,"-","~",2))-4))</f>
        <v/>
      </c>
      <c r="BN332">
        <f>IF($BL332="","",MID($BL332,FIND("~",SUBSTITUTE($BL332,"-","~",2))+1,FIND("~",SUBSTITUTE($BL332,"-","~",3))-FIND("~",SUBSTITUTE($BL332,"-","~",2))-1))</f>
        <v/>
      </c>
      <c r="BO332">
        <f>IF($BM332="","",IFERROR(VLOOKUP($BM332,DECODE!$A$3:$C$8,3,FALSE),"?"))</f>
        <v/>
      </c>
      <c r="BP332">
        <f>IF($BN332="","",IFERROR(VLOOKUP($BM332&amp;"-"&amp;$BN332,DECODE!$E$3:$F$21,2,FALSE),"?"))</f>
        <v/>
      </c>
      <c r="BQ332">
        <f>IF($BL332="","",IFERROR(VALUE(RIGHT($BL332,3)),""))</f>
        <v/>
      </c>
      <c r="BR332">
        <f>IF($W332="","",IFERROR(IF(ISNUMBER($W332),$W332,DATEVALUE(TRIM($W332))),""))</f>
        <v/>
      </c>
      <c r="BS332">
        <f>IF($BR332="","",IF(MONTH($BR332)&gt;=12,"Cold Winter",IF(MONTH($BR332)&gt;=10,"Post-Monsoon",IF(MONTH($BR332)&gt;=6,"Hot Humid",IF(MONTH($BR332)&gt;=3,"Hot Dry","Cold Winter")))))</f>
        <v/>
      </c>
      <c r="BT332">
        <f>IF($BM332="","",IFERROR(VLOOKUP($BM332,DECODE!$A$3:$C$8,2,FALSE),"?"))</f>
        <v/>
      </c>
      <c r="BU332">
        <f>IF($R332="","",UPPER(TRIM(LEFT($R332&amp;",",FIND(",",$R332&amp;",")-1))))</f>
        <v/>
      </c>
      <c r="BV332">
        <f>IF($BU332="","",MID($BU332,4,FIND("~",SUBSTITUTE($BU332,"-","~",2))-4))</f>
        <v/>
      </c>
      <c r="BW332">
        <f>IF($BU332="","",MID($BU332,FIND("~",SUBSTITUTE($BU332,"-","~",2))+1,FIND("~",SUBSTITUTE($BU332,"-","~",3))-FIND("~",SUBSTITUTE($BU332,"-","~",2))-1))</f>
        <v/>
      </c>
      <c r="BX332">
        <f>IF($BV332="","",IFERROR(VLOOKUP($BV332,DECODE!$A$3:$C$8,3,FALSE),"?"))</f>
        <v/>
      </c>
      <c r="BY332">
        <f>IF($BW332="","",IFERROR(VLOOKUP($BV332&amp;"-"&amp;$BW332,DECODE!$E$3:$F$21,2,FALSE),"?"))</f>
        <v/>
      </c>
      <c r="BZ332">
        <f>IF($BU332="","",IFERROR(VALUE(RIGHT($BU332,3)),""))</f>
        <v/>
      </c>
      <c r="CA332">
        <f>IF($X332="","",IFERROR(IF(ISNUMBER($X332),$X332,DATEVALUE(TRIM($X332))),""))</f>
        <v/>
      </c>
      <c r="CB332">
        <f>IF($CA332="","",IF(MONTH($CA332)&gt;=12,"Cold Winter",IF(MONTH($CA332)&gt;=10,"Post-Monsoon",IF(MONTH($CA332)&gt;=6,"Hot Humid",IF(MONTH($CA332)&gt;=3,"Hot Dry","Cold Winter")))))</f>
        <v/>
      </c>
      <c r="CC332">
        <f>IF($BV332="","",IFERROR(VLOOKUP($BV332,DECODE!$A$3:$C$8,2,FALSE),"?"))</f>
        <v/>
      </c>
      <c r="CD332">
        <f>IF($S332="","",UPPER(TRIM(LEFT($S332&amp;",",FIND(",",$S332&amp;",")-1))))</f>
        <v/>
      </c>
      <c r="CE332">
        <f>IF($CD332="","",MID($CD332,4,FIND("~",SUBSTITUTE($CD332,"-","~",2))-4))</f>
        <v/>
      </c>
      <c r="CF332">
        <f>IF($CD332="","",MID($CD332,FIND("~",SUBSTITUTE($CD332,"-","~",2))+1,FIND("~",SUBSTITUTE($CD332,"-","~",3))-FIND("~",SUBSTITUTE($CD332,"-","~",2))-1))</f>
        <v/>
      </c>
      <c r="CG332">
        <f>IF($CE332="","",IFERROR(VLOOKUP($CE332,DECODE!$A$3:$C$8,3,FALSE),"?"))</f>
        <v/>
      </c>
      <c r="CH332">
        <f>IF($CF332="","",IFERROR(VLOOKUP($CE332&amp;"-"&amp;$CF332,DECODE!$E$3:$F$21,2,FALSE),"?"))</f>
        <v/>
      </c>
      <c r="CI332">
        <f>IF($CD332="","",IFERROR(VALUE(RIGHT($CD332,3)),""))</f>
        <v/>
      </c>
      <c r="CJ332">
        <f>IF($Y332="","",IFERROR(IF(ISNUMBER($Y332),$Y332,DATEVALUE(TRIM($Y332))),""))</f>
        <v/>
      </c>
      <c r="CK332">
        <f>IF($CJ332="","",IF(MONTH($CJ332)&gt;=12,"Cold Winter",IF(MONTH($CJ332)&gt;=10,"Post-Monsoon",IF(MONTH($CJ332)&gt;=6,"Hot Humid",IF(MONTH($CJ332)&gt;=3,"Hot Dry","Cold Winter")))))</f>
        <v/>
      </c>
      <c r="CL332">
        <f>IF($CE332="","",IFERROR(VLOOKUP($CE332,DECODE!$A$3:$C$8,2,FALSE),"?"))</f>
        <v/>
      </c>
      <c r="CM332">
        <f>IF($AN332="","",AN332)</f>
        <v/>
      </c>
      <c r="CN332">
        <f>IF($AO332="","",AO332)</f>
        <v/>
      </c>
      <c r="CO332">
        <f>IF($AP332="","",AP332)</f>
        <v/>
      </c>
      <c r="CP332">
        <f>IF($CM332="","",IF($CM332="Aloe Vera Gel","Aloe Vera Gel "&amp;$CO332&amp;"g",CN332&amp;" "&amp;$CO332&amp;"g"))</f>
        <v/>
      </c>
      <c r="CQ332">
        <f>IF($AT332="",0,1)</f>
        <v/>
      </c>
      <c r="CR332">
        <f>IF($CQ332=0,"",AW332)</f>
        <v/>
      </c>
      <c r="CS332">
        <f>IF($CQ332=0,"",AX332)</f>
        <v/>
      </c>
      <c r="CT332">
        <f>IF($CQ332=0,"",AY332)</f>
        <v/>
      </c>
      <c r="CU332">
        <f>IF($CR332="","",IF($CR332="Aloe Vera Gel","Aloe Vera Gel "&amp;$CT332&amp;"g",CS332&amp;" "&amp;$CT332&amp;"g"))</f>
        <v/>
      </c>
      <c r="CV332">
        <f>IF($CQ332=0,"",IF($CP332=$CU332,"Repeat Exact",IF($CT332&gt;$CO332,"Upsized",IF($CT332&lt;$CO332,"Downsized",IF($CM332&lt;&gt;$CR332,"Lateral","Same Size Diff Variant")))))</f>
        <v/>
      </c>
      <c r="CW332">
        <f>IF($CQ332=0,"",AZ332-AQ332)</f>
        <v/>
      </c>
      <c r="CX332">
        <f>IF($CQ332=0,0,IF(CS332=CN332,1,0))</f>
        <v/>
      </c>
      <c r="CY332">
        <f>IF($CQ332=0,0,IF(CR332=CM332,1,0))</f>
        <v/>
      </c>
      <c r="CZ332">
        <f>IF($A332="","",IF(AND(IF(DASHBOARD!$C$4="All",TRUE,$CM332=DASHBOARD!$C$4),IF(DASHBOARD!$C$6="All",TRUE,$CP332=DASHBOARD!$C$6),IF(DASHBOARD!$C$8="All",TRUE,$AF332&gt;=DASHBOARD!$C$8),IF(DASHBOARD!$C$10="All",TRUE,$AF332&lt;=DASHBOARD!$C$10),IF(DASHBOARD!$C$12="All",TRUE,$AH332=VALUE(DASHBOARD!$C$12)),IF(DASHBOARD!$C$14="All",TRUE,$AJ332=DASHBOARD!$C$14)),1,0))</f>
        <v/>
      </c>
    </row>
    <row r="333">
      <c r="A333" t="n">
        <v>178246</v>
      </c>
      <c r="B333" t="inlineStr">
        <is>
          <t>Aloe Vera Gel</t>
        </is>
      </c>
      <c r="H333" t="inlineStr">
        <is>
          <t>Aloe Vera Gel - 40 gms</t>
        </is>
      </c>
      <c r="N333" t="inlineStr">
        <is>
          <t>FC-HG-PA-040</t>
        </is>
      </c>
      <c r="T333" t="inlineStr">
        <is>
          <t>Mar 17, 2024</t>
        </is>
      </c>
      <c r="AE333" t="inlineStr">
        <is>
          <t>Bengaluru</t>
        </is>
      </c>
      <c r="AF333" t="inlineStr">
        <is>
          <t>2024-03</t>
        </is>
      </c>
      <c r="AG333" t="n">
        <v>3</v>
      </c>
      <c r="AH333" t="n">
        <v>1</v>
      </c>
      <c r="AI333" t="n">
        <v>0</v>
      </c>
      <c r="AJ333">
        <f>IF($AE333="","",IFERROR(VLOOKUP(TRIM($AE333),DECODE!$H$3:$I$60,2,FALSE),"Rest of India"))</f>
        <v/>
      </c>
      <c r="AK333">
        <f>IF($N333="","",UPPER(TRIM(LEFT($N333&amp;",",FIND(",",$N333&amp;",")-1))))</f>
        <v/>
      </c>
      <c r="AL333">
        <f>IF($AK333="","",MID($AK333,4,FIND("~",SUBSTITUTE($AK333,"-","~",2))-4))</f>
        <v/>
      </c>
      <c r="AM333">
        <f>IF($AK333="","",MID($AK333,FIND("~",SUBSTITUTE($AK333,"-","~",2))+1,FIND("~",SUBSTITUTE($AK333,"-","~",3))-FIND("~",SUBSTITUTE($AK333,"-","~",2))-1))</f>
        <v/>
      </c>
      <c r="AN333">
        <f>IF($AL333="","",IFERROR(VLOOKUP($AL333,DECODE!$A$3:$C$8,3,FALSE),"?"))</f>
        <v/>
      </c>
      <c r="AO333">
        <f>IF($AM333="","",IFERROR(VLOOKUP($AL333&amp;"-"&amp;$AM333,DECODE!$E$3:$F$21,2,FALSE),"?"))</f>
        <v/>
      </c>
      <c r="AP333">
        <f>IF($AK333="","",IFERROR(VALUE(RIGHT($AK333,3)),""))</f>
        <v/>
      </c>
      <c r="AQ333">
        <f>IF($T333="","",IFERROR(IF(ISNUMBER($T333),$T333,DATEVALUE(TRIM($T333))),""))</f>
        <v/>
      </c>
      <c r="AR333">
        <f>IF($AQ333="","",IF(MONTH($AQ333)&gt;=12,"Cold Winter",IF(MONTH($AQ333)&gt;=10,"Post-Monsoon",IF(MONTH($AQ333)&gt;=6,"Hot Humid",IF(MONTH($AQ333)&gt;=3,"Hot Dry","Cold Winter")))))</f>
        <v/>
      </c>
      <c r="AS333">
        <f>IF($AL333="","",IFERROR(VLOOKUP($AL333,DECODE!$A$3:$C$8,2,FALSE),"?"))</f>
        <v/>
      </c>
      <c r="AT333">
        <f>IF($O333="","",UPPER(TRIM(LEFT($O333&amp;",",FIND(",",$O333&amp;",")-1))))</f>
        <v/>
      </c>
      <c r="AU333">
        <f>IF($AT333="","",MID($AT333,4,FIND("~",SUBSTITUTE($AT333,"-","~",2))-4))</f>
        <v/>
      </c>
      <c r="AV333">
        <f>IF($AT333="","",MID($AT333,FIND("~",SUBSTITUTE($AT333,"-","~",2))+1,FIND("~",SUBSTITUTE($AT333,"-","~",3))-FIND("~",SUBSTITUTE($AT333,"-","~",2))-1))</f>
        <v/>
      </c>
      <c r="AW333">
        <f>IF($AU333="","",IFERROR(VLOOKUP($AU333,DECODE!$A$3:$C$8,3,FALSE),"?"))</f>
        <v/>
      </c>
      <c r="AX333">
        <f>IF($AV333="","",IFERROR(VLOOKUP($AU333&amp;"-"&amp;$AV333,DECODE!$E$3:$F$21,2,FALSE),"?"))</f>
        <v/>
      </c>
      <c r="AY333">
        <f>IF($AT333="","",IFERROR(VALUE(RIGHT($AT333,3)),""))</f>
        <v/>
      </c>
      <c r="AZ333">
        <f>IF($U333="","",IFERROR(IF(ISNUMBER($U333),$U333,DATEVALUE(TRIM($U333))),""))</f>
        <v/>
      </c>
      <c r="BA333">
        <f>IF($AZ333="","",IF(MONTH($AZ333)&gt;=12,"Cold Winter",IF(MONTH($AZ333)&gt;=10,"Post-Monsoon",IF(MONTH($AZ333)&gt;=6,"Hot Humid",IF(MONTH($AZ333)&gt;=3,"Hot Dry","Cold Winter")))))</f>
        <v/>
      </c>
      <c r="BB333">
        <f>IF($AU333="","",IFERROR(VLOOKUP($AU333,DECODE!$A$3:$C$8,2,FALSE),"?"))</f>
        <v/>
      </c>
      <c r="BC333">
        <f>IF($P333="","",UPPER(TRIM(LEFT($P333&amp;",",FIND(",",$P333&amp;",")-1))))</f>
        <v/>
      </c>
      <c r="BD333">
        <f>IF($BC333="","",MID($BC333,4,FIND("~",SUBSTITUTE($BC333,"-","~",2))-4))</f>
        <v/>
      </c>
      <c r="BE333">
        <f>IF($BC333="","",MID($BC333,FIND("~",SUBSTITUTE($BC333,"-","~",2))+1,FIND("~",SUBSTITUTE($BC333,"-","~",3))-FIND("~",SUBSTITUTE($BC333,"-","~",2))-1))</f>
        <v/>
      </c>
      <c r="BF333">
        <f>IF($BD333="","",IFERROR(VLOOKUP($BD333,DECODE!$A$3:$C$8,3,FALSE),"?"))</f>
        <v/>
      </c>
      <c r="BG333">
        <f>IF($BE333="","",IFERROR(VLOOKUP($BD333&amp;"-"&amp;$BE333,DECODE!$E$3:$F$21,2,FALSE),"?"))</f>
        <v/>
      </c>
      <c r="BH333">
        <f>IF($BC333="","",IFERROR(VALUE(RIGHT($BC333,3)),""))</f>
        <v/>
      </c>
      <c r="BI333">
        <f>IF($V333="","",IFERROR(IF(ISNUMBER($V333),$V333,DATEVALUE(TRIM($V333))),""))</f>
        <v/>
      </c>
      <c r="BJ333">
        <f>IF($BI333="","",IF(MONTH($BI333)&gt;=12,"Cold Winter",IF(MONTH($BI333)&gt;=10,"Post-Monsoon",IF(MONTH($BI333)&gt;=6,"Hot Humid",IF(MONTH($BI333)&gt;=3,"Hot Dry","Cold Winter")))))</f>
        <v/>
      </c>
      <c r="BK333">
        <f>IF($BD333="","",IFERROR(VLOOKUP($BD333,DECODE!$A$3:$C$8,2,FALSE),"?"))</f>
        <v/>
      </c>
      <c r="BL333">
        <f>IF($Q333="","",UPPER(TRIM(LEFT($Q333&amp;",",FIND(",",$Q333&amp;",")-1))))</f>
        <v/>
      </c>
      <c r="BM333">
        <f>IF($BL333="","",MID($BL333,4,FIND("~",SUBSTITUTE($BL333,"-","~",2))-4))</f>
        <v/>
      </c>
      <c r="BN333">
        <f>IF($BL333="","",MID($BL333,FIND("~",SUBSTITUTE($BL333,"-","~",2))+1,FIND("~",SUBSTITUTE($BL333,"-","~",3))-FIND("~",SUBSTITUTE($BL333,"-","~",2))-1))</f>
        <v/>
      </c>
      <c r="BO333">
        <f>IF($BM333="","",IFERROR(VLOOKUP($BM333,DECODE!$A$3:$C$8,3,FALSE),"?"))</f>
        <v/>
      </c>
      <c r="BP333">
        <f>IF($BN333="","",IFERROR(VLOOKUP($BM333&amp;"-"&amp;$BN333,DECODE!$E$3:$F$21,2,FALSE),"?"))</f>
        <v/>
      </c>
      <c r="BQ333">
        <f>IF($BL333="","",IFERROR(VALUE(RIGHT($BL333,3)),""))</f>
        <v/>
      </c>
      <c r="BR333">
        <f>IF($W333="","",IFERROR(IF(ISNUMBER($W333),$W333,DATEVALUE(TRIM($W333))),""))</f>
        <v/>
      </c>
      <c r="BS333">
        <f>IF($BR333="","",IF(MONTH($BR333)&gt;=12,"Cold Winter",IF(MONTH($BR333)&gt;=10,"Post-Monsoon",IF(MONTH($BR333)&gt;=6,"Hot Humid",IF(MONTH($BR333)&gt;=3,"Hot Dry","Cold Winter")))))</f>
        <v/>
      </c>
      <c r="BT333">
        <f>IF($BM333="","",IFERROR(VLOOKUP($BM333,DECODE!$A$3:$C$8,2,FALSE),"?"))</f>
        <v/>
      </c>
      <c r="BU333">
        <f>IF($R333="","",UPPER(TRIM(LEFT($R333&amp;",",FIND(",",$R333&amp;",")-1))))</f>
        <v/>
      </c>
      <c r="BV333">
        <f>IF($BU333="","",MID($BU333,4,FIND("~",SUBSTITUTE($BU333,"-","~",2))-4))</f>
        <v/>
      </c>
      <c r="BW333">
        <f>IF($BU333="","",MID($BU333,FIND("~",SUBSTITUTE($BU333,"-","~",2))+1,FIND("~",SUBSTITUTE($BU333,"-","~",3))-FIND("~",SUBSTITUTE($BU333,"-","~",2))-1))</f>
        <v/>
      </c>
      <c r="BX333">
        <f>IF($BV333="","",IFERROR(VLOOKUP($BV333,DECODE!$A$3:$C$8,3,FALSE),"?"))</f>
        <v/>
      </c>
      <c r="BY333">
        <f>IF($BW333="","",IFERROR(VLOOKUP($BV333&amp;"-"&amp;$BW333,DECODE!$E$3:$F$21,2,FALSE),"?"))</f>
        <v/>
      </c>
      <c r="BZ333">
        <f>IF($BU333="","",IFERROR(VALUE(RIGHT($BU333,3)),""))</f>
        <v/>
      </c>
      <c r="CA333">
        <f>IF($X333="","",IFERROR(IF(ISNUMBER($X333),$X333,DATEVALUE(TRIM($X333))),""))</f>
        <v/>
      </c>
      <c r="CB333">
        <f>IF($CA333="","",IF(MONTH($CA333)&gt;=12,"Cold Winter",IF(MONTH($CA333)&gt;=10,"Post-Monsoon",IF(MONTH($CA333)&gt;=6,"Hot Humid",IF(MONTH($CA333)&gt;=3,"Hot Dry","Cold Winter")))))</f>
        <v/>
      </c>
      <c r="CC333">
        <f>IF($BV333="","",IFERROR(VLOOKUP($BV333,DECODE!$A$3:$C$8,2,FALSE),"?"))</f>
        <v/>
      </c>
      <c r="CD333">
        <f>IF($S333="","",UPPER(TRIM(LEFT($S333&amp;",",FIND(",",$S333&amp;",")-1))))</f>
        <v/>
      </c>
      <c r="CE333">
        <f>IF($CD333="","",MID($CD333,4,FIND("~",SUBSTITUTE($CD333,"-","~",2))-4))</f>
        <v/>
      </c>
      <c r="CF333">
        <f>IF($CD333="","",MID($CD333,FIND("~",SUBSTITUTE($CD333,"-","~",2))+1,FIND("~",SUBSTITUTE($CD333,"-","~",3))-FIND("~",SUBSTITUTE($CD333,"-","~",2))-1))</f>
        <v/>
      </c>
      <c r="CG333">
        <f>IF($CE333="","",IFERROR(VLOOKUP($CE333,DECODE!$A$3:$C$8,3,FALSE),"?"))</f>
        <v/>
      </c>
      <c r="CH333">
        <f>IF($CF333="","",IFERROR(VLOOKUP($CE333&amp;"-"&amp;$CF333,DECODE!$E$3:$F$21,2,FALSE),"?"))</f>
        <v/>
      </c>
      <c r="CI333">
        <f>IF($CD333="","",IFERROR(VALUE(RIGHT($CD333,3)),""))</f>
        <v/>
      </c>
      <c r="CJ333">
        <f>IF($Y333="","",IFERROR(IF(ISNUMBER($Y333),$Y333,DATEVALUE(TRIM($Y333))),""))</f>
        <v/>
      </c>
      <c r="CK333">
        <f>IF($CJ333="","",IF(MONTH($CJ333)&gt;=12,"Cold Winter",IF(MONTH($CJ333)&gt;=10,"Post-Monsoon",IF(MONTH($CJ333)&gt;=6,"Hot Humid",IF(MONTH($CJ333)&gt;=3,"Hot Dry","Cold Winter")))))</f>
        <v/>
      </c>
      <c r="CL333">
        <f>IF($CE333="","",IFERROR(VLOOKUP($CE333,DECODE!$A$3:$C$8,2,FALSE),"?"))</f>
        <v/>
      </c>
      <c r="CM333">
        <f>IF($AN333="","",AN333)</f>
        <v/>
      </c>
      <c r="CN333">
        <f>IF($AO333="","",AO333)</f>
        <v/>
      </c>
      <c r="CO333">
        <f>IF($AP333="","",AP333)</f>
        <v/>
      </c>
      <c r="CP333">
        <f>IF($CM333="","",IF($CM333="Aloe Vera Gel","Aloe Vera Gel "&amp;$CO333&amp;"g",CN333&amp;" "&amp;$CO333&amp;"g"))</f>
        <v/>
      </c>
      <c r="CQ333">
        <f>IF($AT333="",0,1)</f>
        <v/>
      </c>
      <c r="CR333">
        <f>IF($CQ333=0,"",AW333)</f>
        <v/>
      </c>
      <c r="CS333">
        <f>IF($CQ333=0,"",AX333)</f>
        <v/>
      </c>
      <c r="CT333">
        <f>IF($CQ333=0,"",AY333)</f>
        <v/>
      </c>
      <c r="CU333">
        <f>IF($CR333="","",IF($CR333="Aloe Vera Gel","Aloe Vera Gel "&amp;$CT333&amp;"g",CS333&amp;" "&amp;$CT333&amp;"g"))</f>
        <v/>
      </c>
      <c r="CV333">
        <f>IF($CQ333=0,"",IF($CP333=$CU333,"Repeat Exact",IF($CT333&gt;$CO333,"Upsized",IF($CT333&lt;$CO333,"Downsized",IF($CM333&lt;&gt;$CR333,"Lateral","Same Size Diff Variant")))))</f>
        <v/>
      </c>
      <c r="CW333">
        <f>IF($CQ333=0,"",AZ333-AQ333)</f>
        <v/>
      </c>
      <c r="CX333">
        <f>IF($CQ333=0,0,IF(CS333=CN333,1,0))</f>
        <v/>
      </c>
      <c r="CY333">
        <f>IF($CQ333=0,0,IF(CR333=CM333,1,0))</f>
        <v/>
      </c>
      <c r="CZ333">
        <f>IF($A333="","",IF(AND(IF(DASHBOARD!$C$4="All",TRUE,$CM333=DASHBOARD!$C$4),IF(DASHBOARD!$C$6="All",TRUE,$CP333=DASHBOARD!$C$6),IF(DASHBOARD!$C$8="All",TRUE,$AF333&gt;=DASHBOARD!$C$8),IF(DASHBOARD!$C$10="All",TRUE,$AF333&lt;=DASHBOARD!$C$10),IF(DASHBOARD!$C$12="All",TRUE,$AH333=VALUE(DASHBOARD!$C$12)),IF(DASHBOARD!$C$14="All",TRUE,$AJ333=DASHBOARD!$C$14)),1,0))</f>
        <v/>
      </c>
    </row>
    <row r="334">
      <c r="A334" t="n">
        <v>178396</v>
      </c>
      <c r="B334" t="inlineStr">
        <is>
          <t>Face Malai</t>
        </is>
      </c>
      <c r="H334" t="inlineStr">
        <is>
          <t>Cocoa Mogra (Overnight) Face Malai - 50g</t>
        </is>
      </c>
      <c r="N334" t="inlineStr">
        <is>
          <t>FC-DM-NR-050</t>
        </is>
      </c>
      <c r="T334" t="inlineStr">
        <is>
          <t>Jun 5, 2024</t>
        </is>
      </c>
      <c r="AE334" t="inlineStr">
        <is>
          <t>Hyderabad</t>
        </is>
      </c>
      <c r="AF334" t="inlineStr">
        <is>
          <t>2024-06</t>
        </is>
      </c>
      <c r="AG334" t="n">
        <v>6</v>
      </c>
      <c r="AH334" t="n">
        <v>1</v>
      </c>
      <c r="AI334" t="n">
        <v>0</v>
      </c>
      <c r="AJ334">
        <f>IF($AE334="","",IFERROR(VLOOKUP(TRIM($AE334),DECODE!$H$3:$I$60,2,FALSE),"Rest of India"))</f>
        <v/>
      </c>
      <c r="AK334">
        <f>IF($N334="","",UPPER(TRIM(LEFT($N334&amp;",",FIND(",",$N334&amp;",")-1))))</f>
        <v/>
      </c>
      <c r="AL334">
        <f>IF($AK334="","",MID($AK334,4,FIND("~",SUBSTITUTE($AK334,"-","~",2))-4))</f>
        <v/>
      </c>
      <c r="AM334">
        <f>IF($AK334="","",MID($AK334,FIND("~",SUBSTITUTE($AK334,"-","~",2))+1,FIND("~",SUBSTITUTE($AK334,"-","~",3))-FIND("~",SUBSTITUTE($AK334,"-","~",2))-1))</f>
        <v/>
      </c>
      <c r="AN334">
        <f>IF($AL334="","",IFERROR(VLOOKUP($AL334,DECODE!$A$3:$C$8,3,FALSE),"?"))</f>
        <v/>
      </c>
      <c r="AO334">
        <f>IF($AM334="","",IFERROR(VLOOKUP($AL334&amp;"-"&amp;$AM334,DECODE!$E$3:$F$21,2,FALSE),"?"))</f>
        <v/>
      </c>
      <c r="AP334">
        <f>IF($AK334="","",IFERROR(VALUE(RIGHT($AK334,3)),""))</f>
        <v/>
      </c>
      <c r="AQ334">
        <f>IF($T334="","",IFERROR(IF(ISNUMBER($T334),$T334,DATEVALUE(TRIM($T334))),""))</f>
        <v/>
      </c>
      <c r="AR334">
        <f>IF($AQ334="","",IF(MONTH($AQ334)&gt;=12,"Cold Winter",IF(MONTH($AQ334)&gt;=10,"Post-Monsoon",IF(MONTH($AQ334)&gt;=6,"Hot Humid",IF(MONTH($AQ334)&gt;=3,"Hot Dry","Cold Winter")))))</f>
        <v/>
      </c>
      <c r="AS334">
        <f>IF($AL334="","",IFERROR(VLOOKUP($AL334,DECODE!$A$3:$C$8,2,FALSE),"?"))</f>
        <v/>
      </c>
      <c r="AT334">
        <f>IF($O334="","",UPPER(TRIM(LEFT($O334&amp;",",FIND(",",$O334&amp;",")-1))))</f>
        <v/>
      </c>
      <c r="AU334">
        <f>IF($AT334="","",MID($AT334,4,FIND("~",SUBSTITUTE($AT334,"-","~",2))-4))</f>
        <v/>
      </c>
      <c r="AV334">
        <f>IF($AT334="","",MID($AT334,FIND("~",SUBSTITUTE($AT334,"-","~",2))+1,FIND("~",SUBSTITUTE($AT334,"-","~",3))-FIND("~",SUBSTITUTE($AT334,"-","~",2))-1))</f>
        <v/>
      </c>
      <c r="AW334">
        <f>IF($AU334="","",IFERROR(VLOOKUP($AU334,DECODE!$A$3:$C$8,3,FALSE),"?"))</f>
        <v/>
      </c>
      <c r="AX334">
        <f>IF($AV334="","",IFERROR(VLOOKUP($AU334&amp;"-"&amp;$AV334,DECODE!$E$3:$F$21,2,FALSE),"?"))</f>
        <v/>
      </c>
      <c r="AY334">
        <f>IF($AT334="","",IFERROR(VALUE(RIGHT($AT334,3)),""))</f>
        <v/>
      </c>
      <c r="AZ334">
        <f>IF($U334="","",IFERROR(IF(ISNUMBER($U334),$U334,DATEVALUE(TRIM($U334))),""))</f>
        <v/>
      </c>
      <c r="BA334">
        <f>IF($AZ334="","",IF(MONTH($AZ334)&gt;=12,"Cold Winter",IF(MONTH($AZ334)&gt;=10,"Post-Monsoon",IF(MONTH($AZ334)&gt;=6,"Hot Humid",IF(MONTH($AZ334)&gt;=3,"Hot Dry","Cold Winter")))))</f>
        <v/>
      </c>
      <c r="BB334">
        <f>IF($AU334="","",IFERROR(VLOOKUP($AU334,DECODE!$A$3:$C$8,2,FALSE),"?"))</f>
        <v/>
      </c>
      <c r="BC334">
        <f>IF($P334="","",UPPER(TRIM(LEFT($P334&amp;",",FIND(",",$P334&amp;",")-1))))</f>
        <v/>
      </c>
      <c r="BD334">
        <f>IF($BC334="","",MID($BC334,4,FIND("~",SUBSTITUTE($BC334,"-","~",2))-4))</f>
        <v/>
      </c>
      <c r="BE334">
        <f>IF($BC334="","",MID($BC334,FIND("~",SUBSTITUTE($BC334,"-","~",2))+1,FIND("~",SUBSTITUTE($BC334,"-","~",3))-FIND("~",SUBSTITUTE($BC334,"-","~",2))-1))</f>
        <v/>
      </c>
      <c r="BF334">
        <f>IF($BD334="","",IFERROR(VLOOKUP($BD334,DECODE!$A$3:$C$8,3,FALSE),"?"))</f>
        <v/>
      </c>
      <c r="BG334">
        <f>IF($BE334="","",IFERROR(VLOOKUP($BD334&amp;"-"&amp;$BE334,DECODE!$E$3:$F$21,2,FALSE),"?"))</f>
        <v/>
      </c>
      <c r="BH334">
        <f>IF($BC334="","",IFERROR(VALUE(RIGHT($BC334,3)),""))</f>
        <v/>
      </c>
      <c r="BI334">
        <f>IF($V334="","",IFERROR(IF(ISNUMBER($V334),$V334,DATEVALUE(TRIM($V334))),""))</f>
        <v/>
      </c>
      <c r="BJ334">
        <f>IF($BI334="","",IF(MONTH($BI334)&gt;=12,"Cold Winter",IF(MONTH($BI334)&gt;=10,"Post-Monsoon",IF(MONTH($BI334)&gt;=6,"Hot Humid",IF(MONTH($BI334)&gt;=3,"Hot Dry","Cold Winter")))))</f>
        <v/>
      </c>
      <c r="BK334">
        <f>IF($BD334="","",IFERROR(VLOOKUP($BD334,DECODE!$A$3:$C$8,2,FALSE),"?"))</f>
        <v/>
      </c>
      <c r="BL334">
        <f>IF($Q334="","",UPPER(TRIM(LEFT($Q334&amp;",",FIND(",",$Q334&amp;",")-1))))</f>
        <v/>
      </c>
      <c r="BM334">
        <f>IF($BL334="","",MID($BL334,4,FIND("~",SUBSTITUTE($BL334,"-","~",2))-4))</f>
        <v/>
      </c>
      <c r="BN334">
        <f>IF($BL334="","",MID($BL334,FIND("~",SUBSTITUTE($BL334,"-","~",2))+1,FIND("~",SUBSTITUTE($BL334,"-","~",3))-FIND("~",SUBSTITUTE($BL334,"-","~",2))-1))</f>
        <v/>
      </c>
      <c r="BO334">
        <f>IF($BM334="","",IFERROR(VLOOKUP($BM334,DECODE!$A$3:$C$8,3,FALSE),"?"))</f>
        <v/>
      </c>
      <c r="BP334">
        <f>IF($BN334="","",IFERROR(VLOOKUP($BM334&amp;"-"&amp;$BN334,DECODE!$E$3:$F$21,2,FALSE),"?"))</f>
        <v/>
      </c>
      <c r="BQ334">
        <f>IF($BL334="","",IFERROR(VALUE(RIGHT($BL334,3)),""))</f>
        <v/>
      </c>
      <c r="BR334">
        <f>IF($W334="","",IFERROR(IF(ISNUMBER($W334),$W334,DATEVALUE(TRIM($W334))),""))</f>
        <v/>
      </c>
      <c r="BS334">
        <f>IF($BR334="","",IF(MONTH($BR334)&gt;=12,"Cold Winter",IF(MONTH($BR334)&gt;=10,"Post-Monsoon",IF(MONTH($BR334)&gt;=6,"Hot Humid",IF(MONTH($BR334)&gt;=3,"Hot Dry","Cold Winter")))))</f>
        <v/>
      </c>
      <c r="BT334">
        <f>IF($BM334="","",IFERROR(VLOOKUP($BM334,DECODE!$A$3:$C$8,2,FALSE),"?"))</f>
        <v/>
      </c>
      <c r="BU334">
        <f>IF($R334="","",UPPER(TRIM(LEFT($R334&amp;",",FIND(",",$R334&amp;",")-1))))</f>
        <v/>
      </c>
      <c r="BV334">
        <f>IF($BU334="","",MID($BU334,4,FIND("~",SUBSTITUTE($BU334,"-","~",2))-4))</f>
        <v/>
      </c>
      <c r="BW334">
        <f>IF($BU334="","",MID($BU334,FIND("~",SUBSTITUTE($BU334,"-","~",2))+1,FIND("~",SUBSTITUTE($BU334,"-","~",3))-FIND("~",SUBSTITUTE($BU334,"-","~",2))-1))</f>
        <v/>
      </c>
      <c r="BX334">
        <f>IF($BV334="","",IFERROR(VLOOKUP($BV334,DECODE!$A$3:$C$8,3,FALSE),"?"))</f>
        <v/>
      </c>
      <c r="BY334">
        <f>IF($BW334="","",IFERROR(VLOOKUP($BV334&amp;"-"&amp;$BW334,DECODE!$E$3:$F$21,2,FALSE),"?"))</f>
        <v/>
      </c>
      <c r="BZ334">
        <f>IF($BU334="","",IFERROR(VALUE(RIGHT($BU334,3)),""))</f>
        <v/>
      </c>
      <c r="CA334">
        <f>IF($X334="","",IFERROR(IF(ISNUMBER($X334),$X334,DATEVALUE(TRIM($X334))),""))</f>
        <v/>
      </c>
      <c r="CB334">
        <f>IF($CA334="","",IF(MONTH($CA334)&gt;=12,"Cold Winter",IF(MONTH($CA334)&gt;=10,"Post-Monsoon",IF(MONTH($CA334)&gt;=6,"Hot Humid",IF(MONTH($CA334)&gt;=3,"Hot Dry","Cold Winter")))))</f>
        <v/>
      </c>
      <c r="CC334">
        <f>IF($BV334="","",IFERROR(VLOOKUP($BV334,DECODE!$A$3:$C$8,2,FALSE),"?"))</f>
        <v/>
      </c>
      <c r="CD334">
        <f>IF($S334="","",UPPER(TRIM(LEFT($S334&amp;",",FIND(",",$S334&amp;",")-1))))</f>
        <v/>
      </c>
      <c r="CE334">
        <f>IF($CD334="","",MID($CD334,4,FIND("~",SUBSTITUTE($CD334,"-","~",2))-4))</f>
        <v/>
      </c>
      <c r="CF334">
        <f>IF($CD334="","",MID($CD334,FIND("~",SUBSTITUTE($CD334,"-","~",2))+1,FIND("~",SUBSTITUTE($CD334,"-","~",3))-FIND("~",SUBSTITUTE($CD334,"-","~",2))-1))</f>
        <v/>
      </c>
      <c r="CG334">
        <f>IF($CE334="","",IFERROR(VLOOKUP($CE334,DECODE!$A$3:$C$8,3,FALSE),"?"))</f>
        <v/>
      </c>
      <c r="CH334">
        <f>IF($CF334="","",IFERROR(VLOOKUP($CE334&amp;"-"&amp;$CF334,DECODE!$E$3:$F$21,2,FALSE),"?"))</f>
        <v/>
      </c>
      <c r="CI334">
        <f>IF($CD334="","",IFERROR(VALUE(RIGHT($CD334,3)),""))</f>
        <v/>
      </c>
      <c r="CJ334">
        <f>IF($Y334="","",IFERROR(IF(ISNUMBER($Y334),$Y334,DATEVALUE(TRIM($Y334))),""))</f>
        <v/>
      </c>
      <c r="CK334">
        <f>IF($CJ334="","",IF(MONTH($CJ334)&gt;=12,"Cold Winter",IF(MONTH($CJ334)&gt;=10,"Post-Monsoon",IF(MONTH($CJ334)&gt;=6,"Hot Humid",IF(MONTH($CJ334)&gt;=3,"Hot Dry","Cold Winter")))))</f>
        <v/>
      </c>
      <c r="CL334">
        <f>IF($CE334="","",IFERROR(VLOOKUP($CE334,DECODE!$A$3:$C$8,2,FALSE),"?"))</f>
        <v/>
      </c>
      <c r="CM334">
        <f>IF($AN334="","",AN334)</f>
        <v/>
      </c>
      <c r="CN334">
        <f>IF($AO334="","",AO334)</f>
        <v/>
      </c>
      <c r="CO334">
        <f>IF($AP334="","",AP334)</f>
        <v/>
      </c>
      <c r="CP334">
        <f>IF($CM334="","",IF($CM334="Aloe Vera Gel","Aloe Vera Gel "&amp;$CO334&amp;"g",CN334&amp;" "&amp;$CO334&amp;"g"))</f>
        <v/>
      </c>
      <c r="CQ334">
        <f>IF($AT334="",0,1)</f>
        <v/>
      </c>
      <c r="CR334">
        <f>IF($CQ334=0,"",AW334)</f>
        <v/>
      </c>
      <c r="CS334">
        <f>IF($CQ334=0,"",AX334)</f>
        <v/>
      </c>
      <c r="CT334">
        <f>IF($CQ334=0,"",AY334)</f>
        <v/>
      </c>
      <c r="CU334">
        <f>IF($CR334="","",IF($CR334="Aloe Vera Gel","Aloe Vera Gel "&amp;$CT334&amp;"g",CS334&amp;" "&amp;$CT334&amp;"g"))</f>
        <v/>
      </c>
      <c r="CV334">
        <f>IF($CQ334=0,"",IF($CP334=$CU334,"Repeat Exact",IF($CT334&gt;$CO334,"Upsized",IF($CT334&lt;$CO334,"Downsized",IF($CM334&lt;&gt;$CR334,"Lateral","Same Size Diff Variant")))))</f>
        <v/>
      </c>
      <c r="CW334">
        <f>IF($CQ334=0,"",AZ334-AQ334)</f>
        <v/>
      </c>
      <c r="CX334">
        <f>IF($CQ334=0,0,IF(CS334=CN334,1,0))</f>
        <v/>
      </c>
      <c r="CY334">
        <f>IF($CQ334=0,0,IF(CR334=CM334,1,0))</f>
        <v/>
      </c>
      <c r="CZ334">
        <f>IF($A334="","",IF(AND(IF(DASHBOARD!$C$4="All",TRUE,$CM334=DASHBOARD!$C$4),IF(DASHBOARD!$C$6="All",TRUE,$CP334=DASHBOARD!$C$6),IF(DASHBOARD!$C$8="All",TRUE,$AF334&gt;=DASHBOARD!$C$8),IF(DASHBOARD!$C$10="All",TRUE,$AF334&lt;=DASHBOARD!$C$10),IF(DASHBOARD!$C$12="All",TRUE,$AH334=VALUE(DASHBOARD!$C$12)),IF(DASHBOARD!$C$14="All",TRUE,$AJ334=DASHBOARD!$C$14)),1,0))</f>
        <v/>
      </c>
    </row>
    <row r="335">
      <c r="A335" t="n">
        <v>178416</v>
      </c>
      <c r="B335" t="inlineStr">
        <is>
          <t>Aloe Vera Gel</t>
        </is>
      </c>
      <c r="H335" t="inlineStr">
        <is>
          <t>Aloe Vera Gel - 40 gms</t>
        </is>
      </c>
      <c r="N335" t="inlineStr">
        <is>
          <t>FC-HG-PA-040</t>
        </is>
      </c>
      <c r="T335" t="inlineStr">
        <is>
          <t>Feb 12, 2024</t>
        </is>
      </c>
      <c r="AE335" t="inlineStr">
        <is>
          <t>Agra</t>
        </is>
      </c>
      <c r="AF335" t="inlineStr">
        <is>
          <t>2024-02</t>
        </is>
      </c>
      <c r="AG335" t="n">
        <v>2</v>
      </c>
      <c r="AH335" t="n">
        <v>1</v>
      </c>
      <c r="AI335" t="n">
        <v>0</v>
      </c>
      <c r="AJ335">
        <f>IF($AE335="","",IFERROR(VLOOKUP(TRIM($AE335),DECODE!$H$3:$I$60,2,FALSE),"Rest of India"))</f>
        <v/>
      </c>
      <c r="AK335">
        <f>IF($N335="","",UPPER(TRIM(LEFT($N335&amp;",",FIND(",",$N335&amp;",")-1))))</f>
        <v/>
      </c>
      <c r="AL335">
        <f>IF($AK335="","",MID($AK335,4,FIND("~",SUBSTITUTE($AK335,"-","~",2))-4))</f>
        <v/>
      </c>
      <c r="AM335">
        <f>IF($AK335="","",MID($AK335,FIND("~",SUBSTITUTE($AK335,"-","~",2))+1,FIND("~",SUBSTITUTE($AK335,"-","~",3))-FIND("~",SUBSTITUTE($AK335,"-","~",2))-1))</f>
        <v/>
      </c>
      <c r="AN335">
        <f>IF($AL335="","",IFERROR(VLOOKUP($AL335,DECODE!$A$3:$C$8,3,FALSE),"?"))</f>
        <v/>
      </c>
      <c r="AO335">
        <f>IF($AM335="","",IFERROR(VLOOKUP($AL335&amp;"-"&amp;$AM335,DECODE!$E$3:$F$21,2,FALSE),"?"))</f>
        <v/>
      </c>
      <c r="AP335">
        <f>IF($AK335="","",IFERROR(VALUE(RIGHT($AK335,3)),""))</f>
        <v/>
      </c>
      <c r="AQ335">
        <f>IF($T335="","",IFERROR(IF(ISNUMBER($T335),$T335,DATEVALUE(TRIM($T335))),""))</f>
        <v/>
      </c>
      <c r="AR335">
        <f>IF($AQ335="","",IF(MONTH($AQ335)&gt;=12,"Cold Winter",IF(MONTH($AQ335)&gt;=10,"Post-Monsoon",IF(MONTH($AQ335)&gt;=6,"Hot Humid",IF(MONTH($AQ335)&gt;=3,"Hot Dry","Cold Winter")))))</f>
        <v/>
      </c>
      <c r="AS335">
        <f>IF($AL335="","",IFERROR(VLOOKUP($AL335,DECODE!$A$3:$C$8,2,FALSE),"?"))</f>
        <v/>
      </c>
      <c r="AT335">
        <f>IF($O335="","",UPPER(TRIM(LEFT($O335&amp;",",FIND(",",$O335&amp;",")-1))))</f>
        <v/>
      </c>
      <c r="AU335">
        <f>IF($AT335="","",MID($AT335,4,FIND("~",SUBSTITUTE($AT335,"-","~",2))-4))</f>
        <v/>
      </c>
      <c r="AV335">
        <f>IF($AT335="","",MID($AT335,FIND("~",SUBSTITUTE($AT335,"-","~",2))+1,FIND("~",SUBSTITUTE($AT335,"-","~",3))-FIND("~",SUBSTITUTE($AT335,"-","~",2))-1))</f>
        <v/>
      </c>
      <c r="AW335">
        <f>IF($AU335="","",IFERROR(VLOOKUP($AU335,DECODE!$A$3:$C$8,3,FALSE),"?"))</f>
        <v/>
      </c>
      <c r="AX335">
        <f>IF($AV335="","",IFERROR(VLOOKUP($AU335&amp;"-"&amp;$AV335,DECODE!$E$3:$F$21,2,FALSE),"?"))</f>
        <v/>
      </c>
      <c r="AY335">
        <f>IF($AT335="","",IFERROR(VALUE(RIGHT($AT335,3)),""))</f>
        <v/>
      </c>
      <c r="AZ335">
        <f>IF($U335="","",IFERROR(IF(ISNUMBER($U335),$U335,DATEVALUE(TRIM($U335))),""))</f>
        <v/>
      </c>
      <c r="BA335">
        <f>IF($AZ335="","",IF(MONTH($AZ335)&gt;=12,"Cold Winter",IF(MONTH($AZ335)&gt;=10,"Post-Monsoon",IF(MONTH($AZ335)&gt;=6,"Hot Humid",IF(MONTH($AZ335)&gt;=3,"Hot Dry","Cold Winter")))))</f>
        <v/>
      </c>
      <c r="BB335">
        <f>IF($AU335="","",IFERROR(VLOOKUP($AU335,DECODE!$A$3:$C$8,2,FALSE),"?"))</f>
        <v/>
      </c>
      <c r="BC335">
        <f>IF($P335="","",UPPER(TRIM(LEFT($P335&amp;",",FIND(",",$P335&amp;",")-1))))</f>
        <v/>
      </c>
      <c r="BD335">
        <f>IF($BC335="","",MID($BC335,4,FIND("~",SUBSTITUTE($BC335,"-","~",2))-4))</f>
        <v/>
      </c>
      <c r="BE335">
        <f>IF($BC335="","",MID($BC335,FIND("~",SUBSTITUTE($BC335,"-","~",2))+1,FIND("~",SUBSTITUTE($BC335,"-","~",3))-FIND("~",SUBSTITUTE($BC335,"-","~",2))-1))</f>
        <v/>
      </c>
      <c r="BF335">
        <f>IF($BD335="","",IFERROR(VLOOKUP($BD335,DECODE!$A$3:$C$8,3,FALSE),"?"))</f>
        <v/>
      </c>
      <c r="BG335">
        <f>IF($BE335="","",IFERROR(VLOOKUP($BD335&amp;"-"&amp;$BE335,DECODE!$E$3:$F$21,2,FALSE),"?"))</f>
        <v/>
      </c>
      <c r="BH335">
        <f>IF($BC335="","",IFERROR(VALUE(RIGHT($BC335,3)),""))</f>
        <v/>
      </c>
      <c r="BI335">
        <f>IF($V335="","",IFERROR(IF(ISNUMBER($V335),$V335,DATEVALUE(TRIM($V335))),""))</f>
        <v/>
      </c>
      <c r="BJ335">
        <f>IF($BI335="","",IF(MONTH($BI335)&gt;=12,"Cold Winter",IF(MONTH($BI335)&gt;=10,"Post-Monsoon",IF(MONTH($BI335)&gt;=6,"Hot Humid",IF(MONTH($BI335)&gt;=3,"Hot Dry","Cold Winter")))))</f>
        <v/>
      </c>
      <c r="BK335">
        <f>IF($BD335="","",IFERROR(VLOOKUP($BD335,DECODE!$A$3:$C$8,2,FALSE),"?"))</f>
        <v/>
      </c>
      <c r="BL335">
        <f>IF($Q335="","",UPPER(TRIM(LEFT($Q335&amp;",",FIND(",",$Q335&amp;",")-1))))</f>
        <v/>
      </c>
      <c r="BM335">
        <f>IF($BL335="","",MID($BL335,4,FIND("~",SUBSTITUTE($BL335,"-","~",2))-4))</f>
        <v/>
      </c>
      <c r="BN335">
        <f>IF($BL335="","",MID($BL335,FIND("~",SUBSTITUTE($BL335,"-","~",2))+1,FIND("~",SUBSTITUTE($BL335,"-","~",3))-FIND("~",SUBSTITUTE($BL335,"-","~",2))-1))</f>
        <v/>
      </c>
      <c r="BO335">
        <f>IF($BM335="","",IFERROR(VLOOKUP($BM335,DECODE!$A$3:$C$8,3,FALSE),"?"))</f>
        <v/>
      </c>
      <c r="BP335">
        <f>IF($BN335="","",IFERROR(VLOOKUP($BM335&amp;"-"&amp;$BN335,DECODE!$E$3:$F$21,2,FALSE),"?"))</f>
        <v/>
      </c>
      <c r="BQ335">
        <f>IF($BL335="","",IFERROR(VALUE(RIGHT($BL335,3)),""))</f>
        <v/>
      </c>
      <c r="BR335">
        <f>IF($W335="","",IFERROR(IF(ISNUMBER($W335),$W335,DATEVALUE(TRIM($W335))),""))</f>
        <v/>
      </c>
      <c r="BS335">
        <f>IF($BR335="","",IF(MONTH($BR335)&gt;=12,"Cold Winter",IF(MONTH($BR335)&gt;=10,"Post-Monsoon",IF(MONTH($BR335)&gt;=6,"Hot Humid",IF(MONTH($BR335)&gt;=3,"Hot Dry","Cold Winter")))))</f>
        <v/>
      </c>
      <c r="BT335">
        <f>IF($BM335="","",IFERROR(VLOOKUP($BM335,DECODE!$A$3:$C$8,2,FALSE),"?"))</f>
        <v/>
      </c>
      <c r="BU335">
        <f>IF($R335="","",UPPER(TRIM(LEFT($R335&amp;",",FIND(",",$R335&amp;",")-1))))</f>
        <v/>
      </c>
      <c r="BV335">
        <f>IF($BU335="","",MID($BU335,4,FIND("~",SUBSTITUTE($BU335,"-","~",2))-4))</f>
        <v/>
      </c>
      <c r="BW335">
        <f>IF($BU335="","",MID($BU335,FIND("~",SUBSTITUTE($BU335,"-","~",2))+1,FIND("~",SUBSTITUTE($BU335,"-","~",3))-FIND("~",SUBSTITUTE($BU335,"-","~",2))-1))</f>
        <v/>
      </c>
      <c r="BX335">
        <f>IF($BV335="","",IFERROR(VLOOKUP($BV335,DECODE!$A$3:$C$8,3,FALSE),"?"))</f>
        <v/>
      </c>
      <c r="BY335">
        <f>IF($BW335="","",IFERROR(VLOOKUP($BV335&amp;"-"&amp;$BW335,DECODE!$E$3:$F$21,2,FALSE),"?"))</f>
        <v/>
      </c>
      <c r="BZ335">
        <f>IF($BU335="","",IFERROR(VALUE(RIGHT($BU335,3)),""))</f>
        <v/>
      </c>
      <c r="CA335">
        <f>IF($X335="","",IFERROR(IF(ISNUMBER($X335),$X335,DATEVALUE(TRIM($X335))),""))</f>
        <v/>
      </c>
      <c r="CB335">
        <f>IF($CA335="","",IF(MONTH($CA335)&gt;=12,"Cold Winter",IF(MONTH($CA335)&gt;=10,"Post-Monsoon",IF(MONTH($CA335)&gt;=6,"Hot Humid",IF(MONTH($CA335)&gt;=3,"Hot Dry","Cold Winter")))))</f>
        <v/>
      </c>
      <c r="CC335">
        <f>IF($BV335="","",IFERROR(VLOOKUP($BV335,DECODE!$A$3:$C$8,2,FALSE),"?"))</f>
        <v/>
      </c>
      <c r="CD335">
        <f>IF($S335="","",UPPER(TRIM(LEFT($S335&amp;",",FIND(",",$S335&amp;",")-1))))</f>
        <v/>
      </c>
      <c r="CE335">
        <f>IF($CD335="","",MID($CD335,4,FIND("~",SUBSTITUTE($CD335,"-","~",2))-4))</f>
        <v/>
      </c>
      <c r="CF335">
        <f>IF($CD335="","",MID($CD335,FIND("~",SUBSTITUTE($CD335,"-","~",2))+1,FIND("~",SUBSTITUTE($CD335,"-","~",3))-FIND("~",SUBSTITUTE($CD335,"-","~",2))-1))</f>
        <v/>
      </c>
      <c r="CG335">
        <f>IF($CE335="","",IFERROR(VLOOKUP($CE335,DECODE!$A$3:$C$8,3,FALSE),"?"))</f>
        <v/>
      </c>
      <c r="CH335">
        <f>IF($CF335="","",IFERROR(VLOOKUP($CE335&amp;"-"&amp;$CF335,DECODE!$E$3:$F$21,2,FALSE),"?"))</f>
        <v/>
      </c>
      <c r="CI335">
        <f>IF($CD335="","",IFERROR(VALUE(RIGHT($CD335,3)),""))</f>
        <v/>
      </c>
      <c r="CJ335">
        <f>IF($Y335="","",IFERROR(IF(ISNUMBER($Y335),$Y335,DATEVALUE(TRIM($Y335))),""))</f>
        <v/>
      </c>
      <c r="CK335">
        <f>IF($CJ335="","",IF(MONTH($CJ335)&gt;=12,"Cold Winter",IF(MONTH($CJ335)&gt;=10,"Post-Monsoon",IF(MONTH($CJ335)&gt;=6,"Hot Humid",IF(MONTH($CJ335)&gt;=3,"Hot Dry","Cold Winter")))))</f>
        <v/>
      </c>
      <c r="CL335">
        <f>IF($CE335="","",IFERROR(VLOOKUP($CE335,DECODE!$A$3:$C$8,2,FALSE),"?"))</f>
        <v/>
      </c>
      <c r="CM335">
        <f>IF($AN335="","",AN335)</f>
        <v/>
      </c>
      <c r="CN335">
        <f>IF($AO335="","",AO335)</f>
        <v/>
      </c>
      <c r="CO335">
        <f>IF($AP335="","",AP335)</f>
        <v/>
      </c>
      <c r="CP335">
        <f>IF($CM335="","",IF($CM335="Aloe Vera Gel","Aloe Vera Gel "&amp;$CO335&amp;"g",CN335&amp;" "&amp;$CO335&amp;"g"))</f>
        <v/>
      </c>
      <c r="CQ335">
        <f>IF($AT335="",0,1)</f>
        <v/>
      </c>
      <c r="CR335">
        <f>IF($CQ335=0,"",AW335)</f>
        <v/>
      </c>
      <c r="CS335">
        <f>IF($CQ335=0,"",AX335)</f>
        <v/>
      </c>
      <c r="CT335">
        <f>IF($CQ335=0,"",AY335)</f>
        <v/>
      </c>
      <c r="CU335">
        <f>IF($CR335="","",IF($CR335="Aloe Vera Gel","Aloe Vera Gel "&amp;$CT335&amp;"g",CS335&amp;" "&amp;$CT335&amp;"g"))</f>
        <v/>
      </c>
      <c r="CV335">
        <f>IF($CQ335=0,"",IF($CP335=$CU335,"Repeat Exact",IF($CT335&gt;$CO335,"Upsized",IF($CT335&lt;$CO335,"Downsized",IF($CM335&lt;&gt;$CR335,"Lateral","Same Size Diff Variant")))))</f>
        <v/>
      </c>
      <c r="CW335">
        <f>IF($CQ335=0,"",AZ335-AQ335)</f>
        <v/>
      </c>
      <c r="CX335">
        <f>IF($CQ335=0,0,IF(CS335=CN335,1,0))</f>
        <v/>
      </c>
      <c r="CY335">
        <f>IF($CQ335=0,0,IF(CR335=CM335,1,0))</f>
        <v/>
      </c>
      <c r="CZ335">
        <f>IF($A335="","",IF(AND(IF(DASHBOARD!$C$4="All",TRUE,$CM335=DASHBOARD!$C$4),IF(DASHBOARD!$C$6="All",TRUE,$CP335=DASHBOARD!$C$6),IF(DASHBOARD!$C$8="All",TRUE,$AF335&gt;=DASHBOARD!$C$8),IF(DASHBOARD!$C$10="All",TRUE,$AF335&lt;=DASHBOARD!$C$10),IF(DASHBOARD!$C$12="All",TRUE,$AH335=VALUE(DASHBOARD!$C$12)),IF(DASHBOARD!$C$14="All",TRUE,$AJ335=DASHBOARD!$C$14)),1,0))</f>
        <v/>
      </c>
    </row>
    <row r="336">
      <c r="A336" t="n">
        <v>178578</v>
      </c>
      <c r="B336" t="inlineStr">
        <is>
          <t>Active Gel</t>
        </is>
      </c>
      <c r="H336" t="inlineStr">
        <is>
          <t>Active Orange Kiwi Vit-C Gel</t>
        </is>
      </c>
      <c r="N336" t="inlineStr">
        <is>
          <t>FC-AC-OK-050</t>
        </is>
      </c>
      <c r="T336" t="inlineStr">
        <is>
          <t>Apr 10, 2025</t>
        </is>
      </c>
      <c r="AE336" t="inlineStr">
        <is>
          <t>Ghaziabad</t>
        </is>
      </c>
      <c r="AF336" t="inlineStr">
        <is>
          <t>2025-04</t>
        </is>
      </c>
      <c r="AG336" t="n">
        <v>4</v>
      </c>
      <c r="AH336" t="n">
        <v>1</v>
      </c>
      <c r="AI336" t="n">
        <v>0</v>
      </c>
      <c r="AJ336">
        <f>IF($AE336="","",IFERROR(VLOOKUP(TRIM($AE336),DECODE!$H$3:$I$60,2,FALSE),"Rest of India"))</f>
        <v/>
      </c>
      <c r="AK336">
        <f>IF($N336="","",UPPER(TRIM(LEFT($N336&amp;",",FIND(",",$N336&amp;",")-1))))</f>
        <v/>
      </c>
      <c r="AL336">
        <f>IF($AK336="","",MID($AK336,4,FIND("~",SUBSTITUTE($AK336,"-","~",2))-4))</f>
        <v/>
      </c>
      <c r="AM336">
        <f>IF($AK336="","",MID($AK336,FIND("~",SUBSTITUTE($AK336,"-","~",2))+1,FIND("~",SUBSTITUTE($AK336,"-","~",3))-FIND("~",SUBSTITUTE($AK336,"-","~",2))-1))</f>
        <v/>
      </c>
      <c r="AN336">
        <f>IF($AL336="","",IFERROR(VLOOKUP($AL336,DECODE!$A$3:$C$8,3,FALSE),"?"))</f>
        <v/>
      </c>
      <c r="AO336">
        <f>IF($AM336="","",IFERROR(VLOOKUP($AL336&amp;"-"&amp;$AM336,DECODE!$E$3:$F$21,2,FALSE),"?"))</f>
        <v/>
      </c>
      <c r="AP336">
        <f>IF($AK336="","",IFERROR(VALUE(RIGHT($AK336,3)),""))</f>
        <v/>
      </c>
      <c r="AQ336">
        <f>IF($T336="","",IFERROR(IF(ISNUMBER($T336),$T336,DATEVALUE(TRIM($T336))),""))</f>
        <v/>
      </c>
      <c r="AR336">
        <f>IF($AQ336="","",IF(MONTH($AQ336)&gt;=12,"Cold Winter",IF(MONTH($AQ336)&gt;=10,"Post-Monsoon",IF(MONTH($AQ336)&gt;=6,"Hot Humid",IF(MONTH($AQ336)&gt;=3,"Hot Dry","Cold Winter")))))</f>
        <v/>
      </c>
      <c r="AS336">
        <f>IF($AL336="","",IFERROR(VLOOKUP($AL336,DECODE!$A$3:$C$8,2,FALSE),"?"))</f>
        <v/>
      </c>
      <c r="AT336">
        <f>IF($O336="","",UPPER(TRIM(LEFT($O336&amp;",",FIND(",",$O336&amp;",")-1))))</f>
        <v/>
      </c>
      <c r="AU336">
        <f>IF($AT336="","",MID($AT336,4,FIND("~",SUBSTITUTE($AT336,"-","~",2))-4))</f>
        <v/>
      </c>
      <c r="AV336">
        <f>IF($AT336="","",MID($AT336,FIND("~",SUBSTITUTE($AT336,"-","~",2))+1,FIND("~",SUBSTITUTE($AT336,"-","~",3))-FIND("~",SUBSTITUTE($AT336,"-","~",2))-1))</f>
        <v/>
      </c>
      <c r="AW336">
        <f>IF($AU336="","",IFERROR(VLOOKUP($AU336,DECODE!$A$3:$C$8,3,FALSE),"?"))</f>
        <v/>
      </c>
      <c r="AX336">
        <f>IF($AV336="","",IFERROR(VLOOKUP($AU336&amp;"-"&amp;$AV336,DECODE!$E$3:$F$21,2,FALSE),"?"))</f>
        <v/>
      </c>
      <c r="AY336">
        <f>IF($AT336="","",IFERROR(VALUE(RIGHT($AT336,3)),""))</f>
        <v/>
      </c>
      <c r="AZ336">
        <f>IF($U336="","",IFERROR(IF(ISNUMBER($U336),$U336,DATEVALUE(TRIM($U336))),""))</f>
        <v/>
      </c>
      <c r="BA336">
        <f>IF($AZ336="","",IF(MONTH($AZ336)&gt;=12,"Cold Winter",IF(MONTH($AZ336)&gt;=10,"Post-Monsoon",IF(MONTH($AZ336)&gt;=6,"Hot Humid",IF(MONTH($AZ336)&gt;=3,"Hot Dry","Cold Winter")))))</f>
        <v/>
      </c>
      <c r="BB336">
        <f>IF($AU336="","",IFERROR(VLOOKUP($AU336,DECODE!$A$3:$C$8,2,FALSE),"?"))</f>
        <v/>
      </c>
      <c r="BC336">
        <f>IF($P336="","",UPPER(TRIM(LEFT($P336&amp;",",FIND(",",$P336&amp;",")-1))))</f>
        <v/>
      </c>
      <c r="BD336">
        <f>IF($BC336="","",MID($BC336,4,FIND("~",SUBSTITUTE($BC336,"-","~",2))-4))</f>
        <v/>
      </c>
      <c r="BE336">
        <f>IF($BC336="","",MID($BC336,FIND("~",SUBSTITUTE($BC336,"-","~",2))+1,FIND("~",SUBSTITUTE($BC336,"-","~",3))-FIND("~",SUBSTITUTE($BC336,"-","~",2))-1))</f>
        <v/>
      </c>
      <c r="BF336">
        <f>IF($BD336="","",IFERROR(VLOOKUP($BD336,DECODE!$A$3:$C$8,3,FALSE),"?"))</f>
        <v/>
      </c>
      <c r="BG336">
        <f>IF($BE336="","",IFERROR(VLOOKUP($BD336&amp;"-"&amp;$BE336,DECODE!$E$3:$F$21,2,FALSE),"?"))</f>
        <v/>
      </c>
      <c r="BH336">
        <f>IF($BC336="","",IFERROR(VALUE(RIGHT($BC336,3)),""))</f>
        <v/>
      </c>
      <c r="BI336">
        <f>IF($V336="","",IFERROR(IF(ISNUMBER($V336),$V336,DATEVALUE(TRIM($V336))),""))</f>
        <v/>
      </c>
      <c r="BJ336">
        <f>IF($BI336="","",IF(MONTH($BI336)&gt;=12,"Cold Winter",IF(MONTH($BI336)&gt;=10,"Post-Monsoon",IF(MONTH($BI336)&gt;=6,"Hot Humid",IF(MONTH($BI336)&gt;=3,"Hot Dry","Cold Winter")))))</f>
        <v/>
      </c>
      <c r="BK336">
        <f>IF($BD336="","",IFERROR(VLOOKUP($BD336,DECODE!$A$3:$C$8,2,FALSE),"?"))</f>
        <v/>
      </c>
      <c r="BL336">
        <f>IF($Q336="","",UPPER(TRIM(LEFT($Q336&amp;",",FIND(",",$Q336&amp;",")-1))))</f>
        <v/>
      </c>
      <c r="BM336">
        <f>IF($BL336="","",MID($BL336,4,FIND("~",SUBSTITUTE($BL336,"-","~",2))-4))</f>
        <v/>
      </c>
      <c r="BN336">
        <f>IF($BL336="","",MID($BL336,FIND("~",SUBSTITUTE($BL336,"-","~",2))+1,FIND("~",SUBSTITUTE($BL336,"-","~",3))-FIND("~",SUBSTITUTE($BL336,"-","~",2))-1))</f>
        <v/>
      </c>
      <c r="BO336">
        <f>IF($BM336="","",IFERROR(VLOOKUP($BM336,DECODE!$A$3:$C$8,3,FALSE),"?"))</f>
        <v/>
      </c>
      <c r="BP336">
        <f>IF($BN336="","",IFERROR(VLOOKUP($BM336&amp;"-"&amp;$BN336,DECODE!$E$3:$F$21,2,FALSE),"?"))</f>
        <v/>
      </c>
      <c r="BQ336">
        <f>IF($BL336="","",IFERROR(VALUE(RIGHT($BL336,3)),""))</f>
        <v/>
      </c>
      <c r="BR336">
        <f>IF($W336="","",IFERROR(IF(ISNUMBER($W336),$W336,DATEVALUE(TRIM($W336))),""))</f>
        <v/>
      </c>
      <c r="BS336">
        <f>IF($BR336="","",IF(MONTH($BR336)&gt;=12,"Cold Winter",IF(MONTH($BR336)&gt;=10,"Post-Monsoon",IF(MONTH($BR336)&gt;=6,"Hot Humid",IF(MONTH($BR336)&gt;=3,"Hot Dry","Cold Winter")))))</f>
        <v/>
      </c>
      <c r="BT336">
        <f>IF($BM336="","",IFERROR(VLOOKUP($BM336,DECODE!$A$3:$C$8,2,FALSE),"?"))</f>
        <v/>
      </c>
      <c r="BU336">
        <f>IF($R336="","",UPPER(TRIM(LEFT($R336&amp;",",FIND(",",$R336&amp;",")-1))))</f>
        <v/>
      </c>
      <c r="BV336">
        <f>IF($BU336="","",MID($BU336,4,FIND("~",SUBSTITUTE($BU336,"-","~",2))-4))</f>
        <v/>
      </c>
      <c r="BW336">
        <f>IF($BU336="","",MID($BU336,FIND("~",SUBSTITUTE($BU336,"-","~",2))+1,FIND("~",SUBSTITUTE($BU336,"-","~",3))-FIND("~",SUBSTITUTE($BU336,"-","~",2))-1))</f>
        <v/>
      </c>
      <c r="BX336">
        <f>IF($BV336="","",IFERROR(VLOOKUP($BV336,DECODE!$A$3:$C$8,3,FALSE),"?"))</f>
        <v/>
      </c>
      <c r="BY336">
        <f>IF($BW336="","",IFERROR(VLOOKUP($BV336&amp;"-"&amp;$BW336,DECODE!$E$3:$F$21,2,FALSE),"?"))</f>
        <v/>
      </c>
      <c r="BZ336">
        <f>IF($BU336="","",IFERROR(VALUE(RIGHT($BU336,3)),""))</f>
        <v/>
      </c>
      <c r="CA336">
        <f>IF($X336="","",IFERROR(IF(ISNUMBER($X336),$X336,DATEVALUE(TRIM($X336))),""))</f>
        <v/>
      </c>
      <c r="CB336">
        <f>IF($CA336="","",IF(MONTH($CA336)&gt;=12,"Cold Winter",IF(MONTH($CA336)&gt;=10,"Post-Monsoon",IF(MONTH($CA336)&gt;=6,"Hot Humid",IF(MONTH($CA336)&gt;=3,"Hot Dry","Cold Winter")))))</f>
        <v/>
      </c>
      <c r="CC336">
        <f>IF($BV336="","",IFERROR(VLOOKUP($BV336,DECODE!$A$3:$C$8,2,FALSE),"?"))</f>
        <v/>
      </c>
      <c r="CD336">
        <f>IF($S336="","",UPPER(TRIM(LEFT($S336&amp;",",FIND(",",$S336&amp;",")-1))))</f>
        <v/>
      </c>
      <c r="CE336">
        <f>IF($CD336="","",MID($CD336,4,FIND("~",SUBSTITUTE($CD336,"-","~",2))-4))</f>
        <v/>
      </c>
      <c r="CF336">
        <f>IF($CD336="","",MID($CD336,FIND("~",SUBSTITUTE($CD336,"-","~",2))+1,FIND("~",SUBSTITUTE($CD336,"-","~",3))-FIND("~",SUBSTITUTE($CD336,"-","~",2))-1))</f>
        <v/>
      </c>
      <c r="CG336">
        <f>IF($CE336="","",IFERROR(VLOOKUP($CE336,DECODE!$A$3:$C$8,3,FALSE),"?"))</f>
        <v/>
      </c>
      <c r="CH336">
        <f>IF($CF336="","",IFERROR(VLOOKUP($CE336&amp;"-"&amp;$CF336,DECODE!$E$3:$F$21,2,FALSE),"?"))</f>
        <v/>
      </c>
      <c r="CI336">
        <f>IF($CD336="","",IFERROR(VALUE(RIGHT($CD336,3)),""))</f>
        <v/>
      </c>
      <c r="CJ336">
        <f>IF($Y336="","",IFERROR(IF(ISNUMBER($Y336),$Y336,DATEVALUE(TRIM($Y336))),""))</f>
        <v/>
      </c>
      <c r="CK336">
        <f>IF($CJ336="","",IF(MONTH($CJ336)&gt;=12,"Cold Winter",IF(MONTH($CJ336)&gt;=10,"Post-Monsoon",IF(MONTH($CJ336)&gt;=6,"Hot Humid",IF(MONTH($CJ336)&gt;=3,"Hot Dry","Cold Winter")))))</f>
        <v/>
      </c>
      <c r="CL336">
        <f>IF($CE336="","",IFERROR(VLOOKUP($CE336,DECODE!$A$3:$C$8,2,FALSE),"?"))</f>
        <v/>
      </c>
      <c r="CM336">
        <f>IF($AN336="","",AN336)</f>
        <v/>
      </c>
      <c r="CN336">
        <f>IF($AO336="","",AO336)</f>
        <v/>
      </c>
      <c r="CO336">
        <f>IF($AP336="","",AP336)</f>
        <v/>
      </c>
      <c r="CP336">
        <f>IF($CM336="","",IF($CM336="Aloe Vera Gel","Aloe Vera Gel "&amp;$CO336&amp;"g",CN336&amp;" "&amp;$CO336&amp;"g"))</f>
        <v/>
      </c>
      <c r="CQ336">
        <f>IF($AT336="",0,1)</f>
        <v/>
      </c>
      <c r="CR336">
        <f>IF($CQ336=0,"",AW336)</f>
        <v/>
      </c>
      <c r="CS336">
        <f>IF($CQ336=0,"",AX336)</f>
        <v/>
      </c>
      <c r="CT336">
        <f>IF($CQ336=0,"",AY336)</f>
        <v/>
      </c>
      <c r="CU336">
        <f>IF($CR336="","",IF($CR336="Aloe Vera Gel","Aloe Vera Gel "&amp;$CT336&amp;"g",CS336&amp;" "&amp;$CT336&amp;"g"))</f>
        <v/>
      </c>
      <c r="CV336">
        <f>IF($CQ336=0,"",IF($CP336=$CU336,"Repeat Exact",IF($CT336&gt;$CO336,"Upsized",IF($CT336&lt;$CO336,"Downsized",IF($CM336&lt;&gt;$CR336,"Lateral","Same Size Diff Variant")))))</f>
        <v/>
      </c>
      <c r="CW336">
        <f>IF($CQ336=0,"",AZ336-AQ336)</f>
        <v/>
      </c>
      <c r="CX336">
        <f>IF($CQ336=0,0,IF(CS336=CN336,1,0))</f>
        <v/>
      </c>
      <c r="CY336">
        <f>IF($CQ336=0,0,IF(CR336=CM336,1,0))</f>
        <v/>
      </c>
      <c r="CZ336">
        <f>IF($A336="","",IF(AND(IF(DASHBOARD!$C$4="All",TRUE,$CM336=DASHBOARD!$C$4),IF(DASHBOARD!$C$6="All",TRUE,$CP336=DASHBOARD!$C$6),IF(DASHBOARD!$C$8="All",TRUE,$AF336&gt;=DASHBOARD!$C$8),IF(DASHBOARD!$C$10="All",TRUE,$AF336&lt;=DASHBOARD!$C$10),IF(DASHBOARD!$C$12="All",TRUE,$AH336=VALUE(DASHBOARD!$C$12)),IF(DASHBOARD!$C$14="All",TRUE,$AJ336=DASHBOARD!$C$14)),1,0))</f>
        <v/>
      </c>
    </row>
    <row r="337">
      <c r="A337" t="n">
        <v>179786</v>
      </c>
      <c r="B337" t="inlineStr">
        <is>
          <t>Active Gel, Face Malai</t>
        </is>
      </c>
      <c r="H337" t="inlineStr">
        <is>
          <t>Turmeric Nutmeg (Pigmentation)  Face Malai - 30g, Active Orange Kiwi Vit-C Gel</t>
        </is>
      </c>
      <c r="N337" t="inlineStr">
        <is>
          <t>FC-DM-PG-030, FC-AC-OK-050</t>
        </is>
      </c>
      <c r="T337" t="inlineStr">
        <is>
          <t>May 9, 2025</t>
        </is>
      </c>
      <c r="AE337" t="inlineStr">
        <is>
          <t>Mumbai</t>
        </is>
      </c>
      <c r="AF337" t="inlineStr">
        <is>
          <t>2025-05</t>
        </is>
      </c>
      <c r="AG337" t="n">
        <v>5</v>
      </c>
      <c r="AH337" t="n">
        <v>1</v>
      </c>
      <c r="AI337" t="n">
        <v>0</v>
      </c>
      <c r="AJ337">
        <f>IF($AE337="","",IFERROR(VLOOKUP(TRIM($AE337),DECODE!$H$3:$I$60,2,FALSE),"Rest of India"))</f>
        <v/>
      </c>
      <c r="AK337">
        <f>IF($N337="","",UPPER(TRIM(LEFT($N337&amp;",",FIND(",",$N337&amp;",")-1))))</f>
        <v/>
      </c>
      <c r="AL337">
        <f>IF($AK337="","",MID($AK337,4,FIND("~",SUBSTITUTE($AK337,"-","~",2))-4))</f>
        <v/>
      </c>
      <c r="AM337">
        <f>IF($AK337="","",MID($AK337,FIND("~",SUBSTITUTE($AK337,"-","~",2))+1,FIND("~",SUBSTITUTE($AK337,"-","~",3))-FIND("~",SUBSTITUTE($AK337,"-","~",2))-1))</f>
        <v/>
      </c>
      <c r="AN337">
        <f>IF($AL337="","",IFERROR(VLOOKUP($AL337,DECODE!$A$3:$C$8,3,FALSE),"?"))</f>
        <v/>
      </c>
      <c r="AO337">
        <f>IF($AM337="","",IFERROR(VLOOKUP($AL337&amp;"-"&amp;$AM337,DECODE!$E$3:$F$21,2,FALSE),"?"))</f>
        <v/>
      </c>
      <c r="AP337">
        <f>IF($AK337="","",IFERROR(VALUE(RIGHT($AK337,3)),""))</f>
        <v/>
      </c>
      <c r="AQ337">
        <f>IF($T337="","",IFERROR(IF(ISNUMBER($T337),$T337,DATEVALUE(TRIM($T337))),""))</f>
        <v/>
      </c>
      <c r="AR337">
        <f>IF($AQ337="","",IF(MONTH($AQ337)&gt;=12,"Cold Winter",IF(MONTH($AQ337)&gt;=10,"Post-Monsoon",IF(MONTH($AQ337)&gt;=6,"Hot Humid",IF(MONTH($AQ337)&gt;=3,"Hot Dry","Cold Winter")))))</f>
        <v/>
      </c>
      <c r="AS337">
        <f>IF($AL337="","",IFERROR(VLOOKUP($AL337,DECODE!$A$3:$C$8,2,FALSE),"?"))</f>
        <v/>
      </c>
      <c r="AT337">
        <f>IF($O337="","",UPPER(TRIM(LEFT($O337&amp;",",FIND(",",$O337&amp;",")-1))))</f>
        <v/>
      </c>
      <c r="AU337">
        <f>IF($AT337="","",MID($AT337,4,FIND("~",SUBSTITUTE($AT337,"-","~",2))-4))</f>
        <v/>
      </c>
      <c r="AV337">
        <f>IF($AT337="","",MID($AT337,FIND("~",SUBSTITUTE($AT337,"-","~",2))+1,FIND("~",SUBSTITUTE($AT337,"-","~",3))-FIND("~",SUBSTITUTE($AT337,"-","~",2))-1))</f>
        <v/>
      </c>
      <c r="AW337">
        <f>IF($AU337="","",IFERROR(VLOOKUP($AU337,DECODE!$A$3:$C$8,3,FALSE),"?"))</f>
        <v/>
      </c>
      <c r="AX337">
        <f>IF($AV337="","",IFERROR(VLOOKUP($AU337&amp;"-"&amp;$AV337,DECODE!$E$3:$F$21,2,FALSE),"?"))</f>
        <v/>
      </c>
      <c r="AY337">
        <f>IF($AT337="","",IFERROR(VALUE(RIGHT($AT337,3)),""))</f>
        <v/>
      </c>
      <c r="AZ337">
        <f>IF($U337="","",IFERROR(IF(ISNUMBER($U337),$U337,DATEVALUE(TRIM($U337))),""))</f>
        <v/>
      </c>
      <c r="BA337">
        <f>IF($AZ337="","",IF(MONTH($AZ337)&gt;=12,"Cold Winter",IF(MONTH($AZ337)&gt;=10,"Post-Monsoon",IF(MONTH($AZ337)&gt;=6,"Hot Humid",IF(MONTH($AZ337)&gt;=3,"Hot Dry","Cold Winter")))))</f>
        <v/>
      </c>
      <c r="BB337">
        <f>IF($AU337="","",IFERROR(VLOOKUP($AU337,DECODE!$A$3:$C$8,2,FALSE),"?"))</f>
        <v/>
      </c>
      <c r="BC337">
        <f>IF($P337="","",UPPER(TRIM(LEFT($P337&amp;",",FIND(",",$P337&amp;",")-1))))</f>
        <v/>
      </c>
      <c r="BD337">
        <f>IF($BC337="","",MID($BC337,4,FIND("~",SUBSTITUTE($BC337,"-","~",2))-4))</f>
        <v/>
      </c>
      <c r="BE337">
        <f>IF($BC337="","",MID($BC337,FIND("~",SUBSTITUTE($BC337,"-","~",2))+1,FIND("~",SUBSTITUTE($BC337,"-","~",3))-FIND("~",SUBSTITUTE($BC337,"-","~",2))-1))</f>
        <v/>
      </c>
      <c r="BF337">
        <f>IF($BD337="","",IFERROR(VLOOKUP($BD337,DECODE!$A$3:$C$8,3,FALSE),"?"))</f>
        <v/>
      </c>
      <c r="BG337">
        <f>IF($BE337="","",IFERROR(VLOOKUP($BD337&amp;"-"&amp;$BE337,DECODE!$E$3:$F$21,2,FALSE),"?"))</f>
        <v/>
      </c>
      <c r="BH337">
        <f>IF($BC337="","",IFERROR(VALUE(RIGHT($BC337,3)),""))</f>
        <v/>
      </c>
      <c r="BI337">
        <f>IF($V337="","",IFERROR(IF(ISNUMBER($V337),$V337,DATEVALUE(TRIM($V337))),""))</f>
        <v/>
      </c>
      <c r="BJ337">
        <f>IF($BI337="","",IF(MONTH($BI337)&gt;=12,"Cold Winter",IF(MONTH($BI337)&gt;=10,"Post-Monsoon",IF(MONTH($BI337)&gt;=6,"Hot Humid",IF(MONTH($BI337)&gt;=3,"Hot Dry","Cold Winter")))))</f>
        <v/>
      </c>
      <c r="BK337">
        <f>IF($BD337="","",IFERROR(VLOOKUP($BD337,DECODE!$A$3:$C$8,2,FALSE),"?"))</f>
        <v/>
      </c>
      <c r="BL337">
        <f>IF($Q337="","",UPPER(TRIM(LEFT($Q337&amp;",",FIND(",",$Q337&amp;",")-1))))</f>
        <v/>
      </c>
      <c r="BM337">
        <f>IF($BL337="","",MID($BL337,4,FIND("~",SUBSTITUTE($BL337,"-","~",2))-4))</f>
        <v/>
      </c>
      <c r="BN337">
        <f>IF($BL337="","",MID($BL337,FIND("~",SUBSTITUTE($BL337,"-","~",2))+1,FIND("~",SUBSTITUTE($BL337,"-","~",3))-FIND("~",SUBSTITUTE($BL337,"-","~",2))-1))</f>
        <v/>
      </c>
      <c r="BO337">
        <f>IF($BM337="","",IFERROR(VLOOKUP($BM337,DECODE!$A$3:$C$8,3,FALSE),"?"))</f>
        <v/>
      </c>
      <c r="BP337">
        <f>IF($BN337="","",IFERROR(VLOOKUP($BM337&amp;"-"&amp;$BN337,DECODE!$E$3:$F$21,2,FALSE),"?"))</f>
        <v/>
      </c>
      <c r="BQ337">
        <f>IF($BL337="","",IFERROR(VALUE(RIGHT($BL337,3)),""))</f>
        <v/>
      </c>
      <c r="BR337">
        <f>IF($W337="","",IFERROR(IF(ISNUMBER($W337),$W337,DATEVALUE(TRIM($W337))),""))</f>
        <v/>
      </c>
      <c r="BS337">
        <f>IF($BR337="","",IF(MONTH($BR337)&gt;=12,"Cold Winter",IF(MONTH($BR337)&gt;=10,"Post-Monsoon",IF(MONTH($BR337)&gt;=6,"Hot Humid",IF(MONTH($BR337)&gt;=3,"Hot Dry","Cold Winter")))))</f>
        <v/>
      </c>
      <c r="BT337">
        <f>IF($BM337="","",IFERROR(VLOOKUP($BM337,DECODE!$A$3:$C$8,2,FALSE),"?"))</f>
        <v/>
      </c>
      <c r="BU337">
        <f>IF($R337="","",UPPER(TRIM(LEFT($R337&amp;",",FIND(",",$R337&amp;",")-1))))</f>
        <v/>
      </c>
      <c r="BV337">
        <f>IF($BU337="","",MID($BU337,4,FIND("~",SUBSTITUTE($BU337,"-","~",2))-4))</f>
        <v/>
      </c>
      <c r="BW337">
        <f>IF($BU337="","",MID($BU337,FIND("~",SUBSTITUTE($BU337,"-","~",2))+1,FIND("~",SUBSTITUTE($BU337,"-","~",3))-FIND("~",SUBSTITUTE($BU337,"-","~",2))-1))</f>
        <v/>
      </c>
      <c r="BX337">
        <f>IF($BV337="","",IFERROR(VLOOKUP($BV337,DECODE!$A$3:$C$8,3,FALSE),"?"))</f>
        <v/>
      </c>
      <c r="BY337">
        <f>IF($BW337="","",IFERROR(VLOOKUP($BV337&amp;"-"&amp;$BW337,DECODE!$E$3:$F$21,2,FALSE),"?"))</f>
        <v/>
      </c>
      <c r="BZ337">
        <f>IF($BU337="","",IFERROR(VALUE(RIGHT($BU337,3)),""))</f>
        <v/>
      </c>
      <c r="CA337">
        <f>IF($X337="","",IFERROR(IF(ISNUMBER($X337),$X337,DATEVALUE(TRIM($X337))),""))</f>
        <v/>
      </c>
      <c r="CB337">
        <f>IF($CA337="","",IF(MONTH($CA337)&gt;=12,"Cold Winter",IF(MONTH($CA337)&gt;=10,"Post-Monsoon",IF(MONTH($CA337)&gt;=6,"Hot Humid",IF(MONTH($CA337)&gt;=3,"Hot Dry","Cold Winter")))))</f>
        <v/>
      </c>
      <c r="CC337">
        <f>IF($BV337="","",IFERROR(VLOOKUP($BV337,DECODE!$A$3:$C$8,2,FALSE),"?"))</f>
        <v/>
      </c>
      <c r="CD337">
        <f>IF($S337="","",UPPER(TRIM(LEFT($S337&amp;",",FIND(",",$S337&amp;",")-1))))</f>
        <v/>
      </c>
      <c r="CE337">
        <f>IF($CD337="","",MID($CD337,4,FIND("~",SUBSTITUTE($CD337,"-","~",2))-4))</f>
        <v/>
      </c>
      <c r="CF337">
        <f>IF($CD337="","",MID($CD337,FIND("~",SUBSTITUTE($CD337,"-","~",2))+1,FIND("~",SUBSTITUTE($CD337,"-","~",3))-FIND("~",SUBSTITUTE($CD337,"-","~",2))-1))</f>
        <v/>
      </c>
      <c r="CG337">
        <f>IF($CE337="","",IFERROR(VLOOKUP($CE337,DECODE!$A$3:$C$8,3,FALSE),"?"))</f>
        <v/>
      </c>
      <c r="CH337">
        <f>IF($CF337="","",IFERROR(VLOOKUP($CE337&amp;"-"&amp;$CF337,DECODE!$E$3:$F$21,2,FALSE),"?"))</f>
        <v/>
      </c>
      <c r="CI337">
        <f>IF($CD337="","",IFERROR(VALUE(RIGHT($CD337,3)),""))</f>
        <v/>
      </c>
      <c r="CJ337">
        <f>IF($Y337="","",IFERROR(IF(ISNUMBER($Y337),$Y337,DATEVALUE(TRIM($Y337))),""))</f>
        <v/>
      </c>
      <c r="CK337">
        <f>IF($CJ337="","",IF(MONTH($CJ337)&gt;=12,"Cold Winter",IF(MONTH($CJ337)&gt;=10,"Post-Monsoon",IF(MONTH($CJ337)&gt;=6,"Hot Humid",IF(MONTH($CJ337)&gt;=3,"Hot Dry","Cold Winter")))))</f>
        <v/>
      </c>
      <c r="CL337">
        <f>IF($CE337="","",IFERROR(VLOOKUP($CE337,DECODE!$A$3:$C$8,2,FALSE),"?"))</f>
        <v/>
      </c>
      <c r="CM337">
        <f>IF($AN337="","",AN337)</f>
        <v/>
      </c>
      <c r="CN337">
        <f>IF($AO337="","",AO337)</f>
        <v/>
      </c>
      <c r="CO337">
        <f>IF($AP337="","",AP337)</f>
        <v/>
      </c>
      <c r="CP337">
        <f>IF($CM337="","",IF($CM337="Aloe Vera Gel","Aloe Vera Gel "&amp;$CO337&amp;"g",CN337&amp;" "&amp;$CO337&amp;"g"))</f>
        <v/>
      </c>
      <c r="CQ337">
        <f>IF($AT337="",0,1)</f>
        <v/>
      </c>
      <c r="CR337">
        <f>IF($CQ337=0,"",AW337)</f>
        <v/>
      </c>
      <c r="CS337">
        <f>IF($CQ337=0,"",AX337)</f>
        <v/>
      </c>
      <c r="CT337">
        <f>IF($CQ337=0,"",AY337)</f>
        <v/>
      </c>
      <c r="CU337">
        <f>IF($CR337="","",IF($CR337="Aloe Vera Gel","Aloe Vera Gel "&amp;$CT337&amp;"g",CS337&amp;" "&amp;$CT337&amp;"g"))</f>
        <v/>
      </c>
      <c r="CV337">
        <f>IF($CQ337=0,"",IF($CP337=$CU337,"Repeat Exact",IF($CT337&gt;$CO337,"Upsized",IF($CT337&lt;$CO337,"Downsized",IF($CM337&lt;&gt;$CR337,"Lateral","Same Size Diff Variant")))))</f>
        <v/>
      </c>
      <c r="CW337">
        <f>IF($CQ337=0,"",AZ337-AQ337)</f>
        <v/>
      </c>
      <c r="CX337">
        <f>IF($CQ337=0,0,IF(CS337=CN337,1,0))</f>
        <v/>
      </c>
      <c r="CY337">
        <f>IF($CQ337=0,0,IF(CR337=CM337,1,0))</f>
        <v/>
      </c>
      <c r="CZ337">
        <f>IF($A337="","",IF(AND(IF(DASHBOARD!$C$4="All",TRUE,$CM337=DASHBOARD!$C$4),IF(DASHBOARD!$C$6="All",TRUE,$CP337=DASHBOARD!$C$6),IF(DASHBOARD!$C$8="All",TRUE,$AF337&gt;=DASHBOARD!$C$8),IF(DASHBOARD!$C$10="All",TRUE,$AF337&lt;=DASHBOARD!$C$10),IF(DASHBOARD!$C$12="All",TRUE,$AH337=VALUE(DASHBOARD!$C$12)),IF(DASHBOARD!$C$14="All",TRUE,$AJ337=DASHBOARD!$C$14)),1,0))</f>
        <v/>
      </c>
    </row>
    <row r="338">
      <c r="A338" t="n">
        <v>179822</v>
      </c>
      <c r="B338" t="inlineStr">
        <is>
          <t>Face Malai</t>
        </is>
      </c>
      <c r="H338" t="inlineStr">
        <is>
          <t>Tomato Vetiver (Hot Humid) 20 - 35 Yrs Face Malai - 50g</t>
        </is>
      </c>
      <c r="N338" t="inlineStr">
        <is>
          <t>FC-HHDM-TV-050</t>
        </is>
      </c>
      <c r="T338" t="inlineStr">
        <is>
          <t>Mar 5, 2026</t>
        </is>
      </c>
      <c r="AE338" t="inlineStr">
        <is>
          <t>Jaipur</t>
        </is>
      </c>
      <c r="AF338" t="inlineStr">
        <is>
          <t>2026-03</t>
        </is>
      </c>
      <c r="AG338" t="n">
        <v>3</v>
      </c>
      <c r="AH338" t="n">
        <v>1</v>
      </c>
      <c r="AI338" t="n">
        <v>0</v>
      </c>
      <c r="AJ338">
        <f>IF($AE338="","",IFERROR(VLOOKUP(TRIM($AE338),DECODE!$H$3:$I$60,2,FALSE),"Rest of India"))</f>
        <v/>
      </c>
      <c r="AK338">
        <f>IF($N338="","",UPPER(TRIM(LEFT($N338&amp;",",FIND(",",$N338&amp;",")-1))))</f>
        <v/>
      </c>
      <c r="AL338">
        <f>IF($AK338="","",MID($AK338,4,FIND("~",SUBSTITUTE($AK338,"-","~",2))-4))</f>
        <v/>
      </c>
      <c r="AM338">
        <f>IF($AK338="","",MID($AK338,FIND("~",SUBSTITUTE($AK338,"-","~",2))+1,FIND("~",SUBSTITUTE($AK338,"-","~",3))-FIND("~",SUBSTITUTE($AK338,"-","~",2))-1))</f>
        <v/>
      </c>
      <c r="AN338">
        <f>IF($AL338="","",IFERROR(VLOOKUP($AL338,DECODE!$A$3:$C$8,3,FALSE),"?"))</f>
        <v/>
      </c>
      <c r="AO338">
        <f>IF($AM338="","",IFERROR(VLOOKUP($AL338&amp;"-"&amp;$AM338,DECODE!$E$3:$F$21,2,FALSE),"?"))</f>
        <v/>
      </c>
      <c r="AP338">
        <f>IF($AK338="","",IFERROR(VALUE(RIGHT($AK338,3)),""))</f>
        <v/>
      </c>
      <c r="AQ338">
        <f>IF($T338="","",IFERROR(IF(ISNUMBER($T338),$T338,DATEVALUE(TRIM($T338))),""))</f>
        <v/>
      </c>
      <c r="AR338">
        <f>IF($AQ338="","",IF(MONTH($AQ338)&gt;=12,"Cold Winter",IF(MONTH($AQ338)&gt;=10,"Post-Monsoon",IF(MONTH($AQ338)&gt;=6,"Hot Humid",IF(MONTH($AQ338)&gt;=3,"Hot Dry","Cold Winter")))))</f>
        <v/>
      </c>
      <c r="AS338">
        <f>IF($AL338="","",IFERROR(VLOOKUP($AL338,DECODE!$A$3:$C$8,2,FALSE),"?"))</f>
        <v/>
      </c>
      <c r="AT338">
        <f>IF($O338="","",UPPER(TRIM(LEFT($O338&amp;",",FIND(",",$O338&amp;",")-1))))</f>
        <v/>
      </c>
      <c r="AU338">
        <f>IF($AT338="","",MID($AT338,4,FIND("~",SUBSTITUTE($AT338,"-","~",2))-4))</f>
        <v/>
      </c>
      <c r="AV338">
        <f>IF($AT338="","",MID($AT338,FIND("~",SUBSTITUTE($AT338,"-","~",2))+1,FIND("~",SUBSTITUTE($AT338,"-","~",3))-FIND("~",SUBSTITUTE($AT338,"-","~",2))-1))</f>
        <v/>
      </c>
      <c r="AW338">
        <f>IF($AU338="","",IFERROR(VLOOKUP($AU338,DECODE!$A$3:$C$8,3,FALSE),"?"))</f>
        <v/>
      </c>
      <c r="AX338">
        <f>IF($AV338="","",IFERROR(VLOOKUP($AU338&amp;"-"&amp;$AV338,DECODE!$E$3:$F$21,2,FALSE),"?"))</f>
        <v/>
      </c>
      <c r="AY338">
        <f>IF($AT338="","",IFERROR(VALUE(RIGHT($AT338,3)),""))</f>
        <v/>
      </c>
      <c r="AZ338">
        <f>IF($U338="","",IFERROR(IF(ISNUMBER($U338),$U338,DATEVALUE(TRIM($U338))),""))</f>
        <v/>
      </c>
      <c r="BA338">
        <f>IF($AZ338="","",IF(MONTH($AZ338)&gt;=12,"Cold Winter",IF(MONTH($AZ338)&gt;=10,"Post-Monsoon",IF(MONTH($AZ338)&gt;=6,"Hot Humid",IF(MONTH($AZ338)&gt;=3,"Hot Dry","Cold Winter")))))</f>
        <v/>
      </c>
      <c r="BB338">
        <f>IF($AU338="","",IFERROR(VLOOKUP($AU338,DECODE!$A$3:$C$8,2,FALSE),"?"))</f>
        <v/>
      </c>
      <c r="BC338">
        <f>IF($P338="","",UPPER(TRIM(LEFT($P338&amp;",",FIND(",",$P338&amp;",")-1))))</f>
        <v/>
      </c>
      <c r="BD338">
        <f>IF($BC338="","",MID($BC338,4,FIND("~",SUBSTITUTE($BC338,"-","~",2))-4))</f>
        <v/>
      </c>
      <c r="BE338">
        <f>IF($BC338="","",MID($BC338,FIND("~",SUBSTITUTE($BC338,"-","~",2))+1,FIND("~",SUBSTITUTE($BC338,"-","~",3))-FIND("~",SUBSTITUTE($BC338,"-","~",2))-1))</f>
        <v/>
      </c>
      <c r="BF338">
        <f>IF($BD338="","",IFERROR(VLOOKUP($BD338,DECODE!$A$3:$C$8,3,FALSE),"?"))</f>
        <v/>
      </c>
      <c r="BG338">
        <f>IF($BE338="","",IFERROR(VLOOKUP($BD338&amp;"-"&amp;$BE338,DECODE!$E$3:$F$21,2,FALSE),"?"))</f>
        <v/>
      </c>
      <c r="BH338">
        <f>IF($BC338="","",IFERROR(VALUE(RIGHT($BC338,3)),""))</f>
        <v/>
      </c>
      <c r="BI338">
        <f>IF($V338="","",IFERROR(IF(ISNUMBER($V338),$V338,DATEVALUE(TRIM($V338))),""))</f>
        <v/>
      </c>
      <c r="BJ338">
        <f>IF($BI338="","",IF(MONTH($BI338)&gt;=12,"Cold Winter",IF(MONTH($BI338)&gt;=10,"Post-Monsoon",IF(MONTH($BI338)&gt;=6,"Hot Humid",IF(MONTH($BI338)&gt;=3,"Hot Dry","Cold Winter")))))</f>
        <v/>
      </c>
      <c r="BK338">
        <f>IF($BD338="","",IFERROR(VLOOKUP($BD338,DECODE!$A$3:$C$8,2,FALSE),"?"))</f>
        <v/>
      </c>
      <c r="BL338">
        <f>IF($Q338="","",UPPER(TRIM(LEFT($Q338&amp;",",FIND(",",$Q338&amp;",")-1))))</f>
        <v/>
      </c>
      <c r="BM338">
        <f>IF($BL338="","",MID($BL338,4,FIND("~",SUBSTITUTE($BL338,"-","~",2))-4))</f>
        <v/>
      </c>
      <c r="BN338">
        <f>IF($BL338="","",MID($BL338,FIND("~",SUBSTITUTE($BL338,"-","~",2))+1,FIND("~",SUBSTITUTE($BL338,"-","~",3))-FIND("~",SUBSTITUTE($BL338,"-","~",2))-1))</f>
        <v/>
      </c>
      <c r="BO338">
        <f>IF($BM338="","",IFERROR(VLOOKUP($BM338,DECODE!$A$3:$C$8,3,FALSE),"?"))</f>
        <v/>
      </c>
      <c r="BP338">
        <f>IF($BN338="","",IFERROR(VLOOKUP($BM338&amp;"-"&amp;$BN338,DECODE!$E$3:$F$21,2,FALSE),"?"))</f>
        <v/>
      </c>
      <c r="BQ338">
        <f>IF($BL338="","",IFERROR(VALUE(RIGHT($BL338,3)),""))</f>
        <v/>
      </c>
      <c r="BR338">
        <f>IF($W338="","",IFERROR(IF(ISNUMBER($W338),$W338,DATEVALUE(TRIM($W338))),""))</f>
        <v/>
      </c>
      <c r="BS338">
        <f>IF($BR338="","",IF(MONTH($BR338)&gt;=12,"Cold Winter",IF(MONTH($BR338)&gt;=10,"Post-Monsoon",IF(MONTH($BR338)&gt;=6,"Hot Humid",IF(MONTH($BR338)&gt;=3,"Hot Dry","Cold Winter")))))</f>
        <v/>
      </c>
      <c r="BT338">
        <f>IF($BM338="","",IFERROR(VLOOKUP($BM338,DECODE!$A$3:$C$8,2,FALSE),"?"))</f>
        <v/>
      </c>
      <c r="BU338">
        <f>IF($R338="","",UPPER(TRIM(LEFT($R338&amp;",",FIND(",",$R338&amp;",")-1))))</f>
        <v/>
      </c>
      <c r="BV338">
        <f>IF($BU338="","",MID($BU338,4,FIND("~",SUBSTITUTE($BU338,"-","~",2))-4))</f>
        <v/>
      </c>
      <c r="BW338">
        <f>IF($BU338="","",MID($BU338,FIND("~",SUBSTITUTE($BU338,"-","~",2))+1,FIND("~",SUBSTITUTE($BU338,"-","~",3))-FIND("~",SUBSTITUTE($BU338,"-","~",2))-1))</f>
        <v/>
      </c>
      <c r="BX338">
        <f>IF($BV338="","",IFERROR(VLOOKUP($BV338,DECODE!$A$3:$C$8,3,FALSE),"?"))</f>
        <v/>
      </c>
      <c r="BY338">
        <f>IF($BW338="","",IFERROR(VLOOKUP($BV338&amp;"-"&amp;$BW338,DECODE!$E$3:$F$21,2,FALSE),"?"))</f>
        <v/>
      </c>
      <c r="BZ338">
        <f>IF($BU338="","",IFERROR(VALUE(RIGHT($BU338,3)),""))</f>
        <v/>
      </c>
      <c r="CA338">
        <f>IF($X338="","",IFERROR(IF(ISNUMBER($X338),$X338,DATEVALUE(TRIM($X338))),""))</f>
        <v/>
      </c>
      <c r="CB338">
        <f>IF($CA338="","",IF(MONTH($CA338)&gt;=12,"Cold Winter",IF(MONTH($CA338)&gt;=10,"Post-Monsoon",IF(MONTH($CA338)&gt;=6,"Hot Humid",IF(MONTH($CA338)&gt;=3,"Hot Dry","Cold Winter")))))</f>
        <v/>
      </c>
      <c r="CC338">
        <f>IF($BV338="","",IFERROR(VLOOKUP($BV338,DECODE!$A$3:$C$8,2,FALSE),"?"))</f>
        <v/>
      </c>
      <c r="CD338">
        <f>IF($S338="","",UPPER(TRIM(LEFT($S338&amp;",",FIND(",",$S338&amp;",")-1))))</f>
        <v/>
      </c>
      <c r="CE338">
        <f>IF($CD338="","",MID($CD338,4,FIND("~",SUBSTITUTE($CD338,"-","~",2))-4))</f>
        <v/>
      </c>
      <c r="CF338">
        <f>IF($CD338="","",MID($CD338,FIND("~",SUBSTITUTE($CD338,"-","~",2))+1,FIND("~",SUBSTITUTE($CD338,"-","~",3))-FIND("~",SUBSTITUTE($CD338,"-","~",2))-1))</f>
        <v/>
      </c>
      <c r="CG338">
        <f>IF($CE338="","",IFERROR(VLOOKUP($CE338,DECODE!$A$3:$C$8,3,FALSE),"?"))</f>
        <v/>
      </c>
      <c r="CH338">
        <f>IF($CF338="","",IFERROR(VLOOKUP($CE338&amp;"-"&amp;$CF338,DECODE!$E$3:$F$21,2,FALSE),"?"))</f>
        <v/>
      </c>
      <c r="CI338">
        <f>IF($CD338="","",IFERROR(VALUE(RIGHT($CD338,3)),""))</f>
        <v/>
      </c>
      <c r="CJ338">
        <f>IF($Y338="","",IFERROR(IF(ISNUMBER($Y338),$Y338,DATEVALUE(TRIM($Y338))),""))</f>
        <v/>
      </c>
      <c r="CK338">
        <f>IF($CJ338="","",IF(MONTH($CJ338)&gt;=12,"Cold Winter",IF(MONTH($CJ338)&gt;=10,"Post-Monsoon",IF(MONTH($CJ338)&gt;=6,"Hot Humid",IF(MONTH($CJ338)&gt;=3,"Hot Dry","Cold Winter")))))</f>
        <v/>
      </c>
      <c r="CL338">
        <f>IF($CE338="","",IFERROR(VLOOKUP($CE338,DECODE!$A$3:$C$8,2,FALSE),"?"))</f>
        <v/>
      </c>
      <c r="CM338">
        <f>IF($AN338="","",AN338)</f>
        <v/>
      </c>
      <c r="CN338">
        <f>IF($AO338="","",AO338)</f>
        <v/>
      </c>
      <c r="CO338">
        <f>IF($AP338="","",AP338)</f>
        <v/>
      </c>
      <c r="CP338">
        <f>IF($CM338="","",IF($CM338="Aloe Vera Gel","Aloe Vera Gel "&amp;$CO338&amp;"g",CN338&amp;" "&amp;$CO338&amp;"g"))</f>
        <v/>
      </c>
      <c r="CQ338">
        <f>IF($AT338="",0,1)</f>
        <v/>
      </c>
      <c r="CR338">
        <f>IF($CQ338=0,"",AW338)</f>
        <v/>
      </c>
      <c r="CS338">
        <f>IF($CQ338=0,"",AX338)</f>
        <v/>
      </c>
      <c r="CT338">
        <f>IF($CQ338=0,"",AY338)</f>
        <v/>
      </c>
      <c r="CU338">
        <f>IF($CR338="","",IF($CR338="Aloe Vera Gel","Aloe Vera Gel "&amp;$CT338&amp;"g",CS338&amp;" "&amp;$CT338&amp;"g"))</f>
        <v/>
      </c>
      <c r="CV338">
        <f>IF($CQ338=0,"",IF($CP338=$CU338,"Repeat Exact",IF($CT338&gt;$CO338,"Upsized",IF($CT338&lt;$CO338,"Downsized",IF($CM338&lt;&gt;$CR338,"Lateral","Same Size Diff Variant")))))</f>
        <v/>
      </c>
      <c r="CW338">
        <f>IF($CQ338=0,"",AZ338-AQ338)</f>
        <v/>
      </c>
      <c r="CX338">
        <f>IF($CQ338=0,0,IF(CS338=CN338,1,0))</f>
        <v/>
      </c>
      <c r="CY338">
        <f>IF($CQ338=0,0,IF(CR338=CM338,1,0))</f>
        <v/>
      </c>
      <c r="CZ338">
        <f>IF($A338="","",IF(AND(IF(DASHBOARD!$C$4="All",TRUE,$CM338=DASHBOARD!$C$4),IF(DASHBOARD!$C$6="All",TRUE,$CP338=DASHBOARD!$C$6),IF(DASHBOARD!$C$8="All",TRUE,$AF338&gt;=DASHBOARD!$C$8),IF(DASHBOARD!$C$10="All",TRUE,$AF338&lt;=DASHBOARD!$C$10),IF(DASHBOARD!$C$12="All",TRUE,$AH338=VALUE(DASHBOARD!$C$12)),IF(DASHBOARD!$C$14="All",TRUE,$AJ338=DASHBOARD!$C$14)),1,0))</f>
        <v/>
      </c>
    </row>
    <row r="339">
      <c r="A339" t="n">
        <v>180183</v>
      </c>
      <c r="B339" t="inlineStr">
        <is>
          <t>Aloe Vera Gel</t>
        </is>
      </c>
      <c r="C339" t="inlineStr">
        <is>
          <t>Face Malai</t>
        </is>
      </c>
      <c r="H339" t="inlineStr">
        <is>
          <t>Aloe Vera Gel - 40 gms</t>
        </is>
      </c>
      <c r="I339" t="inlineStr">
        <is>
          <t>Cocoa Mogra (Overnight) Face Malai - 50g</t>
        </is>
      </c>
      <c r="N339" t="inlineStr">
        <is>
          <t>FC-HG-PA-040</t>
        </is>
      </c>
      <c r="O339" t="inlineStr">
        <is>
          <t>FC-DM-NR-050</t>
        </is>
      </c>
      <c r="T339" t="inlineStr">
        <is>
          <t>Apr 2, 2024</t>
        </is>
      </c>
      <c r="U339" t="inlineStr">
        <is>
          <t>Mar 5, 2025</t>
        </is>
      </c>
      <c r="Z339" t="n">
        <v>337</v>
      </c>
      <c r="AE339" t="inlineStr">
        <is>
          <t>Chennai</t>
        </is>
      </c>
      <c r="AF339" t="inlineStr">
        <is>
          <t>2024-04</t>
        </is>
      </c>
      <c r="AG339" t="n">
        <v>4</v>
      </c>
      <c r="AH339" t="n">
        <v>2</v>
      </c>
      <c r="AI339" t="n">
        <v>1</v>
      </c>
      <c r="AJ339">
        <f>IF($AE339="","",IFERROR(VLOOKUP(TRIM($AE339),DECODE!$H$3:$I$60,2,FALSE),"Rest of India"))</f>
        <v/>
      </c>
      <c r="AK339">
        <f>IF($N339="","",UPPER(TRIM(LEFT($N339&amp;",",FIND(",",$N339&amp;",")-1))))</f>
        <v/>
      </c>
      <c r="AL339">
        <f>IF($AK339="","",MID($AK339,4,FIND("~",SUBSTITUTE($AK339,"-","~",2))-4))</f>
        <v/>
      </c>
      <c r="AM339">
        <f>IF($AK339="","",MID($AK339,FIND("~",SUBSTITUTE($AK339,"-","~",2))+1,FIND("~",SUBSTITUTE($AK339,"-","~",3))-FIND("~",SUBSTITUTE($AK339,"-","~",2))-1))</f>
        <v/>
      </c>
      <c r="AN339">
        <f>IF($AL339="","",IFERROR(VLOOKUP($AL339,DECODE!$A$3:$C$8,3,FALSE),"?"))</f>
        <v/>
      </c>
      <c r="AO339">
        <f>IF($AM339="","",IFERROR(VLOOKUP($AL339&amp;"-"&amp;$AM339,DECODE!$E$3:$F$21,2,FALSE),"?"))</f>
        <v/>
      </c>
      <c r="AP339">
        <f>IF($AK339="","",IFERROR(VALUE(RIGHT($AK339,3)),""))</f>
        <v/>
      </c>
      <c r="AQ339">
        <f>IF($T339="","",IFERROR(IF(ISNUMBER($T339),$T339,DATEVALUE(TRIM($T339))),""))</f>
        <v/>
      </c>
      <c r="AR339">
        <f>IF($AQ339="","",IF(MONTH($AQ339)&gt;=12,"Cold Winter",IF(MONTH($AQ339)&gt;=10,"Post-Monsoon",IF(MONTH($AQ339)&gt;=6,"Hot Humid",IF(MONTH($AQ339)&gt;=3,"Hot Dry","Cold Winter")))))</f>
        <v/>
      </c>
      <c r="AS339">
        <f>IF($AL339="","",IFERROR(VLOOKUP($AL339,DECODE!$A$3:$C$8,2,FALSE),"?"))</f>
        <v/>
      </c>
      <c r="AT339">
        <f>IF($O339="","",UPPER(TRIM(LEFT($O339&amp;",",FIND(",",$O339&amp;",")-1))))</f>
        <v/>
      </c>
      <c r="AU339">
        <f>IF($AT339="","",MID($AT339,4,FIND("~",SUBSTITUTE($AT339,"-","~",2))-4))</f>
        <v/>
      </c>
      <c r="AV339">
        <f>IF($AT339="","",MID($AT339,FIND("~",SUBSTITUTE($AT339,"-","~",2))+1,FIND("~",SUBSTITUTE($AT339,"-","~",3))-FIND("~",SUBSTITUTE($AT339,"-","~",2))-1))</f>
        <v/>
      </c>
      <c r="AW339">
        <f>IF($AU339="","",IFERROR(VLOOKUP($AU339,DECODE!$A$3:$C$8,3,FALSE),"?"))</f>
        <v/>
      </c>
      <c r="AX339">
        <f>IF($AV339="","",IFERROR(VLOOKUP($AU339&amp;"-"&amp;$AV339,DECODE!$E$3:$F$21,2,FALSE),"?"))</f>
        <v/>
      </c>
      <c r="AY339">
        <f>IF($AT339="","",IFERROR(VALUE(RIGHT($AT339,3)),""))</f>
        <v/>
      </c>
      <c r="AZ339">
        <f>IF($U339="","",IFERROR(IF(ISNUMBER($U339),$U339,DATEVALUE(TRIM($U339))),""))</f>
        <v/>
      </c>
      <c r="BA339">
        <f>IF($AZ339="","",IF(MONTH($AZ339)&gt;=12,"Cold Winter",IF(MONTH($AZ339)&gt;=10,"Post-Monsoon",IF(MONTH($AZ339)&gt;=6,"Hot Humid",IF(MONTH($AZ339)&gt;=3,"Hot Dry","Cold Winter")))))</f>
        <v/>
      </c>
      <c r="BB339">
        <f>IF($AU339="","",IFERROR(VLOOKUP($AU339,DECODE!$A$3:$C$8,2,FALSE),"?"))</f>
        <v/>
      </c>
      <c r="BC339">
        <f>IF($P339="","",UPPER(TRIM(LEFT($P339&amp;",",FIND(",",$P339&amp;",")-1))))</f>
        <v/>
      </c>
      <c r="BD339">
        <f>IF($BC339="","",MID($BC339,4,FIND("~",SUBSTITUTE($BC339,"-","~",2))-4))</f>
        <v/>
      </c>
      <c r="BE339">
        <f>IF($BC339="","",MID($BC339,FIND("~",SUBSTITUTE($BC339,"-","~",2))+1,FIND("~",SUBSTITUTE($BC339,"-","~",3))-FIND("~",SUBSTITUTE($BC339,"-","~",2))-1))</f>
        <v/>
      </c>
      <c r="BF339">
        <f>IF($BD339="","",IFERROR(VLOOKUP($BD339,DECODE!$A$3:$C$8,3,FALSE),"?"))</f>
        <v/>
      </c>
      <c r="BG339">
        <f>IF($BE339="","",IFERROR(VLOOKUP($BD339&amp;"-"&amp;$BE339,DECODE!$E$3:$F$21,2,FALSE),"?"))</f>
        <v/>
      </c>
      <c r="BH339">
        <f>IF($BC339="","",IFERROR(VALUE(RIGHT($BC339,3)),""))</f>
        <v/>
      </c>
      <c r="BI339">
        <f>IF($V339="","",IFERROR(IF(ISNUMBER($V339),$V339,DATEVALUE(TRIM($V339))),""))</f>
        <v/>
      </c>
      <c r="BJ339">
        <f>IF($BI339="","",IF(MONTH($BI339)&gt;=12,"Cold Winter",IF(MONTH($BI339)&gt;=10,"Post-Monsoon",IF(MONTH($BI339)&gt;=6,"Hot Humid",IF(MONTH($BI339)&gt;=3,"Hot Dry","Cold Winter")))))</f>
        <v/>
      </c>
      <c r="BK339">
        <f>IF($BD339="","",IFERROR(VLOOKUP($BD339,DECODE!$A$3:$C$8,2,FALSE),"?"))</f>
        <v/>
      </c>
      <c r="BL339">
        <f>IF($Q339="","",UPPER(TRIM(LEFT($Q339&amp;",",FIND(",",$Q339&amp;",")-1))))</f>
        <v/>
      </c>
      <c r="BM339">
        <f>IF($BL339="","",MID($BL339,4,FIND("~",SUBSTITUTE($BL339,"-","~",2))-4))</f>
        <v/>
      </c>
      <c r="BN339">
        <f>IF($BL339="","",MID($BL339,FIND("~",SUBSTITUTE($BL339,"-","~",2))+1,FIND("~",SUBSTITUTE($BL339,"-","~",3))-FIND("~",SUBSTITUTE($BL339,"-","~",2))-1))</f>
        <v/>
      </c>
      <c r="BO339">
        <f>IF($BM339="","",IFERROR(VLOOKUP($BM339,DECODE!$A$3:$C$8,3,FALSE),"?"))</f>
        <v/>
      </c>
      <c r="BP339">
        <f>IF($BN339="","",IFERROR(VLOOKUP($BM339&amp;"-"&amp;$BN339,DECODE!$E$3:$F$21,2,FALSE),"?"))</f>
        <v/>
      </c>
      <c r="BQ339">
        <f>IF($BL339="","",IFERROR(VALUE(RIGHT($BL339,3)),""))</f>
        <v/>
      </c>
      <c r="BR339">
        <f>IF($W339="","",IFERROR(IF(ISNUMBER($W339),$W339,DATEVALUE(TRIM($W339))),""))</f>
        <v/>
      </c>
      <c r="BS339">
        <f>IF($BR339="","",IF(MONTH($BR339)&gt;=12,"Cold Winter",IF(MONTH($BR339)&gt;=10,"Post-Monsoon",IF(MONTH($BR339)&gt;=6,"Hot Humid",IF(MONTH($BR339)&gt;=3,"Hot Dry","Cold Winter")))))</f>
        <v/>
      </c>
      <c r="BT339">
        <f>IF($BM339="","",IFERROR(VLOOKUP($BM339,DECODE!$A$3:$C$8,2,FALSE),"?"))</f>
        <v/>
      </c>
      <c r="BU339">
        <f>IF($R339="","",UPPER(TRIM(LEFT($R339&amp;",",FIND(",",$R339&amp;",")-1))))</f>
        <v/>
      </c>
      <c r="BV339">
        <f>IF($BU339="","",MID($BU339,4,FIND("~",SUBSTITUTE($BU339,"-","~",2))-4))</f>
        <v/>
      </c>
      <c r="BW339">
        <f>IF($BU339="","",MID($BU339,FIND("~",SUBSTITUTE($BU339,"-","~",2))+1,FIND("~",SUBSTITUTE($BU339,"-","~",3))-FIND("~",SUBSTITUTE($BU339,"-","~",2))-1))</f>
        <v/>
      </c>
      <c r="BX339">
        <f>IF($BV339="","",IFERROR(VLOOKUP($BV339,DECODE!$A$3:$C$8,3,FALSE),"?"))</f>
        <v/>
      </c>
      <c r="BY339">
        <f>IF($BW339="","",IFERROR(VLOOKUP($BV339&amp;"-"&amp;$BW339,DECODE!$E$3:$F$21,2,FALSE),"?"))</f>
        <v/>
      </c>
      <c r="BZ339">
        <f>IF($BU339="","",IFERROR(VALUE(RIGHT($BU339,3)),""))</f>
        <v/>
      </c>
      <c r="CA339">
        <f>IF($X339="","",IFERROR(IF(ISNUMBER($X339),$X339,DATEVALUE(TRIM($X339))),""))</f>
        <v/>
      </c>
      <c r="CB339">
        <f>IF($CA339="","",IF(MONTH($CA339)&gt;=12,"Cold Winter",IF(MONTH($CA339)&gt;=10,"Post-Monsoon",IF(MONTH($CA339)&gt;=6,"Hot Humid",IF(MONTH($CA339)&gt;=3,"Hot Dry","Cold Winter")))))</f>
        <v/>
      </c>
      <c r="CC339">
        <f>IF($BV339="","",IFERROR(VLOOKUP($BV339,DECODE!$A$3:$C$8,2,FALSE),"?"))</f>
        <v/>
      </c>
      <c r="CD339">
        <f>IF($S339="","",UPPER(TRIM(LEFT($S339&amp;",",FIND(",",$S339&amp;",")-1))))</f>
        <v/>
      </c>
      <c r="CE339">
        <f>IF($CD339="","",MID($CD339,4,FIND("~",SUBSTITUTE($CD339,"-","~",2))-4))</f>
        <v/>
      </c>
      <c r="CF339">
        <f>IF($CD339="","",MID($CD339,FIND("~",SUBSTITUTE($CD339,"-","~",2))+1,FIND("~",SUBSTITUTE($CD339,"-","~",3))-FIND("~",SUBSTITUTE($CD339,"-","~",2))-1))</f>
        <v/>
      </c>
      <c r="CG339">
        <f>IF($CE339="","",IFERROR(VLOOKUP($CE339,DECODE!$A$3:$C$8,3,FALSE),"?"))</f>
        <v/>
      </c>
      <c r="CH339">
        <f>IF($CF339="","",IFERROR(VLOOKUP($CE339&amp;"-"&amp;$CF339,DECODE!$E$3:$F$21,2,FALSE),"?"))</f>
        <v/>
      </c>
      <c r="CI339">
        <f>IF($CD339="","",IFERROR(VALUE(RIGHT($CD339,3)),""))</f>
        <v/>
      </c>
      <c r="CJ339">
        <f>IF($Y339="","",IFERROR(IF(ISNUMBER($Y339),$Y339,DATEVALUE(TRIM($Y339))),""))</f>
        <v/>
      </c>
      <c r="CK339">
        <f>IF($CJ339="","",IF(MONTH($CJ339)&gt;=12,"Cold Winter",IF(MONTH($CJ339)&gt;=10,"Post-Monsoon",IF(MONTH($CJ339)&gt;=6,"Hot Humid",IF(MONTH($CJ339)&gt;=3,"Hot Dry","Cold Winter")))))</f>
        <v/>
      </c>
      <c r="CL339">
        <f>IF($CE339="","",IFERROR(VLOOKUP($CE339,DECODE!$A$3:$C$8,2,FALSE),"?"))</f>
        <v/>
      </c>
      <c r="CM339">
        <f>IF($AN339="","",AN339)</f>
        <v/>
      </c>
      <c r="CN339">
        <f>IF($AO339="","",AO339)</f>
        <v/>
      </c>
      <c r="CO339">
        <f>IF($AP339="","",AP339)</f>
        <v/>
      </c>
      <c r="CP339">
        <f>IF($CM339="","",IF($CM339="Aloe Vera Gel","Aloe Vera Gel "&amp;$CO339&amp;"g",CN339&amp;" "&amp;$CO339&amp;"g"))</f>
        <v/>
      </c>
      <c r="CQ339">
        <f>IF($AT339="",0,1)</f>
        <v/>
      </c>
      <c r="CR339">
        <f>IF($CQ339=0,"",AW339)</f>
        <v/>
      </c>
      <c r="CS339">
        <f>IF($CQ339=0,"",AX339)</f>
        <v/>
      </c>
      <c r="CT339">
        <f>IF($CQ339=0,"",AY339)</f>
        <v/>
      </c>
      <c r="CU339">
        <f>IF($CR339="","",IF($CR339="Aloe Vera Gel","Aloe Vera Gel "&amp;$CT339&amp;"g",CS339&amp;" "&amp;$CT339&amp;"g"))</f>
        <v/>
      </c>
      <c r="CV339">
        <f>IF($CQ339=0,"",IF($CP339=$CU339,"Repeat Exact",IF($CT339&gt;$CO339,"Upsized",IF($CT339&lt;$CO339,"Downsized",IF($CM339&lt;&gt;$CR339,"Lateral","Same Size Diff Variant")))))</f>
        <v/>
      </c>
      <c r="CW339">
        <f>IF($CQ339=0,"",AZ339-AQ339)</f>
        <v/>
      </c>
      <c r="CX339">
        <f>IF($CQ339=0,0,IF(CS339=CN339,1,0))</f>
        <v/>
      </c>
      <c r="CY339">
        <f>IF($CQ339=0,0,IF(CR339=CM339,1,0))</f>
        <v/>
      </c>
      <c r="CZ339">
        <f>IF($A339="","",IF(AND(IF(DASHBOARD!$C$4="All",TRUE,$CM339=DASHBOARD!$C$4),IF(DASHBOARD!$C$6="All",TRUE,$CP339=DASHBOARD!$C$6),IF(DASHBOARD!$C$8="All",TRUE,$AF339&gt;=DASHBOARD!$C$8),IF(DASHBOARD!$C$10="All",TRUE,$AF339&lt;=DASHBOARD!$C$10),IF(DASHBOARD!$C$12="All",TRUE,$AH339=VALUE(DASHBOARD!$C$12)),IF(DASHBOARD!$C$14="All",TRUE,$AJ339=DASHBOARD!$C$14)),1,0))</f>
        <v/>
      </c>
    </row>
    <row r="340">
      <c r="A340" t="n">
        <v>180827</v>
      </c>
      <c r="B340" t="inlineStr">
        <is>
          <t>Face Malai</t>
        </is>
      </c>
      <c r="H340" t="inlineStr">
        <is>
          <t>Cocoa Mogra (Overnight) Face Malai - 30g</t>
        </is>
      </c>
      <c r="N340" t="inlineStr">
        <is>
          <t>FC-DM-NR-030</t>
        </is>
      </c>
      <c r="T340" t="inlineStr">
        <is>
          <t>Mar 31, 2024</t>
        </is>
      </c>
      <c r="AE340" t="inlineStr">
        <is>
          <t>Pune</t>
        </is>
      </c>
      <c r="AF340" t="inlineStr">
        <is>
          <t>2024-03</t>
        </is>
      </c>
      <c r="AG340" t="n">
        <v>3</v>
      </c>
      <c r="AH340" t="n">
        <v>1</v>
      </c>
      <c r="AI340" t="n">
        <v>0</v>
      </c>
      <c r="AJ340">
        <f>IF($AE340="","",IFERROR(VLOOKUP(TRIM($AE340),DECODE!$H$3:$I$60,2,FALSE),"Rest of India"))</f>
        <v/>
      </c>
      <c r="AK340">
        <f>IF($N340="","",UPPER(TRIM(LEFT($N340&amp;",",FIND(",",$N340&amp;",")-1))))</f>
        <v/>
      </c>
      <c r="AL340">
        <f>IF($AK340="","",MID($AK340,4,FIND("~",SUBSTITUTE($AK340,"-","~",2))-4))</f>
        <v/>
      </c>
      <c r="AM340">
        <f>IF($AK340="","",MID($AK340,FIND("~",SUBSTITUTE($AK340,"-","~",2))+1,FIND("~",SUBSTITUTE($AK340,"-","~",3))-FIND("~",SUBSTITUTE($AK340,"-","~",2))-1))</f>
        <v/>
      </c>
      <c r="AN340">
        <f>IF($AL340="","",IFERROR(VLOOKUP($AL340,DECODE!$A$3:$C$8,3,FALSE),"?"))</f>
        <v/>
      </c>
      <c r="AO340">
        <f>IF($AM340="","",IFERROR(VLOOKUP($AL340&amp;"-"&amp;$AM340,DECODE!$E$3:$F$21,2,FALSE),"?"))</f>
        <v/>
      </c>
      <c r="AP340">
        <f>IF($AK340="","",IFERROR(VALUE(RIGHT($AK340,3)),""))</f>
        <v/>
      </c>
      <c r="AQ340">
        <f>IF($T340="","",IFERROR(IF(ISNUMBER($T340),$T340,DATEVALUE(TRIM($T340))),""))</f>
        <v/>
      </c>
      <c r="AR340">
        <f>IF($AQ340="","",IF(MONTH($AQ340)&gt;=12,"Cold Winter",IF(MONTH($AQ340)&gt;=10,"Post-Monsoon",IF(MONTH($AQ340)&gt;=6,"Hot Humid",IF(MONTH($AQ340)&gt;=3,"Hot Dry","Cold Winter")))))</f>
        <v/>
      </c>
      <c r="AS340">
        <f>IF($AL340="","",IFERROR(VLOOKUP($AL340,DECODE!$A$3:$C$8,2,FALSE),"?"))</f>
        <v/>
      </c>
      <c r="AT340">
        <f>IF($O340="","",UPPER(TRIM(LEFT($O340&amp;",",FIND(",",$O340&amp;",")-1))))</f>
        <v/>
      </c>
      <c r="AU340">
        <f>IF($AT340="","",MID($AT340,4,FIND("~",SUBSTITUTE($AT340,"-","~",2))-4))</f>
        <v/>
      </c>
      <c r="AV340">
        <f>IF($AT340="","",MID($AT340,FIND("~",SUBSTITUTE($AT340,"-","~",2))+1,FIND("~",SUBSTITUTE($AT340,"-","~",3))-FIND("~",SUBSTITUTE($AT340,"-","~",2))-1))</f>
        <v/>
      </c>
      <c r="AW340">
        <f>IF($AU340="","",IFERROR(VLOOKUP($AU340,DECODE!$A$3:$C$8,3,FALSE),"?"))</f>
        <v/>
      </c>
      <c r="AX340">
        <f>IF($AV340="","",IFERROR(VLOOKUP($AU340&amp;"-"&amp;$AV340,DECODE!$E$3:$F$21,2,FALSE),"?"))</f>
        <v/>
      </c>
      <c r="AY340">
        <f>IF($AT340="","",IFERROR(VALUE(RIGHT($AT340,3)),""))</f>
        <v/>
      </c>
      <c r="AZ340">
        <f>IF($U340="","",IFERROR(IF(ISNUMBER($U340),$U340,DATEVALUE(TRIM($U340))),""))</f>
        <v/>
      </c>
      <c r="BA340">
        <f>IF($AZ340="","",IF(MONTH($AZ340)&gt;=12,"Cold Winter",IF(MONTH($AZ340)&gt;=10,"Post-Monsoon",IF(MONTH($AZ340)&gt;=6,"Hot Humid",IF(MONTH($AZ340)&gt;=3,"Hot Dry","Cold Winter")))))</f>
        <v/>
      </c>
      <c r="BB340">
        <f>IF($AU340="","",IFERROR(VLOOKUP($AU340,DECODE!$A$3:$C$8,2,FALSE),"?"))</f>
        <v/>
      </c>
      <c r="BC340">
        <f>IF($P340="","",UPPER(TRIM(LEFT($P340&amp;",",FIND(",",$P340&amp;",")-1))))</f>
        <v/>
      </c>
      <c r="BD340">
        <f>IF($BC340="","",MID($BC340,4,FIND("~",SUBSTITUTE($BC340,"-","~",2))-4))</f>
        <v/>
      </c>
      <c r="BE340">
        <f>IF($BC340="","",MID($BC340,FIND("~",SUBSTITUTE($BC340,"-","~",2))+1,FIND("~",SUBSTITUTE($BC340,"-","~",3))-FIND("~",SUBSTITUTE($BC340,"-","~",2))-1))</f>
        <v/>
      </c>
      <c r="BF340">
        <f>IF($BD340="","",IFERROR(VLOOKUP($BD340,DECODE!$A$3:$C$8,3,FALSE),"?"))</f>
        <v/>
      </c>
      <c r="BG340">
        <f>IF($BE340="","",IFERROR(VLOOKUP($BD340&amp;"-"&amp;$BE340,DECODE!$E$3:$F$21,2,FALSE),"?"))</f>
        <v/>
      </c>
      <c r="BH340">
        <f>IF($BC340="","",IFERROR(VALUE(RIGHT($BC340,3)),""))</f>
        <v/>
      </c>
      <c r="BI340">
        <f>IF($V340="","",IFERROR(IF(ISNUMBER($V340),$V340,DATEVALUE(TRIM($V340))),""))</f>
        <v/>
      </c>
      <c r="BJ340">
        <f>IF($BI340="","",IF(MONTH($BI340)&gt;=12,"Cold Winter",IF(MONTH($BI340)&gt;=10,"Post-Monsoon",IF(MONTH($BI340)&gt;=6,"Hot Humid",IF(MONTH($BI340)&gt;=3,"Hot Dry","Cold Winter")))))</f>
        <v/>
      </c>
      <c r="BK340">
        <f>IF($BD340="","",IFERROR(VLOOKUP($BD340,DECODE!$A$3:$C$8,2,FALSE),"?"))</f>
        <v/>
      </c>
      <c r="BL340">
        <f>IF($Q340="","",UPPER(TRIM(LEFT($Q340&amp;",",FIND(",",$Q340&amp;",")-1))))</f>
        <v/>
      </c>
      <c r="BM340">
        <f>IF($BL340="","",MID($BL340,4,FIND("~",SUBSTITUTE($BL340,"-","~",2))-4))</f>
        <v/>
      </c>
      <c r="BN340">
        <f>IF($BL340="","",MID($BL340,FIND("~",SUBSTITUTE($BL340,"-","~",2))+1,FIND("~",SUBSTITUTE($BL340,"-","~",3))-FIND("~",SUBSTITUTE($BL340,"-","~",2))-1))</f>
        <v/>
      </c>
      <c r="BO340">
        <f>IF($BM340="","",IFERROR(VLOOKUP($BM340,DECODE!$A$3:$C$8,3,FALSE),"?"))</f>
        <v/>
      </c>
      <c r="BP340">
        <f>IF($BN340="","",IFERROR(VLOOKUP($BM340&amp;"-"&amp;$BN340,DECODE!$E$3:$F$21,2,FALSE),"?"))</f>
        <v/>
      </c>
      <c r="BQ340">
        <f>IF($BL340="","",IFERROR(VALUE(RIGHT($BL340,3)),""))</f>
        <v/>
      </c>
      <c r="BR340">
        <f>IF($W340="","",IFERROR(IF(ISNUMBER($W340),$W340,DATEVALUE(TRIM($W340))),""))</f>
        <v/>
      </c>
      <c r="BS340">
        <f>IF($BR340="","",IF(MONTH($BR340)&gt;=12,"Cold Winter",IF(MONTH($BR340)&gt;=10,"Post-Monsoon",IF(MONTH($BR340)&gt;=6,"Hot Humid",IF(MONTH($BR340)&gt;=3,"Hot Dry","Cold Winter")))))</f>
        <v/>
      </c>
      <c r="BT340">
        <f>IF($BM340="","",IFERROR(VLOOKUP($BM340,DECODE!$A$3:$C$8,2,FALSE),"?"))</f>
        <v/>
      </c>
      <c r="BU340">
        <f>IF($R340="","",UPPER(TRIM(LEFT($R340&amp;",",FIND(",",$R340&amp;",")-1))))</f>
        <v/>
      </c>
      <c r="BV340">
        <f>IF($BU340="","",MID($BU340,4,FIND("~",SUBSTITUTE($BU340,"-","~",2))-4))</f>
        <v/>
      </c>
      <c r="BW340">
        <f>IF($BU340="","",MID($BU340,FIND("~",SUBSTITUTE($BU340,"-","~",2))+1,FIND("~",SUBSTITUTE($BU340,"-","~",3))-FIND("~",SUBSTITUTE($BU340,"-","~",2))-1))</f>
        <v/>
      </c>
      <c r="BX340">
        <f>IF($BV340="","",IFERROR(VLOOKUP($BV340,DECODE!$A$3:$C$8,3,FALSE),"?"))</f>
        <v/>
      </c>
      <c r="BY340">
        <f>IF($BW340="","",IFERROR(VLOOKUP($BV340&amp;"-"&amp;$BW340,DECODE!$E$3:$F$21,2,FALSE),"?"))</f>
        <v/>
      </c>
      <c r="BZ340">
        <f>IF($BU340="","",IFERROR(VALUE(RIGHT($BU340,3)),""))</f>
        <v/>
      </c>
      <c r="CA340">
        <f>IF($X340="","",IFERROR(IF(ISNUMBER($X340),$X340,DATEVALUE(TRIM($X340))),""))</f>
        <v/>
      </c>
      <c r="CB340">
        <f>IF($CA340="","",IF(MONTH($CA340)&gt;=12,"Cold Winter",IF(MONTH($CA340)&gt;=10,"Post-Monsoon",IF(MONTH($CA340)&gt;=6,"Hot Humid",IF(MONTH($CA340)&gt;=3,"Hot Dry","Cold Winter")))))</f>
        <v/>
      </c>
      <c r="CC340">
        <f>IF($BV340="","",IFERROR(VLOOKUP($BV340,DECODE!$A$3:$C$8,2,FALSE),"?"))</f>
        <v/>
      </c>
      <c r="CD340">
        <f>IF($S340="","",UPPER(TRIM(LEFT($S340&amp;",",FIND(",",$S340&amp;",")-1))))</f>
        <v/>
      </c>
      <c r="CE340">
        <f>IF($CD340="","",MID($CD340,4,FIND("~",SUBSTITUTE($CD340,"-","~",2))-4))</f>
        <v/>
      </c>
      <c r="CF340">
        <f>IF($CD340="","",MID($CD340,FIND("~",SUBSTITUTE($CD340,"-","~",2))+1,FIND("~",SUBSTITUTE($CD340,"-","~",3))-FIND("~",SUBSTITUTE($CD340,"-","~",2))-1))</f>
        <v/>
      </c>
      <c r="CG340">
        <f>IF($CE340="","",IFERROR(VLOOKUP($CE340,DECODE!$A$3:$C$8,3,FALSE),"?"))</f>
        <v/>
      </c>
      <c r="CH340">
        <f>IF($CF340="","",IFERROR(VLOOKUP($CE340&amp;"-"&amp;$CF340,DECODE!$E$3:$F$21,2,FALSE),"?"))</f>
        <v/>
      </c>
      <c r="CI340">
        <f>IF($CD340="","",IFERROR(VALUE(RIGHT($CD340,3)),""))</f>
        <v/>
      </c>
      <c r="CJ340">
        <f>IF($Y340="","",IFERROR(IF(ISNUMBER($Y340),$Y340,DATEVALUE(TRIM($Y340))),""))</f>
        <v/>
      </c>
      <c r="CK340">
        <f>IF($CJ340="","",IF(MONTH($CJ340)&gt;=12,"Cold Winter",IF(MONTH($CJ340)&gt;=10,"Post-Monsoon",IF(MONTH($CJ340)&gt;=6,"Hot Humid",IF(MONTH($CJ340)&gt;=3,"Hot Dry","Cold Winter")))))</f>
        <v/>
      </c>
      <c r="CL340">
        <f>IF($CE340="","",IFERROR(VLOOKUP($CE340,DECODE!$A$3:$C$8,2,FALSE),"?"))</f>
        <v/>
      </c>
      <c r="CM340">
        <f>IF($AN340="","",AN340)</f>
        <v/>
      </c>
      <c r="CN340">
        <f>IF($AO340="","",AO340)</f>
        <v/>
      </c>
      <c r="CO340">
        <f>IF($AP340="","",AP340)</f>
        <v/>
      </c>
      <c r="CP340">
        <f>IF($CM340="","",IF($CM340="Aloe Vera Gel","Aloe Vera Gel "&amp;$CO340&amp;"g",CN340&amp;" "&amp;$CO340&amp;"g"))</f>
        <v/>
      </c>
      <c r="CQ340">
        <f>IF($AT340="",0,1)</f>
        <v/>
      </c>
      <c r="CR340">
        <f>IF($CQ340=0,"",AW340)</f>
        <v/>
      </c>
      <c r="CS340">
        <f>IF($CQ340=0,"",AX340)</f>
        <v/>
      </c>
      <c r="CT340">
        <f>IF($CQ340=0,"",AY340)</f>
        <v/>
      </c>
      <c r="CU340">
        <f>IF($CR340="","",IF($CR340="Aloe Vera Gel","Aloe Vera Gel "&amp;$CT340&amp;"g",CS340&amp;" "&amp;$CT340&amp;"g"))</f>
        <v/>
      </c>
      <c r="CV340">
        <f>IF($CQ340=0,"",IF($CP340=$CU340,"Repeat Exact",IF($CT340&gt;$CO340,"Upsized",IF($CT340&lt;$CO340,"Downsized",IF($CM340&lt;&gt;$CR340,"Lateral","Same Size Diff Variant")))))</f>
        <v/>
      </c>
      <c r="CW340">
        <f>IF($CQ340=0,"",AZ340-AQ340)</f>
        <v/>
      </c>
      <c r="CX340">
        <f>IF($CQ340=0,0,IF(CS340=CN340,1,0))</f>
        <v/>
      </c>
      <c r="CY340">
        <f>IF($CQ340=0,0,IF(CR340=CM340,1,0))</f>
        <v/>
      </c>
      <c r="CZ340">
        <f>IF($A340="","",IF(AND(IF(DASHBOARD!$C$4="All",TRUE,$CM340=DASHBOARD!$C$4),IF(DASHBOARD!$C$6="All",TRUE,$CP340=DASHBOARD!$C$6),IF(DASHBOARD!$C$8="All",TRUE,$AF340&gt;=DASHBOARD!$C$8),IF(DASHBOARD!$C$10="All",TRUE,$AF340&lt;=DASHBOARD!$C$10),IF(DASHBOARD!$C$12="All",TRUE,$AH340=VALUE(DASHBOARD!$C$12)),IF(DASHBOARD!$C$14="All",TRUE,$AJ340=DASHBOARD!$C$14)),1,0))</f>
        <v/>
      </c>
    </row>
    <row r="341">
      <c r="A341" t="n">
        <v>181133</v>
      </c>
      <c r="B341" t="inlineStr">
        <is>
          <t>Active Gel, Face Malai</t>
        </is>
      </c>
      <c r="H341" t="inlineStr">
        <is>
          <t>Turmeric Nutmeg (Pigmentation)  Face Malai - 30g, Active Olive Vit-E Night Gel</t>
        </is>
      </c>
      <c r="N341" t="inlineStr">
        <is>
          <t>FC-AC-OV-050, FC-DM-PG-030</t>
        </is>
      </c>
      <c r="T341" t="inlineStr">
        <is>
          <t>Dec 21, 2024</t>
        </is>
      </c>
      <c r="AE341" t="inlineStr">
        <is>
          <t>Ludhiana</t>
        </is>
      </c>
      <c r="AF341" t="inlineStr">
        <is>
          <t>2024-12</t>
        </is>
      </c>
      <c r="AG341" t="n">
        <v>12</v>
      </c>
      <c r="AH341" t="n">
        <v>1</v>
      </c>
      <c r="AI341" t="n">
        <v>0</v>
      </c>
      <c r="AJ341">
        <f>IF($AE341="","",IFERROR(VLOOKUP(TRIM($AE341),DECODE!$H$3:$I$60,2,FALSE),"Rest of India"))</f>
        <v/>
      </c>
      <c r="AK341">
        <f>IF($N341="","",UPPER(TRIM(LEFT($N341&amp;",",FIND(",",$N341&amp;",")-1))))</f>
        <v/>
      </c>
      <c r="AL341">
        <f>IF($AK341="","",MID($AK341,4,FIND("~",SUBSTITUTE($AK341,"-","~",2))-4))</f>
        <v/>
      </c>
      <c r="AM341">
        <f>IF($AK341="","",MID($AK341,FIND("~",SUBSTITUTE($AK341,"-","~",2))+1,FIND("~",SUBSTITUTE($AK341,"-","~",3))-FIND("~",SUBSTITUTE($AK341,"-","~",2))-1))</f>
        <v/>
      </c>
      <c r="AN341">
        <f>IF($AL341="","",IFERROR(VLOOKUP($AL341,DECODE!$A$3:$C$8,3,FALSE),"?"))</f>
        <v/>
      </c>
      <c r="AO341">
        <f>IF($AM341="","",IFERROR(VLOOKUP($AL341&amp;"-"&amp;$AM341,DECODE!$E$3:$F$21,2,FALSE),"?"))</f>
        <v/>
      </c>
      <c r="AP341">
        <f>IF($AK341="","",IFERROR(VALUE(RIGHT($AK341,3)),""))</f>
        <v/>
      </c>
      <c r="AQ341">
        <f>IF($T341="","",IFERROR(IF(ISNUMBER($T341),$T341,DATEVALUE(TRIM($T341))),""))</f>
        <v/>
      </c>
      <c r="AR341">
        <f>IF($AQ341="","",IF(MONTH($AQ341)&gt;=12,"Cold Winter",IF(MONTH($AQ341)&gt;=10,"Post-Monsoon",IF(MONTH($AQ341)&gt;=6,"Hot Humid",IF(MONTH($AQ341)&gt;=3,"Hot Dry","Cold Winter")))))</f>
        <v/>
      </c>
      <c r="AS341">
        <f>IF($AL341="","",IFERROR(VLOOKUP($AL341,DECODE!$A$3:$C$8,2,FALSE),"?"))</f>
        <v/>
      </c>
      <c r="AT341">
        <f>IF($O341="","",UPPER(TRIM(LEFT($O341&amp;",",FIND(",",$O341&amp;",")-1))))</f>
        <v/>
      </c>
      <c r="AU341">
        <f>IF($AT341="","",MID($AT341,4,FIND("~",SUBSTITUTE($AT341,"-","~",2))-4))</f>
        <v/>
      </c>
      <c r="AV341">
        <f>IF($AT341="","",MID($AT341,FIND("~",SUBSTITUTE($AT341,"-","~",2))+1,FIND("~",SUBSTITUTE($AT341,"-","~",3))-FIND("~",SUBSTITUTE($AT341,"-","~",2))-1))</f>
        <v/>
      </c>
      <c r="AW341">
        <f>IF($AU341="","",IFERROR(VLOOKUP($AU341,DECODE!$A$3:$C$8,3,FALSE),"?"))</f>
        <v/>
      </c>
      <c r="AX341">
        <f>IF($AV341="","",IFERROR(VLOOKUP($AU341&amp;"-"&amp;$AV341,DECODE!$E$3:$F$21,2,FALSE),"?"))</f>
        <v/>
      </c>
      <c r="AY341">
        <f>IF($AT341="","",IFERROR(VALUE(RIGHT($AT341,3)),""))</f>
        <v/>
      </c>
      <c r="AZ341">
        <f>IF($U341="","",IFERROR(IF(ISNUMBER($U341),$U341,DATEVALUE(TRIM($U341))),""))</f>
        <v/>
      </c>
      <c r="BA341">
        <f>IF($AZ341="","",IF(MONTH($AZ341)&gt;=12,"Cold Winter",IF(MONTH($AZ341)&gt;=10,"Post-Monsoon",IF(MONTH($AZ341)&gt;=6,"Hot Humid",IF(MONTH($AZ341)&gt;=3,"Hot Dry","Cold Winter")))))</f>
        <v/>
      </c>
      <c r="BB341">
        <f>IF($AU341="","",IFERROR(VLOOKUP($AU341,DECODE!$A$3:$C$8,2,FALSE),"?"))</f>
        <v/>
      </c>
      <c r="BC341">
        <f>IF($P341="","",UPPER(TRIM(LEFT($P341&amp;",",FIND(",",$P341&amp;",")-1))))</f>
        <v/>
      </c>
      <c r="BD341">
        <f>IF($BC341="","",MID($BC341,4,FIND("~",SUBSTITUTE($BC341,"-","~",2))-4))</f>
        <v/>
      </c>
      <c r="BE341">
        <f>IF($BC341="","",MID($BC341,FIND("~",SUBSTITUTE($BC341,"-","~",2))+1,FIND("~",SUBSTITUTE($BC341,"-","~",3))-FIND("~",SUBSTITUTE($BC341,"-","~",2))-1))</f>
        <v/>
      </c>
      <c r="BF341">
        <f>IF($BD341="","",IFERROR(VLOOKUP($BD341,DECODE!$A$3:$C$8,3,FALSE),"?"))</f>
        <v/>
      </c>
      <c r="BG341">
        <f>IF($BE341="","",IFERROR(VLOOKUP($BD341&amp;"-"&amp;$BE341,DECODE!$E$3:$F$21,2,FALSE),"?"))</f>
        <v/>
      </c>
      <c r="BH341">
        <f>IF($BC341="","",IFERROR(VALUE(RIGHT($BC341,3)),""))</f>
        <v/>
      </c>
      <c r="BI341">
        <f>IF($V341="","",IFERROR(IF(ISNUMBER($V341),$V341,DATEVALUE(TRIM($V341))),""))</f>
        <v/>
      </c>
      <c r="BJ341">
        <f>IF($BI341="","",IF(MONTH($BI341)&gt;=12,"Cold Winter",IF(MONTH($BI341)&gt;=10,"Post-Monsoon",IF(MONTH($BI341)&gt;=6,"Hot Humid",IF(MONTH($BI341)&gt;=3,"Hot Dry","Cold Winter")))))</f>
        <v/>
      </c>
      <c r="BK341">
        <f>IF($BD341="","",IFERROR(VLOOKUP($BD341,DECODE!$A$3:$C$8,2,FALSE),"?"))</f>
        <v/>
      </c>
      <c r="BL341">
        <f>IF($Q341="","",UPPER(TRIM(LEFT($Q341&amp;",",FIND(",",$Q341&amp;",")-1))))</f>
        <v/>
      </c>
      <c r="BM341">
        <f>IF($BL341="","",MID($BL341,4,FIND("~",SUBSTITUTE($BL341,"-","~",2))-4))</f>
        <v/>
      </c>
      <c r="BN341">
        <f>IF($BL341="","",MID($BL341,FIND("~",SUBSTITUTE($BL341,"-","~",2))+1,FIND("~",SUBSTITUTE($BL341,"-","~",3))-FIND("~",SUBSTITUTE($BL341,"-","~",2))-1))</f>
        <v/>
      </c>
      <c r="BO341">
        <f>IF($BM341="","",IFERROR(VLOOKUP($BM341,DECODE!$A$3:$C$8,3,FALSE),"?"))</f>
        <v/>
      </c>
      <c r="BP341">
        <f>IF($BN341="","",IFERROR(VLOOKUP($BM341&amp;"-"&amp;$BN341,DECODE!$E$3:$F$21,2,FALSE),"?"))</f>
        <v/>
      </c>
      <c r="BQ341">
        <f>IF($BL341="","",IFERROR(VALUE(RIGHT($BL341,3)),""))</f>
        <v/>
      </c>
      <c r="BR341">
        <f>IF($W341="","",IFERROR(IF(ISNUMBER($W341),$W341,DATEVALUE(TRIM($W341))),""))</f>
        <v/>
      </c>
      <c r="BS341">
        <f>IF($BR341="","",IF(MONTH($BR341)&gt;=12,"Cold Winter",IF(MONTH($BR341)&gt;=10,"Post-Monsoon",IF(MONTH($BR341)&gt;=6,"Hot Humid",IF(MONTH($BR341)&gt;=3,"Hot Dry","Cold Winter")))))</f>
        <v/>
      </c>
      <c r="BT341">
        <f>IF($BM341="","",IFERROR(VLOOKUP($BM341,DECODE!$A$3:$C$8,2,FALSE),"?"))</f>
        <v/>
      </c>
      <c r="BU341">
        <f>IF($R341="","",UPPER(TRIM(LEFT($R341&amp;",",FIND(",",$R341&amp;",")-1))))</f>
        <v/>
      </c>
      <c r="BV341">
        <f>IF($BU341="","",MID($BU341,4,FIND("~",SUBSTITUTE($BU341,"-","~",2))-4))</f>
        <v/>
      </c>
      <c r="BW341">
        <f>IF($BU341="","",MID($BU341,FIND("~",SUBSTITUTE($BU341,"-","~",2))+1,FIND("~",SUBSTITUTE($BU341,"-","~",3))-FIND("~",SUBSTITUTE($BU341,"-","~",2))-1))</f>
        <v/>
      </c>
      <c r="BX341">
        <f>IF($BV341="","",IFERROR(VLOOKUP($BV341,DECODE!$A$3:$C$8,3,FALSE),"?"))</f>
        <v/>
      </c>
      <c r="BY341">
        <f>IF($BW341="","",IFERROR(VLOOKUP($BV341&amp;"-"&amp;$BW341,DECODE!$E$3:$F$21,2,FALSE),"?"))</f>
        <v/>
      </c>
      <c r="BZ341">
        <f>IF($BU341="","",IFERROR(VALUE(RIGHT($BU341,3)),""))</f>
        <v/>
      </c>
      <c r="CA341">
        <f>IF($X341="","",IFERROR(IF(ISNUMBER($X341),$X341,DATEVALUE(TRIM($X341))),""))</f>
        <v/>
      </c>
      <c r="CB341">
        <f>IF($CA341="","",IF(MONTH($CA341)&gt;=12,"Cold Winter",IF(MONTH($CA341)&gt;=10,"Post-Monsoon",IF(MONTH($CA341)&gt;=6,"Hot Humid",IF(MONTH($CA341)&gt;=3,"Hot Dry","Cold Winter")))))</f>
        <v/>
      </c>
      <c r="CC341">
        <f>IF($BV341="","",IFERROR(VLOOKUP($BV341,DECODE!$A$3:$C$8,2,FALSE),"?"))</f>
        <v/>
      </c>
      <c r="CD341">
        <f>IF($S341="","",UPPER(TRIM(LEFT($S341&amp;",",FIND(",",$S341&amp;",")-1))))</f>
        <v/>
      </c>
      <c r="CE341">
        <f>IF($CD341="","",MID($CD341,4,FIND("~",SUBSTITUTE($CD341,"-","~",2))-4))</f>
        <v/>
      </c>
      <c r="CF341">
        <f>IF($CD341="","",MID($CD341,FIND("~",SUBSTITUTE($CD341,"-","~",2))+1,FIND("~",SUBSTITUTE($CD341,"-","~",3))-FIND("~",SUBSTITUTE($CD341,"-","~",2))-1))</f>
        <v/>
      </c>
      <c r="CG341">
        <f>IF($CE341="","",IFERROR(VLOOKUP($CE341,DECODE!$A$3:$C$8,3,FALSE),"?"))</f>
        <v/>
      </c>
      <c r="CH341">
        <f>IF($CF341="","",IFERROR(VLOOKUP($CE341&amp;"-"&amp;$CF341,DECODE!$E$3:$F$21,2,FALSE),"?"))</f>
        <v/>
      </c>
      <c r="CI341">
        <f>IF($CD341="","",IFERROR(VALUE(RIGHT($CD341,3)),""))</f>
        <v/>
      </c>
      <c r="CJ341">
        <f>IF($Y341="","",IFERROR(IF(ISNUMBER($Y341),$Y341,DATEVALUE(TRIM($Y341))),""))</f>
        <v/>
      </c>
      <c r="CK341">
        <f>IF($CJ341="","",IF(MONTH($CJ341)&gt;=12,"Cold Winter",IF(MONTH($CJ341)&gt;=10,"Post-Monsoon",IF(MONTH($CJ341)&gt;=6,"Hot Humid",IF(MONTH($CJ341)&gt;=3,"Hot Dry","Cold Winter")))))</f>
        <v/>
      </c>
      <c r="CL341">
        <f>IF($CE341="","",IFERROR(VLOOKUP($CE341,DECODE!$A$3:$C$8,2,FALSE),"?"))</f>
        <v/>
      </c>
      <c r="CM341">
        <f>IF($AN341="","",AN341)</f>
        <v/>
      </c>
      <c r="CN341">
        <f>IF($AO341="","",AO341)</f>
        <v/>
      </c>
      <c r="CO341">
        <f>IF($AP341="","",AP341)</f>
        <v/>
      </c>
      <c r="CP341">
        <f>IF($CM341="","",IF($CM341="Aloe Vera Gel","Aloe Vera Gel "&amp;$CO341&amp;"g",CN341&amp;" "&amp;$CO341&amp;"g"))</f>
        <v/>
      </c>
      <c r="CQ341">
        <f>IF($AT341="",0,1)</f>
        <v/>
      </c>
      <c r="CR341">
        <f>IF($CQ341=0,"",AW341)</f>
        <v/>
      </c>
      <c r="CS341">
        <f>IF($CQ341=0,"",AX341)</f>
        <v/>
      </c>
      <c r="CT341">
        <f>IF($CQ341=0,"",AY341)</f>
        <v/>
      </c>
      <c r="CU341">
        <f>IF($CR341="","",IF($CR341="Aloe Vera Gel","Aloe Vera Gel "&amp;$CT341&amp;"g",CS341&amp;" "&amp;$CT341&amp;"g"))</f>
        <v/>
      </c>
      <c r="CV341">
        <f>IF($CQ341=0,"",IF($CP341=$CU341,"Repeat Exact",IF($CT341&gt;$CO341,"Upsized",IF($CT341&lt;$CO341,"Downsized",IF($CM341&lt;&gt;$CR341,"Lateral","Same Size Diff Variant")))))</f>
        <v/>
      </c>
      <c r="CW341">
        <f>IF($CQ341=0,"",AZ341-AQ341)</f>
        <v/>
      </c>
      <c r="CX341">
        <f>IF($CQ341=0,0,IF(CS341=CN341,1,0))</f>
        <v/>
      </c>
      <c r="CY341">
        <f>IF($CQ341=0,0,IF(CR341=CM341,1,0))</f>
        <v/>
      </c>
      <c r="CZ341">
        <f>IF($A341="","",IF(AND(IF(DASHBOARD!$C$4="All",TRUE,$CM341=DASHBOARD!$C$4),IF(DASHBOARD!$C$6="All",TRUE,$CP341=DASHBOARD!$C$6),IF(DASHBOARD!$C$8="All",TRUE,$AF341&gt;=DASHBOARD!$C$8),IF(DASHBOARD!$C$10="All",TRUE,$AF341&lt;=DASHBOARD!$C$10),IF(DASHBOARD!$C$12="All",TRUE,$AH341=VALUE(DASHBOARD!$C$12)),IF(DASHBOARD!$C$14="All",TRUE,$AJ341=DASHBOARD!$C$14)),1,0))</f>
        <v/>
      </c>
    </row>
    <row r="342">
      <c r="A342" t="n">
        <v>181208</v>
      </c>
      <c r="B342" t="inlineStr">
        <is>
          <t>Aloe Vera Gel</t>
        </is>
      </c>
      <c r="H342" t="inlineStr">
        <is>
          <t>Aloe Vera Gel - 40 gms</t>
        </is>
      </c>
      <c r="N342" t="inlineStr">
        <is>
          <t>FC-HG-PA-040</t>
        </is>
      </c>
      <c r="T342" t="inlineStr">
        <is>
          <t>Jun 4, 2024</t>
        </is>
      </c>
      <c r="AE342" t="inlineStr">
        <is>
          <t>Etah</t>
        </is>
      </c>
      <c r="AF342" t="inlineStr">
        <is>
          <t>2024-06</t>
        </is>
      </c>
      <c r="AG342" t="n">
        <v>6</v>
      </c>
      <c r="AH342" t="n">
        <v>1</v>
      </c>
      <c r="AI342" t="n">
        <v>0</v>
      </c>
      <c r="AJ342">
        <f>IF($AE342="","",IFERROR(VLOOKUP(TRIM($AE342),DECODE!$H$3:$I$60,2,FALSE),"Rest of India"))</f>
        <v/>
      </c>
      <c r="AK342">
        <f>IF($N342="","",UPPER(TRIM(LEFT($N342&amp;",",FIND(",",$N342&amp;",")-1))))</f>
        <v/>
      </c>
      <c r="AL342">
        <f>IF($AK342="","",MID($AK342,4,FIND("~",SUBSTITUTE($AK342,"-","~",2))-4))</f>
        <v/>
      </c>
      <c r="AM342">
        <f>IF($AK342="","",MID($AK342,FIND("~",SUBSTITUTE($AK342,"-","~",2))+1,FIND("~",SUBSTITUTE($AK342,"-","~",3))-FIND("~",SUBSTITUTE($AK342,"-","~",2))-1))</f>
        <v/>
      </c>
      <c r="AN342">
        <f>IF($AL342="","",IFERROR(VLOOKUP($AL342,DECODE!$A$3:$C$8,3,FALSE),"?"))</f>
        <v/>
      </c>
      <c r="AO342">
        <f>IF($AM342="","",IFERROR(VLOOKUP($AL342&amp;"-"&amp;$AM342,DECODE!$E$3:$F$21,2,FALSE),"?"))</f>
        <v/>
      </c>
      <c r="AP342">
        <f>IF($AK342="","",IFERROR(VALUE(RIGHT($AK342,3)),""))</f>
        <v/>
      </c>
      <c r="AQ342">
        <f>IF($T342="","",IFERROR(IF(ISNUMBER($T342),$T342,DATEVALUE(TRIM($T342))),""))</f>
        <v/>
      </c>
      <c r="AR342">
        <f>IF($AQ342="","",IF(MONTH($AQ342)&gt;=12,"Cold Winter",IF(MONTH($AQ342)&gt;=10,"Post-Monsoon",IF(MONTH($AQ342)&gt;=6,"Hot Humid",IF(MONTH($AQ342)&gt;=3,"Hot Dry","Cold Winter")))))</f>
        <v/>
      </c>
      <c r="AS342">
        <f>IF($AL342="","",IFERROR(VLOOKUP($AL342,DECODE!$A$3:$C$8,2,FALSE),"?"))</f>
        <v/>
      </c>
      <c r="AT342">
        <f>IF($O342="","",UPPER(TRIM(LEFT($O342&amp;",",FIND(",",$O342&amp;",")-1))))</f>
        <v/>
      </c>
      <c r="AU342">
        <f>IF($AT342="","",MID($AT342,4,FIND("~",SUBSTITUTE($AT342,"-","~",2))-4))</f>
        <v/>
      </c>
      <c r="AV342">
        <f>IF($AT342="","",MID($AT342,FIND("~",SUBSTITUTE($AT342,"-","~",2))+1,FIND("~",SUBSTITUTE($AT342,"-","~",3))-FIND("~",SUBSTITUTE($AT342,"-","~",2))-1))</f>
        <v/>
      </c>
      <c r="AW342">
        <f>IF($AU342="","",IFERROR(VLOOKUP($AU342,DECODE!$A$3:$C$8,3,FALSE),"?"))</f>
        <v/>
      </c>
      <c r="AX342">
        <f>IF($AV342="","",IFERROR(VLOOKUP($AU342&amp;"-"&amp;$AV342,DECODE!$E$3:$F$21,2,FALSE),"?"))</f>
        <v/>
      </c>
      <c r="AY342">
        <f>IF($AT342="","",IFERROR(VALUE(RIGHT($AT342,3)),""))</f>
        <v/>
      </c>
      <c r="AZ342">
        <f>IF($U342="","",IFERROR(IF(ISNUMBER($U342),$U342,DATEVALUE(TRIM($U342))),""))</f>
        <v/>
      </c>
      <c r="BA342">
        <f>IF($AZ342="","",IF(MONTH($AZ342)&gt;=12,"Cold Winter",IF(MONTH($AZ342)&gt;=10,"Post-Monsoon",IF(MONTH($AZ342)&gt;=6,"Hot Humid",IF(MONTH($AZ342)&gt;=3,"Hot Dry","Cold Winter")))))</f>
        <v/>
      </c>
      <c r="BB342">
        <f>IF($AU342="","",IFERROR(VLOOKUP($AU342,DECODE!$A$3:$C$8,2,FALSE),"?"))</f>
        <v/>
      </c>
      <c r="BC342">
        <f>IF($P342="","",UPPER(TRIM(LEFT($P342&amp;",",FIND(",",$P342&amp;",")-1))))</f>
        <v/>
      </c>
      <c r="BD342">
        <f>IF($BC342="","",MID($BC342,4,FIND("~",SUBSTITUTE($BC342,"-","~",2))-4))</f>
        <v/>
      </c>
      <c r="BE342">
        <f>IF($BC342="","",MID($BC342,FIND("~",SUBSTITUTE($BC342,"-","~",2))+1,FIND("~",SUBSTITUTE($BC342,"-","~",3))-FIND("~",SUBSTITUTE($BC342,"-","~",2))-1))</f>
        <v/>
      </c>
      <c r="BF342">
        <f>IF($BD342="","",IFERROR(VLOOKUP($BD342,DECODE!$A$3:$C$8,3,FALSE),"?"))</f>
        <v/>
      </c>
      <c r="BG342">
        <f>IF($BE342="","",IFERROR(VLOOKUP($BD342&amp;"-"&amp;$BE342,DECODE!$E$3:$F$21,2,FALSE),"?"))</f>
        <v/>
      </c>
      <c r="BH342">
        <f>IF($BC342="","",IFERROR(VALUE(RIGHT($BC342,3)),""))</f>
        <v/>
      </c>
      <c r="BI342">
        <f>IF($V342="","",IFERROR(IF(ISNUMBER($V342),$V342,DATEVALUE(TRIM($V342))),""))</f>
        <v/>
      </c>
      <c r="BJ342">
        <f>IF($BI342="","",IF(MONTH($BI342)&gt;=12,"Cold Winter",IF(MONTH($BI342)&gt;=10,"Post-Monsoon",IF(MONTH($BI342)&gt;=6,"Hot Humid",IF(MONTH($BI342)&gt;=3,"Hot Dry","Cold Winter")))))</f>
        <v/>
      </c>
      <c r="BK342">
        <f>IF($BD342="","",IFERROR(VLOOKUP($BD342,DECODE!$A$3:$C$8,2,FALSE),"?"))</f>
        <v/>
      </c>
      <c r="BL342">
        <f>IF($Q342="","",UPPER(TRIM(LEFT($Q342&amp;",",FIND(",",$Q342&amp;",")-1))))</f>
        <v/>
      </c>
      <c r="BM342">
        <f>IF($BL342="","",MID($BL342,4,FIND("~",SUBSTITUTE($BL342,"-","~",2))-4))</f>
        <v/>
      </c>
      <c r="BN342">
        <f>IF($BL342="","",MID($BL342,FIND("~",SUBSTITUTE($BL342,"-","~",2))+1,FIND("~",SUBSTITUTE($BL342,"-","~",3))-FIND("~",SUBSTITUTE($BL342,"-","~",2))-1))</f>
        <v/>
      </c>
      <c r="BO342">
        <f>IF($BM342="","",IFERROR(VLOOKUP($BM342,DECODE!$A$3:$C$8,3,FALSE),"?"))</f>
        <v/>
      </c>
      <c r="BP342">
        <f>IF($BN342="","",IFERROR(VLOOKUP($BM342&amp;"-"&amp;$BN342,DECODE!$E$3:$F$21,2,FALSE),"?"))</f>
        <v/>
      </c>
      <c r="BQ342">
        <f>IF($BL342="","",IFERROR(VALUE(RIGHT($BL342,3)),""))</f>
        <v/>
      </c>
      <c r="BR342">
        <f>IF($W342="","",IFERROR(IF(ISNUMBER($W342),$W342,DATEVALUE(TRIM($W342))),""))</f>
        <v/>
      </c>
      <c r="BS342">
        <f>IF($BR342="","",IF(MONTH($BR342)&gt;=12,"Cold Winter",IF(MONTH($BR342)&gt;=10,"Post-Monsoon",IF(MONTH($BR342)&gt;=6,"Hot Humid",IF(MONTH($BR342)&gt;=3,"Hot Dry","Cold Winter")))))</f>
        <v/>
      </c>
      <c r="BT342">
        <f>IF($BM342="","",IFERROR(VLOOKUP($BM342,DECODE!$A$3:$C$8,2,FALSE),"?"))</f>
        <v/>
      </c>
      <c r="BU342">
        <f>IF($R342="","",UPPER(TRIM(LEFT($R342&amp;",",FIND(",",$R342&amp;",")-1))))</f>
        <v/>
      </c>
      <c r="BV342">
        <f>IF($BU342="","",MID($BU342,4,FIND("~",SUBSTITUTE($BU342,"-","~",2))-4))</f>
        <v/>
      </c>
      <c r="BW342">
        <f>IF($BU342="","",MID($BU342,FIND("~",SUBSTITUTE($BU342,"-","~",2))+1,FIND("~",SUBSTITUTE($BU342,"-","~",3))-FIND("~",SUBSTITUTE($BU342,"-","~",2))-1))</f>
        <v/>
      </c>
      <c r="BX342">
        <f>IF($BV342="","",IFERROR(VLOOKUP($BV342,DECODE!$A$3:$C$8,3,FALSE),"?"))</f>
        <v/>
      </c>
      <c r="BY342">
        <f>IF($BW342="","",IFERROR(VLOOKUP($BV342&amp;"-"&amp;$BW342,DECODE!$E$3:$F$21,2,FALSE),"?"))</f>
        <v/>
      </c>
      <c r="BZ342">
        <f>IF($BU342="","",IFERROR(VALUE(RIGHT($BU342,3)),""))</f>
        <v/>
      </c>
      <c r="CA342">
        <f>IF($X342="","",IFERROR(IF(ISNUMBER($X342),$X342,DATEVALUE(TRIM($X342))),""))</f>
        <v/>
      </c>
      <c r="CB342">
        <f>IF($CA342="","",IF(MONTH($CA342)&gt;=12,"Cold Winter",IF(MONTH($CA342)&gt;=10,"Post-Monsoon",IF(MONTH($CA342)&gt;=6,"Hot Humid",IF(MONTH($CA342)&gt;=3,"Hot Dry","Cold Winter")))))</f>
        <v/>
      </c>
      <c r="CC342">
        <f>IF($BV342="","",IFERROR(VLOOKUP($BV342,DECODE!$A$3:$C$8,2,FALSE),"?"))</f>
        <v/>
      </c>
      <c r="CD342">
        <f>IF($S342="","",UPPER(TRIM(LEFT($S342&amp;",",FIND(",",$S342&amp;",")-1))))</f>
        <v/>
      </c>
      <c r="CE342">
        <f>IF($CD342="","",MID($CD342,4,FIND("~",SUBSTITUTE($CD342,"-","~",2))-4))</f>
        <v/>
      </c>
      <c r="CF342">
        <f>IF($CD342="","",MID($CD342,FIND("~",SUBSTITUTE($CD342,"-","~",2))+1,FIND("~",SUBSTITUTE($CD342,"-","~",3))-FIND("~",SUBSTITUTE($CD342,"-","~",2))-1))</f>
        <v/>
      </c>
      <c r="CG342">
        <f>IF($CE342="","",IFERROR(VLOOKUP($CE342,DECODE!$A$3:$C$8,3,FALSE),"?"))</f>
        <v/>
      </c>
      <c r="CH342">
        <f>IF($CF342="","",IFERROR(VLOOKUP($CE342&amp;"-"&amp;$CF342,DECODE!$E$3:$F$21,2,FALSE),"?"))</f>
        <v/>
      </c>
      <c r="CI342">
        <f>IF($CD342="","",IFERROR(VALUE(RIGHT($CD342,3)),""))</f>
        <v/>
      </c>
      <c r="CJ342">
        <f>IF($Y342="","",IFERROR(IF(ISNUMBER($Y342),$Y342,DATEVALUE(TRIM($Y342))),""))</f>
        <v/>
      </c>
      <c r="CK342">
        <f>IF($CJ342="","",IF(MONTH($CJ342)&gt;=12,"Cold Winter",IF(MONTH($CJ342)&gt;=10,"Post-Monsoon",IF(MONTH($CJ342)&gt;=6,"Hot Humid",IF(MONTH($CJ342)&gt;=3,"Hot Dry","Cold Winter")))))</f>
        <v/>
      </c>
      <c r="CL342">
        <f>IF($CE342="","",IFERROR(VLOOKUP($CE342,DECODE!$A$3:$C$8,2,FALSE),"?"))</f>
        <v/>
      </c>
      <c r="CM342">
        <f>IF($AN342="","",AN342)</f>
        <v/>
      </c>
      <c r="CN342">
        <f>IF($AO342="","",AO342)</f>
        <v/>
      </c>
      <c r="CO342">
        <f>IF($AP342="","",AP342)</f>
        <v/>
      </c>
      <c r="CP342">
        <f>IF($CM342="","",IF($CM342="Aloe Vera Gel","Aloe Vera Gel "&amp;$CO342&amp;"g",CN342&amp;" "&amp;$CO342&amp;"g"))</f>
        <v/>
      </c>
      <c r="CQ342">
        <f>IF($AT342="",0,1)</f>
        <v/>
      </c>
      <c r="CR342">
        <f>IF($CQ342=0,"",AW342)</f>
        <v/>
      </c>
      <c r="CS342">
        <f>IF($CQ342=0,"",AX342)</f>
        <v/>
      </c>
      <c r="CT342">
        <f>IF($CQ342=0,"",AY342)</f>
        <v/>
      </c>
      <c r="CU342">
        <f>IF($CR342="","",IF($CR342="Aloe Vera Gel","Aloe Vera Gel "&amp;$CT342&amp;"g",CS342&amp;" "&amp;$CT342&amp;"g"))</f>
        <v/>
      </c>
      <c r="CV342">
        <f>IF($CQ342=0,"",IF($CP342=$CU342,"Repeat Exact",IF($CT342&gt;$CO342,"Upsized",IF($CT342&lt;$CO342,"Downsized",IF($CM342&lt;&gt;$CR342,"Lateral","Same Size Diff Variant")))))</f>
        <v/>
      </c>
      <c r="CW342">
        <f>IF($CQ342=0,"",AZ342-AQ342)</f>
        <v/>
      </c>
      <c r="CX342">
        <f>IF($CQ342=0,0,IF(CS342=CN342,1,0))</f>
        <v/>
      </c>
      <c r="CY342">
        <f>IF($CQ342=0,0,IF(CR342=CM342,1,0))</f>
        <v/>
      </c>
      <c r="CZ342">
        <f>IF($A342="","",IF(AND(IF(DASHBOARD!$C$4="All",TRUE,$CM342=DASHBOARD!$C$4),IF(DASHBOARD!$C$6="All",TRUE,$CP342=DASHBOARD!$C$6),IF(DASHBOARD!$C$8="All",TRUE,$AF342&gt;=DASHBOARD!$C$8),IF(DASHBOARD!$C$10="All",TRUE,$AF342&lt;=DASHBOARD!$C$10),IF(DASHBOARD!$C$12="All",TRUE,$AH342=VALUE(DASHBOARD!$C$12)),IF(DASHBOARD!$C$14="All",TRUE,$AJ342=DASHBOARD!$C$14)),1,0))</f>
        <v/>
      </c>
    </row>
    <row r="343">
      <c r="A343" t="n">
        <v>181449</v>
      </c>
      <c r="B343" t="inlineStr">
        <is>
          <t>Aloe Vera Gel</t>
        </is>
      </c>
      <c r="H343" t="inlineStr">
        <is>
          <t>Aloe Vera Gel - 80 gms</t>
        </is>
      </c>
      <c r="N343" t="inlineStr">
        <is>
          <t>FC-HG-PA-080</t>
        </is>
      </c>
      <c r="T343" t="inlineStr">
        <is>
          <t>Jan 28, 2025</t>
        </is>
      </c>
      <c r="AE343" t="inlineStr">
        <is>
          <t>Gautam Buddha Nagar</t>
        </is>
      </c>
      <c r="AF343" t="inlineStr">
        <is>
          <t>2025-01</t>
        </is>
      </c>
      <c r="AG343" t="n">
        <v>1</v>
      </c>
      <c r="AH343" t="n">
        <v>1</v>
      </c>
      <c r="AI343" t="n">
        <v>0</v>
      </c>
      <c r="AJ343">
        <f>IF($AE343="","",IFERROR(VLOOKUP(TRIM($AE343),DECODE!$H$3:$I$60,2,FALSE),"Rest of India"))</f>
        <v/>
      </c>
      <c r="AK343">
        <f>IF($N343="","",UPPER(TRIM(LEFT($N343&amp;",",FIND(",",$N343&amp;",")-1))))</f>
        <v/>
      </c>
      <c r="AL343">
        <f>IF($AK343="","",MID($AK343,4,FIND("~",SUBSTITUTE($AK343,"-","~",2))-4))</f>
        <v/>
      </c>
      <c r="AM343">
        <f>IF($AK343="","",MID($AK343,FIND("~",SUBSTITUTE($AK343,"-","~",2))+1,FIND("~",SUBSTITUTE($AK343,"-","~",3))-FIND("~",SUBSTITUTE($AK343,"-","~",2))-1))</f>
        <v/>
      </c>
      <c r="AN343">
        <f>IF($AL343="","",IFERROR(VLOOKUP($AL343,DECODE!$A$3:$C$8,3,FALSE),"?"))</f>
        <v/>
      </c>
      <c r="AO343">
        <f>IF($AM343="","",IFERROR(VLOOKUP($AL343&amp;"-"&amp;$AM343,DECODE!$E$3:$F$21,2,FALSE),"?"))</f>
        <v/>
      </c>
      <c r="AP343">
        <f>IF($AK343="","",IFERROR(VALUE(RIGHT($AK343,3)),""))</f>
        <v/>
      </c>
      <c r="AQ343">
        <f>IF($T343="","",IFERROR(IF(ISNUMBER($T343),$T343,DATEVALUE(TRIM($T343))),""))</f>
        <v/>
      </c>
      <c r="AR343">
        <f>IF($AQ343="","",IF(MONTH($AQ343)&gt;=12,"Cold Winter",IF(MONTH($AQ343)&gt;=10,"Post-Monsoon",IF(MONTH($AQ343)&gt;=6,"Hot Humid",IF(MONTH($AQ343)&gt;=3,"Hot Dry","Cold Winter")))))</f>
        <v/>
      </c>
      <c r="AS343">
        <f>IF($AL343="","",IFERROR(VLOOKUP($AL343,DECODE!$A$3:$C$8,2,FALSE),"?"))</f>
        <v/>
      </c>
      <c r="AT343">
        <f>IF($O343="","",UPPER(TRIM(LEFT($O343&amp;",",FIND(",",$O343&amp;",")-1))))</f>
        <v/>
      </c>
      <c r="AU343">
        <f>IF($AT343="","",MID($AT343,4,FIND("~",SUBSTITUTE($AT343,"-","~",2))-4))</f>
        <v/>
      </c>
      <c r="AV343">
        <f>IF($AT343="","",MID($AT343,FIND("~",SUBSTITUTE($AT343,"-","~",2))+1,FIND("~",SUBSTITUTE($AT343,"-","~",3))-FIND("~",SUBSTITUTE($AT343,"-","~",2))-1))</f>
        <v/>
      </c>
      <c r="AW343">
        <f>IF($AU343="","",IFERROR(VLOOKUP($AU343,DECODE!$A$3:$C$8,3,FALSE),"?"))</f>
        <v/>
      </c>
      <c r="AX343">
        <f>IF($AV343="","",IFERROR(VLOOKUP($AU343&amp;"-"&amp;$AV343,DECODE!$E$3:$F$21,2,FALSE),"?"))</f>
        <v/>
      </c>
      <c r="AY343">
        <f>IF($AT343="","",IFERROR(VALUE(RIGHT($AT343,3)),""))</f>
        <v/>
      </c>
      <c r="AZ343">
        <f>IF($U343="","",IFERROR(IF(ISNUMBER($U343),$U343,DATEVALUE(TRIM($U343))),""))</f>
        <v/>
      </c>
      <c r="BA343">
        <f>IF($AZ343="","",IF(MONTH($AZ343)&gt;=12,"Cold Winter",IF(MONTH($AZ343)&gt;=10,"Post-Monsoon",IF(MONTH($AZ343)&gt;=6,"Hot Humid",IF(MONTH($AZ343)&gt;=3,"Hot Dry","Cold Winter")))))</f>
        <v/>
      </c>
      <c r="BB343">
        <f>IF($AU343="","",IFERROR(VLOOKUP($AU343,DECODE!$A$3:$C$8,2,FALSE),"?"))</f>
        <v/>
      </c>
      <c r="BC343">
        <f>IF($P343="","",UPPER(TRIM(LEFT($P343&amp;",",FIND(",",$P343&amp;",")-1))))</f>
        <v/>
      </c>
      <c r="BD343">
        <f>IF($BC343="","",MID($BC343,4,FIND("~",SUBSTITUTE($BC343,"-","~",2))-4))</f>
        <v/>
      </c>
      <c r="BE343">
        <f>IF($BC343="","",MID($BC343,FIND("~",SUBSTITUTE($BC343,"-","~",2))+1,FIND("~",SUBSTITUTE($BC343,"-","~",3))-FIND("~",SUBSTITUTE($BC343,"-","~",2))-1))</f>
        <v/>
      </c>
      <c r="BF343">
        <f>IF($BD343="","",IFERROR(VLOOKUP($BD343,DECODE!$A$3:$C$8,3,FALSE),"?"))</f>
        <v/>
      </c>
      <c r="BG343">
        <f>IF($BE343="","",IFERROR(VLOOKUP($BD343&amp;"-"&amp;$BE343,DECODE!$E$3:$F$21,2,FALSE),"?"))</f>
        <v/>
      </c>
      <c r="BH343">
        <f>IF($BC343="","",IFERROR(VALUE(RIGHT($BC343,3)),""))</f>
        <v/>
      </c>
      <c r="BI343">
        <f>IF($V343="","",IFERROR(IF(ISNUMBER($V343),$V343,DATEVALUE(TRIM($V343))),""))</f>
        <v/>
      </c>
      <c r="BJ343">
        <f>IF($BI343="","",IF(MONTH($BI343)&gt;=12,"Cold Winter",IF(MONTH($BI343)&gt;=10,"Post-Monsoon",IF(MONTH($BI343)&gt;=6,"Hot Humid",IF(MONTH($BI343)&gt;=3,"Hot Dry","Cold Winter")))))</f>
        <v/>
      </c>
      <c r="BK343">
        <f>IF($BD343="","",IFERROR(VLOOKUP($BD343,DECODE!$A$3:$C$8,2,FALSE),"?"))</f>
        <v/>
      </c>
      <c r="BL343">
        <f>IF($Q343="","",UPPER(TRIM(LEFT($Q343&amp;",",FIND(",",$Q343&amp;",")-1))))</f>
        <v/>
      </c>
      <c r="BM343">
        <f>IF($BL343="","",MID($BL343,4,FIND("~",SUBSTITUTE($BL343,"-","~",2))-4))</f>
        <v/>
      </c>
      <c r="BN343">
        <f>IF($BL343="","",MID($BL343,FIND("~",SUBSTITUTE($BL343,"-","~",2))+1,FIND("~",SUBSTITUTE($BL343,"-","~",3))-FIND("~",SUBSTITUTE($BL343,"-","~",2))-1))</f>
        <v/>
      </c>
      <c r="BO343">
        <f>IF($BM343="","",IFERROR(VLOOKUP($BM343,DECODE!$A$3:$C$8,3,FALSE),"?"))</f>
        <v/>
      </c>
      <c r="BP343">
        <f>IF($BN343="","",IFERROR(VLOOKUP($BM343&amp;"-"&amp;$BN343,DECODE!$E$3:$F$21,2,FALSE),"?"))</f>
        <v/>
      </c>
      <c r="BQ343">
        <f>IF($BL343="","",IFERROR(VALUE(RIGHT($BL343,3)),""))</f>
        <v/>
      </c>
      <c r="BR343">
        <f>IF($W343="","",IFERROR(IF(ISNUMBER($W343),$W343,DATEVALUE(TRIM($W343))),""))</f>
        <v/>
      </c>
      <c r="BS343">
        <f>IF($BR343="","",IF(MONTH($BR343)&gt;=12,"Cold Winter",IF(MONTH($BR343)&gt;=10,"Post-Monsoon",IF(MONTH($BR343)&gt;=6,"Hot Humid",IF(MONTH($BR343)&gt;=3,"Hot Dry","Cold Winter")))))</f>
        <v/>
      </c>
      <c r="BT343">
        <f>IF($BM343="","",IFERROR(VLOOKUP($BM343,DECODE!$A$3:$C$8,2,FALSE),"?"))</f>
        <v/>
      </c>
      <c r="BU343">
        <f>IF($R343="","",UPPER(TRIM(LEFT($R343&amp;",",FIND(",",$R343&amp;",")-1))))</f>
        <v/>
      </c>
      <c r="BV343">
        <f>IF($BU343="","",MID($BU343,4,FIND("~",SUBSTITUTE($BU343,"-","~",2))-4))</f>
        <v/>
      </c>
      <c r="BW343">
        <f>IF($BU343="","",MID($BU343,FIND("~",SUBSTITUTE($BU343,"-","~",2))+1,FIND("~",SUBSTITUTE($BU343,"-","~",3))-FIND("~",SUBSTITUTE($BU343,"-","~",2))-1))</f>
        <v/>
      </c>
      <c r="BX343">
        <f>IF($BV343="","",IFERROR(VLOOKUP($BV343,DECODE!$A$3:$C$8,3,FALSE),"?"))</f>
        <v/>
      </c>
      <c r="BY343">
        <f>IF($BW343="","",IFERROR(VLOOKUP($BV343&amp;"-"&amp;$BW343,DECODE!$E$3:$F$21,2,FALSE),"?"))</f>
        <v/>
      </c>
      <c r="BZ343">
        <f>IF($BU343="","",IFERROR(VALUE(RIGHT($BU343,3)),""))</f>
        <v/>
      </c>
      <c r="CA343">
        <f>IF($X343="","",IFERROR(IF(ISNUMBER($X343),$X343,DATEVALUE(TRIM($X343))),""))</f>
        <v/>
      </c>
      <c r="CB343">
        <f>IF($CA343="","",IF(MONTH($CA343)&gt;=12,"Cold Winter",IF(MONTH($CA343)&gt;=10,"Post-Monsoon",IF(MONTH($CA343)&gt;=6,"Hot Humid",IF(MONTH($CA343)&gt;=3,"Hot Dry","Cold Winter")))))</f>
        <v/>
      </c>
      <c r="CC343">
        <f>IF($BV343="","",IFERROR(VLOOKUP($BV343,DECODE!$A$3:$C$8,2,FALSE),"?"))</f>
        <v/>
      </c>
      <c r="CD343">
        <f>IF($S343="","",UPPER(TRIM(LEFT($S343&amp;",",FIND(",",$S343&amp;",")-1))))</f>
        <v/>
      </c>
      <c r="CE343">
        <f>IF($CD343="","",MID($CD343,4,FIND("~",SUBSTITUTE($CD343,"-","~",2))-4))</f>
        <v/>
      </c>
      <c r="CF343">
        <f>IF($CD343="","",MID($CD343,FIND("~",SUBSTITUTE($CD343,"-","~",2))+1,FIND("~",SUBSTITUTE($CD343,"-","~",3))-FIND("~",SUBSTITUTE($CD343,"-","~",2))-1))</f>
        <v/>
      </c>
      <c r="CG343">
        <f>IF($CE343="","",IFERROR(VLOOKUP($CE343,DECODE!$A$3:$C$8,3,FALSE),"?"))</f>
        <v/>
      </c>
      <c r="CH343">
        <f>IF($CF343="","",IFERROR(VLOOKUP($CE343&amp;"-"&amp;$CF343,DECODE!$E$3:$F$21,2,FALSE),"?"))</f>
        <v/>
      </c>
      <c r="CI343">
        <f>IF($CD343="","",IFERROR(VALUE(RIGHT($CD343,3)),""))</f>
        <v/>
      </c>
      <c r="CJ343">
        <f>IF($Y343="","",IFERROR(IF(ISNUMBER($Y343),$Y343,DATEVALUE(TRIM($Y343))),""))</f>
        <v/>
      </c>
      <c r="CK343">
        <f>IF($CJ343="","",IF(MONTH($CJ343)&gt;=12,"Cold Winter",IF(MONTH($CJ343)&gt;=10,"Post-Monsoon",IF(MONTH($CJ343)&gt;=6,"Hot Humid",IF(MONTH($CJ343)&gt;=3,"Hot Dry","Cold Winter")))))</f>
        <v/>
      </c>
      <c r="CL343">
        <f>IF($CE343="","",IFERROR(VLOOKUP($CE343,DECODE!$A$3:$C$8,2,FALSE),"?"))</f>
        <v/>
      </c>
      <c r="CM343">
        <f>IF($AN343="","",AN343)</f>
        <v/>
      </c>
      <c r="CN343">
        <f>IF($AO343="","",AO343)</f>
        <v/>
      </c>
      <c r="CO343">
        <f>IF($AP343="","",AP343)</f>
        <v/>
      </c>
      <c r="CP343">
        <f>IF($CM343="","",IF($CM343="Aloe Vera Gel","Aloe Vera Gel "&amp;$CO343&amp;"g",CN343&amp;" "&amp;$CO343&amp;"g"))</f>
        <v/>
      </c>
      <c r="CQ343">
        <f>IF($AT343="",0,1)</f>
        <v/>
      </c>
      <c r="CR343">
        <f>IF($CQ343=0,"",AW343)</f>
        <v/>
      </c>
      <c r="CS343">
        <f>IF($CQ343=0,"",AX343)</f>
        <v/>
      </c>
      <c r="CT343">
        <f>IF($CQ343=0,"",AY343)</f>
        <v/>
      </c>
      <c r="CU343">
        <f>IF($CR343="","",IF($CR343="Aloe Vera Gel","Aloe Vera Gel "&amp;$CT343&amp;"g",CS343&amp;" "&amp;$CT343&amp;"g"))</f>
        <v/>
      </c>
      <c r="CV343">
        <f>IF($CQ343=0,"",IF($CP343=$CU343,"Repeat Exact",IF($CT343&gt;$CO343,"Upsized",IF($CT343&lt;$CO343,"Downsized",IF($CM343&lt;&gt;$CR343,"Lateral","Same Size Diff Variant")))))</f>
        <v/>
      </c>
      <c r="CW343">
        <f>IF($CQ343=0,"",AZ343-AQ343)</f>
        <v/>
      </c>
      <c r="CX343">
        <f>IF($CQ343=0,0,IF(CS343=CN343,1,0))</f>
        <v/>
      </c>
      <c r="CY343">
        <f>IF($CQ343=0,0,IF(CR343=CM343,1,0))</f>
        <v/>
      </c>
      <c r="CZ343">
        <f>IF($A343="","",IF(AND(IF(DASHBOARD!$C$4="All",TRUE,$CM343=DASHBOARD!$C$4),IF(DASHBOARD!$C$6="All",TRUE,$CP343=DASHBOARD!$C$6),IF(DASHBOARD!$C$8="All",TRUE,$AF343&gt;=DASHBOARD!$C$8),IF(DASHBOARD!$C$10="All",TRUE,$AF343&lt;=DASHBOARD!$C$10),IF(DASHBOARD!$C$12="All",TRUE,$AH343=VALUE(DASHBOARD!$C$12)),IF(DASHBOARD!$C$14="All",TRUE,$AJ343=DASHBOARD!$C$14)),1,0))</f>
        <v/>
      </c>
    </row>
    <row r="344">
      <c r="A344" t="n">
        <v>181662</v>
      </c>
      <c r="B344" t="inlineStr">
        <is>
          <t>Face Malai</t>
        </is>
      </c>
      <c r="H344" t="inlineStr">
        <is>
          <t>Flax Carrot (Hot Humid) 35+ Face Malai - 30g</t>
        </is>
      </c>
      <c r="N344" t="inlineStr">
        <is>
          <t>FC-HHDM-FC-030</t>
        </is>
      </c>
      <c r="T344" t="inlineStr">
        <is>
          <t>Sep 9, 2024</t>
        </is>
      </c>
      <c r="AE344" t="inlineStr">
        <is>
          <t>Mysuru</t>
        </is>
      </c>
      <c r="AF344" t="inlineStr">
        <is>
          <t>2024-09</t>
        </is>
      </c>
      <c r="AG344" t="n">
        <v>9</v>
      </c>
      <c r="AH344" t="n">
        <v>1</v>
      </c>
      <c r="AI344" t="n">
        <v>0</v>
      </c>
      <c r="AJ344">
        <f>IF($AE344="","",IFERROR(VLOOKUP(TRIM($AE344),DECODE!$H$3:$I$60,2,FALSE),"Rest of India"))</f>
        <v/>
      </c>
      <c r="AK344">
        <f>IF($N344="","",UPPER(TRIM(LEFT($N344&amp;",",FIND(",",$N344&amp;",")-1))))</f>
        <v/>
      </c>
      <c r="AL344">
        <f>IF($AK344="","",MID($AK344,4,FIND("~",SUBSTITUTE($AK344,"-","~",2))-4))</f>
        <v/>
      </c>
      <c r="AM344">
        <f>IF($AK344="","",MID($AK344,FIND("~",SUBSTITUTE($AK344,"-","~",2))+1,FIND("~",SUBSTITUTE($AK344,"-","~",3))-FIND("~",SUBSTITUTE($AK344,"-","~",2))-1))</f>
        <v/>
      </c>
      <c r="AN344">
        <f>IF($AL344="","",IFERROR(VLOOKUP($AL344,DECODE!$A$3:$C$8,3,FALSE),"?"))</f>
        <v/>
      </c>
      <c r="AO344">
        <f>IF($AM344="","",IFERROR(VLOOKUP($AL344&amp;"-"&amp;$AM344,DECODE!$E$3:$F$21,2,FALSE),"?"))</f>
        <v/>
      </c>
      <c r="AP344">
        <f>IF($AK344="","",IFERROR(VALUE(RIGHT($AK344,3)),""))</f>
        <v/>
      </c>
      <c r="AQ344">
        <f>IF($T344="","",IFERROR(IF(ISNUMBER($T344),$T344,DATEVALUE(TRIM($T344))),""))</f>
        <v/>
      </c>
      <c r="AR344">
        <f>IF($AQ344="","",IF(MONTH($AQ344)&gt;=12,"Cold Winter",IF(MONTH($AQ344)&gt;=10,"Post-Monsoon",IF(MONTH($AQ344)&gt;=6,"Hot Humid",IF(MONTH($AQ344)&gt;=3,"Hot Dry","Cold Winter")))))</f>
        <v/>
      </c>
      <c r="AS344">
        <f>IF($AL344="","",IFERROR(VLOOKUP($AL344,DECODE!$A$3:$C$8,2,FALSE),"?"))</f>
        <v/>
      </c>
      <c r="AT344">
        <f>IF($O344="","",UPPER(TRIM(LEFT($O344&amp;",",FIND(",",$O344&amp;",")-1))))</f>
        <v/>
      </c>
      <c r="AU344">
        <f>IF($AT344="","",MID($AT344,4,FIND("~",SUBSTITUTE($AT344,"-","~",2))-4))</f>
        <v/>
      </c>
      <c r="AV344">
        <f>IF($AT344="","",MID($AT344,FIND("~",SUBSTITUTE($AT344,"-","~",2))+1,FIND("~",SUBSTITUTE($AT344,"-","~",3))-FIND("~",SUBSTITUTE($AT344,"-","~",2))-1))</f>
        <v/>
      </c>
      <c r="AW344">
        <f>IF($AU344="","",IFERROR(VLOOKUP($AU344,DECODE!$A$3:$C$8,3,FALSE),"?"))</f>
        <v/>
      </c>
      <c r="AX344">
        <f>IF($AV344="","",IFERROR(VLOOKUP($AU344&amp;"-"&amp;$AV344,DECODE!$E$3:$F$21,2,FALSE),"?"))</f>
        <v/>
      </c>
      <c r="AY344">
        <f>IF($AT344="","",IFERROR(VALUE(RIGHT($AT344,3)),""))</f>
        <v/>
      </c>
      <c r="AZ344">
        <f>IF($U344="","",IFERROR(IF(ISNUMBER($U344),$U344,DATEVALUE(TRIM($U344))),""))</f>
        <v/>
      </c>
      <c r="BA344">
        <f>IF($AZ344="","",IF(MONTH($AZ344)&gt;=12,"Cold Winter",IF(MONTH($AZ344)&gt;=10,"Post-Monsoon",IF(MONTH($AZ344)&gt;=6,"Hot Humid",IF(MONTH($AZ344)&gt;=3,"Hot Dry","Cold Winter")))))</f>
        <v/>
      </c>
      <c r="BB344">
        <f>IF($AU344="","",IFERROR(VLOOKUP($AU344,DECODE!$A$3:$C$8,2,FALSE),"?"))</f>
        <v/>
      </c>
      <c r="BC344">
        <f>IF($P344="","",UPPER(TRIM(LEFT($P344&amp;",",FIND(",",$P344&amp;",")-1))))</f>
        <v/>
      </c>
      <c r="BD344">
        <f>IF($BC344="","",MID($BC344,4,FIND("~",SUBSTITUTE($BC344,"-","~",2))-4))</f>
        <v/>
      </c>
      <c r="BE344">
        <f>IF($BC344="","",MID($BC344,FIND("~",SUBSTITUTE($BC344,"-","~",2))+1,FIND("~",SUBSTITUTE($BC344,"-","~",3))-FIND("~",SUBSTITUTE($BC344,"-","~",2))-1))</f>
        <v/>
      </c>
      <c r="BF344">
        <f>IF($BD344="","",IFERROR(VLOOKUP($BD344,DECODE!$A$3:$C$8,3,FALSE),"?"))</f>
        <v/>
      </c>
      <c r="BG344">
        <f>IF($BE344="","",IFERROR(VLOOKUP($BD344&amp;"-"&amp;$BE344,DECODE!$E$3:$F$21,2,FALSE),"?"))</f>
        <v/>
      </c>
      <c r="BH344">
        <f>IF($BC344="","",IFERROR(VALUE(RIGHT($BC344,3)),""))</f>
        <v/>
      </c>
      <c r="BI344">
        <f>IF($V344="","",IFERROR(IF(ISNUMBER($V344),$V344,DATEVALUE(TRIM($V344))),""))</f>
        <v/>
      </c>
      <c r="BJ344">
        <f>IF($BI344="","",IF(MONTH($BI344)&gt;=12,"Cold Winter",IF(MONTH($BI344)&gt;=10,"Post-Monsoon",IF(MONTH($BI344)&gt;=6,"Hot Humid",IF(MONTH($BI344)&gt;=3,"Hot Dry","Cold Winter")))))</f>
        <v/>
      </c>
      <c r="BK344">
        <f>IF($BD344="","",IFERROR(VLOOKUP($BD344,DECODE!$A$3:$C$8,2,FALSE),"?"))</f>
        <v/>
      </c>
      <c r="BL344">
        <f>IF($Q344="","",UPPER(TRIM(LEFT($Q344&amp;",",FIND(",",$Q344&amp;",")-1))))</f>
        <v/>
      </c>
      <c r="BM344">
        <f>IF($BL344="","",MID($BL344,4,FIND("~",SUBSTITUTE($BL344,"-","~",2))-4))</f>
        <v/>
      </c>
      <c r="BN344">
        <f>IF($BL344="","",MID($BL344,FIND("~",SUBSTITUTE($BL344,"-","~",2))+1,FIND("~",SUBSTITUTE($BL344,"-","~",3))-FIND("~",SUBSTITUTE($BL344,"-","~",2))-1))</f>
        <v/>
      </c>
      <c r="BO344">
        <f>IF($BM344="","",IFERROR(VLOOKUP($BM344,DECODE!$A$3:$C$8,3,FALSE),"?"))</f>
        <v/>
      </c>
      <c r="BP344">
        <f>IF($BN344="","",IFERROR(VLOOKUP($BM344&amp;"-"&amp;$BN344,DECODE!$E$3:$F$21,2,FALSE),"?"))</f>
        <v/>
      </c>
      <c r="BQ344">
        <f>IF($BL344="","",IFERROR(VALUE(RIGHT($BL344,3)),""))</f>
        <v/>
      </c>
      <c r="BR344">
        <f>IF($W344="","",IFERROR(IF(ISNUMBER($W344),$W344,DATEVALUE(TRIM($W344))),""))</f>
        <v/>
      </c>
      <c r="BS344">
        <f>IF($BR344="","",IF(MONTH($BR344)&gt;=12,"Cold Winter",IF(MONTH($BR344)&gt;=10,"Post-Monsoon",IF(MONTH($BR344)&gt;=6,"Hot Humid",IF(MONTH($BR344)&gt;=3,"Hot Dry","Cold Winter")))))</f>
        <v/>
      </c>
      <c r="BT344">
        <f>IF($BM344="","",IFERROR(VLOOKUP($BM344,DECODE!$A$3:$C$8,2,FALSE),"?"))</f>
        <v/>
      </c>
      <c r="BU344">
        <f>IF($R344="","",UPPER(TRIM(LEFT($R344&amp;",",FIND(",",$R344&amp;",")-1))))</f>
        <v/>
      </c>
      <c r="BV344">
        <f>IF($BU344="","",MID($BU344,4,FIND("~",SUBSTITUTE($BU344,"-","~",2))-4))</f>
        <v/>
      </c>
      <c r="BW344">
        <f>IF($BU344="","",MID($BU344,FIND("~",SUBSTITUTE($BU344,"-","~",2))+1,FIND("~",SUBSTITUTE($BU344,"-","~",3))-FIND("~",SUBSTITUTE($BU344,"-","~",2))-1))</f>
        <v/>
      </c>
      <c r="BX344">
        <f>IF($BV344="","",IFERROR(VLOOKUP($BV344,DECODE!$A$3:$C$8,3,FALSE),"?"))</f>
        <v/>
      </c>
      <c r="BY344">
        <f>IF($BW344="","",IFERROR(VLOOKUP($BV344&amp;"-"&amp;$BW344,DECODE!$E$3:$F$21,2,FALSE),"?"))</f>
        <v/>
      </c>
      <c r="BZ344">
        <f>IF($BU344="","",IFERROR(VALUE(RIGHT($BU344,3)),""))</f>
        <v/>
      </c>
      <c r="CA344">
        <f>IF($X344="","",IFERROR(IF(ISNUMBER($X344),$X344,DATEVALUE(TRIM($X344))),""))</f>
        <v/>
      </c>
      <c r="CB344">
        <f>IF($CA344="","",IF(MONTH($CA344)&gt;=12,"Cold Winter",IF(MONTH($CA344)&gt;=10,"Post-Monsoon",IF(MONTH($CA344)&gt;=6,"Hot Humid",IF(MONTH($CA344)&gt;=3,"Hot Dry","Cold Winter")))))</f>
        <v/>
      </c>
      <c r="CC344">
        <f>IF($BV344="","",IFERROR(VLOOKUP($BV344,DECODE!$A$3:$C$8,2,FALSE),"?"))</f>
        <v/>
      </c>
      <c r="CD344">
        <f>IF($S344="","",UPPER(TRIM(LEFT($S344&amp;",",FIND(",",$S344&amp;",")-1))))</f>
        <v/>
      </c>
      <c r="CE344">
        <f>IF($CD344="","",MID($CD344,4,FIND("~",SUBSTITUTE($CD344,"-","~",2))-4))</f>
        <v/>
      </c>
      <c r="CF344">
        <f>IF($CD344="","",MID($CD344,FIND("~",SUBSTITUTE($CD344,"-","~",2))+1,FIND("~",SUBSTITUTE($CD344,"-","~",3))-FIND("~",SUBSTITUTE($CD344,"-","~",2))-1))</f>
        <v/>
      </c>
      <c r="CG344">
        <f>IF($CE344="","",IFERROR(VLOOKUP($CE344,DECODE!$A$3:$C$8,3,FALSE),"?"))</f>
        <v/>
      </c>
      <c r="CH344">
        <f>IF($CF344="","",IFERROR(VLOOKUP($CE344&amp;"-"&amp;$CF344,DECODE!$E$3:$F$21,2,FALSE),"?"))</f>
        <v/>
      </c>
      <c r="CI344">
        <f>IF($CD344="","",IFERROR(VALUE(RIGHT($CD344,3)),""))</f>
        <v/>
      </c>
      <c r="CJ344">
        <f>IF($Y344="","",IFERROR(IF(ISNUMBER($Y344),$Y344,DATEVALUE(TRIM($Y344))),""))</f>
        <v/>
      </c>
      <c r="CK344">
        <f>IF($CJ344="","",IF(MONTH($CJ344)&gt;=12,"Cold Winter",IF(MONTH($CJ344)&gt;=10,"Post-Monsoon",IF(MONTH($CJ344)&gt;=6,"Hot Humid",IF(MONTH($CJ344)&gt;=3,"Hot Dry","Cold Winter")))))</f>
        <v/>
      </c>
      <c r="CL344">
        <f>IF($CE344="","",IFERROR(VLOOKUP($CE344,DECODE!$A$3:$C$8,2,FALSE),"?"))</f>
        <v/>
      </c>
      <c r="CM344">
        <f>IF($AN344="","",AN344)</f>
        <v/>
      </c>
      <c r="CN344">
        <f>IF($AO344="","",AO344)</f>
        <v/>
      </c>
      <c r="CO344">
        <f>IF($AP344="","",AP344)</f>
        <v/>
      </c>
      <c r="CP344">
        <f>IF($CM344="","",IF($CM344="Aloe Vera Gel","Aloe Vera Gel "&amp;$CO344&amp;"g",CN344&amp;" "&amp;$CO344&amp;"g"))</f>
        <v/>
      </c>
      <c r="CQ344">
        <f>IF($AT344="",0,1)</f>
        <v/>
      </c>
      <c r="CR344">
        <f>IF($CQ344=0,"",AW344)</f>
        <v/>
      </c>
      <c r="CS344">
        <f>IF($CQ344=0,"",AX344)</f>
        <v/>
      </c>
      <c r="CT344">
        <f>IF($CQ344=0,"",AY344)</f>
        <v/>
      </c>
      <c r="CU344">
        <f>IF($CR344="","",IF($CR344="Aloe Vera Gel","Aloe Vera Gel "&amp;$CT344&amp;"g",CS344&amp;" "&amp;$CT344&amp;"g"))</f>
        <v/>
      </c>
      <c r="CV344">
        <f>IF($CQ344=0,"",IF($CP344=$CU344,"Repeat Exact",IF($CT344&gt;$CO344,"Upsized",IF($CT344&lt;$CO344,"Downsized",IF($CM344&lt;&gt;$CR344,"Lateral","Same Size Diff Variant")))))</f>
        <v/>
      </c>
      <c r="CW344">
        <f>IF($CQ344=0,"",AZ344-AQ344)</f>
        <v/>
      </c>
      <c r="CX344">
        <f>IF($CQ344=0,0,IF(CS344=CN344,1,0))</f>
        <v/>
      </c>
      <c r="CY344">
        <f>IF($CQ344=0,0,IF(CR344=CM344,1,0))</f>
        <v/>
      </c>
      <c r="CZ344">
        <f>IF($A344="","",IF(AND(IF(DASHBOARD!$C$4="All",TRUE,$CM344=DASHBOARD!$C$4),IF(DASHBOARD!$C$6="All",TRUE,$CP344=DASHBOARD!$C$6),IF(DASHBOARD!$C$8="All",TRUE,$AF344&gt;=DASHBOARD!$C$8),IF(DASHBOARD!$C$10="All",TRUE,$AF344&lt;=DASHBOARD!$C$10),IF(DASHBOARD!$C$12="All",TRUE,$AH344=VALUE(DASHBOARD!$C$12)),IF(DASHBOARD!$C$14="All",TRUE,$AJ344=DASHBOARD!$C$14)),1,0))</f>
        <v/>
      </c>
    </row>
    <row r="345">
      <c r="A345" t="n">
        <v>181724</v>
      </c>
      <c r="B345" t="inlineStr">
        <is>
          <t>Face Malai</t>
        </is>
      </c>
      <c r="H345" t="inlineStr">
        <is>
          <t>Tomato Vetiver (Hot Humid) 20 - 35 Yrs Face Malai</t>
        </is>
      </c>
      <c r="N345" t="inlineStr">
        <is>
          <t>FC-HHDM-TV-030</t>
        </is>
      </c>
      <c r="T345" t="inlineStr">
        <is>
          <t>Mar 9, 2025</t>
        </is>
      </c>
      <c r="AE345" t="inlineStr">
        <is>
          <t>Amritsar</t>
        </is>
      </c>
      <c r="AF345" t="inlineStr">
        <is>
          <t>2025-03</t>
        </is>
      </c>
      <c r="AG345" t="n">
        <v>3</v>
      </c>
      <c r="AH345" t="n">
        <v>1</v>
      </c>
      <c r="AI345" t="n">
        <v>0</v>
      </c>
      <c r="AJ345">
        <f>IF($AE345="","",IFERROR(VLOOKUP(TRIM($AE345),DECODE!$H$3:$I$60,2,FALSE),"Rest of India"))</f>
        <v/>
      </c>
      <c r="AK345">
        <f>IF($N345="","",UPPER(TRIM(LEFT($N345&amp;",",FIND(",",$N345&amp;",")-1))))</f>
        <v/>
      </c>
      <c r="AL345">
        <f>IF($AK345="","",MID($AK345,4,FIND("~",SUBSTITUTE($AK345,"-","~",2))-4))</f>
        <v/>
      </c>
      <c r="AM345">
        <f>IF($AK345="","",MID($AK345,FIND("~",SUBSTITUTE($AK345,"-","~",2))+1,FIND("~",SUBSTITUTE($AK345,"-","~",3))-FIND("~",SUBSTITUTE($AK345,"-","~",2))-1))</f>
        <v/>
      </c>
      <c r="AN345">
        <f>IF($AL345="","",IFERROR(VLOOKUP($AL345,DECODE!$A$3:$C$8,3,FALSE),"?"))</f>
        <v/>
      </c>
      <c r="AO345">
        <f>IF($AM345="","",IFERROR(VLOOKUP($AL345&amp;"-"&amp;$AM345,DECODE!$E$3:$F$21,2,FALSE),"?"))</f>
        <v/>
      </c>
      <c r="AP345">
        <f>IF($AK345="","",IFERROR(VALUE(RIGHT($AK345,3)),""))</f>
        <v/>
      </c>
      <c r="AQ345">
        <f>IF($T345="","",IFERROR(IF(ISNUMBER($T345),$T345,DATEVALUE(TRIM($T345))),""))</f>
        <v/>
      </c>
      <c r="AR345">
        <f>IF($AQ345="","",IF(MONTH($AQ345)&gt;=12,"Cold Winter",IF(MONTH($AQ345)&gt;=10,"Post-Monsoon",IF(MONTH($AQ345)&gt;=6,"Hot Humid",IF(MONTH($AQ345)&gt;=3,"Hot Dry","Cold Winter")))))</f>
        <v/>
      </c>
      <c r="AS345">
        <f>IF($AL345="","",IFERROR(VLOOKUP($AL345,DECODE!$A$3:$C$8,2,FALSE),"?"))</f>
        <v/>
      </c>
      <c r="AT345">
        <f>IF($O345="","",UPPER(TRIM(LEFT($O345&amp;",",FIND(",",$O345&amp;",")-1))))</f>
        <v/>
      </c>
      <c r="AU345">
        <f>IF($AT345="","",MID($AT345,4,FIND("~",SUBSTITUTE($AT345,"-","~",2))-4))</f>
        <v/>
      </c>
      <c r="AV345">
        <f>IF($AT345="","",MID($AT345,FIND("~",SUBSTITUTE($AT345,"-","~",2))+1,FIND("~",SUBSTITUTE($AT345,"-","~",3))-FIND("~",SUBSTITUTE($AT345,"-","~",2))-1))</f>
        <v/>
      </c>
      <c r="AW345">
        <f>IF($AU345="","",IFERROR(VLOOKUP($AU345,DECODE!$A$3:$C$8,3,FALSE),"?"))</f>
        <v/>
      </c>
      <c r="AX345">
        <f>IF($AV345="","",IFERROR(VLOOKUP($AU345&amp;"-"&amp;$AV345,DECODE!$E$3:$F$21,2,FALSE),"?"))</f>
        <v/>
      </c>
      <c r="AY345">
        <f>IF($AT345="","",IFERROR(VALUE(RIGHT($AT345,3)),""))</f>
        <v/>
      </c>
      <c r="AZ345">
        <f>IF($U345="","",IFERROR(IF(ISNUMBER($U345),$U345,DATEVALUE(TRIM($U345))),""))</f>
        <v/>
      </c>
      <c r="BA345">
        <f>IF($AZ345="","",IF(MONTH($AZ345)&gt;=12,"Cold Winter",IF(MONTH($AZ345)&gt;=10,"Post-Monsoon",IF(MONTH($AZ345)&gt;=6,"Hot Humid",IF(MONTH($AZ345)&gt;=3,"Hot Dry","Cold Winter")))))</f>
        <v/>
      </c>
      <c r="BB345">
        <f>IF($AU345="","",IFERROR(VLOOKUP($AU345,DECODE!$A$3:$C$8,2,FALSE),"?"))</f>
        <v/>
      </c>
      <c r="BC345">
        <f>IF($P345="","",UPPER(TRIM(LEFT($P345&amp;",",FIND(",",$P345&amp;",")-1))))</f>
        <v/>
      </c>
      <c r="BD345">
        <f>IF($BC345="","",MID($BC345,4,FIND("~",SUBSTITUTE($BC345,"-","~",2))-4))</f>
        <v/>
      </c>
      <c r="BE345">
        <f>IF($BC345="","",MID($BC345,FIND("~",SUBSTITUTE($BC345,"-","~",2))+1,FIND("~",SUBSTITUTE($BC345,"-","~",3))-FIND("~",SUBSTITUTE($BC345,"-","~",2))-1))</f>
        <v/>
      </c>
      <c r="BF345">
        <f>IF($BD345="","",IFERROR(VLOOKUP($BD345,DECODE!$A$3:$C$8,3,FALSE),"?"))</f>
        <v/>
      </c>
      <c r="BG345">
        <f>IF($BE345="","",IFERROR(VLOOKUP($BD345&amp;"-"&amp;$BE345,DECODE!$E$3:$F$21,2,FALSE),"?"))</f>
        <v/>
      </c>
      <c r="BH345">
        <f>IF($BC345="","",IFERROR(VALUE(RIGHT($BC345,3)),""))</f>
        <v/>
      </c>
      <c r="BI345">
        <f>IF($V345="","",IFERROR(IF(ISNUMBER($V345),$V345,DATEVALUE(TRIM($V345))),""))</f>
        <v/>
      </c>
      <c r="BJ345">
        <f>IF($BI345="","",IF(MONTH($BI345)&gt;=12,"Cold Winter",IF(MONTH($BI345)&gt;=10,"Post-Monsoon",IF(MONTH($BI345)&gt;=6,"Hot Humid",IF(MONTH($BI345)&gt;=3,"Hot Dry","Cold Winter")))))</f>
        <v/>
      </c>
      <c r="BK345">
        <f>IF($BD345="","",IFERROR(VLOOKUP($BD345,DECODE!$A$3:$C$8,2,FALSE),"?"))</f>
        <v/>
      </c>
      <c r="BL345">
        <f>IF($Q345="","",UPPER(TRIM(LEFT($Q345&amp;",",FIND(",",$Q345&amp;",")-1))))</f>
        <v/>
      </c>
      <c r="BM345">
        <f>IF($BL345="","",MID($BL345,4,FIND("~",SUBSTITUTE($BL345,"-","~",2))-4))</f>
        <v/>
      </c>
      <c r="BN345">
        <f>IF($BL345="","",MID($BL345,FIND("~",SUBSTITUTE($BL345,"-","~",2))+1,FIND("~",SUBSTITUTE($BL345,"-","~",3))-FIND("~",SUBSTITUTE($BL345,"-","~",2))-1))</f>
        <v/>
      </c>
      <c r="BO345">
        <f>IF($BM345="","",IFERROR(VLOOKUP($BM345,DECODE!$A$3:$C$8,3,FALSE),"?"))</f>
        <v/>
      </c>
      <c r="BP345">
        <f>IF($BN345="","",IFERROR(VLOOKUP($BM345&amp;"-"&amp;$BN345,DECODE!$E$3:$F$21,2,FALSE),"?"))</f>
        <v/>
      </c>
      <c r="BQ345">
        <f>IF($BL345="","",IFERROR(VALUE(RIGHT($BL345,3)),""))</f>
        <v/>
      </c>
      <c r="BR345">
        <f>IF($W345="","",IFERROR(IF(ISNUMBER($W345),$W345,DATEVALUE(TRIM($W345))),""))</f>
        <v/>
      </c>
      <c r="BS345">
        <f>IF($BR345="","",IF(MONTH($BR345)&gt;=12,"Cold Winter",IF(MONTH($BR345)&gt;=10,"Post-Monsoon",IF(MONTH($BR345)&gt;=6,"Hot Humid",IF(MONTH($BR345)&gt;=3,"Hot Dry","Cold Winter")))))</f>
        <v/>
      </c>
      <c r="BT345">
        <f>IF($BM345="","",IFERROR(VLOOKUP($BM345,DECODE!$A$3:$C$8,2,FALSE),"?"))</f>
        <v/>
      </c>
      <c r="BU345">
        <f>IF($R345="","",UPPER(TRIM(LEFT($R345&amp;",",FIND(",",$R345&amp;",")-1))))</f>
        <v/>
      </c>
      <c r="BV345">
        <f>IF($BU345="","",MID($BU345,4,FIND("~",SUBSTITUTE($BU345,"-","~",2))-4))</f>
        <v/>
      </c>
      <c r="BW345">
        <f>IF($BU345="","",MID($BU345,FIND("~",SUBSTITUTE($BU345,"-","~",2))+1,FIND("~",SUBSTITUTE($BU345,"-","~",3))-FIND("~",SUBSTITUTE($BU345,"-","~",2))-1))</f>
        <v/>
      </c>
      <c r="BX345">
        <f>IF($BV345="","",IFERROR(VLOOKUP($BV345,DECODE!$A$3:$C$8,3,FALSE),"?"))</f>
        <v/>
      </c>
      <c r="BY345">
        <f>IF($BW345="","",IFERROR(VLOOKUP($BV345&amp;"-"&amp;$BW345,DECODE!$E$3:$F$21,2,FALSE),"?"))</f>
        <v/>
      </c>
      <c r="BZ345">
        <f>IF($BU345="","",IFERROR(VALUE(RIGHT($BU345,3)),""))</f>
        <v/>
      </c>
      <c r="CA345">
        <f>IF($X345="","",IFERROR(IF(ISNUMBER($X345),$X345,DATEVALUE(TRIM($X345))),""))</f>
        <v/>
      </c>
      <c r="CB345">
        <f>IF($CA345="","",IF(MONTH($CA345)&gt;=12,"Cold Winter",IF(MONTH($CA345)&gt;=10,"Post-Monsoon",IF(MONTH($CA345)&gt;=6,"Hot Humid",IF(MONTH($CA345)&gt;=3,"Hot Dry","Cold Winter")))))</f>
        <v/>
      </c>
      <c r="CC345">
        <f>IF($BV345="","",IFERROR(VLOOKUP($BV345,DECODE!$A$3:$C$8,2,FALSE),"?"))</f>
        <v/>
      </c>
      <c r="CD345">
        <f>IF($S345="","",UPPER(TRIM(LEFT($S345&amp;",",FIND(",",$S345&amp;",")-1))))</f>
        <v/>
      </c>
      <c r="CE345">
        <f>IF($CD345="","",MID($CD345,4,FIND("~",SUBSTITUTE($CD345,"-","~",2))-4))</f>
        <v/>
      </c>
      <c r="CF345">
        <f>IF($CD345="","",MID($CD345,FIND("~",SUBSTITUTE($CD345,"-","~",2))+1,FIND("~",SUBSTITUTE($CD345,"-","~",3))-FIND("~",SUBSTITUTE($CD345,"-","~",2))-1))</f>
        <v/>
      </c>
      <c r="CG345">
        <f>IF($CE345="","",IFERROR(VLOOKUP($CE345,DECODE!$A$3:$C$8,3,FALSE),"?"))</f>
        <v/>
      </c>
      <c r="CH345">
        <f>IF($CF345="","",IFERROR(VLOOKUP($CE345&amp;"-"&amp;$CF345,DECODE!$E$3:$F$21,2,FALSE),"?"))</f>
        <v/>
      </c>
      <c r="CI345">
        <f>IF($CD345="","",IFERROR(VALUE(RIGHT($CD345,3)),""))</f>
        <v/>
      </c>
      <c r="CJ345">
        <f>IF($Y345="","",IFERROR(IF(ISNUMBER($Y345),$Y345,DATEVALUE(TRIM($Y345))),""))</f>
        <v/>
      </c>
      <c r="CK345">
        <f>IF($CJ345="","",IF(MONTH($CJ345)&gt;=12,"Cold Winter",IF(MONTH($CJ345)&gt;=10,"Post-Monsoon",IF(MONTH($CJ345)&gt;=6,"Hot Humid",IF(MONTH($CJ345)&gt;=3,"Hot Dry","Cold Winter")))))</f>
        <v/>
      </c>
      <c r="CL345">
        <f>IF($CE345="","",IFERROR(VLOOKUP($CE345,DECODE!$A$3:$C$8,2,FALSE),"?"))</f>
        <v/>
      </c>
      <c r="CM345">
        <f>IF($AN345="","",AN345)</f>
        <v/>
      </c>
      <c r="CN345">
        <f>IF($AO345="","",AO345)</f>
        <v/>
      </c>
      <c r="CO345">
        <f>IF($AP345="","",AP345)</f>
        <v/>
      </c>
      <c r="CP345">
        <f>IF($CM345="","",IF($CM345="Aloe Vera Gel","Aloe Vera Gel "&amp;$CO345&amp;"g",CN345&amp;" "&amp;$CO345&amp;"g"))</f>
        <v/>
      </c>
      <c r="CQ345">
        <f>IF($AT345="",0,1)</f>
        <v/>
      </c>
      <c r="CR345">
        <f>IF($CQ345=0,"",AW345)</f>
        <v/>
      </c>
      <c r="CS345">
        <f>IF($CQ345=0,"",AX345)</f>
        <v/>
      </c>
      <c r="CT345">
        <f>IF($CQ345=0,"",AY345)</f>
        <v/>
      </c>
      <c r="CU345">
        <f>IF($CR345="","",IF($CR345="Aloe Vera Gel","Aloe Vera Gel "&amp;$CT345&amp;"g",CS345&amp;" "&amp;$CT345&amp;"g"))</f>
        <v/>
      </c>
      <c r="CV345">
        <f>IF($CQ345=0,"",IF($CP345=$CU345,"Repeat Exact",IF($CT345&gt;$CO345,"Upsized",IF($CT345&lt;$CO345,"Downsized",IF($CM345&lt;&gt;$CR345,"Lateral","Same Size Diff Variant")))))</f>
        <v/>
      </c>
      <c r="CW345">
        <f>IF($CQ345=0,"",AZ345-AQ345)</f>
        <v/>
      </c>
      <c r="CX345">
        <f>IF($CQ345=0,0,IF(CS345=CN345,1,0))</f>
        <v/>
      </c>
      <c r="CY345">
        <f>IF($CQ345=0,0,IF(CR345=CM345,1,0))</f>
        <v/>
      </c>
      <c r="CZ345">
        <f>IF($A345="","",IF(AND(IF(DASHBOARD!$C$4="All",TRUE,$CM345=DASHBOARD!$C$4),IF(DASHBOARD!$C$6="All",TRUE,$CP345=DASHBOARD!$C$6),IF(DASHBOARD!$C$8="All",TRUE,$AF345&gt;=DASHBOARD!$C$8),IF(DASHBOARD!$C$10="All",TRUE,$AF345&lt;=DASHBOARD!$C$10),IF(DASHBOARD!$C$12="All",TRUE,$AH345=VALUE(DASHBOARD!$C$12)),IF(DASHBOARD!$C$14="All",TRUE,$AJ345=DASHBOARD!$C$14)),1,0))</f>
        <v/>
      </c>
    </row>
    <row r="346">
      <c r="A346" t="n">
        <v>181808</v>
      </c>
      <c r="B346" t="inlineStr">
        <is>
          <t>Active Gel</t>
        </is>
      </c>
      <c r="H346" t="inlineStr">
        <is>
          <t>Active Olive Vit-E Night Gel</t>
        </is>
      </c>
      <c r="N346" t="inlineStr">
        <is>
          <t>FC-AC-OV-050</t>
        </is>
      </c>
      <c r="T346" t="inlineStr">
        <is>
          <t>Jan 6, 2025</t>
        </is>
      </c>
      <c r="AE346" t="inlineStr">
        <is>
          <t>Gautam Buddha Nagar</t>
        </is>
      </c>
      <c r="AF346" t="inlineStr">
        <is>
          <t>2025-01</t>
        </is>
      </c>
      <c r="AG346" t="n">
        <v>1</v>
      </c>
      <c r="AH346" t="n">
        <v>1</v>
      </c>
      <c r="AI346" t="n">
        <v>0</v>
      </c>
      <c r="AJ346">
        <f>IF($AE346="","",IFERROR(VLOOKUP(TRIM($AE346),DECODE!$H$3:$I$60,2,FALSE),"Rest of India"))</f>
        <v/>
      </c>
      <c r="AK346">
        <f>IF($N346="","",UPPER(TRIM(LEFT($N346&amp;",",FIND(",",$N346&amp;",")-1))))</f>
        <v/>
      </c>
      <c r="AL346">
        <f>IF($AK346="","",MID($AK346,4,FIND("~",SUBSTITUTE($AK346,"-","~",2))-4))</f>
        <v/>
      </c>
      <c r="AM346">
        <f>IF($AK346="","",MID($AK346,FIND("~",SUBSTITUTE($AK346,"-","~",2))+1,FIND("~",SUBSTITUTE($AK346,"-","~",3))-FIND("~",SUBSTITUTE($AK346,"-","~",2))-1))</f>
        <v/>
      </c>
      <c r="AN346">
        <f>IF($AL346="","",IFERROR(VLOOKUP($AL346,DECODE!$A$3:$C$8,3,FALSE),"?"))</f>
        <v/>
      </c>
      <c r="AO346">
        <f>IF($AM346="","",IFERROR(VLOOKUP($AL346&amp;"-"&amp;$AM346,DECODE!$E$3:$F$21,2,FALSE),"?"))</f>
        <v/>
      </c>
      <c r="AP346">
        <f>IF($AK346="","",IFERROR(VALUE(RIGHT($AK346,3)),""))</f>
        <v/>
      </c>
      <c r="AQ346">
        <f>IF($T346="","",IFERROR(IF(ISNUMBER($T346),$T346,DATEVALUE(TRIM($T346))),""))</f>
        <v/>
      </c>
      <c r="AR346">
        <f>IF($AQ346="","",IF(MONTH($AQ346)&gt;=12,"Cold Winter",IF(MONTH($AQ346)&gt;=10,"Post-Monsoon",IF(MONTH($AQ346)&gt;=6,"Hot Humid",IF(MONTH($AQ346)&gt;=3,"Hot Dry","Cold Winter")))))</f>
        <v/>
      </c>
      <c r="AS346">
        <f>IF($AL346="","",IFERROR(VLOOKUP($AL346,DECODE!$A$3:$C$8,2,FALSE),"?"))</f>
        <v/>
      </c>
      <c r="AT346">
        <f>IF($O346="","",UPPER(TRIM(LEFT($O346&amp;",",FIND(",",$O346&amp;",")-1))))</f>
        <v/>
      </c>
      <c r="AU346">
        <f>IF($AT346="","",MID($AT346,4,FIND("~",SUBSTITUTE($AT346,"-","~",2))-4))</f>
        <v/>
      </c>
      <c r="AV346">
        <f>IF($AT346="","",MID($AT346,FIND("~",SUBSTITUTE($AT346,"-","~",2))+1,FIND("~",SUBSTITUTE($AT346,"-","~",3))-FIND("~",SUBSTITUTE($AT346,"-","~",2))-1))</f>
        <v/>
      </c>
      <c r="AW346">
        <f>IF($AU346="","",IFERROR(VLOOKUP($AU346,DECODE!$A$3:$C$8,3,FALSE),"?"))</f>
        <v/>
      </c>
      <c r="AX346">
        <f>IF($AV346="","",IFERROR(VLOOKUP($AU346&amp;"-"&amp;$AV346,DECODE!$E$3:$F$21,2,FALSE),"?"))</f>
        <v/>
      </c>
      <c r="AY346">
        <f>IF($AT346="","",IFERROR(VALUE(RIGHT($AT346,3)),""))</f>
        <v/>
      </c>
      <c r="AZ346">
        <f>IF($U346="","",IFERROR(IF(ISNUMBER($U346),$U346,DATEVALUE(TRIM($U346))),""))</f>
        <v/>
      </c>
      <c r="BA346">
        <f>IF($AZ346="","",IF(MONTH($AZ346)&gt;=12,"Cold Winter",IF(MONTH($AZ346)&gt;=10,"Post-Monsoon",IF(MONTH($AZ346)&gt;=6,"Hot Humid",IF(MONTH($AZ346)&gt;=3,"Hot Dry","Cold Winter")))))</f>
        <v/>
      </c>
      <c r="BB346">
        <f>IF($AU346="","",IFERROR(VLOOKUP($AU346,DECODE!$A$3:$C$8,2,FALSE),"?"))</f>
        <v/>
      </c>
      <c r="BC346">
        <f>IF($P346="","",UPPER(TRIM(LEFT($P346&amp;",",FIND(",",$P346&amp;",")-1))))</f>
        <v/>
      </c>
      <c r="BD346">
        <f>IF($BC346="","",MID($BC346,4,FIND("~",SUBSTITUTE($BC346,"-","~",2))-4))</f>
        <v/>
      </c>
      <c r="BE346">
        <f>IF($BC346="","",MID($BC346,FIND("~",SUBSTITUTE($BC346,"-","~",2))+1,FIND("~",SUBSTITUTE($BC346,"-","~",3))-FIND("~",SUBSTITUTE($BC346,"-","~",2))-1))</f>
        <v/>
      </c>
      <c r="BF346">
        <f>IF($BD346="","",IFERROR(VLOOKUP($BD346,DECODE!$A$3:$C$8,3,FALSE),"?"))</f>
        <v/>
      </c>
      <c r="BG346">
        <f>IF($BE346="","",IFERROR(VLOOKUP($BD346&amp;"-"&amp;$BE346,DECODE!$E$3:$F$21,2,FALSE),"?"))</f>
        <v/>
      </c>
      <c r="BH346">
        <f>IF($BC346="","",IFERROR(VALUE(RIGHT($BC346,3)),""))</f>
        <v/>
      </c>
      <c r="BI346">
        <f>IF($V346="","",IFERROR(IF(ISNUMBER($V346),$V346,DATEVALUE(TRIM($V346))),""))</f>
        <v/>
      </c>
      <c r="BJ346">
        <f>IF($BI346="","",IF(MONTH($BI346)&gt;=12,"Cold Winter",IF(MONTH($BI346)&gt;=10,"Post-Monsoon",IF(MONTH($BI346)&gt;=6,"Hot Humid",IF(MONTH($BI346)&gt;=3,"Hot Dry","Cold Winter")))))</f>
        <v/>
      </c>
      <c r="BK346">
        <f>IF($BD346="","",IFERROR(VLOOKUP($BD346,DECODE!$A$3:$C$8,2,FALSE),"?"))</f>
        <v/>
      </c>
      <c r="BL346">
        <f>IF($Q346="","",UPPER(TRIM(LEFT($Q346&amp;",",FIND(",",$Q346&amp;",")-1))))</f>
        <v/>
      </c>
      <c r="BM346">
        <f>IF($BL346="","",MID($BL346,4,FIND("~",SUBSTITUTE($BL346,"-","~",2))-4))</f>
        <v/>
      </c>
      <c r="BN346">
        <f>IF($BL346="","",MID($BL346,FIND("~",SUBSTITUTE($BL346,"-","~",2))+1,FIND("~",SUBSTITUTE($BL346,"-","~",3))-FIND("~",SUBSTITUTE($BL346,"-","~",2))-1))</f>
        <v/>
      </c>
      <c r="BO346">
        <f>IF($BM346="","",IFERROR(VLOOKUP($BM346,DECODE!$A$3:$C$8,3,FALSE),"?"))</f>
        <v/>
      </c>
      <c r="BP346">
        <f>IF($BN346="","",IFERROR(VLOOKUP($BM346&amp;"-"&amp;$BN346,DECODE!$E$3:$F$21,2,FALSE),"?"))</f>
        <v/>
      </c>
      <c r="BQ346">
        <f>IF($BL346="","",IFERROR(VALUE(RIGHT($BL346,3)),""))</f>
        <v/>
      </c>
      <c r="BR346">
        <f>IF($W346="","",IFERROR(IF(ISNUMBER($W346),$W346,DATEVALUE(TRIM($W346))),""))</f>
        <v/>
      </c>
      <c r="BS346">
        <f>IF($BR346="","",IF(MONTH($BR346)&gt;=12,"Cold Winter",IF(MONTH($BR346)&gt;=10,"Post-Monsoon",IF(MONTH($BR346)&gt;=6,"Hot Humid",IF(MONTH($BR346)&gt;=3,"Hot Dry","Cold Winter")))))</f>
        <v/>
      </c>
      <c r="BT346">
        <f>IF($BM346="","",IFERROR(VLOOKUP($BM346,DECODE!$A$3:$C$8,2,FALSE),"?"))</f>
        <v/>
      </c>
      <c r="BU346">
        <f>IF($R346="","",UPPER(TRIM(LEFT($R346&amp;",",FIND(",",$R346&amp;",")-1))))</f>
        <v/>
      </c>
      <c r="BV346">
        <f>IF($BU346="","",MID($BU346,4,FIND("~",SUBSTITUTE($BU346,"-","~",2))-4))</f>
        <v/>
      </c>
      <c r="BW346">
        <f>IF($BU346="","",MID($BU346,FIND("~",SUBSTITUTE($BU346,"-","~",2))+1,FIND("~",SUBSTITUTE($BU346,"-","~",3))-FIND("~",SUBSTITUTE($BU346,"-","~",2))-1))</f>
        <v/>
      </c>
      <c r="BX346">
        <f>IF($BV346="","",IFERROR(VLOOKUP($BV346,DECODE!$A$3:$C$8,3,FALSE),"?"))</f>
        <v/>
      </c>
      <c r="BY346">
        <f>IF($BW346="","",IFERROR(VLOOKUP($BV346&amp;"-"&amp;$BW346,DECODE!$E$3:$F$21,2,FALSE),"?"))</f>
        <v/>
      </c>
      <c r="BZ346">
        <f>IF($BU346="","",IFERROR(VALUE(RIGHT($BU346,3)),""))</f>
        <v/>
      </c>
      <c r="CA346">
        <f>IF($X346="","",IFERROR(IF(ISNUMBER($X346),$X346,DATEVALUE(TRIM($X346))),""))</f>
        <v/>
      </c>
      <c r="CB346">
        <f>IF($CA346="","",IF(MONTH($CA346)&gt;=12,"Cold Winter",IF(MONTH($CA346)&gt;=10,"Post-Monsoon",IF(MONTH($CA346)&gt;=6,"Hot Humid",IF(MONTH($CA346)&gt;=3,"Hot Dry","Cold Winter")))))</f>
        <v/>
      </c>
      <c r="CC346">
        <f>IF($BV346="","",IFERROR(VLOOKUP($BV346,DECODE!$A$3:$C$8,2,FALSE),"?"))</f>
        <v/>
      </c>
      <c r="CD346">
        <f>IF($S346="","",UPPER(TRIM(LEFT($S346&amp;",",FIND(",",$S346&amp;",")-1))))</f>
        <v/>
      </c>
      <c r="CE346">
        <f>IF($CD346="","",MID($CD346,4,FIND("~",SUBSTITUTE($CD346,"-","~",2))-4))</f>
        <v/>
      </c>
      <c r="CF346">
        <f>IF($CD346="","",MID($CD346,FIND("~",SUBSTITUTE($CD346,"-","~",2))+1,FIND("~",SUBSTITUTE($CD346,"-","~",3))-FIND("~",SUBSTITUTE($CD346,"-","~",2))-1))</f>
        <v/>
      </c>
      <c r="CG346">
        <f>IF($CE346="","",IFERROR(VLOOKUP($CE346,DECODE!$A$3:$C$8,3,FALSE),"?"))</f>
        <v/>
      </c>
      <c r="CH346">
        <f>IF($CF346="","",IFERROR(VLOOKUP($CE346&amp;"-"&amp;$CF346,DECODE!$E$3:$F$21,2,FALSE),"?"))</f>
        <v/>
      </c>
      <c r="CI346">
        <f>IF($CD346="","",IFERROR(VALUE(RIGHT($CD346,3)),""))</f>
        <v/>
      </c>
      <c r="CJ346">
        <f>IF($Y346="","",IFERROR(IF(ISNUMBER($Y346),$Y346,DATEVALUE(TRIM($Y346))),""))</f>
        <v/>
      </c>
      <c r="CK346">
        <f>IF($CJ346="","",IF(MONTH($CJ346)&gt;=12,"Cold Winter",IF(MONTH($CJ346)&gt;=10,"Post-Monsoon",IF(MONTH($CJ346)&gt;=6,"Hot Humid",IF(MONTH($CJ346)&gt;=3,"Hot Dry","Cold Winter")))))</f>
        <v/>
      </c>
      <c r="CL346">
        <f>IF($CE346="","",IFERROR(VLOOKUP($CE346,DECODE!$A$3:$C$8,2,FALSE),"?"))</f>
        <v/>
      </c>
      <c r="CM346">
        <f>IF($AN346="","",AN346)</f>
        <v/>
      </c>
      <c r="CN346">
        <f>IF($AO346="","",AO346)</f>
        <v/>
      </c>
      <c r="CO346">
        <f>IF($AP346="","",AP346)</f>
        <v/>
      </c>
      <c r="CP346">
        <f>IF($CM346="","",IF($CM346="Aloe Vera Gel","Aloe Vera Gel "&amp;$CO346&amp;"g",CN346&amp;" "&amp;$CO346&amp;"g"))</f>
        <v/>
      </c>
      <c r="CQ346">
        <f>IF($AT346="",0,1)</f>
        <v/>
      </c>
      <c r="CR346">
        <f>IF($CQ346=0,"",AW346)</f>
        <v/>
      </c>
      <c r="CS346">
        <f>IF($CQ346=0,"",AX346)</f>
        <v/>
      </c>
      <c r="CT346">
        <f>IF($CQ346=0,"",AY346)</f>
        <v/>
      </c>
      <c r="CU346">
        <f>IF($CR346="","",IF($CR346="Aloe Vera Gel","Aloe Vera Gel "&amp;$CT346&amp;"g",CS346&amp;" "&amp;$CT346&amp;"g"))</f>
        <v/>
      </c>
      <c r="CV346">
        <f>IF($CQ346=0,"",IF($CP346=$CU346,"Repeat Exact",IF($CT346&gt;$CO346,"Upsized",IF($CT346&lt;$CO346,"Downsized",IF($CM346&lt;&gt;$CR346,"Lateral","Same Size Diff Variant")))))</f>
        <v/>
      </c>
      <c r="CW346">
        <f>IF($CQ346=0,"",AZ346-AQ346)</f>
        <v/>
      </c>
      <c r="CX346">
        <f>IF($CQ346=0,0,IF(CS346=CN346,1,0))</f>
        <v/>
      </c>
      <c r="CY346">
        <f>IF($CQ346=0,0,IF(CR346=CM346,1,0))</f>
        <v/>
      </c>
      <c r="CZ346">
        <f>IF($A346="","",IF(AND(IF(DASHBOARD!$C$4="All",TRUE,$CM346=DASHBOARD!$C$4),IF(DASHBOARD!$C$6="All",TRUE,$CP346=DASHBOARD!$C$6),IF(DASHBOARD!$C$8="All",TRUE,$AF346&gt;=DASHBOARD!$C$8),IF(DASHBOARD!$C$10="All",TRUE,$AF346&lt;=DASHBOARD!$C$10),IF(DASHBOARD!$C$12="All",TRUE,$AH346=VALUE(DASHBOARD!$C$12)),IF(DASHBOARD!$C$14="All",TRUE,$AJ346=DASHBOARD!$C$14)),1,0))</f>
        <v/>
      </c>
    </row>
    <row r="347">
      <c r="A347" t="n">
        <v>182175</v>
      </c>
      <c r="B347" t="inlineStr">
        <is>
          <t>Face Malai</t>
        </is>
      </c>
      <c r="C347" t="inlineStr">
        <is>
          <t>Face Malai</t>
        </is>
      </c>
      <c r="D347" t="inlineStr">
        <is>
          <t>Active Gel</t>
        </is>
      </c>
      <c r="H347" t="inlineStr">
        <is>
          <t>Flax Carrot (Hot Humid) 35+ Face Malai - 50g</t>
        </is>
      </c>
      <c r="I347" t="inlineStr">
        <is>
          <t>Flax Carrot (Hot Humid) 35+ Face Malai - 50g</t>
        </is>
      </c>
      <c r="J347" t="inlineStr">
        <is>
          <t>Active Olive Vit-E Night Gel, Active Neem TeaTree Gel, Active Orange Kiwi Vit-C Gel</t>
        </is>
      </c>
      <c r="N347" t="inlineStr">
        <is>
          <t>FC-HHDM-FC-050</t>
        </is>
      </c>
      <c r="O347" t="inlineStr">
        <is>
          <t>FC-HHDM-FC-050</t>
        </is>
      </c>
      <c r="P347" t="inlineStr">
        <is>
          <t>FC-AC-OK-050, FC-AC-OV-050, FC-AC-NT-050</t>
        </is>
      </c>
      <c r="T347" t="inlineStr">
        <is>
          <t>Sep 10, 2024</t>
        </is>
      </c>
      <c r="U347" t="inlineStr">
        <is>
          <t>Oct 22, 2024</t>
        </is>
      </c>
      <c r="V347" t="inlineStr">
        <is>
          <t>Jan 3, 2025</t>
        </is>
      </c>
      <c r="Z347" t="n">
        <v>42</v>
      </c>
      <c r="AA347" t="n">
        <v>73</v>
      </c>
      <c r="AE347" t="inlineStr">
        <is>
          <t>Ernakulam</t>
        </is>
      </c>
      <c r="AF347" t="inlineStr">
        <is>
          <t>2024-09</t>
        </is>
      </c>
      <c r="AG347" t="n">
        <v>9</v>
      </c>
      <c r="AH347" t="n">
        <v>3</v>
      </c>
      <c r="AI347" t="n">
        <v>1</v>
      </c>
      <c r="AJ347">
        <f>IF($AE347="","",IFERROR(VLOOKUP(TRIM($AE347),DECODE!$H$3:$I$60,2,FALSE),"Rest of India"))</f>
        <v/>
      </c>
      <c r="AK347">
        <f>IF($N347="","",UPPER(TRIM(LEFT($N347&amp;",",FIND(",",$N347&amp;",")-1))))</f>
        <v/>
      </c>
      <c r="AL347">
        <f>IF($AK347="","",MID($AK347,4,FIND("~",SUBSTITUTE($AK347,"-","~",2))-4))</f>
        <v/>
      </c>
      <c r="AM347">
        <f>IF($AK347="","",MID($AK347,FIND("~",SUBSTITUTE($AK347,"-","~",2))+1,FIND("~",SUBSTITUTE($AK347,"-","~",3))-FIND("~",SUBSTITUTE($AK347,"-","~",2))-1))</f>
        <v/>
      </c>
      <c r="AN347">
        <f>IF($AL347="","",IFERROR(VLOOKUP($AL347,DECODE!$A$3:$C$8,3,FALSE),"?"))</f>
        <v/>
      </c>
      <c r="AO347">
        <f>IF($AM347="","",IFERROR(VLOOKUP($AL347&amp;"-"&amp;$AM347,DECODE!$E$3:$F$21,2,FALSE),"?"))</f>
        <v/>
      </c>
      <c r="AP347">
        <f>IF($AK347="","",IFERROR(VALUE(RIGHT($AK347,3)),""))</f>
        <v/>
      </c>
      <c r="AQ347">
        <f>IF($T347="","",IFERROR(IF(ISNUMBER($T347),$T347,DATEVALUE(TRIM($T347))),""))</f>
        <v/>
      </c>
      <c r="AR347">
        <f>IF($AQ347="","",IF(MONTH($AQ347)&gt;=12,"Cold Winter",IF(MONTH($AQ347)&gt;=10,"Post-Monsoon",IF(MONTH($AQ347)&gt;=6,"Hot Humid",IF(MONTH($AQ347)&gt;=3,"Hot Dry","Cold Winter")))))</f>
        <v/>
      </c>
      <c r="AS347">
        <f>IF($AL347="","",IFERROR(VLOOKUP($AL347,DECODE!$A$3:$C$8,2,FALSE),"?"))</f>
        <v/>
      </c>
      <c r="AT347">
        <f>IF($O347="","",UPPER(TRIM(LEFT($O347&amp;",",FIND(",",$O347&amp;",")-1))))</f>
        <v/>
      </c>
      <c r="AU347">
        <f>IF($AT347="","",MID($AT347,4,FIND("~",SUBSTITUTE($AT347,"-","~",2))-4))</f>
        <v/>
      </c>
      <c r="AV347">
        <f>IF($AT347="","",MID($AT347,FIND("~",SUBSTITUTE($AT347,"-","~",2))+1,FIND("~",SUBSTITUTE($AT347,"-","~",3))-FIND("~",SUBSTITUTE($AT347,"-","~",2))-1))</f>
        <v/>
      </c>
      <c r="AW347">
        <f>IF($AU347="","",IFERROR(VLOOKUP($AU347,DECODE!$A$3:$C$8,3,FALSE),"?"))</f>
        <v/>
      </c>
      <c r="AX347">
        <f>IF($AV347="","",IFERROR(VLOOKUP($AU347&amp;"-"&amp;$AV347,DECODE!$E$3:$F$21,2,FALSE),"?"))</f>
        <v/>
      </c>
      <c r="AY347">
        <f>IF($AT347="","",IFERROR(VALUE(RIGHT($AT347,3)),""))</f>
        <v/>
      </c>
      <c r="AZ347">
        <f>IF($U347="","",IFERROR(IF(ISNUMBER($U347),$U347,DATEVALUE(TRIM($U347))),""))</f>
        <v/>
      </c>
      <c r="BA347">
        <f>IF($AZ347="","",IF(MONTH($AZ347)&gt;=12,"Cold Winter",IF(MONTH($AZ347)&gt;=10,"Post-Monsoon",IF(MONTH($AZ347)&gt;=6,"Hot Humid",IF(MONTH($AZ347)&gt;=3,"Hot Dry","Cold Winter")))))</f>
        <v/>
      </c>
      <c r="BB347">
        <f>IF($AU347="","",IFERROR(VLOOKUP($AU347,DECODE!$A$3:$C$8,2,FALSE),"?"))</f>
        <v/>
      </c>
      <c r="BC347">
        <f>IF($P347="","",UPPER(TRIM(LEFT($P347&amp;",",FIND(",",$P347&amp;",")-1))))</f>
        <v/>
      </c>
      <c r="BD347">
        <f>IF($BC347="","",MID($BC347,4,FIND("~",SUBSTITUTE($BC347,"-","~",2))-4))</f>
        <v/>
      </c>
      <c r="BE347">
        <f>IF($BC347="","",MID($BC347,FIND("~",SUBSTITUTE($BC347,"-","~",2))+1,FIND("~",SUBSTITUTE($BC347,"-","~",3))-FIND("~",SUBSTITUTE($BC347,"-","~",2))-1))</f>
        <v/>
      </c>
      <c r="BF347">
        <f>IF($BD347="","",IFERROR(VLOOKUP($BD347,DECODE!$A$3:$C$8,3,FALSE),"?"))</f>
        <v/>
      </c>
      <c r="BG347">
        <f>IF($BE347="","",IFERROR(VLOOKUP($BD347&amp;"-"&amp;$BE347,DECODE!$E$3:$F$21,2,FALSE),"?"))</f>
        <v/>
      </c>
      <c r="BH347">
        <f>IF($BC347="","",IFERROR(VALUE(RIGHT($BC347,3)),""))</f>
        <v/>
      </c>
      <c r="BI347">
        <f>IF($V347="","",IFERROR(IF(ISNUMBER($V347),$V347,DATEVALUE(TRIM($V347))),""))</f>
        <v/>
      </c>
      <c r="BJ347">
        <f>IF($BI347="","",IF(MONTH($BI347)&gt;=12,"Cold Winter",IF(MONTH($BI347)&gt;=10,"Post-Monsoon",IF(MONTH($BI347)&gt;=6,"Hot Humid",IF(MONTH($BI347)&gt;=3,"Hot Dry","Cold Winter")))))</f>
        <v/>
      </c>
      <c r="BK347">
        <f>IF($BD347="","",IFERROR(VLOOKUP($BD347,DECODE!$A$3:$C$8,2,FALSE),"?"))</f>
        <v/>
      </c>
      <c r="BL347">
        <f>IF($Q347="","",UPPER(TRIM(LEFT($Q347&amp;",",FIND(",",$Q347&amp;",")-1))))</f>
        <v/>
      </c>
      <c r="BM347">
        <f>IF($BL347="","",MID($BL347,4,FIND("~",SUBSTITUTE($BL347,"-","~",2))-4))</f>
        <v/>
      </c>
      <c r="BN347">
        <f>IF($BL347="","",MID($BL347,FIND("~",SUBSTITUTE($BL347,"-","~",2))+1,FIND("~",SUBSTITUTE($BL347,"-","~",3))-FIND("~",SUBSTITUTE($BL347,"-","~",2))-1))</f>
        <v/>
      </c>
      <c r="BO347">
        <f>IF($BM347="","",IFERROR(VLOOKUP($BM347,DECODE!$A$3:$C$8,3,FALSE),"?"))</f>
        <v/>
      </c>
      <c r="BP347">
        <f>IF($BN347="","",IFERROR(VLOOKUP($BM347&amp;"-"&amp;$BN347,DECODE!$E$3:$F$21,2,FALSE),"?"))</f>
        <v/>
      </c>
      <c r="BQ347">
        <f>IF($BL347="","",IFERROR(VALUE(RIGHT($BL347,3)),""))</f>
        <v/>
      </c>
      <c r="BR347">
        <f>IF($W347="","",IFERROR(IF(ISNUMBER($W347),$W347,DATEVALUE(TRIM($W347))),""))</f>
        <v/>
      </c>
      <c r="BS347">
        <f>IF($BR347="","",IF(MONTH($BR347)&gt;=12,"Cold Winter",IF(MONTH($BR347)&gt;=10,"Post-Monsoon",IF(MONTH($BR347)&gt;=6,"Hot Humid",IF(MONTH($BR347)&gt;=3,"Hot Dry","Cold Winter")))))</f>
        <v/>
      </c>
      <c r="BT347">
        <f>IF($BM347="","",IFERROR(VLOOKUP($BM347,DECODE!$A$3:$C$8,2,FALSE),"?"))</f>
        <v/>
      </c>
      <c r="BU347">
        <f>IF($R347="","",UPPER(TRIM(LEFT($R347&amp;",",FIND(",",$R347&amp;",")-1))))</f>
        <v/>
      </c>
      <c r="BV347">
        <f>IF($BU347="","",MID($BU347,4,FIND("~",SUBSTITUTE($BU347,"-","~",2))-4))</f>
        <v/>
      </c>
      <c r="BW347">
        <f>IF($BU347="","",MID($BU347,FIND("~",SUBSTITUTE($BU347,"-","~",2))+1,FIND("~",SUBSTITUTE($BU347,"-","~",3))-FIND("~",SUBSTITUTE($BU347,"-","~",2))-1))</f>
        <v/>
      </c>
      <c r="BX347">
        <f>IF($BV347="","",IFERROR(VLOOKUP($BV347,DECODE!$A$3:$C$8,3,FALSE),"?"))</f>
        <v/>
      </c>
      <c r="BY347">
        <f>IF($BW347="","",IFERROR(VLOOKUP($BV347&amp;"-"&amp;$BW347,DECODE!$E$3:$F$21,2,FALSE),"?"))</f>
        <v/>
      </c>
      <c r="BZ347">
        <f>IF($BU347="","",IFERROR(VALUE(RIGHT($BU347,3)),""))</f>
        <v/>
      </c>
      <c r="CA347">
        <f>IF($X347="","",IFERROR(IF(ISNUMBER($X347),$X347,DATEVALUE(TRIM($X347))),""))</f>
        <v/>
      </c>
      <c r="CB347">
        <f>IF($CA347="","",IF(MONTH($CA347)&gt;=12,"Cold Winter",IF(MONTH($CA347)&gt;=10,"Post-Monsoon",IF(MONTH($CA347)&gt;=6,"Hot Humid",IF(MONTH($CA347)&gt;=3,"Hot Dry","Cold Winter")))))</f>
        <v/>
      </c>
      <c r="CC347">
        <f>IF($BV347="","",IFERROR(VLOOKUP($BV347,DECODE!$A$3:$C$8,2,FALSE),"?"))</f>
        <v/>
      </c>
      <c r="CD347">
        <f>IF($S347="","",UPPER(TRIM(LEFT($S347&amp;",",FIND(",",$S347&amp;",")-1))))</f>
        <v/>
      </c>
      <c r="CE347">
        <f>IF($CD347="","",MID($CD347,4,FIND("~",SUBSTITUTE($CD347,"-","~",2))-4))</f>
        <v/>
      </c>
      <c r="CF347">
        <f>IF($CD347="","",MID($CD347,FIND("~",SUBSTITUTE($CD347,"-","~",2))+1,FIND("~",SUBSTITUTE($CD347,"-","~",3))-FIND("~",SUBSTITUTE($CD347,"-","~",2))-1))</f>
        <v/>
      </c>
      <c r="CG347">
        <f>IF($CE347="","",IFERROR(VLOOKUP($CE347,DECODE!$A$3:$C$8,3,FALSE),"?"))</f>
        <v/>
      </c>
      <c r="CH347">
        <f>IF($CF347="","",IFERROR(VLOOKUP($CE347&amp;"-"&amp;$CF347,DECODE!$E$3:$F$21,2,FALSE),"?"))</f>
        <v/>
      </c>
      <c r="CI347">
        <f>IF($CD347="","",IFERROR(VALUE(RIGHT($CD347,3)),""))</f>
        <v/>
      </c>
      <c r="CJ347">
        <f>IF($Y347="","",IFERROR(IF(ISNUMBER($Y347),$Y347,DATEVALUE(TRIM($Y347))),""))</f>
        <v/>
      </c>
      <c r="CK347">
        <f>IF($CJ347="","",IF(MONTH($CJ347)&gt;=12,"Cold Winter",IF(MONTH($CJ347)&gt;=10,"Post-Monsoon",IF(MONTH($CJ347)&gt;=6,"Hot Humid",IF(MONTH($CJ347)&gt;=3,"Hot Dry","Cold Winter")))))</f>
        <v/>
      </c>
      <c r="CL347">
        <f>IF($CE347="","",IFERROR(VLOOKUP($CE347,DECODE!$A$3:$C$8,2,FALSE),"?"))</f>
        <v/>
      </c>
      <c r="CM347">
        <f>IF($AN347="","",AN347)</f>
        <v/>
      </c>
      <c r="CN347">
        <f>IF($AO347="","",AO347)</f>
        <v/>
      </c>
      <c r="CO347">
        <f>IF($AP347="","",AP347)</f>
        <v/>
      </c>
      <c r="CP347">
        <f>IF($CM347="","",IF($CM347="Aloe Vera Gel","Aloe Vera Gel "&amp;$CO347&amp;"g",CN347&amp;" "&amp;$CO347&amp;"g"))</f>
        <v/>
      </c>
      <c r="CQ347">
        <f>IF($AT347="",0,1)</f>
        <v/>
      </c>
      <c r="CR347">
        <f>IF($CQ347=0,"",AW347)</f>
        <v/>
      </c>
      <c r="CS347">
        <f>IF($CQ347=0,"",AX347)</f>
        <v/>
      </c>
      <c r="CT347">
        <f>IF($CQ347=0,"",AY347)</f>
        <v/>
      </c>
      <c r="CU347">
        <f>IF($CR347="","",IF($CR347="Aloe Vera Gel","Aloe Vera Gel "&amp;$CT347&amp;"g",CS347&amp;" "&amp;$CT347&amp;"g"))</f>
        <v/>
      </c>
      <c r="CV347">
        <f>IF($CQ347=0,"",IF($CP347=$CU347,"Repeat Exact",IF($CT347&gt;$CO347,"Upsized",IF($CT347&lt;$CO347,"Downsized",IF($CM347&lt;&gt;$CR347,"Lateral","Same Size Diff Variant")))))</f>
        <v/>
      </c>
      <c r="CW347">
        <f>IF($CQ347=0,"",AZ347-AQ347)</f>
        <v/>
      </c>
      <c r="CX347">
        <f>IF($CQ347=0,0,IF(CS347=CN347,1,0))</f>
        <v/>
      </c>
      <c r="CY347">
        <f>IF($CQ347=0,0,IF(CR347=CM347,1,0))</f>
        <v/>
      </c>
      <c r="CZ347">
        <f>IF($A347="","",IF(AND(IF(DASHBOARD!$C$4="All",TRUE,$CM347=DASHBOARD!$C$4),IF(DASHBOARD!$C$6="All",TRUE,$CP347=DASHBOARD!$C$6),IF(DASHBOARD!$C$8="All",TRUE,$AF347&gt;=DASHBOARD!$C$8),IF(DASHBOARD!$C$10="All",TRUE,$AF347&lt;=DASHBOARD!$C$10),IF(DASHBOARD!$C$12="All",TRUE,$AH347=VALUE(DASHBOARD!$C$12)),IF(DASHBOARD!$C$14="All",TRUE,$AJ347=DASHBOARD!$C$14)),1,0))</f>
        <v/>
      </c>
    </row>
    <row r="348">
      <c r="A348" t="n">
        <v>182191</v>
      </c>
      <c r="B348" t="inlineStr">
        <is>
          <t>Face Malai</t>
        </is>
      </c>
      <c r="H348" t="inlineStr">
        <is>
          <t>Flax Carrot (Hot Humid) 35+ Face Malai - 30g</t>
        </is>
      </c>
      <c r="N348" t="inlineStr">
        <is>
          <t>FC-HHDM-FC-030</t>
        </is>
      </c>
      <c r="T348" t="inlineStr">
        <is>
          <t>Oct 15, 2025</t>
        </is>
      </c>
      <c r="AE348" t="inlineStr">
        <is>
          <t>Chennai</t>
        </is>
      </c>
      <c r="AF348" t="inlineStr">
        <is>
          <t>2025-10</t>
        </is>
      </c>
      <c r="AG348" t="n">
        <v>10</v>
      </c>
      <c r="AH348" t="n">
        <v>1</v>
      </c>
      <c r="AI348" t="n">
        <v>0</v>
      </c>
      <c r="AJ348">
        <f>IF($AE348="","",IFERROR(VLOOKUP(TRIM($AE348),DECODE!$H$3:$I$60,2,FALSE),"Rest of India"))</f>
        <v/>
      </c>
      <c r="AK348">
        <f>IF($N348="","",UPPER(TRIM(LEFT($N348&amp;",",FIND(",",$N348&amp;",")-1))))</f>
        <v/>
      </c>
      <c r="AL348">
        <f>IF($AK348="","",MID($AK348,4,FIND("~",SUBSTITUTE($AK348,"-","~",2))-4))</f>
        <v/>
      </c>
      <c r="AM348">
        <f>IF($AK348="","",MID($AK348,FIND("~",SUBSTITUTE($AK348,"-","~",2))+1,FIND("~",SUBSTITUTE($AK348,"-","~",3))-FIND("~",SUBSTITUTE($AK348,"-","~",2))-1))</f>
        <v/>
      </c>
      <c r="AN348">
        <f>IF($AL348="","",IFERROR(VLOOKUP($AL348,DECODE!$A$3:$C$8,3,FALSE),"?"))</f>
        <v/>
      </c>
      <c r="AO348">
        <f>IF($AM348="","",IFERROR(VLOOKUP($AL348&amp;"-"&amp;$AM348,DECODE!$E$3:$F$21,2,FALSE),"?"))</f>
        <v/>
      </c>
      <c r="AP348">
        <f>IF($AK348="","",IFERROR(VALUE(RIGHT($AK348,3)),""))</f>
        <v/>
      </c>
      <c r="AQ348">
        <f>IF($T348="","",IFERROR(IF(ISNUMBER($T348),$T348,DATEVALUE(TRIM($T348))),""))</f>
        <v/>
      </c>
      <c r="AR348">
        <f>IF($AQ348="","",IF(MONTH($AQ348)&gt;=12,"Cold Winter",IF(MONTH($AQ348)&gt;=10,"Post-Monsoon",IF(MONTH($AQ348)&gt;=6,"Hot Humid",IF(MONTH($AQ348)&gt;=3,"Hot Dry","Cold Winter")))))</f>
        <v/>
      </c>
      <c r="AS348">
        <f>IF($AL348="","",IFERROR(VLOOKUP($AL348,DECODE!$A$3:$C$8,2,FALSE),"?"))</f>
        <v/>
      </c>
      <c r="AT348">
        <f>IF($O348="","",UPPER(TRIM(LEFT($O348&amp;",",FIND(",",$O348&amp;",")-1))))</f>
        <v/>
      </c>
      <c r="AU348">
        <f>IF($AT348="","",MID($AT348,4,FIND("~",SUBSTITUTE($AT348,"-","~",2))-4))</f>
        <v/>
      </c>
      <c r="AV348">
        <f>IF($AT348="","",MID($AT348,FIND("~",SUBSTITUTE($AT348,"-","~",2))+1,FIND("~",SUBSTITUTE($AT348,"-","~",3))-FIND("~",SUBSTITUTE($AT348,"-","~",2))-1))</f>
        <v/>
      </c>
      <c r="AW348">
        <f>IF($AU348="","",IFERROR(VLOOKUP($AU348,DECODE!$A$3:$C$8,3,FALSE),"?"))</f>
        <v/>
      </c>
      <c r="AX348">
        <f>IF($AV348="","",IFERROR(VLOOKUP($AU348&amp;"-"&amp;$AV348,DECODE!$E$3:$F$21,2,FALSE),"?"))</f>
        <v/>
      </c>
      <c r="AY348">
        <f>IF($AT348="","",IFERROR(VALUE(RIGHT($AT348,3)),""))</f>
        <v/>
      </c>
      <c r="AZ348">
        <f>IF($U348="","",IFERROR(IF(ISNUMBER($U348),$U348,DATEVALUE(TRIM($U348))),""))</f>
        <v/>
      </c>
      <c r="BA348">
        <f>IF($AZ348="","",IF(MONTH($AZ348)&gt;=12,"Cold Winter",IF(MONTH($AZ348)&gt;=10,"Post-Monsoon",IF(MONTH($AZ348)&gt;=6,"Hot Humid",IF(MONTH($AZ348)&gt;=3,"Hot Dry","Cold Winter")))))</f>
        <v/>
      </c>
      <c r="BB348">
        <f>IF($AU348="","",IFERROR(VLOOKUP($AU348,DECODE!$A$3:$C$8,2,FALSE),"?"))</f>
        <v/>
      </c>
      <c r="BC348">
        <f>IF($P348="","",UPPER(TRIM(LEFT($P348&amp;",",FIND(",",$P348&amp;",")-1))))</f>
        <v/>
      </c>
      <c r="BD348">
        <f>IF($BC348="","",MID($BC348,4,FIND("~",SUBSTITUTE($BC348,"-","~",2))-4))</f>
        <v/>
      </c>
      <c r="BE348">
        <f>IF($BC348="","",MID($BC348,FIND("~",SUBSTITUTE($BC348,"-","~",2))+1,FIND("~",SUBSTITUTE($BC348,"-","~",3))-FIND("~",SUBSTITUTE($BC348,"-","~",2))-1))</f>
        <v/>
      </c>
      <c r="BF348">
        <f>IF($BD348="","",IFERROR(VLOOKUP($BD348,DECODE!$A$3:$C$8,3,FALSE),"?"))</f>
        <v/>
      </c>
      <c r="BG348">
        <f>IF($BE348="","",IFERROR(VLOOKUP($BD348&amp;"-"&amp;$BE348,DECODE!$E$3:$F$21,2,FALSE),"?"))</f>
        <v/>
      </c>
      <c r="BH348">
        <f>IF($BC348="","",IFERROR(VALUE(RIGHT($BC348,3)),""))</f>
        <v/>
      </c>
      <c r="BI348">
        <f>IF($V348="","",IFERROR(IF(ISNUMBER($V348),$V348,DATEVALUE(TRIM($V348))),""))</f>
        <v/>
      </c>
      <c r="BJ348">
        <f>IF($BI348="","",IF(MONTH($BI348)&gt;=12,"Cold Winter",IF(MONTH($BI348)&gt;=10,"Post-Monsoon",IF(MONTH($BI348)&gt;=6,"Hot Humid",IF(MONTH($BI348)&gt;=3,"Hot Dry","Cold Winter")))))</f>
        <v/>
      </c>
      <c r="BK348">
        <f>IF($BD348="","",IFERROR(VLOOKUP($BD348,DECODE!$A$3:$C$8,2,FALSE),"?"))</f>
        <v/>
      </c>
      <c r="BL348">
        <f>IF($Q348="","",UPPER(TRIM(LEFT($Q348&amp;",",FIND(",",$Q348&amp;",")-1))))</f>
        <v/>
      </c>
      <c r="BM348">
        <f>IF($BL348="","",MID($BL348,4,FIND("~",SUBSTITUTE($BL348,"-","~",2))-4))</f>
        <v/>
      </c>
      <c r="BN348">
        <f>IF($BL348="","",MID($BL348,FIND("~",SUBSTITUTE($BL348,"-","~",2))+1,FIND("~",SUBSTITUTE($BL348,"-","~",3))-FIND("~",SUBSTITUTE($BL348,"-","~",2))-1))</f>
        <v/>
      </c>
      <c r="BO348">
        <f>IF($BM348="","",IFERROR(VLOOKUP($BM348,DECODE!$A$3:$C$8,3,FALSE),"?"))</f>
        <v/>
      </c>
      <c r="BP348">
        <f>IF($BN348="","",IFERROR(VLOOKUP($BM348&amp;"-"&amp;$BN348,DECODE!$E$3:$F$21,2,FALSE),"?"))</f>
        <v/>
      </c>
      <c r="BQ348">
        <f>IF($BL348="","",IFERROR(VALUE(RIGHT($BL348,3)),""))</f>
        <v/>
      </c>
      <c r="BR348">
        <f>IF($W348="","",IFERROR(IF(ISNUMBER($W348),$W348,DATEVALUE(TRIM($W348))),""))</f>
        <v/>
      </c>
      <c r="BS348">
        <f>IF($BR348="","",IF(MONTH($BR348)&gt;=12,"Cold Winter",IF(MONTH($BR348)&gt;=10,"Post-Monsoon",IF(MONTH($BR348)&gt;=6,"Hot Humid",IF(MONTH($BR348)&gt;=3,"Hot Dry","Cold Winter")))))</f>
        <v/>
      </c>
      <c r="BT348">
        <f>IF($BM348="","",IFERROR(VLOOKUP($BM348,DECODE!$A$3:$C$8,2,FALSE),"?"))</f>
        <v/>
      </c>
      <c r="BU348">
        <f>IF($R348="","",UPPER(TRIM(LEFT($R348&amp;",",FIND(",",$R348&amp;",")-1))))</f>
        <v/>
      </c>
      <c r="BV348">
        <f>IF($BU348="","",MID($BU348,4,FIND("~",SUBSTITUTE($BU348,"-","~",2))-4))</f>
        <v/>
      </c>
      <c r="BW348">
        <f>IF($BU348="","",MID($BU348,FIND("~",SUBSTITUTE($BU348,"-","~",2))+1,FIND("~",SUBSTITUTE($BU348,"-","~",3))-FIND("~",SUBSTITUTE($BU348,"-","~",2))-1))</f>
        <v/>
      </c>
      <c r="BX348">
        <f>IF($BV348="","",IFERROR(VLOOKUP($BV348,DECODE!$A$3:$C$8,3,FALSE),"?"))</f>
        <v/>
      </c>
      <c r="BY348">
        <f>IF($BW348="","",IFERROR(VLOOKUP($BV348&amp;"-"&amp;$BW348,DECODE!$E$3:$F$21,2,FALSE),"?"))</f>
        <v/>
      </c>
      <c r="BZ348">
        <f>IF($BU348="","",IFERROR(VALUE(RIGHT($BU348,3)),""))</f>
        <v/>
      </c>
      <c r="CA348">
        <f>IF($X348="","",IFERROR(IF(ISNUMBER($X348),$X348,DATEVALUE(TRIM($X348))),""))</f>
        <v/>
      </c>
      <c r="CB348">
        <f>IF($CA348="","",IF(MONTH($CA348)&gt;=12,"Cold Winter",IF(MONTH($CA348)&gt;=10,"Post-Monsoon",IF(MONTH($CA348)&gt;=6,"Hot Humid",IF(MONTH($CA348)&gt;=3,"Hot Dry","Cold Winter")))))</f>
        <v/>
      </c>
      <c r="CC348">
        <f>IF($BV348="","",IFERROR(VLOOKUP($BV348,DECODE!$A$3:$C$8,2,FALSE),"?"))</f>
        <v/>
      </c>
      <c r="CD348">
        <f>IF($S348="","",UPPER(TRIM(LEFT($S348&amp;",",FIND(",",$S348&amp;",")-1))))</f>
        <v/>
      </c>
      <c r="CE348">
        <f>IF($CD348="","",MID($CD348,4,FIND("~",SUBSTITUTE($CD348,"-","~",2))-4))</f>
        <v/>
      </c>
      <c r="CF348">
        <f>IF($CD348="","",MID($CD348,FIND("~",SUBSTITUTE($CD348,"-","~",2))+1,FIND("~",SUBSTITUTE($CD348,"-","~",3))-FIND("~",SUBSTITUTE($CD348,"-","~",2))-1))</f>
        <v/>
      </c>
      <c r="CG348">
        <f>IF($CE348="","",IFERROR(VLOOKUP($CE348,DECODE!$A$3:$C$8,3,FALSE),"?"))</f>
        <v/>
      </c>
      <c r="CH348">
        <f>IF($CF348="","",IFERROR(VLOOKUP($CE348&amp;"-"&amp;$CF348,DECODE!$E$3:$F$21,2,FALSE),"?"))</f>
        <v/>
      </c>
      <c r="CI348">
        <f>IF($CD348="","",IFERROR(VALUE(RIGHT($CD348,3)),""))</f>
        <v/>
      </c>
      <c r="CJ348">
        <f>IF($Y348="","",IFERROR(IF(ISNUMBER($Y348),$Y348,DATEVALUE(TRIM($Y348))),""))</f>
        <v/>
      </c>
      <c r="CK348">
        <f>IF($CJ348="","",IF(MONTH($CJ348)&gt;=12,"Cold Winter",IF(MONTH($CJ348)&gt;=10,"Post-Monsoon",IF(MONTH($CJ348)&gt;=6,"Hot Humid",IF(MONTH($CJ348)&gt;=3,"Hot Dry","Cold Winter")))))</f>
        <v/>
      </c>
      <c r="CL348">
        <f>IF($CE348="","",IFERROR(VLOOKUP($CE348,DECODE!$A$3:$C$8,2,FALSE),"?"))</f>
        <v/>
      </c>
      <c r="CM348">
        <f>IF($AN348="","",AN348)</f>
        <v/>
      </c>
      <c r="CN348">
        <f>IF($AO348="","",AO348)</f>
        <v/>
      </c>
      <c r="CO348">
        <f>IF($AP348="","",AP348)</f>
        <v/>
      </c>
      <c r="CP348">
        <f>IF($CM348="","",IF($CM348="Aloe Vera Gel","Aloe Vera Gel "&amp;$CO348&amp;"g",CN348&amp;" "&amp;$CO348&amp;"g"))</f>
        <v/>
      </c>
      <c r="CQ348">
        <f>IF($AT348="",0,1)</f>
        <v/>
      </c>
      <c r="CR348">
        <f>IF($CQ348=0,"",AW348)</f>
        <v/>
      </c>
      <c r="CS348">
        <f>IF($CQ348=0,"",AX348)</f>
        <v/>
      </c>
      <c r="CT348">
        <f>IF($CQ348=0,"",AY348)</f>
        <v/>
      </c>
      <c r="CU348">
        <f>IF($CR348="","",IF($CR348="Aloe Vera Gel","Aloe Vera Gel "&amp;$CT348&amp;"g",CS348&amp;" "&amp;$CT348&amp;"g"))</f>
        <v/>
      </c>
      <c r="CV348">
        <f>IF($CQ348=0,"",IF($CP348=$CU348,"Repeat Exact",IF($CT348&gt;$CO348,"Upsized",IF($CT348&lt;$CO348,"Downsized",IF($CM348&lt;&gt;$CR348,"Lateral","Same Size Diff Variant")))))</f>
        <v/>
      </c>
      <c r="CW348">
        <f>IF($CQ348=0,"",AZ348-AQ348)</f>
        <v/>
      </c>
      <c r="CX348">
        <f>IF($CQ348=0,0,IF(CS348=CN348,1,0))</f>
        <v/>
      </c>
      <c r="CY348">
        <f>IF($CQ348=0,0,IF(CR348=CM348,1,0))</f>
        <v/>
      </c>
      <c r="CZ348">
        <f>IF($A348="","",IF(AND(IF(DASHBOARD!$C$4="All",TRUE,$CM348=DASHBOARD!$C$4),IF(DASHBOARD!$C$6="All",TRUE,$CP348=DASHBOARD!$C$6),IF(DASHBOARD!$C$8="All",TRUE,$AF348&gt;=DASHBOARD!$C$8),IF(DASHBOARD!$C$10="All",TRUE,$AF348&lt;=DASHBOARD!$C$10),IF(DASHBOARD!$C$12="All",TRUE,$AH348=VALUE(DASHBOARD!$C$12)),IF(DASHBOARD!$C$14="All",TRUE,$AJ348=DASHBOARD!$C$14)),1,0))</f>
        <v/>
      </c>
    </row>
    <row r="349">
      <c r="A349" t="n">
        <v>182406</v>
      </c>
      <c r="B349" t="inlineStr">
        <is>
          <t>Face Malai</t>
        </is>
      </c>
      <c r="H349" t="inlineStr">
        <is>
          <t>Flax Walnut (Cold) 35+ Face Malai</t>
        </is>
      </c>
      <c r="N349" t="inlineStr">
        <is>
          <t>FC-CWDM-FW-030</t>
        </is>
      </c>
      <c r="T349" t="inlineStr">
        <is>
          <t>Dec 12, 2024</t>
        </is>
      </c>
      <c r="AE349" t="inlineStr">
        <is>
          <t>New Delhi</t>
        </is>
      </c>
      <c r="AF349" t="inlineStr">
        <is>
          <t>2024-12</t>
        </is>
      </c>
      <c r="AG349" t="n">
        <v>12</v>
      </c>
      <c r="AH349" t="n">
        <v>1</v>
      </c>
      <c r="AI349" t="n">
        <v>0</v>
      </c>
      <c r="AJ349">
        <f>IF($AE349="","",IFERROR(VLOOKUP(TRIM($AE349),DECODE!$H$3:$I$60,2,FALSE),"Rest of India"))</f>
        <v/>
      </c>
      <c r="AK349">
        <f>IF($N349="","",UPPER(TRIM(LEFT($N349&amp;",",FIND(",",$N349&amp;",")-1))))</f>
        <v/>
      </c>
      <c r="AL349">
        <f>IF($AK349="","",MID($AK349,4,FIND("~",SUBSTITUTE($AK349,"-","~",2))-4))</f>
        <v/>
      </c>
      <c r="AM349">
        <f>IF($AK349="","",MID($AK349,FIND("~",SUBSTITUTE($AK349,"-","~",2))+1,FIND("~",SUBSTITUTE($AK349,"-","~",3))-FIND("~",SUBSTITUTE($AK349,"-","~",2))-1))</f>
        <v/>
      </c>
      <c r="AN349">
        <f>IF($AL349="","",IFERROR(VLOOKUP($AL349,DECODE!$A$3:$C$8,3,FALSE),"?"))</f>
        <v/>
      </c>
      <c r="AO349">
        <f>IF($AM349="","",IFERROR(VLOOKUP($AL349&amp;"-"&amp;$AM349,DECODE!$E$3:$F$21,2,FALSE),"?"))</f>
        <v/>
      </c>
      <c r="AP349">
        <f>IF($AK349="","",IFERROR(VALUE(RIGHT($AK349,3)),""))</f>
        <v/>
      </c>
      <c r="AQ349">
        <f>IF($T349="","",IFERROR(IF(ISNUMBER($T349),$T349,DATEVALUE(TRIM($T349))),""))</f>
        <v/>
      </c>
      <c r="AR349">
        <f>IF($AQ349="","",IF(MONTH($AQ349)&gt;=12,"Cold Winter",IF(MONTH($AQ349)&gt;=10,"Post-Monsoon",IF(MONTH($AQ349)&gt;=6,"Hot Humid",IF(MONTH($AQ349)&gt;=3,"Hot Dry","Cold Winter")))))</f>
        <v/>
      </c>
      <c r="AS349">
        <f>IF($AL349="","",IFERROR(VLOOKUP($AL349,DECODE!$A$3:$C$8,2,FALSE),"?"))</f>
        <v/>
      </c>
      <c r="AT349">
        <f>IF($O349="","",UPPER(TRIM(LEFT($O349&amp;",",FIND(",",$O349&amp;",")-1))))</f>
        <v/>
      </c>
      <c r="AU349">
        <f>IF($AT349="","",MID($AT349,4,FIND("~",SUBSTITUTE($AT349,"-","~",2))-4))</f>
        <v/>
      </c>
      <c r="AV349">
        <f>IF($AT349="","",MID($AT349,FIND("~",SUBSTITUTE($AT349,"-","~",2))+1,FIND("~",SUBSTITUTE($AT349,"-","~",3))-FIND("~",SUBSTITUTE($AT349,"-","~",2))-1))</f>
        <v/>
      </c>
      <c r="AW349">
        <f>IF($AU349="","",IFERROR(VLOOKUP($AU349,DECODE!$A$3:$C$8,3,FALSE),"?"))</f>
        <v/>
      </c>
      <c r="AX349">
        <f>IF($AV349="","",IFERROR(VLOOKUP($AU349&amp;"-"&amp;$AV349,DECODE!$E$3:$F$21,2,FALSE),"?"))</f>
        <v/>
      </c>
      <c r="AY349">
        <f>IF($AT349="","",IFERROR(VALUE(RIGHT($AT349,3)),""))</f>
        <v/>
      </c>
      <c r="AZ349">
        <f>IF($U349="","",IFERROR(IF(ISNUMBER($U349),$U349,DATEVALUE(TRIM($U349))),""))</f>
        <v/>
      </c>
      <c r="BA349">
        <f>IF($AZ349="","",IF(MONTH($AZ349)&gt;=12,"Cold Winter",IF(MONTH($AZ349)&gt;=10,"Post-Monsoon",IF(MONTH($AZ349)&gt;=6,"Hot Humid",IF(MONTH($AZ349)&gt;=3,"Hot Dry","Cold Winter")))))</f>
        <v/>
      </c>
      <c r="BB349">
        <f>IF($AU349="","",IFERROR(VLOOKUP($AU349,DECODE!$A$3:$C$8,2,FALSE),"?"))</f>
        <v/>
      </c>
      <c r="BC349">
        <f>IF($P349="","",UPPER(TRIM(LEFT($P349&amp;",",FIND(",",$P349&amp;",")-1))))</f>
        <v/>
      </c>
      <c r="BD349">
        <f>IF($BC349="","",MID($BC349,4,FIND("~",SUBSTITUTE($BC349,"-","~",2))-4))</f>
        <v/>
      </c>
      <c r="BE349">
        <f>IF($BC349="","",MID($BC349,FIND("~",SUBSTITUTE($BC349,"-","~",2))+1,FIND("~",SUBSTITUTE($BC349,"-","~",3))-FIND("~",SUBSTITUTE($BC349,"-","~",2))-1))</f>
        <v/>
      </c>
      <c r="BF349">
        <f>IF($BD349="","",IFERROR(VLOOKUP($BD349,DECODE!$A$3:$C$8,3,FALSE),"?"))</f>
        <v/>
      </c>
      <c r="BG349">
        <f>IF($BE349="","",IFERROR(VLOOKUP($BD349&amp;"-"&amp;$BE349,DECODE!$E$3:$F$21,2,FALSE),"?"))</f>
        <v/>
      </c>
      <c r="BH349">
        <f>IF($BC349="","",IFERROR(VALUE(RIGHT($BC349,3)),""))</f>
        <v/>
      </c>
      <c r="BI349">
        <f>IF($V349="","",IFERROR(IF(ISNUMBER($V349),$V349,DATEVALUE(TRIM($V349))),""))</f>
        <v/>
      </c>
      <c r="BJ349">
        <f>IF($BI349="","",IF(MONTH($BI349)&gt;=12,"Cold Winter",IF(MONTH($BI349)&gt;=10,"Post-Monsoon",IF(MONTH($BI349)&gt;=6,"Hot Humid",IF(MONTH($BI349)&gt;=3,"Hot Dry","Cold Winter")))))</f>
        <v/>
      </c>
      <c r="BK349">
        <f>IF($BD349="","",IFERROR(VLOOKUP($BD349,DECODE!$A$3:$C$8,2,FALSE),"?"))</f>
        <v/>
      </c>
      <c r="BL349">
        <f>IF($Q349="","",UPPER(TRIM(LEFT($Q349&amp;",",FIND(",",$Q349&amp;",")-1))))</f>
        <v/>
      </c>
      <c r="BM349">
        <f>IF($BL349="","",MID($BL349,4,FIND("~",SUBSTITUTE($BL349,"-","~",2))-4))</f>
        <v/>
      </c>
      <c r="BN349">
        <f>IF($BL349="","",MID($BL349,FIND("~",SUBSTITUTE($BL349,"-","~",2))+1,FIND("~",SUBSTITUTE($BL349,"-","~",3))-FIND("~",SUBSTITUTE($BL349,"-","~",2))-1))</f>
        <v/>
      </c>
      <c r="BO349">
        <f>IF($BM349="","",IFERROR(VLOOKUP($BM349,DECODE!$A$3:$C$8,3,FALSE),"?"))</f>
        <v/>
      </c>
      <c r="BP349">
        <f>IF($BN349="","",IFERROR(VLOOKUP($BM349&amp;"-"&amp;$BN349,DECODE!$E$3:$F$21,2,FALSE),"?"))</f>
        <v/>
      </c>
      <c r="BQ349">
        <f>IF($BL349="","",IFERROR(VALUE(RIGHT($BL349,3)),""))</f>
        <v/>
      </c>
      <c r="BR349">
        <f>IF($W349="","",IFERROR(IF(ISNUMBER($W349),$W349,DATEVALUE(TRIM($W349))),""))</f>
        <v/>
      </c>
      <c r="BS349">
        <f>IF($BR349="","",IF(MONTH($BR349)&gt;=12,"Cold Winter",IF(MONTH($BR349)&gt;=10,"Post-Monsoon",IF(MONTH($BR349)&gt;=6,"Hot Humid",IF(MONTH($BR349)&gt;=3,"Hot Dry","Cold Winter")))))</f>
        <v/>
      </c>
      <c r="BT349">
        <f>IF($BM349="","",IFERROR(VLOOKUP($BM349,DECODE!$A$3:$C$8,2,FALSE),"?"))</f>
        <v/>
      </c>
      <c r="BU349">
        <f>IF($R349="","",UPPER(TRIM(LEFT($R349&amp;",",FIND(",",$R349&amp;",")-1))))</f>
        <v/>
      </c>
      <c r="BV349">
        <f>IF($BU349="","",MID($BU349,4,FIND("~",SUBSTITUTE($BU349,"-","~",2))-4))</f>
        <v/>
      </c>
      <c r="BW349">
        <f>IF($BU349="","",MID($BU349,FIND("~",SUBSTITUTE($BU349,"-","~",2))+1,FIND("~",SUBSTITUTE($BU349,"-","~",3))-FIND("~",SUBSTITUTE($BU349,"-","~",2))-1))</f>
        <v/>
      </c>
      <c r="BX349">
        <f>IF($BV349="","",IFERROR(VLOOKUP($BV349,DECODE!$A$3:$C$8,3,FALSE),"?"))</f>
        <v/>
      </c>
      <c r="BY349">
        <f>IF($BW349="","",IFERROR(VLOOKUP($BV349&amp;"-"&amp;$BW349,DECODE!$E$3:$F$21,2,FALSE),"?"))</f>
        <v/>
      </c>
      <c r="BZ349">
        <f>IF($BU349="","",IFERROR(VALUE(RIGHT($BU349,3)),""))</f>
        <v/>
      </c>
      <c r="CA349">
        <f>IF($X349="","",IFERROR(IF(ISNUMBER($X349),$X349,DATEVALUE(TRIM($X349))),""))</f>
        <v/>
      </c>
      <c r="CB349">
        <f>IF($CA349="","",IF(MONTH($CA349)&gt;=12,"Cold Winter",IF(MONTH($CA349)&gt;=10,"Post-Monsoon",IF(MONTH($CA349)&gt;=6,"Hot Humid",IF(MONTH($CA349)&gt;=3,"Hot Dry","Cold Winter")))))</f>
        <v/>
      </c>
      <c r="CC349">
        <f>IF($BV349="","",IFERROR(VLOOKUP($BV349,DECODE!$A$3:$C$8,2,FALSE),"?"))</f>
        <v/>
      </c>
      <c r="CD349">
        <f>IF($S349="","",UPPER(TRIM(LEFT($S349&amp;",",FIND(",",$S349&amp;",")-1))))</f>
        <v/>
      </c>
      <c r="CE349">
        <f>IF($CD349="","",MID($CD349,4,FIND("~",SUBSTITUTE($CD349,"-","~",2))-4))</f>
        <v/>
      </c>
      <c r="CF349">
        <f>IF($CD349="","",MID($CD349,FIND("~",SUBSTITUTE($CD349,"-","~",2))+1,FIND("~",SUBSTITUTE($CD349,"-","~",3))-FIND("~",SUBSTITUTE($CD349,"-","~",2))-1))</f>
        <v/>
      </c>
      <c r="CG349">
        <f>IF($CE349="","",IFERROR(VLOOKUP($CE349,DECODE!$A$3:$C$8,3,FALSE),"?"))</f>
        <v/>
      </c>
      <c r="CH349">
        <f>IF($CF349="","",IFERROR(VLOOKUP($CE349&amp;"-"&amp;$CF349,DECODE!$E$3:$F$21,2,FALSE),"?"))</f>
        <v/>
      </c>
      <c r="CI349">
        <f>IF($CD349="","",IFERROR(VALUE(RIGHT($CD349,3)),""))</f>
        <v/>
      </c>
      <c r="CJ349">
        <f>IF($Y349="","",IFERROR(IF(ISNUMBER($Y349),$Y349,DATEVALUE(TRIM($Y349))),""))</f>
        <v/>
      </c>
      <c r="CK349">
        <f>IF($CJ349="","",IF(MONTH($CJ349)&gt;=12,"Cold Winter",IF(MONTH($CJ349)&gt;=10,"Post-Monsoon",IF(MONTH($CJ349)&gt;=6,"Hot Humid",IF(MONTH($CJ349)&gt;=3,"Hot Dry","Cold Winter")))))</f>
        <v/>
      </c>
      <c r="CL349">
        <f>IF($CE349="","",IFERROR(VLOOKUP($CE349,DECODE!$A$3:$C$8,2,FALSE),"?"))</f>
        <v/>
      </c>
      <c r="CM349">
        <f>IF($AN349="","",AN349)</f>
        <v/>
      </c>
      <c r="CN349">
        <f>IF($AO349="","",AO349)</f>
        <v/>
      </c>
      <c r="CO349">
        <f>IF($AP349="","",AP349)</f>
        <v/>
      </c>
      <c r="CP349">
        <f>IF($CM349="","",IF($CM349="Aloe Vera Gel","Aloe Vera Gel "&amp;$CO349&amp;"g",CN349&amp;" "&amp;$CO349&amp;"g"))</f>
        <v/>
      </c>
      <c r="CQ349">
        <f>IF($AT349="",0,1)</f>
        <v/>
      </c>
      <c r="CR349">
        <f>IF($CQ349=0,"",AW349)</f>
        <v/>
      </c>
      <c r="CS349">
        <f>IF($CQ349=0,"",AX349)</f>
        <v/>
      </c>
      <c r="CT349">
        <f>IF($CQ349=0,"",AY349)</f>
        <v/>
      </c>
      <c r="CU349">
        <f>IF($CR349="","",IF($CR349="Aloe Vera Gel","Aloe Vera Gel "&amp;$CT349&amp;"g",CS349&amp;" "&amp;$CT349&amp;"g"))</f>
        <v/>
      </c>
      <c r="CV349">
        <f>IF($CQ349=0,"",IF($CP349=$CU349,"Repeat Exact",IF($CT349&gt;$CO349,"Upsized",IF($CT349&lt;$CO349,"Downsized",IF($CM349&lt;&gt;$CR349,"Lateral","Same Size Diff Variant")))))</f>
        <v/>
      </c>
      <c r="CW349">
        <f>IF($CQ349=0,"",AZ349-AQ349)</f>
        <v/>
      </c>
      <c r="CX349">
        <f>IF($CQ349=0,0,IF(CS349=CN349,1,0))</f>
        <v/>
      </c>
      <c r="CY349">
        <f>IF($CQ349=0,0,IF(CR349=CM349,1,0))</f>
        <v/>
      </c>
      <c r="CZ349">
        <f>IF($A349="","",IF(AND(IF(DASHBOARD!$C$4="All",TRUE,$CM349=DASHBOARD!$C$4),IF(DASHBOARD!$C$6="All",TRUE,$CP349=DASHBOARD!$C$6),IF(DASHBOARD!$C$8="All",TRUE,$AF349&gt;=DASHBOARD!$C$8),IF(DASHBOARD!$C$10="All",TRUE,$AF349&lt;=DASHBOARD!$C$10),IF(DASHBOARD!$C$12="All",TRUE,$AH349=VALUE(DASHBOARD!$C$12)),IF(DASHBOARD!$C$14="All",TRUE,$AJ349=DASHBOARD!$C$14)),1,0))</f>
        <v/>
      </c>
    </row>
    <row r="350">
      <c r="A350" t="n">
        <v>182740</v>
      </c>
      <c r="B350" t="inlineStr">
        <is>
          <t>Aloe Vera Gel</t>
        </is>
      </c>
      <c r="H350" t="inlineStr">
        <is>
          <t>Aloe Vera Gel - 80 gms</t>
        </is>
      </c>
      <c r="N350" t="inlineStr">
        <is>
          <t>FC-HG-PA-080</t>
        </is>
      </c>
      <c r="T350" t="inlineStr">
        <is>
          <t>May 30, 2025</t>
        </is>
      </c>
      <c r="AE350" t="inlineStr">
        <is>
          <t>Faridabad</t>
        </is>
      </c>
      <c r="AF350" t="inlineStr">
        <is>
          <t>2025-05</t>
        </is>
      </c>
      <c r="AG350" t="n">
        <v>5</v>
      </c>
      <c r="AH350" t="n">
        <v>1</v>
      </c>
      <c r="AI350" t="n">
        <v>0</v>
      </c>
      <c r="AJ350">
        <f>IF($AE350="","",IFERROR(VLOOKUP(TRIM($AE350),DECODE!$H$3:$I$60,2,FALSE),"Rest of India"))</f>
        <v/>
      </c>
      <c r="AK350">
        <f>IF($N350="","",UPPER(TRIM(LEFT($N350&amp;",",FIND(",",$N350&amp;",")-1))))</f>
        <v/>
      </c>
      <c r="AL350">
        <f>IF($AK350="","",MID($AK350,4,FIND("~",SUBSTITUTE($AK350,"-","~",2))-4))</f>
        <v/>
      </c>
      <c r="AM350">
        <f>IF($AK350="","",MID($AK350,FIND("~",SUBSTITUTE($AK350,"-","~",2))+1,FIND("~",SUBSTITUTE($AK350,"-","~",3))-FIND("~",SUBSTITUTE($AK350,"-","~",2))-1))</f>
        <v/>
      </c>
      <c r="AN350">
        <f>IF($AL350="","",IFERROR(VLOOKUP($AL350,DECODE!$A$3:$C$8,3,FALSE),"?"))</f>
        <v/>
      </c>
      <c r="AO350">
        <f>IF($AM350="","",IFERROR(VLOOKUP($AL350&amp;"-"&amp;$AM350,DECODE!$E$3:$F$21,2,FALSE),"?"))</f>
        <v/>
      </c>
      <c r="AP350">
        <f>IF($AK350="","",IFERROR(VALUE(RIGHT($AK350,3)),""))</f>
        <v/>
      </c>
      <c r="AQ350">
        <f>IF($T350="","",IFERROR(IF(ISNUMBER($T350),$T350,DATEVALUE(TRIM($T350))),""))</f>
        <v/>
      </c>
      <c r="AR350">
        <f>IF($AQ350="","",IF(MONTH($AQ350)&gt;=12,"Cold Winter",IF(MONTH($AQ350)&gt;=10,"Post-Monsoon",IF(MONTH($AQ350)&gt;=6,"Hot Humid",IF(MONTH($AQ350)&gt;=3,"Hot Dry","Cold Winter")))))</f>
        <v/>
      </c>
      <c r="AS350">
        <f>IF($AL350="","",IFERROR(VLOOKUP($AL350,DECODE!$A$3:$C$8,2,FALSE),"?"))</f>
        <v/>
      </c>
      <c r="AT350">
        <f>IF($O350="","",UPPER(TRIM(LEFT($O350&amp;",",FIND(",",$O350&amp;",")-1))))</f>
        <v/>
      </c>
      <c r="AU350">
        <f>IF($AT350="","",MID($AT350,4,FIND("~",SUBSTITUTE($AT350,"-","~",2))-4))</f>
        <v/>
      </c>
      <c r="AV350">
        <f>IF($AT350="","",MID($AT350,FIND("~",SUBSTITUTE($AT350,"-","~",2))+1,FIND("~",SUBSTITUTE($AT350,"-","~",3))-FIND("~",SUBSTITUTE($AT350,"-","~",2))-1))</f>
        <v/>
      </c>
      <c r="AW350">
        <f>IF($AU350="","",IFERROR(VLOOKUP($AU350,DECODE!$A$3:$C$8,3,FALSE),"?"))</f>
        <v/>
      </c>
      <c r="AX350">
        <f>IF($AV350="","",IFERROR(VLOOKUP($AU350&amp;"-"&amp;$AV350,DECODE!$E$3:$F$21,2,FALSE),"?"))</f>
        <v/>
      </c>
      <c r="AY350">
        <f>IF($AT350="","",IFERROR(VALUE(RIGHT($AT350,3)),""))</f>
        <v/>
      </c>
      <c r="AZ350">
        <f>IF($U350="","",IFERROR(IF(ISNUMBER($U350),$U350,DATEVALUE(TRIM($U350))),""))</f>
        <v/>
      </c>
      <c r="BA350">
        <f>IF($AZ350="","",IF(MONTH($AZ350)&gt;=12,"Cold Winter",IF(MONTH($AZ350)&gt;=10,"Post-Monsoon",IF(MONTH($AZ350)&gt;=6,"Hot Humid",IF(MONTH($AZ350)&gt;=3,"Hot Dry","Cold Winter")))))</f>
        <v/>
      </c>
      <c r="BB350">
        <f>IF($AU350="","",IFERROR(VLOOKUP($AU350,DECODE!$A$3:$C$8,2,FALSE),"?"))</f>
        <v/>
      </c>
      <c r="BC350">
        <f>IF($P350="","",UPPER(TRIM(LEFT($P350&amp;",",FIND(",",$P350&amp;",")-1))))</f>
        <v/>
      </c>
      <c r="BD350">
        <f>IF($BC350="","",MID($BC350,4,FIND("~",SUBSTITUTE($BC350,"-","~",2))-4))</f>
        <v/>
      </c>
      <c r="BE350">
        <f>IF($BC350="","",MID($BC350,FIND("~",SUBSTITUTE($BC350,"-","~",2))+1,FIND("~",SUBSTITUTE($BC350,"-","~",3))-FIND("~",SUBSTITUTE($BC350,"-","~",2))-1))</f>
        <v/>
      </c>
      <c r="BF350">
        <f>IF($BD350="","",IFERROR(VLOOKUP($BD350,DECODE!$A$3:$C$8,3,FALSE),"?"))</f>
        <v/>
      </c>
      <c r="BG350">
        <f>IF($BE350="","",IFERROR(VLOOKUP($BD350&amp;"-"&amp;$BE350,DECODE!$E$3:$F$21,2,FALSE),"?"))</f>
        <v/>
      </c>
      <c r="BH350">
        <f>IF($BC350="","",IFERROR(VALUE(RIGHT($BC350,3)),""))</f>
        <v/>
      </c>
      <c r="BI350">
        <f>IF($V350="","",IFERROR(IF(ISNUMBER($V350),$V350,DATEVALUE(TRIM($V350))),""))</f>
        <v/>
      </c>
      <c r="BJ350">
        <f>IF($BI350="","",IF(MONTH($BI350)&gt;=12,"Cold Winter",IF(MONTH($BI350)&gt;=10,"Post-Monsoon",IF(MONTH($BI350)&gt;=6,"Hot Humid",IF(MONTH($BI350)&gt;=3,"Hot Dry","Cold Winter")))))</f>
        <v/>
      </c>
      <c r="BK350">
        <f>IF($BD350="","",IFERROR(VLOOKUP($BD350,DECODE!$A$3:$C$8,2,FALSE),"?"))</f>
        <v/>
      </c>
      <c r="BL350">
        <f>IF($Q350="","",UPPER(TRIM(LEFT($Q350&amp;",",FIND(",",$Q350&amp;",")-1))))</f>
        <v/>
      </c>
      <c r="BM350">
        <f>IF($BL350="","",MID($BL350,4,FIND("~",SUBSTITUTE($BL350,"-","~",2))-4))</f>
        <v/>
      </c>
      <c r="BN350">
        <f>IF($BL350="","",MID($BL350,FIND("~",SUBSTITUTE($BL350,"-","~",2))+1,FIND("~",SUBSTITUTE($BL350,"-","~",3))-FIND("~",SUBSTITUTE($BL350,"-","~",2))-1))</f>
        <v/>
      </c>
      <c r="BO350">
        <f>IF($BM350="","",IFERROR(VLOOKUP($BM350,DECODE!$A$3:$C$8,3,FALSE),"?"))</f>
        <v/>
      </c>
      <c r="BP350">
        <f>IF($BN350="","",IFERROR(VLOOKUP($BM350&amp;"-"&amp;$BN350,DECODE!$E$3:$F$21,2,FALSE),"?"))</f>
        <v/>
      </c>
      <c r="BQ350">
        <f>IF($BL350="","",IFERROR(VALUE(RIGHT($BL350,3)),""))</f>
        <v/>
      </c>
      <c r="BR350">
        <f>IF($W350="","",IFERROR(IF(ISNUMBER($W350),$W350,DATEVALUE(TRIM($W350))),""))</f>
        <v/>
      </c>
      <c r="BS350">
        <f>IF($BR350="","",IF(MONTH($BR350)&gt;=12,"Cold Winter",IF(MONTH($BR350)&gt;=10,"Post-Monsoon",IF(MONTH($BR350)&gt;=6,"Hot Humid",IF(MONTH($BR350)&gt;=3,"Hot Dry","Cold Winter")))))</f>
        <v/>
      </c>
      <c r="BT350">
        <f>IF($BM350="","",IFERROR(VLOOKUP($BM350,DECODE!$A$3:$C$8,2,FALSE),"?"))</f>
        <v/>
      </c>
      <c r="BU350">
        <f>IF($R350="","",UPPER(TRIM(LEFT($R350&amp;",",FIND(",",$R350&amp;",")-1))))</f>
        <v/>
      </c>
      <c r="BV350">
        <f>IF($BU350="","",MID($BU350,4,FIND("~",SUBSTITUTE($BU350,"-","~",2))-4))</f>
        <v/>
      </c>
      <c r="BW350">
        <f>IF($BU350="","",MID($BU350,FIND("~",SUBSTITUTE($BU350,"-","~",2))+1,FIND("~",SUBSTITUTE($BU350,"-","~",3))-FIND("~",SUBSTITUTE($BU350,"-","~",2))-1))</f>
        <v/>
      </c>
      <c r="BX350">
        <f>IF($BV350="","",IFERROR(VLOOKUP($BV350,DECODE!$A$3:$C$8,3,FALSE),"?"))</f>
        <v/>
      </c>
      <c r="BY350">
        <f>IF($BW350="","",IFERROR(VLOOKUP($BV350&amp;"-"&amp;$BW350,DECODE!$E$3:$F$21,2,FALSE),"?"))</f>
        <v/>
      </c>
      <c r="BZ350">
        <f>IF($BU350="","",IFERROR(VALUE(RIGHT($BU350,3)),""))</f>
        <v/>
      </c>
      <c r="CA350">
        <f>IF($X350="","",IFERROR(IF(ISNUMBER($X350),$X350,DATEVALUE(TRIM($X350))),""))</f>
        <v/>
      </c>
      <c r="CB350">
        <f>IF($CA350="","",IF(MONTH($CA350)&gt;=12,"Cold Winter",IF(MONTH($CA350)&gt;=10,"Post-Monsoon",IF(MONTH($CA350)&gt;=6,"Hot Humid",IF(MONTH($CA350)&gt;=3,"Hot Dry","Cold Winter")))))</f>
        <v/>
      </c>
      <c r="CC350">
        <f>IF($BV350="","",IFERROR(VLOOKUP($BV350,DECODE!$A$3:$C$8,2,FALSE),"?"))</f>
        <v/>
      </c>
      <c r="CD350">
        <f>IF($S350="","",UPPER(TRIM(LEFT($S350&amp;",",FIND(",",$S350&amp;",")-1))))</f>
        <v/>
      </c>
      <c r="CE350">
        <f>IF($CD350="","",MID($CD350,4,FIND("~",SUBSTITUTE($CD350,"-","~",2))-4))</f>
        <v/>
      </c>
      <c r="CF350">
        <f>IF($CD350="","",MID($CD350,FIND("~",SUBSTITUTE($CD350,"-","~",2))+1,FIND("~",SUBSTITUTE($CD350,"-","~",3))-FIND("~",SUBSTITUTE($CD350,"-","~",2))-1))</f>
        <v/>
      </c>
      <c r="CG350">
        <f>IF($CE350="","",IFERROR(VLOOKUP($CE350,DECODE!$A$3:$C$8,3,FALSE),"?"))</f>
        <v/>
      </c>
      <c r="CH350">
        <f>IF($CF350="","",IFERROR(VLOOKUP($CE350&amp;"-"&amp;$CF350,DECODE!$E$3:$F$21,2,FALSE),"?"))</f>
        <v/>
      </c>
      <c r="CI350">
        <f>IF($CD350="","",IFERROR(VALUE(RIGHT($CD350,3)),""))</f>
        <v/>
      </c>
      <c r="CJ350">
        <f>IF($Y350="","",IFERROR(IF(ISNUMBER($Y350),$Y350,DATEVALUE(TRIM($Y350))),""))</f>
        <v/>
      </c>
      <c r="CK350">
        <f>IF($CJ350="","",IF(MONTH($CJ350)&gt;=12,"Cold Winter",IF(MONTH($CJ350)&gt;=10,"Post-Monsoon",IF(MONTH($CJ350)&gt;=6,"Hot Humid",IF(MONTH($CJ350)&gt;=3,"Hot Dry","Cold Winter")))))</f>
        <v/>
      </c>
      <c r="CL350">
        <f>IF($CE350="","",IFERROR(VLOOKUP($CE350,DECODE!$A$3:$C$8,2,FALSE),"?"))</f>
        <v/>
      </c>
      <c r="CM350">
        <f>IF($AN350="","",AN350)</f>
        <v/>
      </c>
      <c r="CN350">
        <f>IF($AO350="","",AO350)</f>
        <v/>
      </c>
      <c r="CO350">
        <f>IF($AP350="","",AP350)</f>
        <v/>
      </c>
      <c r="CP350">
        <f>IF($CM350="","",IF($CM350="Aloe Vera Gel","Aloe Vera Gel "&amp;$CO350&amp;"g",CN350&amp;" "&amp;$CO350&amp;"g"))</f>
        <v/>
      </c>
      <c r="CQ350">
        <f>IF($AT350="",0,1)</f>
        <v/>
      </c>
      <c r="CR350">
        <f>IF($CQ350=0,"",AW350)</f>
        <v/>
      </c>
      <c r="CS350">
        <f>IF($CQ350=0,"",AX350)</f>
        <v/>
      </c>
      <c r="CT350">
        <f>IF($CQ350=0,"",AY350)</f>
        <v/>
      </c>
      <c r="CU350">
        <f>IF($CR350="","",IF($CR350="Aloe Vera Gel","Aloe Vera Gel "&amp;$CT350&amp;"g",CS350&amp;" "&amp;$CT350&amp;"g"))</f>
        <v/>
      </c>
      <c r="CV350">
        <f>IF($CQ350=0,"",IF($CP350=$CU350,"Repeat Exact",IF($CT350&gt;$CO350,"Upsized",IF($CT350&lt;$CO350,"Downsized",IF($CM350&lt;&gt;$CR350,"Lateral","Same Size Diff Variant")))))</f>
        <v/>
      </c>
      <c r="CW350">
        <f>IF($CQ350=0,"",AZ350-AQ350)</f>
        <v/>
      </c>
      <c r="CX350">
        <f>IF($CQ350=0,0,IF(CS350=CN350,1,0))</f>
        <v/>
      </c>
      <c r="CY350">
        <f>IF($CQ350=0,0,IF(CR350=CM350,1,0))</f>
        <v/>
      </c>
      <c r="CZ350">
        <f>IF($A350="","",IF(AND(IF(DASHBOARD!$C$4="All",TRUE,$CM350=DASHBOARD!$C$4),IF(DASHBOARD!$C$6="All",TRUE,$CP350=DASHBOARD!$C$6),IF(DASHBOARD!$C$8="All",TRUE,$AF350&gt;=DASHBOARD!$C$8),IF(DASHBOARD!$C$10="All",TRUE,$AF350&lt;=DASHBOARD!$C$10),IF(DASHBOARD!$C$12="All",TRUE,$AH350=VALUE(DASHBOARD!$C$12)),IF(DASHBOARD!$C$14="All",TRUE,$AJ350=DASHBOARD!$C$14)),1,0))</f>
        <v/>
      </c>
    </row>
    <row r="351">
      <c r="A351" t="n">
        <v>182823</v>
      </c>
      <c r="B351" t="inlineStr">
        <is>
          <t>Aloe Vera Gel</t>
        </is>
      </c>
      <c r="H351" t="inlineStr">
        <is>
          <t>Aloe Vera Gel - 40 gms</t>
        </is>
      </c>
      <c r="N351" t="inlineStr">
        <is>
          <t>FC-HG-PA-040</t>
        </is>
      </c>
      <c r="T351" t="inlineStr">
        <is>
          <t>Feb 20, 2024</t>
        </is>
      </c>
      <c r="AE351" t="inlineStr">
        <is>
          <t>Udaipur</t>
        </is>
      </c>
      <c r="AF351" t="inlineStr">
        <is>
          <t>2024-02</t>
        </is>
      </c>
      <c r="AG351" t="n">
        <v>2</v>
      </c>
      <c r="AH351" t="n">
        <v>1</v>
      </c>
      <c r="AI351" t="n">
        <v>0</v>
      </c>
      <c r="AJ351">
        <f>IF($AE351="","",IFERROR(VLOOKUP(TRIM($AE351),DECODE!$H$3:$I$60,2,FALSE),"Rest of India"))</f>
        <v/>
      </c>
      <c r="AK351">
        <f>IF($N351="","",UPPER(TRIM(LEFT($N351&amp;",",FIND(",",$N351&amp;",")-1))))</f>
        <v/>
      </c>
      <c r="AL351">
        <f>IF($AK351="","",MID($AK351,4,FIND("~",SUBSTITUTE($AK351,"-","~",2))-4))</f>
        <v/>
      </c>
      <c r="AM351">
        <f>IF($AK351="","",MID($AK351,FIND("~",SUBSTITUTE($AK351,"-","~",2))+1,FIND("~",SUBSTITUTE($AK351,"-","~",3))-FIND("~",SUBSTITUTE($AK351,"-","~",2))-1))</f>
        <v/>
      </c>
      <c r="AN351">
        <f>IF($AL351="","",IFERROR(VLOOKUP($AL351,DECODE!$A$3:$C$8,3,FALSE),"?"))</f>
        <v/>
      </c>
      <c r="AO351">
        <f>IF($AM351="","",IFERROR(VLOOKUP($AL351&amp;"-"&amp;$AM351,DECODE!$E$3:$F$21,2,FALSE),"?"))</f>
        <v/>
      </c>
      <c r="AP351">
        <f>IF($AK351="","",IFERROR(VALUE(RIGHT($AK351,3)),""))</f>
        <v/>
      </c>
      <c r="AQ351">
        <f>IF($T351="","",IFERROR(IF(ISNUMBER($T351),$T351,DATEVALUE(TRIM($T351))),""))</f>
        <v/>
      </c>
      <c r="AR351">
        <f>IF($AQ351="","",IF(MONTH($AQ351)&gt;=12,"Cold Winter",IF(MONTH($AQ351)&gt;=10,"Post-Monsoon",IF(MONTH($AQ351)&gt;=6,"Hot Humid",IF(MONTH($AQ351)&gt;=3,"Hot Dry","Cold Winter")))))</f>
        <v/>
      </c>
      <c r="AS351">
        <f>IF($AL351="","",IFERROR(VLOOKUP($AL351,DECODE!$A$3:$C$8,2,FALSE),"?"))</f>
        <v/>
      </c>
      <c r="AT351">
        <f>IF($O351="","",UPPER(TRIM(LEFT($O351&amp;",",FIND(",",$O351&amp;",")-1))))</f>
        <v/>
      </c>
      <c r="AU351">
        <f>IF($AT351="","",MID($AT351,4,FIND("~",SUBSTITUTE($AT351,"-","~",2))-4))</f>
        <v/>
      </c>
      <c r="AV351">
        <f>IF($AT351="","",MID($AT351,FIND("~",SUBSTITUTE($AT351,"-","~",2))+1,FIND("~",SUBSTITUTE($AT351,"-","~",3))-FIND("~",SUBSTITUTE($AT351,"-","~",2))-1))</f>
        <v/>
      </c>
      <c r="AW351">
        <f>IF($AU351="","",IFERROR(VLOOKUP($AU351,DECODE!$A$3:$C$8,3,FALSE),"?"))</f>
        <v/>
      </c>
      <c r="AX351">
        <f>IF($AV351="","",IFERROR(VLOOKUP($AU351&amp;"-"&amp;$AV351,DECODE!$E$3:$F$21,2,FALSE),"?"))</f>
        <v/>
      </c>
      <c r="AY351">
        <f>IF($AT351="","",IFERROR(VALUE(RIGHT($AT351,3)),""))</f>
        <v/>
      </c>
      <c r="AZ351">
        <f>IF($U351="","",IFERROR(IF(ISNUMBER($U351),$U351,DATEVALUE(TRIM($U351))),""))</f>
        <v/>
      </c>
      <c r="BA351">
        <f>IF($AZ351="","",IF(MONTH($AZ351)&gt;=12,"Cold Winter",IF(MONTH($AZ351)&gt;=10,"Post-Monsoon",IF(MONTH($AZ351)&gt;=6,"Hot Humid",IF(MONTH($AZ351)&gt;=3,"Hot Dry","Cold Winter")))))</f>
        <v/>
      </c>
      <c r="BB351">
        <f>IF($AU351="","",IFERROR(VLOOKUP($AU351,DECODE!$A$3:$C$8,2,FALSE),"?"))</f>
        <v/>
      </c>
      <c r="BC351">
        <f>IF($P351="","",UPPER(TRIM(LEFT($P351&amp;",",FIND(",",$P351&amp;",")-1))))</f>
        <v/>
      </c>
      <c r="BD351">
        <f>IF($BC351="","",MID($BC351,4,FIND("~",SUBSTITUTE($BC351,"-","~",2))-4))</f>
        <v/>
      </c>
      <c r="BE351">
        <f>IF($BC351="","",MID($BC351,FIND("~",SUBSTITUTE($BC351,"-","~",2))+1,FIND("~",SUBSTITUTE($BC351,"-","~",3))-FIND("~",SUBSTITUTE($BC351,"-","~",2))-1))</f>
        <v/>
      </c>
      <c r="BF351">
        <f>IF($BD351="","",IFERROR(VLOOKUP($BD351,DECODE!$A$3:$C$8,3,FALSE),"?"))</f>
        <v/>
      </c>
      <c r="BG351">
        <f>IF($BE351="","",IFERROR(VLOOKUP($BD351&amp;"-"&amp;$BE351,DECODE!$E$3:$F$21,2,FALSE),"?"))</f>
        <v/>
      </c>
      <c r="BH351">
        <f>IF($BC351="","",IFERROR(VALUE(RIGHT($BC351,3)),""))</f>
        <v/>
      </c>
      <c r="BI351">
        <f>IF($V351="","",IFERROR(IF(ISNUMBER($V351),$V351,DATEVALUE(TRIM($V351))),""))</f>
        <v/>
      </c>
      <c r="BJ351">
        <f>IF($BI351="","",IF(MONTH($BI351)&gt;=12,"Cold Winter",IF(MONTH($BI351)&gt;=10,"Post-Monsoon",IF(MONTH($BI351)&gt;=6,"Hot Humid",IF(MONTH($BI351)&gt;=3,"Hot Dry","Cold Winter")))))</f>
        <v/>
      </c>
      <c r="BK351">
        <f>IF($BD351="","",IFERROR(VLOOKUP($BD351,DECODE!$A$3:$C$8,2,FALSE),"?"))</f>
        <v/>
      </c>
      <c r="BL351">
        <f>IF($Q351="","",UPPER(TRIM(LEFT($Q351&amp;",",FIND(",",$Q351&amp;",")-1))))</f>
        <v/>
      </c>
      <c r="BM351">
        <f>IF($BL351="","",MID($BL351,4,FIND("~",SUBSTITUTE($BL351,"-","~",2))-4))</f>
        <v/>
      </c>
      <c r="BN351">
        <f>IF($BL351="","",MID($BL351,FIND("~",SUBSTITUTE($BL351,"-","~",2))+1,FIND("~",SUBSTITUTE($BL351,"-","~",3))-FIND("~",SUBSTITUTE($BL351,"-","~",2))-1))</f>
        <v/>
      </c>
      <c r="BO351">
        <f>IF($BM351="","",IFERROR(VLOOKUP($BM351,DECODE!$A$3:$C$8,3,FALSE),"?"))</f>
        <v/>
      </c>
      <c r="BP351">
        <f>IF($BN351="","",IFERROR(VLOOKUP($BM351&amp;"-"&amp;$BN351,DECODE!$E$3:$F$21,2,FALSE),"?"))</f>
        <v/>
      </c>
      <c r="BQ351">
        <f>IF($BL351="","",IFERROR(VALUE(RIGHT($BL351,3)),""))</f>
        <v/>
      </c>
      <c r="BR351">
        <f>IF($W351="","",IFERROR(IF(ISNUMBER($W351),$W351,DATEVALUE(TRIM($W351))),""))</f>
        <v/>
      </c>
      <c r="BS351">
        <f>IF($BR351="","",IF(MONTH($BR351)&gt;=12,"Cold Winter",IF(MONTH($BR351)&gt;=10,"Post-Monsoon",IF(MONTH($BR351)&gt;=6,"Hot Humid",IF(MONTH($BR351)&gt;=3,"Hot Dry","Cold Winter")))))</f>
        <v/>
      </c>
      <c r="BT351">
        <f>IF($BM351="","",IFERROR(VLOOKUP($BM351,DECODE!$A$3:$C$8,2,FALSE),"?"))</f>
        <v/>
      </c>
      <c r="BU351">
        <f>IF($R351="","",UPPER(TRIM(LEFT($R351&amp;",",FIND(",",$R351&amp;",")-1))))</f>
        <v/>
      </c>
      <c r="BV351">
        <f>IF($BU351="","",MID($BU351,4,FIND("~",SUBSTITUTE($BU351,"-","~",2))-4))</f>
        <v/>
      </c>
      <c r="BW351">
        <f>IF($BU351="","",MID($BU351,FIND("~",SUBSTITUTE($BU351,"-","~",2))+1,FIND("~",SUBSTITUTE($BU351,"-","~",3))-FIND("~",SUBSTITUTE($BU351,"-","~",2))-1))</f>
        <v/>
      </c>
      <c r="BX351">
        <f>IF($BV351="","",IFERROR(VLOOKUP($BV351,DECODE!$A$3:$C$8,3,FALSE),"?"))</f>
        <v/>
      </c>
      <c r="BY351">
        <f>IF($BW351="","",IFERROR(VLOOKUP($BV351&amp;"-"&amp;$BW351,DECODE!$E$3:$F$21,2,FALSE),"?"))</f>
        <v/>
      </c>
      <c r="BZ351">
        <f>IF($BU351="","",IFERROR(VALUE(RIGHT($BU351,3)),""))</f>
        <v/>
      </c>
      <c r="CA351">
        <f>IF($X351="","",IFERROR(IF(ISNUMBER($X351),$X351,DATEVALUE(TRIM($X351))),""))</f>
        <v/>
      </c>
      <c r="CB351">
        <f>IF($CA351="","",IF(MONTH($CA351)&gt;=12,"Cold Winter",IF(MONTH($CA351)&gt;=10,"Post-Monsoon",IF(MONTH($CA351)&gt;=6,"Hot Humid",IF(MONTH($CA351)&gt;=3,"Hot Dry","Cold Winter")))))</f>
        <v/>
      </c>
      <c r="CC351">
        <f>IF($BV351="","",IFERROR(VLOOKUP($BV351,DECODE!$A$3:$C$8,2,FALSE),"?"))</f>
        <v/>
      </c>
      <c r="CD351">
        <f>IF($S351="","",UPPER(TRIM(LEFT($S351&amp;",",FIND(",",$S351&amp;",")-1))))</f>
        <v/>
      </c>
      <c r="CE351">
        <f>IF($CD351="","",MID($CD351,4,FIND("~",SUBSTITUTE($CD351,"-","~",2))-4))</f>
        <v/>
      </c>
      <c r="CF351">
        <f>IF($CD351="","",MID($CD351,FIND("~",SUBSTITUTE($CD351,"-","~",2))+1,FIND("~",SUBSTITUTE($CD351,"-","~",3))-FIND("~",SUBSTITUTE($CD351,"-","~",2))-1))</f>
        <v/>
      </c>
      <c r="CG351">
        <f>IF($CE351="","",IFERROR(VLOOKUP($CE351,DECODE!$A$3:$C$8,3,FALSE),"?"))</f>
        <v/>
      </c>
      <c r="CH351">
        <f>IF($CF351="","",IFERROR(VLOOKUP($CE351&amp;"-"&amp;$CF351,DECODE!$E$3:$F$21,2,FALSE),"?"))</f>
        <v/>
      </c>
      <c r="CI351">
        <f>IF($CD351="","",IFERROR(VALUE(RIGHT($CD351,3)),""))</f>
        <v/>
      </c>
      <c r="CJ351">
        <f>IF($Y351="","",IFERROR(IF(ISNUMBER($Y351),$Y351,DATEVALUE(TRIM($Y351))),""))</f>
        <v/>
      </c>
      <c r="CK351">
        <f>IF($CJ351="","",IF(MONTH($CJ351)&gt;=12,"Cold Winter",IF(MONTH($CJ351)&gt;=10,"Post-Monsoon",IF(MONTH($CJ351)&gt;=6,"Hot Humid",IF(MONTH($CJ351)&gt;=3,"Hot Dry","Cold Winter")))))</f>
        <v/>
      </c>
      <c r="CL351">
        <f>IF($CE351="","",IFERROR(VLOOKUP($CE351,DECODE!$A$3:$C$8,2,FALSE),"?"))</f>
        <v/>
      </c>
      <c r="CM351">
        <f>IF($AN351="","",AN351)</f>
        <v/>
      </c>
      <c r="CN351">
        <f>IF($AO351="","",AO351)</f>
        <v/>
      </c>
      <c r="CO351">
        <f>IF($AP351="","",AP351)</f>
        <v/>
      </c>
      <c r="CP351">
        <f>IF($CM351="","",IF($CM351="Aloe Vera Gel","Aloe Vera Gel "&amp;$CO351&amp;"g",CN351&amp;" "&amp;$CO351&amp;"g"))</f>
        <v/>
      </c>
      <c r="CQ351">
        <f>IF($AT351="",0,1)</f>
        <v/>
      </c>
      <c r="CR351">
        <f>IF($CQ351=0,"",AW351)</f>
        <v/>
      </c>
      <c r="CS351">
        <f>IF($CQ351=0,"",AX351)</f>
        <v/>
      </c>
      <c r="CT351">
        <f>IF($CQ351=0,"",AY351)</f>
        <v/>
      </c>
      <c r="CU351">
        <f>IF($CR351="","",IF($CR351="Aloe Vera Gel","Aloe Vera Gel "&amp;$CT351&amp;"g",CS351&amp;" "&amp;$CT351&amp;"g"))</f>
        <v/>
      </c>
      <c r="CV351">
        <f>IF($CQ351=0,"",IF($CP351=$CU351,"Repeat Exact",IF($CT351&gt;$CO351,"Upsized",IF($CT351&lt;$CO351,"Downsized",IF($CM351&lt;&gt;$CR351,"Lateral","Same Size Diff Variant")))))</f>
        <v/>
      </c>
      <c r="CW351">
        <f>IF($CQ351=0,"",AZ351-AQ351)</f>
        <v/>
      </c>
      <c r="CX351">
        <f>IF($CQ351=0,0,IF(CS351=CN351,1,0))</f>
        <v/>
      </c>
      <c r="CY351">
        <f>IF($CQ351=0,0,IF(CR351=CM351,1,0))</f>
        <v/>
      </c>
      <c r="CZ351">
        <f>IF($A351="","",IF(AND(IF(DASHBOARD!$C$4="All",TRUE,$CM351=DASHBOARD!$C$4),IF(DASHBOARD!$C$6="All",TRUE,$CP351=DASHBOARD!$C$6),IF(DASHBOARD!$C$8="All",TRUE,$AF351&gt;=DASHBOARD!$C$8),IF(DASHBOARD!$C$10="All",TRUE,$AF351&lt;=DASHBOARD!$C$10),IF(DASHBOARD!$C$12="All",TRUE,$AH351=VALUE(DASHBOARD!$C$12)),IF(DASHBOARD!$C$14="All",TRUE,$AJ351=DASHBOARD!$C$14)),1,0))</f>
        <v/>
      </c>
    </row>
    <row r="352">
      <c r="A352" t="n">
        <v>182826</v>
      </c>
      <c r="B352" t="inlineStr">
        <is>
          <t>Aloe Vera Gel</t>
        </is>
      </c>
      <c r="H352" t="inlineStr">
        <is>
          <t>Aloe Vera Gel - 40 gms</t>
        </is>
      </c>
      <c r="N352" t="inlineStr">
        <is>
          <t>FC-HG-PA-040</t>
        </is>
      </c>
      <c r="T352" t="inlineStr">
        <is>
          <t>Mar 6, 2024</t>
        </is>
      </c>
      <c r="AE352" t="inlineStr">
        <is>
          <t>Pune</t>
        </is>
      </c>
      <c r="AF352" t="inlineStr">
        <is>
          <t>2024-03</t>
        </is>
      </c>
      <c r="AG352" t="n">
        <v>3</v>
      </c>
      <c r="AH352" t="n">
        <v>1</v>
      </c>
      <c r="AI352" t="n">
        <v>0</v>
      </c>
      <c r="AJ352">
        <f>IF($AE352="","",IFERROR(VLOOKUP(TRIM($AE352),DECODE!$H$3:$I$60,2,FALSE),"Rest of India"))</f>
        <v/>
      </c>
      <c r="AK352">
        <f>IF($N352="","",UPPER(TRIM(LEFT($N352&amp;",",FIND(",",$N352&amp;",")-1))))</f>
        <v/>
      </c>
      <c r="AL352">
        <f>IF($AK352="","",MID($AK352,4,FIND("~",SUBSTITUTE($AK352,"-","~",2))-4))</f>
        <v/>
      </c>
      <c r="AM352">
        <f>IF($AK352="","",MID($AK352,FIND("~",SUBSTITUTE($AK352,"-","~",2))+1,FIND("~",SUBSTITUTE($AK352,"-","~",3))-FIND("~",SUBSTITUTE($AK352,"-","~",2))-1))</f>
        <v/>
      </c>
      <c r="AN352">
        <f>IF($AL352="","",IFERROR(VLOOKUP($AL352,DECODE!$A$3:$C$8,3,FALSE),"?"))</f>
        <v/>
      </c>
      <c r="AO352">
        <f>IF($AM352="","",IFERROR(VLOOKUP($AL352&amp;"-"&amp;$AM352,DECODE!$E$3:$F$21,2,FALSE),"?"))</f>
        <v/>
      </c>
      <c r="AP352">
        <f>IF($AK352="","",IFERROR(VALUE(RIGHT($AK352,3)),""))</f>
        <v/>
      </c>
      <c r="AQ352">
        <f>IF($T352="","",IFERROR(IF(ISNUMBER($T352),$T352,DATEVALUE(TRIM($T352))),""))</f>
        <v/>
      </c>
      <c r="AR352">
        <f>IF($AQ352="","",IF(MONTH($AQ352)&gt;=12,"Cold Winter",IF(MONTH($AQ352)&gt;=10,"Post-Monsoon",IF(MONTH($AQ352)&gt;=6,"Hot Humid",IF(MONTH($AQ352)&gt;=3,"Hot Dry","Cold Winter")))))</f>
        <v/>
      </c>
      <c r="AS352">
        <f>IF($AL352="","",IFERROR(VLOOKUP($AL352,DECODE!$A$3:$C$8,2,FALSE),"?"))</f>
        <v/>
      </c>
      <c r="AT352">
        <f>IF($O352="","",UPPER(TRIM(LEFT($O352&amp;",",FIND(",",$O352&amp;",")-1))))</f>
        <v/>
      </c>
      <c r="AU352">
        <f>IF($AT352="","",MID($AT352,4,FIND("~",SUBSTITUTE($AT352,"-","~",2))-4))</f>
        <v/>
      </c>
      <c r="AV352">
        <f>IF($AT352="","",MID($AT352,FIND("~",SUBSTITUTE($AT352,"-","~",2))+1,FIND("~",SUBSTITUTE($AT352,"-","~",3))-FIND("~",SUBSTITUTE($AT352,"-","~",2))-1))</f>
        <v/>
      </c>
      <c r="AW352">
        <f>IF($AU352="","",IFERROR(VLOOKUP($AU352,DECODE!$A$3:$C$8,3,FALSE),"?"))</f>
        <v/>
      </c>
      <c r="AX352">
        <f>IF($AV352="","",IFERROR(VLOOKUP($AU352&amp;"-"&amp;$AV352,DECODE!$E$3:$F$21,2,FALSE),"?"))</f>
        <v/>
      </c>
      <c r="AY352">
        <f>IF($AT352="","",IFERROR(VALUE(RIGHT($AT352,3)),""))</f>
        <v/>
      </c>
      <c r="AZ352">
        <f>IF($U352="","",IFERROR(IF(ISNUMBER($U352),$U352,DATEVALUE(TRIM($U352))),""))</f>
        <v/>
      </c>
      <c r="BA352">
        <f>IF($AZ352="","",IF(MONTH($AZ352)&gt;=12,"Cold Winter",IF(MONTH($AZ352)&gt;=10,"Post-Monsoon",IF(MONTH($AZ352)&gt;=6,"Hot Humid",IF(MONTH($AZ352)&gt;=3,"Hot Dry","Cold Winter")))))</f>
        <v/>
      </c>
      <c r="BB352">
        <f>IF($AU352="","",IFERROR(VLOOKUP($AU352,DECODE!$A$3:$C$8,2,FALSE),"?"))</f>
        <v/>
      </c>
      <c r="BC352">
        <f>IF($P352="","",UPPER(TRIM(LEFT($P352&amp;",",FIND(",",$P352&amp;",")-1))))</f>
        <v/>
      </c>
      <c r="BD352">
        <f>IF($BC352="","",MID($BC352,4,FIND("~",SUBSTITUTE($BC352,"-","~",2))-4))</f>
        <v/>
      </c>
      <c r="BE352">
        <f>IF($BC352="","",MID($BC352,FIND("~",SUBSTITUTE($BC352,"-","~",2))+1,FIND("~",SUBSTITUTE($BC352,"-","~",3))-FIND("~",SUBSTITUTE($BC352,"-","~",2))-1))</f>
        <v/>
      </c>
      <c r="BF352">
        <f>IF($BD352="","",IFERROR(VLOOKUP($BD352,DECODE!$A$3:$C$8,3,FALSE),"?"))</f>
        <v/>
      </c>
      <c r="BG352">
        <f>IF($BE352="","",IFERROR(VLOOKUP($BD352&amp;"-"&amp;$BE352,DECODE!$E$3:$F$21,2,FALSE),"?"))</f>
        <v/>
      </c>
      <c r="BH352">
        <f>IF($BC352="","",IFERROR(VALUE(RIGHT($BC352,3)),""))</f>
        <v/>
      </c>
      <c r="BI352">
        <f>IF($V352="","",IFERROR(IF(ISNUMBER($V352),$V352,DATEVALUE(TRIM($V352))),""))</f>
        <v/>
      </c>
      <c r="BJ352">
        <f>IF($BI352="","",IF(MONTH($BI352)&gt;=12,"Cold Winter",IF(MONTH($BI352)&gt;=10,"Post-Monsoon",IF(MONTH($BI352)&gt;=6,"Hot Humid",IF(MONTH($BI352)&gt;=3,"Hot Dry","Cold Winter")))))</f>
        <v/>
      </c>
      <c r="BK352">
        <f>IF($BD352="","",IFERROR(VLOOKUP($BD352,DECODE!$A$3:$C$8,2,FALSE),"?"))</f>
        <v/>
      </c>
      <c r="BL352">
        <f>IF($Q352="","",UPPER(TRIM(LEFT($Q352&amp;",",FIND(",",$Q352&amp;",")-1))))</f>
        <v/>
      </c>
      <c r="BM352">
        <f>IF($BL352="","",MID($BL352,4,FIND("~",SUBSTITUTE($BL352,"-","~",2))-4))</f>
        <v/>
      </c>
      <c r="BN352">
        <f>IF($BL352="","",MID($BL352,FIND("~",SUBSTITUTE($BL352,"-","~",2))+1,FIND("~",SUBSTITUTE($BL352,"-","~",3))-FIND("~",SUBSTITUTE($BL352,"-","~",2))-1))</f>
        <v/>
      </c>
      <c r="BO352">
        <f>IF($BM352="","",IFERROR(VLOOKUP($BM352,DECODE!$A$3:$C$8,3,FALSE),"?"))</f>
        <v/>
      </c>
      <c r="BP352">
        <f>IF($BN352="","",IFERROR(VLOOKUP($BM352&amp;"-"&amp;$BN352,DECODE!$E$3:$F$21,2,FALSE),"?"))</f>
        <v/>
      </c>
      <c r="BQ352">
        <f>IF($BL352="","",IFERROR(VALUE(RIGHT($BL352,3)),""))</f>
        <v/>
      </c>
      <c r="BR352">
        <f>IF($W352="","",IFERROR(IF(ISNUMBER($W352),$W352,DATEVALUE(TRIM($W352))),""))</f>
        <v/>
      </c>
      <c r="BS352">
        <f>IF($BR352="","",IF(MONTH($BR352)&gt;=12,"Cold Winter",IF(MONTH($BR352)&gt;=10,"Post-Monsoon",IF(MONTH($BR352)&gt;=6,"Hot Humid",IF(MONTH($BR352)&gt;=3,"Hot Dry","Cold Winter")))))</f>
        <v/>
      </c>
      <c r="BT352">
        <f>IF($BM352="","",IFERROR(VLOOKUP($BM352,DECODE!$A$3:$C$8,2,FALSE),"?"))</f>
        <v/>
      </c>
      <c r="BU352">
        <f>IF($R352="","",UPPER(TRIM(LEFT($R352&amp;",",FIND(",",$R352&amp;",")-1))))</f>
        <v/>
      </c>
      <c r="BV352">
        <f>IF($BU352="","",MID($BU352,4,FIND("~",SUBSTITUTE($BU352,"-","~",2))-4))</f>
        <v/>
      </c>
      <c r="BW352">
        <f>IF($BU352="","",MID($BU352,FIND("~",SUBSTITUTE($BU352,"-","~",2))+1,FIND("~",SUBSTITUTE($BU352,"-","~",3))-FIND("~",SUBSTITUTE($BU352,"-","~",2))-1))</f>
        <v/>
      </c>
      <c r="BX352">
        <f>IF($BV352="","",IFERROR(VLOOKUP($BV352,DECODE!$A$3:$C$8,3,FALSE),"?"))</f>
        <v/>
      </c>
      <c r="BY352">
        <f>IF($BW352="","",IFERROR(VLOOKUP($BV352&amp;"-"&amp;$BW352,DECODE!$E$3:$F$21,2,FALSE),"?"))</f>
        <v/>
      </c>
      <c r="BZ352">
        <f>IF($BU352="","",IFERROR(VALUE(RIGHT($BU352,3)),""))</f>
        <v/>
      </c>
      <c r="CA352">
        <f>IF($X352="","",IFERROR(IF(ISNUMBER($X352),$X352,DATEVALUE(TRIM($X352))),""))</f>
        <v/>
      </c>
      <c r="CB352">
        <f>IF($CA352="","",IF(MONTH($CA352)&gt;=12,"Cold Winter",IF(MONTH($CA352)&gt;=10,"Post-Monsoon",IF(MONTH($CA352)&gt;=6,"Hot Humid",IF(MONTH($CA352)&gt;=3,"Hot Dry","Cold Winter")))))</f>
        <v/>
      </c>
      <c r="CC352">
        <f>IF($BV352="","",IFERROR(VLOOKUP($BV352,DECODE!$A$3:$C$8,2,FALSE),"?"))</f>
        <v/>
      </c>
      <c r="CD352">
        <f>IF($S352="","",UPPER(TRIM(LEFT($S352&amp;",",FIND(",",$S352&amp;",")-1))))</f>
        <v/>
      </c>
      <c r="CE352">
        <f>IF($CD352="","",MID($CD352,4,FIND("~",SUBSTITUTE($CD352,"-","~",2))-4))</f>
        <v/>
      </c>
      <c r="CF352">
        <f>IF($CD352="","",MID($CD352,FIND("~",SUBSTITUTE($CD352,"-","~",2))+1,FIND("~",SUBSTITUTE($CD352,"-","~",3))-FIND("~",SUBSTITUTE($CD352,"-","~",2))-1))</f>
        <v/>
      </c>
      <c r="CG352">
        <f>IF($CE352="","",IFERROR(VLOOKUP($CE352,DECODE!$A$3:$C$8,3,FALSE),"?"))</f>
        <v/>
      </c>
      <c r="CH352">
        <f>IF($CF352="","",IFERROR(VLOOKUP($CE352&amp;"-"&amp;$CF352,DECODE!$E$3:$F$21,2,FALSE),"?"))</f>
        <v/>
      </c>
      <c r="CI352">
        <f>IF($CD352="","",IFERROR(VALUE(RIGHT($CD352,3)),""))</f>
        <v/>
      </c>
      <c r="CJ352">
        <f>IF($Y352="","",IFERROR(IF(ISNUMBER($Y352),$Y352,DATEVALUE(TRIM($Y352))),""))</f>
        <v/>
      </c>
      <c r="CK352">
        <f>IF($CJ352="","",IF(MONTH($CJ352)&gt;=12,"Cold Winter",IF(MONTH($CJ352)&gt;=10,"Post-Monsoon",IF(MONTH($CJ352)&gt;=6,"Hot Humid",IF(MONTH($CJ352)&gt;=3,"Hot Dry","Cold Winter")))))</f>
        <v/>
      </c>
      <c r="CL352">
        <f>IF($CE352="","",IFERROR(VLOOKUP($CE352,DECODE!$A$3:$C$8,2,FALSE),"?"))</f>
        <v/>
      </c>
      <c r="CM352">
        <f>IF($AN352="","",AN352)</f>
        <v/>
      </c>
      <c r="CN352">
        <f>IF($AO352="","",AO352)</f>
        <v/>
      </c>
      <c r="CO352">
        <f>IF($AP352="","",AP352)</f>
        <v/>
      </c>
      <c r="CP352">
        <f>IF($CM352="","",IF($CM352="Aloe Vera Gel","Aloe Vera Gel "&amp;$CO352&amp;"g",CN352&amp;" "&amp;$CO352&amp;"g"))</f>
        <v/>
      </c>
      <c r="CQ352">
        <f>IF($AT352="",0,1)</f>
        <v/>
      </c>
      <c r="CR352">
        <f>IF($CQ352=0,"",AW352)</f>
        <v/>
      </c>
      <c r="CS352">
        <f>IF($CQ352=0,"",AX352)</f>
        <v/>
      </c>
      <c r="CT352">
        <f>IF($CQ352=0,"",AY352)</f>
        <v/>
      </c>
      <c r="CU352">
        <f>IF($CR352="","",IF($CR352="Aloe Vera Gel","Aloe Vera Gel "&amp;$CT352&amp;"g",CS352&amp;" "&amp;$CT352&amp;"g"))</f>
        <v/>
      </c>
      <c r="CV352">
        <f>IF($CQ352=0,"",IF($CP352=$CU352,"Repeat Exact",IF($CT352&gt;$CO352,"Upsized",IF($CT352&lt;$CO352,"Downsized",IF($CM352&lt;&gt;$CR352,"Lateral","Same Size Diff Variant")))))</f>
        <v/>
      </c>
      <c r="CW352">
        <f>IF($CQ352=0,"",AZ352-AQ352)</f>
        <v/>
      </c>
      <c r="CX352">
        <f>IF($CQ352=0,0,IF(CS352=CN352,1,0))</f>
        <v/>
      </c>
      <c r="CY352">
        <f>IF($CQ352=0,0,IF(CR352=CM352,1,0))</f>
        <v/>
      </c>
      <c r="CZ352">
        <f>IF($A352="","",IF(AND(IF(DASHBOARD!$C$4="All",TRUE,$CM352=DASHBOARD!$C$4),IF(DASHBOARD!$C$6="All",TRUE,$CP352=DASHBOARD!$C$6),IF(DASHBOARD!$C$8="All",TRUE,$AF352&gt;=DASHBOARD!$C$8),IF(DASHBOARD!$C$10="All",TRUE,$AF352&lt;=DASHBOARD!$C$10),IF(DASHBOARD!$C$12="All",TRUE,$AH352=VALUE(DASHBOARD!$C$12)),IF(DASHBOARD!$C$14="All",TRUE,$AJ352=DASHBOARD!$C$14)),1,0))</f>
        <v/>
      </c>
    </row>
    <row r="353">
      <c r="A353" t="n">
        <v>183470</v>
      </c>
      <c r="B353" t="inlineStr">
        <is>
          <t>Face Malai</t>
        </is>
      </c>
      <c r="H353" t="inlineStr">
        <is>
          <t>Turmeric Nutmeg (Pigmentation)  Face Malai - 30g</t>
        </is>
      </c>
      <c r="N353" t="inlineStr">
        <is>
          <t>FC-DM-PG-030</t>
        </is>
      </c>
      <c r="T353" t="inlineStr">
        <is>
          <t>Apr 3, 2025</t>
        </is>
      </c>
      <c r="AE353" t="inlineStr">
        <is>
          <t>New Delhi</t>
        </is>
      </c>
      <c r="AF353" t="inlineStr">
        <is>
          <t>2025-04</t>
        </is>
      </c>
      <c r="AG353" t="n">
        <v>4</v>
      </c>
      <c r="AH353" t="n">
        <v>1</v>
      </c>
      <c r="AI353" t="n">
        <v>0</v>
      </c>
      <c r="AJ353">
        <f>IF($AE353="","",IFERROR(VLOOKUP(TRIM($AE353),DECODE!$H$3:$I$60,2,FALSE),"Rest of India"))</f>
        <v/>
      </c>
      <c r="AK353">
        <f>IF($N353="","",UPPER(TRIM(LEFT($N353&amp;",",FIND(",",$N353&amp;",")-1))))</f>
        <v/>
      </c>
      <c r="AL353">
        <f>IF($AK353="","",MID($AK353,4,FIND("~",SUBSTITUTE($AK353,"-","~",2))-4))</f>
        <v/>
      </c>
      <c r="AM353">
        <f>IF($AK353="","",MID($AK353,FIND("~",SUBSTITUTE($AK353,"-","~",2))+1,FIND("~",SUBSTITUTE($AK353,"-","~",3))-FIND("~",SUBSTITUTE($AK353,"-","~",2))-1))</f>
        <v/>
      </c>
      <c r="AN353">
        <f>IF($AL353="","",IFERROR(VLOOKUP($AL353,DECODE!$A$3:$C$8,3,FALSE),"?"))</f>
        <v/>
      </c>
      <c r="AO353">
        <f>IF($AM353="","",IFERROR(VLOOKUP($AL353&amp;"-"&amp;$AM353,DECODE!$E$3:$F$21,2,FALSE),"?"))</f>
        <v/>
      </c>
      <c r="AP353">
        <f>IF($AK353="","",IFERROR(VALUE(RIGHT($AK353,3)),""))</f>
        <v/>
      </c>
      <c r="AQ353">
        <f>IF($T353="","",IFERROR(IF(ISNUMBER($T353),$T353,DATEVALUE(TRIM($T353))),""))</f>
        <v/>
      </c>
      <c r="AR353">
        <f>IF($AQ353="","",IF(MONTH($AQ353)&gt;=12,"Cold Winter",IF(MONTH($AQ353)&gt;=10,"Post-Monsoon",IF(MONTH($AQ353)&gt;=6,"Hot Humid",IF(MONTH($AQ353)&gt;=3,"Hot Dry","Cold Winter")))))</f>
        <v/>
      </c>
      <c r="AS353">
        <f>IF($AL353="","",IFERROR(VLOOKUP($AL353,DECODE!$A$3:$C$8,2,FALSE),"?"))</f>
        <v/>
      </c>
      <c r="AT353">
        <f>IF($O353="","",UPPER(TRIM(LEFT($O353&amp;",",FIND(",",$O353&amp;",")-1))))</f>
        <v/>
      </c>
      <c r="AU353">
        <f>IF($AT353="","",MID($AT353,4,FIND("~",SUBSTITUTE($AT353,"-","~",2))-4))</f>
        <v/>
      </c>
      <c r="AV353">
        <f>IF($AT353="","",MID($AT353,FIND("~",SUBSTITUTE($AT353,"-","~",2))+1,FIND("~",SUBSTITUTE($AT353,"-","~",3))-FIND("~",SUBSTITUTE($AT353,"-","~",2))-1))</f>
        <v/>
      </c>
      <c r="AW353">
        <f>IF($AU353="","",IFERROR(VLOOKUP($AU353,DECODE!$A$3:$C$8,3,FALSE),"?"))</f>
        <v/>
      </c>
      <c r="AX353">
        <f>IF($AV353="","",IFERROR(VLOOKUP($AU353&amp;"-"&amp;$AV353,DECODE!$E$3:$F$21,2,FALSE),"?"))</f>
        <v/>
      </c>
      <c r="AY353">
        <f>IF($AT353="","",IFERROR(VALUE(RIGHT($AT353,3)),""))</f>
        <v/>
      </c>
      <c r="AZ353">
        <f>IF($U353="","",IFERROR(IF(ISNUMBER($U353),$U353,DATEVALUE(TRIM($U353))),""))</f>
        <v/>
      </c>
      <c r="BA353">
        <f>IF($AZ353="","",IF(MONTH($AZ353)&gt;=12,"Cold Winter",IF(MONTH($AZ353)&gt;=10,"Post-Monsoon",IF(MONTH($AZ353)&gt;=6,"Hot Humid",IF(MONTH($AZ353)&gt;=3,"Hot Dry","Cold Winter")))))</f>
        <v/>
      </c>
      <c r="BB353">
        <f>IF($AU353="","",IFERROR(VLOOKUP($AU353,DECODE!$A$3:$C$8,2,FALSE),"?"))</f>
        <v/>
      </c>
      <c r="BC353">
        <f>IF($P353="","",UPPER(TRIM(LEFT($P353&amp;",",FIND(",",$P353&amp;",")-1))))</f>
        <v/>
      </c>
      <c r="BD353">
        <f>IF($BC353="","",MID($BC353,4,FIND("~",SUBSTITUTE($BC353,"-","~",2))-4))</f>
        <v/>
      </c>
      <c r="BE353">
        <f>IF($BC353="","",MID($BC353,FIND("~",SUBSTITUTE($BC353,"-","~",2))+1,FIND("~",SUBSTITUTE($BC353,"-","~",3))-FIND("~",SUBSTITUTE($BC353,"-","~",2))-1))</f>
        <v/>
      </c>
      <c r="BF353">
        <f>IF($BD353="","",IFERROR(VLOOKUP($BD353,DECODE!$A$3:$C$8,3,FALSE),"?"))</f>
        <v/>
      </c>
      <c r="BG353">
        <f>IF($BE353="","",IFERROR(VLOOKUP($BD353&amp;"-"&amp;$BE353,DECODE!$E$3:$F$21,2,FALSE),"?"))</f>
        <v/>
      </c>
      <c r="BH353">
        <f>IF($BC353="","",IFERROR(VALUE(RIGHT($BC353,3)),""))</f>
        <v/>
      </c>
      <c r="BI353">
        <f>IF($V353="","",IFERROR(IF(ISNUMBER($V353),$V353,DATEVALUE(TRIM($V353))),""))</f>
        <v/>
      </c>
      <c r="BJ353">
        <f>IF($BI353="","",IF(MONTH($BI353)&gt;=12,"Cold Winter",IF(MONTH($BI353)&gt;=10,"Post-Monsoon",IF(MONTH($BI353)&gt;=6,"Hot Humid",IF(MONTH($BI353)&gt;=3,"Hot Dry","Cold Winter")))))</f>
        <v/>
      </c>
      <c r="BK353">
        <f>IF($BD353="","",IFERROR(VLOOKUP($BD353,DECODE!$A$3:$C$8,2,FALSE),"?"))</f>
        <v/>
      </c>
      <c r="BL353">
        <f>IF($Q353="","",UPPER(TRIM(LEFT($Q353&amp;",",FIND(",",$Q353&amp;",")-1))))</f>
        <v/>
      </c>
      <c r="BM353">
        <f>IF($BL353="","",MID($BL353,4,FIND("~",SUBSTITUTE($BL353,"-","~",2))-4))</f>
        <v/>
      </c>
      <c r="BN353">
        <f>IF($BL353="","",MID($BL353,FIND("~",SUBSTITUTE($BL353,"-","~",2))+1,FIND("~",SUBSTITUTE($BL353,"-","~",3))-FIND("~",SUBSTITUTE($BL353,"-","~",2))-1))</f>
        <v/>
      </c>
      <c r="BO353">
        <f>IF($BM353="","",IFERROR(VLOOKUP($BM353,DECODE!$A$3:$C$8,3,FALSE),"?"))</f>
        <v/>
      </c>
      <c r="BP353">
        <f>IF($BN353="","",IFERROR(VLOOKUP($BM353&amp;"-"&amp;$BN353,DECODE!$E$3:$F$21,2,FALSE),"?"))</f>
        <v/>
      </c>
      <c r="BQ353">
        <f>IF($BL353="","",IFERROR(VALUE(RIGHT($BL353,3)),""))</f>
        <v/>
      </c>
      <c r="BR353">
        <f>IF($W353="","",IFERROR(IF(ISNUMBER($W353),$W353,DATEVALUE(TRIM($W353))),""))</f>
        <v/>
      </c>
      <c r="BS353">
        <f>IF($BR353="","",IF(MONTH($BR353)&gt;=12,"Cold Winter",IF(MONTH($BR353)&gt;=10,"Post-Monsoon",IF(MONTH($BR353)&gt;=6,"Hot Humid",IF(MONTH($BR353)&gt;=3,"Hot Dry","Cold Winter")))))</f>
        <v/>
      </c>
      <c r="BT353">
        <f>IF($BM353="","",IFERROR(VLOOKUP($BM353,DECODE!$A$3:$C$8,2,FALSE),"?"))</f>
        <v/>
      </c>
      <c r="BU353">
        <f>IF($R353="","",UPPER(TRIM(LEFT($R353&amp;",",FIND(",",$R353&amp;",")-1))))</f>
        <v/>
      </c>
      <c r="BV353">
        <f>IF($BU353="","",MID($BU353,4,FIND("~",SUBSTITUTE($BU353,"-","~",2))-4))</f>
        <v/>
      </c>
      <c r="BW353">
        <f>IF($BU353="","",MID($BU353,FIND("~",SUBSTITUTE($BU353,"-","~",2))+1,FIND("~",SUBSTITUTE($BU353,"-","~",3))-FIND("~",SUBSTITUTE($BU353,"-","~",2))-1))</f>
        <v/>
      </c>
      <c r="BX353">
        <f>IF($BV353="","",IFERROR(VLOOKUP($BV353,DECODE!$A$3:$C$8,3,FALSE),"?"))</f>
        <v/>
      </c>
      <c r="BY353">
        <f>IF($BW353="","",IFERROR(VLOOKUP($BV353&amp;"-"&amp;$BW353,DECODE!$E$3:$F$21,2,FALSE),"?"))</f>
        <v/>
      </c>
      <c r="BZ353">
        <f>IF($BU353="","",IFERROR(VALUE(RIGHT($BU353,3)),""))</f>
        <v/>
      </c>
      <c r="CA353">
        <f>IF($X353="","",IFERROR(IF(ISNUMBER($X353),$X353,DATEVALUE(TRIM($X353))),""))</f>
        <v/>
      </c>
      <c r="CB353">
        <f>IF($CA353="","",IF(MONTH($CA353)&gt;=12,"Cold Winter",IF(MONTH($CA353)&gt;=10,"Post-Monsoon",IF(MONTH($CA353)&gt;=6,"Hot Humid",IF(MONTH($CA353)&gt;=3,"Hot Dry","Cold Winter")))))</f>
        <v/>
      </c>
      <c r="CC353">
        <f>IF($BV353="","",IFERROR(VLOOKUP($BV353,DECODE!$A$3:$C$8,2,FALSE),"?"))</f>
        <v/>
      </c>
      <c r="CD353">
        <f>IF($S353="","",UPPER(TRIM(LEFT($S353&amp;",",FIND(",",$S353&amp;",")-1))))</f>
        <v/>
      </c>
      <c r="CE353">
        <f>IF($CD353="","",MID($CD353,4,FIND("~",SUBSTITUTE($CD353,"-","~",2))-4))</f>
        <v/>
      </c>
      <c r="CF353">
        <f>IF($CD353="","",MID($CD353,FIND("~",SUBSTITUTE($CD353,"-","~",2))+1,FIND("~",SUBSTITUTE($CD353,"-","~",3))-FIND("~",SUBSTITUTE($CD353,"-","~",2))-1))</f>
        <v/>
      </c>
      <c r="CG353">
        <f>IF($CE353="","",IFERROR(VLOOKUP($CE353,DECODE!$A$3:$C$8,3,FALSE),"?"))</f>
        <v/>
      </c>
      <c r="CH353">
        <f>IF($CF353="","",IFERROR(VLOOKUP($CE353&amp;"-"&amp;$CF353,DECODE!$E$3:$F$21,2,FALSE),"?"))</f>
        <v/>
      </c>
      <c r="CI353">
        <f>IF($CD353="","",IFERROR(VALUE(RIGHT($CD353,3)),""))</f>
        <v/>
      </c>
      <c r="CJ353">
        <f>IF($Y353="","",IFERROR(IF(ISNUMBER($Y353),$Y353,DATEVALUE(TRIM($Y353))),""))</f>
        <v/>
      </c>
      <c r="CK353">
        <f>IF($CJ353="","",IF(MONTH($CJ353)&gt;=12,"Cold Winter",IF(MONTH($CJ353)&gt;=10,"Post-Monsoon",IF(MONTH($CJ353)&gt;=6,"Hot Humid",IF(MONTH($CJ353)&gt;=3,"Hot Dry","Cold Winter")))))</f>
        <v/>
      </c>
      <c r="CL353">
        <f>IF($CE353="","",IFERROR(VLOOKUP($CE353,DECODE!$A$3:$C$8,2,FALSE),"?"))</f>
        <v/>
      </c>
      <c r="CM353">
        <f>IF($AN353="","",AN353)</f>
        <v/>
      </c>
      <c r="CN353">
        <f>IF($AO353="","",AO353)</f>
        <v/>
      </c>
      <c r="CO353">
        <f>IF($AP353="","",AP353)</f>
        <v/>
      </c>
      <c r="CP353">
        <f>IF($CM353="","",IF($CM353="Aloe Vera Gel","Aloe Vera Gel "&amp;$CO353&amp;"g",CN353&amp;" "&amp;$CO353&amp;"g"))</f>
        <v/>
      </c>
      <c r="CQ353">
        <f>IF($AT353="",0,1)</f>
        <v/>
      </c>
      <c r="CR353">
        <f>IF($CQ353=0,"",AW353)</f>
        <v/>
      </c>
      <c r="CS353">
        <f>IF($CQ353=0,"",AX353)</f>
        <v/>
      </c>
      <c r="CT353">
        <f>IF($CQ353=0,"",AY353)</f>
        <v/>
      </c>
      <c r="CU353">
        <f>IF($CR353="","",IF($CR353="Aloe Vera Gel","Aloe Vera Gel "&amp;$CT353&amp;"g",CS353&amp;" "&amp;$CT353&amp;"g"))</f>
        <v/>
      </c>
      <c r="CV353">
        <f>IF($CQ353=0,"",IF($CP353=$CU353,"Repeat Exact",IF($CT353&gt;$CO353,"Upsized",IF($CT353&lt;$CO353,"Downsized",IF($CM353&lt;&gt;$CR353,"Lateral","Same Size Diff Variant")))))</f>
        <v/>
      </c>
      <c r="CW353">
        <f>IF($CQ353=0,"",AZ353-AQ353)</f>
        <v/>
      </c>
      <c r="CX353">
        <f>IF($CQ353=0,0,IF(CS353=CN353,1,0))</f>
        <v/>
      </c>
      <c r="CY353">
        <f>IF($CQ353=0,0,IF(CR353=CM353,1,0))</f>
        <v/>
      </c>
      <c r="CZ353">
        <f>IF($A353="","",IF(AND(IF(DASHBOARD!$C$4="All",TRUE,$CM353=DASHBOARD!$C$4),IF(DASHBOARD!$C$6="All",TRUE,$CP353=DASHBOARD!$C$6),IF(DASHBOARD!$C$8="All",TRUE,$AF353&gt;=DASHBOARD!$C$8),IF(DASHBOARD!$C$10="All",TRUE,$AF353&lt;=DASHBOARD!$C$10),IF(DASHBOARD!$C$12="All",TRUE,$AH353=VALUE(DASHBOARD!$C$12)),IF(DASHBOARD!$C$14="All",TRUE,$AJ353=DASHBOARD!$C$14)),1,0))</f>
        <v/>
      </c>
    </row>
    <row r="354">
      <c r="A354" t="n">
        <v>183738</v>
      </c>
      <c r="B354" t="inlineStr">
        <is>
          <t>Face Malai</t>
        </is>
      </c>
      <c r="C354" t="inlineStr">
        <is>
          <t>Face Malai</t>
        </is>
      </c>
      <c r="H354" t="inlineStr">
        <is>
          <t>Flax Bakuchi (Hot Dry) 35+ Face Malai - 30g</t>
        </is>
      </c>
      <c r="I354" t="inlineStr">
        <is>
          <t>Turmeric Nutmeg (Pigmentation)  Face Malai - 30g</t>
        </is>
      </c>
      <c r="N354" t="inlineStr">
        <is>
          <t>FC-HDDM-FB-030</t>
        </is>
      </c>
      <c r="O354" t="inlineStr">
        <is>
          <t>FC-DM-PG-030</t>
        </is>
      </c>
      <c r="T354" t="inlineStr">
        <is>
          <t>Apr 23, 2025</t>
        </is>
      </c>
      <c r="U354" t="inlineStr">
        <is>
          <t>Dec 21, 2025</t>
        </is>
      </c>
      <c r="Z354" t="n">
        <v>242</v>
      </c>
      <c r="AE354" t="inlineStr">
        <is>
          <t>Pune</t>
        </is>
      </c>
      <c r="AF354" t="inlineStr">
        <is>
          <t>2025-04</t>
        </is>
      </c>
      <c r="AG354" t="n">
        <v>4</v>
      </c>
      <c r="AH354" t="n">
        <v>2</v>
      </c>
      <c r="AI354" t="n">
        <v>1</v>
      </c>
      <c r="AJ354">
        <f>IF($AE354="","",IFERROR(VLOOKUP(TRIM($AE354),DECODE!$H$3:$I$60,2,FALSE),"Rest of India"))</f>
        <v/>
      </c>
      <c r="AK354">
        <f>IF($N354="","",UPPER(TRIM(LEFT($N354&amp;",",FIND(",",$N354&amp;",")-1))))</f>
        <v/>
      </c>
      <c r="AL354">
        <f>IF($AK354="","",MID($AK354,4,FIND("~",SUBSTITUTE($AK354,"-","~",2))-4))</f>
        <v/>
      </c>
      <c r="AM354">
        <f>IF($AK354="","",MID($AK354,FIND("~",SUBSTITUTE($AK354,"-","~",2))+1,FIND("~",SUBSTITUTE($AK354,"-","~",3))-FIND("~",SUBSTITUTE($AK354,"-","~",2))-1))</f>
        <v/>
      </c>
      <c r="AN354">
        <f>IF($AL354="","",IFERROR(VLOOKUP($AL354,DECODE!$A$3:$C$8,3,FALSE),"?"))</f>
        <v/>
      </c>
      <c r="AO354">
        <f>IF($AM354="","",IFERROR(VLOOKUP($AL354&amp;"-"&amp;$AM354,DECODE!$E$3:$F$21,2,FALSE),"?"))</f>
        <v/>
      </c>
      <c r="AP354">
        <f>IF($AK354="","",IFERROR(VALUE(RIGHT($AK354,3)),""))</f>
        <v/>
      </c>
      <c r="AQ354">
        <f>IF($T354="","",IFERROR(IF(ISNUMBER($T354),$T354,DATEVALUE(TRIM($T354))),""))</f>
        <v/>
      </c>
      <c r="AR354">
        <f>IF($AQ354="","",IF(MONTH($AQ354)&gt;=12,"Cold Winter",IF(MONTH($AQ354)&gt;=10,"Post-Monsoon",IF(MONTH($AQ354)&gt;=6,"Hot Humid",IF(MONTH($AQ354)&gt;=3,"Hot Dry","Cold Winter")))))</f>
        <v/>
      </c>
      <c r="AS354">
        <f>IF($AL354="","",IFERROR(VLOOKUP($AL354,DECODE!$A$3:$C$8,2,FALSE),"?"))</f>
        <v/>
      </c>
      <c r="AT354">
        <f>IF($O354="","",UPPER(TRIM(LEFT($O354&amp;",",FIND(",",$O354&amp;",")-1))))</f>
        <v/>
      </c>
      <c r="AU354">
        <f>IF($AT354="","",MID($AT354,4,FIND("~",SUBSTITUTE($AT354,"-","~",2))-4))</f>
        <v/>
      </c>
      <c r="AV354">
        <f>IF($AT354="","",MID($AT354,FIND("~",SUBSTITUTE($AT354,"-","~",2))+1,FIND("~",SUBSTITUTE($AT354,"-","~",3))-FIND("~",SUBSTITUTE($AT354,"-","~",2))-1))</f>
        <v/>
      </c>
      <c r="AW354">
        <f>IF($AU354="","",IFERROR(VLOOKUP($AU354,DECODE!$A$3:$C$8,3,FALSE),"?"))</f>
        <v/>
      </c>
      <c r="AX354">
        <f>IF($AV354="","",IFERROR(VLOOKUP($AU354&amp;"-"&amp;$AV354,DECODE!$E$3:$F$21,2,FALSE),"?"))</f>
        <v/>
      </c>
      <c r="AY354">
        <f>IF($AT354="","",IFERROR(VALUE(RIGHT($AT354,3)),""))</f>
        <v/>
      </c>
      <c r="AZ354">
        <f>IF($U354="","",IFERROR(IF(ISNUMBER($U354),$U354,DATEVALUE(TRIM($U354))),""))</f>
        <v/>
      </c>
      <c r="BA354">
        <f>IF($AZ354="","",IF(MONTH($AZ354)&gt;=12,"Cold Winter",IF(MONTH($AZ354)&gt;=10,"Post-Monsoon",IF(MONTH($AZ354)&gt;=6,"Hot Humid",IF(MONTH($AZ354)&gt;=3,"Hot Dry","Cold Winter")))))</f>
        <v/>
      </c>
      <c r="BB354">
        <f>IF($AU354="","",IFERROR(VLOOKUP($AU354,DECODE!$A$3:$C$8,2,FALSE),"?"))</f>
        <v/>
      </c>
      <c r="BC354">
        <f>IF($P354="","",UPPER(TRIM(LEFT($P354&amp;",",FIND(",",$P354&amp;",")-1))))</f>
        <v/>
      </c>
      <c r="BD354">
        <f>IF($BC354="","",MID($BC354,4,FIND("~",SUBSTITUTE($BC354,"-","~",2))-4))</f>
        <v/>
      </c>
      <c r="BE354">
        <f>IF($BC354="","",MID($BC354,FIND("~",SUBSTITUTE($BC354,"-","~",2))+1,FIND("~",SUBSTITUTE($BC354,"-","~",3))-FIND("~",SUBSTITUTE($BC354,"-","~",2))-1))</f>
        <v/>
      </c>
      <c r="BF354">
        <f>IF($BD354="","",IFERROR(VLOOKUP($BD354,DECODE!$A$3:$C$8,3,FALSE),"?"))</f>
        <v/>
      </c>
      <c r="BG354">
        <f>IF($BE354="","",IFERROR(VLOOKUP($BD354&amp;"-"&amp;$BE354,DECODE!$E$3:$F$21,2,FALSE),"?"))</f>
        <v/>
      </c>
      <c r="BH354">
        <f>IF($BC354="","",IFERROR(VALUE(RIGHT($BC354,3)),""))</f>
        <v/>
      </c>
      <c r="BI354">
        <f>IF($V354="","",IFERROR(IF(ISNUMBER($V354),$V354,DATEVALUE(TRIM($V354))),""))</f>
        <v/>
      </c>
      <c r="BJ354">
        <f>IF($BI354="","",IF(MONTH($BI354)&gt;=12,"Cold Winter",IF(MONTH($BI354)&gt;=10,"Post-Monsoon",IF(MONTH($BI354)&gt;=6,"Hot Humid",IF(MONTH($BI354)&gt;=3,"Hot Dry","Cold Winter")))))</f>
        <v/>
      </c>
      <c r="BK354">
        <f>IF($BD354="","",IFERROR(VLOOKUP($BD354,DECODE!$A$3:$C$8,2,FALSE),"?"))</f>
        <v/>
      </c>
      <c r="BL354">
        <f>IF($Q354="","",UPPER(TRIM(LEFT($Q354&amp;",",FIND(",",$Q354&amp;",")-1))))</f>
        <v/>
      </c>
      <c r="BM354">
        <f>IF($BL354="","",MID($BL354,4,FIND("~",SUBSTITUTE($BL354,"-","~",2))-4))</f>
        <v/>
      </c>
      <c r="BN354">
        <f>IF($BL354="","",MID($BL354,FIND("~",SUBSTITUTE($BL354,"-","~",2))+1,FIND("~",SUBSTITUTE($BL354,"-","~",3))-FIND("~",SUBSTITUTE($BL354,"-","~",2))-1))</f>
        <v/>
      </c>
      <c r="BO354">
        <f>IF($BM354="","",IFERROR(VLOOKUP($BM354,DECODE!$A$3:$C$8,3,FALSE),"?"))</f>
        <v/>
      </c>
      <c r="BP354">
        <f>IF($BN354="","",IFERROR(VLOOKUP($BM354&amp;"-"&amp;$BN354,DECODE!$E$3:$F$21,2,FALSE),"?"))</f>
        <v/>
      </c>
      <c r="BQ354">
        <f>IF($BL354="","",IFERROR(VALUE(RIGHT($BL354,3)),""))</f>
        <v/>
      </c>
      <c r="BR354">
        <f>IF($W354="","",IFERROR(IF(ISNUMBER($W354),$W354,DATEVALUE(TRIM($W354))),""))</f>
        <v/>
      </c>
      <c r="BS354">
        <f>IF($BR354="","",IF(MONTH($BR354)&gt;=12,"Cold Winter",IF(MONTH($BR354)&gt;=10,"Post-Monsoon",IF(MONTH($BR354)&gt;=6,"Hot Humid",IF(MONTH($BR354)&gt;=3,"Hot Dry","Cold Winter")))))</f>
        <v/>
      </c>
      <c r="BT354">
        <f>IF($BM354="","",IFERROR(VLOOKUP($BM354,DECODE!$A$3:$C$8,2,FALSE),"?"))</f>
        <v/>
      </c>
      <c r="BU354">
        <f>IF($R354="","",UPPER(TRIM(LEFT($R354&amp;",",FIND(",",$R354&amp;",")-1))))</f>
        <v/>
      </c>
      <c r="BV354">
        <f>IF($BU354="","",MID($BU354,4,FIND("~",SUBSTITUTE($BU354,"-","~",2))-4))</f>
        <v/>
      </c>
      <c r="BW354">
        <f>IF($BU354="","",MID($BU354,FIND("~",SUBSTITUTE($BU354,"-","~",2))+1,FIND("~",SUBSTITUTE($BU354,"-","~",3))-FIND("~",SUBSTITUTE($BU354,"-","~",2))-1))</f>
        <v/>
      </c>
      <c r="BX354">
        <f>IF($BV354="","",IFERROR(VLOOKUP($BV354,DECODE!$A$3:$C$8,3,FALSE),"?"))</f>
        <v/>
      </c>
      <c r="BY354">
        <f>IF($BW354="","",IFERROR(VLOOKUP($BV354&amp;"-"&amp;$BW354,DECODE!$E$3:$F$21,2,FALSE),"?"))</f>
        <v/>
      </c>
      <c r="BZ354">
        <f>IF($BU354="","",IFERROR(VALUE(RIGHT($BU354,3)),""))</f>
        <v/>
      </c>
      <c r="CA354">
        <f>IF($X354="","",IFERROR(IF(ISNUMBER($X354),$X354,DATEVALUE(TRIM($X354))),""))</f>
        <v/>
      </c>
      <c r="CB354">
        <f>IF($CA354="","",IF(MONTH($CA354)&gt;=12,"Cold Winter",IF(MONTH($CA354)&gt;=10,"Post-Monsoon",IF(MONTH($CA354)&gt;=6,"Hot Humid",IF(MONTH($CA354)&gt;=3,"Hot Dry","Cold Winter")))))</f>
        <v/>
      </c>
      <c r="CC354">
        <f>IF($BV354="","",IFERROR(VLOOKUP($BV354,DECODE!$A$3:$C$8,2,FALSE),"?"))</f>
        <v/>
      </c>
      <c r="CD354">
        <f>IF($S354="","",UPPER(TRIM(LEFT($S354&amp;",",FIND(",",$S354&amp;",")-1))))</f>
        <v/>
      </c>
      <c r="CE354">
        <f>IF($CD354="","",MID($CD354,4,FIND("~",SUBSTITUTE($CD354,"-","~",2))-4))</f>
        <v/>
      </c>
      <c r="CF354">
        <f>IF($CD354="","",MID($CD354,FIND("~",SUBSTITUTE($CD354,"-","~",2))+1,FIND("~",SUBSTITUTE($CD354,"-","~",3))-FIND("~",SUBSTITUTE($CD354,"-","~",2))-1))</f>
        <v/>
      </c>
      <c r="CG354">
        <f>IF($CE354="","",IFERROR(VLOOKUP($CE354,DECODE!$A$3:$C$8,3,FALSE),"?"))</f>
        <v/>
      </c>
      <c r="CH354">
        <f>IF($CF354="","",IFERROR(VLOOKUP($CE354&amp;"-"&amp;$CF354,DECODE!$E$3:$F$21,2,FALSE),"?"))</f>
        <v/>
      </c>
      <c r="CI354">
        <f>IF($CD354="","",IFERROR(VALUE(RIGHT($CD354,3)),""))</f>
        <v/>
      </c>
      <c r="CJ354">
        <f>IF($Y354="","",IFERROR(IF(ISNUMBER($Y354),$Y354,DATEVALUE(TRIM($Y354))),""))</f>
        <v/>
      </c>
      <c r="CK354">
        <f>IF($CJ354="","",IF(MONTH($CJ354)&gt;=12,"Cold Winter",IF(MONTH($CJ354)&gt;=10,"Post-Monsoon",IF(MONTH($CJ354)&gt;=6,"Hot Humid",IF(MONTH($CJ354)&gt;=3,"Hot Dry","Cold Winter")))))</f>
        <v/>
      </c>
      <c r="CL354">
        <f>IF($CE354="","",IFERROR(VLOOKUP($CE354,DECODE!$A$3:$C$8,2,FALSE),"?"))</f>
        <v/>
      </c>
      <c r="CM354">
        <f>IF($AN354="","",AN354)</f>
        <v/>
      </c>
      <c r="CN354">
        <f>IF($AO354="","",AO354)</f>
        <v/>
      </c>
      <c r="CO354">
        <f>IF($AP354="","",AP354)</f>
        <v/>
      </c>
      <c r="CP354">
        <f>IF($CM354="","",IF($CM354="Aloe Vera Gel","Aloe Vera Gel "&amp;$CO354&amp;"g",CN354&amp;" "&amp;$CO354&amp;"g"))</f>
        <v/>
      </c>
      <c r="CQ354">
        <f>IF($AT354="",0,1)</f>
        <v/>
      </c>
      <c r="CR354">
        <f>IF($CQ354=0,"",AW354)</f>
        <v/>
      </c>
      <c r="CS354">
        <f>IF($CQ354=0,"",AX354)</f>
        <v/>
      </c>
      <c r="CT354">
        <f>IF($CQ354=0,"",AY354)</f>
        <v/>
      </c>
      <c r="CU354">
        <f>IF($CR354="","",IF($CR354="Aloe Vera Gel","Aloe Vera Gel "&amp;$CT354&amp;"g",CS354&amp;" "&amp;$CT354&amp;"g"))</f>
        <v/>
      </c>
      <c r="CV354">
        <f>IF($CQ354=0,"",IF($CP354=$CU354,"Repeat Exact",IF($CT354&gt;$CO354,"Upsized",IF($CT354&lt;$CO354,"Downsized",IF($CM354&lt;&gt;$CR354,"Lateral","Same Size Diff Variant")))))</f>
        <v/>
      </c>
      <c r="CW354">
        <f>IF($CQ354=0,"",AZ354-AQ354)</f>
        <v/>
      </c>
      <c r="CX354">
        <f>IF($CQ354=0,0,IF(CS354=CN354,1,0))</f>
        <v/>
      </c>
      <c r="CY354">
        <f>IF($CQ354=0,0,IF(CR354=CM354,1,0))</f>
        <v/>
      </c>
      <c r="CZ354">
        <f>IF($A354="","",IF(AND(IF(DASHBOARD!$C$4="All",TRUE,$CM354=DASHBOARD!$C$4),IF(DASHBOARD!$C$6="All",TRUE,$CP354=DASHBOARD!$C$6),IF(DASHBOARD!$C$8="All",TRUE,$AF354&gt;=DASHBOARD!$C$8),IF(DASHBOARD!$C$10="All",TRUE,$AF354&lt;=DASHBOARD!$C$10),IF(DASHBOARD!$C$12="All",TRUE,$AH354=VALUE(DASHBOARD!$C$12)),IF(DASHBOARD!$C$14="All",TRUE,$AJ354=DASHBOARD!$C$14)),1,0))</f>
        <v/>
      </c>
    </row>
    <row r="355">
      <c r="A355" t="n">
        <v>184047</v>
      </c>
      <c r="B355" t="inlineStr">
        <is>
          <t>Aloe Vera Gel</t>
        </is>
      </c>
      <c r="H355" t="inlineStr">
        <is>
          <t>Aloe Vera Gel - 80 gms</t>
        </is>
      </c>
      <c r="N355" t="inlineStr">
        <is>
          <t>FC-HG-PA-080</t>
        </is>
      </c>
      <c r="T355" t="inlineStr">
        <is>
          <t>May 18, 2025</t>
        </is>
      </c>
      <c r="AE355" t="inlineStr">
        <is>
          <t>Goa</t>
        </is>
      </c>
      <c r="AF355" t="inlineStr">
        <is>
          <t>2025-05</t>
        </is>
      </c>
      <c r="AG355" t="n">
        <v>5</v>
      </c>
      <c r="AH355" t="n">
        <v>1</v>
      </c>
      <c r="AI355" t="n">
        <v>0</v>
      </c>
      <c r="AJ355">
        <f>IF($AE355="","",IFERROR(VLOOKUP(TRIM($AE355),DECODE!$H$3:$I$60,2,FALSE),"Rest of India"))</f>
        <v/>
      </c>
      <c r="AK355">
        <f>IF($N355="","",UPPER(TRIM(LEFT($N355&amp;",",FIND(",",$N355&amp;",")-1))))</f>
        <v/>
      </c>
      <c r="AL355">
        <f>IF($AK355="","",MID($AK355,4,FIND("~",SUBSTITUTE($AK355,"-","~",2))-4))</f>
        <v/>
      </c>
      <c r="AM355">
        <f>IF($AK355="","",MID($AK355,FIND("~",SUBSTITUTE($AK355,"-","~",2))+1,FIND("~",SUBSTITUTE($AK355,"-","~",3))-FIND("~",SUBSTITUTE($AK355,"-","~",2))-1))</f>
        <v/>
      </c>
      <c r="AN355">
        <f>IF($AL355="","",IFERROR(VLOOKUP($AL355,DECODE!$A$3:$C$8,3,FALSE),"?"))</f>
        <v/>
      </c>
      <c r="AO355">
        <f>IF($AM355="","",IFERROR(VLOOKUP($AL355&amp;"-"&amp;$AM355,DECODE!$E$3:$F$21,2,FALSE),"?"))</f>
        <v/>
      </c>
      <c r="AP355">
        <f>IF($AK355="","",IFERROR(VALUE(RIGHT($AK355,3)),""))</f>
        <v/>
      </c>
      <c r="AQ355">
        <f>IF($T355="","",IFERROR(IF(ISNUMBER($T355),$T355,DATEVALUE(TRIM($T355))),""))</f>
        <v/>
      </c>
      <c r="AR355">
        <f>IF($AQ355="","",IF(MONTH($AQ355)&gt;=12,"Cold Winter",IF(MONTH($AQ355)&gt;=10,"Post-Monsoon",IF(MONTH($AQ355)&gt;=6,"Hot Humid",IF(MONTH($AQ355)&gt;=3,"Hot Dry","Cold Winter")))))</f>
        <v/>
      </c>
      <c r="AS355">
        <f>IF($AL355="","",IFERROR(VLOOKUP($AL355,DECODE!$A$3:$C$8,2,FALSE),"?"))</f>
        <v/>
      </c>
      <c r="AT355">
        <f>IF($O355="","",UPPER(TRIM(LEFT($O355&amp;",",FIND(",",$O355&amp;",")-1))))</f>
        <v/>
      </c>
      <c r="AU355">
        <f>IF($AT355="","",MID($AT355,4,FIND("~",SUBSTITUTE($AT355,"-","~",2))-4))</f>
        <v/>
      </c>
      <c r="AV355">
        <f>IF($AT355="","",MID($AT355,FIND("~",SUBSTITUTE($AT355,"-","~",2))+1,FIND("~",SUBSTITUTE($AT355,"-","~",3))-FIND("~",SUBSTITUTE($AT355,"-","~",2))-1))</f>
        <v/>
      </c>
      <c r="AW355">
        <f>IF($AU355="","",IFERROR(VLOOKUP($AU355,DECODE!$A$3:$C$8,3,FALSE),"?"))</f>
        <v/>
      </c>
      <c r="AX355">
        <f>IF($AV355="","",IFERROR(VLOOKUP($AU355&amp;"-"&amp;$AV355,DECODE!$E$3:$F$21,2,FALSE),"?"))</f>
        <v/>
      </c>
      <c r="AY355">
        <f>IF($AT355="","",IFERROR(VALUE(RIGHT($AT355,3)),""))</f>
        <v/>
      </c>
      <c r="AZ355">
        <f>IF($U355="","",IFERROR(IF(ISNUMBER($U355),$U355,DATEVALUE(TRIM($U355))),""))</f>
        <v/>
      </c>
      <c r="BA355">
        <f>IF($AZ355="","",IF(MONTH($AZ355)&gt;=12,"Cold Winter",IF(MONTH($AZ355)&gt;=10,"Post-Monsoon",IF(MONTH($AZ355)&gt;=6,"Hot Humid",IF(MONTH($AZ355)&gt;=3,"Hot Dry","Cold Winter")))))</f>
        <v/>
      </c>
      <c r="BB355">
        <f>IF($AU355="","",IFERROR(VLOOKUP($AU355,DECODE!$A$3:$C$8,2,FALSE),"?"))</f>
        <v/>
      </c>
      <c r="BC355">
        <f>IF($P355="","",UPPER(TRIM(LEFT($P355&amp;",",FIND(",",$P355&amp;",")-1))))</f>
        <v/>
      </c>
      <c r="BD355">
        <f>IF($BC355="","",MID($BC355,4,FIND("~",SUBSTITUTE($BC355,"-","~",2))-4))</f>
        <v/>
      </c>
      <c r="BE355">
        <f>IF($BC355="","",MID($BC355,FIND("~",SUBSTITUTE($BC355,"-","~",2))+1,FIND("~",SUBSTITUTE($BC355,"-","~",3))-FIND("~",SUBSTITUTE($BC355,"-","~",2))-1))</f>
        <v/>
      </c>
      <c r="BF355">
        <f>IF($BD355="","",IFERROR(VLOOKUP($BD355,DECODE!$A$3:$C$8,3,FALSE),"?"))</f>
        <v/>
      </c>
      <c r="BG355">
        <f>IF($BE355="","",IFERROR(VLOOKUP($BD355&amp;"-"&amp;$BE355,DECODE!$E$3:$F$21,2,FALSE),"?"))</f>
        <v/>
      </c>
      <c r="BH355">
        <f>IF($BC355="","",IFERROR(VALUE(RIGHT($BC355,3)),""))</f>
        <v/>
      </c>
      <c r="BI355">
        <f>IF($V355="","",IFERROR(IF(ISNUMBER($V355),$V355,DATEVALUE(TRIM($V355))),""))</f>
        <v/>
      </c>
      <c r="BJ355">
        <f>IF($BI355="","",IF(MONTH($BI355)&gt;=12,"Cold Winter",IF(MONTH($BI355)&gt;=10,"Post-Monsoon",IF(MONTH($BI355)&gt;=6,"Hot Humid",IF(MONTH($BI355)&gt;=3,"Hot Dry","Cold Winter")))))</f>
        <v/>
      </c>
      <c r="BK355">
        <f>IF($BD355="","",IFERROR(VLOOKUP($BD355,DECODE!$A$3:$C$8,2,FALSE),"?"))</f>
        <v/>
      </c>
      <c r="BL355">
        <f>IF($Q355="","",UPPER(TRIM(LEFT($Q355&amp;",",FIND(",",$Q355&amp;",")-1))))</f>
        <v/>
      </c>
      <c r="BM355">
        <f>IF($BL355="","",MID($BL355,4,FIND("~",SUBSTITUTE($BL355,"-","~",2))-4))</f>
        <v/>
      </c>
      <c r="BN355">
        <f>IF($BL355="","",MID($BL355,FIND("~",SUBSTITUTE($BL355,"-","~",2))+1,FIND("~",SUBSTITUTE($BL355,"-","~",3))-FIND("~",SUBSTITUTE($BL355,"-","~",2))-1))</f>
        <v/>
      </c>
      <c r="BO355">
        <f>IF($BM355="","",IFERROR(VLOOKUP($BM355,DECODE!$A$3:$C$8,3,FALSE),"?"))</f>
        <v/>
      </c>
      <c r="BP355">
        <f>IF($BN355="","",IFERROR(VLOOKUP($BM355&amp;"-"&amp;$BN355,DECODE!$E$3:$F$21,2,FALSE),"?"))</f>
        <v/>
      </c>
      <c r="BQ355">
        <f>IF($BL355="","",IFERROR(VALUE(RIGHT($BL355,3)),""))</f>
        <v/>
      </c>
      <c r="BR355">
        <f>IF($W355="","",IFERROR(IF(ISNUMBER($W355),$W355,DATEVALUE(TRIM($W355))),""))</f>
        <v/>
      </c>
      <c r="BS355">
        <f>IF($BR355="","",IF(MONTH($BR355)&gt;=12,"Cold Winter",IF(MONTH($BR355)&gt;=10,"Post-Monsoon",IF(MONTH($BR355)&gt;=6,"Hot Humid",IF(MONTH($BR355)&gt;=3,"Hot Dry","Cold Winter")))))</f>
        <v/>
      </c>
      <c r="BT355">
        <f>IF($BM355="","",IFERROR(VLOOKUP($BM355,DECODE!$A$3:$C$8,2,FALSE),"?"))</f>
        <v/>
      </c>
      <c r="BU355">
        <f>IF($R355="","",UPPER(TRIM(LEFT($R355&amp;",",FIND(",",$R355&amp;",")-1))))</f>
        <v/>
      </c>
      <c r="BV355">
        <f>IF($BU355="","",MID($BU355,4,FIND("~",SUBSTITUTE($BU355,"-","~",2))-4))</f>
        <v/>
      </c>
      <c r="BW355">
        <f>IF($BU355="","",MID($BU355,FIND("~",SUBSTITUTE($BU355,"-","~",2))+1,FIND("~",SUBSTITUTE($BU355,"-","~",3))-FIND("~",SUBSTITUTE($BU355,"-","~",2))-1))</f>
        <v/>
      </c>
      <c r="BX355">
        <f>IF($BV355="","",IFERROR(VLOOKUP($BV355,DECODE!$A$3:$C$8,3,FALSE),"?"))</f>
        <v/>
      </c>
      <c r="BY355">
        <f>IF($BW355="","",IFERROR(VLOOKUP($BV355&amp;"-"&amp;$BW355,DECODE!$E$3:$F$21,2,FALSE),"?"))</f>
        <v/>
      </c>
      <c r="BZ355">
        <f>IF($BU355="","",IFERROR(VALUE(RIGHT($BU355,3)),""))</f>
        <v/>
      </c>
      <c r="CA355">
        <f>IF($X355="","",IFERROR(IF(ISNUMBER($X355),$X355,DATEVALUE(TRIM($X355))),""))</f>
        <v/>
      </c>
      <c r="CB355">
        <f>IF($CA355="","",IF(MONTH($CA355)&gt;=12,"Cold Winter",IF(MONTH($CA355)&gt;=10,"Post-Monsoon",IF(MONTH($CA355)&gt;=6,"Hot Humid",IF(MONTH($CA355)&gt;=3,"Hot Dry","Cold Winter")))))</f>
        <v/>
      </c>
      <c r="CC355">
        <f>IF($BV355="","",IFERROR(VLOOKUP($BV355,DECODE!$A$3:$C$8,2,FALSE),"?"))</f>
        <v/>
      </c>
      <c r="CD355">
        <f>IF($S355="","",UPPER(TRIM(LEFT($S355&amp;",",FIND(",",$S355&amp;",")-1))))</f>
        <v/>
      </c>
      <c r="CE355">
        <f>IF($CD355="","",MID($CD355,4,FIND("~",SUBSTITUTE($CD355,"-","~",2))-4))</f>
        <v/>
      </c>
      <c r="CF355">
        <f>IF($CD355="","",MID($CD355,FIND("~",SUBSTITUTE($CD355,"-","~",2))+1,FIND("~",SUBSTITUTE($CD355,"-","~",3))-FIND("~",SUBSTITUTE($CD355,"-","~",2))-1))</f>
        <v/>
      </c>
      <c r="CG355">
        <f>IF($CE355="","",IFERROR(VLOOKUP($CE355,DECODE!$A$3:$C$8,3,FALSE),"?"))</f>
        <v/>
      </c>
      <c r="CH355">
        <f>IF($CF355="","",IFERROR(VLOOKUP($CE355&amp;"-"&amp;$CF355,DECODE!$E$3:$F$21,2,FALSE),"?"))</f>
        <v/>
      </c>
      <c r="CI355">
        <f>IF($CD355="","",IFERROR(VALUE(RIGHT($CD355,3)),""))</f>
        <v/>
      </c>
      <c r="CJ355">
        <f>IF($Y355="","",IFERROR(IF(ISNUMBER($Y355),$Y355,DATEVALUE(TRIM($Y355))),""))</f>
        <v/>
      </c>
      <c r="CK355">
        <f>IF($CJ355="","",IF(MONTH($CJ355)&gt;=12,"Cold Winter",IF(MONTH($CJ355)&gt;=10,"Post-Monsoon",IF(MONTH($CJ355)&gt;=6,"Hot Humid",IF(MONTH($CJ355)&gt;=3,"Hot Dry","Cold Winter")))))</f>
        <v/>
      </c>
      <c r="CL355">
        <f>IF($CE355="","",IFERROR(VLOOKUP($CE355,DECODE!$A$3:$C$8,2,FALSE),"?"))</f>
        <v/>
      </c>
      <c r="CM355">
        <f>IF($AN355="","",AN355)</f>
        <v/>
      </c>
      <c r="CN355">
        <f>IF($AO355="","",AO355)</f>
        <v/>
      </c>
      <c r="CO355">
        <f>IF($AP355="","",AP355)</f>
        <v/>
      </c>
      <c r="CP355">
        <f>IF($CM355="","",IF($CM355="Aloe Vera Gel","Aloe Vera Gel "&amp;$CO355&amp;"g",CN355&amp;" "&amp;$CO355&amp;"g"))</f>
        <v/>
      </c>
      <c r="CQ355">
        <f>IF($AT355="",0,1)</f>
        <v/>
      </c>
      <c r="CR355">
        <f>IF($CQ355=0,"",AW355)</f>
        <v/>
      </c>
      <c r="CS355">
        <f>IF($CQ355=0,"",AX355)</f>
        <v/>
      </c>
      <c r="CT355">
        <f>IF($CQ355=0,"",AY355)</f>
        <v/>
      </c>
      <c r="CU355">
        <f>IF($CR355="","",IF($CR355="Aloe Vera Gel","Aloe Vera Gel "&amp;$CT355&amp;"g",CS355&amp;" "&amp;$CT355&amp;"g"))</f>
        <v/>
      </c>
      <c r="CV355">
        <f>IF($CQ355=0,"",IF($CP355=$CU355,"Repeat Exact",IF($CT355&gt;$CO355,"Upsized",IF($CT355&lt;$CO355,"Downsized",IF($CM355&lt;&gt;$CR355,"Lateral","Same Size Diff Variant")))))</f>
        <v/>
      </c>
      <c r="CW355">
        <f>IF($CQ355=0,"",AZ355-AQ355)</f>
        <v/>
      </c>
      <c r="CX355">
        <f>IF($CQ355=0,0,IF(CS355=CN355,1,0))</f>
        <v/>
      </c>
      <c r="CY355">
        <f>IF($CQ355=0,0,IF(CR355=CM355,1,0))</f>
        <v/>
      </c>
      <c r="CZ355">
        <f>IF($A355="","",IF(AND(IF(DASHBOARD!$C$4="All",TRUE,$CM355=DASHBOARD!$C$4),IF(DASHBOARD!$C$6="All",TRUE,$CP355=DASHBOARD!$C$6),IF(DASHBOARD!$C$8="All",TRUE,$AF355&gt;=DASHBOARD!$C$8),IF(DASHBOARD!$C$10="All",TRUE,$AF355&lt;=DASHBOARD!$C$10),IF(DASHBOARD!$C$12="All",TRUE,$AH355=VALUE(DASHBOARD!$C$12)),IF(DASHBOARD!$C$14="All",TRUE,$AJ355=DASHBOARD!$C$14)),1,0))</f>
        <v/>
      </c>
    </row>
    <row r="356">
      <c r="A356" t="n">
        <v>184137</v>
      </c>
      <c r="B356" t="inlineStr">
        <is>
          <t>Face Malai</t>
        </is>
      </c>
      <c r="H356" t="inlineStr">
        <is>
          <t>Tomato Vetiver (Hot Humid) 20 - 35 Yrs Face Malai</t>
        </is>
      </c>
      <c r="N356" t="inlineStr">
        <is>
          <t>FC-HHDM-TV-030</t>
        </is>
      </c>
      <c r="T356" t="inlineStr">
        <is>
          <t>Sep 5, 2025</t>
        </is>
      </c>
      <c r="AE356" t="inlineStr">
        <is>
          <t>Pune</t>
        </is>
      </c>
      <c r="AF356" t="inlineStr">
        <is>
          <t>2025-09</t>
        </is>
      </c>
      <c r="AG356" t="n">
        <v>9</v>
      </c>
      <c r="AH356" t="n">
        <v>1</v>
      </c>
      <c r="AI356" t="n">
        <v>0</v>
      </c>
      <c r="AJ356">
        <f>IF($AE356="","",IFERROR(VLOOKUP(TRIM($AE356),DECODE!$H$3:$I$60,2,FALSE),"Rest of India"))</f>
        <v/>
      </c>
      <c r="AK356">
        <f>IF($N356="","",UPPER(TRIM(LEFT($N356&amp;",",FIND(",",$N356&amp;",")-1))))</f>
        <v/>
      </c>
      <c r="AL356">
        <f>IF($AK356="","",MID($AK356,4,FIND("~",SUBSTITUTE($AK356,"-","~",2))-4))</f>
        <v/>
      </c>
      <c r="AM356">
        <f>IF($AK356="","",MID($AK356,FIND("~",SUBSTITUTE($AK356,"-","~",2))+1,FIND("~",SUBSTITUTE($AK356,"-","~",3))-FIND("~",SUBSTITUTE($AK356,"-","~",2))-1))</f>
        <v/>
      </c>
      <c r="AN356">
        <f>IF($AL356="","",IFERROR(VLOOKUP($AL356,DECODE!$A$3:$C$8,3,FALSE),"?"))</f>
        <v/>
      </c>
      <c r="AO356">
        <f>IF($AM356="","",IFERROR(VLOOKUP($AL356&amp;"-"&amp;$AM356,DECODE!$E$3:$F$21,2,FALSE),"?"))</f>
        <v/>
      </c>
      <c r="AP356">
        <f>IF($AK356="","",IFERROR(VALUE(RIGHT($AK356,3)),""))</f>
        <v/>
      </c>
      <c r="AQ356">
        <f>IF($T356="","",IFERROR(IF(ISNUMBER($T356),$T356,DATEVALUE(TRIM($T356))),""))</f>
        <v/>
      </c>
      <c r="AR356">
        <f>IF($AQ356="","",IF(MONTH($AQ356)&gt;=12,"Cold Winter",IF(MONTH($AQ356)&gt;=10,"Post-Monsoon",IF(MONTH($AQ356)&gt;=6,"Hot Humid",IF(MONTH($AQ356)&gt;=3,"Hot Dry","Cold Winter")))))</f>
        <v/>
      </c>
      <c r="AS356">
        <f>IF($AL356="","",IFERROR(VLOOKUP($AL356,DECODE!$A$3:$C$8,2,FALSE),"?"))</f>
        <v/>
      </c>
      <c r="AT356">
        <f>IF($O356="","",UPPER(TRIM(LEFT($O356&amp;",",FIND(",",$O356&amp;",")-1))))</f>
        <v/>
      </c>
      <c r="AU356">
        <f>IF($AT356="","",MID($AT356,4,FIND("~",SUBSTITUTE($AT356,"-","~",2))-4))</f>
        <v/>
      </c>
      <c r="AV356">
        <f>IF($AT356="","",MID($AT356,FIND("~",SUBSTITUTE($AT356,"-","~",2))+1,FIND("~",SUBSTITUTE($AT356,"-","~",3))-FIND("~",SUBSTITUTE($AT356,"-","~",2))-1))</f>
        <v/>
      </c>
      <c r="AW356">
        <f>IF($AU356="","",IFERROR(VLOOKUP($AU356,DECODE!$A$3:$C$8,3,FALSE),"?"))</f>
        <v/>
      </c>
      <c r="AX356">
        <f>IF($AV356="","",IFERROR(VLOOKUP($AU356&amp;"-"&amp;$AV356,DECODE!$E$3:$F$21,2,FALSE),"?"))</f>
        <v/>
      </c>
      <c r="AY356">
        <f>IF($AT356="","",IFERROR(VALUE(RIGHT($AT356,3)),""))</f>
        <v/>
      </c>
      <c r="AZ356">
        <f>IF($U356="","",IFERROR(IF(ISNUMBER($U356),$U356,DATEVALUE(TRIM($U356))),""))</f>
        <v/>
      </c>
      <c r="BA356">
        <f>IF($AZ356="","",IF(MONTH($AZ356)&gt;=12,"Cold Winter",IF(MONTH($AZ356)&gt;=10,"Post-Monsoon",IF(MONTH($AZ356)&gt;=6,"Hot Humid",IF(MONTH($AZ356)&gt;=3,"Hot Dry","Cold Winter")))))</f>
        <v/>
      </c>
      <c r="BB356">
        <f>IF($AU356="","",IFERROR(VLOOKUP($AU356,DECODE!$A$3:$C$8,2,FALSE),"?"))</f>
        <v/>
      </c>
      <c r="BC356">
        <f>IF($P356="","",UPPER(TRIM(LEFT($P356&amp;",",FIND(",",$P356&amp;",")-1))))</f>
        <v/>
      </c>
      <c r="BD356">
        <f>IF($BC356="","",MID($BC356,4,FIND("~",SUBSTITUTE($BC356,"-","~",2))-4))</f>
        <v/>
      </c>
      <c r="BE356">
        <f>IF($BC356="","",MID($BC356,FIND("~",SUBSTITUTE($BC356,"-","~",2))+1,FIND("~",SUBSTITUTE($BC356,"-","~",3))-FIND("~",SUBSTITUTE($BC356,"-","~",2))-1))</f>
        <v/>
      </c>
      <c r="BF356">
        <f>IF($BD356="","",IFERROR(VLOOKUP($BD356,DECODE!$A$3:$C$8,3,FALSE),"?"))</f>
        <v/>
      </c>
      <c r="BG356">
        <f>IF($BE356="","",IFERROR(VLOOKUP($BD356&amp;"-"&amp;$BE356,DECODE!$E$3:$F$21,2,FALSE),"?"))</f>
        <v/>
      </c>
      <c r="BH356">
        <f>IF($BC356="","",IFERROR(VALUE(RIGHT($BC356,3)),""))</f>
        <v/>
      </c>
      <c r="BI356">
        <f>IF($V356="","",IFERROR(IF(ISNUMBER($V356),$V356,DATEVALUE(TRIM($V356))),""))</f>
        <v/>
      </c>
      <c r="BJ356">
        <f>IF($BI356="","",IF(MONTH($BI356)&gt;=12,"Cold Winter",IF(MONTH($BI356)&gt;=10,"Post-Monsoon",IF(MONTH($BI356)&gt;=6,"Hot Humid",IF(MONTH($BI356)&gt;=3,"Hot Dry","Cold Winter")))))</f>
        <v/>
      </c>
      <c r="BK356">
        <f>IF($BD356="","",IFERROR(VLOOKUP($BD356,DECODE!$A$3:$C$8,2,FALSE),"?"))</f>
        <v/>
      </c>
      <c r="BL356">
        <f>IF($Q356="","",UPPER(TRIM(LEFT($Q356&amp;",",FIND(",",$Q356&amp;",")-1))))</f>
        <v/>
      </c>
      <c r="BM356">
        <f>IF($BL356="","",MID($BL356,4,FIND("~",SUBSTITUTE($BL356,"-","~",2))-4))</f>
        <v/>
      </c>
      <c r="BN356">
        <f>IF($BL356="","",MID($BL356,FIND("~",SUBSTITUTE($BL356,"-","~",2))+1,FIND("~",SUBSTITUTE($BL356,"-","~",3))-FIND("~",SUBSTITUTE($BL356,"-","~",2))-1))</f>
        <v/>
      </c>
      <c r="BO356">
        <f>IF($BM356="","",IFERROR(VLOOKUP($BM356,DECODE!$A$3:$C$8,3,FALSE),"?"))</f>
        <v/>
      </c>
      <c r="BP356">
        <f>IF($BN356="","",IFERROR(VLOOKUP($BM356&amp;"-"&amp;$BN356,DECODE!$E$3:$F$21,2,FALSE),"?"))</f>
        <v/>
      </c>
      <c r="BQ356">
        <f>IF($BL356="","",IFERROR(VALUE(RIGHT($BL356,3)),""))</f>
        <v/>
      </c>
      <c r="BR356">
        <f>IF($W356="","",IFERROR(IF(ISNUMBER($W356),$W356,DATEVALUE(TRIM($W356))),""))</f>
        <v/>
      </c>
      <c r="BS356">
        <f>IF($BR356="","",IF(MONTH($BR356)&gt;=12,"Cold Winter",IF(MONTH($BR356)&gt;=10,"Post-Monsoon",IF(MONTH($BR356)&gt;=6,"Hot Humid",IF(MONTH($BR356)&gt;=3,"Hot Dry","Cold Winter")))))</f>
        <v/>
      </c>
      <c r="BT356">
        <f>IF($BM356="","",IFERROR(VLOOKUP($BM356,DECODE!$A$3:$C$8,2,FALSE),"?"))</f>
        <v/>
      </c>
      <c r="BU356">
        <f>IF($R356="","",UPPER(TRIM(LEFT($R356&amp;",",FIND(",",$R356&amp;",")-1))))</f>
        <v/>
      </c>
      <c r="BV356">
        <f>IF($BU356="","",MID($BU356,4,FIND("~",SUBSTITUTE($BU356,"-","~",2))-4))</f>
        <v/>
      </c>
      <c r="BW356">
        <f>IF($BU356="","",MID($BU356,FIND("~",SUBSTITUTE($BU356,"-","~",2))+1,FIND("~",SUBSTITUTE($BU356,"-","~",3))-FIND("~",SUBSTITUTE($BU356,"-","~",2))-1))</f>
        <v/>
      </c>
      <c r="BX356">
        <f>IF($BV356="","",IFERROR(VLOOKUP($BV356,DECODE!$A$3:$C$8,3,FALSE),"?"))</f>
        <v/>
      </c>
      <c r="BY356">
        <f>IF($BW356="","",IFERROR(VLOOKUP($BV356&amp;"-"&amp;$BW356,DECODE!$E$3:$F$21,2,FALSE),"?"))</f>
        <v/>
      </c>
      <c r="BZ356">
        <f>IF($BU356="","",IFERROR(VALUE(RIGHT($BU356,3)),""))</f>
        <v/>
      </c>
      <c r="CA356">
        <f>IF($X356="","",IFERROR(IF(ISNUMBER($X356),$X356,DATEVALUE(TRIM($X356))),""))</f>
        <v/>
      </c>
      <c r="CB356">
        <f>IF($CA356="","",IF(MONTH($CA356)&gt;=12,"Cold Winter",IF(MONTH($CA356)&gt;=10,"Post-Monsoon",IF(MONTH($CA356)&gt;=6,"Hot Humid",IF(MONTH($CA356)&gt;=3,"Hot Dry","Cold Winter")))))</f>
        <v/>
      </c>
      <c r="CC356">
        <f>IF($BV356="","",IFERROR(VLOOKUP($BV356,DECODE!$A$3:$C$8,2,FALSE),"?"))</f>
        <v/>
      </c>
      <c r="CD356">
        <f>IF($S356="","",UPPER(TRIM(LEFT($S356&amp;",",FIND(",",$S356&amp;",")-1))))</f>
        <v/>
      </c>
      <c r="CE356">
        <f>IF($CD356="","",MID($CD356,4,FIND("~",SUBSTITUTE($CD356,"-","~",2))-4))</f>
        <v/>
      </c>
      <c r="CF356">
        <f>IF($CD356="","",MID($CD356,FIND("~",SUBSTITUTE($CD356,"-","~",2))+1,FIND("~",SUBSTITUTE($CD356,"-","~",3))-FIND("~",SUBSTITUTE($CD356,"-","~",2))-1))</f>
        <v/>
      </c>
      <c r="CG356">
        <f>IF($CE356="","",IFERROR(VLOOKUP($CE356,DECODE!$A$3:$C$8,3,FALSE),"?"))</f>
        <v/>
      </c>
      <c r="CH356">
        <f>IF($CF356="","",IFERROR(VLOOKUP($CE356&amp;"-"&amp;$CF356,DECODE!$E$3:$F$21,2,FALSE),"?"))</f>
        <v/>
      </c>
      <c r="CI356">
        <f>IF($CD356="","",IFERROR(VALUE(RIGHT($CD356,3)),""))</f>
        <v/>
      </c>
      <c r="CJ356">
        <f>IF($Y356="","",IFERROR(IF(ISNUMBER($Y356),$Y356,DATEVALUE(TRIM($Y356))),""))</f>
        <v/>
      </c>
      <c r="CK356">
        <f>IF($CJ356="","",IF(MONTH($CJ356)&gt;=12,"Cold Winter",IF(MONTH($CJ356)&gt;=10,"Post-Monsoon",IF(MONTH($CJ356)&gt;=6,"Hot Humid",IF(MONTH($CJ356)&gt;=3,"Hot Dry","Cold Winter")))))</f>
        <v/>
      </c>
      <c r="CL356">
        <f>IF($CE356="","",IFERROR(VLOOKUP($CE356,DECODE!$A$3:$C$8,2,FALSE),"?"))</f>
        <v/>
      </c>
      <c r="CM356">
        <f>IF($AN356="","",AN356)</f>
        <v/>
      </c>
      <c r="CN356">
        <f>IF($AO356="","",AO356)</f>
        <v/>
      </c>
      <c r="CO356">
        <f>IF($AP356="","",AP356)</f>
        <v/>
      </c>
      <c r="CP356">
        <f>IF($CM356="","",IF($CM356="Aloe Vera Gel","Aloe Vera Gel "&amp;$CO356&amp;"g",CN356&amp;" "&amp;$CO356&amp;"g"))</f>
        <v/>
      </c>
      <c r="CQ356">
        <f>IF($AT356="",0,1)</f>
        <v/>
      </c>
      <c r="CR356">
        <f>IF($CQ356=0,"",AW356)</f>
        <v/>
      </c>
      <c r="CS356">
        <f>IF($CQ356=0,"",AX356)</f>
        <v/>
      </c>
      <c r="CT356">
        <f>IF($CQ356=0,"",AY356)</f>
        <v/>
      </c>
      <c r="CU356">
        <f>IF($CR356="","",IF($CR356="Aloe Vera Gel","Aloe Vera Gel "&amp;$CT356&amp;"g",CS356&amp;" "&amp;$CT356&amp;"g"))</f>
        <v/>
      </c>
      <c r="CV356">
        <f>IF($CQ356=0,"",IF($CP356=$CU356,"Repeat Exact",IF($CT356&gt;$CO356,"Upsized",IF($CT356&lt;$CO356,"Downsized",IF($CM356&lt;&gt;$CR356,"Lateral","Same Size Diff Variant")))))</f>
        <v/>
      </c>
      <c r="CW356">
        <f>IF($CQ356=0,"",AZ356-AQ356)</f>
        <v/>
      </c>
      <c r="CX356">
        <f>IF($CQ356=0,0,IF(CS356=CN356,1,0))</f>
        <v/>
      </c>
      <c r="CY356">
        <f>IF($CQ356=0,0,IF(CR356=CM356,1,0))</f>
        <v/>
      </c>
      <c r="CZ356">
        <f>IF($A356="","",IF(AND(IF(DASHBOARD!$C$4="All",TRUE,$CM356=DASHBOARD!$C$4),IF(DASHBOARD!$C$6="All",TRUE,$CP356=DASHBOARD!$C$6),IF(DASHBOARD!$C$8="All",TRUE,$AF356&gt;=DASHBOARD!$C$8),IF(DASHBOARD!$C$10="All",TRUE,$AF356&lt;=DASHBOARD!$C$10),IF(DASHBOARD!$C$12="All",TRUE,$AH356=VALUE(DASHBOARD!$C$12)),IF(DASHBOARD!$C$14="All",TRUE,$AJ356=DASHBOARD!$C$14)),1,0))</f>
        <v/>
      </c>
    </row>
    <row r="357">
      <c r="A357" t="n">
        <v>185048</v>
      </c>
      <c r="B357" t="inlineStr">
        <is>
          <t>Aloe Vera Gel</t>
        </is>
      </c>
      <c r="H357" t="inlineStr">
        <is>
          <t>Aloe Vera Gel - 40 gms</t>
        </is>
      </c>
      <c r="N357" t="inlineStr">
        <is>
          <t>FC-HG-PA-040</t>
        </is>
      </c>
      <c r="T357" t="inlineStr">
        <is>
          <t>Nov 24, 2024</t>
        </is>
      </c>
      <c r="AE357" t="inlineStr">
        <is>
          <t>Gurgaon</t>
        </is>
      </c>
      <c r="AF357" t="inlineStr">
        <is>
          <t>2024-11</t>
        </is>
      </c>
      <c r="AG357" t="n">
        <v>11</v>
      </c>
      <c r="AH357" t="n">
        <v>1</v>
      </c>
      <c r="AI357" t="n">
        <v>0</v>
      </c>
      <c r="AJ357">
        <f>IF($AE357="","",IFERROR(VLOOKUP(TRIM($AE357),DECODE!$H$3:$I$60,2,FALSE),"Rest of India"))</f>
        <v/>
      </c>
      <c r="AK357">
        <f>IF($N357="","",UPPER(TRIM(LEFT($N357&amp;",",FIND(",",$N357&amp;",")-1))))</f>
        <v/>
      </c>
      <c r="AL357">
        <f>IF($AK357="","",MID($AK357,4,FIND("~",SUBSTITUTE($AK357,"-","~",2))-4))</f>
        <v/>
      </c>
      <c r="AM357">
        <f>IF($AK357="","",MID($AK357,FIND("~",SUBSTITUTE($AK357,"-","~",2))+1,FIND("~",SUBSTITUTE($AK357,"-","~",3))-FIND("~",SUBSTITUTE($AK357,"-","~",2))-1))</f>
        <v/>
      </c>
      <c r="AN357">
        <f>IF($AL357="","",IFERROR(VLOOKUP($AL357,DECODE!$A$3:$C$8,3,FALSE),"?"))</f>
        <v/>
      </c>
      <c r="AO357">
        <f>IF($AM357="","",IFERROR(VLOOKUP($AL357&amp;"-"&amp;$AM357,DECODE!$E$3:$F$21,2,FALSE),"?"))</f>
        <v/>
      </c>
      <c r="AP357">
        <f>IF($AK357="","",IFERROR(VALUE(RIGHT($AK357,3)),""))</f>
        <v/>
      </c>
      <c r="AQ357">
        <f>IF($T357="","",IFERROR(IF(ISNUMBER($T357),$T357,DATEVALUE(TRIM($T357))),""))</f>
        <v/>
      </c>
      <c r="AR357">
        <f>IF($AQ357="","",IF(MONTH($AQ357)&gt;=12,"Cold Winter",IF(MONTH($AQ357)&gt;=10,"Post-Monsoon",IF(MONTH($AQ357)&gt;=6,"Hot Humid",IF(MONTH($AQ357)&gt;=3,"Hot Dry","Cold Winter")))))</f>
        <v/>
      </c>
      <c r="AS357">
        <f>IF($AL357="","",IFERROR(VLOOKUP($AL357,DECODE!$A$3:$C$8,2,FALSE),"?"))</f>
        <v/>
      </c>
      <c r="AT357">
        <f>IF($O357="","",UPPER(TRIM(LEFT($O357&amp;",",FIND(",",$O357&amp;",")-1))))</f>
        <v/>
      </c>
      <c r="AU357">
        <f>IF($AT357="","",MID($AT357,4,FIND("~",SUBSTITUTE($AT357,"-","~",2))-4))</f>
        <v/>
      </c>
      <c r="AV357">
        <f>IF($AT357="","",MID($AT357,FIND("~",SUBSTITUTE($AT357,"-","~",2))+1,FIND("~",SUBSTITUTE($AT357,"-","~",3))-FIND("~",SUBSTITUTE($AT357,"-","~",2))-1))</f>
        <v/>
      </c>
      <c r="AW357">
        <f>IF($AU357="","",IFERROR(VLOOKUP($AU357,DECODE!$A$3:$C$8,3,FALSE),"?"))</f>
        <v/>
      </c>
      <c r="AX357">
        <f>IF($AV357="","",IFERROR(VLOOKUP($AU357&amp;"-"&amp;$AV357,DECODE!$E$3:$F$21,2,FALSE),"?"))</f>
        <v/>
      </c>
      <c r="AY357">
        <f>IF($AT357="","",IFERROR(VALUE(RIGHT($AT357,3)),""))</f>
        <v/>
      </c>
      <c r="AZ357">
        <f>IF($U357="","",IFERROR(IF(ISNUMBER($U357),$U357,DATEVALUE(TRIM($U357))),""))</f>
        <v/>
      </c>
      <c r="BA357">
        <f>IF($AZ357="","",IF(MONTH($AZ357)&gt;=12,"Cold Winter",IF(MONTH($AZ357)&gt;=10,"Post-Monsoon",IF(MONTH($AZ357)&gt;=6,"Hot Humid",IF(MONTH($AZ357)&gt;=3,"Hot Dry","Cold Winter")))))</f>
        <v/>
      </c>
      <c r="BB357">
        <f>IF($AU357="","",IFERROR(VLOOKUP($AU357,DECODE!$A$3:$C$8,2,FALSE),"?"))</f>
        <v/>
      </c>
      <c r="BC357">
        <f>IF($P357="","",UPPER(TRIM(LEFT($P357&amp;",",FIND(",",$P357&amp;",")-1))))</f>
        <v/>
      </c>
      <c r="BD357">
        <f>IF($BC357="","",MID($BC357,4,FIND("~",SUBSTITUTE($BC357,"-","~",2))-4))</f>
        <v/>
      </c>
      <c r="BE357">
        <f>IF($BC357="","",MID($BC357,FIND("~",SUBSTITUTE($BC357,"-","~",2))+1,FIND("~",SUBSTITUTE($BC357,"-","~",3))-FIND("~",SUBSTITUTE($BC357,"-","~",2))-1))</f>
        <v/>
      </c>
      <c r="BF357">
        <f>IF($BD357="","",IFERROR(VLOOKUP($BD357,DECODE!$A$3:$C$8,3,FALSE),"?"))</f>
        <v/>
      </c>
      <c r="BG357">
        <f>IF($BE357="","",IFERROR(VLOOKUP($BD357&amp;"-"&amp;$BE357,DECODE!$E$3:$F$21,2,FALSE),"?"))</f>
        <v/>
      </c>
      <c r="BH357">
        <f>IF($BC357="","",IFERROR(VALUE(RIGHT($BC357,3)),""))</f>
        <v/>
      </c>
      <c r="BI357">
        <f>IF($V357="","",IFERROR(IF(ISNUMBER($V357),$V357,DATEVALUE(TRIM($V357))),""))</f>
        <v/>
      </c>
      <c r="BJ357">
        <f>IF($BI357="","",IF(MONTH($BI357)&gt;=12,"Cold Winter",IF(MONTH($BI357)&gt;=10,"Post-Monsoon",IF(MONTH($BI357)&gt;=6,"Hot Humid",IF(MONTH($BI357)&gt;=3,"Hot Dry","Cold Winter")))))</f>
        <v/>
      </c>
      <c r="BK357">
        <f>IF($BD357="","",IFERROR(VLOOKUP($BD357,DECODE!$A$3:$C$8,2,FALSE),"?"))</f>
        <v/>
      </c>
      <c r="BL357">
        <f>IF($Q357="","",UPPER(TRIM(LEFT($Q357&amp;",",FIND(",",$Q357&amp;",")-1))))</f>
        <v/>
      </c>
      <c r="BM357">
        <f>IF($BL357="","",MID($BL357,4,FIND("~",SUBSTITUTE($BL357,"-","~",2))-4))</f>
        <v/>
      </c>
      <c r="BN357">
        <f>IF($BL357="","",MID($BL357,FIND("~",SUBSTITUTE($BL357,"-","~",2))+1,FIND("~",SUBSTITUTE($BL357,"-","~",3))-FIND("~",SUBSTITUTE($BL357,"-","~",2))-1))</f>
        <v/>
      </c>
      <c r="BO357">
        <f>IF($BM357="","",IFERROR(VLOOKUP($BM357,DECODE!$A$3:$C$8,3,FALSE),"?"))</f>
        <v/>
      </c>
      <c r="BP357">
        <f>IF($BN357="","",IFERROR(VLOOKUP($BM357&amp;"-"&amp;$BN357,DECODE!$E$3:$F$21,2,FALSE),"?"))</f>
        <v/>
      </c>
      <c r="BQ357">
        <f>IF($BL357="","",IFERROR(VALUE(RIGHT($BL357,3)),""))</f>
        <v/>
      </c>
      <c r="BR357">
        <f>IF($W357="","",IFERROR(IF(ISNUMBER($W357),$W357,DATEVALUE(TRIM($W357))),""))</f>
        <v/>
      </c>
      <c r="BS357">
        <f>IF($BR357="","",IF(MONTH($BR357)&gt;=12,"Cold Winter",IF(MONTH($BR357)&gt;=10,"Post-Monsoon",IF(MONTH($BR357)&gt;=6,"Hot Humid",IF(MONTH($BR357)&gt;=3,"Hot Dry","Cold Winter")))))</f>
        <v/>
      </c>
      <c r="BT357">
        <f>IF($BM357="","",IFERROR(VLOOKUP($BM357,DECODE!$A$3:$C$8,2,FALSE),"?"))</f>
        <v/>
      </c>
      <c r="BU357">
        <f>IF($R357="","",UPPER(TRIM(LEFT($R357&amp;",",FIND(",",$R357&amp;",")-1))))</f>
        <v/>
      </c>
      <c r="BV357">
        <f>IF($BU357="","",MID($BU357,4,FIND("~",SUBSTITUTE($BU357,"-","~",2))-4))</f>
        <v/>
      </c>
      <c r="BW357">
        <f>IF($BU357="","",MID($BU357,FIND("~",SUBSTITUTE($BU357,"-","~",2))+1,FIND("~",SUBSTITUTE($BU357,"-","~",3))-FIND("~",SUBSTITUTE($BU357,"-","~",2))-1))</f>
        <v/>
      </c>
      <c r="BX357">
        <f>IF($BV357="","",IFERROR(VLOOKUP($BV357,DECODE!$A$3:$C$8,3,FALSE),"?"))</f>
        <v/>
      </c>
      <c r="BY357">
        <f>IF($BW357="","",IFERROR(VLOOKUP($BV357&amp;"-"&amp;$BW357,DECODE!$E$3:$F$21,2,FALSE),"?"))</f>
        <v/>
      </c>
      <c r="BZ357">
        <f>IF($BU357="","",IFERROR(VALUE(RIGHT($BU357,3)),""))</f>
        <v/>
      </c>
      <c r="CA357">
        <f>IF($X357="","",IFERROR(IF(ISNUMBER($X357),$X357,DATEVALUE(TRIM($X357))),""))</f>
        <v/>
      </c>
      <c r="CB357">
        <f>IF($CA357="","",IF(MONTH($CA357)&gt;=12,"Cold Winter",IF(MONTH($CA357)&gt;=10,"Post-Monsoon",IF(MONTH($CA357)&gt;=6,"Hot Humid",IF(MONTH($CA357)&gt;=3,"Hot Dry","Cold Winter")))))</f>
        <v/>
      </c>
      <c r="CC357">
        <f>IF($BV357="","",IFERROR(VLOOKUP($BV357,DECODE!$A$3:$C$8,2,FALSE),"?"))</f>
        <v/>
      </c>
      <c r="CD357">
        <f>IF($S357="","",UPPER(TRIM(LEFT($S357&amp;",",FIND(",",$S357&amp;",")-1))))</f>
        <v/>
      </c>
      <c r="CE357">
        <f>IF($CD357="","",MID($CD357,4,FIND("~",SUBSTITUTE($CD357,"-","~",2))-4))</f>
        <v/>
      </c>
      <c r="CF357">
        <f>IF($CD357="","",MID($CD357,FIND("~",SUBSTITUTE($CD357,"-","~",2))+1,FIND("~",SUBSTITUTE($CD357,"-","~",3))-FIND("~",SUBSTITUTE($CD357,"-","~",2))-1))</f>
        <v/>
      </c>
      <c r="CG357">
        <f>IF($CE357="","",IFERROR(VLOOKUP($CE357,DECODE!$A$3:$C$8,3,FALSE),"?"))</f>
        <v/>
      </c>
      <c r="CH357">
        <f>IF($CF357="","",IFERROR(VLOOKUP($CE357&amp;"-"&amp;$CF357,DECODE!$E$3:$F$21,2,FALSE),"?"))</f>
        <v/>
      </c>
      <c r="CI357">
        <f>IF($CD357="","",IFERROR(VALUE(RIGHT($CD357,3)),""))</f>
        <v/>
      </c>
      <c r="CJ357">
        <f>IF($Y357="","",IFERROR(IF(ISNUMBER($Y357),$Y357,DATEVALUE(TRIM($Y357))),""))</f>
        <v/>
      </c>
      <c r="CK357">
        <f>IF($CJ357="","",IF(MONTH($CJ357)&gt;=12,"Cold Winter",IF(MONTH($CJ357)&gt;=10,"Post-Monsoon",IF(MONTH($CJ357)&gt;=6,"Hot Humid",IF(MONTH($CJ357)&gt;=3,"Hot Dry","Cold Winter")))))</f>
        <v/>
      </c>
      <c r="CL357">
        <f>IF($CE357="","",IFERROR(VLOOKUP($CE357,DECODE!$A$3:$C$8,2,FALSE),"?"))</f>
        <v/>
      </c>
      <c r="CM357">
        <f>IF($AN357="","",AN357)</f>
        <v/>
      </c>
      <c r="CN357">
        <f>IF($AO357="","",AO357)</f>
        <v/>
      </c>
      <c r="CO357">
        <f>IF($AP357="","",AP357)</f>
        <v/>
      </c>
      <c r="CP357">
        <f>IF($CM357="","",IF($CM357="Aloe Vera Gel","Aloe Vera Gel "&amp;$CO357&amp;"g",CN357&amp;" "&amp;$CO357&amp;"g"))</f>
        <v/>
      </c>
      <c r="CQ357">
        <f>IF($AT357="",0,1)</f>
        <v/>
      </c>
      <c r="CR357">
        <f>IF($CQ357=0,"",AW357)</f>
        <v/>
      </c>
      <c r="CS357">
        <f>IF($CQ357=0,"",AX357)</f>
        <v/>
      </c>
      <c r="CT357">
        <f>IF($CQ357=0,"",AY357)</f>
        <v/>
      </c>
      <c r="CU357">
        <f>IF($CR357="","",IF($CR357="Aloe Vera Gel","Aloe Vera Gel "&amp;$CT357&amp;"g",CS357&amp;" "&amp;$CT357&amp;"g"))</f>
        <v/>
      </c>
      <c r="CV357">
        <f>IF($CQ357=0,"",IF($CP357=$CU357,"Repeat Exact",IF($CT357&gt;$CO357,"Upsized",IF($CT357&lt;$CO357,"Downsized",IF($CM357&lt;&gt;$CR357,"Lateral","Same Size Diff Variant")))))</f>
        <v/>
      </c>
      <c r="CW357">
        <f>IF($CQ357=0,"",AZ357-AQ357)</f>
        <v/>
      </c>
      <c r="CX357">
        <f>IF($CQ357=0,0,IF(CS357=CN357,1,0))</f>
        <v/>
      </c>
      <c r="CY357">
        <f>IF($CQ357=0,0,IF(CR357=CM357,1,0))</f>
        <v/>
      </c>
      <c r="CZ357">
        <f>IF($A357="","",IF(AND(IF(DASHBOARD!$C$4="All",TRUE,$CM357=DASHBOARD!$C$4),IF(DASHBOARD!$C$6="All",TRUE,$CP357=DASHBOARD!$C$6),IF(DASHBOARD!$C$8="All",TRUE,$AF357&gt;=DASHBOARD!$C$8),IF(DASHBOARD!$C$10="All",TRUE,$AF357&lt;=DASHBOARD!$C$10),IF(DASHBOARD!$C$12="All",TRUE,$AH357=VALUE(DASHBOARD!$C$12)),IF(DASHBOARD!$C$14="All",TRUE,$AJ357=DASHBOARD!$C$14)),1,0))</f>
        <v/>
      </c>
    </row>
    <row r="358">
      <c r="A358" t="n">
        <v>185430</v>
      </c>
      <c r="B358" t="inlineStr">
        <is>
          <t>Face Malai</t>
        </is>
      </c>
      <c r="H358" t="inlineStr">
        <is>
          <t>Turmeric Nutmeg (Pigmentation)  Face Malai - 30g</t>
        </is>
      </c>
      <c r="N358" t="inlineStr">
        <is>
          <t>FC-DM-PG-030</t>
        </is>
      </c>
      <c r="T358" t="inlineStr">
        <is>
          <t>Apr 8, 2025</t>
        </is>
      </c>
      <c r="AE358" t="inlineStr">
        <is>
          <t>Gurgaon</t>
        </is>
      </c>
      <c r="AF358" t="inlineStr">
        <is>
          <t>2025-04</t>
        </is>
      </c>
      <c r="AG358" t="n">
        <v>4</v>
      </c>
      <c r="AH358" t="n">
        <v>1</v>
      </c>
      <c r="AI358" t="n">
        <v>0</v>
      </c>
      <c r="AJ358">
        <f>IF($AE358="","",IFERROR(VLOOKUP(TRIM($AE358),DECODE!$H$3:$I$60,2,FALSE),"Rest of India"))</f>
        <v/>
      </c>
      <c r="AK358">
        <f>IF($N358="","",UPPER(TRIM(LEFT($N358&amp;",",FIND(",",$N358&amp;",")-1))))</f>
        <v/>
      </c>
      <c r="AL358">
        <f>IF($AK358="","",MID($AK358,4,FIND("~",SUBSTITUTE($AK358,"-","~",2))-4))</f>
        <v/>
      </c>
      <c r="AM358">
        <f>IF($AK358="","",MID($AK358,FIND("~",SUBSTITUTE($AK358,"-","~",2))+1,FIND("~",SUBSTITUTE($AK358,"-","~",3))-FIND("~",SUBSTITUTE($AK358,"-","~",2))-1))</f>
        <v/>
      </c>
      <c r="AN358">
        <f>IF($AL358="","",IFERROR(VLOOKUP($AL358,DECODE!$A$3:$C$8,3,FALSE),"?"))</f>
        <v/>
      </c>
      <c r="AO358">
        <f>IF($AM358="","",IFERROR(VLOOKUP($AL358&amp;"-"&amp;$AM358,DECODE!$E$3:$F$21,2,FALSE),"?"))</f>
        <v/>
      </c>
      <c r="AP358">
        <f>IF($AK358="","",IFERROR(VALUE(RIGHT($AK358,3)),""))</f>
        <v/>
      </c>
      <c r="AQ358">
        <f>IF($T358="","",IFERROR(IF(ISNUMBER($T358),$T358,DATEVALUE(TRIM($T358))),""))</f>
        <v/>
      </c>
      <c r="AR358">
        <f>IF($AQ358="","",IF(MONTH($AQ358)&gt;=12,"Cold Winter",IF(MONTH($AQ358)&gt;=10,"Post-Monsoon",IF(MONTH($AQ358)&gt;=6,"Hot Humid",IF(MONTH($AQ358)&gt;=3,"Hot Dry","Cold Winter")))))</f>
        <v/>
      </c>
      <c r="AS358">
        <f>IF($AL358="","",IFERROR(VLOOKUP($AL358,DECODE!$A$3:$C$8,2,FALSE),"?"))</f>
        <v/>
      </c>
      <c r="AT358">
        <f>IF($O358="","",UPPER(TRIM(LEFT($O358&amp;",",FIND(",",$O358&amp;",")-1))))</f>
        <v/>
      </c>
      <c r="AU358">
        <f>IF($AT358="","",MID($AT358,4,FIND("~",SUBSTITUTE($AT358,"-","~",2))-4))</f>
        <v/>
      </c>
      <c r="AV358">
        <f>IF($AT358="","",MID($AT358,FIND("~",SUBSTITUTE($AT358,"-","~",2))+1,FIND("~",SUBSTITUTE($AT358,"-","~",3))-FIND("~",SUBSTITUTE($AT358,"-","~",2))-1))</f>
        <v/>
      </c>
      <c r="AW358">
        <f>IF($AU358="","",IFERROR(VLOOKUP($AU358,DECODE!$A$3:$C$8,3,FALSE),"?"))</f>
        <v/>
      </c>
      <c r="AX358">
        <f>IF($AV358="","",IFERROR(VLOOKUP($AU358&amp;"-"&amp;$AV358,DECODE!$E$3:$F$21,2,FALSE),"?"))</f>
        <v/>
      </c>
      <c r="AY358">
        <f>IF($AT358="","",IFERROR(VALUE(RIGHT($AT358,3)),""))</f>
        <v/>
      </c>
      <c r="AZ358">
        <f>IF($U358="","",IFERROR(IF(ISNUMBER($U358),$U358,DATEVALUE(TRIM($U358))),""))</f>
        <v/>
      </c>
      <c r="BA358">
        <f>IF($AZ358="","",IF(MONTH($AZ358)&gt;=12,"Cold Winter",IF(MONTH($AZ358)&gt;=10,"Post-Monsoon",IF(MONTH($AZ358)&gt;=6,"Hot Humid",IF(MONTH($AZ358)&gt;=3,"Hot Dry","Cold Winter")))))</f>
        <v/>
      </c>
      <c r="BB358">
        <f>IF($AU358="","",IFERROR(VLOOKUP($AU358,DECODE!$A$3:$C$8,2,FALSE),"?"))</f>
        <v/>
      </c>
      <c r="BC358">
        <f>IF($P358="","",UPPER(TRIM(LEFT($P358&amp;",",FIND(",",$P358&amp;",")-1))))</f>
        <v/>
      </c>
      <c r="BD358">
        <f>IF($BC358="","",MID($BC358,4,FIND("~",SUBSTITUTE($BC358,"-","~",2))-4))</f>
        <v/>
      </c>
      <c r="BE358">
        <f>IF($BC358="","",MID($BC358,FIND("~",SUBSTITUTE($BC358,"-","~",2))+1,FIND("~",SUBSTITUTE($BC358,"-","~",3))-FIND("~",SUBSTITUTE($BC358,"-","~",2))-1))</f>
        <v/>
      </c>
      <c r="BF358">
        <f>IF($BD358="","",IFERROR(VLOOKUP($BD358,DECODE!$A$3:$C$8,3,FALSE),"?"))</f>
        <v/>
      </c>
      <c r="BG358">
        <f>IF($BE358="","",IFERROR(VLOOKUP($BD358&amp;"-"&amp;$BE358,DECODE!$E$3:$F$21,2,FALSE),"?"))</f>
        <v/>
      </c>
      <c r="BH358">
        <f>IF($BC358="","",IFERROR(VALUE(RIGHT($BC358,3)),""))</f>
        <v/>
      </c>
      <c r="BI358">
        <f>IF($V358="","",IFERROR(IF(ISNUMBER($V358),$V358,DATEVALUE(TRIM($V358))),""))</f>
        <v/>
      </c>
      <c r="BJ358">
        <f>IF($BI358="","",IF(MONTH($BI358)&gt;=12,"Cold Winter",IF(MONTH($BI358)&gt;=10,"Post-Monsoon",IF(MONTH($BI358)&gt;=6,"Hot Humid",IF(MONTH($BI358)&gt;=3,"Hot Dry","Cold Winter")))))</f>
        <v/>
      </c>
      <c r="BK358">
        <f>IF($BD358="","",IFERROR(VLOOKUP($BD358,DECODE!$A$3:$C$8,2,FALSE),"?"))</f>
        <v/>
      </c>
      <c r="BL358">
        <f>IF($Q358="","",UPPER(TRIM(LEFT($Q358&amp;",",FIND(",",$Q358&amp;",")-1))))</f>
        <v/>
      </c>
      <c r="BM358">
        <f>IF($BL358="","",MID($BL358,4,FIND("~",SUBSTITUTE($BL358,"-","~",2))-4))</f>
        <v/>
      </c>
      <c r="BN358">
        <f>IF($BL358="","",MID($BL358,FIND("~",SUBSTITUTE($BL358,"-","~",2))+1,FIND("~",SUBSTITUTE($BL358,"-","~",3))-FIND("~",SUBSTITUTE($BL358,"-","~",2))-1))</f>
        <v/>
      </c>
      <c r="BO358">
        <f>IF($BM358="","",IFERROR(VLOOKUP($BM358,DECODE!$A$3:$C$8,3,FALSE),"?"))</f>
        <v/>
      </c>
      <c r="BP358">
        <f>IF($BN358="","",IFERROR(VLOOKUP($BM358&amp;"-"&amp;$BN358,DECODE!$E$3:$F$21,2,FALSE),"?"))</f>
        <v/>
      </c>
      <c r="BQ358">
        <f>IF($BL358="","",IFERROR(VALUE(RIGHT($BL358,3)),""))</f>
        <v/>
      </c>
      <c r="BR358">
        <f>IF($W358="","",IFERROR(IF(ISNUMBER($W358),$W358,DATEVALUE(TRIM($W358))),""))</f>
        <v/>
      </c>
      <c r="BS358">
        <f>IF($BR358="","",IF(MONTH($BR358)&gt;=12,"Cold Winter",IF(MONTH($BR358)&gt;=10,"Post-Monsoon",IF(MONTH($BR358)&gt;=6,"Hot Humid",IF(MONTH($BR358)&gt;=3,"Hot Dry","Cold Winter")))))</f>
        <v/>
      </c>
      <c r="BT358">
        <f>IF($BM358="","",IFERROR(VLOOKUP($BM358,DECODE!$A$3:$C$8,2,FALSE),"?"))</f>
        <v/>
      </c>
      <c r="BU358">
        <f>IF($R358="","",UPPER(TRIM(LEFT($R358&amp;",",FIND(",",$R358&amp;",")-1))))</f>
        <v/>
      </c>
      <c r="BV358">
        <f>IF($BU358="","",MID($BU358,4,FIND("~",SUBSTITUTE($BU358,"-","~",2))-4))</f>
        <v/>
      </c>
      <c r="BW358">
        <f>IF($BU358="","",MID($BU358,FIND("~",SUBSTITUTE($BU358,"-","~",2))+1,FIND("~",SUBSTITUTE($BU358,"-","~",3))-FIND("~",SUBSTITUTE($BU358,"-","~",2))-1))</f>
        <v/>
      </c>
      <c r="BX358">
        <f>IF($BV358="","",IFERROR(VLOOKUP($BV358,DECODE!$A$3:$C$8,3,FALSE),"?"))</f>
        <v/>
      </c>
      <c r="BY358">
        <f>IF($BW358="","",IFERROR(VLOOKUP($BV358&amp;"-"&amp;$BW358,DECODE!$E$3:$F$21,2,FALSE),"?"))</f>
        <v/>
      </c>
      <c r="BZ358">
        <f>IF($BU358="","",IFERROR(VALUE(RIGHT($BU358,3)),""))</f>
        <v/>
      </c>
      <c r="CA358">
        <f>IF($X358="","",IFERROR(IF(ISNUMBER($X358),$X358,DATEVALUE(TRIM($X358))),""))</f>
        <v/>
      </c>
      <c r="CB358">
        <f>IF($CA358="","",IF(MONTH($CA358)&gt;=12,"Cold Winter",IF(MONTH($CA358)&gt;=10,"Post-Monsoon",IF(MONTH($CA358)&gt;=6,"Hot Humid",IF(MONTH($CA358)&gt;=3,"Hot Dry","Cold Winter")))))</f>
        <v/>
      </c>
      <c r="CC358">
        <f>IF($BV358="","",IFERROR(VLOOKUP($BV358,DECODE!$A$3:$C$8,2,FALSE),"?"))</f>
        <v/>
      </c>
      <c r="CD358">
        <f>IF($S358="","",UPPER(TRIM(LEFT($S358&amp;",",FIND(",",$S358&amp;",")-1))))</f>
        <v/>
      </c>
      <c r="CE358">
        <f>IF($CD358="","",MID($CD358,4,FIND("~",SUBSTITUTE($CD358,"-","~",2))-4))</f>
        <v/>
      </c>
      <c r="CF358">
        <f>IF($CD358="","",MID($CD358,FIND("~",SUBSTITUTE($CD358,"-","~",2))+1,FIND("~",SUBSTITUTE($CD358,"-","~",3))-FIND("~",SUBSTITUTE($CD358,"-","~",2))-1))</f>
        <v/>
      </c>
      <c r="CG358">
        <f>IF($CE358="","",IFERROR(VLOOKUP($CE358,DECODE!$A$3:$C$8,3,FALSE),"?"))</f>
        <v/>
      </c>
      <c r="CH358">
        <f>IF($CF358="","",IFERROR(VLOOKUP($CE358&amp;"-"&amp;$CF358,DECODE!$E$3:$F$21,2,FALSE),"?"))</f>
        <v/>
      </c>
      <c r="CI358">
        <f>IF($CD358="","",IFERROR(VALUE(RIGHT($CD358,3)),""))</f>
        <v/>
      </c>
      <c r="CJ358">
        <f>IF($Y358="","",IFERROR(IF(ISNUMBER($Y358),$Y358,DATEVALUE(TRIM($Y358))),""))</f>
        <v/>
      </c>
      <c r="CK358">
        <f>IF($CJ358="","",IF(MONTH($CJ358)&gt;=12,"Cold Winter",IF(MONTH($CJ358)&gt;=10,"Post-Monsoon",IF(MONTH($CJ358)&gt;=6,"Hot Humid",IF(MONTH($CJ358)&gt;=3,"Hot Dry","Cold Winter")))))</f>
        <v/>
      </c>
      <c r="CL358">
        <f>IF($CE358="","",IFERROR(VLOOKUP($CE358,DECODE!$A$3:$C$8,2,FALSE),"?"))</f>
        <v/>
      </c>
      <c r="CM358">
        <f>IF($AN358="","",AN358)</f>
        <v/>
      </c>
      <c r="CN358">
        <f>IF($AO358="","",AO358)</f>
        <v/>
      </c>
      <c r="CO358">
        <f>IF($AP358="","",AP358)</f>
        <v/>
      </c>
      <c r="CP358">
        <f>IF($CM358="","",IF($CM358="Aloe Vera Gel","Aloe Vera Gel "&amp;$CO358&amp;"g",CN358&amp;" "&amp;$CO358&amp;"g"))</f>
        <v/>
      </c>
      <c r="CQ358">
        <f>IF($AT358="",0,1)</f>
        <v/>
      </c>
      <c r="CR358">
        <f>IF($CQ358=0,"",AW358)</f>
        <v/>
      </c>
      <c r="CS358">
        <f>IF($CQ358=0,"",AX358)</f>
        <v/>
      </c>
      <c r="CT358">
        <f>IF($CQ358=0,"",AY358)</f>
        <v/>
      </c>
      <c r="CU358">
        <f>IF($CR358="","",IF($CR358="Aloe Vera Gel","Aloe Vera Gel "&amp;$CT358&amp;"g",CS358&amp;" "&amp;$CT358&amp;"g"))</f>
        <v/>
      </c>
      <c r="CV358">
        <f>IF($CQ358=0,"",IF($CP358=$CU358,"Repeat Exact",IF($CT358&gt;$CO358,"Upsized",IF($CT358&lt;$CO358,"Downsized",IF($CM358&lt;&gt;$CR358,"Lateral","Same Size Diff Variant")))))</f>
        <v/>
      </c>
      <c r="CW358">
        <f>IF($CQ358=0,"",AZ358-AQ358)</f>
        <v/>
      </c>
      <c r="CX358">
        <f>IF($CQ358=0,0,IF(CS358=CN358,1,0))</f>
        <v/>
      </c>
      <c r="CY358">
        <f>IF($CQ358=0,0,IF(CR358=CM358,1,0))</f>
        <v/>
      </c>
      <c r="CZ358">
        <f>IF($A358="","",IF(AND(IF(DASHBOARD!$C$4="All",TRUE,$CM358=DASHBOARD!$C$4),IF(DASHBOARD!$C$6="All",TRUE,$CP358=DASHBOARD!$C$6),IF(DASHBOARD!$C$8="All",TRUE,$AF358&gt;=DASHBOARD!$C$8),IF(DASHBOARD!$C$10="All",TRUE,$AF358&lt;=DASHBOARD!$C$10),IF(DASHBOARD!$C$12="All",TRUE,$AH358=VALUE(DASHBOARD!$C$12)),IF(DASHBOARD!$C$14="All",TRUE,$AJ358=DASHBOARD!$C$14)),1,0))</f>
        <v/>
      </c>
    </row>
    <row r="359">
      <c r="A359" t="n">
        <v>185986</v>
      </c>
      <c r="B359" t="inlineStr">
        <is>
          <t>Face Malai</t>
        </is>
      </c>
      <c r="H359" t="inlineStr">
        <is>
          <t>Flax Carrot (Hot Humid) 35+ Face Malai - 30g</t>
        </is>
      </c>
      <c r="N359" t="inlineStr">
        <is>
          <t>FC-HHDM-FC-030</t>
        </is>
      </c>
      <c r="T359" t="inlineStr">
        <is>
          <t>Jan 7, 2025</t>
        </is>
      </c>
      <c r="AE359" t="inlineStr">
        <is>
          <t>Rajkot</t>
        </is>
      </c>
      <c r="AF359" t="inlineStr">
        <is>
          <t>2025-01</t>
        </is>
      </c>
      <c r="AG359" t="n">
        <v>1</v>
      </c>
      <c r="AH359" t="n">
        <v>1</v>
      </c>
      <c r="AI359" t="n">
        <v>0</v>
      </c>
      <c r="AJ359">
        <f>IF($AE359="","",IFERROR(VLOOKUP(TRIM($AE359),DECODE!$H$3:$I$60,2,FALSE),"Rest of India"))</f>
        <v/>
      </c>
      <c r="AK359">
        <f>IF($N359="","",UPPER(TRIM(LEFT($N359&amp;",",FIND(",",$N359&amp;",")-1))))</f>
        <v/>
      </c>
      <c r="AL359">
        <f>IF($AK359="","",MID($AK359,4,FIND("~",SUBSTITUTE($AK359,"-","~",2))-4))</f>
        <v/>
      </c>
      <c r="AM359">
        <f>IF($AK359="","",MID($AK359,FIND("~",SUBSTITUTE($AK359,"-","~",2))+1,FIND("~",SUBSTITUTE($AK359,"-","~",3))-FIND("~",SUBSTITUTE($AK359,"-","~",2))-1))</f>
        <v/>
      </c>
      <c r="AN359">
        <f>IF($AL359="","",IFERROR(VLOOKUP($AL359,DECODE!$A$3:$C$8,3,FALSE),"?"))</f>
        <v/>
      </c>
      <c r="AO359">
        <f>IF($AM359="","",IFERROR(VLOOKUP($AL359&amp;"-"&amp;$AM359,DECODE!$E$3:$F$21,2,FALSE),"?"))</f>
        <v/>
      </c>
      <c r="AP359">
        <f>IF($AK359="","",IFERROR(VALUE(RIGHT($AK359,3)),""))</f>
        <v/>
      </c>
      <c r="AQ359">
        <f>IF($T359="","",IFERROR(IF(ISNUMBER($T359),$T359,DATEVALUE(TRIM($T359))),""))</f>
        <v/>
      </c>
      <c r="AR359">
        <f>IF($AQ359="","",IF(MONTH($AQ359)&gt;=12,"Cold Winter",IF(MONTH($AQ359)&gt;=10,"Post-Monsoon",IF(MONTH($AQ359)&gt;=6,"Hot Humid",IF(MONTH($AQ359)&gt;=3,"Hot Dry","Cold Winter")))))</f>
        <v/>
      </c>
      <c r="AS359">
        <f>IF($AL359="","",IFERROR(VLOOKUP($AL359,DECODE!$A$3:$C$8,2,FALSE),"?"))</f>
        <v/>
      </c>
      <c r="AT359">
        <f>IF($O359="","",UPPER(TRIM(LEFT($O359&amp;",",FIND(",",$O359&amp;",")-1))))</f>
        <v/>
      </c>
      <c r="AU359">
        <f>IF($AT359="","",MID($AT359,4,FIND("~",SUBSTITUTE($AT359,"-","~",2))-4))</f>
        <v/>
      </c>
      <c r="AV359">
        <f>IF($AT359="","",MID($AT359,FIND("~",SUBSTITUTE($AT359,"-","~",2))+1,FIND("~",SUBSTITUTE($AT359,"-","~",3))-FIND("~",SUBSTITUTE($AT359,"-","~",2))-1))</f>
        <v/>
      </c>
      <c r="AW359">
        <f>IF($AU359="","",IFERROR(VLOOKUP($AU359,DECODE!$A$3:$C$8,3,FALSE),"?"))</f>
        <v/>
      </c>
      <c r="AX359">
        <f>IF($AV359="","",IFERROR(VLOOKUP($AU359&amp;"-"&amp;$AV359,DECODE!$E$3:$F$21,2,FALSE),"?"))</f>
        <v/>
      </c>
      <c r="AY359">
        <f>IF($AT359="","",IFERROR(VALUE(RIGHT($AT359,3)),""))</f>
        <v/>
      </c>
      <c r="AZ359">
        <f>IF($U359="","",IFERROR(IF(ISNUMBER($U359),$U359,DATEVALUE(TRIM($U359))),""))</f>
        <v/>
      </c>
      <c r="BA359">
        <f>IF($AZ359="","",IF(MONTH($AZ359)&gt;=12,"Cold Winter",IF(MONTH($AZ359)&gt;=10,"Post-Monsoon",IF(MONTH($AZ359)&gt;=6,"Hot Humid",IF(MONTH($AZ359)&gt;=3,"Hot Dry","Cold Winter")))))</f>
        <v/>
      </c>
      <c r="BB359">
        <f>IF($AU359="","",IFERROR(VLOOKUP($AU359,DECODE!$A$3:$C$8,2,FALSE),"?"))</f>
        <v/>
      </c>
      <c r="BC359">
        <f>IF($P359="","",UPPER(TRIM(LEFT($P359&amp;",",FIND(",",$P359&amp;",")-1))))</f>
        <v/>
      </c>
      <c r="BD359">
        <f>IF($BC359="","",MID($BC359,4,FIND("~",SUBSTITUTE($BC359,"-","~",2))-4))</f>
        <v/>
      </c>
      <c r="BE359">
        <f>IF($BC359="","",MID($BC359,FIND("~",SUBSTITUTE($BC359,"-","~",2))+1,FIND("~",SUBSTITUTE($BC359,"-","~",3))-FIND("~",SUBSTITUTE($BC359,"-","~",2))-1))</f>
        <v/>
      </c>
      <c r="BF359">
        <f>IF($BD359="","",IFERROR(VLOOKUP($BD359,DECODE!$A$3:$C$8,3,FALSE),"?"))</f>
        <v/>
      </c>
      <c r="BG359">
        <f>IF($BE359="","",IFERROR(VLOOKUP($BD359&amp;"-"&amp;$BE359,DECODE!$E$3:$F$21,2,FALSE),"?"))</f>
        <v/>
      </c>
      <c r="BH359">
        <f>IF($BC359="","",IFERROR(VALUE(RIGHT($BC359,3)),""))</f>
        <v/>
      </c>
      <c r="BI359">
        <f>IF($V359="","",IFERROR(IF(ISNUMBER($V359),$V359,DATEVALUE(TRIM($V359))),""))</f>
        <v/>
      </c>
      <c r="BJ359">
        <f>IF($BI359="","",IF(MONTH($BI359)&gt;=12,"Cold Winter",IF(MONTH($BI359)&gt;=10,"Post-Monsoon",IF(MONTH($BI359)&gt;=6,"Hot Humid",IF(MONTH($BI359)&gt;=3,"Hot Dry","Cold Winter")))))</f>
        <v/>
      </c>
      <c r="BK359">
        <f>IF($BD359="","",IFERROR(VLOOKUP($BD359,DECODE!$A$3:$C$8,2,FALSE),"?"))</f>
        <v/>
      </c>
      <c r="BL359">
        <f>IF($Q359="","",UPPER(TRIM(LEFT($Q359&amp;",",FIND(",",$Q359&amp;",")-1))))</f>
        <v/>
      </c>
      <c r="BM359">
        <f>IF($BL359="","",MID($BL359,4,FIND("~",SUBSTITUTE($BL359,"-","~",2))-4))</f>
        <v/>
      </c>
      <c r="BN359">
        <f>IF($BL359="","",MID($BL359,FIND("~",SUBSTITUTE($BL359,"-","~",2))+1,FIND("~",SUBSTITUTE($BL359,"-","~",3))-FIND("~",SUBSTITUTE($BL359,"-","~",2))-1))</f>
        <v/>
      </c>
      <c r="BO359">
        <f>IF($BM359="","",IFERROR(VLOOKUP($BM359,DECODE!$A$3:$C$8,3,FALSE),"?"))</f>
        <v/>
      </c>
      <c r="BP359">
        <f>IF($BN359="","",IFERROR(VLOOKUP($BM359&amp;"-"&amp;$BN359,DECODE!$E$3:$F$21,2,FALSE),"?"))</f>
        <v/>
      </c>
      <c r="BQ359">
        <f>IF($BL359="","",IFERROR(VALUE(RIGHT($BL359,3)),""))</f>
        <v/>
      </c>
      <c r="BR359">
        <f>IF($W359="","",IFERROR(IF(ISNUMBER($W359),$W359,DATEVALUE(TRIM($W359))),""))</f>
        <v/>
      </c>
      <c r="BS359">
        <f>IF($BR359="","",IF(MONTH($BR359)&gt;=12,"Cold Winter",IF(MONTH($BR359)&gt;=10,"Post-Monsoon",IF(MONTH($BR359)&gt;=6,"Hot Humid",IF(MONTH($BR359)&gt;=3,"Hot Dry","Cold Winter")))))</f>
        <v/>
      </c>
      <c r="BT359">
        <f>IF($BM359="","",IFERROR(VLOOKUP($BM359,DECODE!$A$3:$C$8,2,FALSE),"?"))</f>
        <v/>
      </c>
      <c r="BU359">
        <f>IF($R359="","",UPPER(TRIM(LEFT($R359&amp;",",FIND(",",$R359&amp;",")-1))))</f>
        <v/>
      </c>
      <c r="BV359">
        <f>IF($BU359="","",MID($BU359,4,FIND("~",SUBSTITUTE($BU359,"-","~",2))-4))</f>
        <v/>
      </c>
      <c r="BW359">
        <f>IF($BU359="","",MID($BU359,FIND("~",SUBSTITUTE($BU359,"-","~",2))+1,FIND("~",SUBSTITUTE($BU359,"-","~",3))-FIND("~",SUBSTITUTE($BU359,"-","~",2))-1))</f>
        <v/>
      </c>
      <c r="BX359">
        <f>IF($BV359="","",IFERROR(VLOOKUP($BV359,DECODE!$A$3:$C$8,3,FALSE),"?"))</f>
        <v/>
      </c>
      <c r="BY359">
        <f>IF($BW359="","",IFERROR(VLOOKUP($BV359&amp;"-"&amp;$BW359,DECODE!$E$3:$F$21,2,FALSE),"?"))</f>
        <v/>
      </c>
      <c r="BZ359">
        <f>IF($BU359="","",IFERROR(VALUE(RIGHT($BU359,3)),""))</f>
        <v/>
      </c>
      <c r="CA359">
        <f>IF($X359="","",IFERROR(IF(ISNUMBER($X359),$X359,DATEVALUE(TRIM($X359))),""))</f>
        <v/>
      </c>
      <c r="CB359">
        <f>IF($CA359="","",IF(MONTH($CA359)&gt;=12,"Cold Winter",IF(MONTH($CA359)&gt;=10,"Post-Monsoon",IF(MONTH($CA359)&gt;=6,"Hot Humid",IF(MONTH($CA359)&gt;=3,"Hot Dry","Cold Winter")))))</f>
        <v/>
      </c>
      <c r="CC359">
        <f>IF($BV359="","",IFERROR(VLOOKUP($BV359,DECODE!$A$3:$C$8,2,FALSE),"?"))</f>
        <v/>
      </c>
      <c r="CD359">
        <f>IF($S359="","",UPPER(TRIM(LEFT($S359&amp;",",FIND(",",$S359&amp;",")-1))))</f>
        <v/>
      </c>
      <c r="CE359">
        <f>IF($CD359="","",MID($CD359,4,FIND("~",SUBSTITUTE($CD359,"-","~",2))-4))</f>
        <v/>
      </c>
      <c r="CF359">
        <f>IF($CD359="","",MID($CD359,FIND("~",SUBSTITUTE($CD359,"-","~",2))+1,FIND("~",SUBSTITUTE($CD359,"-","~",3))-FIND("~",SUBSTITUTE($CD359,"-","~",2))-1))</f>
        <v/>
      </c>
      <c r="CG359">
        <f>IF($CE359="","",IFERROR(VLOOKUP($CE359,DECODE!$A$3:$C$8,3,FALSE),"?"))</f>
        <v/>
      </c>
      <c r="CH359">
        <f>IF($CF359="","",IFERROR(VLOOKUP($CE359&amp;"-"&amp;$CF359,DECODE!$E$3:$F$21,2,FALSE),"?"))</f>
        <v/>
      </c>
      <c r="CI359">
        <f>IF($CD359="","",IFERROR(VALUE(RIGHT($CD359,3)),""))</f>
        <v/>
      </c>
      <c r="CJ359">
        <f>IF($Y359="","",IFERROR(IF(ISNUMBER($Y359),$Y359,DATEVALUE(TRIM($Y359))),""))</f>
        <v/>
      </c>
      <c r="CK359">
        <f>IF($CJ359="","",IF(MONTH($CJ359)&gt;=12,"Cold Winter",IF(MONTH($CJ359)&gt;=10,"Post-Monsoon",IF(MONTH($CJ359)&gt;=6,"Hot Humid",IF(MONTH($CJ359)&gt;=3,"Hot Dry","Cold Winter")))))</f>
        <v/>
      </c>
      <c r="CL359">
        <f>IF($CE359="","",IFERROR(VLOOKUP($CE359,DECODE!$A$3:$C$8,2,FALSE),"?"))</f>
        <v/>
      </c>
      <c r="CM359">
        <f>IF($AN359="","",AN359)</f>
        <v/>
      </c>
      <c r="CN359">
        <f>IF($AO359="","",AO359)</f>
        <v/>
      </c>
      <c r="CO359">
        <f>IF($AP359="","",AP359)</f>
        <v/>
      </c>
      <c r="CP359">
        <f>IF($CM359="","",IF($CM359="Aloe Vera Gel","Aloe Vera Gel "&amp;$CO359&amp;"g",CN359&amp;" "&amp;$CO359&amp;"g"))</f>
        <v/>
      </c>
      <c r="CQ359">
        <f>IF($AT359="",0,1)</f>
        <v/>
      </c>
      <c r="CR359">
        <f>IF($CQ359=0,"",AW359)</f>
        <v/>
      </c>
      <c r="CS359">
        <f>IF($CQ359=0,"",AX359)</f>
        <v/>
      </c>
      <c r="CT359">
        <f>IF($CQ359=0,"",AY359)</f>
        <v/>
      </c>
      <c r="CU359">
        <f>IF($CR359="","",IF($CR359="Aloe Vera Gel","Aloe Vera Gel "&amp;$CT359&amp;"g",CS359&amp;" "&amp;$CT359&amp;"g"))</f>
        <v/>
      </c>
      <c r="CV359">
        <f>IF($CQ359=0,"",IF($CP359=$CU359,"Repeat Exact",IF($CT359&gt;$CO359,"Upsized",IF($CT359&lt;$CO359,"Downsized",IF($CM359&lt;&gt;$CR359,"Lateral","Same Size Diff Variant")))))</f>
        <v/>
      </c>
      <c r="CW359">
        <f>IF($CQ359=0,"",AZ359-AQ359)</f>
        <v/>
      </c>
      <c r="CX359">
        <f>IF($CQ359=0,0,IF(CS359=CN359,1,0))</f>
        <v/>
      </c>
      <c r="CY359">
        <f>IF($CQ359=0,0,IF(CR359=CM359,1,0))</f>
        <v/>
      </c>
      <c r="CZ359">
        <f>IF($A359="","",IF(AND(IF(DASHBOARD!$C$4="All",TRUE,$CM359=DASHBOARD!$C$4),IF(DASHBOARD!$C$6="All",TRUE,$CP359=DASHBOARD!$C$6),IF(DASHBOARD!$C$8="All",TRUE,$AF359&gt;=DASHBOARD!$C$8),IF(DASHBOARD!$C$10="All",TRUE,$AF359&lt;=DASHBOARD!$C$10),IF(DASHBOARD!$C$12="All",TRUE,$AH359=VALUE(DASHBOARD!$C$12)),IF(DASHBOARD!$C$14="All",TRUE,$AJ359=DASHBOARD!$C$14)),1,0))</f>
        <v/>
      </c>
    </row>
    <row r="360">
      <c r="A360" t="n">
        <v>186705</v>
      </c>
      <c r="B360" t="inlineStr">
        <is>
          <t>Face Malai</t>
        </is>
      </c>
      <c r="H360" t="inlineStr">
        <is>
          <t>Turmeric Nutmeg (Pigmentation)  Face Malai - 30g</t>
        </is>
      </c>
      <c r="N360" t="inlineStr">
        <is>
          <t>FC-DM-PG-030</t>
        </is>
      </c>
      <c r="T360" t="inlineStr">
        <is>
          <t>Jun 19, 2026</t>
        </is>
      </c>
      <c r="AE360" t="inlineStr">
        <is>
          <t>Bengaluru</t>
        </is>
      </c>
      <c r="AF360" t="inlineStr">
        <is>
          <t>2026-06</t>
        </is>
      </c>
      <c r="AG360" t="n">
        <v>6</v>
      </c>
      <c r="AH360" t="n">
        <v>1</v>
      </c>
      <c r="AI360" t="n">
        <v>0</v>
      </c>
      <c r="AJ360">
        <f>IF($AE360="","",IFERROR(VLOOKUP(TRIM($AE360),DECODE!$H$3:$I$60,2,FALSE),"Rest of India"))</f>
        <v/>
      </c>
      <c r="AK360">
        <f>IF($N360="","",UPPER(TRIM(LEFT($N360&amp;",",FIND(",",$N360&amp;",")-1))))</f>
        <v/>
      </c>
      <c r="AL360">
        <f>IF($AK360="","",MID($AK360,4,FIND("~",SUBSTITUTE($AK360,"-","~",2))-4))</f>
        <v/>
      </c>
      <c r="AM360">
        <f>IF($AK360="","",MID($AK360,FIND("~",SUBSTITUTE($AK360,"-","~",2))+1,FIND("~",SUBSTITUTE($AK360,"-","~",3))-FIND("~",SUBSTITUTE($AK360,"-","~",2))-1))</f>
        <v/>
      </c>
      <c r="AN360">
        <f>IF($AL360="","",IFERROR(VLOOKUP($AL360,DECODE!$A$3:$C$8,3,FALSE),"?"))</f>
        <v/>
      </c>
      <c r="AO360">
        <f>IF($AM360="","",IFERROR(VLOOKUP($AL360&amp;"-"&amp;$AM360,DECODE!$E$3:$F$21,2,FALSE),"?"))</f>
        <v/>
      </c>
      <c r="AP360">
        <f>IF($AK360="","",IFERROR(VALUE(RIGHT($AK360,3)),""))</f>
        <v/>
      </c>
      <c r="AQ360">
        <f>IF($T360="","",IFERROR(IF(ISNUMBER($T360),$T360,DATEVALUE(TRIM($T360))),""))</f>
        <v/>
      </c>
      <c r="AR360">
        <f>IF($AQ360="","",IF(MONTH($AQ360)&gt;=12,"Cold Winter",IF(MONTH($AQ360)&gt;=10,"Post-Monsoon",IF(MONTH($AQ360)&gt;=6,"Hot Humid",IF(MONTH($AQ360)&gt;=3,"Hot Dry","Cold Winter")))))</f>
        <v/>
      </c>
      <c r="AS360">
        <f>IF($AL360="","",IFERROR(VLOOKUP($AL360,DECODE!$A$3:$C$8,2,FALSE),"?"))</f>
        <v/>
      </c>
      <c r="AT360">
        <f>IF($O360="","",UPPER(TRIM(LEFT($O360&amp;",",FIND(",",$O360&amp;",")-1))))</f>
        <v/>
      </c>
      <c r="AU360">
        <f>IF($AT360="","",MID($AT360,4,FIND("~",SUBSTITUTE($AT360,"-","~",2))-4))</f>
        <v/>
      </c>
      <c r="AV360">
        <f>IF($AT360="","",MID($AT360,FIND("~",SUBSTITUTE($AT360,"-","~",2))+1,FIND("~",SUBSTITUTE($AT360,"-","~",3))-FIND("~",SUBSTITUTE($AT360,"-","~",2))-1))</f>
        <v/>
      </c>
      <c r="AW360">
        <f>IF($AU360="","",IFERROR(VLOOKUP($AU360,DECODE!$A$3:$C$8,3,FALSE),"?"))</f>
        <v/>
      </c>
      <c r="AX360">
        <f>IF($AV360="","",IFERROR(VLOOKUP($AU360&amp;"-"&amp;$AV360,DECODE!$E$3:$F$21,2,FALSE),"?"))</f>
        <v/>
      </c>
      <c r="AY360">
        <f>IF($AT360="","",IFERROR(VALUE(RIGHT($AT360,3)),""))</f>
        <v/>
      </c>
      <c r="AZ360">
        <f>IF($U360="","",IFERROR(IF(ISNUMBER($U360),$U360,DATEVALUE(TRIM($U360))),""))</f>
        <v/>
      </c>
      <c r="BA360">
        <f>IF($AZ360="","",IF(MONTH($AZ360)&gt;=12,"Cold Winter",IF(MONTH($AZ360)&gt;=10,"Post-Monsoon",IF(MONTH($AZ360)&gt;=6,"Hot Humid",IF(MONTH($AZ360)&gt;=3,"Hot Dry","Cold Winter")))))</f>
        <v/>
      </c>
      <c r="BB360">
        <f>IF($AU360="","",IFERROR(VLOOKUP($AU360,DECODE!$A$3:$C$8,2,FALSE),"?"))</f>
        <v/>
      </c>
      <c r="BC360">
        <f>IF($P360="","",UPPER(TRIM(LEFT($P360&amp;",",FIND(",",$P360&amp;",")-1))))</f>
        <v/>
      </c>
      <c r="BD360">
        <f>IF($BC360="","",MID($BC360,4,FIND("~",SUBSTITUTE($BC360,"-","~",2))-4))</f>
        <v/>
      </c>
      <c r="BE360">
        <f>IF($BC360="","",MID($BC360,FIND("~",SUBSTITUTE($BC360,"-","~",2))+1,FIND("~",SUBSTITUTE($BC360,"-","~",3))-FIND("~",SUBSTITUTE($BC360,"-","~",2))-1))</f>
        <v/>
      </c>
      <c r="BF360">
        <f>IF($BD360="","",IFERROR(VLOOKUP($BD360,DECODE!$A$3:$C$8,3,FALSE),"?"))</f>
        <v/>
      </c>
      <c r="BG360">
        <f>IF($BE360="","",IFERROR(VLOOKUP($BD360&amp;"-"&amp;$BE360,DECODE!$E$3:$F$21,2,FALSE),"?"))</f>
        <v/>
      </c>
      <c r="BH360">
        <f>IF($BC360="","",IFERROR(VALUE(RIGHT($BC360,3)),""))</f>
        <v/>
      </c>
      <c r="BI360">
        <f>IF($V360="","",IFERROR(IF(ISNUMBER($V360),$V360,DATEVALUE(TRIM($V360))),""))</f>
        <v/>
      </c>
      <c r="BJ360">
        <f>IF($BI360="","",IF(MONTH($BI360)&gt;=12,"Cold Winter",IF(MONTH($BI360)&gt;=10,"Post-Monsoon",IF(MONTH($BI360)&gt;=6,"Hot Humid",IF(MONTH($BI360)&gt;=3,"Hot Dry","Cold Winter")))))</f>
        <v/>
      </c>
      <c r="BK360">
        <f>IF($BD360="","",IFERROR(VLOOKUP($BD360,DECODE!$A$3:$C$8,2,FALSE),"?"))</f>
        <v/>
      </c>
      <c r="BL360">
        <f>IF($Q360="","",UPPER(TRIM(LEFT($Q360&amp;",",FIND(",",$Q360&amp;",")-1))))</f>
        <v/>
      </c>
      <c r="BM360">
        <f>IF($BL360="","",MID($BL360,4,FIND("~",SUBSTITUTE($BL360,"-","~",2))-4))</f>
        <v/>
      </c>
      <c r="BN360">
        <f>IF($BL360="","",MID($BL360,FIND("~",SUBSTITUTE($BL360,"-","~",2))+1,FIND("~",SUBSTITUTE($BL360,"-","~",3))-FIND("~",SUBSTITUTE($BL360,"-","~",2))-1))</f>
        <v/>
      </c>
      <c r="BO360">
        <f>IF($BM360="","",IFERROR(VLOOKUP($BM360,DECODE!$A$3:$C$8,3,FALSE),"?"))</f>
        <v/>
      </c>
      <c r="BP360">
        <f>IF($BN360="","",IFERROR(VLOOKUP($BM360&amp;"-"&amp;$BN360,DECODE!$E$3:$F$21,2,FALSE),"?"))</f>
        <v/>
      </c>
      <c r="BQ360">
        <f>IF($BL360="","",IFERROR(VALUE(RIGHT($BL360,3)),""))</f>
        <v/>
      </c>
      <c r="BR360">
        <f>IF($W360="","",IFERROR(IF(ISNUMBER($W360),$W360,DATEVALUE(TRIM($W360))),""))</f>
        <v/>
      </c>
      <c r="BS360">
        <f>IF($BR360="","",IF(MONTH($BR360)&gt;=12,"Cold Winter",IF(MONTH($BR360)&gt;=10,"Post-Monsoon",IF(MONTH($BR360)&gt;=6,"Hot Humid",IF(MONTH($BR360)&gt;=3,"Hot Dry","Cold Winter")))))</f>
        <v/>
      </c>
      <c r="BT360">
        <f>IF($BM360="","",IFERROR(VLOOKUP($BM360,DECODE!$A$3:$C$8,2,FALSE),"?"))</f>
        <v/>
      </c>
      <c r="BU360">
        <f>IF($R360="","",UPPER(TRIM(LEFT($R360&amp;",",FIND(",",$R360&amp;",")-1))))</f>
        <v/>
      </c>
      <c r="BV360">
        <f>IF($BU360="","",MID($BU360,4,FIND("~",SUBSTITUTE($BU360,"-","~",2))-4))</f>
        <v/>
      </c>
      <c r="BW360">
        <f>IF($BU360="","",MID($BU360,FIND("~",SUBSTITUTE($BU360,"-","~",2))+1,FIND("~",SUBSTITUTE($BU360,"-","~",3))-FIND("~",SUBSTITUTE($BU360,"-","~",2))-1))</f>
        <v/>
      </c>
      <c r="BX360">
        <f>IF($BV360="","",IFERROR(VLOOKUP($BV360,DECODE!$A$3:$C$8,3,FALSE),"?"))</f>
        <v/>
      </c>
      <c r="BY360">
        <f>IF($BW360="","",IFERROR(VLOOKUP($BV360&amp;"-"&amp;$BW360,DECODE!$E$3:$F$21,2,FALSE),"?"))</f>
        <v/>
      </c>
      <c r="BZ360">
        <f>IF($BU360="","",IFERROR(VALUE(RIGHT($BU360,3)),""))</f>
        <v/>
      </c>
      <c r="CA360">
        <f>IF($X360="","",IFERROR(IF(ISNUMBER($X360),$X360,DATEVALUE(TRIM($X360))),""))</f>
        <v/>
      </c>
      <c r="CB360">
        <f>IF($CA360="","",IF(MONTH($CA360)&gt;=12,"Cold Winter",IF(MONTH($CA360)&gt;=10,"Post-Monsoon",IF(MONTH($CA360)&gt;=6,"Hot Humid",IF(MONTH($CA360)&gt;=3,"Hot Dry","Cold Winter")))))</f>
        <v/>
      </c>
      <c r="CC360">
        <f>IF($BV360="","",IFERROR(VLOOKUP($BV360,DECODE!$A$3:$C$8,2,FALSE),"?"))</f>
        <v/>
      </c>
      <c r="CD360">
        <f>IF($S360="","",UPPER(TRIM(LEFT($S360&amp;",",FIND(",",$S360&amp;",")-1))))</f>
        <v/>
      </c>
      <c r="CE360">
        <f>IF($CD360="","",MID($CD360,4,FIND("~",SUBSTITUTE($CD360,"-","~",2))-4))</f>
        <v/>
      </c>
      <c r="CF360">
        <f>IF($CD360="","",MID($CD360,FIND("~",SUBSTITUTE($CD360,"-","~",2))+1,FIND("~",SUBSTITUTE($CD360,"-","~",3))-FIND("~",SUBSTITUTE($CD360,"-","~",2))-1))</f>
        <v/>
      </c>
      <c r="CG360">
        <f>IF($CE360="","",IFERROR(VLOOKUP($CE360,DECODE!$A$3:$C$8,3,FALSE),"?"))</f>
        <v/>
      </c>
      <c r="CH360">
        <f>IF($CF360="","",IFERROR(VLOOKUP($CE360&amp;"-"&amp;$CF360,DECODE!$E$3:$F$21,2,FALSE),"?"))</f>
        <v/>
      </c>
      <c r="CI360">
        <f>IF($CD360="","",IFERROR(VALUE(RIGHT($CD360,3)),""))</f>
        <v/>
      </c>
      <c r="CJ360">
        <f>IF($Y360="","",IFERROR(IF(ISNUMBER($Y360),$Y360,DATEVALUE(TRIM($Y360))),""))</f>
        <v/>
      </c>
      <c r="CK360">
        <f>IF($CJ360="","",IF(MONTH($CJ360)&gt;=12,"Cold Winter",IF(MONTH($CJ360)&gt;=10,"Post-Monsoon",IF(MONTH($CJ360)&gt;=6,"Hot Humid",IF(MONTH($CJ360)&gt;=3,"Hot Dry","Cold Winter")))))</f>
        <v/>
      </c>
      <c r="CL360">
        <f>IF($CE360="","",IFERROR(VLOOKUP($CE360,DECODE!$A$3:$C$8,2,FALSE),"?"))</f>
        <v/>
      </c>
      <c r="CM360">
        <f>IF($AN360="","",AN360)</f>
        <v/>
      </c>
      <c r="CN360">
        <f>IF($AO360="","",AO360)</f>
        <v/>
      </c>
      <c r="CO360">
        <f>IF($AP360="","",AP360)</f>
        <v/>
      </c>
      <c r="CP360">
        <f>IF($CM360="","",IF($CM360="Aloe Vera Gel","Aloe Vera Gel "&amp;$CO360&amp;"g",CN360&amp;" "&amp;$CO360&amp;"g"))</f>
        <v/>
      </c>
      <c r="CQ360">
        <f>IF($AT360="",0,1)</f>
        <v/>
      </c>
      <c r="CR360">
        <f>IF($CQ360=0,"",AW360)</f>
        <v/>
      </c>
      <c r="CS360">
        <f>IF($CQ360=0,"",AX360)</f>
        <v/>
      </c>
      <c r="CT360">
        <f>IF($CQ360=0,"",AY360)</f>
        <v/>
      </c>
      <c r="CU360">
        <f>IF($CR360="","",IF($CR360="Aloe Vera Gel","Aloe Vera Gel "&amp;$CT360&amp;"g",CS360&amp;" "&amp;$CT360&amp;"g"))</f>
        <v/>
      </c>
      <c r="CV360">
        <f>IF($CQ360=0,"",IF($CP360=$CU360,"Repeat Exact",IF($CT360&gt;$CO360,"Upsized",IF($CT360&lt;$CO360,"Downsized",IF($CM360&lt;&gt;$CR360,"Lateral","Same Size Diff Variant")))))</f>
        <v/>
      </c>
      <c r="CW360">
        <f>IF($CQ360=0,"",AZ360-AQ360)</f>
        <v/>
      </c>
      <c r="CX360">
        <f>IF($CQ360=0,0,IF(CS360=CN360,1,0))</f>
        <v/>
      </c>
      <c r="CY360">
        <f>IF($CQ360=0,0,IF(CR360=CM360,1,0))</f>
        <v/>
      </c>
      <c r="CZ360">
        <f>IF($A360="","",IF(AND(IF(DASHBOARD!$C$4="All",TRUE,$CM360=DASHBOARD!$C$4),IF(DASHBOARD!$C$6="All",TRUE,$CP360=DASHBOARD!$C$6),IF(DASHBOARD!$C$8="All",TRUE,$AF360&gt;=DASHBOARD!$C$8),IF(DASHBOARD!$C$10="All",TRUE,$AF360&lt;=DASHBOARD!$C$10),IF(DASHBOARD!$C$12="All",TRUE,$AH360=VALUE(DASHBOARD!$C$12)),IF(DASHBOARD!$C$14="All",TRUE,$AJ360=DASHBOARD!$C$14)),1,0))</f>
        <v/>
      </c>
    </row>
    <row r="361">
      <c r="A361" t="n">
        <v>186746</v>
      </c>
      <c r="B361" t="inlineStr">
        <is>
          <t>Active Gel</t>
        </is>
      </c>
      <c r="H361" t="inlineStr">
        <is>
          <t>Active Orange Kiwi Vit-C Gel</t>
        </is>
      </c>
      <c r="N361" t="inlineStr">
        <is>
          <t>FC-AC-OK-050</t>
        </is>
      </c>
      <c r="T361" t="inlineStr">
        <is>
          <t>Apr 15, 2024</t>
        </is>
      </c>
      <c r="AE361" t="inlineStr">
        <is>
          <t>Gurgaon</t>
        </is>
      </c>
      <c r="AF361" t="inlineStr">
        <is>
          <t>2024-04</t>
        </is>
      </c>
      <c r="AG361" t="n">
        <v>4</v>
      </c>
      <c r="AH361" t="n">
        <v>1</v>
      </c>
      <c r="AI361" t="n">
        <v>0</v>
      </c>
      <c r="AJ361">
        <f>IF($AE361="","",IFERROR(VLOOKUP(TRIM($AE361),DECODE!$H$3:$I$60,2,FALSE),"Rest of India"))</f>
        <v/>
      </c>
      <c r="AK361">
        <f>IF($N361="","",UPPER(TRIM(LEFT($N361&amp;",",FIND(",",$N361&amp;",")-1))))</f>
        <v/>
      </c>
      <c r="AL361">
        <f>IF($AK361="","",MID($AK361,4,FIND("~",SUBSTITUTE($AK361,"-","~",2))-4))</f>
        <v/>
      </c>
      <c r="AM361">
        <f>IF($AK361="","",MID($AK361,FIND("~",SUBSTITUTE($AK361,"-","~",2))+1,FIND("~",SUBSTITUTE($AK361,"-","~",3))-FIND("~",SUBSTITUTE($AK361,"-","~",2))-1))</f>
        <v/>
      </c>
      <c r="AN361">
        <f>IF($AL361="","",IFERROR(VLOOKUP($AL361,DECODE!$A$3:$C$8,3,FALSE),"?"))</f>
        <v/>
      </c>
      <c r="AO361">
        <f>IF($AM361="","",IFERROR(VLOOKUP($AL361&amp;"-"&amp;$AM361,DECODE!$E$3:$F$21,2,FALSE),"?"))</f>
        <v/>
      </c>
      <c r="AP361">
        <f>IF($AK361="","",IFERROR(VALUE(RIGHT($AK361,3)),""))</f>
        <v/>
      </c>
      <c r="AQ361">
        <f>IF($T361="","",IFERROR(IF(ISNUMBER($T361),$T361,DATEVALUE(TRIM($T361))),""))</f>
        <v/>
      </c>
      <c r="AR361">
        <f>IF($AQ361="","",IF(MONTH($AQ361)&gt;=12,"Cold Winter",IF(MONTH($AQ361)&gt;=10,"Post-Monsoon",IF(MONTH($AQ361)&gt;=6,"Hot Humid",IF(MONTH($AQ361)&gt;=3,"Hot Dry","Cold Winter")))))</f>
        <v/>
      </c>
      <c r="AS361">
        <f>IF($AL361="","",IFERROR(VLOOKUP($AL361,DECODE!$A$3:$C$8,2,FALSE),"?"))</f>
        <v/>
      </c>
      <c r="AT361">
        <f>IF($O361="","",UPPER(TRIM(LEFT($O361&amp;",",FIND(",",$O361&amp;",")-1))))</f>
        <v/>
      </c>
      <c r="AU361">
        <f>IF($AT361="","",MID($AT361,4,FIND("~",SUBSTITUTE($AT361,"-","~",2))-4))</f>
        <v/>
      </c>
      <c r="AV361">
        <f>IF($AT361="","",MID($AT361,FIND("~",SUBSTITUTE($AT361,"-","~",2))+1,FIND("~",SUBSTITUTE($AT361,"-","~",3))-FIND("~",SUBSTITUTE($AT361,"-","~",2))-1))</f>
        <v/>
      </c>
      <c r="AW361">
        <f>IF($AU361="","",IFERROR(VLOOKUP($AU361,DECODE!$A$3:$C$8,3,FALSE),"?"))</f>
        <v/>
      </c>
      <c r="AX361">
        <f>IF($AV361="","",IFERROR(VLOOKUP($AU361&amp;"-"&amp;$AV361,DECODE!$E$3:$F$21,2,FALSE),"?"))</f>
        <v/>
      </c>
      <c r="AY361">
        <f>IF($AT361="","",IFERROR(VALUE(RIGHT($AT361,3)),""))</f>
        <v/>
      </c>
      <c r="AZ361">
        <f>IF($U361="","",IFERROR(IF(ISNUMBER($U361),$U361,DATEVALUE(TRIM($U361))),""))</f>
        <v/>
      </c>
      <c r="BA361">
        <f>IF($AZ361="","",IF(MONTH($AZ361)&gt;=12,"Cold Winter",IF(MONTH($AZ361)&gt;=10,"Post-Monsoon",IF(MONTH($AZ361)&gt;=6,"Hot Humid",IF(MONTH($AZ361)&gt;=3,"Hot Dry","Cold Winter")))))</f>
        <v/>
      </c>
      <c r="BB361">
        <f>IF($AU361="","",IFERROR(VLOOKUP($AU361,DECODE!$A$3:$C$8,2,FALSE),"?"))</f>
        <v/>
      </c>
      <c r="BC361">
        <f>IF($P361="","",UPPER(TRIM(LEFT($P361&amp;",",FIND(",",$P361&amp;",")-1))))</f>
        <v/>
      </c>
      <c r="BD361">
        <f>IF($BC361="","",MID($BC361,4,FIND("~",SUBSTITUTE($BC361,"-","~",2))-4))</f>
        <v/>
      </c>
      <c r="BE361">
        <f>IF($BC361="","",MID($BC361,FIND("~",SUBSTITUTE($BC361,"-","~",2))+1,FIND("~",SUBSTITUTE($BC361,"-","~",3))-FIND("~",SUBSTITUTE($BC361,"-","~",2))-1))</f>
        <v/>
      </c>
      <c r="BF361">
        <f>IF($BD361="","",IFERROR(VLOOKUP($BD361,DECODE!$A$3:$C$8,3,FALSE),"?"))</f>
        <v/>
      </c>
      <c r="BG361">
        <f>IF($BE361="","",IFERROR(VLOOKUP($BD361&amp;"-"&amp;$BE361,DECODE!$E$3:$F$21,2,FALSE),"?"))</f>
        <v/>
      </c>
      <c r="BH361">
        <f>IF($BC361="","",IFERROR(VALUE(RIGHT($BC361,3)),""))</f>
        <v/>
      </c>
      <c r="BI361">
        <f>IF($V361="","",IFERROR(IF(ISNUMBER($V361),$V361,DATEVALUE(TRIM($V361))),""))</f>
        <v/>
      </c>
      <c r="BJ361">
        <f>IF($BI361="","",IF(MONTH($BI361)&gt;=12,"Cold Winter",IF(MONTH($BI361)&gt;=10,"Post-Monsoon",IF(MONTH($BI361)&gt;=6,"Hot Humid",IF(MONTH($BI361)&gt;=3,"Hot Dry","Cold Winter")))))</f>
        <v/>
      </c>
      <c r="BK361">
        <f>IF($BD361="","",IFERROR(VLOOKUP($BD361,DECODE!$A$3:$C$8,2,FALSE),"?"))</f>
        <v/>
      </c>
      <c r="BL361">
        <f>IF($Q361="","",UPPER(TRIM(LEFT($Q361&amp;",",FIND(",",$Q361&amp;",")-1))))</f>
        <v/>
      </c>
      <c r="BM361">
        <f>IF($BL361="","",MID($BL361,4,FIND("~",SUBSTITUTE($BL361,"-","~",2))-4))</f>
        <v/>
      </c>
      <c r="BN361">
        <f>IF($BL361="","",MID($BL361,FIND("~",SUBSTITUTE($BL361,"-","~",2))+1,FIND("~",SUBSTITUTE($BL361,"-","~",3))-FIND("~",SUBSTITUTE($BL361,"-","~",2))-1))</f>
        <v/>
      </c>
      <c r="BO361">
        <f>IF($BM361="","",IFERROR(VLOOKUP($BM361,DECODE!$A$3:$C$8,3,FALSE),"?"))</f>
        <v/>
      </c>
      <c r="BP361">
        <f>IF($BN361="","",IFERROR(VLOOKUP($BM361&amp;"-"&amp;$BN361,DECODE!$E$3:$F$21,2,FALSE),"?"))</f>
        <v/>
      </c>
      <c r="BQ361">
        <f>IF($BL361="","",IFERROR(VALUE(RIGHT($BL361,3)),""))</f>
        <v/>
      </c>
      <c r="BR361">
        <f>IF($W361="","",IFERROR(IF(ISNUMBER($W361),$W361,DATEVALUE(TRIM($W361))),""))</f>
        <v/>
      </c>
      <c r="BS361">
        <f>IF($BR361="","",IF(MONTH($BR361)&gt;=12,"Cold Winter",IF(MONTH($BR361)&gt;=10,"Post-Monsoon",IF(MONTH($BR361)&gt;=6,"Hot Humid",IF(MONTH($BR361)&gt;=3,"Hot Dry","Cold Winter")))))</f>
        <v/>
      </c>
      <c r="BT361">
        <f>IF($BM361="","",IFERROR(VLOOKUP($BM361,DECODE!$A$3:$C$8,2,FALSE),"?"))</f>
        <v/>
      </c>
      <c r="BU361">
        <f>IF($R361="","",UPPER(TRIM(LEFT($R361&amp;",",FIND(",",$R361&amp;",")-1))))</f>
        <v/>
      </c>
      <c r="BV361">
        <f>IF($BU361="","",MID($BU361,4,FIND("~",SUBSTITUTE($BU361,"-","~",2))-4))</f>
        <v/>
      </c>
      <c r="BW361">
        <f>IF($BU361="","",MID($BU361,FIND("~",SUBSTITUTE($BU361,"-","~",2))+1,FIND("~",SUBSTITUTE($BU361,"-","~",3))-FIND("~",SUBSTITUTE($BU361,"-","~",2))-1))</f>
        <v/>
      </c>
      <c r="BX361">
        <f>IF($BV361="","",IFERROR(VLOOKUP($BV361,DECODE!$A$3:$C$8,3,FALSE),"?"))</f>
        <v/>
      </c>
      <c r="BY361">
        <f>IF($BW361="","",IFERROR(VLOOKUP($BV361&amp;"-"&amp;$BW361,DECODE!$E$3:$F$21,2,FALSE),"?"))</f>
        <v/>
      </c>
      <c r="BZ361">
        <f>IF($BU361="","",IFERROR(VALUE(RIGHT($BU361,3)),""))</f>
        <v/>
      </c>
      <c r="CA361">
        <f>IF($X361="","",IFERROR(IF(ISNUMBER($X361),$X361,DATEVALUE(TRIM($X361))),""))</f>
        <v/>
      </c>
      <c r="CB361">
        <f>IF($CA361="","",IF(MONTH($CA361)&gt;=12,"Cold Winter",IF(MONTH($CA361)&gt;=10,"Post-Monsoon",IF(MONTH($CA361)&gt;=6,"Hot Humid",IF(MONTH($CA361)&gt;=3,"Hot Dry","Cold Winter")))))</f>
        <v/>
      </c>
      <c r="CC361">
        <f>IF($BV361="","",IFERROR(VLOOKUP($BV361,DECODE!$A$3:$C$8,2,FALSE),"?"))</f>
        <v/>
      </c>
      <c r="CD361">
        <f>IF($S361="","",UPPER(TRIM(LEFT($S361&amp;",",FIND(",",$S361&amp;",")-1))))</f>
        <v/>
      </c>
      <c r="CE361">
        <f>IF($CD361="","",MID($CD361,4,FIND("~",SUBSTITUTE($CD361,"-","~",2))-4))</f>
        <v/>
      </c>
      <c r="CF361">
        <f>IF($CD361="","",MID($CD361,FIND("~",SUBSTITUTE($CD361,"-","~",2))+1,FIND("~",SUBSTITUTE($CD361,"-","~",3))-FIND("~",SUBSTITUTE($CD361,"-","~",2))-1))</f>
        <v/>
      </c>
      <c r="CG361">
        <f>IF($CE361="","",IFERROR(VLOOKUP($CE361,DECODE!$A$3:$C$8,3,FALSE),"?"))</f>
        <v/>
      </c>
      <c r="CH361">
        <f>IF($CF361="","",IFERROR(VLOOKUP($CE361&amp;"-"&amp;$CF361,DECODE!$E$3:$F$21,2,FALSE),"?"))</f>
        <v/>
      </c>
      <c r="CI361">
        <f>IF($CD361="","",IFERROR(VALUE(RIGHT($CD361,3)),""))</f>
        <v/>
      </c>
      <c r="CJ361">
        <f>IF($Y361="","",IFERROR(IF(ISNUMBER($Y361),$Y361,DATEVALUE(TRIM($Y361))),""))</f>
        <v/>
      </c>
      <c r="CK361">
        <f>IF($CJ361="","",IF(MONTH($CJ361)&gt;=12,"Cold Winter",IF(MONTH($CJ361)&gt;=10,"Post-Monsoon",IF(MONTH($CJ361)&gt;=6,"Hot Humid",IF(MONTH($CJ361)&gt;=3,"Hot Dry","Cold Winter")))))</f>
        <v/>
      </c>
      <c r="CL361">
        <f>IF($CE361="","",IFERROR(VLOOKUP($CE361,DECODE!$A$3:$C$8,2,FALSE),"?"))</f>
        <v/>
      </c>
      <c r="CM361">
        <f>IF($AN361="","",AN361)</f>
        <v/>
      </c>
      <c r="CN361">
        <f>IF($AO361="","",AO361)</f>
        <v/>
      </c>
      <c r="CO361">
        <f>IF($AP361="","",AP361)</f>
        <v/>
      </c>
      <c r="CP361">
        <f>IF($CM361="","",IF($CM361="Aloe Vera Gel","Aloe Vera Gel "&amp;$CO361&amp;"g",CN361&amp;" "&amp;$CO361&amp;"g"))</f>
        <v/>
      </c>
      <c r="CQ361">
        <f>IF($AT361="",0,1)</f>
        <v/>
      </c>
      <c r="CR361">
        <f>IF($CQ361=0,"",AW361)</f>
        <v/>
      </c>
      <c r="CS361">
        <f>IF($CQ361=0,"",AX361)</f>
        <v/>
      </c>
      <c r="CT361">
        <f>IF($CQ361=0,"",AY361)</f>
        <v/>
      </c>
      <c r="CU361">
        <f>IF($CR361="","",IF($CR361="Aloe Vera Gel","Aloe Vera Gel "&amp;$CT361&amp;"g",CS361&amp;" "&amp;$CT361&amp;"g"))</f>
        <v/>
      </c>
      <c r="CV361">
        <f>IF($CQ361=0,"",IF($CP361=$CU361,"Repeat Exact",IF($CT361&gt;$CO361,"Upsized",IF($CT361&lt;$CO361,"Downsized",IF($CM361&lt;&gt;$CR361,"Lateral","Same Size Diff Variant")))))</f>
        <v/>
      </c>
      <c r="CW361">
        <f>IF($CQ361=0,"",AZ361-AQ361)</f>
        <v/>
      </c>
      <c r="CX361">
        <f>IF($CQ361=0,0,IF(CS361=CN361,1,0))</f>
        <v/>
      </c>
      <c r="CY361">
        <f>IF($CQ361=0,0,IF(CR361=CM361,1,0))</f>
        <v/>
      </c>
      <c r="CZ361">
        <f>IF($A361="","",IF(AND(IF(DASHBOARD!$C$4="All",TRUE,$CM361=DASHBOARD!$C$4),IF(DASHBOARD!$C$6="All",TRUE,$CP361=DASHBOARD!$C$6),IF(DASHBOARD!$C$8="All",TRUE,$AF361&gt;=DASHBOARD!$C$8),IF(DASHBOARD!$C$10="All",TRUE,$AF361&lt;=DASHBOARD!$C$10),IF(DASHBOARD!$C$12="All",TRUE,$AH361=VALUE(DASHBOARD!$C$12)),IF(DASHBOARD!$C$14="All",TRUE,$AJ361=DASHBOARD!$C$14)),1,0))</f>
        <v/>
      </c>
    </row>
    <row r="362">
      <c r="A362" t="n">
        <v>186913</v>
      </c>
      <c r="B362" t="inlineStr">
        <is>
          <t>Face Malai</t>
        </is>
      </c>
      <c r="C362" t="inlineStr">
        <is>
          <t>Face Malai</t>
        </is>
      </c>
      <c r="D362" t="inlineStr">
        <is>
          <t>Aloe Vera Gel</t>
        </is>
      </c>
      <c r="E362" t="inlineStr">
        <is>
          <t>Active Gel, Face Malai</t>
        </is>
      </c>
      <c r="H362" t="inlineStr">
        <is>
          <t>Tomato Rosehip (Hot Dry) 20 - 35 Yrs Face Malai - 30g, Cocoa Mogra (Overnight) Face Malai - 30g</t>
        </is>
      </c>
      <c r="I362" t="inlineStr">
        <is>
          <t>Cocoa Mogra (Overnight) Face Malai - 30g</t>
        </is>
      </c>
      <c r="J362" t="inlineStr">
        <is>
          <t>Aloe Vera Gel - 80 gms</t>
        </is>
      </c>
      <c r="K362" t="inlineStr">
        <is>
          <t>Cocoa Mogra (Overnight) Face Malai - 30g, Active Beetroot Tomato Vit-A Gel</t>
        </is>
      </c>
      <c r="N362" t="inlineStr">
        <is>
          <t>FC-HDDM-TR-030, FC-DM-NR-030</t>
        </is>
      </c>
      <c r="O362" t="inlineStr">
        <is>
          <t>FC-DM-NR-030</t>
        </is>
      </c>
      <c r="P362" t="inlineStr">
        <is>
          <t>FC-HG-PA-080</t>
        </is>
      </c>
      <c r="Q362" t="inlineStr">
        <is>
          <t>FC-AC-BT-050, FC-DM-NR-030</t>
        </is>
      </c>
      <c r="T362" t="inlineStr">
        <is>
          <t>Jun 13, 2024</t>
        </is>
      </c>
      <c r="U362" t="inlineStr">
        <is>
          <t>Jul 17, 2024</t>
        </is>
      </c>
      <c r="V362" t="inlineStr">
        <is>
          <t>Jan 27, 2025</t>
        </is>
      </c>
      <c r="W362" t="inlineStr">
        <is>
          <t>May 24, 2026</t>
        </is>
      </c>
      <c r="Z362" t="n">
        <v>34</v>
      </c>
      <c r="AA362" t="n">
        <v>194</v>
      </c>
      <c r="AB362" t="n">
        <v>482</v>
      </c>
      <c r="AE362" t="inlineStr">
        <is>
          <t>Gautam Buddha Nagar</t>
        </is>
      </c>
      <c r="AF362" t="inlineStr">
        <is>
          <t>2024-06</t>
        </is>
      </c>
      <c r="AG362" t="n">
        <v>6</v>
      </c>
      <c r="AH362" t="n">
        <v>4</v>
      </c>
      <c r="AI362" t="n">
        <v>1</v>
      </c>
      <c r="AJ362">
        <f>IF($AE362="","",IFERROR(VLOOKUP(TRIM($AE362),DECODE!$H$3:$I$60,2,FALSE),"Rest of India"))</f>
        <v/>
      </c>
      <c r="AK362">
        <f>IF($N362="","",UPPER(TRIM(LEFT($N362&amp;",",FIND(",",$N362&amp;",")-1))))</f>
        <v/>
      </c>
      <c r="AL362">
        <f>IF($AK362="","",MID($AK362,4,FIND("~",SUBSTITUTE($AK362,"-","~",2))-4))</f>
        <v/>
      </c>
      <c r="AM362">
        <f>IF($AK362="","",MID($AK362,FIND("~",SUBSTITUTE($AK362,"-","~",2))+1,FIND("~",SUBSTITUTE($AK362,"-","~",3))-FIND("~",SUBSTITUTE($AK362,"-","~",2))-1))</f>
        <v/>
      </c>
      <c r="AN362">
        <f>IF($AL362="","",IFERROR(VLOOKUP($AL362,DECODE!$A$3:$C$8,3,FALSE),"?"))</f>
        <v/>
      </c>
      <c r="AO362">
        <f>IF($AM362="","",IFERROR(VLOOKUP($AL362&amp;"-"&amp;$AM362,DECODE!$E$3:$F$21,2,FALSE),"?"))</f>
        <v/>
      </c>
      <c r="AP362">
        <f>IF($AK362="","",IFERROR(VALUE(RIGHT($AK362,3)),""))</f>
        <v/>
      </c>
      <c r="AQ362">
        <f>IF($T362="","",IFERROR(IF(ISNUMBER($T362),$T362,DATEVALUE(TRIM($T362))),""))</f>
        <v/>
      </c>
      <c r="AR362">
        <f>IF($AQ362="","",IF(MONTH($AQ362)&gt;=12,"Cold Winter",IF(MONTH($AQ362)&gt;=10,"Post-Monsoon",IF(MONTH($AQ362)&gt;=6,"Hot Humid",IF(MONTH($AQ362)&gt;=3,"Hot Dry","Cold Winter")))))</f>
        <v/>
      </c>
      <c r="AS362">
        <f>IF($AL362="","",IFERROR(VLOOKUP($AL362,DECODE!$A$3:$C$8,2,FALSE),"?"))</f>
        <v/>
      </c>
      <c r="AT362">
        <f>IF($O362="","",UPPER(TRIM(LEFT($O362&amp;",",FIND(",",$O362&amp;",")-1))))</f>
        <v/>
      </c>
      <c r="AU362">
        <f>IF($AT362="","",MID($AT362,4,FIND("~",SUBSTITUTE($AT362,"-","~",2))-4))</f>
        <v/>
      </c>
      <c r="AV362">
        <f>IF($AT362="","",MID($AT362,FIND("~",SUBSTITUTE($AT362,"-","~",2))+1,FIND("~",SUBSTITUTE($AT362,"-","~",3))-FIND("~",SUBSTITUTE($AT362,"-","~",2))-1))</f>
        <v/>
      </c>
      <c r="AW362">
        <f>IF($AU362="","",IFERROR(VLOOKUP($AU362,DECODE!$A$3:$C$8,3,FALSE),"?"))</f>
        <v/>
      </c>
      <c r="AX362">
        <f>IF($AV362="","",IFERROR(VLOOKUP($AU362&amp;"-"&amp;$AV362,DECODE!$E$3:$F$21,2,FALSE),"?"))</f>
        <v/>
      </c>
      <c r="AY362">
        <f>IF($AT362="","",IFERROR(VALUE(RIGHT($AT362,3)),""))</f>
        <v/>
      </c>
      <c r="AZ362">
        <f>IF($U362="","",IFERROR(IF(ISNUMBER($U362),$U362,DATEVALUE(TRIM($U362))),""))</f>
        <v/>
      </c>
      <c r="BA362">
        <f>IF($AZ362="","",IF(MONTH($AZ362)&gt;=12,"Cold Winter",IF(MONTH($AZ362)&gt;=10,"Post-Monsoon",IF(MONTH($AZ362)&gt;=6,"Hot Humid",IF(MONTH($AZ362)&gt;=3,"Hot Dry","Cold Winter")))))</f>
        <v/>
      </c>
      <c r="BB362">
        <f>IF($AU362="","",IFERROR(VLOOKUP($AU362,DECODE!$A$3:$C$8,2,FALSE),"?"))</f>
        <v/>
      </c>
      <c r="BC362">
        <f>IF($P362="","",UPPER(TRIM(LEFT($P362&amp;",",FIND(",",$P362&amp;",")-1))))</f>
        <v/>
      </c>
      <c r="BD362">
        <f>IF($BC362="","",MID($BC362,4,FIND("~",SUBSTITUTE($BC362,"-","~",2))-4))</f>
        <v/>
      </c>
      <c r="BE362">
        <f>IF($BC362="","",MID($BC362,FIND("~",SUBSTITUTE($BC362,"-","~",2))+1,FIND("~",SUBSTITUTE($BC362,"-","~",3))-FIND("~",SUBSTITUTE($BC362,"-","~",2))-1))</f>
        <v/>
      </c>
      <c r="BF362">
        <f>IF($BD362="","",IFERROR(VLOOKUP($BD362,DECODE!$A$3:$C$8,3,FALSE),"?"))</f>
        <v/>
      </c>
      <c r="BG362">
        <f>IF($BE362="","",IFERROR(VLOOKUP($BD362&amp;"-"&amp;$BE362,DECODE!$E$3:$F$21,2,FALSE),"?"))</f>
        <v/>
      </c>
      <c r="BH362">
        <f>IF($BC362="","",IFERROR(VALUE(RIGHT($BC362,3)),""))</f>
        <v/>
      </c>
      <c r="BI362">
        <f>IF($V362="","",IFERROR(IF(ISNUMBER($V362),$V362,DATEVALUE(TRIM($V362))),""))</f>
        <v/>
      </c>
      <c r="BJ362">
        <f>IF($BI362="","",IF(MONTH($BI362)&gt;=12,"Cold Winter",IF(MONTH($BI362)&gt;=10,"Post-Monsoon",IF(MONTH($BI362)&gt;=6,"Hot Humid",IF(MONTH($BI362)&gt;=3,"Hot Dry","Cold Winter")))))</f>
        <v/>
      </c>
      <c r="BK362">
        <f>IF($BD362="","",IFERROR(VLOOKUP($BD362,DECODE!$A$3:$C$8,2,FALSE),"?"))</f>
        <v/>
      </c>
      <c r="BL362">
        <f>IF($Q362="","",UPPER(TRIM(LEFT($Q362&amp;",",FIND(",",$Q362&amp;",")-1))))</f>
        <v/>
      </c>
      <c r="BM362">
        <f>IF($BL362="","",MID($BL362,4,FIND("~",SUBSTITUTE($BL362,"-","~",2))-4))</f>
        <v/>
      </c>
      <c r="BN362">
        <f>IF($BL362="","",MID($BL362,FIND("~",SUBSTITUTE($BL362,"-","~",2))+1,FIND("~",SUBSTITUTE($BL362,"-","~",3))-FIND("~",SUBSTITUTE($BL362,"-","~",2))-1))</f>
        <v/>
      </c>
      <c r="BO362">
        <f>IF($BM362="","",IFERROR(VLOOKUP($BM362,DECODE!$A$3:$C$8,3,FALSE),"?"))</f>
        <v/>
      </c>
      <c r="BP362">
        <f>IF($BN362="","",IFERROR(VLOOKUP($BM362&amp;"-"&amp;$BN362,DECODE!$E$3:$F$21,2,FALSE),"?"))</f>
        <v/>
      </c>
      <c r="BQ362">
        <f>IF($BL362="","",IFERROR(VALUE(RIGHT($BL362,3)),""))</f>
        <v/>
      </c>
      <c r="BR362">
        <f>IF($W362="","",IFERROR(IF(ISNUMBER($W362),$W362,DATEVALUE(TRIM($W362))),""))</f>
        <v/>
      </c>
      <c r="BS362">
        <f>IF($BR362="","",IF(MONTH($BR362)&gt;=12,"Cold Winter",IF(MONTH($BR362)&gt;=10,"Post-Monsoon",IF(MONTH($BR362)&gt;=6,"Hot Humid",IF(MONTH($BR362)&gt;=3,"Hot Dry","Cold Winter")))))</f>
        <v/>
      </c>
      <c r="BT362">
        <f>IF($BM362="","",IFERROR(VLOOKUP($BM362,DECODE!$A$3:$C$8,2,FALSE),"?"))</f>
        <v/>
      </c>
      <c r="BU362">
        <f>IF($R362="","",UPPER(TRIM(LEFT($R362&amp;",",FIND(",",$R362&amp;",")-1))))</f>
        <v/>
      </c>
      <c r="BV362">
        <f>IF($BU362="","",MID($BU362,4,FIND("~",SUBSTITUTE($BU362,"-","~",2))-4))</f>
        <v/>
      </c>
      <c r="BW362">
        <f>IF($BU362="","",MID($BU362,FIND("~",SUBSTITUTE($BU362,"-","~",2))+1,FIND("~",SUBSTITUTE($BU362,"-","~",3))-FIND("~",SUBSTITUTE($BU362,"-","~",2))-1))</f>
        <v/>
      </c>
      <c r="BX362">
        <f>IF($BV362="","",IFERROR(VLOOKUP($BV362,DECODE!$A$3:$C$8,3,FALSE),"?"))</f>
        <v/>
      </c>
      <c r="BY362">
        <f>IF($BW362="","",IFERROR(VLOOKUP($BV362&amp;"-"&amp;$BW362,DECODE!$E$3:$F$21,2,FALSE),"?"))</f>
        <v/>
      </c>
      <c r="BZ362">
        <f>IF($BU362="","",IFERROR(VALUE(RIGHT($BU362,3)),""))</f>
        <v/>
      </c>
      <c r="CA362">
        <f>IF($X362="","",IFERROR(IF(ISNUMBER($X362),$X362,DATEVALUE(TRIM($X362))),""))</f>
        <v/>
      </c>
      <c r="CB362">
        <f>IF($CA362="","",IF(MONTH($CA362)&gt;=12,"Cold Winter",IF(MONTH($CA362)&gt;=10,"Post-Monsoon",IF(MONTH($CA362)&gt;=6,"Hot Humid",IF(MONTH($CA362)&gt;=3,"Hot Dry","Cold Winter")))))</f>
        <v/>
      </c>
      <c r="CC362">
        <f>IF($BV362="","",IFERROR(VLOOKUP($BV362,DECODE!$A$3:$C$8,2,FALSE),"?"))</f>
        <v/>
      </c>
      <c r="CD362">
        <f>IF($S362="","",UPPER(TRIM(LEFT($S362&amp;",",FIND(",",$S362&amp;",")-1))))</f>
        <v/>
      </c>
      <c r="CE362">
        <f>IF($CD362="","",MID($CD362,4,FIND("~",SUBSTITUTE($CD362,"-","~",2))-4))</f>
        <v/>
      </c>
      <c r="CF362">
        <f>IF($CD362="","",MID($CD362,FIND("~",SUBSTITUTE($CD362,"-","~",2))+1,FIND("~",SUBSTITUTE($CD362,"-","~",3))-FIND("~",SUBSTITUTE($CD362,"-","~",2))-1))</f>
        <v/>
      </c>
      <c r="CG362">
        <f>IF($CE362="","",IFERROR(VLOOKUP($CE362,DECODE!$A$3:$C$8,3,FALSE),"?"))</f>
        <v/>
      </c>
      <c r="CH362">
        <f>IF($CF362="","",IFERROR(VLOOKUP($CE362&amp;"-"&amp;$CF362,DECODE!$E$3:$F$21,2,FALSE),"?"))</f>
        <v/>
      </c>
      <c r="CI362">
        <f>IF($CD362="","",IFERROR(VALUE(RIGHT($CD362,3)),""))</f>
        <v/>
      </c>
      <c r="CJ362">
        <f>IF($Y362="","",IFERROR(IF(ISNUMBER($Y362),$Y362,DATEVALUE(TRIM($Y362))),""))</f>
        <v/>
      </c>
      <c r="CK362">
        <f>IF($CJ362="","",IF(MONTH($CJ362)&gt;=12,"Cold Winter",IF(MONTH($CJ362)&gt;=10,"Post-Monsoon",IF(MONTH($CJ362)&gt;=6,"Hot Humid",IF(MONTH($CJ362)&gt;=3,"Hot Dry","Cold Winter")))))</f>
        <v/>
      </c>
      <c r="CL362">
        <f>IF($CE362="","",IFERROR(VLOOKUP($CE362,DECODE!$A$3:$C$8,2,FALSE),"?"))</f>
        <v/>
      </c>
      <c r="CM362">
        <f>IF($AN362="","",AN362)</f>
        <v/>
      </c>
      <c r="CN362">
        <f>IF($AO362="","",AO362)</f>
        <v/>
      </c>
      <c r="CO362">
        <f>IF($AP362="","",AP362)</f>
        <v/>
      </c>
      <c r="CP362">
        <f>IF($CM362="","",IF($CM362="Aloe Vera Gel","Aloe Vera Gel "&amp;$CO362&amp;"g",CN362&amp;" "&amp;$CO362&amp;"g"))</f>
        <v/>
      </c>
      <c r="CQ362">
        <f>IF($AT362="",0,1)</f>
        <v/>
      </c>
      <c r="CR362">
        <f>IF($CQ362=0,"",AW362)</f>
        <v/>
      </c>
      <c r="CS362">
        <f>IF($CQ362=0,"",AX362)</f>
        <v/>
      </c>
      <c r="CT362">
        <f>IF($CQ362=0,"",AY362)</f>
        <v/>
      </c>
      <c r="CU362">
        <f>IF($CR362="","",IF($CR362="Aloe Vera Gel","Aloe Vera Gel "&amp;$CT362&amp;"g",CS362&amp;" "&amp;$CT362&amp;"g"))</f>
        <v/>
      </c>
      <c r="CV362">
        <f>IF($CQ362=0,"",IF($CP362=$CU362,"Repeat Exact",IF($CT362&gt;$CO362,"Upsized",IF($CT362&lt;$CO362,"Downsized",IF($CM362&lt;&gt;$CR362,"Lateral","Same Size Diff Variant")))))</f>
        <v/>
      </c>
      <c r="CW362">
        <f>IF($CQ362=0,"",AZ362-AQ362)</f>
        <v/>
      </c>
      <c r="CX362">
        <f>IF($CQ362=0,0,IF(CS362=CN362,1,0))</f>
        <v/>
      </c>
      <c r="CY362">
        <f>IF($CQ362=0,0,IF(CR362=CM362,1,0))</f>
        <v/>
      </c>
      <c r="CZ362">
        <f>IF($A362="","",IF(AND(IF(DASHBOARD!$C$4="All",TRUE,$CM362=DASHBOARD!$C$4),IF(DASHBOARD!$C$6="All",TRUE,$CP362=DASHBOARD!$C$6),IF(DASHBOARD!$C$8="All",TRUE,$AF362&gt;=DASHBOARD!$C$8),IF(DASHBOARD!$C$10="All",TRUE,$AF362&lt;=DASHBOARD!$C$10),IF(DASHBOARD!$C$12="All",TRUE,$AH362=VALUE(DASHBOARD!$C$12)),IF(DASHBOARD!$C$14="All",TRUE,$AJ362=DASHBOARD!$C$14)),1,0))</f>
        <v/>
      </c>
    </row>
    <row r="363">
      <c r="A363" t="n">
        <v>187100</v>
      </c>
      <c r="B363" t="inlineStr">
        <is>
          <t>Face Malai</t>
        </is>
      </c>
      <c r="H363" t="inlineStr">
        <is>
          <t>Flax Bakuchi (Hot Dry) 35+ Face Malai - 50g</t>
        </is>
      </c>
      <c r="N363" t="inlineStr">
        <is>
          <t>FC-HDDM-FB-050</t>
        </is>
      </c>
      <c r="T363" t="inlineStr">
        <is>
          <t>Nov 7, 2025</t>
        </is>
      </c>
      <c r="AE363" t="inlineStr">
        <is>
          <t>Secunderabad</t>
        </is>
      </c>
      <c r="AF363" t="inlineStr">
        <is>
          <t>2025-11</t>
        </is>
      </c>
      <c r="AG363" t="n">
        <v>11</v>
      </c>
      <c r="AH363" t="n">
        <v>1</v>
      </c>
      <c r="AI363" t="n">
        <v>0</v>
      </c>
      <c r="AJ363">
        <f>IF($AE363="","",IFERROR(VLOOKUP(TRIM($AE363),DECODE!$H$3:$I$60,2,FALSE),"Rest of India"))</f>
        <v/>
      </c>
      <c r="AK363">
        <f>IF($N363="","",UPPER(TRIM(LEFT($N363&amp;",",FIND(",",$N363&amp;",")-1))))</f>
        <v/>
      </c>
      <c r="AL363">
        <f>IF($AK363="","",MID($AK363,4,FIND("~",SUBSTITUTE($AK363,"-","~",2))-4))</f>
        <v/>
      </c>
      <c r="AM363">
        <f>IF($AK363="","",MID($AK363,FIND("~",SUBSTITUTE($AK363,"-","~",2))+1,FIND("~",SUBSTITUTE($AK363,"-","~",3))-FIND("~",SUBSTITUTE($AK363,"-","~",2))-1))</f>
        <v/>
      </c>
      <c r="AN363">
        <f>IF($AL363="","",IFERROR(VLOOKUP($AL363,DECODE!$A$3:$C$8,3,FALSE),"?"))</f>
        <v/>
      </c>
      <c r="AO363">
        <f>IF($AM363="","",IFERROR(VLOOKUP($AL363&amp;"-"&amp;$AM363,DECODE!$E$3:$F$21,2,FALSE),"?"))</f>
        <v/>
      </c>
      <c r="AP363">
        <f>IF($AK363="","",IFERROR(VALUE(RIGHT($AK363,3)),""))</f>
        <v/>
      </c>
      <c r="AQ363">
        <f>IF($T363="","",IFERROR(IF(ISNUMBER($T363),$T363,DATEVALUE(TRIM($T363))),""))</f>
        <v/>
      </c>
      <c r="AR363">
        <f>IF($AQ363="","",IF(MONTH($AQ363)&gt;=12,"Cold Winter",IF(MONTH($AQ363)&gt;=10,"Post-Monsoon",IF(MONTH($AQ363)&gt;=6,"Hot Humid",IF(MONTH($AQ363)&gt;=3,"Hot Dry","Cold Winter")))))</f>
        <v/>
      </c>
      <c r="AS363">
        <f>IF($AL363="","",IFERROR(VLOOKUP($AL363,DECODE!$A$3:$C$8,2,FALSE),"?"))</f>
        <v/>
      </c>
      <c r="AT363">
        <f>IF($O363="","",UPPER(TRIM(LEFT($O363&amp;",",FIND(",",$O363&amp;",")-1))))</f>
        <v/>
      </c>
      <c r="AU363">
        <f>IF($AT363="","",MID($AT363,4,FIND("~",SUBSTITUTE($AT363,"-","~",2))-4))</f>
        <v/>
      </c>
      <c r="AV363">
        <f>IF($AT363="","",MID($AT363,FIND("~",SUBSTITUTE($AT363,"-","~",2))+1,FIND("~",SUBSTITUTE($AT363,"-","~",3))-FIND("~",SUBSTITUTE($AT363,"-","~",2))-1))</f>
        <v/>
      </c>
      <c r="AW363">
        <f>IF($AU363="","",IFERROR(VLOOKUP($AU363,DECODE!$A$3:$C$8,3,FALSE),"?"))</f>
        <v/>
      </c>
      <c r="AX363">
        <f>IF($AV363="","",IFERROR(VLOOKUP($AU363&amp;"-"&amp;$AV363,DECODE!$E$3:$F$21,2,FALSE),"?"))</f>
        <v/>
      </c>
      <c r="AY363">
        <f>IF($AT363="","",IFERROR(VALUE(RIGHT($AT363,3)),""))</f>
        <v/>
      </c>
      <c r="AZ363">
        <f>IF($U363="","",IFERROR(IF(ISNUMBER($U363),$U363,DATEVALUE(TRIM($U363))),""))</f>
        <v/>
      </c>
      <c r="BA363">
        <f>IF($AZ363="","",IF(MONTH($AZ363)&gt;=12,"Cold Winter",IF(MONTH($AZ363)&gt;=10,"Post-Monsoon",IF(MONTH($AZ363)&gt;=6,"Hot Humid",IF(MONTH($AZ363)&gt;=3,"Hot Dry","Cold Winter")))))</f>
        <v/>
      </c>
      <c r="BB363">
        <f>IF($AU363="","",IFERROR(VLOOKUP($AU363,DECODE!$A$3:$C$8,2,FALSE),"?"))</f>
        <v/>
      </c>
      <c r="BC363">
        <f>IF($P363="","",UPPER(TRIM(LEFT($P363&amp;",",FIND(",",$P363&amp;",")-1))))</f>
        <v/>
      </c>
      <c r="BD363">
        <f>IF($BC363="","",MID($BC363,4,FIND("~",SUBSTITUTE($BC363,"-","~",2))-4))</f>
        <v/>
      </c>
      <c r="BE363">
        <f>IF($BC363="","",MID($BC363,FIND("~",SUBSTITUTE($BC363,"-","~",2))+1,FIND("~",SUBSTITUTE($BC363,"-","~",3))-FIND("~",SUBSTITUTE($BC363,"-","~",2))-1))</f>
        <v/>
      </c>
      <c r="BF363">
        <f>IF($BD363="","",IFERROR(VLOOKUP($BD363,DECODE!$A$3:$C$8,3,FALSE),"?"))</f>
        <v/>
      </c>
      <c r="BG363">
        <f>IF($BE363="","",IFERROR(VLOOKUP($BD363&amp;"-"&amp;$BE363,DECODE!$E$3:$F$21,2,FALSE),"?"))</f>
        <v/>
      </c>
      <c r="BH363">
        <f>IF($BC363="","",IFERROR(VALUE(RIGHT($BC363,3)),""))</f>
        <v/>
      </c>
      <c r="BI363">
        <f>IF($V363="","",IFERROR(IF(ISNUMBER($V363),$V363,DATEVALUE(TRIM($V363))),""))</f>
        <v/>
      </c>
      <c r="BJ363">
        <f>IF($BI363="","",IF(MONTH($BI363)&gt;=12,"Cold Winter",IF(MONTH($BI363)&gt;=10,"Post-Monsoon",IF(MONTH($BI363)&gt;=6,"Hot Humid",IF(MONTH($BI363)&gt;=3,"Hot Dry","Cold Winter")))))</f>
        <v/>
      </c>
      <c r="BK363">
        <f>IF($BD363="","",IFERROR(VLOOKUP($BD363,DECODE!$A$3:$C$8,2,FALSE),"?"))</f>
        <v/>
      </c>
      <c r="BL363">
        <f>IF($Q363="","",UPPER(TRIM(LEFT($Q363&amp;",",FIND(",",$Q363&amp;",")-1))))</f>
        <v/>
      </c>
      <c r="BM363">
        <f>IF($BL363="","",MID($BL363,4,FIND("~",SUBSTITUTE($BL363,"-","~",2))-4))</f>
        <v/>
      </c>
      <c r="BN363">
        <f>IF($BL363="","",MID($BL363,FIND("~",SUBSTITUTE($BL363,"-","~",2))+1,FIND("~",SUBSTITUTE($BL363,"-","~",3))-FIND("~",SUBSTITUTE($BL363,"-","~",2))-1))</f>
        <v/>
      </c>
      <c r="BO363">
        <f>IF($BM363="","",IFERROR(VLOOKUP($BM363,DECODE!$A$3:$C$8,3,FALSE),"?"))</f>
        <v/>
      </c>
      <c r="BP363">
        <f>IF($BN363="","",IFERROR(VLOOKUP($BM363&amp;"-"&amp;$BN363,DECODE!$E$3:$F$21,2,FALSE),"?"))</f>
        <v/>
      </c>
      <c r="BQ363">
        <f>IF($BL363="","",IFERROR(VALUE(RIGHT($BL363,3)),""))</f>
        <v/>
      </c>
      <c r="BR363">
        <f>IF($W363="","",IFERROR(IF(ISNUMBER($W363),$W363,DATEVALUE(TRIM($W363))),""))</f>
        <v/>
      </c>
      <c r="BS363">
        <f>IF($BR363="","",IF(MONTH($BR363)&gt;=12,"Cold Winter",IF(MONTH($BR363)&gt;=10,"Post-Monsoon",IF(MONTH($BR363)&gt;=6,"Hot Humid",IF(MONTH($BR363)&gt;=3,"Hot Dry","Cold Winter")))))</f>
        <v/>
      </c>
      <c r="BT363">
        <f>IF($BM363="","",IFERROR(VLOOKUP($BM363,DECODE!$A$3:$C$8,2,FALSE),"?"))</f>
        <v/>
      </c>
      <c r="BU363">
        <f>IF($R363="","",UPPER(TRIM(LEFT($R363&amp;",",FIND(",",$R363&amp;",")-1))))</f>
        <v/>
      </c>
      <c r="BV363">
        <f>IF($BU363="","",MID($BU363,4,FIND("~",SUBSTITUTE($BU363,"-","~",2))-4))</f>
        <v/>
      </c>
      <c r="BW363">
        <f>IF($BU363="","",MID($BU363,FIND("~",SUBSTITUTE($BU363,"-","~",2))+1,FIND("~",SUBSTITUTE($BU363,"-","~",3))-FIND("~",SUBSTITUTE($BU363,"-","~",2))-1))</f>
        <v/>
      </c>
      <c r="BX363">
        <f>IF($BV363="","",IFERROR(VLOOKUP($BV363,DECODE!$A$3:$C$8,3,FALSE),"?"))</f>
        <v/>
      </c>
      <c r="BY363">
        <f>IF($BW363="","",IFERROR(VLOOKUP($BV363&amp;"-"&amp;$BW363,DECODE!$E$3:$F$21,2,FALSE),"?"))</f>
        <v/>
      </c>
      <c r="BZ363">
        <f>IF($BU363="","",IFERROR(VALUE(RIGHT($BU363,3)),""))</f>
        <v/>
      </c>
      <c r="CA363">
        <f>IF($X363="","",IFERROR(IF(ISNUMBER($X363),$X363,DATEVALUE(TRIM($X363))),""))</f>
        <v/>
      </c>
      <c r="CB363">
        <f>IF($CA363="","",IF(MONTH($CA363)&gt;=12,"Cold Winter",IF(MONTH($CA363)&gt;=10,"Post-Monsoon",IF(MONTH($CA363)&gt;=6,"Hot Humid",IF(MONTH($CA363)&gt;=3,"Hot Dry","Cold Winter")))))</f>
        <v/>
      </c>
      <c r="CC363">
        <f>IF($BV363="","",IFERROR(VLOOKUP($BV363,DECODE!$A$3:$C$8,2,FALSE),"?"))</f>
        <v/>
      </c>
      <c r="CD363">
        <f>IF($S363="","",UPPER(TRIM(LEFT($S363&amp;",",FIND(",",$S363&amp;",")-1))))</f>
        <v/>
      </c>
      <c r="CE363">
        <f>IF($CD363="","",MID($CD363,4,FIND("~",SUBSTITUTE($CD363,"-","~",2))-4))</f>
        <v/>
      </c>
      <c r="CF363">
        <f>IF($CD363="","",MID($CD363,FIND("~",SUBSTITUTE($CD363,"-","~",2))+1,FIND("~",SUBSTITUTE($CD363,"-","~",3))-FIND("~",SUBSTITUTE($CD363,"-","~",2))-1))</f>
        <v/>
      </c>
      <c r="CG363">
        <f>IF($CE363="","",IFERROR(VLOOKUP($CE363,DECODE!$A$3:$C$8,3,FALSE),"?"))</f>
        <v/>
      </c>
      <c r="CH363">
        <f>IF($CF363="","",IFERROR(VLOOKUP($CE363&amp;"-"&amp;$CF363,DECODE!$E$3:$F$21,2,FALSE),"?"))</f>
        <v/>
      </c>
      <c r="CI363">
        <f>IF($CD363="","",IFERROR(VALUE(RIGHT($CD363,3)),""))</f>
        <v/>
      </c>
      <c r="CJ363">
        <f>IF($Y363="","",IFERROR(IF(ISNUMBER($Y363),$Y363,DATEVALUE(TRIM($Y363))),""))</f>
        <v/>
      </c>
      <c r="CK363">
        <f>IF($CJ363="","",IF(MONTH($CJ363)&gt;=12,"Cold Winter",IF(MONTH($CJ363)&gt;=10,"Post-Monsoon",IF(MONTH($CJ363)&gt;=6,"Hot Humid",IF(MONTH($CJ363)&gt;=3,"Hot Dry","Cold Winter")))))</f>
        <v/>
      </c>
      <c r="CL363">
        <f>IF($CE363="","",IFERROR(VLOOKUP($CE363,DECODE!$A$3:$C$8,2,FALSE),"?"))</f>
        <v/>
      </c>
      <c r="CM363">
        <f>IF($AN363="","",AN363)</f>
        <v/>
      </c>
      <c r="CN363">
        <f>IF($AO363="","",AO363)</f>
        <v/>
      </c>
      <c r="CO363">
        <f>IF($AP363="","",AP363)</f>
        <v/>
      </c>
      <c r="CP363">
        <f>IF($CM363="","",IF($CM363="Aloe Vera Gel","Aloe Vera Gel "&amp;$CO363&amp;"g",CN363&amp;" "&amp;$CO363&amp;"g"))</f>
        <v/>
      </c>
      <c r="CQ363">
        <f>IF($AT363="",0,1)</f>
        <v/>
      </c>
      <c r="CR363">
        <f>IF($CQ363=0,"",AW363)</f>
        <v/>
      </c>
      <c r="CS363">
        <f>IF($CQ363=0,"",AX363)</f>
        <v/>
      </c>
      <c r="CT363">
        <f>IF($CQ363=0,"",AY363)</f>
        <v/>
      </c>
      <c r="CU363">
        <f>IF($CR363="","",IF($CR363="Aloe Vera Gel","Aloe Vera Gel "&amp;$CT363&amp;"g",CS363&amp;" "&amp;$CT363&amp;"g"))</f>
        <v/>
      </c>
      <c r="CV363">
        <f>IF($CQ363=0,"",IF($CP363=$CU363,"Repeat Exact",IF($CT363&gt;$CO363,"Upsized",IF($CT363&lt;$CO363,"Downsized",IF($CM363&lt;&gt;$CR363,"Lateral","Same Size Diff Variant")))))</f>
        <v/>
      </c>
      <c r="CW363">
        <f>IF($CQ363=0,"",AZ363-AQ363)</f>
        <v/>
      </c>
      <c r="CX363">
        <f>IF($CQ363=0,0,IF(CS363=CN363,1,0))</f>
        <v/>
      </c>
      <c r="CY363">
        <f>IF($CQ363=0,0,IF(CR363=CM363,1,0))</f>
        <v/>
      </c>
      <c r="CZ363">
        <f>IF($A363="","",IF(AND(IF(DASHBOARD!$C$4="All",TRUE,$CM363=DASHBOARD!$C$4),IF(DASHBOARD!$C$6="All",TRUE,$CP363=DASHBOARD!$C$6),IF(DASHBOARD!$C$8="All",TRUE,$AF363&gt;=DASHBOARD!$C$8),IF(DASHBOARD!$C$10="All",TRUE,$AF363&lt;=DASHBOARD!$C$10),IF(DASHBOARD!$C$12="All",TRUE,$AH363=VALUE(DASHBOARD!$C$12)),IF(DASHBOARD!$C$14="All",TRUE,$AJ363=DASHBOARD!$C$14)),1,0))</f>
        <v/>
      </c>
    </row>
    <row r="364">
      <c r="A364" t="n">
        <v>187823</v>
      </c>
      <c r="B364" t="inlineStr">
        <is>
          <t>Face Malai</t>
        </is>
      </c>
      <c r="H364" t="inlineStr">
        <is>
          <t>Turmeric Nutmeg (Pigmentation)  Face Malai - 50g</t>
        </is>
      </c>
      <c r="N364" t="inlineStr">
        <is>
          <t>FC-DM-PG-050</t>
        </is>
      </c>
      <c r="T364" t="inlineStr">
        <is>
          <t>Aug 10, 2024</t>
        </is>
      </c>
      <c r="AE364" t="inlineStr">
        <is>
          <t>Bagalkot</t>
        </is>
      </c>
      <c r="AF364" t="inlineStr">
        <is>
          <t>2024-08</t>
        </is>
      </c>
      <c r="AG364" t="n">
        <v>8</v>
      </c>
      <c r="AH364" t="n">
        <v>1</v>
      </c>
      <c r="AI364" t="n">
        <v>0</v>
      </c>
      <c r="AJ364">
        <f>IF($AE364="","",IFERROR(VLOOKUP(TRIM($AE364),DECODE!$H$3:$I$60,2,FALSE),"Rest of India"))</f>
        <v/>
      </c>
      <c r="AK364">
        <f>IF($N364="","",UPPER(TRIM(LEFT($N364&amp;",",FIND(",",$N364&amp;",")-1))))</f>
        <v/>
      </c>
      <c r="AL364">
        <f>IF($AK364="","",MID($AK364,4,FIND("~",SUBSTITUTE($AK364,"-","~",2))-4))</f>
        <v/>
      </c>
      <c r="AM364">
        <f>IF($AK364="","",MID($AK364,FIND("~",SUBSTITUTE($AK364,"-","~",2))+1,FIND("~",SUBSTITUTE($AK364,"-","~",3))-FIND("~",SUBSTITUTE($AK364,"-","~",2))-1))</f>
        <v/>
      </c>
      <c r="AN364">
        <f>IF($AL364="","",IFERROR(VLOOKUP($AL364,DECODE!$A$3:$C$8,3,FALSE),"?"))</f>
        <v/>
      </c>
      <c r="AO364">
        <f>IF($AM364="","",IFERROR(VLOOKUP($AL364&amp;"-"&amp;$AM364,DECODE!$E$3:$F$21,2,FALSE),"?"))</f>
        <v/>
      </c>
      <c r="AP364">
        <f>IF($AK364="","",IFERROR(VALUE(RIGHT($AK364,3)),""))</f>
        <v/>
      </c>
      <c r="AQ364">
        <f>IF($T364="","",IFERROR(IF(ISNUMBER($T364),$T364,DATEVALUE(TRIM($T364))),""))</f>
        <v/>
      </c>
      <c r="AR364">
        <f>IF($AQ364="","",IF(MONTH($AQ364)&gt;=12,"Cold Winter",IF(MONTH($AQ364)&gt;=10,"Post-Monsoon",IF(MONTH($AQ364)&gt;=6,"Hot Humid",IF(MONTH($AQ364)&gt;=3,"Hot Dry","Cold Winter")))))</f>
        <v/>
      </c>
      <c r="AS364">
        <f>IF($AL364="","",IFERROR(VLOOKUP($AL364,DECODE!$A$3:$C$8,2,FALSE),"?"))</f>
        <v/>
      </c>
      <c r="AT364">
        <f>IF($O364="","",UPPER(TRIM(LEFT($O364&amp;",",FIND(",",$O364&amp;",")-1))))</f>
        <v/>
      </c>
      <c r="AU364">
        <f>IF($AT364="","",MID($AT364,4,FIND("~",SUBSTITUTE($AT364,"-","~",2))-4))</f>
        <v/>
      </c>
      <c r="AV364">
        <f>IF($AT364="","",MID($AT364,FIND("~",SUBSTITUTE($AT364,"-","~",2))+1,FIND("~",SUBSTITUTE($AT364,"-","~",3))-FIND("~",SUBSTITUTE($AT364,"-","~",2))-1))</f>
        <v/>
      </c>
      <c r="AW364">
        <f>IF($AU364="","",IFERROR(VLOOKUP($AU364,DECODE!$A$3:$C$8,3,FALSE),"?"))</f>
        <v/>
      </c>
      <c r="AX364">
        <f>IF($AV364="","",IFERROR(VLOOKUP($AU364&amp;"-"&amp;$AV364,DECODE!$E$3:$F$21,2,FALSE),"?"))</f>
        <v/>
      </c>
      <c r="AY364">
        <f>IF($AT364="","",IFERROR(VALUE(RIGHT($AT364,3)),""))</f>
        <v/>
      </c>
      <c r="AZ364">
        <f>IF($U364="","",IFERROR(IF(ISNUMBER($U364),$U364,DATEVALUE(TRIM($U364))),""))</f>
        <v/>
      </c>
      <c r="BA364">
        <f>IF($AZ364="","",IF(MONTH($AZ364)&gt;=12,"Cold Winter",IF(MONTH($AZ364)&gt;=10,"Post-Monsoon",IF(MONTH($AZ364)&gt;=6,"Hot Humid",IF(MONTH($AZ364)&gt;=3,"Hot Dry","Cold Winter")))))</f>
        <v/>
      </c>
      <c r="BB364">
        <f>IF($AU364="","",IFERROR(VLOOKUP($AU364,DECODE!$A$3:$C$8,2,FALSE),"?"))</f>
        <v/>
      </c>
      <c r="BC364">
        <f>IF($P364="","",UPPER(TRIM(LEFT($P364&amp;",",FIND(",",$P364&amp;",")-1))))</f>
        <v/>
      </c>
      <c r="BD364">
        <f>IF($BC364="","",MID($BC364,4,FIND("~",SUBSTITUTE($BC364,"-","~",2))-4))</f>
        <v/>
      </c>
      <c r="BE364">
        <f>IF($BC364="","",MID($BC364,FIND("~",SUBSTITUTE($BC364,"-","~",2))+1,FIND("~",SUBSTITUTE($BC364,"-","~",3))-FIND("~",SUBSTITUTE($BC364,"-","~",2))-1))</f>
        <v/>
      </c>
      <c r="BF364">
        <f>IF($BD364="","",IFERROR(VLOOKUP($BD364,DECODE!$A$3:$C$8,3,FALSE),"?"))</f>
        <v/>
      </c>
      <c r="BG364">
        <f>IF($BE364="","",IFERROR(VLOOKUP($BD364&amp;"-"&amp;$BE364,DECODE!$E$3:$F$21,2,FALSE),"?"))</f>
        <v/>
      </c>
      <c r="BH364">
        <f>IF($BC364="","",IFERROR(VALUE(RIGHT($BC364,3)),""))</f>
        <v/>
      </c>
      <c r="BI364">
        <f>IF($V364="","",IFERROR(IF(ISNUMBER($V364),$V364,DATEVALUE(TRIM($V364))),""))</f>
        <v/>
      </c>
      <c r="BJ364">
        <f>IF($BI364="","",IF(MONTH($BI364)&gt;=12,"Cold Winter",IF(MONTH($BI364)&gt;=10,"Post-Monsoon",IF(MONTH($BI364)&gt;=6,"Hot Humid",IF(MONTH($BI364)&gt;=3,"Hot Dry","Cold Winter")))))</f>
        <v/>
      </c>
      <c r="BK364">
        <f>IF($BD364="","",IFERROR(VLOOKUP($BD364,DECODE!$A$3:$C$8,2,FALSE),"?"))</f>
        <v/>
      </c>
      <c r="BL364">
        <f>IF($Q364="","",UPPER(TRIM(LEFT($Q364&amp;",",FIND(",",$Q364&amp;",")-1))))</f>
        <v/>
      </c>
      <c r="BM364">
        <f>IF($BL364="","",MID($BL364,4,FIND("~",SUBSTITUTE($BL364,"-","~",2))-4))</f>
        <v/>
      </c>
      <c r="BN364">
        <f>IF($BL364="","",MID($BL364,FIND("~",SUBSTITUTE($BL364,"-","~",2))+1,FIND("~",SUBSTITUTE($BL364,"-","~",3))-FIND("~",SUBSTITUTE($BL364,"-","~",2))-1))</f>
        <v/>
      </c>
      <c r="BO364">
        <f>IF($BM364="","",IFERROR(VLOOKUP($BM364,DECODE!$A$3:$C$8,3,FALSE),"?"))</f>
        <v/>
      </c>
      <c r="BP364">
        <f>IF($BN364="","",IFERROR(VLOOKUP($BM364&amp;"-"&amp;$BN364,DECODE!$E$3:$F$21,2,FALSE),"?"))</f>
        <v/>
      </c>
      <c r="BQ364">
        <f>IF($BL364="","",IFERROR(VALUE(RIGHT($BL364,3)),""))</f>
        <v/>
      </c>
      <c r="BR364">
        <f>IF($W364="","",IFERROR(IF(ISNUMBER($W364),$W364,DATEVALUE(TRIM($W364))),""))</f>
        <v/>
      </c>
      <c r="BS364">
        <f>IF($BR364="","",IF(MONTH($BR364)&gt;=12,"Cold Winter",IF(MONTH($BR364)&gt;=10,"Post-Monsoon",IF(MONTH($BR364)&gt;=6,"Hot Humid",IF(MONTH($BR364)&gt;=3,"Hot Dry","Cold Winter")))))</f>
        <v/>
      </c>
      <c r="BT364">
        <f>IF($BM364="","",IFERROR(VLOOKUP($BM364,DECODE!$A$3:$C$8,2,FALSE),"?"))</f>
        <v/>
      </c>
      <c r="BU364">
        <f>IF($R364="","",UPPER(TRIM(LEFT($R364&amp;",",FIND(",",$R364&amp;",")-1))))</f>
        <v/>
      </c>
      <c r="BV364">
        <f>IF($BU364="","",MID($BU364,4,FIND("~",SUBSTITUTE($BU364,"-","~",2))-4))</f>
        <v/>
      </c>
      <c r="BW364">
        <f>IF($BU364="","",MID($BU364,FIND("~",SUBSTITUTE($BU364,"-","~",2))+1,FIND("~",SUBSTITUTE($BU364,"-","~",3))-FIND("~",SUBSTITUTE($BU364,"-","~",2))-1))</f>
        <v/>
      </c>
      <c r="BX364">
        <f>IF($BV364="","",IFERROR(VLOOKUP($BV364,DECODE!$A$3:$C$8,3,FALSE),"?"))</f>
        <v/>
      </c>
      <c r="BY364">
        <f>IF($BW364="","",IFERROR(VLOOKUP($BV364&amp;"-"&amp;$BW364,DECODE!$E$3:$F$21,2,FALSE),"?"))</f>
        <v/>
      </c>
      <c r="BZ364">
        <f>IF($BU364="","",IFERROR(VALUE(RIGHT($BU364,3)),""))</f>
        <v/>
      </c>
      <c r="CA364">
        <f>IF($X364="","",IFERROR(IF(ISNUMBER($X364),$X364,DATEVALUE(TRIM($X364))),""))</f>
        <v/>
      </c>
      <c r="CB364">
        <f>IF($CA364="","",IF(MONTH($CA364)&gt;=12,"Cold Winter",IF(MONTH($CA364)&gt;=10,"Post-Monsoon",IF(MONTH($CA364)&gt;=6,"Hot Humid",IF(MONTH($CA364)&gt;=3,"Hot Dry","Cold Winter")))))</f>
        <v/>
      </c>
      <c r="CC364">
        <f>IF($BV364="","",IFERROR(VLOOKUP($BV364,DECODE!$A$3:$C$8,2,FALSE),"?"))</f>
        <v/>
      </c>
      <c r="CD364">
        <f>IF($S364="","",UPPER(TRIM(LEFT($S364&amp;",",FIND(",",$S364&amp;",")-1))))</f>
        <v/>
      </c>
      <c r="CE364">
        <f>IF($CD364="","",MID($CD364,4,FIND("~",SUBSTITUTE($CD364,"-","~",2))-4))</f>
        <v/>
      </c>
      <c r="CF364">
        <f>IF($CD364="","",MID($CD364,FIND("~",SUBSTITUTE($CD364,"-","~",2))+1,FIND("~",SUBSTITUTE($CD364,"-","~",3))-FIND("~",SUBSTITUTE($CD364,"-","~",2))-1))</f>
        <v/>
      </c>
      <c r="CG364">
        <f>IF($CE364="","",IFERROR(VLOOKUP($CE364,DECODE!$A$3:$C$8,3,FALSE),"?"))</f>
        <v/>
      </c>
      <c r="CH364">
        <f>IF($CF364="","",IFERROR(VLOOKUP($CE364&amp;"-"&amp;$CF364,DECODE!$E$3:$F$21,2,FALSE),"?"))</f>
        <v/>
      </c>
      <c r="CI364">
        <f>IF($CD364="","",IFERROR(VALUE(RIGHT($CD364,3)),""))</f>
        <v/>
      </c>
      <c r="CJ364">
        <f>IF($Y364="","",IFERROR(IF(ISNUMBER($Y364),$Y364,DATEVALUE(TRIM($Y364))),""))</f>
        <v/>
      </c>
      <c r="CK364">
        <f>IF($CJ364="","",IF(MONTH($CJ364)&gt;=12,"Cold Winter",IF(MONTH($CJ364)&gt;=10,"Post-Monsoon",IF(MONTH($CJ364)&gt;=6,"Hot Humid",IF(MONTH($CJ364)&gt;=3,"Hot Dry","Cold Winter")))))</f>
        <v/>
      </c>
      <c r="CL364">
        <f>IF($CE364="","",IFERROR(VLOOKUP($CE364,DECODE!$A$3:$C$8,2,FALSE),"?"))</f>
        <v/>
      </c>
      <c r="CM364">
        <f>IF($AN364="","",AN364)</f>
        <v/>
      </c>
      <c r="CN364">
        <f>IF($AO364="","",AO364)</f>
        <v/>
      </c>
      <c r="CO364">
        <f>IF($AP364="","",AP364)</f>
        <v/>
      </c>
      <c r="CP364">
        <f>IF($CM364="","",IF($CM364="Aloe Vera Gel","Aloe Vera Gel "&amp;$CO364&amp;"g",CN364&amp;" "&amp;$CO364&amp;"g"))</f>
        <v/>
      </c>
      <c r="CQ364">
        <f>IF($AT364="",0,1)</f>
        <v/>
      </c>
      <c r="CR364">
        <f>IF($CQ364=0,"",AW364)</f>
        <v/>
      </c>
      <c r="CS364">
        <f>IF($CQ364=0,"",AX364)</f>
        <v/>
      </c>
      <c r="CT364">
        <f>IF($CQ364=0,"",AY364)</f>
        <v/>
      </c>
      <c r="CU364">
        <f>IF($CR364="","",IF($CR364="Aloe Vera Gel","Aloe Vera Gel "&amp;$CT364&amp;"g",CS364&amp;" "&amp;$CT364&amp;"g"))</f>
        <v/>
      </c>
      <c r="CV364">
        <f>IF($CQ364=0,"",IF($CP364=$CU364,"Repeat Exact",IF($CT364&gt;$CO364,"Upsized",IF($CT364&lt;$CO364,"Downsized",IF($CM364&lt;&gt;$CR364,"Lateral","Same Size Diff Variant")))))</f>
        <v/>
      </c>
      <c r="CW364">
        <f>IF($CQ364=0,"",AZ364-AQ364)</f>
        <v/>
      </c>
      <c r="CX364">
        <f>IF($CQ364=0,0,IF(CS364=CN364,1,0))</f>
        <v/>
      </c>
      <c r="CY364">
        <f>IF($CQ364=0,0,IF(CR364=CM364,1,0))</f>
        <v/>
      </c>
      <c r="CZ364">
        <f>IF($A364="","",IF(AND(IF(DASHBOARD!$C$4="All",TRUE,$CM364=DASHBOARD!$C$4),IF(DASHBOARD!$C$6="All",TRUE,$CP364=DASHBOARD!$C$6),IF(DASHBOARD!$C$8="All",TRUE,$AF364&gt;=DASHBOARD!$C$8),IF(DASHBOARD!$C$10="All",TRUE,$AF364&lt;=DASHBOARD!$C$10),IF(DASHBOARD!$C$12="All",TRUE,$AH364=VALUE(DASHBOARD!$C$12)),IF(DASHBOARD!$C$14="All",TRUE,$AJ364=DASHBOARD!$C$14)),1,0))</f>
        <v/>
      </c>
    </row>
    <row r="365">
      <c r="A365" t="n">
        <v>188148</v>
      </c>
      <c r="B365" t="inlineStr">
        <is>
          <t>Face Malai</t>
        </is>
      </c>
      <c r="H365" t="inlineStr">
        <is>
          <t>Tomato Patchouli (Cold) 20 - 35 Yrs Face Malai, Turmeric Nutmeg (Pigmentation)  Face Malai - 30g</t>
        </is>
      </c>
      <c r="N365" t="inlineStr">
        <is>
          <t>FC-CWDM-TP-030, FC-DM-PG-030</t>
        </is>
      </c>
      <c r="T365" t="inlineStr">
        <is>
          <t>Sep 29, 2024</t>
        </is>
      </c>
      <c r="AE365" t="inlineStr">
        <is>
          <t>Nainital</t>
        </is>
      </c>
      <c r="AF365" t="inlineStr">
        <is>
          <t>2024-09</t>
        </is>
      </c>
      <c r="AG365" t="n">
        <v>9</v>
      </c>
      <c r="AH365" t="n">
        <v>1</v>
      </c>
      <c r="AI365" t="n">
        <v>0</v>
      </c>
      <c r="AJ365">
        <f>IF($AE365="","",IFERROR(VLOOKUP(TRIM($AE365),DECODE!$H$3:$I$60,2,FALSE),"Rest of India"))</f>
        <v/>
      </c>
      <c r="AK365">
        <f>IF($N365="","",UPPER(TRIM(LEFT($N365&amp;",",FIND(",",$N365&amp;",")-1))))</f>
        <v/>
      </c>
      <c r="AL365">
        <f>IF($AK365="","",MID($AK365,4,FIND("~",SUBSTITUTE($AK365,"-","~",2))-4))</f>
        <v/>
      </c>
      <c r="AM365">
        <f>IF($AK365="","",MID($AK365,FIND("~",SUBSTITUTE($AK365,"-","~",2))+1,FIND("~",SUBSTITUTE($AK365,"-","~",3))-FIND("~",SUBSTITUTE($AK365,"-","~",2))-1))</f>
        <v/>
      </c>
      <c r="AN365">
        <f>IF($AL365="","",IFERROR(VLOOKUP($AL365,DECODE!$A$3:$C$8,3,FALSE),"?"))</f>
        <v/>
      </c>
      <c r="AO365">
        <f>IF($AM365="","",IFERROR(VLOOKUP($AL365&amp;"-"&amp;$AM365,DECODE!$E$3:$F$21,2,FALSE),"?"))</f>
        <v/>
      </c>
      <c r="AP365">
        <f>IF($AK365="","",IFERROR(VALUE(RIGHT($AK365,3)),""))</f>
        <v/>
      </c>
      <c r="AQ365">
        <f>IF($T365="","",IFERROR(IF(ISNUMBER($T365),$T365,DATEVALUE(TRIM($T365))),""))</f>
        <v/>
      </c>
      <c r="AR365">
        <f>IF($AQ365="","",IF(MONTH($AQ365)&gt;=12,"Cold Winter",IF(MONTH($AQ365)&gt;=10,"Post-Monsoon",IF(MONTH($AQ365)&gt;=6,"Hot Humid",IF(MONTH($AQ365)&gt;=3,"Hot Dry","Cold Winter")))))</f>
        <v/>
      </c>
      <c r="AS365">
        <f>IF($AL365="","",IFERROR(VLOOKUP($AL365,DECODE!$A$3:$C$8,2,FALSE),"?"))</f>
        <v/>
      </c>
      <c r="AT365">
        <f>IF($O365="","",UPPER(TRIM(LEFT($O365&amp;",",FIND(",",$O365&amp;",")-1))))</f>
        <v/>
      </c>
      <c r="AU365">
        <f>IF($AT365="","",MID($AT365,4,FIND("~",SUBSTITUTE($AT365,"-","~",2))-4))</f>
        <v/>
      </c>
      <c r="AV365">
        <f>IF($AT365="","",MID($AT365,FIND("~",SUBSTITUTE($AT365,"-","~",2))+1,FIND("~",SUBSTITUTE($AT365,"-","~",3))-FIND("~",SUBSTITUTE($AT365,"-","~",2))-1))</f>
        <v/>
      </c>
      <c r="AW365">
        <f>IF($AU365="","",IFERROR(VLOOKUP($AU365,DECODE!$A$3:$C$8,3,FALSE),"?"))</f>
        <v/>
      </c>
      <c r="AX365">
        <f>IF($AV365="","",IFERROR(VLOOKUP($AU365&amp;"-"&amp;$AV365,DECODE!$E$3:$F$21,2,FALSE),"?"))</f>
        <v/>
      </c>
      <c r="AY365">
        <f>IF($AT365="","",IFERROR(VALUE(RIGHT($AT365,3)),""))</f>
        <v/>
      </c>
      <c r="AZ365">
        <f>IF($U365="","",IFERROR(IF(ISNUMBER($U365),$U365,DATEVALUE(TRIM($U365))),""))</f>
        <v/>
      </c>
      <c r="BA365">
        <f>IF($AZ365="","",IF(MONTH($AZ365)&gt;=12,"Cold Winter",IF(MONTH($AZ365)&gt;=10,"Post-Monsoon",IF(MONTH($AZ365)&gt;=6,"Hot Humid",IF(MONTH($AZ365)&gt;=3,"Hot Dry","Cold Winter")))))</f>
        <v/>
      </c>
      <c r="BB365">
        <f>IF($AU365="","",IFERROR(VLOOKUP($AU365,DECODE!$A$3:$C$8,2,FALSE),"?"))</f>
        <v/>
      </c>
      <c r="BC365">
        <f>IF($P365="","",UPPER(TRIM(LEFT($P365&amp;",",FIND(",",$P365&amp;",")-1))))</f>
        <v/>
      </c>
      <c r="BD365">
        <f>IF($BC365="","",MID($BC365,4,FIND("~",SUBSTITUTE($BC365,"-","~",2))-4))</f>
        <v/>
      </c>
      <c r="BE365">
        <f>IF($BC365="","",MID($BC365,FIND("~",SUBSTITUTE($BC365,"-","~",2))+1,FIND("~",SUBSTITUTE($BC365,"-","~",3))-FIND("~",SUBSTITUTE($BC365,"-","~",2))-1))</f>
        <v/>
      </c>
      <c r="BF365">
        <f>IF($BD365="","",IFERROR(VLOOKUP($BD365,DECODE!$A$3:$C$8,3,FALSE),"?"))</f>
        <v/>
      </c>
      <c r="BG365">
        <f>IF($BE365="","",IFERROR(VLOOKUP($BD365&amp;"-"&amp;$BE365,DECODE!$E$3:$F$21,2,FALSE),"?"))</f>
        <v/>
      </c>
      <c r="BH365">
        <f>IF($BC365="","",IFERROR(VALUE(RIGHT($BC365,3)),""))</f>
        <v/>
      </c>
      <c r="BI365">
        <f>IF($V365="","",IFERROR(IF(ISNUMBER($V365),$V365,DATEVALUE(TRIM($V365))),""))</f>
        <v/>
      </c>
      <c r="BJ365">
        <f>IF($BI365="","",IF(MONTH($BI365)&gt;=12,"Cold Winter",IF(MONTH($BI365)&gt;=10,"Post-Monsoon",IF(MONTH($BI365)&gt;=6,"Hot Humid",IF(MONTH($BI365)&gt;=3,"Hot Dry","Cold Winter")))))</f>
        <v/>
      </c>
      <c r="BK365">
        <f>IF($BD365="","",IFERROR(VLOOKUP($BD365,DECODE!$A$3:$C$8,2,FALSE),"?"))</f>
        <v/>
      </c>
      <c r="BL365">
        <f>IF($Q365="","",UPPER(TRIM(LEFT($Q365&amp;",",FIND(",",$Q365&amp;",")-1))))</f>
        <v/>
      </c>
      <c r="BM365">
        <f>IF($BL365="","",MID($BL365,4,FIND("~",SUBSTITUTE($BL365,"-","~",2))-4))</f>
        <v/>
      </c>
      <c r="BN365">
        <f>IF($BL365="","",MID($BL365,FIND("~",SUBSTITUTE($BL365,"-","~",2))+1,FIND("~",SUBSTITUTE($BL365,"-","~",3))-FIND("~",SUBSTITUTE($BL365,"-","~",2))-1))</f>
        <v/>
      </c>
      <c r="BO365">
        <f>IF($BM365="","",IFERROR(VLOOKUP($BM365,DECODE!$A$3:$C$8,3,FALSE),"?"))</f>
        <v/>
      </c>
      <c r="BP365">
        <f>IF($BN365="","",IFERROR(VLOOKUP($BM365&amp;"-"&amp;$BN365,DECODE!$E$3:$F$21,2,FALSE),"?"))</f>
        <v/>
      </c>
      <c r="BQ365">
        <f>IF($BL365="","",IFERROR(VALUE(RIGHT($BL365,3)),""))</f>
        <v/>
      </c>
      <c r="BR365">
        <f>IF($W365="","",IFERROR(IF(ISNUMBER($W365),$W365,DATEVALUE(TRIM($W365))),""))</f>
        <v/>
      </c>
      <c r="BS365">
        <f>IF($BR365="","",IF(MONTH($BR365)&gt;=12,"Cold Winter",IF(MONTH($BR365)&gt;=10,"Post-Monsoon",IF(MONTH($BR365)&gt;=6,"Hot Humid",IF(MONTH($BR365)&gt;=3,"Hot Dry","Cold Winter")))))</f>
        <v/>
      </c>
      <c r="BT365">
        <f>IF($BM365="","",IFERROR(VLOOKUP($BM365,DECODE!$A$3:$C$8,2,FALSE),"?"))</f>
        <v/>
      </c>
      <c r="BU365">
        <f>IF($R365="","",UPPER(TRIM(LEFT($R365&amp;",",FIND(",",$R365&amp;",")-1))))</f>
        <v/>
      </c>
      <c r="BV365">
        <f>IF($BU365="","",MID($BU365,4,FIND("~",SUBSTITUTE($BU365,"-","~",2))-4))</f>
        <v/>
      </c>
      <c r="BW365">
        <f>IF($BU365="","",MID($BU365,FIND("~",SUBSTITUTE($BU365,"-","~",2))+1,FIND("~",SUBSTITUTE($BU365,"-","~",3))-FIND("~",SUBSTITUTE($BU365,"-","~",2))-1))</f>
        <v/>
      </c>
      <c r="BX365">
        <f>IF($BV365="","",IFERROR(VLOOKUP($BV365,DECODE!$A$3:$C$8,3,FALSE),"?"))</f>
        <v/>
      </c>
      <c r="BY365">
        <f>IF($BW365="","",IFERROR(VLOOKUP($BV365&amp;"-"&amp;$BW365,DECODE!$E$3:$F$21,2,FALSE),"?"))</f>
        <v/>
      </c>
      <c r="BZ365">
        <f>IF($BU365="","",IFERROR(VALUE(RIGHT($BU365,3)),""))</f>
        <v/>
      </c>
      <c r="CA365">
        <f>IF($X365="","",IFERROR(IF(ISNUMBER($X365),$X365,DATEVALUE(TRIM($X365))),""))</f>
        <v/>
      </c>
      <c r="CB365">
        <f>IF($CA365="","",IF(MONTH($CA365)&gt;=12,"Cold Winter",IF(MONTH($CA365)&gt;=10,"Post-Monsoon",IF(MONTH($CA365)&gt;=6,"Hot Humid",IF(MONTH($CA365)&gt;=3,"Hot Dry","Cold Winter")))))</f>
        <v/>
      </c>
      <c r="CC365">
        <f>IF($BV365="","",IFERROR(VLOOKUP($BV365,DECODE!$A$3:$C$8,2,FALSE),"?"))</f>
        <v/>
      </c>
      <c r="CD365">
        <f>IF($S365="","",UPPER(TRIM(LEFT($S365&amp;",",FIND(",",$S365&amp;",")-1))))</f>
        <v/>
      </c>
      <c r="CE365">
        <f>IF($CD365="","",MID($CD365,4,FIND("~",SUBSTITUTE($CD365,"-","~",2))-4))</f>
        <v/>
      </c>
      <c r="CF365">
        <f>IF($CD365="","",MID($CD365,FIND("~",SUBSTITUTE($CD365,"-","~",2))+1,FIND("~",SUBSTITUTE($CD365,"-","~",3))-FIND("~",SUBSTITUTE($CD365,"-","~",2))-1))</f>
        <v/>
      </c>
      <c r="CG365">
        <f>IF($CE365="","",IFERROR(VLOOKUP($CE365,DECODE!$A$3:$C$8,3,FALSE),"?"))</f>
        <v/>
      </c>
      <c r="CH365">
        <f>IF($CF365="","",IFERROR(VLOOKUP($CE365&amp;"-"&amp;$CF365,DECODE!$E$3:$F$21,2,FALSE),"?"))</f>
        <v/>
      </c>
      <c r="CI365">
        <f>IF($CD365="","",IFERROR(VALUE(RIGHT($CD365,3)),""))</f>
        <v/>
      </c>
      <c r="CJ365">
        <f>IF($Y365="","",IFERROR(IF(ISNUMBER($Y365),$Y365,DATEVALUE(TRIM($Y365))),""))</f>
        <v/>
      </c>
      <c r="CK365">
        <f>IF($CJ365="","",IF(MONTH($CJ365)&gt;=12,"Cold Winter",IF(MONTH($CJ365)&gt;=10,"Post-Monsoon",IF(MONTH($CJ365)&gt;=6,"Hot Humid",IF(MONTH($CJ365)&gt;=3,"Hot Dry","Cold Winter")))))</f>
        <v/>
      </c>
      <c r="CL365">
        <f>IF($CE365="","",IFERROR(VLOOKUP($CE365,DECODE!$A$3:$C$8,2,FALSE),"?"))</f>
        <v/>
      </c>
      <c r="CM365">
        <f>IF($AN365="","",AN365)</f>
        <v/>
      </c>
      <c r="CN365">
        <f>IF($AO365="","",AO365)</f>
        <v/>
      </c>
      <c r="CO365">
        <f>IF($AP365="","",AP365)</f>
        <v/>
      </c>
      <c r="CP365">
        <f>IF($CM365="","",IF($CM365="Aloe Vera Gel","Aloe Vera Gel "&amp;$CO365&amp;"g",CN365&amp;" "&amp;$CO365&amp;"g"))</f>
        <v/>
      </c>
      <c r="CQ365">
        <f>IF($AT365="",0,1)</f>
        <v/>
      </c>
      <c r="CR365">
        <f>IF($CQ365=0,"",AW365)</f>
        <v/>
      </c>
      <c r="CS365">
        <f>IF($CQ365=0,"",AX365)</f>
        <v/>
      </c>
      <c r="CT365">
        <f>IF($CQ365=0,"",AY365)</f>
        <v/>
      </c>
      <c r="CU365">
        <f>IF($CR365="","",IF($CR365="Aloe Vera Gel","Aloe Vera Gel "&amp;$CT365&amp;"g",CS365&amp;" "&amp;$CT365&amp;"g"))</f>
        <v/>
      </c>
      <c r="CV365">
        <f>IF($CQ365=0,"",IF($CP365=$CU365,"Repeat Exact",IF($CT365&gt;$CO365,"Upsized",IF($CT365&lt;$CO365,"Downsized",IF($CM365&lt;&gt;$CR365,"Lateral","Same Size Diff Variant")))))</f>
        <v/>
      </c>
      <c r="CW365">
        <f>IF($CQ365=0,"",AZ365-AQ365)</f>
        <v/>
      </c>
      <c r="CX365">
        <f>IF($CQ365=0,0,IF(CS365=CN365,1,0))</f>
        <v/>
      </c>
      <c r="CY365">
        <f>IF($CQ365=0,0,IF(CR365=CM365,1,0))</f>
        <v/>
      </c>
      <c r="CZ365">
        <f>IF($A365="","",IF(AND(IF(DASHBOARD!$C$4="All",TRUE,$CM365=DASHBOARD!$C$4),IF(DASHBOARD!$C$6="All",TRUE,$CP365=DASHBOARD!$C$6),IF(DASHBOARD!$C$8="All",TRUE,$AF365&gt;=DASHBOARD!$C$8),IF(DASHBOARD!$C$10="All",TRUE,$AF365&lt;=DASHBOARD!$C$10),IF(DASHBOARD!$C$12="All",TRUE,$AH365=VALUE(DASHBOARD!$C$12)),IF(DASHBOARD!$C$14="All",TRUE,$AJ365=DASHBOARD!$C$14)),1,0))</f>
        <v/>
      </c>
    </row>
    <row r="366">
      <c r="A366" t="n">
        <v>188185</v>
      </c>
      <c r="B366" t="inlineStr">
        <is>
          <t>Aloe Vera Gel</t>
        </is>
      </c>
      <c r="H366" t="inlineStr">
        <is>
          <t>Aloe Vera Gel - 40 gms</t>
        </is>
      </c>
      <c r="N366" t="inlineStr">
        <is>
          <t>FC-HG-PA-040</t>
        </is>
      </c>
      <c r="T366" t="inlineStr">
        <is>
          <t>Mar 13, 2024</t>
        </is>
      </c>
      <c r="AE366" t="inlineStr">
        <is>
          <t>New Delhi</t>
        </is>
      </c>
      <c r="AF366" t="inlineStr">
        <is>
          <t>2024-03</t>
        </is>
      </c>
      <c r="AG366" t="n">
        <v>3</v>
      </c>
      <c r="AH366" t="n">
        <v>1</v>
      </c>
      <c r="AI366" t="n">
        <v>0</v>
      </c>
      <c r="AJ366">
        <f>IF($AE366="","",IFERROR(VLOOKUP(TRIM($AE366),DECODE!$H$3:$I$60,2,FALSE),"Rest of India"))</f>
        <v/>
      </c>
      <c r="AK366">
        <f>IF($N366="","",UPPER(TRIM(LEFT($N366&amp;",",FIND(",",$N366&amp;",")-1))))</f>
        <v/>
      </c>
      <c r="AL366">
        <f>IF($AK366="","",MID($AK366,4,FIND("~",SUBSTITUTE($AK366,"-","~",2))-4))</f>
        <v/>
      </c>
      <c r="AM366">
        <f>IF($AK366="","",MID($AK366,FIND("~",SUBSTITUTE($AK366,"-","~",2))+1,FIND("~",SUBSTITUTE($AK366,"-","~",3))-FIND("~",SUBSTITUTE($AK366,"-","~",2))-1))</f>
        <v/>
      </c>
      <c r="AN366">
        <f>IF($AL366="","",IFERROR(VLOOKUP($AL366,DECODE!$A$3:$C$8,3,FALSE),"?"))</f>
        <v/>
      </c>
      <c r="AO366">
        <f>IF($AM366="","",IFERROR(VLOOKUP($AL366&amp;"-"&amp;$AM366,DECODE!$E$3:$F$21,2,FALSE),"?"))</f>
        <v/>
      </c>
      <c r="AP366">
        <f>IF($AK366="","",IFERROR(VALUE(RIGHT($AK366,3)),""))</f>
        <v/>
      </c>
      <c r="AQ366">
        <f>IF($T366="","",IFERROR(IF(ISNUMBER($T366),$T366,DATEVALUE(TRIM($T366))),""))</f>
        <v/>
      </c>
      <c r="AR366">
        <f>IF($AQ366="","",IF(MONTH($AQ366)&gt;=12,"Cold Winter",IF(MONTH($AQ366)&gt;=10,"Post-Monsoon",IF(MONTH($AQ366)&gt;=6,"Hot Humid",IF(MONTH($AQ366)&gt;=3,"Hot Dry","Cold Winter")))))</f>
        <v/>
      </c>
      <c r="AS366">
        <f>IF($AL366="","",IFERROR(VLOOKUP($AL366,DECODE!$A$3:$C$8,2,FALSE),"?"))</f>
        <v/>
      </c>
      <c r="AT366">
        <f>IF($O366="","",UPPER(TRIM(LEFT($O366&amp;",",FIND(",",$O366&amp;",")-1))))</f>
        <v/>
      </c>
      <c r="AU366">
        <f>IF($AT366="","",MID($AT366,4,FIND("~",SUBSTITUTE($AT366,"-","~",2))-4))</f>
        <v/>
      </c>
      <c r="AV366">
        <f>IF($AT366="","",MID($AT366,FIND("~",SUBSTITUTE($AT366,"-","~",2))+1,FIND("~",SUBSTITUTE($AT366,"-","~",3))-FIND("~",SUBSTITUTE($AT366,"-","~",2))-1))</f>
        <v/>
      </c>
      <c r="AW366">
        <f>IF($AU366="","",IFERROR(VLOOKUP($AU366,DECODE!$A$3:$C$8,3,FALSE),"?"))</f>
        <v/>
      </c>
      <c r="AX366">
        <f>IF($AV366="","",IFERROR(VLOOKUP($AU366&amp;"-"&amp;$AV366,DECODE!$E$3:$F$21,2,FALSE),"?"))</f>
        <v/>
      </c>
      <c r="AY366">
        <f>IF($AT366="","",IFERROR(VALUE(RIGHT($AT366,3)),""))</f>
        <v/>
      </c>
      <c r="AZ366">
        <f>IF($U366="","",IFERROR(IF(ISNUMBER($U366),$U366,DATEVALUE(TRIM($U366))),""))</f>
        <v/>
      </c>
      <c r="BA366">
        <f>IF($AZ366="","",IF(MONTH($AZ366)&gt;=12,"Cold Winter",IF(MONTH($AZ366)&gt;=10,"Post-Monsoon",IF(MONTH($AZ366)&gt;=6,"Hot Humid",IF(MONTH($AZ366)&gt;=3,"Hot Dry","Cold Winter")))))</f>
        <v/>
      </c>
      <c r="BB366">
        <f>IF($AU366="","",IFERROR(VLOOKUP($AU366,DECODE!$A$3:$C$8,2,FALSE),"?"))</f>
        <v/>
      </c>
      <c r="BC366">
        <f>IF($P366="","",UPPER(TRIM(LEFT($P366&amp;",",FIND(",",$P366&amp;",")-1))))</f>
        <v/>
      </c>
      <c r="BD366">
        <f>IF($BC366="","",MID($BC366,4,FIND("~",SUBSTITUTE($BC366,"-","~",2))-4))</f>
        <v/>
      </c>
      <c r="BE366">
        <f>IF($BC366="","",MID($BC366,FIND("~",SUBSTITUTE($BC366,"-","~",2))+1,FIND("~",SUBSTITUTE($BC366,"-","~",3))-FIND("~",SUBSTITUTE($BC366,"-","~",2))-1))</f>
        <v/>
      </c>
      <c r="BF366">
        <f>IF($BD366="","",IFERROR(VLOOKUP($BD366,DECODE!$A$3:$C$8,3,FALSE),"?"))</f>
        <v/>
      </c>
      <c r="BG366">
        <f>IF($BE366="","",IFERROR(VLOOKUP($BD366&amp;"-"&amp;$BE366,DECODE!$E$3:$F$21,2,FALSE),"?"))</f>
        <v/>
      </c>
      <c r="BH366">
        <f>IF($BC366="","",IFERROR(VALUE(RIGHT($BC366,3)),""))</f>
        <v/>
      </c>
      <c r="BI366">
        <f>IF($V366="","",IFERROR(IF(ISNUMBER($V366),$V366,DATEVALUE(TRIM($V366))),""))</f>
        <v/>
      </c>
      <c r="BJ366">
        <f>IF($BI366="","",IF(MONTH($BI366)&gt;=12,"Cold Winter",IF(MONTH($BI366)&gt;=10,"Post-Monsoon",IF(MONTH($BI366)&gt;=6,"Hot Humid",IF(MONTH($BI366)&gt;=3,"Hot Dry","Cold Winter")))))</f>
        <v/>
      </c>
      <c r="BK366">
        <f>IF($BD366="","",IFERROR(VLOOKUP($BD366,DECODE!$A$3:$C$8,2,FALSE),"?"))</f>
        <v/>
      </c>
      <c r="BL366">
        <f>IF($Q366="","",UPPER(TRIM(LEFT($Q366&amp;",",FIND(",",$Q366&amp;",")-1))))</f>
        <v/>
      </c>
      <c r="BM366">
        <f>IF($BL366="","",MID($BL366,4,FIND("~",SUBSTITUTE($BL366,"-","~",2))-4))</f>
        <v/>
      </c>
      <c r="BN366">
        <f>IF($BL366="","",MID($BL366,FIND("~",SUBSTITUTE($BL366,"-","~",2))+1,FIND("~",SUBSTITUTE($BL366,"-","~",3))-FIND("~",SUBSTITUTE($BL366,"-","~",2))-1))</f>
        <v/>
      </c>
      <c r="BO366">
        <f>IF($BM366="","",IFERROR(VLOOKUP($BM366,DECODE!$A$3:$C$8,3,FALSE),"?"))</f>
        <v/>
      </c>
      <c r="BP366">
        <f>IF($BN366="","",IFERROR(VLOOKUP($BM366&amp;"-"&amp;$BN366,DECODE!$E$3:$F$21,2,FALSE),"?"))</f>
        <v/>
      </c>
      <c r="BQ366">
        <f>IF($BL366="","",IFERROR(VALUE(RIGHT($BL366,3)),""))</f>
        <v/>
      </c>
      <c r="BR366">
        <f>IF($W366="","",IFERROR(IF(ISNUMBER($W366),$W366,DATEVALUE(TRIM($W366))),""))</f>
        <v/>
      </c>
      <c r="BS366">
        <f>IF($BR366="","",IF(MONTH($BR366)&gt;=12,"Cold Winter",IF(MONTH($BR366)&gt;=10,"Post-Monsoon",IF(MONTH($BR366)&gt;=6,"Hot Humid",IF(MONTH($BR366)&gt;=3,"Hot Dry","Cold Winter")))))</f>
        <v/>
      </c>
      <c r="BT366">
        <f>IF($BM366="","",IFERROR(VLOOKUP($BM366,DECODE!$A$3:$C$8,2,FALSE),"?"))</f>
        <v/>
      </c>
      <c r="BU366">
        <f>IF($R366="","",UPPER(TRIM(LEFT($R366&amp;",",FIND(",",$R366&amp;",")-1))))</f>
        <v/>
      </c>
      <c r="BV366">
        <f>IF($BU366="","",MID($BU366,4,FIND("~",SUBSTITUTE($BU366,"-","~",2))-4))</f>
        <v/>
      </c>
      <c r="BW366">
        <f>IF($BU366="","",MID($BU366,FIND("~",SUBSTITUTE($BU366,"-","~",2))+1,FIND("~",SUBSTITUTE($BU366,"-","~",3))-FIND("~",SUBSTITUTE($BU366,"-","~",2))-1))</f>
        <v/>
      </c>
      <c r="BX366">
        <f>IF($BV366="","",IFERROR(VLOOKUP($BV366,DECODE!$A$3:$C$8,3,FALSE),"?"))</f>
        <v/>
      </c>
      <c r="BY366">
        <f>IF($BW366="","",IFERROR(VLOOKUP($BV366&amp;"-"&amp;$BW366,DECODE!$E$3:$F$21,2,FALSE),"?"))</f>
        <v/>
      </c>
      <c r="BZ366">
        <f>IF($BU366="","",IFERROR(VALUE(RIGHT($BU366,3)),""))</f>
        <v/>
      </c>
      <c r="CA366">
        <f>IF($X366="","",IFERROR(IF(ISNUMBER($X366),$X366,DATEVALUE(TRIM($X366))),""))</f>
        <v/>
      </c>
      <c r="CB366">
        <f>IF($CA366="","",IF(MONTH($CA366)&gt;=12,"Cold Winter",IF(MONTH($CA366)&gt;=10,"Post-Monsoon",IF(MONTH($CA366)&gt;=6,"Hot Humid",IF(MONTH($CA366)&gt;=3,"Hot Dry","Cold Winter")))))</f>
        <v/>
      </c>
      <c r="CC366">
        <f>IF($BV366="","",IFERROR(VLOOKUP($BV366,DECODE!$A$3:$C$8,2,FALSE),"?"))</f>
        <v/>
      </c>
      <c r="CD366">
        <f>IF($S366="","",UPPER(TRIM(LEFT($S366&amp;",",FIND(",",$S366&amp;",")-1))))</f>
        <v/>
      </c>
      <c r="CE366">
        <f>IF($CD366="","",MID($CD366,4,FIND("~",SUBSTITUTE($CD366,"-","~",2))-4))</f>
        <v/>
      </c>
      <c r="CF366">
        <f>IF($CD366="","",MID($CD366,FIND("~",SUBSTITUTE($CD366,"-","~",2))+1,FIND("~",SUBSTITUTE($CD366,"-","~",3))-FIND("~",SUBSTITUTE($CD366,"-","~",2))-1))</f>
        <v/>
      </c>
      <c r="CG366">
        <f>IF($CE366="","",IFERROR(VLOOKUP($CE366,DECODE!$A$3:$C$8,3,FALSE),"?"))</f>
        <v/>
      </c>
      <c r="CH366">
        <f>IF($CF366="","",IFERROR(VLOOKUP($CE366&amp;"-"&amp;$CF366,DECODE!$E$3:$F$21,2,FALSE),"?"))</f>
        <v/>
      </c>
      <c r="CI366">
        <f>IF($CD366="","",IFERROR(VALUE(RIGHT($CD366,3)),""))</f>
        <v/>
      </c>
      <c r="CJ366">
        <f>IF($Y366="","",IFERROR(IF(ISNUMBER($Y366),$Y366,DATEVALUE(TRIM($Y366))),""))</f>
        <v/>
      </c>
      <c r="CK366">
        <f>IF($CJ366="","",IF(MONTH($CJ366)&gt;=12,"Cold Winter",IF(MONTH($CJ366)&gt;=10,"Post-Monsoon",IF(MONTH($CJ366)&gt;=6,"Hot Humid",IF(MONTH($CJ366)&gt;=3,"Hot Dry","Cold Winter")))))</f>
        <v/>
      </c>
      <c r="CL366">
        <f>IF($CE366="","",IFERROR(VLOOKUP($CE366,DECODE!$A$3:$C$8,2,FALSE),"?"))</f>
        <v/>
      </c>
      <c r="CM366">
        <f>IF($AN366="","",AN366)</f>
        <v/>
      </c>
      <c r="CN366">
        <f>IF($AO366="","",AO366)</f>
        <v/>
      </c>
      <c r="CO366">
        <f>IF($AP366="","",AP366)</f>
        <v/>
      </c>
      <c r="CP366">
        <f>IF($CM366="","",IF($CM366="Aloe Vera Gel","Aloe Vera Gel "&amp;$CO366&amp;"g",CN366&amp;" "&amp;$CO366&amp;"g"))</f>
        <v/>
      </c>
      <c r="CQ366">
        <f>IF($AT366="",0,1)</f>
        <v/>
      </c>
      <c r="CR366">
        <f>IF($CQ366=0,"",AW366)</f>
        <v/>
      </c>
      <c r="CS366">
        <f>IF($CQ366=0,"",AX366)</f>
        <v/>
      </c>
      <c r="CT366">
        <f>IF($CQ366=0,"",AY366)</f>
        <v/>
      </c>
      <c r="CU366">
        <f>IF($CR366="","",IF($CR366="Aloe Vera Gel","Aloe Vera Gel "&amp;$CT366&amp;"g",CS366&amp;" "&amp;$CT366&amp;"g"))</f>
        <v/>
      </c>
      <c r="CV366">
        <f>IF($CQ366=0,"",IF($CP366=$CU366,"Repeat Exact",IF($CT366&gt;$CO366,"Upsized",IF($CT366&lt;$CO366,"Downsized",IF($CM366&lt;&gt;$CR366,"Lateral","Same Size Diff Variant")))))</f>
        <v/>
      </c>
      <c r="CW366">
        <f>IF($CQ366=0,"",AZ366-AQ366)</f>
        <v/>
      </c>
      <c r="CX366">
        <f>IF($CQ366=0,0,IF(CS366=CN366,1,0))</f>
        <v/>
      </c>
      <c r="CY366">
        <f>IF($CQ366=0,0,IF(CR366=CM366,1,0))</f>
        <v/>
      </c>
      <c r="CZ366">
        <f>IF($A366="","",IF(AND(IF(DASHBOARD!$C$4="All",TRUE,$CM366=DASHBOARD!$C$4),IF(DASHBOARD!$C$6="All",TRUE,$CP366=DASHBOARD!$C$6),IF(DASHBOARD!$C$8="All",TRUE,$AF366&gt;=DASHBOARD!$C$8),IF(DASHBOARD!$C$10="All",TRUE,$AF366&lt;=DASHBOARD!$C$10),IF(DASHBOARD!$C$12="All",TRUE,$AH366=VALUE(DASHBOARD!$C$12)),IF(DASHBOARD!$C$14="All",TRUE,$AJ366=DASHBOARD!$C$14)),1,0))</f>
        <v/>
      </c>
    </row>
    <row r="367">
      <c r="A367" t="n">
        <v>188311</v>
      </c>
      <c r="B367" t="inlineStr">
        <is>
          <t>Face Malai</t>
        </is>
      </c>
      <c r="H367" t="inlineStr">
        <is>
          <t>Flax Walnut (Cold) 35+ Face Malai</t>
        </is>
      </c>
      <c r="N367" t="inlineStr">
        <is>
          <t>FC-CWDM-FW-030</t>
        </is>
      </c>
      <c r="T367" t="inlineStr">
        <is>
          <t>Oct 16, 2024</t>
        </is>
      </c>
      <c r="AE367" t="inlineStr">
        <is>
          <t>Meerut</t>
        </is>
      </c>
      <c r="AF367" t="inlineStr">
        <is>
          <t>2024-10</t>
        </is>
      </c>
      <c r="AG367" t="n">
        <v>10</v>
      </c>
      <c r="AH367" t="n">
        <v>1</v>
      </c>
      <c r="AI367" t="n">
        <v>0</v>
      </c>
      <c r="AJ367">
        <f>IF($AE367="","",IFERROR(VLOOKUP(TRIM($AE367),DECODE!$H$3:$I$60,2,FALSE),"Rest of India"))</f>
        <v/>
      </c>
      <c r="AK367">
        <f>IF($N367="","",UPPER(TRIM(LEFT($N367&amp;",",FIND(",",$N367&amp;",")-1))))</f>
        <v/>
      </c>
      <c r="AL367">
        <f>IF($AK367="","",MID($AK367,4,FIND("~",SUBSTITUTE($AK367,"-","~",2))-4))</f>
        <v/>
      </c>
      <c r="AM367">
        <f>IF($AK367="","",MID($AK367,FIND("~",SUBSTITUTE($AK367,"-","~",2))+1,FIND("~",SUBSTITUTE($AK367,"-","~",3))-FIND("~",SUBSTITUTE($AK367,"-","~",2))-1))</f>
        <v/>
      </c>
      <c r="AN367">
        <f>IF($AL367="","",IFERROR(VLOOKUP($AL367,DECODE!$A$3:$C$8,3,FALSE),"?"))</f>
        <v/>
      </c>
      <c r="AO367">
        <f>IF($AM367="","",IFERROR(VLOOKUP($AL367&amp;"-"&amp;$AM367,DECODE!$E$3:$F$21,2,FALSE),"?"))</f>
        <v/>
      </c>
      <c r="AP367">
        <f>IF($AK367="","",IFERROR(VALUE(RIGHT($AK367,3)),""))</f>
        <v/>
      </c>
      <c r="AQ367">
        <f>IF($T367="","",IFERROR(IF(ISNUMBER($T367),$T367,DATEVALUE(TRIM($T367))),""))</f>
        <v/>
      </c>
      <c r="AR367">
        <f>IF($AQ367="","",IF(MONTH($AQ367)&gt;=12,"Cold Winter",IF(MONTH($AQ367)&gt;=10,"Post-Monsoon",IF(MONTH($AQ367)&gt;=6,"Hot Humid",IF(MONTH($AQ367)&gt;=3,"Hot Dry","Cold Winter")))))</f>
        <v/>
      </c>
      <c r="AS367">
        <f>IF($AL367="","",IFERROR(VLOOKUP($AL367,DECODE!$A$3:$C$8,2,FALSE),"?"))</f>
        <v/>
      </c>
      <c r="AT367">
        <f>IF($O367="","",UPPER(TRIM(LEFT($O367&amp;",",FIND(",",$O367&amp;",")-1))))</f>
        <v/>
      </c>
      <c r="AU367">
        <f>IF($AT367="","",MID($AT367,4,FIND("~",SUBSTITUTE($AT367,"-","~",2))-4))</f>
        <v/>
      </c>
      <c r="AV367">
        <f>IF($AT367="","",MID($AT367,FIND("~",SUBSTITUTE($AT367,"-","~",2))+1,FIND("~",SUBSTITUTE($AT367,"-","~",3))-FIND("~",SUBSTITUTE($AT367,"-","~",2))-1))</f>
        <v/>
      </c>
      <c r="AW367">
        <f>IF($AU367="","",IFERROR(VLOOKUP($AU367,DECODE!$A$3:$C$8,3,FALSE),"?"))</f>
        <v/>
      </c>
      <c r="AX367">
        <f>IF($AV367="","",IFERROR(VLOOKUP($AU367&amp;"-"&amp;$AV367,DECODE!$E$3:$F$21,2,FALSE),"?"))</f>
        <v/>
      </c>
      <c r="AY367">
        <f>IF($AT367="","",IFERROR(VALUE(RIGHT($AT367,3)),""))</f>
        <v/>
      </c>
      <c r="AZ367">
        <f>IF($U367="","",IFERROR(IF(ISNUMBER($U367),$U367,DATEVALUE(TRIM($U367))),""))</f>
        <v/>
      </c>
      <c r="BA367">
        <f>IF($AZ367="","",IF(MONTH($AZ367)&gt;=12,"Cold Winter",IF(MONTH($AZ367)&gt;=10,"Post-Monsoon",IF(MONTH($AZ367)&gt;=6,"Hot Humid",IF(MONTH($AZ367)&gt;=3,"Hot Dry","Cold Winter")))))</f>
        <v/>
      </c>
      <c r="BB367">
        <f>IF($AU367="","",IFERROR(VLOOKUP($AU367,DECODE!$A$3:$C$8,2,FALSE),"?"))</f>
        <v/>
      </c>
      <c r="BC367">
        <f>IF($P367="","",UPPER(TRIM(LEFT($P367&amp;",",FIND(",",$P367&amp;",")-1))))</f>
        <v/>
      </c>
      <c r="BD367">
        <f>IF($BC367="","",MID($BC367,4,FIND("~",SUBSTITUTE($BC367,"-","~",2))-4))</f>
        <v/>
      </c>
      <c r="BE367">
        <f>IF($BC367="","",MID($BC367,FIND("~",SUBSTITUTE($BC367,"-","~",2))+1,FIND("~",SUBSTITUTE($BC367,"-","~",3))-FIND("~",SUBSTITUTE($BC367,"-","~",2))-1))</f>
        <v/>
      </c>
      <c r="BF367">
        <f>IF($BD367="","",IFERROR(VLOOKUP($BD367,DECODE!$A$3:$C$8,3,FALSE),"?"))</f>
        <v/>
      </c>
      <c r="BG367">
        <f>IF($BE367="","",IFERROR(VLOOKUP($BD367&amp;"-"&amp;$BE367,DECODE!$E$3:$F$21,2,FALSE),"?"))</f>
        <v/>
      </c>
      <c r="BH367">
        <f>IF($BC367="","",IFERROR(VALUE(RIGHT($BC367,3)),""))</f>
        <v/>
      </c>
      <c r="BI367">
        <f>IF($V367="","",IFERROR(IF(ISNUMBER($V367),$V367,DATEVALUE(TRIM($V367))),""))</f>
        <v/>
      </c>
      <c r="BJ367">
        <f>IF($BI367="","",IF(MONTH($BI367)&gt;=12,"Cold Winter",IF(MONTH($BI367)&gt;=10,"Post-Monsoon",IF(MONTH($BI367)&gt;=6,"Hot Humid",IF(MONTH($BI367)&gt;=3,"Hot Dry","Cold Winter")))))</f>
        <v/>
      </c>
      <c r="BK367">
        <f>IF($BD367="","",IFERROR(VLOOKUP($BD367,DECODE!$A$3:$C$8,2,FALSE),"?"))</f>
        <v/>
      </c>
      <c r="BL367">
        <f>IF($Q367="","",UPPER(TRIM(LEFT($Q367&amp;",",FIND(",",$Q367&amp;",")-1))))</f>
        <v/>
      </c>
      <c r="BM367">
        <f>IF($BL367="","",MID($BL367,4,FIND("~",SUBSTITUTE($BL367,"-","~",2))-4))</f>
        <v/>
      </c>
      <c r="BN367">
        <f>IF($BL367="","",MID($BL367,FIND("~",SUBSTITUTE($BL367,"-","~",2))+1,FIND("~",SUBSTITUTE($BL367,"-","~",3))-FIND("~",SUBSTITUTE($BL367,"-","~",2))-1))</f>
        <v/>
      </c>
      <c r="BO367">
        <f>IF($BM367="","",IFERROR(VLOOKUP($BM367,DECODE!$A$3:$C$8,3,FALSE),"?"))</f>
        <v/>
      </c>
      <c r="BP367">
        <f>IF($BN367="","",IFERROR(VLOOKUP($BM367&amp;"-"&amp;$BN367,DECODE!$E$3:$F$21,2,FALSE),"?"))</f>
        <v/>
      </c>
      <c r="BQ367">
        <f>IF($BL367="","",IFERROR(VALUE(RIGHT($BL367,3)),""))</f>
        <v/>
      </c>
      <c r="BR367">
        <f>IF($W367="","",IFERROR(IF(ISNUMBER($W367),$W367,DATEVALUE(TRIM($W367))),""))</f>
        <v/>
      </c>
      <c r="BS367">
        <f>IF($BR367="","",IF(MONTH($BR367)&gt;=12,"Cold Winter",IF(MONTH($BR367)&gt;=10,"Post-Monsoon",IF(MONTH($BR367)&gt;=6,"Hot Humid",IF(MONTH($BR367)&gt;=3,"Hot Dry","Cold Winter")))))</f>
        <v/>
      </c>
      <c r="BT367">
        <f>IF($BM367="","",IFERROR(VLOOKUP($BM367,DECODE!$A$3:$C$8,2,FALSE),"?"))</f>
        <v/>
      </c>
      <c r="BU367">
        <f>IF($R367="","",UPPER(TRIM(LEFT($R367&amp;",",FIND(",",$R367&amp;",")-1))))</f>
        <v/>
      </c>
      <c r="BV367">
        <f>IF($BU367="","",MID($BU367,4,FIND("~",SUBSTITUTE($BU367,"-","~",2))-4))</f>
        <v/>
      </c>
      <c r="BW367">
        <f>IF($BU367="","",MID($BU367,FIND("~",SUBSTITUTE($BU367,"-","~",2))+1,FIND("~",SUBSTITUTE($BU367,"-","~",3))-FIND("~",SUBSTITUTE($BU367,"-","~",2))-1))</f>
        <v/>
      </c>
      <c r="BX367">
        <f>IF($BV367="","",IFERROR(VLOOKUP($BV367,DECODE!$A$3:$C$8,3,FALSE),"?"))</f>
        <v/>
      </c>
      <c r="BY367">
        <f>IF($BW367="","",IFERROR(VLOOKUP($BV367&amp;"-"&amp;$BW367,DECODE!$E$3:$F$21,2,FALSE),"?"))</f>
        <v/>
      </c>
      <c r="BZ367">
        <f>IF($BU367="","",IFERROR(VALUE(RIGHT($BU367,3)),""))</f>
        <v/>
      </c>
      <c r="CA367">
        <f>IF($X367="","",IFERROR(IF(ISNUMBER($X367),$X367,DATEVALUE(TRIM($X367))),""))</f>
        <v/>
      </c>
      <c r="CB367">
        <f>IF($CA367="","",IF(MONTH($CA367)&gt;=12,"Cold Winter",IF(MONTH($CA367)&gt;=10,"Post-Monsoon",IF(MONTH($CA367)&gt;=6,"Hot Humid",IF(MONTH($CA367)&gt;=3,"Hot Dry","Cold Winter")))))</f>
        <v/>
      </c>
      <c r="CC367">
        <f>IF($BV367="","",IFERROR(VLOOKUP($BV367,DECODE!$A$3:$C$8,2,FALSE),"?"))</f>
        <v/>
      </c>
      <c r="CD367">
        <f>IF($S367="","",UPPER(TRIM(LEFT($S367&amp;",",FIND(",",$S367&amp;",")-1))))</f>
        <v/>
      </c>
      <c r="CE367">
        <f>IF($CD367="","",MID($CD367,4,FIND("~",SUBSTITUTE($CD367,"-","~",2))-4))</f>
        <v/>
      </c>
      <c r="CF367">
        <f>IF($CD367="","",MID($CD367,FIND("~",SUBSTITUTE($CD367,"-","~",2))+1,FIND("~",SUBSTITUTE($CD367,"-","~",3))-FIND("~",SUBSTITUTE($CD367,"-","~",2))-1))</f>
        <v/>
      </c>
      <c r="CG367">
        <f>IF($CE367="","",IFERROR(VLOOKUP($CE367,DECODE!$A$3:$C$8,3,FALSE),"?"))</f>
        <v/>
      </c>
      <c r="CH367">
        <f>IF($CF367="","",IFERROR(VLOOKUP($CE367&amp;"-"&amp;$CF367,DECODE!$E$3:$F$21,2,FALSE),"?"))</f>
        <v/>
      </c>
      <c r="CI367">
        <f>IF($CD367="","",IFERROR(VALUE(RIGHT($CD367,3)),""))</f>
        <v/>
      </c>
      <c r="CJ367">
        <f>IF($Y367="","",IFERROR(IF(ISNUMBER($Y367),$Y367,DATEVALUE(TRIM($Y367))),""))</f>
        <v/>
      </c>
      <c r="CK367">
        <f>IF($CJ367="","",IF(MONTH($CJ367)&gt;=12,"Cold Winter",IF(MONTH($CJ367)&gt;=10,"Post-Monsoon",IF(MONTH($CJ367)&gt;=6,"Hot Humid",IF(MONTH($CJ367)&gt;=3,"Hot Dry","Cold Winter")))))</f>
        <v/>
      </c>
      <c r="CL367">
        <f>IF($CE367="","",IFERROR(VLOOKUP($CE367,DECODE!$A$3:$C$8,2,FALSE),"?"))</f>
        <v/>
      </c>
      <c r="CM367">
        <f>IF($AN367="","",AN367)</f>
        <v/>
      </c>
      <c r="CN367">
        <f>IF($AO367="","",AO367)</f>
        <v/>
      </c>
      <c r="CO367">
        <f>IF($AP367="","",AP367)</f>
        <v/>
      </c>
      <c r="CP367">
        <f>IF($CM367="","",IF($CM367="Aloe Vera Gel","Aloe Vera Gel "&amp;$CO367&amp;"g",CN367&amp;" "&amp;$CO367&amp;"g"))</f>
        <v/>
      </c>
      <c r="CQ367">
        <f>IF($AT367="",0,1)</f>
        <v/>
      </c>
      <c r="CR367">
        <f>IF($CQ367=0,"",AW367)</f>
        <v/>
      </c>
      <c r="CS367">
        <f>IF($CQ367=0,"",AX367)</f>
        <v/>
      </c>
      <c r="CT367">
        <f>IF($CQ367=0,"",AY367)</f>
        <v/>
      </c>
      <c r="CU367">
        <f>IF($CR367="","",IF($CR367="Aloe Vera Gel","Aloe Vera Gel "&amp;$CT367&amp;"g",CS367&amp;" "&amp;$CT367&amp;"g"))</f>
        <v/>
      </c>
      <c r="CV367">
        <f>IF($CQ367=0,"",IF($CP367=$CU367,"Repeat Exact",IF($CT367&gt;$CO367,"Upsized",IF($CT367&lt;$CO367,"Downsized",IF($CM367&lt;&gt;$CR367,"Lateral","Same Size Diff Variant")))))</f>
        <v/>
      </c>
      <c r="CW367">
        <f>IF($CQ367=0,"",AZ367-AQ367)</f>
        <v/>
      </c>
      <c r="CX367">
        <f>IF($CQ367=0,0,IF(CS367=CN367,1,0))</f>
        <v/>
      </c>
      <c r="CY367">
        <f>IF($CQ367=0,0,IF(CR367=CM367,1,0))</f>
        <v/>
      </c>
      <c r="CZ367">
        <f>IF($A367="","",IF(AND(IF(DASHBOARD!$C$4="All",TRUE,$CM367=DASHBOARD!$C$4),IF(DASHBOARD!$C$6="All",TRUE,$CP367=DASHBOARD!$C$6),IF(DASHBOARD!$C$8="All",TRUE,$AF367&gt;=DASHBOARD!$C$8),IF(DASHBOARD!$C$10="All",TRUE,$AF367&lt;=DASHBOARD!$C$10),IF(DASHBOARD!$C$12="All",TRUE,$AH367=VALUE(DASHBOARD!$C$12)),IF(DASHBOARD!$C$14="All",TRUE,$AJ367=DASHBOARD!$C$14)),1,0))</f>
        <v/>
      </c>
    </row>
    <row r="368">
      <c r="A368" t="n">
        <v>188360</v>
      </c>
      <c r="B368" t="inlineStr">
        <is>
          <t>Active Gel</t>
        </is>
      </c>
      <c r="H368" t="inlineStr">
        <is>
          <t>Active Olive Vit-E Night Gel</t>
        </is>
      </c>
      <c r="N368" t="inlineStr">
        <is>
          <t>FC-AC-OV-050</t>
        </is>
      </c>
      <c r="T368" t="inlineStr">
        <is>
          <t>Oct 23, 2024</t>
        </is>
      </c>
      <c r="AE368" t="inlineStr">
        <is>
          <t>Hooghly</t>
        </is>
      </c>
      <c r="AF368" t="inlineStr">
        <is>
          <t>2024-10</t>
        </is>
      </c>
      <c r="AG368" t="n">
        <v>10</v>
      </c>
      <c r="AH368" t="n">
        <v>1</v>
      </c>
      <c r="AI368" t="n">
        <v>0</v>
      </c>
      <c r="AJ368">
        <f>IF($AE368="","",IFERROR(VLOOKUP(TRIM($AE368),DECODE!$H$3:$I$60,2,FALSE),"Rest of India"))</f>
        <v/>
      </c>
      <c r="AK368">
        <f>IF($N368="","",UPPER(TRIM(LEFT($N368&amp;",",FIND(",",$N368&amp;",")-1))))</f>
        <v/>
      </c>
      <c r="AL368">
        <f>IF($AK368="","",MID($AK368,4,FIND("~",SUBSTITUTE($AK368,"-","~",2))-4))</f>
        <v/>
      </c>
      <c r="AM368">
        <f>IF($AK368="","",MID($AK368,FIND("~",SUBSTITUTE($AK368,"-","~",2))+1,FIND("~",SUBSTITUTE($AK368,"-","~",3))-FIND("~",SUBSTITUTE($AK368,"-","~",2))-1))</f>
        <v/>
      </c>
      <c r="AN368">
        <f>IF($AL368="","",IFERROR(VLOOKUP($AL368,DECODE!$A$3:$C$8,3,FALSE),"?"))</f>
        <v/>
      </c>
      <c r="AO368">
        <f>IF($AM368="","",IFERROR(VLOOKUP($AL368&amp;"-"&amp;$AM368,DECODE!$E$3:$F$21,2,FALSE),"?"))</f>
        <v/>
      </c>
      <c r="AP368">
        <f>IF($AK368="","",IFERROR(VALUE(RIGHT($AK368,3)),""))</f>
        <v/>
      </c>
      <c r="AQ368">
        <f>IF($T368="","",IFERROR(IF(ISNUMBER($T368),$T368,DATEVALUE(TRIM($T368))),""))</f>
        <v/>
      </c>
      <c r="AR368">
        <f>IF($AQ368="","",IF(MONTH($AQ368)&gt;=12,"Cold Winter",IF(MONTH($AQ368)&gt;=10,"Post-Monsoon",IF(MONTH($AQ368)&gt;=6,"Hot Humid",IF(MONTH($AQ368)&gt;=3,"Hot Dry","Cold Winter")))))</f>
        <v/>
      </c>
      <c r="AS368">
        <f>IF($AL368="","",IFERROR(VLOOKUP($AL368,DECODE!$A$3:$C$8,2,FALSE),"?"))</f>
        <v/>
      </c>
      <c r="AT368">
        <f>IF($O368="","",UPPER(TRIM(LEFT($O368&amp;",",FIND(",",$O368&amp;",")-1))))</f>
        <v/>
      </c>
      <c r="AU368">
        <f>IF($AT368="","",MID($AT368,4,FIND("~",SUBSTITUTE($AT368,"-","~",2))-4))</f>
        <v/>
      </c>
      <c r="AV368">
        <f>IF($AT368="","",MID($AT368,FIND("~",SUBSTITUTE($AT368,"-","~",2))+1,FIND("~",SUBSTITUTE($AT368,"-","~",3))-FIND("~",SUBSTITUTE($AT368,"-","~",2))-1))</f>
        <v/>
      </c>
      <c r="AW368">
        <f>IF($AU368="","",IFERROR(VLOOKUP($AU368,DECODE!$A$3:$C$8,3,FALSE),"?"))</f>
        <v/>
      </c>
      <c r="AX368">
        <f>IF($AV368="","",IFERROR(VLOOKUP($AU368&amp;"-"&amp;$AV368,DECODE!$E$3:$F$21,2,FALSE),"?"))</f>
        <v/>
      </c>
      <c r="AY368">
        <f>IF($AT368="","",IFERROR(VALUE(RIGHT($AT368,3)),""))</f>
        <v/>
      </c>
      <c r="AZ368">
        <f>IF($U368="","",IFERROR(IF(ISNUMBER($U368),$U368,DATEVALUE(TRIM($U368))),""))</f>
        <v/>
      </c>
      <c r="BA368">
        <f>IF($AZ368="","",IF(MONTH($AZ368)&gt;=12,"Cold Winter",IF(MONTH($AZ368)&gt;=10,"Post-Monsoon",IF(MONTH($AZ368)&gt;=6,"Hot Humid",IF(MONTH($AZ368)&gt;=3,"Hot Dry","Cold Winter")))))</f>
        <v/>
      </c>
      <c r="BB368">
        <f>IF($AU368="","",IFERROR(VLOOKUP($AU368,DECODE!$A$3:$C$8,2,FALSE),"?"))</f>
        <v/>
      </c>
      <c r="BC368">
        <f>IF($P368="","",UPPER(TRIM(LEFT($P368&amp;",",FIND(",",$P368&amp;",")-1))))</f>
        <v/>
      </c>
      <c r="BD368">
        <f>IF($BC368="","",MID($BC368,4,FIND("~",SUBSTITUTE($BC368,"-","~",2))-4))</f>
        <v/>
      </c>
      <c r="BE368">
        <f>IF($BC368="","",MID($BC368,FIND("~",SUBSTITUTE($BC368,"-","~",2))+1,FIND("~",SUBSTITUTE($BC368,"-","~",3))-FIND("~",SUBSTITUTE($BC368,"-","~",2))-1))</f>
        <v/>
      </c>
      <c r="BF368">
        <f>IF($BD368="","",IFERROR(VLOOKUP($BD368,DECODE!$A$3:$C$8,3,FALSE),"?"))</f>
        <v/>
      </c>
      <c r="BG368">
        <f>IF($BE368="","",IFERROR(VLOOKUP($BD368&amp;"-"&amp;$BE368,DECODE!$E$3:$F$21,2,FALSE),"?"))</f>
        <v/>
      </c>
      <c r="BH368">
        <f>IF($BC368="","",IFERROR(VALUE(RIGHT($BC368,3)),""))</f>
        <v/>
      </c>
      <c r="BI368">
        <f>IF($V368="","",IFERROR(IF(ISNUMBER($V368),$V368,DATEVALUE(TRIM($V368))),""))</f>
        <v/>
      </c>
      <c r="BJ368">
        <f>IF($BI368="","",IF(MONTH($BI368)&gt;=12,"Cold Winter",IF(MONTH($BI368)&gt;=10,"Post-Monsoon",IF(MONTH($BI368)&gt;=6,"Hot Humid",IF(MONTH($BI368)&gt;=3,"Hot Dry","Cold Winter")))))</f>
        <v/>
      </c>
      <c r="BK368">
        <f>IF($BD368="","",IFERROR(VLOOKUP($BD368,DECODE!$A$3:$C$8,2,FALSE),"?"))</f>
        <v/>
      </c>
      <c r="BL368">
        <f>IF($Q368="","",UPPER(TRIM(LEFT($Q368&amp;",",FIND(",",$Q368&amp;",")-1))))</f>
        <v/>
      </c>
      <c r="BM368">
        <f>IF($BL368="","",MID($BL368,4,FIND("~",SUBSTITUTE($BL368,"-","~",2))-4))</f>
        <v/>
      </c>
      <c r="BN368">
        <f>IF($BL368="","",MID($BL368,FIND("~",SUBSTITUTE($BL368,"-","~",2))+1,FIND("~",SUBSTITUTE($BL368,"-","~",3))-FIND("~",SUBSTITUTE($BL368,"-","~",2))-1))</f>
        <v/>
      </c>
      <c r="BO368">
        <f>IF($BM368="","",IFERROR(VLOOKUP($BM368,DECODE!$A$3:$C$8,3,FALSE),"?"))</f>
        <v/>
      </c>
      <c r="BP368">
        <f>IF($BN368="","",IFERROR(VLOOKUP($BM368&amp;"-"&amp;$BN368,DECODE!$E$3:$F$21,2,FALSE),"?"))</f>
        <v/>
      </c>
      <c r="BQ368">
        <f>IF($BL368="","",IFERROR(VALUE(RIGHT($BL368,3)),""))</f>
        <v/>
      </c>
      <c r="BR368">
        <f>IF($W368="","",IFERROR(IF(ISNUMBER($W368),$W368,DATEVALUE(TRIM($W368))),""))</f>
        <v/>
      </c>
      <c r="BS368">
        <f>IF($BR368="","",IF(MONTH($BR368)&gt;=12,"Cold Winter",IF(MONTH($BR368)&gt;=10,"Post-Monsoon",IF(MONTH($BR368)&gt;=6,"Hot Humid",IF(MONTH($BR368)&gt;=3,"Hot Dry","Cold Winter")))))</f>
        <v/>
      </c>
      <c r="BT368">
        <f>IF($BM368="","",IFERROR(VLOOKUP($BM368,DECODE!$A$3:$C$8,2,FALSE),"?"))</f>
        <v/>
      </c>
      <c r="BU368">
        <f>IF($R368="","",UPPER(TRIM(LEFT($R368&amp;",",FIND(",",$R368&amp;",")-1))))</f>
        <v/>
      </c>
      <c r="BV368">
        <f>IF($BU368="","",MID($BU368,4,FIND("~",SUBSTITUTE($BU368,"-","~",2))-4))</f>
        <v/>
      </c>
      <c r="BW368">
        <f>IF($BU368="","",MID($BU368,FIND("~",SUBSTITUTE($BU368,"-","~",2))+1,FIND("~",SUBSTITUTE($BU368,"-","~",3))-FIND("~",SUBSTITUTE($BU368,"-","~",2))-1))</f>
        <v/>
      </c>
      <c r="BX368">
        <f>IF($BV368="","",IFERROR(VLOOKUP($BV368,DECODE!$A$3:$C$8,3,FALSE),"?"))</f>
        <v/>
      </c>
      <c r="BY368">
        <f>IF($BW368="","",IFERROR(VLOOKUP($BV368&amp;"-"&amp;$BW368,DECODE!$E$3:$F$21,2,FALSE),"?"))</f>
        <v/>
      </c>
      <c r="BZ368">
        <f>IF($BU368="","",IFERROR(VALUE(RIGHT($BU368,3)),""))</f>
        <v/>
      </c>
      <c r="CA368">
        <f>IF($X368="","",IFERROR(IF(ISNUMBER($X368),$X368,DATEVALUE(TRIM($X368))),""))</f>
        <v/>
      </c>
      <c r="CB368">
        <f>IF($CA368="","",IF(MONTH($CA368)&gt;=12,"Cold Winter",IF(MONTH($CA368)&gt;=10,"Post-Monsoon",IF(MONTH($CA368)&gt;=6,"Hot Humid",IF(MONTH($CA368)&gt;=3,"Hot Dry","Cold Winter")))))</f>
        <v/>
      </c>
      <c r="CC368">
        <f>IF($BV368="","",IFERROR(VLOOKUP($BV368,DECODE!$A$3:$C$8,2,FALSE),"?"))</f>
        <v/>
      </c>
      <c r="CD368">
        <f>IF($S368="","",UPPER(TRIM(LEFT($S368&amp;",",FIND(",",$S368&amp;",")-1))))</f>
        <v/>
      </c>
      <c r="CE368">
        <f>IF($CD368="","",MID($CD368,4,FIND("~",SUBSTITUTE($CD368,"-","~",2))-4))</f>
        <v/>
      </c>
      <c r="CF368">
        <f>IF($CD368="","",MID($CD368,FIND("~",SUBSTITUTE($CD368,"-","~",2))+1,FIND("~",SUBSTITUTE($CD368,"-","~",3))-FIND("~",SUBSTITUTE($CD368,"-","~",2))-1))</f>
        <v/>
      </c>
      <c r="CG368">
        <f>IF($CE368="","",IFERROR(VLOOKUP($CE368,DECODE!$A$3:$C$8,3,FALSE),"?"))</f>
        <v/>
      </c>
      <c r="CH368">
        <f>IF($CF368="","",IFERROR(VLOOKUP($CE368&amp;"-"&amp;$CF368,DECODE!$E$3:$F$21,2,FALSE),"?"))</f>
        <v/>
      </c>
      <c r="CI368">
        <f>IF($CD368="","",IFERROR(VALUE(RIGHT($CD368,3)),""))</f>
        <v/>
      </c>
      <c r="CJ368">
        <f>IF($Y368="","",IFERROR(IF(ISNUMBER($Y368),$Y368,DATEVALUE(TRIM($Y368))),""))</f>
        <v/>
      </c>
      <c r="CK368">
        <f>IF($CJ368="","",IF(MONTH($CJ368)&gt;=12,"Cold Winter",IF(MONTH($CJ368)&gt;=10,"Post-Monsoon",IF(MONTH($CJ368)&gt;=6,"Hot Humid",IF(MONTH($CJ368)&gt;=3,"Hot Dry","Cold Winter")))))</f>
        <v/>
      </c>
      <c r="CL368">
        <f>IF($CE368="","",IFERROR(VLOOKUP($CE368,DECODE!$A$3:$C$8,2,FALSE),"?"))</f>
        <v/>
      </c>
      <c r="CM368">
        <f>IF($AN368="","",AN368)</f>
        <v/>
      </c>
      <c r="CN368">
        <f>IF($AO368="","",AO368)</f>
        <v/>
      </c>
      <c r="CO368">
        <f>IF($AP368="","",AP368)</f>
        <v/>
      </c>
      <c r="CP368">
        <f>IF($CM368="","",IF($CM368="Aloe Vera Gel","Aloe Vera Gel "&amp;$CO368&amp;"g",CN368&amp;" "&amp;$CO368&amp;"g"))</f>
        <v/>
      </c>
      <c r="CQ368">
        <f>IF($AT368="",0,1)</f>
        <v/>
      </c>
      <c r="CR368">
        <f>IF($CQ368=0,"",AW368)</f>
        <v/>
      </c>
      <c r="CS368">
        <f>IF($CQ368=0,"",AX368)</f>
        <v/>
      </c>
      <c r="CT368">
        <f>IF($CQ368=0,"",AY368)</f>
        <v/>
      </c>
      <c r="CU368">
        <f>IF($CR368="","",IF($CR368="Aloe Vera Gel","Aloe Vera Gel "&amp;$CT368&amp;"g",CS368&amp;" "&amp;$CT368&amp;"g"))</f>
        <v/>
      </c>
      <c r="CV368">
        <f>IF($CQ368=0,"",IF($CP368=$CU368,"Repeat Exact",IF($CT368&gt;$CO368,"Upsized",IF($CT368&lt;$CO368,"Downsized",IF($CM368&lt;&gt;$CR368,"Lateral","Same Size Diff Variant")))))</f>
        <v/>
      </c>
      <c r="CW368">
        <f>IF($CQ368=0,"",AZ368-AQ368)</f>
        <v/>
      </c>
      <c r="CX368">
        <f>IF($CQ368=0,0,IF(CS368=CN368,1,0))</f>
        <v/>
      </c>
      <c r="CY368">
        <f>IF($CQ368=0,0,IF(CR368=CM368,1,0))</f>
        <v/>
      </c>
      <c r="CZ368">
        <f>IF($A368="","",IF(AND(IF(DASHBOARD!$C$4="All",TRUE,$CM368=DASHBOARD!$C$4),IF(DASHBOARD!$C$6="All",TRUE,$CP368=DASHBOARD!$C$6),IF(DASHBOARD!$C$8="All",TRUE,$AF368&gt;=DASHBOARD!$C$8),IF(DASHBOARD!$C$10="All",TRUE,$AF368&lt;=DASHBOARD!$C$10),IF(DASHBOARD!$C$12="All",TRUE,$AH368=VALUE(DASHBOARD!$C$12)),IF(DASHBOARD!$C$14="All",TRUE,$AJ368=DASHBOARD!$C$14)),1,0))</f>
        <v/>
      </c>
    </row>
    <row r="369">
      <c r="A369" t="n">
        <v>188447</v>
      </c>
      <c r="B369" t="inlineStr">
        <is>
          <t>Face Malai</t>
        </is>
      </c>
      <c r="C369" t="inlineStr">
        <is>
          <t>Face Malai</t>
        </is>
      </c>
      <c r="D369" t="inlineStr">
        <is>
          <t>Face Malai</t>
        </is>
      </c>
      <c r="H369" t="inlineStr">
        <is>
          <t>Flax Bakuchi (Hot Dry) 35+ Face Malai - 30g</t>
        </is>
      </c>
      <c r="I369" t="inlineStr">
        <is>
          <t>Flax Walnut (Cold) 35+ Face Malai</t>
        </is>
      </c>
      <c r="J369" t="inlineStr">
        <is>
          <t>Flax Walnut (Cold) 35+ Face Malai, Cocoa Mogra (Overnight) Face Malai - 30g</t>
        </is>
      </c>
      <c r="N369" t="inlineStr">
        <is>
          <t>FC-HDDM-FB-030</t>
        </is>
      </c>
      <c r="O369" t="inlineStr">
        <is>
          <t>FC-CWDM-FW-030</t>
        </is>
      </c>
      <c r="P369" t="inlineStr">
        <is>
          <t>FC-CWDM-FW-030, FC-DM-NR-030</t>
        </is>
      </c>
      <c r="T369" t="inlineStr">
        <is>
          <t>Jun 7, 2024</t>
        </is>
      </c>
      <c r="U369" t="inlineStr">
        <is>
          <t>Dec 2, 2024</t>
        </is>
      </c>
      <c r="V369" t="inlineStr">
        <is>
          <t>Nov 6, 2025</t>
        </is>
      </c>
      <c r="Z369" t="n">
        <v>178</v>
      </c>
      <c r="AA369" t="n">
        <v>339</v>
      </c>
      <c r="AE369" t="inlineStr">
        <is>
          <t>Bengaluru</t>
        </is>
      </c>
      <c r="AF369" t="inlineStr">
        <is>
          <t>2024-06</t>
        </is>
      </c>
      <c r="AG369" t="n">
        <v>6</v>
      </c>
      <c r="AH369" t="n">
        <v>3</v>
      </c>
      <c r="AI369" t="n">
        <v>1</v>
      </c>
      <c r="AJ369">
        <f>IF($AE369="","",IFERROR(VLOOKUP(TRIM($AE369),DECODE!$H$3:$I$60,2,FALSE),"Rest of India"))</f>
        <v/>
      </c>
      <c r="AK369">
        <f>IF($N369="","",UPPER(TRIM(LEFT($N369&amp;",",FIND(",",$N369&amp;",")-1))))</f>
        <v/>
      </c>
      <c r="AL369">
        <f>IF($AK369="","",MID($AK369,4,FIND("~",SUBSTITUTE($AK369,"-","~",2))-4))</f>
        <v/>
      </c>
      <c r="AM369">
        <f>IF($AK369="","",MID($AK369,FIND("~",SUBSTITUTE($AK369,"-","~",2))+1,FIND("~",SUBSTITUTE($AK369,"-","~",3))-FIND("~",SUBSTITUTE($AK369,"-","~",2))-1))</f>
        <v/>
      </c>
      <c r="AN369">
        <f>IF($AL369="","",IFERROR(VLOOKUP($AL369,DECODE!$A$3:$C$8,3,FALSE),"?"))</f>
        <v/>
      </c>
      <c r="AO369">
        <f>IF($AM369="","",IFERROR(VLOOKUP($AL369&amp;"-"&amp;$AM369,DECODE!$E$3:$F$21,2,FALSE),"?"))</f>
        <v/>
      </c>
      <c r="AP369">
        <f>IF($AK369="","",IFERROR(VALUE(RIGHT($AK369,3)),""))</f>
        <v/>
      </c>
      <c r="AQ369">
        <f>IF($T369="","",IFERROR(IF(ISNUMBER($T369),$T369,DATEVALUE(TRIM($T369))),""))</f>
        <v/>
      </c>
      <c r="AR369">
        <f>IF($AQ369="","",IF(MONTH($AQ369)&gt;=12,"Cold Winter",IF(MONTH($AQ369)&gt;=10,"Post-Monsoon",IF(MONTH($AQ369)&gt;=6,"Hot Humid",IF(MONTH($AQ369)&gt;=3,"Hot Dry","Cold Winter")))))</f>
        <v/>
      </c>
      <c r="AS369">
        <f>IF($AL369="","",IFERROR(VLOOKUP($AL369,DECODE!$A$3:$C$8,2,FALSE),"?"))</f>
        <v/>
      </c>
      <c r="AT369">
        <f>IF($O369="","",UPPER(TRIM(LEFT($O369&amp;",",FIND(",",$O369&amp;",")-1))))</f>
        <v/>
      </c>
      <c r="AU369">
        <f>IF($AT369="","",MID($AT369,4,FIND("~",SUBSTITUTE($AT369,"-","~",2))-4))</f>
        <v/>
      </c>
      <c r="AV369">
        <f>IF($AT369="","",MID($AT369,FIND("~",SUBSTITUTE($AT369,"-","~",2))+1,FIND("~",SUBSTITUTE($AT369,"-","~",3))-FIND("~",SUBSTITUTE($AT369,"-","~",2))-1))</f>
        <v/>
      </c>
      <c r="AW369">
        <f>IF($AU369="","",IFERROR(VLOOKUP($AU369,DECODE!$A$3:$C$8,3,FALSE),"?"))</f>
        <v/>
      </c>
      <c r="AX369">
        <f>IF($AV369="","",IFERROR(VLOOKUP($AU369&amp;"-"&amp;$AV369,DECODE!$E$3:$F$21,2,FALSE),"?"))</f>
        <v/>
      </c>
      <c r="AY369">
        <f>IF($AT369="","",IFERROR(VALUE(RIGHT($AT369,3)),""))</f>
        <v/>
      </c>
      <c r="AZ369">
        <f>IF($U369="","",IFERROR(IF(ISNUMBER($U369),$U369,DATEVALUE(TRIM($U369))),""))</f>
        <v/>
      </c>
      <c r="BA369">
        <f>IF($AZ369="","",IF(MONTH($AZ369)&gt;=12,"Cold Winter",IF(MONTH($AZ369)&gt;=10,"Post-Monsoon",IF(MONTH($AZ369)&gt;=6,"Hot Humid",IF(MONTH($AZ369)&gt;=3,"Hot Dry","Cold Winter")))))</f>
        <v/>
      </c>
      <c r="BB369">
        <f>IF($AU369="","",IFERROR(VLOOKUP($AU369,DECODE!$A$3:$C$8,2,FALSE),"?"))</f>
        <v/>
      </c>
      <c r="BC369">
        <f>IF($P369="","",UPPER(TRIM(LEFT($P369&amp;",",FIND(",",$P369&amp;",")-1))))</f>
        <v/>
      </c>
      <c r="BD369">
        <f>IF($BC369="","",MID($BC369,4,FIND("~",SUBSTITUTE($BC369,"-","~",2))-4))</f>
        <v/>
      </c>
      <c r="BE369">
        <f>IF($BC369="","",MID($BC369,FIND("~",SUBSTITUTE($BC369,"-","~",2))+1,FIND("~",SUBSTITUTE($BC369,"-","~",3))-FIND("~",SUBSTITUTE($BC369,"-","~",2))-1))</f>
        <v/>
      </c>
      <c r="BF369">
        <f>IF($BD369="","",IFERROR(VLOOKUP($BD369,DECODE!$A$3:$C$8,3,FALSE),"?"))</f>
        <v/>
      </c>
      <c r="BG369">
        <f>IF($BE369="","",IFERROR(VLOOKUP($BD369&amp;"-"&amp;$BE369,DECODE!$E$3:$F$21,2,FALSE),"?"))</f>
        <v/>
      </c>
      <c r="BH369">
        <f>IF($BC369="","",IFERROR(VALUE(RIGHT($BC369,3)),""))</f>
        <v/>
      </c>
      <c r="BI369">
        <f>IF($V369="","",IFERROR(IF(ISNUMBER($V369),$V369,DATEVALUE(TRIM($V369))),""))</f>
        <v/>
      </c>
      <c r="BJ369">
        <f>IF($BI369="","",IF(MONTH($BI369)&gt;=12,"Cold Winter",IF(MONTH($BI369)&gt;=10,"Post-Monsoon",IF(MONTH($BI369)&gt;=6,"Hot Humid",IF(MONTH($BI369)&gt;=3,"Hot Dry","Cold Winter")))))</f>
        <v/>
      </c>
      <c r="BK369">
        <f>IF($BD369="","",IFERROR(VLOOKUP($BD369,DECODE!$A$3:$C$8,2,FALSE),"?"))</f>
        <v/>
      </c>
      <c r="BL369">
        <f>IF($Q369="","",UPPER(TRIM(LEFT($Q369&amp;",",FIND(",",$Q369&amp;",")-1))))</f>
        <v/>
      </c>
      <c r="BM369">
        <f>IF($BL369="","",MID($BL369,4,FIND("~",SUBSTITUTE($BL369,"-","~",2))-4))</f>
        <v/>
      </c>
      <c r="BN369">
        <f>IF($BL369="","",MID($BL369,FIND("~",SUBSTITUTE($BL369,"-","~",2))+1,FIND("~",SUBSTITUTE($BL369,"-","~",3))-FIND("~",SUBSTITUTE($BL369,"-","~",2))-1))</f>
        <v/>
      </c>
      <c r="BO369">
        <f>IF($BM369="","",IFERROR(VLOOKUP($BM369,DECODE!$A$3:$C$8,3,FALSE),"?"))</f>
        <v/>
      </c>
      <c r="BP369">
        <f>IF($BN369="","",IFERROR(VLOOKUP($BM369&amp;"-"&amp;$BN369,DECODE!$E$3:$F$21,2,FALSE),"?"))</f>
        <v/>
      </c>
      <c r="BQ369">
        <f>IF($BL369="","",IFERROR(VALUE(RIGHT($BL369,3)),""))</f>
        <v/>
      </c>
      <c r="BR369">
        <f>IF($W369="","",IFERROR(IF(ISNUMBER($W369),$W369,DATEVALUE(TRIM($W369))),""))</f>
        <v/>
      </c>
      <c r="BS369">
        <f>IF($BR369="","",IF(MONTH($BR369)&gt;=12,"Cold Winter",IF(MONTH($BR369)&gt;=10,"Post-Monsoon",IF(MONTH($BR369)&gt;=6,"Hot Humid",IF(MONTH($BR369)&gt;=3,"Hot Dry","Cold Winter")))))</f>
        <v/>
      </c>
      <c r="BT369">
        <f>IF($BM369="","",IFERROR(VLOOKUP($BM369,DECODE!$A$3:$C$8,2,FALSE),"?"))</f>
        <v/>
      </c>
      <c r="BU369">
        <f>IF($R369="","",UPPER(TRIM(LEFT($R369&amp;",",FIND(",",$R369&amp;",")-1))))</f>
        <v/>
      </c>
      <c r="BV369">
        <f>IF($BU369="","",MID($BU369,4,FIND("~",SUBSTITUTE($BU369,"-","~",2))-4))</f>
        <v/>
      </c>
      <c r="BW369">
        <f>IF($BU369="","",MID($BU369,FIND("~",SUBSTITUTE($BU369,"-","~",2))+1,FIND("~",SUBSTITUTE($BU369,"-","~",3))-FIND("~",SUBSTITUTE($BU369,"-","~",2))-1))</f>
        <v/>
      </c>
      <c r="BX369">
        <f>IF($BV369="","",IFERROR(VLOOKUP($BV369,DECODE!$A$3:$C$8,3,FALSE),"?"))</f>
        <v/>
      </c>
      <c r="BY369">
        <f>IF($BW369="","",IFERROR(VLOOKUP($BV369&amp;"-"&amp;$BW369,DECODE!$E$3:$F$21,2,FALSE),"?"))</f>
        <v/>
      </c>
      <c r="BZ369">
        <f>IF($BU369="","",IFERROR(VALUE(RIGHT($BU369,3)),""))</f>
        <v/>
      </c>
      <c r="CA369">
        <f>IF($X369="","",IFERROR(IF(ISNUMBER($X369),$X369,DATEVALUE(TRIM($X369))),""))</f>
        <v/>
      </c>
      <c r="CB369">
        <f>IF($CA369="","",IF(MONTH($CA369)&gt;=12,"Cold Winter",IF(MONTH($CA369)&gt;=10,"Post-Monsoon",IF(MONTH($CA369)&gt;=6,"Hot Humid",IF(MONTH($CA369)&gt;=3,"Hot Dry","Cold Winter")))))</f>
        <v/>
      </c>
      <c r="CC369">
        <f>IF($BV369="","",IFERROR(VLOOKUP($BV369,DECODE!$A$3:$C$8,2,FALSE),"?"))</f>
        <v/>
      </c>
      <c r="CD369">
        <f>IF($S369="","",UPPER(TRIM(LEFT($S369&amp;",",FIND(",",$S369&amp;",")-1))))</f>
        <v/>
      </c>
      <c r="CE369">
        <f>IF($CD369="","",MID($CD369,4,FIND("~",SUBSTITUTE($CD369,"-","~",2))-4))</f>
        <v/>
      </c>
      <c r="CF369">
        <f>IF($CD369="","",MID($CD369,FIND("~",SUBSTITUTE($CD369,"-","~",2))+1,FIND("~",SUBSTITUTE($CD369,"-","~",3))-FIND("~",SUBSTITUTE($CD369,"-","~",2))-1))</f>
        <v/>
      </c>
      <c r="CG369">
        <f>IF($CE369="","",IFERROR(VLOOKUP($CE369,DECODE!$A$3:$C$8,3,FALSE),"?"))</f>
        <v/>
      </c>
      <c r="CH369">
        <f>IF($CF369="","",IFERROR(VLOOKUP($CE369&amp;"-"&amp;$CF369,DECODE!$E$3:$F$21,2,FALSE),"?"))</f>
        <v/>
      </c>
      <c r="CI369">
        <f>IF($CD369="","",IFERROR(VALUE(RIGHT($CD369,3)),""))</f>
        <v/>
      </c>
      <c r="CJ369">
        <f>IF($Y369="","",IFERROR(IF(ISNUMBER($Y369),$Y369,DATEVALUE(TRIM($Y369))),""))</f>
        <v/>
      </c>
      <c r="CK369">
        <f>IF($CJ369="","",IF(MONTH($CJ369)&gt;=12,"Cold Winter",IF(MONTH($CJ369)&gt;=10,"Post-Monsoon",IF(MONTH($CJ369)&gt;=6,"Hot Humid",IF(MONTH($CJ369)&gt;=3,"Hot Dry","Cold Winter")))))</f>
        <v/>
      </c>
      <c r="CL369">
        <f>IF($CE369="","",IFERROR(VLOOKUP($CE369,DECODE!$A$3:$C$8,2,FALSE),"?"))</f>
        <v/>
      </c>
      <c r="CM369">
        <f>IF($AN369="","",AN369)</f>
        <v/>
      </c>
      <c r="CN369">
        <f>IF($AO369="","",AO369)</f>
        <v/>
      </c>
      <c r="CO369">
        <f>IF($AP369="","",AP369)</f>
        <v/>
      </c>
      <c r="CP369">
        <f>IF($CM369="","",IF($CM369="Aloe Vera Gel","Aloe Vera Gel "&amp;$CO369&amp;"g",CN369&amp;" "&amp;$CO369&amp;"g"))</f>
        <v/>
      </c>
      <c r="CQ369">
        <f>IF($AT369="",0,1)</f>
        <v/>
      </c>
      <c r="CR369">
        <f>IF($CQ369=0,"",AW369)</f>
        <v/>
      </c>
      <c r="CS369">
        <f>IF($CQ369=0,"",AX369)</f>
        <v/>
      </c>
      <c r="CT369">
        <f>IF($CQ369=0,"",AY369)</f>
        <v/>
      </c>
      <c r="CU369">
        <f>IF($CR369="","",IF($CR369="Aloe Vera Gel","Aloe Vera Gel "&amp;$CT369&amp;"g",CS369&amp;" "&amp;$CT369&amp;"g"))</f>
        <v/>
      </c>
      <c r="CV369">
        <f>IF($CQ369=0,"",IF($CP369=$CU369,"Repeat Exact",IF($CT369&gt;$CO369,"Upsized",IF($CT369&lt;$CO369,"Downsized",IF($CM369&lt;&gt;$CR369,"Lateral","Same Size Diff Variant")))))</f>
        <v/>
      </c>
      <c r="CW369">
        <f>IF($CQ369=0,"",AZ369-AQ369)</f>
        <v/>
      </c>
      <c r="CX369">
        <f>IF($CQ369=0,0,IF(CS369=CN369,1,0))</f>
        <v/>
      </c>
      <c r="CY369">
        <f>IF($CQ369=0,0,IF(CR369=CM369,1,0))</f>
        <v/>
      </c>
      <c r="CZ369">
        <f>IF($A369="","",IF(AND(IF(DASHBOARD!$C$4="All",TRUE,$CM369=DASHBOARD!$C$4),IF(DASHBOARD!$C$6="All",TRUE,$CP369=DASHBOARD!$C$6),IF(DASHBOARD!$C$8="All",TRUE,$AF369&gt;=DASHBOARD!$C$8),IF(DASHBOARD!$C$10="All",TRUE,$AF369&lt;=DASHBOARD!$C$10),IF(DASHBOARD!$C$12="All",TRUE,$AH369=VALUE(DASHBOARD!$C$12)),IF(DASHBOARD!$C$14="All",TRUE,$AJ369=DASHBOARD!$C$14)),1,0))</f>
        <v/>
      </c>
    </row>
    <row r="370">
      <c r="A370" t="n">
        <v>189015</v>
      </c>
      <c r="B370" t="inlineStr">
        <is>
          <t>Aloe Vera Gel</t>
        </is>
      </c>
      <c r="H370" t="inlineStr">
        <is>
          <t>Aloe Vera Gel - 80 gms</t>
        </is>
      </c>
      <c r="N370" t="inlineStr">
        <is>
          <t>FC-HG-PA-080</t>
        </is>
      </c>
      <c r="T370" t="inlineStr">
        <is>
          <t>Sep 30, 2025</t>
        </is>
      </c>
      <c r="AE370" t="inlineStr">
        <is>
          <t>Bengaluru</t>
        </is>
      </c>
      <c r="AF370" t="inlineStr">
        <is>
          <t>2025-09</t>
        </is>
      </c>
      <c r="AG370" t="n">
        <v>9</v>
      </c>
      <c r="AH370" t="n">
        <v>1</v>
      </c>
      <c r="AI370" t="n">
        <v>0</v>
      </c>
      <c r="AJ370">
        <f>IF($AE370="","",IFERROR(VLOOKUP(TRIM($AE370),DECODE!$H$3:$I$60,2,FALSE),"Rest of India"))</f>
        <v/>
      </c>
      <c r="AK370">
        <f>IF($N370="","",UPPER(TRIM(LEFT($N370&amp;",",FIND(",",$N370&amp;",")-1))))</f>
        <v/>
      </c>
      <c r="AL370">
        <f>IF($AK370="","",MID($AK370,4,FIND("~",SUBSTITUTE($AK370,"-","~",2))-4))</f>
        <v/>
      </c>
      <c r="AM370">
        <f>IF($AK370="","",MID($AK370,FIND("~",SUBSTITUTE($AK370,"-","~",2))+1,FIND("~",SUBSTITUTE($AK370,"-","~",3))-FIND("~",SUBSTITUTE($AK370,"-","~",2))-1))</f>
        <v/>
      </c>
      <c r="AN370">
        <f>IF($AL370="","",IFERROR(VLOOKUP($AL370,DECODE!$A$3:$C$8,3,FALSE),"?"))</f>
        <v/>
      </c>
      <c r="AO370">
        <f>IF($AM370="","",IFERROR(VLOOKUP($AL370&amp;"-"&amp;$AM370,DECODE!$E$3:$F$21,2,FALSE),"?"))</f>
        <v/>
      </c>
      <c r="AP370">
        <f>IF($AK370="","",IFERROR(VALUE(RIGHT($AK370,3)),""))</f>
        <v/>
      </c>
      <c r="AQ370">
        <f>IF($T370="","",IFERROR(IF(ISNUMBER($T370),$T370,DATEVALUE(TRIM($T370))),""))</f>
        <v/>
      </c>
      <c r="AR370">
        <f>IF($AQ370="","",IF(MONTH($AQ370)&gt;=12,"Cold Winter",IF(MONTH($AQ370)&gt;=10,"Post-Monsoon",IF(MONTH($AQ370)&gt;=6,"Hot Humid",IF(MONTH($AQ370)&gt;=3,"Hot Dry","Cold Winter")))))</f>
        <v/>
      </c>
      <c r="AS370">
        <f>IF($AL370="","",IFERROR(VLOOKUP($AL370,DECODE!$A$3:$C$8,2,FALSE),"?"))</f>
        <v/>
      </c>
      <c r="AT370">
        <f>IF($O370="","",UPPER(TRIM(LEFT($O370&amp;",",FIND(",",$O370&amp;",")-1))))</f>
        <v/>
      </c>
      <c r="AU370">
        <f>IF($AT370="","",MID($AT370,4,FIND("~",SUBSTITUTE($AT370,"-","~",2))-4))</f>
        <v/>
      </c>
      <c r="AV370">
        <f>IF($AT370="","",MID($AT370,FIND("~",SUBSTITUTE($AT370,"-","~",2))+1,FIND("~",SUBSTITUTE($AT370,"-","~",3))-FIND("~",SUBSTITUTE($AT370,"-","~",2))-1))</f>
        <v/>
      </c>
      <c r="AW370">
        <f>IF($AU370="","",IFERROR(VLOOKUP($AU370,DECODE!$A$3:$C$8,3,FALSE),"?"))</f>
        <v/>
      </c>
      <c r="AX370">
        <f>IF($AV370="","",IFERROR(VLOOKUP($AU370&amp;"-"&amp;$AV370,DECODE!$E$3:$F$21,2,FALSE),"?"))</f>
        <v/>
      </c>
      <c r="AY370">
        <f>IF($AT370="","",IFERROR(VALUE(RIGHT($AT370,3)),""))</f>
        <v/>
      </c>
      <c r="AZ370">
        <f>IF($U370="","",IFERROR(IF(ISNUMBER($U370),$U370,DATEVALUE(TRIM($U370))),""))</f>
        <v/>
      </c>
      <c r="BA370">
        <f>IF($AZ370="","",IF(MONTH($AZ370)&gt;=12,"Cold Winter",IF(MONTH($AZ370)&gt;=10,"Post-Monsoon",IF(MONTH($AZ370)&gt;=6,"Hot Humid",IF(MONTH($AZ370)&gt;=3,"Hot Dry","Cold Winter")))))</f>
        <v/>
      </c>
      <c r="BB370">
        <f>IF($AU370="","",IFERROR(VLOOKUP($AU370,DECODE!$A$3:$C$8,2,FALSE),"?"))</f>
        <v/>
      </c>
      <c r="BC370">
        <f>IF($P370="","",UPPER(TRIM(LEFT($P370&amp;",",FIND(",",$P370&amp;",")-1))))</f>
        <v/>
      </c>
      <c r="BD370">
        <f>IF($BC370="","",MID($BC370,4,FIND("~",SUBSTITUTE($BC370,"-","~",2))-4))</f>
        <v/>
      </c>
      <c r="BE370">
        <f>IF($BC370="","",MID($BC370,FIND("~",SUBSTITUTE($BC370,"-","~",2))+1,FIND("~",SUBSTITUTE($BC370,"-","~",3))-FIND("~",SUBSTITUTE($BC370,"-","~",2))-1))</f>
        <v/>
      </c>
      <c r="BF370">
        <f>IF($BD370="","",IFERROR(VLOOKUP($BD370,DECODE!$A$3:$C$8,3,FALSE),"?"))</f>
        <v/>
      </c>
      <c r="BG370">
        <f>IF($BE370="","",IFERROR(VLOOKUP($BD370&amp;"-"&amp;$BE370,DECODE!$E$3:$F$21,2,FALSE),"?"))</f>
        <v/>
      </c>
      <c r="BH370">
        <f>IF($BC370="","",IFERROR(VALUE(RIGHT($BC370,3)),""))</f>
        <v/>
      </c>
      <c r="BI370">
        <f>IF($V370="","",IFERROR(IF(ISNUMBER($V370),$V370,DATEVALUE(TRIM($V370))),""))</f>
        <v/>
      </c>
      <c r="BJ370">
        <f>IF($BI370="","",IF(MONTH($BI370)&gt;=12,"Cold Winter",IF(MONTH($BI370)&gt;=10,"Post-Monsoon",IF(MONTH($BI370)&gt;=6,"Hot Humid",IF(MONTH($BI370)&gt;=3,"Hot Dry","Cold Winter")))))</f>
        <v/>
      </c>
      <c r="BK370">
        <f>IF($BD370="","",IFERROR(VLOOKUP($BD370,DECODE!$A$3:$C$8,2,FALSE),"?"))</f>
        <v/>
      </c>
      <c r="BL370">
        <f>IF($Q370="","",UPPER(TRIM(LEFT($Q370&amp;",",FIND(",",$Q370&amp;",")-1))))</f>
        <v/>
      </c>
      <c r="BM370">
        <f>IF($BL370="","",MID($BL370,4,FIND("~",SUBSTITUTE($BL370,"-","~",2))-4))</f>
        <v/>
      </c>
      <c r="BN370">
        <f>IF($BL370="","",MID($BL370,FIND("~",SUBSTITUTE($BL370,"-","~",2))+1,FIND("~",SUBSTITUTE($BL370,"-","~",3))-FIND("~",SUBSTITUTE($BL370,"-","~",2))-1))</f>
        <v/>
      </c>
      <c r="BO370">
        <f>IF($BM370="","",IFERROR(VLOOKUP($BM370,DECODE!$A$3:$C$8,3,FALSE),"?"))</f>
        <v/>
      </c>
      <c r="BP370">
        <f>IF($BN370="","",IFERROR(VLOOKUP($BM370&amp;"-"&amp;$BN370,DECODE!$E$3:$F$21,2,FALSE),"?"))</f>
        <v/>
      </c>
      <c r="BQ370">
        <f>IF($BL370="","",IFERROR(VALUE(RIGHT($BL370,3)),""))</f>
        <v/>
      </c>
      <c r="BR370">
        <f>IF($W370="","",IFERROR(IF(ISNUMBER($W370),$W370,DATEVALUE(TRIM($W370))),""))</f>
        <v/>
      </c>
      <c r="BS370">
        <f>IF($BR370="","",IF(MONTH($BR370)&gt;=12,"Cold Winter",IF(MONTH($BR370)&gt;=10,"Post-Monsoon",IF(MONTH($BR370)&gt;=6,"Hot Humid",IF(MONTH($BR370)&gt;=3,"Hot Dry","Cold Winter")))))</f>
        <v/>
      </c>
      <c r="BT370">
        <f>IF($BM370="","",IFERROR(VLOOKUP($BM370,DECODE!$A$3:$C$8,2,FALSE),"?"))</f>
        <v/>
      </c>
      <c r="BU370">
        <f>IF($R370="","",UPPER(TRIM(LEFT($R370&amp;",",FIND(",",$R370&amp;",")-1))))</f>
        <v/>
      </c>
      <c r="BV370">
        <f>IF($BU370="","",MID($BU370,4,FIND("~",SUBSTITUTE($BU370,"-","~",2))-4))</f>
        <v/>
      </c>
      <c r="BW370">
        <f>IF($BU370="","",MID($BU370,FIND("~",SUBSTITUTE($BU370,"-","~",2))+1,FIND("~",SUBSTITUTE($BU370,"-","~",3))-FIND("~",SUBSTITUTE($BU370,"-","~",2))-1))</f>
        <v/>
      </c>
      <c r="BX370">
        <f>IF($BV370="","",IFERROR(VLOOKUP($BV370,DECODE!$A$3:$C$8,3,FALSE),"?"))</f>
        <v/>
      </c>
      <c r="BY370">
        <f>IF($BW370="","",IFERROR(VLOOKUP($BV370&amp;"-"&amp;$BW370,DECODE!$E$3:$F$21,2,FALSE),"?"))</f>
        <v/>
      </c>
      <c r="BZ370">
        <f>IF($BU370="","",IFERROR(VALUE(RIGHT($BU370,3)),""))</f>
        <v/>
      </c>
      <c r="CA370">
        <f>IF($X370="","",IFERROR(IF(ISNUMBER($X370),$X370,DATEVALUE(TRIM($X370))),""))</f>
        <v/>
      </c>
      <c r="CB370">
        <f>IF($CA370="","",IF(MONTH($CA370)&gt;=12,"Cold Winter",IF(MONTH($CA370)&gt;=10,"Post-Monsoon",IF(MONTH($CA370)&gt;=6,"Hot Humid",IF(MONTH($CA370)&gt;=3,"Hot Dry","Cold Winter")))))</f>
        <v/>
      </c>
      <c r="CC370">
        <f>IF($BV370="","",IFERROR(VLOOKUP($BV370,DECODE!$A$3:$C$8,2,FALSE),"?"))</f>
        <v/>
      </c>
      <c r="CD370">
        <f>IF($S370="","",UPPER(TRIM(LEFT($S370&amp;",",FIND(",",$S370&amp;",")-1))))</f>
        <v/>
      </c>
      <c r="CE370">
        <f>IF($CD370="","",MID($CD370,4,FIND("~",SUBSTITUTE($CD370,"-","~",2))-4))</f>
        <v/>
      </c>
      <c r="CF370">
        <f>IF($CD370="","",MID($CD370,FIND("~",SUBSTITUTE($CD370,"-","~",2))+1,FIND("~",SUBSTITUTE($CD370,"-","~",3))-FIND("~",SUBSTITUTE($CD370,"-","~",2))-1))</f>
        <v/>
      </c>
      <c r="CG370">
        <f>IF($CE370="","",IFERROR(VLOOKUP($CE370,DECODE!$A$3:$C$8,3,FALSE),"?"))</f>
        <v/>
      </c>
      <c r="CH370">
        <f>IF($CF370="","",IFERROR(VLOOKUP($CE370&amp;"-"&amp;$CF370,DECODE!$E$3:$F$21,2,FALSE),"?"))</f>
        <v/>
      </c>
      <c r="CI370">
        <f>IF($CD370="","",IFERROR(VALUE(RIGHT($CD370,3)),""))</f>
        <v/>
      </c>
      <c r="CJ370">
        <f>IF($Y370="","",IFERROR(IF(ISNUMBER($Y370),$Y370,DATEVALUE(TRIM($Y370))),""))</f>
        <v/>
      </c>
      <c r="CK370">
        <f>IF($CJ370="","",IF(MONTH($CJ370)&gt;=12,"Cold Winter",IF(MONTH($CJ370)&gt;=10,"Post-Monsoon",IF(MONTH($CJ370)&gt;=6,"Hot Humid",IF(MONTH($CJ370)&gt;=3,"Hot Dry","Cold Winter")))))</f>
        <v/>
      </c>
      <c r="CL370">
        <f>IF($CE370="","",IFERROR(VLOOKUP($CE370,DECODE!$A$3:$C$8,2,FALSE),"?"))</f>
        <v/>
      </c>
      <c r="CM370">
        <f>IF($AN370="","",AN370)</f>
        <v/>
      </c>
      <c r="CN370">
        <f>IF($AO370="","",AO370)</f>
        <v/>
      </c>
      <c r="CO370">
        <f>IF($AP370="","",AP370)</f>
        <v/>
      </c>
      <c r="CP370">
        <f>IF($CM370="","",IF($CM370="Aloe Vera Gel","Aloe Vera Gel "&amp;$CO370&amp;"g",CN370&amp;" "&amp;$CO370&amp;"g"))</f>
        <v/>
      </c>
      <c r="CQ370">
        <f>IF($AT370="",0,1)</f>
        <v/>
      </c>
      <c r="CR370">
        <f>IF($CQ370=0,"",AW370)</f>
        <v/>
      </c>
      <c r="CS370">
        <f>IF($CQ370=0,"",AX370)</f>
        <v/>
      </c>
      <c r="CT370">
        <f>IF($CQ370=0,"",AY370)</f>
        <v/>
      </c>
      <c r="CU370">
        <f>IF($CR370="","",IF($CR370="Aloe Vera Gel","Aloe Vera Gel "&amp;$CT370&amp;"g",CS370&amp;" "&amp;$CT370&amp;"g"))</f>
        <v/>
      </c>
      <c r="CV370">
        <f>IF($CQ370=0,"",IF($CP370=$CU370,"Repeat Exact",IF($CT370&gt;$CO370,"Upsized",IF($CT370&lt;$CO370,"Downsized",IF($CM370&lt;&gt;$CR370,"Lateral","Same Size Diff Variant")))))</f>
        <v/>
      </c>
      <c r="CW370">
        <f>IF($CQ370=0,"",AZ370-AQ370)</f>
        <v/>
      </c>
      <c r="CX370">
        <f>IF($CQ370=0,0,IF(CS370=CN370,1,0))</f>
        <v/>
      </c>
      <c r="CY370">
        <f>IF($CQ370=0,0,IF(CR370=CM370,1,0))</f>
        <v/>
      </c>
      <c r="CZ370">
        <f>IF($A370="","",IF(AND(IF(DASHBOARD!$C$4="All",TRUE,$CM370=DASHBOARD!$C$4),IF(DASHBOARD!$C$6="All",TRUE,$CP370=DASHBOARD!$C$6),IF(DASHBOARD!$C$8="All",TRUE,$AF370&gt;=DASHBOARD!$C$8),IF(DASHBOARD!$C$10="All",TRUE,$AF370&lt;=DASHBOARD!$C$10),IF(DASHBOARD!$C$12="All",TRUE,$AH370=VALUE(DASHBOARD!$C$12)),IF(DASHBOARD!$C$14="All",TRUE,$AJ370=DASHBOARD!$C$14)),1,0))</f>
        <v/>
      </c>
    </row>
    <row r="371">
      <c r="A371" t="n">
        <v>189084</v>
      </c>
      <c r="B371" t="inlineStr">
        <is>
          <t>Active Gel, Aloe Vera Gel</t>
        </is>
      </c>
      <c r="C371" t="inlineStr">
        <is>
          <t>Aloe Vera Gel</t>
        </is>
      </c>
      <c r="H371" t="inlineStr">
        <is>
          <t>Aloe Vera Gel - 80 gms, Active Orange Kiwi Vit-C Gel</t>
        </is>
      </c>
      <c r="I371" t="inlineStr">
        <is>
          <t>Aloe Vera Gel - 80 gms</t>
        </is>
      </c>
      <c r="N371" t="inlineStr">
        <is>
          <t>FC-HG-PA-080, FC-AC-OK-050</t>
        </is>
      </c>
      <c r="O371" t="inlineStr">
        <is>
          <t>FC-HG-PA-080</t>
        </is>
      </c>
      <c r="T371" t="inlineStr">
        <is>
          <t>Dec 18, 2025</t>
        </is>
      </c>
      <c r="U371" t="inlineStr">
        <is>
          <t>Feb 25, 2026</t>
        </is>
      </c>
      <c r="Z371" t="n">
        <v>69</v>
      </c>
      <c r="AE371" t="inlineStr">
        <is>
          <t>Mumbai</t>
        </is>
      </c>
      <c r="AF371" t="inlineStr">
        <is>
          <t>2025-12</t>
        </is>
      </c>
      <c r="AG371" t="n">
        <v>12</v>
      </c>
      <c r="AH371" t="n">
        <v>2</v>
      </c>
      <c r="AI371" t="n">
        <v>1</v>
      </c>
      <c r="AJ371">
        <f>IF($AE371="","",IFERROR(VLOOKUP(TRIM($AE371),DECODE!$H$3:$I$60,2,FALSE),"Rest of India"))</f>
        <v/>
      </c>
      <c r="AK371">
        <f>IF($N371="","",UPPER(TRIM(LEFT($N371&amp;",",FIND(",",$N371&amp;",")-1))))</f>
        <v/>
      </c>
      <c r="AL371">
        <f>IF($AK371="","",MID($AK371,4,FIND("~",SUBSTITUTE($AK371,"-","~",2))-4))</f>
        <v/>
      </c>
      <c r="AM371">
        <f>IF($AK371="","",MID($AK371,FIND("~",SUBSTITUTE($AK371,"-","~",2))+1,FIND("~",SUBSTITUTE($AK371,"-","~",3))-FIND("~",SUBSTITUTE($AK371,"-","~",2))-1))</f>
        <v/>
      </c>
      <c r="AN371">
        <f>IF($AL371="","",IFERROR(VLOOKUP($AL371,DECODE!$A$3:$C$8,3,FALSE),"?"))</f>
        <v/>
      </c>
      <c r="AO371">
        <f>IF($AM371="","",IFERROR(VLOOKUP($AL371&amp;"-"&amp;$AM371,DECODE!$E$3:$F$21,2,FALSE),"?"))</f>
        <v/>
      </c>
      <c r="AP371">
        <f>IF($AK371="","",IFERROR(VALUE(RIGHT($AK371,3)),""))</f>
        <v/>
      </c>
      <c r="AQ371">
        <f>IF($T371="","",IFERROR(IF(ISNUMBER($T371),$T371,DATEVALUE(TRIM($T371))),""))</f>
        <v/>
      </c>
      <c r="AR371">
        <f>IF($AQ371="","",IF(MONTH($AQ371)&gt;=12,"Cold Winter",IF(MONTH($AQ371)&gt;=10,"Post-Monsoon",IF(MONTH($AQ371)&gt;=6,"Hot Humid",IF(MONTH($AQ371)&gt;=3,"Hot Dry","Cold Winter")))))</f>
        <v/>
      </c>
      <c r="AS371">
        <f>IF($AL371="","",IFERROR(VLOOKUP($AL371,DECODE!$A$3:$C$8,2,FALSE),"?"))</f>
        <v/>
      </c>
      <c r="AT371">
        <f>IF($O371="","",UPPER(TRIM(LEFT($O371&amp;",",FIND(",",$O371&amp;",")-1))))</f>
        <v/>
      </c>
      <c r="AU371">
        <f>IF($AT371="","",MID($AT371,4,FIND("~",SUBSTITUTE($AT371,"-","~",2))-4))</f>
        <v/>
      </c>
      <c r="AV371">
        <f>IF($AT371="","",MID($AT371,FIND("~",SUBSTITUTE($AT371,"-","~",2))+1,FIND("~",SUBSTITUTE($AT371,"-","~",3))-FIND("~",SUBSTITUTE($AT371,"-","~",2))-1))</f>
        <v/>
      </c>
      <c r="AW371">
        <f>IF($AU371="","",IFERROR(VLOOKUP($AU371,DECODE!$A$3:$C$8,3,FALSE),"?"))</f>
        <v/>
      </c>
      <c r="AX371">
        <f>IF($AV371="","",IFERROR(VLOOKUP($AU371&amp;"-"&amp;$AV371,DECODE!$E$3:$F$21,2,FALSE),"?"))</f>
        <v/>
      </c>
      <c r="AY371">
        <f>IF($AT371="","",IFERROR(VALUE(RIGHT($AT371,3)),""))</f>
        <v/>
      </c>
      <c r="AZ371">
        <f>IF($U371="","",IFERROR(IF(ISNUMBER($U371),$U371,DATEVALUE(TRIM($U371))),""))</f>
        <v/>
      </c>
      <c r="BA371">
        <f>IF($AZ371="","",IF(MONTH($AZ371)&gt;=12,"Cold Winter",IF(MONTH($AZ371)&gt;=10,"Post-Monsoon",IF(MONTH($AZ371)&gt;=6,"Hot Humid",IF(MONTH($AZ371)&gt;=3,"Hot Dry","Cold Winter")))))</f>
        <v/>
      </c>
      <c r="BB371">
        <f>IF($AU371="","",IFERROR(VLOOKUP($AU371,DECODE!$A$3:$C$8,2,FALSE),"?"))</f>
        <v/>
      </c>
      <c r="BC371">
        <f>IF($P371="","",UPPER(TRIM(LEFT($P371&amp;",",FIND(",",$P371&amp;",")-1))))</f>
        <v/>
      </c>
      <c r="BD371">
        <f>IF($BC371="","",MID($BC371,4,FIND("~",SUBSTITUTE($BC371,"-","~",2))-4))</f>
        <v/>
      </c>
      <c r="BE371">
        <f>IF($BC371="","",MID($BC371,FIND("~",SUBSTITUTE($BC371,"-","~",2))+1,FIND("~",SUBSTITUTE($BC371,"-","~",3))-FIND("~",SUBSTITUTE($BC371,"-","~",2))-1))</f>
        <v/>
      </c>
      <c r="BF371">
        <f>IF($BD371="","",IFERROR(VLOOKUP($BD371,DECODE!$A$3:$C$8,3,FALSE),"?"))</f>
        <v/>
      </c>
      <c r="BG371">
        <f>IF($BE371="","",IFERROR(VLOOKUP($BD371&amp;"-"&amp;$BE371,DECODE!$E$3:$F$21,2,FALSE),"?"))</f>
        <v/>
      </c>
      <c r="BH371">
        <f>IF($BC371="","",IFERROR(VALUE(RIGHT($BC371,3)),""))</f>
        <v/>
      </c>
      <c r="BI371">
        <f>IF($V371="","",IFERROR(IF(ISNUMBER($V371),$V371,DATEVALUE(TRIM($V371))),""))</f>
        <v/>
      </c>
      <c r="BJ371">
        <f>IF($BI371="","",IF(MONTH($BI371)&gt;=12,"Cold Winter",IF(MONTH($BI371)&gt;=10,"Post-Monsoon",IF(MONTH($BI371)&gt;=6,"Hot Humid",IF(MONTH($BI371)&gt;=3,"Hot Dry","Cold Winter")))))</f>
        <v/>
      </c>
      <c r="BK371">
        <f>IF($BD371="","",IFERROR(VLOOKUP($BD371,DECODE!$A$3:$C$8,2,FALSE),"?"))</f>
        <v/>
      </c>
      <c r="BL371">
        <f>IF($Q371="","",UPPER(TRIM(LEFT($Q371&amp;",",FIND(",",$Q371&amp;",")-1))))</f>
        <v/>
      </c>
      <c r="BM371">
        <f>IF($BL371="","",MID($BL371,4,FIND("~",SUBSTITUTE($BL371,"-","~",2))-4))</f>
        <v/>
      </c>
      <c r="BN371">
        <f>IF($BL371="","",MID($BL371,FIND("~",SUBSTITUTE($BL371,"-","~",2))+1,FIND("~",SUBSTITUTE($BL371,"-","~",3))-FIND("~",SUBSTITUTE($BL371,"-","~",2))-1))</f>
        <v/>
      </c>
      <c r="BO371">
        <f>IF($BM371="","",IFERROR(VLOOKUP($BM371,DECODE!$A$3:$C$8,3,FALSE),"?"))</f>
        <v/>
      </c>
      <c r="BP371">
        <f>IF($BN371="","",IFERROR(VLOOKUP($BM371&amp;"-"&amp;$BN371,DECODE!$E$3:$F$21,2,FALSE),"?"))</f>
        <v/>
      </c>
      <c r="BQ371">
        <f>IF($BL371="","",IFERROR(VALUE(RIGHT($BL371,3)),""))</f>
        <v/>
      </c>
      <c r="BR371">
        <f>IF($W371="","",IFERROR(IF(ISNUMBER($W371),$W371,DATEVALUE(TRIM($W371))),""))</f>
        <v/>
      </c>
      <c r="BS371">
        <f>IF($BR371="","",IF(MONTH($BR371)&gt;=12,"Cold Winter",IF(MONTH($BR371)&gt;=10,"Post-Monsoon",IF(MONTH($BR371)&gt;=6,"Hot Humid",IF(MONTH($BR371)&gt;=3,"Hot Dry","Cold Winter")))))</f>
        <v/>
      </c>
      <c r="BT371">
        <f>IF($BM371="","",IFERROR(VLOOKUP($BM371,DECODE!$A$3:$C$8,2,FALSE),"?"))</f>
        <v/>
      </c>
      <c r="BU371">
        <f>IF($R371="","",UPPER(TRIM(LEFT($R371&amp;",",FIND(",",$R371&amp;",")-1))))</f>
        <v/>
      </c>
      <c r="BV371">
        <f>IF($BU371="","",MID($BU371,4,FIND("~",SUBSTITUTE($BU371,"-","~",2))-4))</f>
        <v/>
      </c>
      <c r="BW371">
        <f>IF($BU371="","",MID($BU371,FIND("~",SUBSTITUTE($BU371,"-","~",2))+1,FIND("~",SUBSTITUTE($BU371,"-","~",3))-FIND("~",SUBSTITUTE($BU371,"-","~",2))-1))</f>
        <v/>
      </c>
      <c r="BX371">
        <f>IF($BV371="","",IFERROR(VLOOKUP($BV371,DECODE!$A$3:$C$8,3,FALSE),"?"))</f>
        <v/>
      </c>
      <c r="BY371">
        <f>IF($BW371="","",IFERROR(VLOOKUP($BV371&amp;"-"&amp;$BW371,DECODE!$E$3:$F$21,2,FALSE),"?"))</f>
        <v/>
      </c>
      <c r="BZ371">
        <f>IF($BU371="","",IFERROR(VALUE(RIGHT($BU371,3)),""))</f>
        <v/>
      </c>
      <c r="CA371">
        <f>IF($X371="","",IFERROR(IF(ISNUMBER($X371),$X371,DATEVALUE(TRIM($X371))),""))</f>
        <v/>
      </c>
      <c r="CB371">
        <f>IF($CA371="","",IF(MONTH($CA371)&gt;=12,"Cold Winter",IF(MONTH($CA371)&gt;=10,"Post-Monsoon",IF(MONTH($CA371)&gt;=6,"Hot Humid",IF(MONTH($CA371)&gt;=3,"Hot Dry","Cold Winter")))))</f>
        <v/>
      </c>
      <c r="CC371">
        <f>IF($BV371="","",IFERROR(VLOOKUP($BV371,DECODE!$A$3:$C$8,2,FALSE),"?"))</f>
        <v/>
      </c>
      <c r="CD371">
        <f>IF($S371="","",UPPER(TRIM(LEFT($S371&amp;",",FIND(",",$S371&amp;",")-1))))</f>
        <v/>
      </c>
      <c r="CE371">
        <f>IF($CD371="","",MID($CD371,4,FIND("~",SUBSTITUTE($CD371,"-","~",2))-4))</f>
        <v/>
      </c>
      <c r="CF371">
        <f>IF($CD371="","",MID($CD371,FIND("~",SUBSTITUTE($CD371,"-","~",2))+1,FIND("~",SUBSTITUTE($CD371,"-","~",3))-FIND("~",SUBSTITUTE($CD371,"-","~",2))-1))</f>
        <v/>
      </c>
      <c r="CG371">
        <f>IF($CE371="","",IFERROR(VLOOKUP($CE371,DECODE!$A$3:$C$8,3,FALSE),"?"))</f>
        <v/>
      </c>
      <c r="CH371">
        <f>IF($CF371="","",IFERROR(VLOOKUP($CE371&amp;"-"&amp;$CF371,DECODE!$E$3:$F$21,2,FALSE),"?"))</f>
        <v/>
      </c>
      <c r="CI371">
        <f>IF($CD371="","",IFERROR(VALUE(RIGHT($CD371,3)),""))</f>
        <v/>
      </c>
      <c r="CJ371">
        <f>IF($Y371="","",IFERROR(IF(ISNUMBER($Y371),$Y371,DATEVALUE(TRIM($Y371))),""))</f>
        <v/>
      </c>
      <c r="CK371">
        <f>IF($CJ371="","",IF(MONTH($CJ371)&gt;=12,"Cold Winter",IF(MONTH($CJ371)&gt;=10,"Post-Monsoon",IF(MONTH($CJ371)&gt;=6,"Hot Humid",IF(MONTH($CJ371)&gt;=3,"Hot Dry","Cold Winter")))))</f>
        <v/>
      </c>
      <c r="CL371">
        <f>IF($CE371="","",IFERROR(VLOOKUP($CE371,DECODE!$A$3:$C$8,2,FALSE),"?"))</f>
        <v/>
      </c>
      <c r="CM371">
        <f>IF($AN371="","",AN371)</f>
        <v/>
      </c>
      <c r="CN371">
        <f>IF($AO371="","",AO371)</f>
        <v/>
      </c>
      <c r="CO371">
        <f>IF($AP371="","",AP371)</f>
        <v/>
      </c>
      <c r="CP371">
        <f>IF($CM371="","",IF($CM371="Aloe Vera Gel","Aloe Vera Gel "&amp;$CO371&amp;"g",CN371&amp;" "&amp;$CO371&amp;"g"))</f>
        <v/>
      </c>
      <c r="CQ371">
        <f>IF($AT371="",0,1)</f>
        <v/>
      </c>
      <c r="CR371">
        <f>IF($CQ371=0,"",AW371)</f>
        <v/>
      </c>
      <c r="CS371">
        <f>IF($CQ371=0,"",AX371)</f>
        <v/>
      </c>
      <c r="CT371">
        <f>IF($CQ371=0,"",AY371)</f>
        <v/>
      </c>
      <c r="CU371">
        <f>IF($CR371="","",IF($CR371="Aloe Vera Gel","Aloe Vera Gel "&amp;$CT371&amp;"g",CS371&amp;" "&amp;$CT371&amp;"g"))</f>
        <v/>
      </c>
      <c r="CV371">
        <f>IF($CQ371=0,"",IF($CP371=$CU371,"Repeat Exact",IF($CT371&gt;$CO371,"Upsized",IF($CT371&lt;$CO371,"Downsized",IF($CM371&lt;&gt;$CR371,"Lateral","Same Size Diff Variant")))))</f>
        <v/>
      </c>
      <c r="CW371">
        <f>IF($CQ371=0,"",AZ371-AQ371)</f>
        <v/>
      </c>
      <c r="CX371">
        <f>IF($CQ371=0,0,IF(CS371=CN371,1,0))</f>
        <v/>
      </c>
      <c r="CY371">
        <f>IF($CQ371=0,0,IF(CR371=CM371,1,0))</f>
        <v/>
      </c>
      <c r="CZ371">
        <f>IF($A371="","",IF(AND(IF(DASHBOARD!$C$4="All",TRUE,$CM371=DASHBOARD!$C$4),IF(DASHBOARD!$C$6="All",TRUE,$CP371=DASHBOARD!$C$6),IF(DASHBOARD!$C$8="All",TRUE,$AF371&gt;=DASHBOARD!$C$8),IF(DASHBOARD!$C$10="All",TRUE,$AF371&lt;=DASHBOARD!$C$10),IF(DASHBOARD!$C$12="All",TRUE,$AH371=VALUE(DASHBOARD!$C$12)),IF(DASHBOARD!$C$14="All",TRUE,$AJ371=DASHBOARD!$C$14)),1,0))</f>
        <v/>
      </c>
    </row>
    <row r="372">
      <c r="A372" t="n">
        <v>189156</v>
      </c>
      <c r="B372" t="inlineStr">
        <is>
          <t>Aloe Vera Gel</t>
        </is>
      </c>
      <c r="C372" t="inlineStr">
        <is>
          <t>Face Malai</t>
        </is>
      </c>
      <c r="H372" t="inlineStr">
        <is>
          <t>Aloe Vera Gel - 40 gms</t>
        </is>
      </c>
      <c r="I372" t="inlineStr">
        <is>
          <t>Flax Walnut (Cold) 35+ Face Malai, Cocoa Mogra (Overnight) Face Malai - 30g</t>
        </is>
      </c>
      <c r="N372" t="inlineStr">
        <is>
          <t>FC-HG-PA-040</t>
        </is>
      </c>
      <c r="O372" t="inlineStr">
        <is>
          <t>FC-CWDM-FW-030, FC-DM-NR-030</t>
        </is>
      </c>
      <c r="T372" t="inlineStr">
        <is>
          <t>Oct 7, 2024</t>
        </is>
      </c>
      <c r="U372" t="inlineStr">
        <is>
          <t>Jan 5, 2025</t>
        </is>
      </c>
      <c r="Z372" t="n">
        <v>90</v>
      </c>
      <c r="AE372" t="inlineStr">
        <is>
          <t>Meghalaya</t>
        </is>
      </c>
      <c r="AF372" t="inlineStr">
        <is>
          <t>2024-10</t>
        </is>
      </c>
      <c r="AG372" t="n">
        <v>10</v>
      </c>
      <c r="AH372" t="n">
        <v>2</v>
      </c>
      <c r="AI372" t="n">
        <v>1</v>
      </c>
      <c r="AJ372">
        <f>IF($AE372="","",IFERROR(VLOOKUP(TRIM($AE372),DECODE!$H$3:$I$60,2,FALSE),"Rest of India"))</f>
        <v/>
      </c>
      <c r="AK372">
        <f>IF($N372="","",UPPER(TRIM(LEFT($N372&amp;",",FIND(",",$N372&amp;",")-1))))</f>
        <v/>
      </c>
      <c r="AL372">
        <f>IF($AK372="","",MID($AK372,4,FIND("~",SUBSTITUTE($AK372,"-","~",2))-4))</f>
        <v/>
      </c>
      <c r="AM372">
        <f>IF($AK372="","",MID($AK372,FIND("~",SUBSTITUTE($AK372,"-","~",2))+1,FIND("~",SUBSTITUTE($AK372,"-","~",3))-FIND("~",SUBSTITUTE($AK372,"-","~",2))-1))</f>
        <v/>
      </c>
      <c r="AN372">
        <f>IF($AL372="","",IFERROR(VLOOKUP($AL372,DECODE!$A$3:$C$8,3,FALSE),"?"))</f>
        <v/>
      </c>
      <c r="AO372">
        <f>IF($AM372="","",IFERROR(VLOOKUP($AL372&amp;"-"&amp;$AM372,DECODE!$E$3:$F$21,2,FALSE),"?"))</f>
        <v/>
      </c>
      <c r="AP372">
        <f>IF($AK372="","",IFERROR(VALUE(RIGHT($AK372,3)),""))</f>
        <v/>
      </c>
      <c r="AQ372">
        <f>IF($T372="","",IFERROR(IF(ISNUMBER($T372),$T372,DATEVALUE(TRIM($T372))),""))</f>
        <v/>
      </c>
      <c r="AR372">
        <f>IF($AQ372="","",IF(MONTH($AQ372)&gt;=12,"Cold Winter",IF(MONTH($AQ372)&gt;=10,"Post-Monsoon",IF(MONTH($AQ372)&gt;=6,"Hot Humid",IF(MONTH($AQ372)&gt;=3,"Hot Dry","Cold Winter")))))</f>
        <v/>
      </c>
      <c r="AS372">
        <f>IF($AL372="","",IFERROR(VLOOKUP($AL372,DECODE!$A$3:$C$8,2,FALSE),"?"))</f>
        <v/>
      </c>
      <c r="AT372">
        <f>IF($O372="","",UPPER(TRIM(LEFT($O372&amp;",",FIND(",",$O372&amp;",")-1))))</f>
        <v/>
      </c>
      <c r="AU372">
        <f>IF($AT372="","",MID($AT372,4,FIND("~",SUBSTITUTE($AT372,"-","~",2))-4))</f>
        <v/>
      </c>
      <c r="AV372">
        <f>IF($AT372="","",MID($AT372,FIND("~",SUBSTITUTE($AT372,"-","~",2))+1,FIND("~",SUBSTITUTE($AT372,"-","~",3))-FIND("~",SUBSTITUTE($AT372,"-","~",2))-1))</f>
        <v/>
      </c>
      <c r="AW372">
        <f>IF($AU372="","",IFERROR(VLOOKUP($AU372,DECODE!$A$3:$C$8,3,FALSE),"?"))</f>
        <v/>
      </c>
      <c r="AX372">
        <f>IF($AV372="","",IFERROR(VLOOKUP($AU372&amp;"-"&amp;$AV372,DECODE!$E$3:$F$21,2,FALSE),"?"))</f>
        <v/>
      </c>
      <c r="AY372">
        <f>IF($AT372="","",IFERROR(VALUE(RIGHT($AT372,3)),""))</f>
        <v/>
      </c>
      <c r="AZ372">
        <f>IF($U372="","",IFERROR(IF(ISNUMBER($U372),$U372,DATEVALUE(TRIM($U372))),""))</f>
        <v/>
      </c>
      <c r="BA372">
        <f>IF($AZ372="","",IF(MONTH($AZ372)&gt;=12,"Cold Winter",IF(MONTH($AZ372)&gt;=10,"Post-Monsoon",IF(MONTH($AZ372)&gt;=6,"Hot Humid",IF(MONTH($AZ372)&gt;=3,"Hot Dry","Cold Winter")))))</f>
        <v/>
      </c>
      <c r="BB372">
        <f>IF($AU372="","",IFERROR(VLOOKUP($AU372,DECODE!$A$3:$C$8,2,FALSE),"?"))</f>
        <v/>
      </c>
      <c r="BC372">
        <f>IF($P372="","",UPPER(TRIM(LEFT($P372&amp;",",FIND(",",$P372&amp;",")-1))))</f>
        <v/>
      </c>
      <c r="BD372">
        <f>IF($BC372="","",MID($BC372,4,FIND("~",SUBSTITUTE($BC372,"-","~",2))-4))</f>
        <v/>
      </c>
      <c r="BE372">
        <f>IF($BC372="","",MID($BC372,FIND("~",SUBSTITUTE($BC372,"-","~",2))+1,FIND("~",SUBSTITUTE($BC372,"-","~",3))-FIND("~",SUBSTITUTE($BC372,"-","~",2))-1))</f>
        <v/>
      </c>
      <c r="BF372">
        <f>IF($BD372="","",IFERROR(VLOOKUP($BD372,DECODE!$A$3:$C$8,3,FALSE),"?"))</f>
        <v/>
      </c>
      <c r="BG372">
        <f>IF($BE372="","",IFERROR(VLOOKUP($BD372&amp;"-"&amp;$BE372,DECODE!$E$3:$F$21,2,FALSE),"?"))</f>
        <v/>
      </c>
      <c r="BH372">
        <f>IF($BC372="","",IFERROR(VALUE(RIGHT($BC372,3)),""))</f>
        <v/>
      </c>
      <c r="BI372">
        <f>IF($V372="","",IFERROR(IF(ISNUMBER($V372),$V372,DATEVALUE(TRIM($V372))),""))</f>
        <v/>
      </c>
      <c r="BJ372">
        <f>IF($BI372="","",IF(MONTH($BI372)&gt;=12,"Cold Winter",IF(MONTH($BI372)&gt;=10,"Post-Monsoon",IF(MONTH($BI372)&gt;=6,"Hot Humid",IF(MONTH($BI372)&gt;=3,"Hot Dry","Cold Winter")))))</f>
        <v/>
      </c>
      <c r="BK372">
        <f>IF($BD372="","",IFERROR(VLOOKUP($BD372,DECODE!$A$3:$C$8,2,FALSE),"?"))</f>
        <v/>
      </c>
      <c r="BL372">
        <f>IF($Q372="","",UPPER(TRIM(LEFT($Q372&amp;",",FIND(",",$Q372&amp;",")-1))))</f>
        <v/>
      </c>
      <c r="BM372">
        <f>IF($BL372="","",MID($BL372,4,FIND("~",SUBSTITUTE($BL372,"-","~",2))-4))</f>
        <v/>
      </c>
      <c r="BN372">
        <f>IF($BL372="","",MID($BL372,FIND("~",SUBSTITUTE($BL372,"-","~",2))+1,FIND("~",SUBSTITUTE($BL372,"-","~",3))-FIND("~",SUBSTITUTE($BL372,"-","~",2))-1))</f>
        <v/>
      </c>
      <c r="BO372">
        <f>IF($BM372="","",IFERROR(VLOOKUP($BM372,DECODE!$A$3:$C$8,3,FALSE),"?"))</f>
        <v/>
      </c>
      <c r="BP372">
        <f>IF($BN372="","",IFERROR(VLOOKUP($BM372&amp;"-"&amp;$BN372,DECODE!$E$3:$F$21,2,FALSE),"?"))</f>
        <v/>
      </c>
      <c r="BQ372">
        <f>IF($BL372="","",IFERROR(VALUE(RIGHT($BL372,3)),""))</f>
        <v/>
      </c>
      <c r="BR372">
        <f>IF($W372="","",IFERROR(IF(ISNUMBER($W372),$W372,DATEVALUE(TRIM($W372))),""))</f>
        <v/>
      </c>
      <c r="BS372">
        <f>IF($BR372="","",IF(MONTH($BR372)&gt;=12,"Cold Winter",IF(MONTH($BR372)&gt;=10,"Post-Monsoon",IF(MONTH($BR372)&gt;=6,"Hot Humid",IF(MONTH($BR372)&gt;=3,"Hot Dry","Cold Winter")))))</f>
        <v/>
      </c>
      <c r="BT372">
        <f>IF($BM372="","",IFERROR(VLOOKUP($BM372,DECODE!$A$3:$C$8,2,FALSE),"?"))</f>
        <v/>
      </c>
      <c r="BU372">
        <f>IF($R372="","",UPPER(TRIM(LEFT($R372&amp;",",FIND(",",$R372&amp;",")-1))))</f>
        <v/>
      </c>
      <c r="BV372">
        <f>IF($BU372="","",MID($BU372,4,FIND("~",SUBSTITUTE($BU372,"-","~",2))-4))</f>
        <v/>
      </c>
      <c r="BW372">
        <f>IF($BU372="","",MID($BU372,FIND("~",SUBSTITUTE($BU372,"-","~",2))+1,FIND("~",SUBSTITUTE($BU372,"-","~",3))-FIND("~",SUBSTITUTE($BU372,"-","~",2))-1))</f>
        <v/>
      </c>
      <c r="BX372">
        <f>IF($BV372="","",IFERROR(VLOOKUP($BV372,DECODE!$A$3:$C$8,3,FALSE),"?"))</f>
        <v/>
      </c>
      <c r="BY372">
        <f>IF($BW372="","",IFERROR(VLOOKUP($BV372&amp;"-"&amp;$BW372,DECODE!$E$3:$F$21,2,FALSE),"?"))</f>
        <v/>
      </c>
      <c r="BZ372">
        <f>IF($BU372="","",IFERROR(VALUE(RIGHT($BU372,3)),""))</f>
        <v/>
      </c>
      <c r="CA372">
        <f>IF($X372="","",IFERROR(IF(ISNUMBER($X372),$X372,DATEVALUE(TRIM($X372))),""))</f>
        <v/>
      </c>
      <c r="CB372">
        <f>IF($CA372="","",IF(MONTH($CA372)&gt;=12,"Cold Winter",IF(MONTH($CA372)&gt;=10,"Post-Monsoon",IF(MONTH($CA372)&gt;=6,"Hot Humid",IF(MONTH($CA372)&gt;=3,"Hot Dry","Cold Winter")))))</f>
        <v/>
      </c>
      <c r="CC372">
        <f>IF($BV372="","",IFERROR(VLOOKUP($BV372,DECODE!$A$3:$C$8,2,FALSE),"?"))</f>
        <v/>
      </c>
      <c r="CD372">
        <f>IF($S372="","",UPPER(TRIM(LEFT($S372&amp;",",FIND(",",$S372&amp;",")-1))))</f>
        <v/>
      </c>
      <c r="CE372">
        <f>IF($CD372="","",MID($CD372,4,FIND("~",SUBSTITUTE($CD372,"-","~",2))-4))</f>
        <v/>
      </c>
      <c r="CF372">
        <f>IF($CD372="","",MID($CD372,FIND("~",SUBSTITUTE($CD372,"-","~",2))+1,FIND("~",SUBSTITUTE($CD372,"-","~",3))-FIND("~",SUBSTITUTE($CD372,"-","~",2))-1))</f>
        <v/>
      </c>
      <c r="CG372">
        <f>IF($CE372="","",IFERROR(VLOOKUP($CE372,DECODE!$A$3:$C$8,3,FALSE),"?"))</f>
        <v/>
      </c>
      <c r="CH372">
        <f>IF($CF372="","",IFERROR(VLOOKUP($CE372&amp;"-"&amp;$CF372,DECODE!$E$3:$F$21,2,FALSE),"?"))</f>
        <v/>
      </c>
      <c r="CI372">
        <f>IF($CD372="","",IFERROR(VALUE(RIGHT($CD372,3)),""))</f>
        <v/>
      </c>
      <c r="CJ372">
        <f>IF($Y372="","",IFERROR(IF(ISNUMBER($Y372),$Y372,DATEVALUE(TRIM($Y372))),""))</f>
        <v/>
      </c>
      <c r="CK372">
        <f>IF($CJ372="","",IF(MONTH($CJ372)&gt;=12,"Cold Winter",IF(MONTH($CJ372)&gt;=10,"Post-Monsoon",IF(MONTH($CJ372)&gt;=6,"Hot Humid",IF(MONTH($CJ372)&gt;=3,"Hot Dry","Cold Winter")))))</f>
        <v/>
      </c>
      <c r="CL372">
        <f>IF($CE372="","",IFERROR(VLOOKUP($CE372,DECODE!$A$3:$C$8,2,FALSE),"?"))</f>
        <v/>
      </c>
      <c r="CM372">
        <f>IF($AN372="","",AN372)</f>
        <v/>
      </c>
      <c r="CN372">
        <f>IF($AO372="","",AO372)</f>
        <v/>
      </c>
      <c r="CO372">
        <f>IF($AP372="","",AP372)</f>
        <v/>
      </c>
      <c r="CP372">
        <f>IF($CM372="","",IF($CM372="Aloe Vera Gel","Aloe Vera Gel "&amp;$CO372&amp;"g",CN372&amp;" "&amp;$CO372&amp;"g"))</f>
        <v/>
      </c>
      <c r="CQ372">
        <f>IF($AT372="",0,1)</f>
        <v/>
      </c>
      <c r="CR372">
        <f>IF($CQ372=0,"",AW372)</f>
        <v/>
      </c>
      <c r="CS372">
        <f>IF($CQ372=0,"",AX372)</f>
        <v/>
      </c>
      <c r="CT372">
        <f>IF($CQ372=0,"",AY372)</f>
        <v/>
      </c>
      <c r="CU372">
        <f>IF($CR372="","",IF($CR372="Aloe Vera Gel","Aloe Vera Gel "&amp;$CT372&amp;"g",CS372&amp;" "&amp;$CT372&amp;"g"))</f>
        <v/>
      </c>
      <c r="CV372">
        <f>IF($CQ372=0,"",IF($CP372=$CU372,"Repeat Exact",IF($CT372&gt;$CO372,"Upsized",IF($CT372&lt;$CO372,"Downsized",IF($CM372&lt;&gt;$CR372,"Lateral","Same Size Diff Variant")))))</f>
        <v/>
      </c>
      <c r="CW372">
        <f>IF($CQ372=0,"",AZ372-AQ372)</f>
        <v/>
      </c>
      <c r="CX372">
        <f>IF($CQ372=0,0,IF(CS372=CN372,1,0))</f>
        <v/>
      </c>
      <c r="CY372">
        <f>IF($CQ372=0,0,IF(CR372=CM372,1,0))</f>
        <v/>
      </c>
      <c r="CZ372">
        <f>IF($A372="","",IF(AND(IF(DASHBOARD!$C$4="All",TRUE,$CM372=DASHBOARD!$C$4),IF(DASHBOARD!$C$6="All",TRUE,$CP372=DASHBOARD!$C$6),IF(DASHBOARD!$C$8="All",TRUE,$AF372&gt;=DASHBOARD!$C$8),IF(DASHBOARD!$C$10="All",TRUE,$AF372&lt;=DASHBOARD!$C$10),IF(DASHBOARD!$C$12="All",TRUE,$AH372=VALUE(DASHBOARD!$C$12)),IF(DASHBOARD!$C$14="All",TRUE,$AJ372=DASHBOARD!$C$14)),1,0))</f>
        <v/>
      </c>
    </row>
    <row r="373">
      <c r="A373" t="n">
        <v>189501</v>
      </c>
      <c r="B373" t="inlineStr">
        <is>
          <t>Face Malai</t>
        </is>
      </c>
      <c r="H373" t="inlineStr">
        <is>
          <t>Cocoa Mogra (Overnight) Face Malai - 30g</t>
        </is>
      </c>
      <c r="N373" t="inlineStr">
        <is>
          <t>FC-DM-NR-030</t>
        </is>
      </c>
      <c r="T373" t="inlineStr">
        <is>
          <t>Jun 26, 2025</t>
        </is>
      </c>
      <c r="AE373" t="inlineStr">
        <is>
          <t>New Delhi</t>
        </is>
      </c>
      <c r="AF373" t="inlineStr">
        <is>
          <t>2025-06</t>
        </is>
      </c>
      <c r="AG373" t="n">
        <v>6</v>
      </c>
      <c r="AH373" t="n">
        <v>1</v>
      </c>
      <c r="AI373" t="n">
        <v>0</v>
      </c>
      <c r="AJ373">
        <f>IF($AE373="","",IFERROR(VLOOKUP(TRIM($AE373),DECODE!$H$3:$I$60,2,FALSE),"Rest of India"))</f>
        <v/>
      </c>
      <c r="AK373">
        <f>IF($N373="","",UPPER(TRIM(LEFT($N373&amp;",",FIND(",",$N373&amp;",")-1))))</f>
        <v/>
      </c>
      <c r="AL373">
        <f>IF($AK373="","",MID($AK373,4,FIND("~",SUBSTITUTE($AK373,"-","~",2))-4))</f>
        <v/>
      </c>
      <c r="AM373">
        <f>IF($AK373="","",MID($AK373,FIND("~",SUBSTITUTE($AK373,"-","~",2))+1,FIND("~",SUBSTITUTE($AK373,"-","~",3))-FIND("~",SUBSTITUTE($AK373,"-","~",2))-1))</f>
        <v/>
      </c>
      <c r="AN373">
        <f>IF($AL373="","",IFERROR(VLOOKUP($AL373,DECODE!$A$3:$C$8,3,FALSE),"?"))</f>
        <v/>
      </c>
      <c r="AO373">
        <f>IF($AM373="","",IFERROR(VLOOKUP($AL373&amp;"-"&amp;$AM373,DECODE!$E$3:$F$21,2,FALSE),"?"))</f>
        <v/>
      </c>
      <c r="AP373">
        <f>IF($AK373="","",IFERROR(VALUE(RIGHT($AK373,3)),""))</f>
        <v/>
      </c>
      <c r="AQ373">
        <f>IF($T373="","",IFERROR(IF(ISNUMBER($T373),$T373,DATEVALUE(TRIM($T373))),""))</f>
        <v/>
      </c>
      <c r="AR373">
        <f>IF($AQ373="","",IF(MONTH($AQ373)&gt;=12,"Cold Winter",IF(MONTH($AQ373)&gt;=10,"Post-Monsoon",IF(MONTH($AQ373)&gt;=6,"Hot Humid",IF(MONTH($AQ373)&gt;=3,"Hot Dry","Cold Winter")))))</f>
        <v/>
      </c>
      <c r="AS373">
        <f>IF($AL373="","",IFERROR(VLOOKUP($AL373,DECODE!$A$3:$C$8,2,FALSE),"?"))</f>
        <v/>
      </c>
      <c r="AT373">
        <f>IF($O373="","",UPPER(TRIM(LEFT($O373&amp;",",FIND(",",$O373&amp;",")-1))))</f>
        <v/>
      </c>
      <c r="AU373">
        <f>IF($AT373="","",MID($AT373,4,FIND("~",SUBSTITUTE($AT373,"-","~",2))-4))</f>
        <v/>
      </c>
      <c r="AV373">
        <f>IF($AT373="","",MID($AT373,FIND("~",SUBSTITUTE($AT373,"-","~",2))+1,FIND("~",SUBSTITUTE($AT373,"-","~",3))-FIND("~",SUBSTITUTE($AT373,"-","~",2))-1))</f>
        <v/>
      </c>
      <c r="AW373">
        <f>IF($AU373="","",IFERROR(VLOOKUP($AU373,DECODE!$A$3:$C$8,3,FALSE),"?"))</f>
        <v/>
      </c>
      <c r="AX373">
        <f>IF($AV373="","",IFERROR(VLOOKUP($AU373&amp;"-"&amp;$AV373,DECODE!$E$3:$F$21,2,FALSE),"?"))</f>
        <v/>
      </c>
      <c r="AY373">
        <f>IF($AT373="","",IFERROR(VALUE(RIGHT($AT373,3)),""))</f>
        <v/>
      </c>
      <c r="AZ373">
        <f>IF($U373="","",IFERROR(IF(ISNUMBER($U373),$U373,DATEVALUE(TRIM($U373))),""))</f>
        <v/>
      </c>
      <c r="BA373">
        <f>IF($AZ373="","",IF(MONTH($AZ373)&gt;=12,"Cold Winter",IF(MONTH($AZ373)&gt;=10,"Post-Monsoon",IF(MONTH($AZ373)&gt;=6,"Hot Humid",IF(MONTH($AZ373)&gt;=3,"Hot Dry","Cold Winter")))))</f>
        <v/>
      </c>
      <c r="BB373">
        <f>IF($AU373="","",IFERROR(VLOOKUP($AU373,DECODE!$A$3:$C$8,2,FALSE),"?"))</f>
        <v/>
      </c>
      <c r="BC373">
        <f>IF($P373="","",UPPER(TRIM(LEFT($P373&amp;",",FIND(",",$P373&amp;",")-1))))</f>
        <v/>
      </c>
      <c r="BD373">
        <f>IF($BC373="","",MID($BC373,4,FIND("~",SUBSTITUTE($BC373,"-","~",2))-4))</f>
        <v/>
      </c>
      <c r="BE373">
        <f>IF($BC373="","",MID($BC373,FIND("~",SUBSTITUTE($BC373,"-","~",2))+1,FIND("~",SUBSTITUTE($BC373,"-","~",3))-FIND("~",SUBSTITUTE($BC373,"-","~",2))-1))</f>
        <v/>
      </c>
      <c r="BF373">
        <f>IF($BD373="","",IFERROR(VLOOKUP($BD373,DECODE!$A$3:$C$8,3,FALSE),"?"))</f>
        <v/>
      </c>
      <c r="BG373">
        <f>IF($BE373="","",IFERROR(VLOOKUP($BD373&amp;"-"&amp;$BE373,DECODE!$E$3:$F$21,2,FALSE),"?"))</f>
        <v/>
      </c>
      <c r="BH373">
        <f>IF($BC373="","",IFERROR(VALUE(RIGHT($BC373,3)),""))</f>
        <v/>
      </c>
      <c r="BI373">
        <f>IF($V373="","",IFERROR(IF(ISNUMBER($V373),$V373,DATEVALUE(TRIM($V373))),""))</f>
        <v/>
      </c>
      <c r="BJ373">
        <f>IF($BI373="","",IF(MONTH($BI373)&gt;=12,"Cold Winter",IF(MONTH($BI373)&gt;=10,"Post-Monsoon",IF(MONTH($BI373)&gt;=6,"Hot Humid",IF(MONTH($BI373)&gt;=3,"Hot Dry","Cold Winter")))))</f>
        <v/>
      </c>
      <c r="BK373">
        <f>IF($BD373="","",IFERROR(VLOOKUP($BD373,DECODE!$A$3:$C$8,2,FALSE),"?"))</f>
        <v/>
      </c>
      <c r="BL373">
        <f>IF($Q373="","",UPPER(TRIM(LEFT($Q373&amp;",",FIND(",",$Q373&amp;",")-1))))</f>
        <v/>
      </c>
      <c r="BM373">
        <f>IF($BL373="","",MID($BL373,4,FIND("~",SUBSTITUTE($BL373,"-","~",2))-4))</f>
        <v/>
      </c>
      <c r="BN373">
        <f>IF($BL373="","",MID($BL373,FIND("~",SUBSTITUTE($BL373,"-","~",2))+1,FIND("~",SUBSTITUTE($BL373,"-","~",3))-FIND("~",SUBSTITUTE($BL373,"-","~",2))-1))</f>
        <v/>
      </c>
      <c r="BO373">
        <f>IF($BM373="","",IFERROR(VLOOKUP($BM373,DECODE!$A$3:$C$8,3,FALSE),"?"))</f>
        <v/>
      </c>
      <c r="BP373">
        <f>IF($BN373="","",IFERROR(VLOOKUP($BM373&amp;"-"&amp;$BN373,DECODE!$E$3:$F$21,2,FALSE),"?"))</f>
        <v/>
      </c>
      <c r="BQ373">
        <f>IF($BL373="","",IFERROR(VALUE(RIGHT($BL373,3)),""))</f>
        <v/>
      </c>
      <c r="BR373">
        <f>IF($W373="","",IFERROR(IF(ISNUMBER($W373),$W373,DATEVALUE(TRIM($W373))),""))</f>
        <v/>
      </c>
      <c r="BS373">
        <f>IF($BR373="","",IF(MONTH($BR373)&gt;=12,"Cold Winter",IF(MONTH($BR373)&gt;=10,"Post-Monsoon",IF(MONTH($BR373)&gt;=6,"Hot Humid",IF(MONTH($BR373)&gt;=3,"Hot Dry","Cold Winter")))))</f>
        <v/>
      </c>
      <c r="BT373">
        <f>IF($BM373="","",IFERROR(VLOOKUP($BM373,DECODE!$A$3:$C$8,2,FALSE),"?"))</f>
        <v/>
      </c>
      <c r="BU373">
        <f>IF($R373="","",UPPER(TRIM(LEFT($R373&amp;",",FIND(",",$R373&amp;",")-1))))</f>
        <v/>
      </c>
      <c r="BV373">
        <f>IF($BU373="","",MID($BU373,4,FIND("~",SUBSTITUTE($BU373,"-","~",2))-4))</f>
        <v/>
      </c>
      <c r="BW373">
        <f>IF($BU373="","",MID($BU373,FIND("~",SUBSTITUTE($BU373,"-","~",2))+1,FIND("~",SUBSTITUTE($BU373,"-","~",3))-FIND("~",SUBSTITUTE($BU373,"-","~",2))-1))</f>
        <v/>
      </c>
      <c r="BX373">
        <f>IF($BV373="","",IFERROR(VLOOKUP($BV373,DECODE!$A$3:$C$8,3,FALSE),"?"))</f>
        <v/>
      </c>
      <c r="BY373">
        <f>IF($BW373="","",IFERROR(VLOOKUP($BV373&amp;"-"&amp;$BW373,DECODE!$E$3:$F$21,2,FALSE),"?"))</f>
        <v/>
      </c>
      <c r="BZ373">
        <f>IF($BU373="","",IFERROR(VALUE(RIGHT($BU373,3)),""))</f>
        <v/>
      </c>
      <c r="CA373">
        <f>IF($X373="","",IFERROR(IF(ISNUMBER($X373),$X373,DATEVALUE(TRIM($X373))),""))</f>
        <v/>
      </c>
      <c r="CB373">
        <f>IF($CA373="","",IF(MONTH($CA373)&gt;=12,"Cold Winter",IF(MONTH($CA373)&gt;=10,"Post-Monsoon",IF(MONTH($CA373)&gt;=6,"Hot Humid",IF(MONTH($CA373)&gt;=3,"Hot Dry","Cold Winter")))))</f>
        <v/>
      </c>
      <c r="CC373">
        <f>IF($BV373="","",IFERROR(VLOOKUP($BV373,DECODE!$A$3:$C$8,2,FALSE),"?"))</f>
        <v/>
      </c>
      <c r="CD373">
        <f>IF($S373="","",UPPER(TRIM(LEFT($S373&amp;",",FIND(",",$S373&amp;",")-1))))</f>
        <v/>
      </c>
      <c r="CE373">
        <f>IF($CD373="","",MID($CD373,4,FIND("~",SUBSTITUTE($CD373,"-","~",2))-4))</f>
        <v/>
      </c>
      <c r="CF373">
        <f>IF($CD373="","",MID($CD373,FIND("~",SUBSTITUTE($CD373,"-","~",2))+1,FIND("~",SUBSTITUTE($CD373,"-","~",3))-FIND("~",SUBSTITUTE($CD373,"-","~",2))-1))</f>
        <v/>
      </c>
      <c r="CG373">
        <f>IF($CE373="","",IFERROR(VLOOKUP($CE373,DECODE!$A$3:$C$8,3,FALSE),"?"))</f>
        <v/>
      </c>
      <c r="CH373">
        <f>IF($CF373="","",IFERROR(VLOOKUP($CE373&amp;"-"&amp;$CF373,DECODE!$E$3:$F$21,2,FALSE),"?"))</f>
        <v/>
      </c>
      <c r="CI373">
        <f>IF($CD373="","",IFERROR(VALUE(RIGHT($CD373,3)),""))</f>
        <v/>
      </c>
      <c r="CJ373">
        <f>IF($Y373="","",IFERROR(IF(ISNUMBER($Y373),$Y373,DATEVALUE(TRIM($Y373))),""))</f>
        <v/>
      </c>
      <c r="CK373">
        <f>IF($CJ373="","",IF(MONTH($CJ373)&gt;=12,"Cold Winter",IF(MONTH($CJ373)&gt;=10,"Post-Monsoon",IF(MONTH($CJ373)&gt;=6,"Hot Humid",IF(MONTH($CJ373)&gt;=3,"Hot Dry","Cold Winter")))))</f>
        <v/>
      </c>
      <c r="CL373">
        <f>IF($CE373="","",IFERROR(VLOOKUP($CE373,DECODE!$A$3:$C$8,2,FALSE),"?"))</f>
        <v/>
      </c>
      <c r="CM373">
        <f>IF($AN373="","",AN373)</f>
        <v/>
      </c>
      <c r="CN373">
        <f>IF($AO373="","",AO373)</f>
        <v/>
      </c>
      <c r="CO373">
        <f>IF($AP373="","",AP373)</f>
        <v/>
      </c>
      <c r="CP373">
        <f>IF($CM373="","",IF($CM373="Aloe Vera Gel","Aloe Vera Gel "&amp;$CO373&amp;"g",CN373&amp;" "&amp;$CO373&amp;"g"))</f>
        <v/>
      </c>
      <c r="CQ373">
        <f>IF($AT373="",0,1)</f>
        <v/>
      </c>
      <c r="CR373">
        <f>IF($CQ373=0,"",AW373)</f>
        <v/>
      </c>
      <c r="CS373">
        <f>IF($CQ373=0,"",AX373)</f>
        <v/>
      </c>
      <c r="CT373">
        <f>IF($CQ373=0,"",AY373)</f>
        <v/>
      </c>
      <c r="CU373">
        <f>IF($CR373="","",IF($CR373="Aloe Vera Gel","Aloe Vera Gel "&amp;$CT373&amp;"g",CS373&amp;" "&amp;$CT373&amp;"g"))</f>
        <v/>
      </c>
      <c r="CV373">
        <f>IF($CQ373=0,"",IF($CP373=$CU373,"Repeat Exact",IF($CT373&gt;$CO373,"Upsized",IF($CT373&lt;$CO373,"Downsized",IF($CM373&lt;&gt;$CR373,"Lateral","Same Size Diff Variant")))))</f>
        <v/>
      </c>
      <c r="CW373">
        <f>IF($CQ373=0,"",AZ373-AQ373)</f>
        <v/>
      </c>
      <c r="CX373">
        <f>IF($CQ373=0,0,IF(CS373=CN373,1,0))</f>
        <v/>
      </c>
      <c r="CY373">
        <f>IF($CQ373=0,0,IF(CR373=CM373,1,0))</f>
        <v/>
      </c>
      <c r="CZ373">
        <f>IF($A373="","",IF(AND(IF(DASHBOARD!$C$4="All",TRUE,$CM373=DASHBOARD!$C$4),IF(DASHBOARD!$C$6="All",TRUE,$CP373=DASHBOARD!$C$6),IF(DASHBOARD!$C$8="All",TRUE,$AF373&gt;=DASHBOARD!$C$8),IF(DASHBOARD!$C$10="All",TRUE,$AF373&lt;=DASHBOARD!$C$10),IF(DASHBOARD!$C$12="All",TRUE,$AH373=VALUE(DASHBOARD!$C$12)),IF(DASHBOARD!$C$14="All",TRUE,$AJ373=DASHBOARD!$C$14)),1,0))</f>
        <v/>
      </c>
    </row>
    <row r="374">
      <c r="A374" t="n">
        <v>190359</v>
      </c>
      <c r="B374" t="inlineStr">
        <is>
          <t>Aloe Vera Gel</t>
        </is>
      </c>
      <c r="H374" t="inlineStr">
        <is>
          <t>Aloe Vera Gel - 40 gms</t>
        </is>
      </c>
      <c r="N374" t="inlineStr">
        <is>
          <t>FC-HG-PA-040</t>
        </is>
      </c>
      <c r="T374" t="inlineStr">
        <is>
          <t>Jan 2, 2025</t>
        </is>
      </c>
      <c r="AE374" t="inlineStr">
        <is>
          <t>Jabalpur</t>
        </is>
      </c>
      <c r="AF374" t="inlineStr">
        <is>
          <t>2025-01</t>
        </is>
      </c>
      <c r="AG374" t="n">
        <v>1</v>
      </c>
      <c r="AH374" t="n">
        <v>1</v>
      </c>
      <c r="AI374" t="n">
        <v>0</v>
      </c>
      <c r="AJ374">
        <f>IF($AE374="","",IFERROR(VLOOKUP(TRIM($AE374),DECODE!$H$3:$I$60,2,FALSE),"Rest of India"))</f>
        <v/>
      </c>
      <c r="AK374">
        <f>IF($N374="","",UPPER(TRIM(LEFT($N374&amp;",",FIND(",",$N374&amp;",")-1))))</f>
        <v/>
      </c>
      <c r="AL374">
        <f>IF($AK374="","",MID($AK374,4,FIND("~",SUBSTITUTE($AK374,"-","~",2))-4))</f>
        <v/>
      </c>
      <c r="AM374">
        <f>IF($AK374="","",MID($AK374,FIND("~",SUBSTITUTE($AK374,"-","~",2))+1,FIND("~",SUBSTITUTE($AK374,"-","~",3))-FIND("~",SUBSTITUTE($AK374,"-","~",2))-1))</f>
        <v/>
      </c>
      <c r="AN374">
        <f>IF($AL374="","",IFERROR(VLOOKUP($AL374,DECODE!$A$3:$C$8,3,FALSE),"?"))</f>
        <v/>
      </c>
      <c r="AO374">
        <f>IF($AM374="","",IFERROR(VLOOKUP($AL374&amp;"-"&amp;$AM374,DECODE!$E$3:$F$21,2,FALSE),"?"))</f>
        <v/>
      </c>
      <c r="AP374">
        <f>IF($AK374="","",IFERROR(VALUE(RIGHT($AK374,3)),""))</f>
        <v/>
      </c>
      <c r="AQ374">
        <f>IF($T374="","",IFERROR(IF(ISNUMBER($T374),$T374,DATEVALUE(TRIM($T374))),""))</f>
        <v/>
      </c>
      <c r="AR374">
        <f>IF($AQ374="","",IF(MONTH($AQ374)&gt;=12,"Cold Winter",IF(MONTH($AQ374)&gt;=10,"Post-Monsoon",IF(MONTH($AQ374)&gt;=6,"Hot Humid",IF(MONTH($AQ374)&gt;=3,"Hot Dry","Cold Winter")))))</f>
        <v/>
      </c>
      <c r="AS374">
        <f>IF($AL374="","",IFERROR(VLOOKUP($AL374,DECODE!$A$3:$C$8,2,FALSE),"?"))</f>
        <v/>
      </c>
      <c r="AT374">
        <f>IF($O374="","",UPPER(TRIM(LEFT($O374&amp;",",FIND(",",$O374&amp;",")-1))))</f>
        <v/>
      </c>
      <c r="AU374">
        <f>IF($AT374="","",MID($AT374,4,FIND("~",SUBSTITUTE($AT374,"-","~",2))-4))</f>
        <v/>
      </c>
      <c r="AV374">
        <f>IF($AT374="","",MID($AT374,FIND("~",SUBSTITUTE($AT374,"-","~",2))+1,FIND("~",SUBSTITUTE($AT374,"-","~",3))-FIND("~",SUBSTITUTE($AT374,"-","~",2))-1))</f>
        <v/>
      </c>
      <c r="AW374">
        <f>IF($AU374="","",IFERROR(VLOOKUP($AU374,DECODE!$A$3:$C$8,3,FALSE),"?"))</f>
        <v/>
      </c>
      <c r="AX374">
        <f>IF($AV374="","",IFERROR(VLOOKUP($AU374&amp;"-"&amp;$AV374,DECODE!$E$3:$F$21,2,FALSE),"?"))</f>
        <v/>
      </c>
      <c r="AY374">
        <f>IF($AT374="","",IFERROR(VALUE(RIGHT($AT374,3)),""))</f>
        <v/>
      </c>
      <c r="AZ374">
        <f>IF($U374="","",IFERROR(IF(ISNUMBER($U374),$U374,DATEVALUE(TRIM($U374))),""))</f>
        <v/>
      </c>
      <c r="BA374">
        <f>IF($AZ374="","",IF(MONTH($AZ374)&gt;=12,"Cold Winter",IF(MONTH($AZ374)&gt;=10,"Post-Monsoon",IF(MONTH($AZ374)&gt;=6,"Hot Humid",IF(MONTH($AZ374)&gt;=3,"Hot Dry","Cold Winter")))))</f>
        <v/>
      </c>
      <c r="BB374">
        <f>IF($AU374="","",IFERROR(VLOOKUP($AU374,DECODE!$A$3:$C$8,2,FALSE),"?"))</f>
        <v/>
      </c>
      <c r="BC374">
        <f>IF($P374="","",UPPER(TRIM(LEFT($P374&amp;",",FIND(",",$P374&amp;",")-1))))</f>
        <v/>
      </c>
      <c r="BD374">
        <f>IF($BC374="","",MID($BC374,4,FIND("~",SUBSTITUTE($BC374,"-","~",2))-4))</f>
        <v/>
      </c>
      <c r="BE374">
        <f>IF($BC374="","",MID($BC374,FIND("~",SUBSTITUTE($BC374,"-","~",2))+1,FIND("~",SUBSTITUTE($BC374,"-","~",3))-FIND("~",SUBSTITUTE($BC374,"-","~",2))-1))</f>
        <v/>
      </c>
      <c r="BF374">
        <f>IF($BD374="","",IFERROR(VLOOKUP($BD374,DECODE!$A$3:$C$8,3,FALSE),"?"))</f>
        <v/>
      </c>
      <c r="BG374">
        <f>IF($BE374="","",IFERROR(VLOOKUP($BD374&amp;"-"&amp;$BE374,DECODE!$E$3:$F$21,2,FALSE),"?"))</f>
        <v/>
      </c>
      <c r="BH374">
        <f>IF($BC374="","",IFERROR(VALUE(RIGHT($BC374,3)),""))</f>
        <v/>
      </c>
      <c r="BI374">
        <f>IF($V374="","",IFERROR(IF(ISNUMBER($V374),$V374,DATEVALUE(TRIM($V374))),""))</f>
        <v/>
      </c>
      <c r="BJ374">
        <f>IF($BI374="","",IF(MONTH($BI374)&gt;=12,"Cold Winter",IF(MONTH($BI374)&gt;=10,"Post-Monsoon",IF(MONTH($BI374)&gt;=6,"Hot Humid",IF(MONTH($BI374)&gt;=3,"Hot Dry","Cold Winter")))))</f>
        <v/>
      </c>
      <c r="BK374">
        <f>IF($BD374="","",IFERROR(VLOOKUP($BD374,DECODE!$A$3:$C$8,2,FALSE),"?"))</f>
        <v/>
      </c>
      <c r="BL374">
        <f>IF($Q374="","",UPPER(TRIM(LEFT($Q374&amp;",",FIND(",",$Q374&amp;",")-1))))</f>
        <v/>
      </c>
      <c r="BM374">
        <f>IF($BL374="","",MID($BL374,4,FIND("~",SUBSTITUTE($BL374,"-","~",2))-4))</f>
        <v/>
      </c>
      <c r="BN374">
        <f>IF($BL374="","",MID($BL374,FIND("~",SUBSTITUTE($BL374,"-","~",2))+1,FIND("~",SUBSTITUTE($BL374,"-","~",3))-FIND("~",SUBSTITUTE($BL374,"-","~",2))-1))</f>
        <v/>
      </c>
      <c r="BO374">
        <f>IF($BM374="","",IFERROR(VLOOKUP($BM374,DECODE!$A$3:$C$8,3,FALSE),"?"))</f>
        <v/>
      </c>
      <c r="BP374">
        <f>IF($BN374="","",IFERROR(VLOOKUP($BM374&amp;"-"&amp;$BN374,DECODE!$E$3:$F$21,2,FALSE),"?"))</f>
        <v/>
      </c>
      <c r="BQ374">
        <f>IF($BL374="","",IFERROR(VALUE(RIGHT($BL374,3)),""))</f>
        <v/>
      </c>
      <c r="BR374">
        <f>IF($W374="","",IFERROR(IF(ISNUMBER($W374),$W374,DATEVALUE(TRIM($W374))),""))</f>
        <v/>
      </c>
      <c r="BS374">
        <f>IF($BR374="","",IF(MONTH($BR374)&gt;=12,"Cold Winter",IF(MONTH($BR374)&gt;=10,"Post-Monsoon",IF(MONTH($BR374)&gt;=6,"Hot Humid",IF(MONTH($BR374)&gt;=3,"Hot Dry","Cold Winter")))))</f>
        <v/>
      </c>
      <c r="BT374">
        <f>IF($BM374="","",IFERROR(VLOOKUP($BM374,DECODE!$A$3:$C$8,2,FALSE),"?"))</f>
        <v/>
      </c>
      <c r="BU374">
        <f>IF($R374="","",UPPER(TRIM(LEFT($R374&amp;",",FIND(",",$R374&amp;",")-1))))</f>
        <v/>
      </c>
      <c r="BV374">
        <f>IF($BU374="","",MID($BU374,4,FIND("~",SUBSTITUTE($BU374,"-","~",2))-4))</f>
        <v/>
      </c>
      <c r="BW374">
        <f>IF($BU374="","",MID($BU374,FIND("~",SUBSTITUTE($BU374,"-","~",2))+1,FIND("~",SUBSTITUTE($BU374,"-","~",3))-FIND("~",SUBSTITUTE($BU374,"-","~",2))-1))</f>
        <v/>
      </c>
      <c r="BX374">
        <f>IF($BV374="","",IFERROR(VLOOKUP($BV374,DECODE!$A$3:$C$8,3,FALSE),"?"))</f>
        <v/>
      </c>
      <c r="BY374">
        <f>IF($BW374="","",IFERROR(VLOOKUP($BV374&amp;"-"&amp;$BW374,DECODE!$E$3:$F$21,2,FALSE),"?"))</f>
        <v/>
      </c>
      <c r="BZ374">
        <f>IF($BU374="","",IFERROR(VALUE(RIGHT($BU374,3)),""))</f>
        <v/>
      </c>
      <c r="CA374">
        <f>IF($X374="","",IFERROR(IF(ISNUMBER($X374),$X374,DATEVALUE(TRIM($X374))),""))</f>
        <v/>
      </c>
      <c r="CB374">
        <f>IF($CA374="","",IF(MONTH($CA374)&gt;=12,"Cold Winter",IF(MONTH($CA374)&gt;=10,"Post-Monsoon",IF(MONTH($CA374)&gt;=6,"Hot Humid",IF(MONTH($CA374)&gt;=3,"Hot Dry","Cold Winter")))))</f>
        <v/>
      </c>
      <c r="CC374">
        <f>IF($BV374="","",IFERROR(VLOOKUP($BV374,DECODE!$A$3:$C$8,2,FALSE),"?"))</f>
        <v/>
      </c>
      <c r="CD374">
        <f>IF($S374="","",UPPER(TRIM(LEFT($S374&amp;",",FIND(",",$S374&amp;",")-1))))</f>
        <v/>
      </c>
      <c r="CE374">
        <f>IF($CD374="","",MID($CD374,4,FIND("~",SUBSTITUTE($CD374,"-","~",2))-4))</f>
        <v/>
      </c>
      <c r="CF374">
        <f>IF($CD374="","",MID($CD374,FIND("~",SUBSTITUTE($CD374,"-","~",2))+1,FIND("~",SUBSTITUTE($CD374,"-","~",3))-FIND("~",SUBSTITUTE($CD374,"-","~",2))-1))</f>
        <v/>
      </c>
      <c r="CG374">
        <f>IF($CE374="","",IFERROR(VLOOKUP($CE374,DECODE!$A$3:$C$8,3,FALSE),"?"))</f>
        <v/>
      </c>
      <c r="CH374">
        <f>IF($CF374="","",IFERROR(VLOOKUP($CE374&amp;"-"&amp;$CF374,DECODE!$E$3:$F$21,2,FALSE),"?"))</f>
        <v/>
      </c>
      <c r="CI374">
        <f>IF($CD374="","",IFERROR(VALUE(RIGHT($CD374,3)),""))</f>
        <v/>
      </c>
      <c r="CJ374">
        <f>IF($Y374="","",IFERROR(IF(ISNUMBER($Y374),$Y374,DATEVALUE(TRIM($Y374))),""))</f>
        <v/>
      </c>
      <c r="CK374">
        <f>IF($CJ374="","",IF(MONTH($CJ374)&gt;=12,"Cold Winter",IF(MONTH($CJ374)&gt;=10,"Post-Monsoon",IF(MONTH($CJ374)&gt;=6,"Hot Humid",IF(MONTH($CJ374)&gt;=3,"Hot Dry","Cold Winter")))))</f>
        <v/>
      </c>
      <c r="CL374">
        <f>IF($CE374="","",IFERROR(VLOOKUP($CE374,DECODE!$A$3:$C$8,2,FALSE),"?"))</f>
        <v/>
      </c>
      <c r="CM374">
        <f>IF($AN374="","",AN374)</f>
        <v/>
      </c>
      <c r="CN374">
        <f>IF($AO374="","",AO374)</f>
        <v/>
      </c>
      <c r="CO374">
        <f>IF($AP374="","",AP374)</f>
        <v/>
      </c>
      <c r="CP374">
        <f>IF($CM374="","",IF($CM374="Aloe Vera Gel","Aloe Vera Gel "&amp;$CO374&amp;"g",CN374&amp;" "&amp;$CO374&amp;"g"))</f>
        <v/>
      </c>
      <c r="CQ374">
        <f>IF($AT374="",0,1)</f>
        <v/>
      </c>
      <c r="CR374">
        <f>IF($CQ374=0,"",AW374)</f>
        <v/>
      </c>
      <c r="CS374">
        <f>IF($CQ374=0,"",AX374)</f>
        <v/>
      </c>
      <c r="CT374">
        <f>IF($CQ374=0,"",AY374)</f>
        <v/>
      </c>
      <c r="CU374">
        <f>IF($CR374="","",IF($CR374="Aloe Vera Gel","Aloe Vera Gel "&amp;$CT374&amp;"g",CS374&amp;" "&amp;$CT374&amp;"g"))</f>
        <v/>
      </c>
      <c r="CV374">
        <f>IF($CQ374=0,"",IF($CP374=$CU374,"Repeat Exact",IF($CT374&gt;$CO374,"Upsized",IF($CT374&lt;$CO374,"Downsized",IF($CM374&lt;&gt;$CR374,"Lateral","Same Size Diff Variant")))))</f>
        <v/>
      </c>
      <c r="CW374">
        <f>IF($CQ374=0,"",AZ374-AQ374)</f>
        <v/>
      </c>
      <c r="CX374">
        <f>IF($CQ374=0,0,IF(CS374=CN374,1,0))</f>
        <v/>
      </c>
      <c r="CY374">
        <f>IF($CQ374=0,0,IF(CR374=CM374,1,0))</f>
        <v/>
      </c>
      <c r="CZ374">
        <f>IF($A374="","",IF(AND(IF(DASHBOARD!$C$4="All",TRUE,$CM374=DASHBOARD!$C$4),IF(DASHBOARD!$C$6="All",TRUE,$CP374=DASHBOARD!$C$6),IF(DASHBOARD!$C$8="All",TRUE,$AF374&gt;=DASHBOARD!$C$8),IF(DASHBOARD!$C$10="All",TRUE,$AF374&lt;=DASHBOARD!$C$10),IF(DASHBOARD!$C$12="All",TRUE,$AH374=VALUE(DASHBOARD!$C$12)),IF(DASHBOARD!$C$14="All",TRUE,$AJ374=DASHBOARD!$C$14)),1,0))</f>
        <v/>
      </c>
    </row>
    <row r="375">
      <c r="A375" t="n">
        <v>190614</v>
      </c>
      <c r="B375" t="inlineStr">
        <is>
          <t>Face Malai</t>
        </is>
      </c>
      <c r="C375" t="inlineStr">
        <is>
          <t>Aloe Vera Gel</t>
        </is>
      </c>
      <c r="H375" t="inlineStr">
        <is>
          <t>Flax Carrot (Hot Humid) 35+ Face Malai - 30g</t>
        </is>
      </c>
      <c r="I375" t="inlineStr">
        <is>
          <t>Aloe Vera Gel - 80 gms</t>
        </is>
      </c>
      <c r="N375" t="inlineStr">
        <is>
          <t>FC-HHDM-FC-030</t>
        </is>
      </c>
      <c r="O375" t="inlineStr">
        <is>
          <t>FC-HG-PA-080</t>
        </is>
      </c>
      <c r="T375" t="inlineStr">
        <is>
          <t>Jul 11, 2025</t>
        </is>
      </c>
      <c r="U375" t="inlineStr">
        <is>
          <t>Nov 4, 2025</t>
        </is>
      </c>
      <c r="Z375" t="n">
        <v>116</v>
      </c>
      <c r="AE375" t="inlineStr">
        <is>
          <t>Chennai</t>
        </is>
      </c>
      <c r="AF375" t="inlineStr">
        <is>
          <t>2025-07</t>
        </is>
      </c>
      <c r="AG375" t="n">
        <v>7</v>
      </c>
      <c r="AH375" t="n">
        <v>2</v>
      </c>
      <c r="AI375" t="n">
        <v>1</v>
      </c>
      <c r="AJ375">
        <f>IF($AE375="","",IFERROR(VLOOKUP(TRIM($AE375),DECODE!$H$3:$I$60,2,FALSE),"Rest of India"))</f>
        <v/>
      </c>
      <c r="AK375">
        <f>IF($N375="","",UPPER(TRIM(LEFT($N375&amp;",",FIND(",",$N375&amp;",")-1))))</f>
        <v/>
      </c>
      <c r="AL375">
        <f>IF($AK375="","",MID($AK375,4,FIND("~",SUBSTITUTE($AK375,"-","~",2))-4))</f>
        <v/>
      </c>
      <c r="AM375">
        <f>IF($AK375="","",MID($AK375,FIND("~",SUBSTITUTE($AK375,"-","~",2))+1,FIND("~",SUBSTITUTE($AK375,"-","~",3))-FIND("~",SUBSTITUTE($AK375,"-","~",2))-1))</f>
        <v/>
      </c>
      <c r="AN375">
        <f>IF($AL375="","",IFERROR(VLOOKUP($AL375,DECODE!$A$3:$C$8,3,FALSE),"?"))</f>
        <v/>
      </c>
      <c r="AO375">
        <f>IF($AM375="","",IFERROR(VLOOKUP($AL375&amp;"-"&amp;$AM375,DECODE!$E$3:$F$21,2,FALSE),"?"))</f>
        <v/>
      </c>
      <c r="AP375">
        <f>IF($AK375="","",IFERROR(VALUE(RIGHT($AK375,3)),""))</f>
        <v/>
      </c>
      <c r="AQ375">
        <f>IF($T375="","",IFERROR(IF(ISNUMBER($T375),$T375,DATEVALUE(TRIM($T375))),""))</f>
        <v/>
      </c>
      <c r="AR375">
        <f>IF($AQ375="","",IF(MONTH($AQ375)&gt;=12,"Cold Winter",IF(MONTH($AQ375)&gt;=10,"Post-Monsoon",IF(MONTH($AQ375)&gt;=6,"Hot Humid",IF(MONTH($AQ375)&gt;=3,"Hot Dry","Cold Winter")))))</f>
        <v/>
      </c>
      <c r="AS375">
        <f>IF($AL375="","",IFERROR(VLOOKUP($AL375,DECODE!$A$3:$C$8,2,FALSE),"?"))</f>
        <v/>
      </c>
      <c r="AT375">
        <f>IF($O375="","",UPPER(TRIM(LEFT($O375&amp;",",FIND(",",$O375&amp;",")-1))))</f>
        <v/>
      </c>
      <c r="AU375">
        <f>IF($AT375="","",MID($AT375,4,FIND("~",SUBSTITUTE($AT375,"-","~",2))-4))</f>
        <v/>
      </c>
      <c r="AV375">
        <f>IF($AT375="","",MID($AT375,FIND("~",SUBSTITUTE($AT375,"-","~",2))+1,FIND("~",SUBSTITUTE($AT375,"-","~",3))-FIND("~",SUBSTITUTE($AT375,"-","~",2))-1))</f>
        <v/>
      </c>
      <c r="AW375">
        <f>IF($AU375="","",IFERROR(VLOOKUP($AU375,DECODE!$A$3:$C$8,3,FALSE),"?"))</f>
        <v/>
      </c>
      <c r="AX375">
        <f>IF($AV375="","",IFERROR(VLOOKUP($AU375&amp;"-"&amp;$AV375,DECODE!$E$3:$F$21,2,FALSE),"?"))</f>
        <v/>
      </c>
      <c r="AY375">
        <f>IF($AT375="","",IFERROR(VALUE(RIGHT($AT375,3)),""))</f>
        <v/>
      </c>
      <c r="AZ375">
        <f>IF($U375="","",IFERROR(IF(ISNUMBER($U375),$U375,DATEVALUE(TRIM($U375))),""))</f>
        <v/>
      </c>
      <c r="BA375">
        <f>IF($AZ375="","",IF(MONTH($AZ375)&gt;=12,"Cold Winter",IF(MONTH($AZ375)&gt;=10,"Post-Monsoon",IF(MONTH($AZ375)&gt;=6,"Hot Humid",IF(MONTH($AZ375)&gt;=3,"Hot Dry","Cold Winter")))))</f>
        <v/>
      </c>
      <c r="BB375">
        <f>IF($AU375="","",IFERROR(VLOOKUP($AU375,DECODE!$A$3:$C$8,2,FALSE),"?"))</f>
        <v/>
      </c>
      <c r="BC375">
        <f>IF($P375="","",UPPER(TRIM(LEFT($P375&amp;",",FIND(",",$P375&amp;",")-1))))</f>
        <v/>
      </c>
      <c r="BD375">
        <f>IF($BC375="","",MID($BC375,4,FIND("~",SUBSTITUTE($BC375,"-","~",2))-4))</f>
        <v/>
      </c>
      <c r="BE375">
        <f>IF($BC375="","",MID($BC375,FIND("~",SUBSTITUTE($BC375,"-","~",2))+1,FIND("~",SUBSTITUTE($BC375,"-","~",3))-FIND("~",SUBSTITUTE($BC375,"-","~",2))-1))</f>
        <v/>
      </c>
      <c r="BF375">
        <f>IF($BD375="","",IFERROR(VLOOKUP($BD375,DECODE!$A$3:$C$8,3,FALSE),"?"))</f>
        <v/>
      </c>
      <c r="BG375">
        <f>IF($BE375="","",IFERROR(VLOOKUP($BD375&amp;"-"&amp;$BE375,DECODE!$E$3:$F$21,2,FALSE),"?"))</f>
        <v/>
      </c>
      <c r="BH375">
        <f>IF($BC375="","",IFERROR(VALUE(RIGHT($BC375,3)),""))</f>
        <v/>
      </c>
      <c r="BI375">
        <f>IF($V375="","",IFERROR(IF(ISNUMBER($V375),$V375,DATEVALUE(TRIM($V375))),""))</f>
        <v/>
      </c>
      <c r="BJ375">
        <f>IF($BI375="","",IF(MONTH($BI375)&gt;=12,"Cold Winter",IF(MONTH($BI375)&gt;=10,"Post-Monsoon",IF(MONTH($BI375)&gt;=6,"Hot Humid",IF(MONTH($BI375)&gt;=3,"Hot Dry","Cold Winter")))))</f>
        <v/>
      </c>
      <c r="BK375">
        <f>IF($BD375="","",IFERROR(VLOOKUP($BD375,DECODE!$A$3:$C$8,2,FALSE),"?"))</f>
        <v/>
      </c>
      <c r="BL375">
        <f>IF($Q375="","",UPPER(TRIM(LEFT($Q375&amp;",",FIND(",",$Q375&amp;",")-1))))</f>
        <v/>
      </c>
      <c r="BM375">
        <f>IF($BL375="","",MID($BL375,4,FIND("~",SUBSTITUTE($BL375,"-","~",2))-4))</f>
        <v/>
      </c>
      <c r="BN375">
        <f>IF($BL375="","",MID($BL375,FIND("~",SUBSTITUTE($BL375,"-","~",2))+1,FIND("~",SUBSTITUTE($BL375,"-","~",3))-FIND("~",SUBSTITUTE($BL375,"-","~",2))-1))</f>
        <v/>
      </c>
      <c r="BO375">
        <f>IF($BM375="","",IFERROR(VLOOKUP($BM375,DECODE!$A$3:$C$8,3,FALSE),"?"))</f>
        <v/>
      </c>
      <c r="BP375">
        <f>IF($BN375="","",IFERROR(VLOOKUP($BM375&amp;"-"&amp;$BN375,DECODE!$E$3:$F$21,2,FALSE),"?"))</f>
        <v/>
      </c>
      <c r="BQ375">
        <f>IF($BL375="","",IFERROR(VALUE(RIGHT($BL375,3)),""))</f>
        <v/>
      </c>
      <c r="BR375">
        <f>IF($W375="","",IFERROR(IF(ISNUMBER($W375),$W375,DATEVALUE(TRIM($W375))),""))</f>
        <v/>
      </c>
      <c r="BS375">
        <f>IF($BR375="","",IF(MONTH($BR375)&gt;=12,"Cold Winter",IF(MONTH($BR375)&gt;=10,"Post-Monsoon",IF(MONTH($BR375)&gt;=6,"Hot Humid",IF(MONTH($BR375)&gt;=3,"Hot Dry","Cold Winter")))))</f>
        <v/>
      </c>
      <c r="BT375">
        <f>IF($BM375="","",IFERROR(VLOOKUP($BM375,DECODE!$A$3:$C$8,2,FALSE),"?"))</f>
        <v/>
      </c>
      <c r="BU375">
        <f>IF($R375="","",UPPER(TRIM(LEFT($R375&amp;",",FIND(",",$R375&amp;",")-1))))</f>
        <v/>
      </c>
      <c r="BV375">
        <f>IF($BU375="","",MID($BU375,4,FIND("~",SUBSTITUTE($BU375,"-","~",2))-4))</f>
        <v/>
      </c>
      <c r="BW375">
        <f>IF($BU375="","",MID($BU375,FIND("~",SUBSTITUTE($BU375,"-","~",2))+1,FIND("~",SUBSTITUTE($BU375,"-","~",3))-FIND("~",SUBSTITUTE($BU375,"-","~",2))-1))</f>
        <v/>
      </c>
      <c r="BX375">
        <f>IF($BV375="","",IFERROR(VLOOKUP($BV375,DECODE!$A$3:$C$8,3,FALSE),"?"))</f>
        <v/>
      </c>
      <c r="BY375">
        <f>IF($BW375="","",IFERROR(VLOOKUP($BV375&amp;"-"&amp;$BW375,DECODE!$E$3:$F$21,2,FALSE),"?"))</f>
        <v/>
      </c>
      <c r="BZ375">
        <f>IF($BU375="","",IFERROR(VALUE(RIGHT($BU375,3)),""))</f>
        <v/>
      </c>
      <c r="CA375">
        <f>IF($X375="","",IFERROR(IF(ISNUMBER($X375),$X375,DATEVALUE(TRIM($X375))),""))</f>
        <v/>
      </c>
      <c r="CB375">
        <f>IF($CA375="","",IF(MONTH($CA375)&gt;=12,"Cold Winter",IF(MONTH($CA375)&gt;=10,"Post-Monsoon",IF(MONTH($CA375)&gt;=6,"Hot Humid",IF(MONTH($CA375)&gt;=3,"Hot Dry","Cold Winter")))))</f>
        <v/>
      </c>
      <c r="CC375">
        <f>IF($BV375="","",IFERROR(VLOOKUP($BV375,DECODE!$A$3:$C$8,2,FALSE),"?"))</f>
        <v/>
      </c>
      <c r="CD375">
        <f>IF($S375="","",UPPER(TRIM(LEFT($S375&amp;",",FIND(",",$S375&amp;",")-1))))</f>
        <v/>
      </c>
      <c r="CE375">
        <f>IF($CD375="","",MID($CD375,4,FIND("~",SUBSTITUTE($CD375,"-","~",2))-4))</f>
        <v/>
      </c>
      <c r="CF375">
        <f>IF($CD375="","",MID($CD375,FIND("~",SUBSTITUTE($CD375,"-","~",2))+1,FIND("~",SUBSTITUTE($CD375,"-","~",3))-FIND("~",SUBSTITUTE($CD375,"-","~",2))-1))</f>
        <v/>
      </c>
      <c r="CG375">
        <f>IF($CE375="","",IFERROR(VLOOKUP($CE375,DECODE!$A$3:$C$8,3,FALSE),"?"))</f>
        <v/>
      </c>
      <c r="CH375">
        <f>IF($CF375="","",IFERROR(VLOOKUP($CE375&amp;"-"&amp;$CF375,DECODE!$E$3:$F$21,2,FALSE),"?"))</f>
        <v/>
      </c>
      <c r="CI375">
        <f>IF($CD375="","",IFERROR(VALUE(RIGHT($CD375,3)),""))</f>
        <v/>
      </c>
      <c r="CJ375">
        <f>IF($Y375="","",IFERROR(IF(ISNUMBER($Y375),$Y375,DATEVALUE(TRIM($Y375))),""))</f>
        <v/>
      </c>
      <c r="CK375">
        <f>IF($CJ375="","",IF(MONTH($CJ375)&gt;=12,"Cold Winter",IF(MONTH($CJ375)&gt;=10,"Post-Monsoon",IF(MONTH($CJ375)&gt;=6,"Hot Humid",IF(MONTH($CJ375)&gt;=3,"Hot Dry","Cold Winter")))))</f>
        <v/>
      </c>
      <c r="CL375">
        <f>IF($CE375="","",IFERROR(VLOOKUP($CE375,DECODE!$A$3:$C$8,2,FALSE),"?"))</f>
        <v/>
      </c>
      <c r="CM375">
        <f>IF($AN375="","",AN375)</f>
        <v/>
      </c>
      <c r="CN375">
        <f>IF($AO375="","",AO375)</f>
        <v/>
      </c>
      <c r="CO375">
        <f>IF($AP375="","",AP375)</f>
        <v/>
      </c>
      <c r="CP375">
        <f>IF($CM375="","",IF($CM375="Aloe Vera Gel","Aloe Vera Gel "&amp;$CO375&amp;"g",CN375&amp;" "&amp;$CO375&amp;"g"))</f>
        <v/>
      </c>
      <c r="CQ375">
        <f>IF($AT375="",0,1)</f>
        <v/>
      </c>
      <c r="CR375">
        <f>IF($CQ375=0,"",AW375)</f>
        <v/>
      </c>
      <c r="CS375">
        <f>IF($CQ375=0,"",AX375)</f>
        <v/>
      </c>
      <c r="CT375">
        <f>IF($CQ375=0,"",AY375)</f>
        <v/>
      </c>
      <c r="CU375">
        <f>IF($CR375="","",IF($CR375="Aloe Vera Gel","Aloe Vera Gel "&amp;$CT375&amp;"g",CS375&amp;" "&amp;$CT375&amp;"g"))</f>
        <v/>
      </c>
      <c r="CV375">
        <f>IF($CQ375=0,"",IF($CP375=$CU375,"Repeat Exact",IF($CT375&gt;$CO375,"Upsized",IF($CT375&lt;$CO375,"Downsized",IF($CM375&lt;&gt;$CR375,"Lateral","Same Size Diff Variant")))))</f>
        <v/>
      </c>
      <c r="CW375">
        <f>IF($CQ375=0,"",AZ375-AQ375)</f>
        <v/>
      </c>
      <c r="CX375">
        <f>IF($CQ375=0,0,IF(CS375=CN375,1,0))</f>
        <v/>
      </c>
      <c r="CY375">
        <f>IF($CQ375=0,0,IF(CR375=CM375,1,0))</f>
        <v/>
      </c>
      <c r="CZ375">
        <f>IF($A375="","",IF(AND(IF(DASHBOARD!$C$4="All",TRUE,$CM375=DASHBOARD!$C$4),IF(DASHBOARD!$C$6="All",TRUE,$CP375=DASHBOARD!$C$6),IF(DASHBOARD!$C$8="All",TRUE,$AF375&gt;=DASHBOARD!$C$8),IF(DASHBOARD!$C$10="All",TRUE,$AF375&lt;=DASHBOARD!$C$10),IF(DASHBOARD!$C$12="All",TRUE,$AH375=VALUE(DASHBOARD!$C$12)),IF(DASHBOARD!$C$14="All",TRUE,$AJ375=DASHBOARD!$C$14)),1,0))</f>
        <v/>
      </c>
    </row>
    <row r="376">
      <c r="A376" t="n">
        <v>191152</v>
      </c>
      <c r="B376" t="inlineStr">
        <is>
          <t>Aloe Vera Gel, Face Malai</t>
        </is>
      </c>
      <c r="C376" t="inlineStr">
        <is>
          <t>Active Gel, Aloe Vera Gel</t>
        </is>
      </c>
      <c r="H376" t="inlineStr">
        <is>
          <t>Aloe Vera Gel - 80 gms, Tomato Vetiver (Hot Humid) 20 - 35 Yrs Face Malai - 50g</t>
        </is>
      </c>
      <c r="I376" t="inlineStr">
        <is>
          <t>Aloe Vera Gel - 80 gms, Active Olive Vit-E Night Gel</t>
        </is>
      </c>
      <c r="N376" t="inlineStr">
        <is>
          <t>FC-HG-PA-080, FC-HHDM-TV-050</t>
        </is>
      </c>
      <c r="O376" t="inlineStr">
        <is>
          <t>FC-AC-OV-050, FC-HG-PA-080</t>
        </is>
      </c>
      <c r="T376" t="inlineStr">
        <is>
          <t>Mar 16, 2026</t>
        </is>
      </c>
      <c r="U376" t="inlineStr">
        <is>
          <t>Apr 27, 2026</t>
        </is>
      </c>
      <c r="Z376" t="n">
        <v>42</v>
      </c>
      <c r="AE376" t="inlineStr">
        <is>
          <t>Kolkata</t>
        </is>
      </c>
      <c r="AF376" t="inlineStr">
        <is>
          <t>2026-03</t>
        </is>
      </c>
      <c r="AG376" t="n">
        <v>3</v>
      </c>
      <c r="AH376" t="n">
        <v>2</v>
      </c>
      <c r="AI376" t="n">
        <v>1</v>
      </c>
      <c r="AJ376">
        <f>IF($AE376="","",IFERROR(VLOOKUP(TRIM($AE376),DECODE!$H$3:$I$60,2,FALSE),"Rest of India"))</f>
        <v/>
      </c>
      <c r="AK376">
        <f>IF($N376="","",UPPER(TRIM(LEFT($N376&amp;",",FIND(",",$N376&amp;",")-1))))</f>
        <v/>
      </c>
      <c r="AL376">
        <f>IF($AK376="","",MID($AK376,4,FIND("~",SUBSTITUTE($AK376,"-","~",2))-4))</f>
        <v/>
      </c>
      <c r="AM376">
        <f>IF($AK376="","",MID($AK376,FIND("~",SUBSTITUTE($AK376,"-","~",2))+1,FIND("~",SUBSTITUTE($AK376,"-","~",3))-FIND("~",SUBSTITUTE($AK376,"-","~",2))-1))</f>
        <v/>
      </c>
      <c r="AN376">
        <f>IF($AL376="","",IFERROR(VLOOKUP($AL376,DECODE!$A$3:$C$8,3,FALSE),"?"))</f>
        <v/>
      </c>
      <c r="AO376">
        <f>IF($AM376="","",IFERROR(VLOOKUP($AL376&amp;"-"&amp;$AM376,DECODE!$E$3:$F$21,2,FALSE),"?"))</f>
        <v/>
      </c>
      <c r="AP376">
        <f>IF($AK376="","",IFERROR(VALUE(RIGHT($AK376,3)),""))</f>
        <v/>
      </c>
      <c r="AQ376">
        <f>IF($T376="","",IFERROR(IF(ISNUMBER($T376),$T376,DATEVALUE(TRIM($T376))),""))</f>
        <v/>
      </c>
      <c r="AR376">
        <f>IF($AQ376="","",IF(MONTH($AQ376)&gt;=12,"Cold Winter",IF(MONTH($AQ376)&gt;=10,"Post-Monsoon",IF(MONTH($AQ376)&gt;=6,"Hot Humid",IF(MONTH($AQ376)&gt;=3,"Hot Dry","Cold Winter")))))</f>
        <v/>
      </c>
      <c r="AS376">
        <f>IF($AL376="","",IFERROR(VLOOKUP($AL376,DECODE!$A$3:$C$8,2,FALSE),"?"))</f>
        <v/>
      </c>
      <c r="AT376">
        <f>IF($O376="","",UPPER(TRIM(LEFT($O376&amp;",",FIND(",",$O376&amp;",")-1))))</f>
        <v/>
      </c>
      <c r="AU376">
        <f>IF($AT376="","",MID($AT376,4,FIND("~",SUBSTITUTE($AT376,"-","~",2))-4))</f>
        <v/>
      </c>
      <c r="AV376">
        <f>IF($AT376="","",MID($AT376,FIND("~",SUBSTITUTE($AT376,"-","~",2))+1,FIND("~",SUBSTITUTE($AT376,"-","~",3))-FIND("~",SUBSTITUTE($AT376,"-","~",2))-1))</f>
        <v/>
      </c>
      <c r="AW376">
        <f>IF($AU376="","",IFERROR(VLOOKUP($AU376,DECODE!$A$3:$C$8,3,FALSE),"?"))</f>
        <v/>
      </c>
      <c r="AX376">
        <f>IF($AV376="","",IFERROR(VLOOKUP($AU376&amp;"-"&amp;$AV376,DECODE!$E$3:$F$21,2,FALSE),"?"))</f>
        <v/>
      </c>
      <c r="AY376">
        <f>IF($AT376="","",IFERROR(VALUE(RIGHT($AT376,3)),""))</f>
        <v/>
      </c>
      <c r="AZ376">
        <f>IF($U376="","",IFERROR(IF(ISNUMBER($U376),$U376,DATEVALUE(TRIM($U376))),""))</f>
        <v/>
      </c>
      <c r="BA376">
        <f>IF($AZ376="","",IF(MONTH($AZ376)&gt;=12,"Cold Winter",IF(MONTH($AZ376)&gt;=10,"Post-Monsoon",IF(MONTH($AZ376)&gt;=6,"Hot Humid",IF(MONTH($AZ376)&gt;=3,"Hot Dry","Cold Winter")))))</f>
        <v/>
      </c>
      <c r="BB376">
        <f>IF($AU376="","",IFERROR(VLOOKUP($AU376,DECODE!$A$3:$C$8,2,FALSE),"?"))</f>
        <v/>
      </c>
      <c r="BC376">
        <f>IF($P376="","",UPPER(TRIM(LEFT($P376&amp;",",FIND(",",$P376&amp;",")-1))))</f>
        <v/>
      </c>
      <c r="BD376">
        <f>IF($BC376="","",MID($BC376,4,FIND("~",SUBSTITUTE($BC376,"-","~",2))-4))</f>
        <v/>
      </c>
      <c r="BE376">
        <f>IF($BC376="","",MID($BC376,FIND("~",SUBSTITUTE($BC376,"-","~",2))+1,FIND("~",SUBSTITUTE($BC376,"-","~",3))-FIND("~",SUBSTITUTE($BC376,"-","~",2))-1))</f>
        <v/>
      </c>
      <c r="BF376">
        <f>IF($BD376="","",IFERROR(VLOOKUP($BD376,DECODE!$A$3:$C$8,3,FALSE),"?"))</f>
        <v/>
      </c>
      <c r="BG376">
        <f>IF($BE376="","",IFERROR(VLOOKUP($BD376&amp;"-"&amp;$BE376,DECODE!$E$3:$F$21,2,FALSE),"?"))</f>
        <v/>
      </c>
      <c r="BH376">
        <f>IF($BC376="","",IFERROR(VALUE(RIGHT($BC376,3)),""))</f>
        <v/>
      </c>
      <c r="BI376">
        <f>IF($V376="","",IFERROR(IF(ISNUMBER($V376),$V376,DATEVALUE(TRIM($V376))),""))</f>
        <v/>
      </c>
      <c r="BJ376">
        <f>IF($BI376="","",IF(MONTH($BI376)&gt;=12,"Cold Winter",IF(MONTH($BI376)&gt;=10,"Post-Monsoon",IF(MONTH($BI376)&gt;=6,"Hot Humid",IF(MONTH($BI376)&gt;=3,"Hot Dry","Cold Winter")))))</f>
        <v/>
      </c>
      <c r="BK376">
        <f>IF($BD376="","",IFERROR(VLOOKUP($BD376,DECODE!$A$3:$C$8,2,FALSE),"?"))</f>
        <v/>
      </c>
      <c r="BL376">
        <f>IF($Q376="","",UPPER(TRIM(LEFT($Q376&amp;",",FIND(",",$Q376&amp;",")-1))))</f>
        <v/>
      </c>
      <c r="BM376">
        <f>IF($BL376="","",MID($BL376,4,FIND("~",SUBSTITUTE($BL376,"-","~",2))-4))</f>
        <v/>
      </c>
      <c r="BN376">
        <f>IF($BL376="","",MID($BL376,FIND("~",SUBSTITUTE($BL376,"-","~",2))+1,FIND("~",SUBSTITUTE($BL376,"-","~",3))-FIND("~",SUBSTITUTE($BL376,"-","~",2))-1))</f>
        <v/>
      </c>
      <c r="BO376">
        <f>IF($BM376="","",IFERROR(VLOOKUP($BM376,DECODE!$A$3:$C$8,3,FALSE),"?"))</f>
        <v/>
      </c>
      <c r="BP376">
        <f>IF($BN376="","",IFERROR(VLOOKUP($BM376&amp;"-"&amp;$BN376,DECODE!$E$3:$F$21,2,FALSE),"?"))</f>
        <v/>
      </c>
      <c r="BQ376">
        <f>IF($BL376="","",IFERROR(VALUE(RIGHT($BL376,3)),""))</f>
        <v/>
      </c>
      <c r="BR376">
        <f>IF($W376="","",IFERROR(IF(ISNUMBER($W376),$W376,DATEVALUE(TRIM($W376))),""))</f>
        <v/>
      </c>
      <c r="BS376">
        <f>IF($BR376="","",IF(MONTH($BR376)&gt;=12,"Cold Winter",IF(MONTH($BR376)&gt;=10,"Post-Monsoon",IF(MONTH($BR376)&gt;=6,"Hot Humid",IF(MONTH($BR376)&gt;=3,"Hot Dry","Cold Winter")))))</f>
        <v/>
      </c>
      <c r="BT376">
        <f>IF($BM376="","",IFERROR(VLOOKUP($BM376,DECODE!$A$3:$C$8,2,FALSE),"?"))</f>
        <v/>
      </c>
      <c r="BU376">
        <f>IF($R376="","",UPPER(TRIM(LEFT($R376&amp;",",FIND(",",$R376&amp;",")-1))))</f>
        <v/>
      </c>
      <c r="BV376">
        <f>IF($BU376="","",MID($BU376,4,FIND("~",SUBSTITUTE($BU376,"-","~",2))-4))</f>
        <v/>
      </c>
      <c r="BW376">
        <f>IF($BU376="","",MID($BU376,FIND("~",SUBSTITUTE($BU376,"-","~",2))+1,FIND("~",SUBSTITUTE($BU376,"-","~",3))-FIND("~",SUBSTITUTE($BU376,"-","~",2))-1))</f>
        <v/>
      </c>
      <c r="BX376">
        <f>IF($BV376="","",IFERROR(VLOOKUP($BV376,DECODE!$A$3:$C$8,3,FALSE),"?"))</f>
        <v/>
      </c>
      <c r="BY376">
        <f>IF($BW376="","",IFERROR(VLOOKUP($BV376&amp;"-"&amp;$BW376,DECODE!$E$3:$F$21,2,FALSE),"?"))</f>
        <v/>
      </c>
      <c r="BZ376">
        <f>IF($BU376="","",IFERROR(VALUE(RIGHT($BU376,3)),""))</f>
        <v/>
      </c>
      <c r="CA376">
        <f>IF($X376="","",IFERROR(IF(ISNUMBER($X376),$X376,DATEVALUE(TRIM($X376))),""))</f>
        <v/>
      </c>
      <c r="CB376">
        <f>IF($CA376="","",IF(MONTH($CA376)&gt;=12,"Cold Winter",IF(MONTH($CA376)&gt;=10,"Post-Monsoon",IF(MONTH($CA376)&gt;=6,"Hot Humid",IF(MONTH($CA376)&gt;=3,"Hot Dry","Cold Winter")))))</f>
        <v/>
      </c>
      <c r="CC376">
        <f>IF($BV376="","",IFERROR(VLOOKUP($BV376,DECODE!$A$3:$C$8,2,FALSE),"?"))</f>
        <v/>
      </c>
      <c r="CD376">
        <f>IF($S376="","",UPPER(TRIM(LEFT($S376&amp;",",FIND(",",$S376&amp;",")-1))))</f>
        <v/>
      </c>
      <c r="CE376">
        <f>IF($CD376="","",MID($CD376,4,FIND("~",SUBSTITUTE($CD376,"-","~",2))-4))</f>
        <v/>
      </c>
      <c r="CF376">
        <f>IF($CD376="","",MID($CD376,FIND("~",SUBSTITUTE($CD376,"-","~",2))+1,FIND("~",SUBSTITUTE($CD376,"-","~",3))-FIND("~",SUBSTITUTE($CD376,"-","~",2))-1))</f>
        <v/>
      </c>
      <c r="CG376">
        <f>IF($CE376="","",IFERROR(VLOOKUP($CE376,DECODE!$A$3:$C$8,3,FALSE),"?"))</f>
        <v/>
      </c>
      <c r="CH376">
        <f>IF($CF376="","",IFERROR(VLOOKUP($CE376&amp;"-"&amp;$CF376,DECODE!$E$3:$F$21,2,FALSE),"?"))</f>
        <v/>
      </c>
      <c r="CI376">
        <f>IF($CD376="","",IFERROR(VALUE(RIGHT($CD376,3)),""))</f>
        <v/>
      </c>
      <c r="CJ376">
        <f>IF($Y376="","",IFERROR(IF(ISNUMBER($Y376),$Y376,DATEVALUE(TRIM($Y376))),""))</f>
        <v/>
      </c>
      <c r="CK376">
        <f>IF($CJ376="","",IF(MONTH($CJ376)&gt;=12,"Cold Winter",IF(MONTH($CJ376)&gt;=10,"Post-Monsoon",IF(MONTH($CJ376)&gt;=6,"Hot Humid",IF(MONTH($CJ376)&gt;=3,"Hot Dry","Cold Winter")))))</f>
        <v/>
      </c>
      <c r="CL376">
        <f>IF($CE376="","",IFERROR(VLOOKUP($CE376,DECODE!$A$3:$C$8,2,FALSE),"?"))</f>
        <v/>
      </c>
      <c r="CM376">
        <f>IF($AN376="","",AN376)</f>
        <v/>
      </c>
      <c r="CN376">
        <f>IF($AO376="","",AO376)</f>
        <v/>
      </c>
      <c r="CO376">
        <f>IF($AP376="","",AP376)</f>
        <v/>
      </c>
      <c r="CP376">
        <f>IF($CM376="","",IF($CM376="Aloe Vera Gel","Aloe Vera Gel "&amp;$CO376&amp;"g",CN376&amp;" "&amp;$CO376&amp;"g"))</f>
        <v/>
      </c>
      <c r="CQ376">
        <f>IF($AT376="",0,1)</f>
        <v/>
      </c>
      <c r="CR376">
        <f>IF($CQ376=0,"",AW376)</f>
        <v/>
      </c>
      <c r="CS376">
        <f>IF($CQ376=0,"",AX376)</f>
        <v/>
      </c>
      <c r="CT376">
        <f>IF($CQ376=0,"",AY376)</f>
        <v/>
      </c>
      <c r="CU376">
        <f>IF($CR376="","",IF($CR376="Aloe Vera Gel","Aloe Vera Gel "&amp;$CT376&amp;"g",CS376&amp;" "&amp;$CT376&amp;"g"))</f>
        <v/>
      </c>
      <c r="CV376">
        <f>IF($CQ376=0,"",IF($CP376=$CU376,"Repeat Exact",IF($CT376&gt;$CO376,"Upsized",IF($CT376&lt;$CO376,"Downsized",IF($CM376&lt;&gt;$CR376,"Lateral","Same Size Diff Variant")))))</f>
        <v/>
      </c>
      <c r="CW376">
        <f>IF($CQ376=0,"",AZ376-AQ376)</f>
        <v/>
      </c>
      <c r="CX376">
        <f>IF($CQ376=0,0,IF(CS376=CN376,1,0))</f>
        <v/>
      </c>
      <c r="CY376">
        <f>IF($CQ376=0,0,IF(CR376=CM376,1,0))</f>
        <v/>
      </c>
      <c r="CZ376">
        <f>IF($A376="","",IF(AND(IF(DASHBOARD!$C$4="All",TRUE,$CM376=DASHBOARD!$C$4),IF(DASHBOARD!$C$6="All",TRUE,$CP376=DASHBOARD!$C$6),IF(DASHBOARD!$C$8="All",TRUE,$AF376&gt;=DASHBOARD!$C$8),IF(DASHBOARD!$C$10="All",TRUE,$AF376&lt;=DASHBOARD!$C$10),IF(DASHBOARD!$C$12="All",TRUE,$AH376=VALUE(DASHBOARD!$C$12)),IF(DASHBOARD!$C$14="All",TRUE,$AJ376=DASHBOARD!$C$14)),1,0))</f>
        <v/>
      </c>
    </row>
    <row r="377">
      <c r="A377" t="n">
        <v>191273</v>
      </c>
      <c r="B377" t="inlineStr">
        <is>
          <t>Face Malai</t>
        </is>
      </c>
      <c r="C377" t="inlineStr">
        <is>
          <t>Face Malai</t>
        </is>
      </c>
      <c r="H377" t="inlineStr">
        <is>
          <t>Flax Carrot (Hot Humid) 35+ Face Malai - 30g</t>
        </is>
      </c>
      <c r="I377" t="inlineStr">
        <is>
          <t>Tomato Rosehip (Hot Dry) 20 - 35 Yrs Face Malai - 50g</t>
        </is>
      </c>
      <c r="N377" t="inlineStr">
        <is>
          <t>FC-HHDM-FC-030</t>
        </is>
      </c>
      <c r="O377" t="inlineStr">
        <is>
          <t>FC-HDDM-TR-050</t>
        </is>
      </c>
      <c r="T377" t="inlineStr">
        <is>
          <t>May 11, 2025</t>
        </is>
      </c>
      <c r="U377" t="inlineStr">
        <is>
          <t>May 25, 2025</t>
        </is>
      </c>
      <c r="Z377" t="n">
        <v>14</v>
      </c>
      <c r="AE377" t="inlineStr">
        <is>
          <t>New Delhi</t>
        </is>
      </c>
      <c r="AF377" t="inlineStr">
        <is>
          <t>2025-05</t>
        </is>
      </c>
      <c r="AG377" t="n">
        <v>5</v>
      </c>
      <c r="AH377" t="n">
        <v>2</v>
      </c>
      <c r="AI377" t="n">
        <v>1</v>
      </c>
      <c r="AJ377">
        <f>IF($AE377="","",IFERROR(VLOOKUP(TRIM($AE377),DECODE!$H$3:$I$60,2,FALSE),"Rest of India"))</f>
        <v/>
      </c>
      <c r="AK377">
        <f>IF($N377="","",UPPER(TRIM(LEFT($N377&amp;",",FIND(",",$N377&amp;",")-1))))</f>
        <v/>
      </c>
      <c r="AL377">
        <f>IF($AK377="","",MID($AK377,4,FIND("~",SUBSTITUTE($AK377,"-","~",2))-4))</f>
        <v/>
      </c>
      <c r="AM377">
        <f>IF($AK377="","",MID($AK377,FIND("~",SUBSTITUTE($AK377,"-","~",2))+1,FIND("~",SUBSTITUTE($AK377,"-","~",3))-FIND("~",SUBSTITUTE($AK377,"-","~",2))-1))</f>
        <v/>
      </c>
      <c r="AN377">
        <f>IF($AL377="","",IFERROR(VLOOKUP($AL377,DECODE!$A$3:$C$8,3,FALSE),"?"))</f>
        <v/>
      </c>
      <c r="AO377">
        <f>IF($AM377="","",IFERROR(VLOOKUP($AL377&amp;"-"&amp;$AM377,DECODE!$E$3:$F$21,2,FALSE),"?"))</f>
        <v/>
      </c>
      <c r="AP377">
        <f>IF($AK377="","",IFERROR(VALUE(RIGHT($AK377,3)),""))</f>
        <v/>
      </c>
      <c r="AQ377">
        <f>IF($T377="","",IFERROR(IF(ISNUMBER($T377),$T377,DATEVALUE(TRIM($T377))),""))</f>
        <v/>
      </c>
      <c r="AR377">
        <f>IF($AQ377="","",IF(MONTH($AQ377)&gt;=12,"Cold Winter",IF(MONTH($AQ377)&gt;=10,"Post-Monsoon",IF(MONTH($AQ377)&gt;=6,"Hot Humid",IF(MONTH($AQ377)&gt;=3,"Hot Dry","Cold Winter")))))</f>
        <v/>
      </c>
      <c r="AS377">
        <f>IF($AL377="","",IFERROR(VLOOKUP($AL377,DECODE!$A$3:$C$8,2,FALSE),"?"))</f>
        <v/>
      </c>
      <c r="AT377">
        <f>IF($O377="","",UPPER(TRIM(LEFT($O377&amp;",",FIND(",",$O377&amp;",")-1))))</f>
        <v/>
      </c>
      <c r="AU377">
        <f>IF($AT377="","",MID($AT377,4,FIND("~",SUBSTITUTE($AT377,"-","~",2))-4))</f>
        <v/>
      </c>
      <c r="AV377">
        <f>IF($AT377="","",MID($AT377,FIND("~",SUBSTITUTE($AT377,"-","~",2))+1,FIND("~",SUBSTITUTE($AT377,"-","~",3))-FIND("~",SUBSTITUTE($AT377,"-","~",2))-1))</f>
        <v/>
      </c>
      <c r="AW377">
        <f>IF($AU377="","",IFERROR(VLOOKUP($AU377,DECODE!$A$3:$C$8,3,FALSE),"?"))</f>
        <v/>
      </c>
      <c r="AX377">
        <f>IF($AV377="","",IFERROR(VLOOKUP($AU377&amp;"-"&amp;$AV377,DECODE!$E$3:$F$21,2,FALSE),"?"))</f>
        <v/>
      </c>
      <c r="AY377">
        <f>IF($AT377="","",IFERROR(VALUE(RIGHT($AT377,3)),""))</f>
        <v/>
      </c>
      <c r="AZ377">
        <f>IF($U377="","",IFERROR(IF(ISNUMBER($U377),$U377,DATEVALUE(TRIM($U377))),""))</f>
        <v/>
      </c>
      <c r="BA377">
        <f>IF($AZ377="","",IF(MONTH($AZ377)&gt;=12,"Cold Winter",IF(MONTH($AZ377)&gt;=10,"Post-Monsoon",IF(MONTH($AZ377)&gt;=6,"Hot Humid",IF(MONTH($AZ377)&gt;=3,"Hot Dry","Cold Winter")))))</f>
        <v/>
      </c>
      <c r="BB377">
        <f>IF($AU377="","",IFERROR(VLOOKUP($AU377,DECODE!$A$3:$C$8,2,FALSE),"?"))</f>
        <v/>
      </c>
      <c r="BC377">
        <f>IF($P377="","",UPPER(TRIM(LEFT($P377&amp;",",FIND(",",$P377&amp;",")-1))))</f>
        <v/>
      </c>
      <c r="BD377">
        <f>IF($BC377="","",MID($BC377,4,FIND("~",SUBSTITUTE($BC377,"-","~",2))-4))</f>
        <v/>
      </c>
      <c r="BE377">
        <f>IF($BC377="","",MID($BC377,FIND("~",SUBSTITUTE($BC377,"-","~",2))+1,FIND("~",SUBSTITUTE($BC377,"-","~",3))-FIND("~",SUBSTITUTE($BC377,"-","~",2))-1))</f>
        <v/>
      </c>
      <c r="BF377">
        <f>IF($BD377="","",IFERROR(VLOOKUP($BD377,DECODE!$A$3:$C$8,3,FALSE),"?"))</f>
        <v/>
      </c>
      <c r="BG377">
        <f>IF($BE377="","",IFERROR(VLOOKUP($BD377&amp;"-"&amp;$BE377,DECODE!$E$3:$F$21,2,FALSE),"?"))</f>
        <v/>
      </c>
      <c r="BH377">
        <f>IF($BC377="","",IFERROR(VALUE(RIGHT($BC377,3)),""))</f>
        <v/>
      </c>
      <c r="BI377">
        <f>IF($V377="","",IFERROR(IF(ISNUMBER($V377),$V377,DATEVALUE(TRIM($V377))),""))</f>
        <v/>
      </c>
      <c r="BJ377">
        <f>IF($BI377="","",IF(MONTH($BI377)&gt;=12,"Cold Winter",IF(MONTH($BI377)&gt;=10,"Post-Monsoon",IF(MONTH($BI377)&gt;=6,"Hot Humid",IF(MONTH($BI377)&gt;=3,"Hot Dry","Cold Winter")))))</f>
        <v/>
      </c>
      <c r="BK377">
        <f>IF($BD377="","",IFERROR(VLOOKUP($BD377,DECODE!$A$3:$C$8,2,FALSE),"?"))</f>
        <v/>
      </c>
      <c r="BL377">
        <f>IF($Q377="","",UPPER(TRIM(LEFT($Q377&amp;",",FIND(",",$Q377&amp;",")-1))))</f>
        <v/>
      </c>
      <c r="BM377">
        <f>IF($BL377="","",MID($BL377,4,FIND("~",SUBSTITUTE($BL377,"-","~",2))-4))</f>
        <v/>
      </c>
      <c r="BN377">
        <f>IF($BL377="","",MID($BL377,FIND("~",SUBSTITUTE($BL377,"-","~",2))+1,FIND("~",SUBSTITUTE($BL377,"-","~",3))-FIND("~",SUBSTITUTE($BL377,"-","~",2))-1))</f>
        <v/>
      </c>
      <c r="BO377">
        <f>IF($BM377="","",IFERROR(VLOOKUP($BM377,DECODE!$A$3:$C$8,3,FALSE),"?"))</f>
        <v/>
      </c>
      <c r="BP377">
        <f>IF($BN377="","",IFERROR(VLOOKUP($BM377&amp;"-"&amp;$BN377,DECODE!$E$3:$F$21,2,FALSE),"?"))</f>
        <v/>
      </c>
      <c r="BQ377">
        <f>IF($BL377="","",IFERROR(VALUE(RIGHT($BL377,3)),""))</f>
        <v/>
      </c>
      <c r="BR377">
        <f>IF($W377="","",IFERROR(IF(ISNUMBER($W377),$W377,DATEVALUE(TRIM($W377))),""))</f>
        <v/>
      </c>
      <c r="BS377">
        <f>IF($BR377="","",IF(MONTH($BR377)&gt;=12,"Cold Winter",IF(MONTH($BR377)&gt;=10,"Post-Monsoon",IF(MONTH($BR377)&gt;=6,"Hot Humid",IF(MONTH($BR377)&gt;=3,"Hot Dry","Cold Winter")))))</f>
        <v/>
      </c>
      <c r="BT377">
        <f>IF($BM377="","",IFERROR(VLOOKUP($BM377,DECODE!$A$3:$C$8,2,FALSE),"?"))</f>
        <v/>
      </c>
      <c r="BU377">
        <f>IF($R377="","",UPPER(TRIM(LEFT($R377&amp;",",FIND(",",$R377&amp;",")-1))))</f>
        <v/>
      </c>
      <c r="BV377">
        <f>IF($BU377="","",MID($BU377,4,FIND("~",SUBSTITUTE($BU377,"-","~",2))-4))</f>
        <v/>
      </c>
      <c r="BW377">
        <f>IF($BU377="","",MID($BU377,FIND("~",SUBSTITUTE($BU377,"-","~",2))+1,FIND("~",SUBSTITUTE($BU377,"-","~",3))-FIND("~",SUBSTITUTE($BU377,"-","~",2))-1))</f>
        <v/>
      </c>
      <c r="BX377">
        <f>IF($BV377="","",IFERROR(VLOOKUP($BV377,DECODE!$A$3:$C$8,3,FALSE),"?"))</f>
        <v/>
      </c>
      <c r="BY377">
        <f>IF($BW377="","",IFERROR(VLOOKUP($BV377&amp;"-"&amp;$BW377,DECODE!$E$3:$F$21,2,FALSE),"?"))</f>
        <v/>
      </c>
      <c r="BZ377">
        <f>IF($BU377="","",IFERROR(VALUE(RIGHT($BU377,3)),""))</f>
        <v/>
      </c>
      <c r="CA377">
        <f>IF($X377="","",IFERROR(IF(ISNUMBER($X377),$X377,DATEVALUE(TRIM($X377))),""))</f>
        <v/>
      </c>
      <c r="CB377">
        <f>IF($CA377="","",IF(MONTH($CA377)&gt;=12,"Cold Winter",IF(MONTH($CA377)&gt;=10,"Post-Monsoon",IF(MONTH($CA377)&gt;=6,"Hot Humid",IF(MONTH($CA377)&gt;=3,"Hot Dry","Cold Winter")))))</f>
        <v/>
      </c>
      <c r="CC377">
        <f>IF($BV377="","",IFERROR(VLOOKUP($BV377,DECODE!$A$3:$C$8,2,FALSE),"?"))</f>
        <v/>
      </c>
      <c r="CD377">
        <f>IF($S377="","",UPPER(TRIM(LEFT($S377&amp;",",FIND(",",$S377&amp;",")-1))))</f>
        <v/>
      </c>
      <c r="CE377">
        <f>IF($CD377="","",MID($CD377,4,FIND("~",SUBSTITUTE($CD377,"-","~",2))-4))</f>
        <v/>
      </c>
      <c r="CF377">
        <f>IF($CD377="","",MID($CD377,FIND("~",SUBSTITUTE($CD377,"-","~",2))+1,FIND("~",SUBSTITUTE($CD377,"-","~",3))-FIND("~",SUBSTITUTE($CD377,"-","~",2))-1))</f>
        <v/>
      </c>
      <c r="CG377">
        <f>IF($CE377="","",IFERROR(VLOOKUP($CE377,DECODE!$A$3:$C$8,3,FALSE),"?"))</f>
        <v/>
      </c>
      <c r="CH377">
        <f>IF($CF377="","",IFERROR(VLOOKUP($CE377&amp;"-"&amp;$CF377,DECODE!$E$3:$F$21,2,FALSE),"?"))</f>
        <v/>
      </c>
      <c r="CI377">
        <f>IF($CD377="","",IFERROR(VALUE(RIGHT($CD377,3)),""))</f>
        <v/>
      </c>
      <c r="CJ377">
        <f>IF($Y377="","",IFERROR(IF(ISNUMBER($Y377),$Y377,DATEVALUE(TRIM($Y377))),""))</f>
        <v/>
      </c>
      <c r="CK377">
        <f>IF($CJ377="","",IF(MONTH($CJ377)&gt;=12,"Cold Winter",IF(MONTH($CJ377)&gt;=10,"Post-Monsoon",IF(MONTH($CJ377)&gt;=6,"Hot Humid",IF(MONTH($CJ377)&gt;=3,"Hot Dry","Cold Winter")))))</f>
        <v/>
      </c>
      <c r="CL377">
        <f>IF($CE377="","",IFERROR(VLOOKUP($CE377,DECODE!$A$3:$C$8,2,FALSE),"?"))</f>
        <v/>
      </c>
      <c r="CM377">
        <f>IF($AN377="","",AN377)</f>
        <v/>
      </c>
      <c r="CN377">
        <f>IF($AO377="","",AO377)</f>
        <v/>
      </c>
      <c r="CO377">
        <f>IF($AP377="","",AP377)</f>
        <v/>
      </c>
      <c r="CP377">
        <f>IF($CM377="","",IF($CM377="Aloe Vera Gel","Aloe Vera Gel "&amp;$CO377&amp;"g",CN377&amp;" "&amp;$CO377&amp;"g"))</f>
        <v/>
      </c>
      <c r="CQ377">
        <f>IF($AT377="",0,1)</f>
        <v/>
      </c>
      <c r="CR377">
        <f>IF($CQ377=0,"",AW377)</f>
        <v/>
      </c>
      <c r="CS377">
        <f>IF($CQ377=0,"",AX377)</f>
        <v/>
      </c>
      <c r="CT377">
        <f>IF($CQ377=0,"",AY377)</f>
        <v/>
      </c>
      <c r="CU377">
        <f>IF($CR377="","",IF($CR377="Aloe Vera Gel","Aloe Vera Gel "&amp;$CT377&amp;"g",CS377&amp;" "&amp;$CT377&amp;"g"))</f>
        <v/>
      </c>
      <c r="CV377">
        <f>IF($CQ377=0,"",IF($CP377=$CU377,"Repeat Exact",IF($CT377&gt;$CO377,"Upsized",IF($CT377&lt;$CO377,"Downsized",IF($CM377&lt;&gt;$CR377,"Lateral","Same Size Diff Variant")))))</f>
        <v/>
      </c>
      <c r="CW377">
        <f>IF($CQ377=0,"",AZ377-AQ377)</f>
        <v/>
      </c>
      <c r="CX377">
        <f>IF($CQ377=0,0,IF(CS377=CN377,1,0))</f>
        <v/>
      </c>
      <c r="CY377">
        <f>IF($CQ377=0,0,IF(CR377=CM377,1,0))</f>
        <v/>
      </c>
      <c r="CZ377">
        <f>IF($A377="","",IF(AND(IF(DASHBOARD!$C$4="All",TRUE,$CM377=DASHBOARD!$C$4),IF(DASHBOARD!$C$6="All",TRUE,$CP377=DASHBOARD!$C$6),IF(DASHBOARD!$C$8="All",TRUE,$AF377&gt;=DASHBOARD!$C$8),IF(DASHBOARD!$C$10="All",TRUE,$AF377&lt;=DASHBOARD!$C$10),IF(DASHBOARD!$C$12="All",TRUE,$AH377=VALUE(DASHBOARD!$C$12)),IF(DASHBOARD!$C$14="All",TRUE,$AJ377=DASHBOARD!$C$14)),1,0))</f>
        <v/>
      </c>
    </row>
    <row r="378">
      <c r="A378" t="n">
        <v>191326</v>
      </c>
      <c r="B378" t="inlineStr">
        <is>
          <t>Face Malai</t>
        </is>
      </c>
      <c r="C378" t="inlineStr">
        <is>
          <t>Face Malai</t>
        </is>
      </c>
      <c r="D378" t="inlineStr">
        <is>
          <t>Aloe Vera Gel</t>
        </is>
      </c>
      <c r="H378" t="inlineStr">
        <is>
          <t>Flax Carrot (Hot Humid) 35+ Face Malai - 30g, Cocoa Mogra (Overnight) Face Malai - 30g</t>
        </is>
      </c>
      <c r="I378" t="inlineStr">
        <is>
          <t>Flax Walnut (Cold) 35+ Face Malai</t>
        </is>
      </c>
      <c r="J378" t="inlineStr">
        <is>
          <t>Aloe Vera Gel - 80 gms</t>
        </is>
      </c>
      <c r="N378" t="inlineStr">
        <is>
          <t>FC-HHDM-FC-030, FC-DM-NR-030</t>
        </is>
      </c>
      <c r="O378" t="inlineStr">
        <is>
          <t>FC-CWDM-FW-030</t>
        </is>
      </c>
      <c r="P378" t="inlineStr">
        <is>
          <t>FC-HG-PA-080</t>
        </is>
      </c>
      <c r="T378" t="inlineStr">
        <is>
          <t>Feb 11, 2024</t>
        </is>
      </c>
      <c r="U378" t="inlineStr">
        <is>
          <t>Dec 15, 2024</t>
        </is>
      </c>
      <c r="V378" t="inlineStr">
        <is>
          <t>Mar 4, 2025</t>
        </is>
      </c>
      <c r="Z378" t="n">
        <v>308</v>
      </c>
      <c r="AA378" t="n">
        <v>79</v>
      </c>
      <c r="AE378" t="inlineStr">
        <is>
          <t>Bengaluru</t>
        </is>
      </c>
      <c r="AF378" t="inlineStr">
        <is>
          <t>2024-02</t>
        </is>
      </c>
      <c r="AG378" t="n">
        <v>2</v>
      </c>
      <c r="AH378" t="n">
        <v>3</v>
      </c>
      <c r="AI378" t="n">
        <v>1</v>
      </c>
      <c r="AJ378">
        <f>IF($AE378="","",IFERROR(VLOOKUP(TRIM($AE378),DECODE!$H$3:$I$60,2,FALSE),"Rest of India"))</f>
        <v/>
      </c>
      <c r="AK378">
        <f>IF($N378="","",UPPER(TRIM(LEFT($N378&amp;",",FIND(",",$N378&amp;",")-1))))</f>
        <v/>
      </c>
      <c r="AL378">
        <f>IF($AK378="","",MID($AK378,4,FIND("~",SUBSTITUTE($AK378,"-","~",2))-4))</f>
        <v/>
      </c>
      <c r="AM378">
        <f>IF($AK378="","",MID($AK378,FIND("~",SUBSTITUTE($AK378,"-","~",2))+1,FIND("~",SUBSTITUTE($AK378,"-","~",3))-FIND("~",SUBSTITUTE($AK378,"-","~",2))-1))</f>
        <v/>
      </c>
      <c r="AN378">
        <f>IF($AL378="","",IFERROR(VLOOKUP($AL378,DECODE!$A$3:$C$8,3,FALSE),"?"))</f>
        <v/>
      </c>
      <c r="AO378">
        <f>IF($AM378="","",IFERROR(VLOOKUP($AL378&amp;"-"&amp;$AM378,DECODE!$E$3:$F$21,2,FALSE),"?"))</f>
        <v/>
      </c>
      <c r="AP378">
        <f>IF($AK378="","",IFERROR(VALUE(RIGHT($AK378,3)),""))</f>
        <v/>
      </c>
      <c r="AQ378">
        <f>IF($T378="","",IFERROR(IF(ISNUMBER($T378),$T378,DATEVALUE(TRIM($T378))),""))</f>
        <v/>
      </c>
      <c r="AR378">
        <f>IF($AQ378="","",IF(MONTH($AQ378)&gt;=12,"Cold Winter",IF(MONTH($AQ378)&gt;=10,"Post-Monsoon",IF(MONTH($AQ378)&gt;=6,"Hot Humid",IF(MONTH($AQ378)&gt;=3,"Hot Dry","Cold Winter")))))</f>
        <v/>
      </c>
      <c r="AS378">
        <f>IF($AL378="","",IFERROR(VLOOKUP($AL378,DECODE!$A$3:$C$8,2,FALSE),"?"))</f>
        <v/>
      </c>
      <c r="AT378">
        <f>IF($O378="","",UPPER(TRIM(LEFT($O378&amp;",",FIND(",",$O378&amp;",")-1))))</f>
        <v/>
      </c>
      <c r="AU378">
        <f>IF($AT378="","",MID($AT378,4,FIND("~",SUBSTITUTE($AT378,"-","~",2))-4))</f>
        <v/>
      </c>
      <c r="AV378">
        <f>IF($AT378="","",MID($AT378,FIND("~",SUBSTITUTE($AT378,"-","~",2))+1,FIND("~",SUBSTITUTE($AT378,"-","~",3))-FIND("~",SUBSTITUTE($AT378,"-","~",2))-1))</f>
        <v/>
      </c>
      <c r="AW378">
        <f>IF($AU378="","",IFERROR(VLOOKUP($AU378,DECODE!$A$3:$C$8,3,FALSE),"?"))</f>
        <v/>
      </c>
      <c r="AX378">
        <f>IF($AV378="","",IFERROR(VLOOKUP($AU378&amp;"-"&amp;$AV378,DECODE!$E$3:$F$21,2,FALSE),"?"))</f>
        <v/>
      </c>
      <c r="AY378">
        <f>IF($AT378="","",IFERROR(VALUE(RIGHT($AT378,3)),""))</f>
        <v/>
      </c>
      <c r="AZ378">
        <f>IF($U378="","",IFERROR(IF(ISNUMBER($U378),$U378,DATEVALUE(TRIM($U378))),""))</f>
        <v/>
      </c>
      <c r="BA378">
        <f>IF($AZ378="","",IF(MONTH($AZ378)&gt;=12,"Cold Winter",IF(MONTH($AZ378)&gt;=10,"Post-Monsoon",IF(MONTH($AZ378)&gt;=6,"Hot Humid",IF(MONTH($AZ378)&gt;=3,"Hot Dry","Cold Winter")))))</f>
        <v/>
      </c>
      <c r="BB378">
        <f>IF($AU378="","",IFERROR(VLOOKUP($AU378,DECODE!$A$3:$C$8,2,FALSE),"?"))</f>
        <v/>
      </c>
      <c r="BC378">
        <f>IF($P378="","",UPPER(TRIM(LEFT($P378&amp;",",FIND(",",$P378&amp;",")-1))))</f>
        <v/>
      </c>
      <c r="BD378">
        <f>IF($BC378="","",MID($BC378,4,FIND("~",SUBSTITUTE($BC378,"-","~",2))-4))</f>
        <v/>
      </c>
      <c r="BE378">
        <f>IF($BC378="","",MID($BC378,FIND("~",SUBSTITUTE($BC378,"-","~",2))+1,FIND("~",SUBSTITUTE($BC378,"-","~",3))-FIND("~",SUBSTITUTE($BC378,"-","~",2))-1))</f>
        <v/>
      </c>
      <c r="BF378">
        <f>IF($BD378="","",IFERROR(VLOOKUP($BD378,DECODE!$A$3:$C$8,3,FALSE),"?"))</f>
        <v/>
      </c>
      <c r="BG378">
        <f>IF($BE378="","",IFERROR(VLOOKUP($BD378&amp;"-"&amp;$BE378,DECODE!$E$3:$F$21,2,FALSE),"?"))</f>
        <v/>
      </c>
      <c r="BH378">
        <f>IF($BC378="","",IFERROR(VALUE(RIGHT($BC378,3)),""))</f>
        <v/>
      </c>
      <c r="BI378">
        <f>IF($V378="","",IFERROR(IF(ISNUMBER($V378),$V378,DATEVALUE(TRIM($V378))),""))</f>
        <v/>
      </c>
      <c r="BJ378">
        <f>IF($BI378="","",IF(MONTH($BI378)&gt;=12,"Cold Winter",IF(MONTH($BI378)&gt;=10,"Post-Monsoon",IF(MONTH($BI378)&gt;=6,"Hot Humid",IF(MONTH($BI378)&gt;=3,"Hot Dry","Cold Winter")))))</f>
        <v/>
      </c>
      <c r="BK378">
        <f>IF($BD378="","",IFERROR(VLOOKUP($BD378,DECODE!$A$3:$C$8,2,FALSE),"?"))</f>
        <v/>
      </c>
      <c r="BL378">
        <f>IF($Q378="","",UPPER(TRIM(LEFT($Q378&amp;",",FIND(",",$Q378&amp;",")-1))))</f>
        <v/>
      </c>
      <c r="BM378">
        <f>IF($BL378="","",MID($BL378,4,FIND("~",SUBSTITUTE($BL378,"-","~",2))-4))</f>
        <v/>
      </c>
      <c r="BN378">
        <f>IF($BL378="","",MID($BL378,FIND("~",SUBSTITUTE($BL378,"-","~",2))+1,FIND("~",SUBSTITUTE($BL378,"-","~",3))-FIND("~",SUBSTITUTE($BL378,"-","~",2))-1))</f>
        <v/>
      </c>
      <c r="BO378">
        <f>IF($BM378="","",IFERROR(VLOOKUP($BM378,DECODE!$A$3:$C$8,3,FALSE),"?"))</f>
        <v/>
      </c>
      <c r="BP378">
        <f>IF($BN378="","",IFERROR(VLOOKUP($BM378&amp;"-"&amp;$BN378,DECODE!$E$3:$F$21,2,FALSE),"?"))</f>
        <v/>
      </c>
      <c r="BQ378">
        <f>IF($BL378="","",IFERROR(VALUE(RIGHT($BL378,3)),""))</f>
        <v/>
      </c>
      <c r="BR378">
        <f>IF($W378="","",IFERROR(IF(ISNUMBER($W378),$W378,DATEVALUE(TRIM($W378))),""))</f>
        <v/>
      </c>
      <c r="BS378">
        <f>IF($BR378="","",IF(MONTH($BR378)&gt;=12,"Cold Winter",IF(MONTH($BR378)&gt;=10,"Post-Monsoon",IF(MONTH($BR378)&gt;=6,"Hot Humid",IF(MONTH($BR378)&gt;=3,"Hot Dry","Cold Winter")))))</f>
        <v/>
      </c>
      <c r="BT378">
        <f>IF($BM378="","",IFERROR(VLOOKUP($BM378,DECODE!$A$3:$C$8,2,FALSE),"?"))</f>
        <v/>
      </c>
      <c r="BU378">
        <f>IF($R378="","",UPPER(TRIM(LEFT($R378&amp;",",FIND(",",$R378&amp;",")-1))))</f>
        <v/>
      </c>
      <c r="BV378">
        <f>IF($BU378="","",MID($BU378,4,FIND("~",SUBSTITUTE($BU378,"-","~",2))-4))</f>
        <v/>
      </c>
      <c r="BW378">
        <f>IF($BU378="","",MID($BU378,FIND("~",SUBSTITUTE($BU378,"-","~",2))+1,FIND("~",SUBSTITUTE($BU378,"-","~",3))-FIND("~",SUBSTITUTE($BU378,"-","~",2))-1))</f>
        <v/>
      </c>
      <c r="BX378">
        <f>IF($BV378="","",IFERROR(VLOOKUP($BV378,DECODE!$A$3:$C$8,3,FALSE),"?"))</f>
        <v/>
      </c>
      <c r="BY378">
        <f>IF($BW378="","",IFERROR(VLOOKUP($BV378&amp;"-"&amp;$BW378,DECODE!$E$3:$F$21,2,FALSE),"?"))</f>
        <v/>
      </c>
      <c r="BZ378">
        <f>IF($BU378="","",IFERROR(VALUE(RIGHT($BU378,3)),""))</f>
        <v/>
      </c>
      <c r="CA378">
        <f>IF($X378="","",IFERROR(IF(ISNUMBER($X378),$X378,DATEVALUE(TRIM($X378))),""))</f>
        <v/>
      </c>
      <c r="CB378">
        <f>IF($CA378="","",IF(MONTH($CA378)&gt;=12,"Cold Winter",IF(MONTH($CA378)&gt;=10,"Post-Monsoon",IF(MONTH($CA378)&gt;=6,"Hot Humid",IF(MONTH($CA378)&gt;=3,"Hot Dry","Cold Winter")))))</f>
        <v/>
      </c>
      <c r="CC378">
        <f>IF($BV378="","",IFERROR(VLOOKUP($BV378,DECODE!$A$3:$C$8,2,FALSE),"?"))</f>
        <v/>
      </c>
      <c r="CD378">
        <f>IF($S378="","",UPPER(TRIM(LEFT($S378&amp;",",FIND(",",$S378&amp;",")-1))))</f>
        <v/>
      </c>
      <c r="CE378">
        <f>IF($CD378="","",MID($CD378,4,FIND("~",SUBSTITUTE($CD378,"-","~",2))-4))</f>
        <v/>
      </c>
      <c r="CF378">
        <f>IF($CD378="","",MID($CD378,FIND("~",SUBSTITUTE($CD378,"-","~",2))+1,FIND("~",SUBSTITUTE($CD378,"-","~",3))-FIND("~",SUBSTITUTE($CD378,"-","~",2))-1))</f>
        <v/>
      </c>
      <c r="CG378">
        <f>IF($CE378="","",IFERROR(VLOOKUP($CE378,DECODE!$A$3:$C$8,3,FALSE),"?"))</f>
        <v/>
      </c>
      <c r="CH378">
        <f>IF($CF378="","",IFERROR(VLOOKUP($CE378&amp;"-"&amp;$CF378,DECODE!$E$3:$F$21,2,FALSE),"?"))</f>
        <v/>
      </c>
      <c r="CI378">
        <f>IF($CD378="","",IFERROR(VALUE(RIGHT($CD378,3)),""))</f>
        <v/>
      </c>
      <c r="CJ378">
        <f>IF($Y378="","",IFERROR(IF(ISNUMBER($Y378),$Y378,DATEVALUE(TRIM($Y378))),""))</f>
        <v/>
      </c>
      <c r="CK378">
        <f>IF($CJ378="","",IF(MONTH($CJ378)&gt;=12,"Cold Winter",IF(MONTH($CJ378)&gt;=10,"Post-Monsoon",IF(MONTH($CJ378)&gt;=6,"Hot Humid",IF(MONTH($CJ378)&gt;=3,"Hot Dry","Cold Winter")))))</f>
        <v/>
      </c>
      <c r="CL378">
        <f>IF($CE378="","",IFERROR(VLOOKUP($CE378,DECODE!$A$3:$C$8,2,FALSE),"?"))</f>
        <v/>
      </c>
      <c r="CM378">
        <f>IF($AN378="","",AN378)</f>
        <v/>
      </c>
      <c r="CN378">
        <f>IF($AO378="","",AO378)</f>
        <v/>
      </c>
      <c r="CO378">
        <f>IF($AP378="","",AP378)</f>
        <v/>
      </c>
      <c r="CP378">
        <f>IF($CM378="","",IF($CM378="Aloe Vera Gel","Aloe Vera Gel "&amp;$CO378&amp;"g",CN378&amp;" "&amp;$CO378&amp;"g"))</f>
        <v/>
      </c>
      <c r="CQ378">
        <f>IF($AT378="",0,1)</f>
        <v/>
      </c>
      <c r="CR378">
        <f>IF($CQ378=0,"",AW378)</f>
        <v/>
      </c>
      <c r="CS378">
        <f>IF($CQ378=0,"",AX378)</f>
        <v/>
      </c>
      <c r="CT378">
        <f>IF($CQ378=0,"",AY378)</f>
        <v/>
      </c>
      <c r="CU378">
        <f>IF($CR378="","",IF($CR378="Aloe Vera Gel","Aloe Vera Gel "&amp;$CT378&amp;"g",CS378&amp;" "&amp;$CT378&amp;"g"))</f>
        <v/>
      </c>
      <c r="CV378">
        <f>IF($CQ378=0,"",IF($CP378=$CU378,"Repeat Exact",IF($CT378&gt;$CO378,"Upsized",IF($CT378&lt;$CO378,"Downsized",IF($CM378&lt;&gt;$CR378,"Lateral","Same Size Diff Variant")))))</f>
        <v/>
      </c>
      <c r="CW378">
        <f>IF($CQ378=0,"",AZ378-AQ378)</f>
        <v/>
      </c>
      <c r="CX378">
        <f>IF($CQ378=0,0,IF(CS378=CN378,1,0))</f>
        <v/>
      </c>
      <c r="CY378">
        <f>IF($CQ378=0,0,IF(CR378=CM378,1,0))</f>
        <v/>
      </c>
      <c r="CZ378">
        <f>IF($A378="","",IF(AND(IF(DASHBOARD!$C$4="All",TRUE,$CM378=DASHBOARD!$C$4),IF(DASHBOARD!$C$6="All",TRUE,$CP378=DASHBOARD!$C$6),IF(DASHBOARD!$C$8="All",TRUE,$AF378&gt;=DASHBOARD!$C$8),IF(DASHBOARD!$C$10="All",TRUE,$AF378&lt;=DASHBOARD!$C$10),IF(DASHBOARD!$C$12="All",TRUE,$AH378=VALUE(DASHBOARD!$C$12)),IF(DASHBOARD!$C$14="All",TRUE,$AJ378=DASHBOARD!$C$14)),1,0))</f>
        <v/>
      </c>
    </row>
    <row r="379">
      <c r="A379" t="n">
        <v>191387</v>
      </c>
      <c r="B379" t="inlineStr">
        <is>
          <t>Face Malai</t>
        </is>
      </c>
      <c r="H379" t="inlineStr">
        <is>
          <t>Flax Carrot (Hot Humid) 35+ Face Malai - 30g</t>
        </is>
      </c>
      <c r="N379" t="inlineStr">
        <is>
          <t>FC-HHDM-FC-030</t>
        </is>
      </c>
      <c r="T379" t="inlineStr">
        <is>
          <t>Apr 4, 2025</t>
        </is>
      </c>
      <c r="AE379" t="inlineStr">
        <is>
          <t>Secunderabad</t>
        </is>
      </c>
      <c r="AF379" t="inlineStr">
        <is>
          <t>2025-04</t>
        </is>
      </c>
      <c r="AG379" t="n">
        <v>4</v>
      </c>
      <c r="AH379" t="n">
        <v>1</v>
      </c>
      <c r="AI379" t="n">
        <v>0</v>
      </c>
      <c r="AJ379">
        <f>IF($AE379="","",IFERROR(VLOOKUP(TRIM($AE379),DECODE!$H$3:$I$60,2,FALSE),"Rest of India"))</f>
        <v/>
      </c>
      <c r="AK379">
        <f>IF($N379="","",UPPER(TRIM(LEFT($N379&amp;",",FIND(",",$N379&amp;",")-1))))</f>
        <v/>
      </c>
      <c r="AL379">
        <f>IF($AK379="","",MID($AK379,4,FIND("~",SUBSTITUTE($AK379,"-","~",2))-4))</f>
        <v/>
      </c>
      <c r="AM379">
        <f>IF($AK379="","",MID($AK379,FIND("~",SUBSTITUTE($AK379,"-","~",2))+1,FIND("~",SUBSTITUTE($AK379,"-","~",3))-FIND("~",SUBSTITUTE($AK379,"-","~",2))-1))</f>
        <v/>
      </c>
      <c r="AN379">
        <f>IF($AL379="","",IFERROR(VLOOKUP($AL379,DECODE!$A$3:$C$8,3,FALSE),"?"))</f>
        <v/>
      </c>
      <c r="AO379">
        <f>IF($AM379="","",IFERROR(VLOOKUP($AL379&amp;"-"&amp;$AM379,DECODE!$E$3:$F$21,2,FALSE),"?"))</f>
        <v/>
      </c>
      <c r="AP379">
        <f>IF($AK379="","",IFERROR(VALUE(RIGHT($AK379,3)),""))</f>
        <v/>
      </c>
      <c r="AQ379">
        <f>IF($T379="","",IFERROR(IF(ISNUMBER($T379),$T379,DATEVALUE(TRIM($T379))),""))</f>
        <v/>
      </c>
      <c r="AR379">
        <f>IF($AQ379="","",IF(MONTH($AQ379)&gt;=12,"Cold Winter",IF(MONTH($AQ379)&gt;=10,"Post-Monsoon",IF(MONTH($AQ379)&gt;=6,"Hot Humid",IF(MONTH($AQ379)&gt;=3,"Hot Dry","Cold Winter")))))</f>
        <v/>
      </c>
      <c r="AS379">
        <f>IF($AL379="","",IFERROR(VLOOKUP($AL379,DECODE!$A$3:$C$8,2,FALSE),"?"))</f>
        <v/>
      </c>
      <c r="AT379">
        <f>IF($O379="","",UPPER(TRIM(LEFT($O379&amp;",",FIND(",",$O379&amp;",")-1))))</f>
        <v/>
      </c>
      <c r="AU379">
        <f>IF($AT379="","",MID($AT379,4,FIND("~",SUBSTITUTE($AT379,"-","~",2))-4))</f>
        <v/>
      </c>
      <c r="AV379">
        <f>IF($AT379="","",MID($AT379,FIND("~",SUBSTITUTE($AT379,"-","~",2))+1,FIND("~",SUBSTITUTE($AT379,"-","~",3))-FIND("~",SUBSTITUTE($AT379,"-","~",2))-1))</f>
        <v/>
      </c>
      <c r="AW379">
        <f>IF($AU379="","",IFERROR(VLOOKUP($AU379,DECODE!$A$3:$C$8,3,FALSE),"?"))</f>
        <v/>
      </c>
      <c r="AX379">
        <f>IF($AV379="","",IFERROR(VLOOKUP($AU379&amp;"-"&amp;$AV379,DECODE!$E$3:$F$21,2,FALSE),"?"))</f>
        <v/>
      </c>
      <c r="AY379">
        <f>IF($AT379="","",IFERROR(VALUE(RIGHT($AT379,3)),""))</f>
        <v/>
      </c>
      <c r="AZ379">
        <f>IF($U379="","",IFERROR(IF(ISNUMBER($U379),$U379,DATEVALUE(TRIM($U379))),""))</f>
        <v/>
      </c>
      <c r="BA379">
        <f>IF($AZ379="","",IF(MONTH($AZ379)&gt;=12,"Cold Winter",IF(MONTH($AZ379)&gt;=10,"Post-Monsoon",IF(MONTH($AZ379)&gt;=6,"Hot Humid",IF(MONTH($AZ379)&gt;=3,"Hot Dry","Cold Winter")))))</f>
        <v/>
      </c>
      <c r="BB379">
        <f>IF($AU379="","",IFERROR(VLOOKUP($AU379,DECODE!$A$3:$C$8,2,FALSE),"?"))</f>
        <v/>
      </c>
      <c r="BC379">
        <f>IF($P379="","",UPPER(TRIM(LEFT($P379&amp;",",FIND(",",$P379&amp;",")-1))))</f>
        <v/>
      </c>
      <c r="BD379">
        <f>IF($BC379="","",MID($BC379,4,FIND("~",SUBSTITUTE($BC379,"-","~",2))-4))</f>
        <v/>
      </c>
      <c r="BE379">
        <f>IF($BC379="","",MID($BC379,FIND("~",SUBSTITUTE($BC379,"-","~",2))+1,FIND("~",SUBSTITUTE($BC379,"-","~",3))-FIND("~",SUBSTITUTE($BC379,"-","~",2))-1))</f>
        <v/>
      </c>
      <c r="BF379">
        <f>IF($BD379="","",IFERROR(VLOOKUP($BD379,DECODE!$A$3:$C$8,3,FALSE),"?"))</f>
        <v/>
      </c>
      <c r="BG379">
        <f>IF($BE379="","",IFERROR(VLOOKUP($BD379&amp;"-"&amp;$BE379,DECODE!$E$3:$F$21,2,FALSE),"?"))</f>
        <v/>
      </c>
      <c r="BH379">
        <f>IF($BC379="","",IFERROR(VALUE(RIGHT($BC379,3)),""))</f>
        <v/>
      </c>
      <c r="BI379">
        <f>IF($V379="","",IFERROR(IF(ISNUMBER($V379),$V379,DATEVALUE(TRIM($V379))),""))</f>
        <v/>
      </c>
      <c r="BJ379">
        <f>IF($BI379="","",IF(MONTH($BI379)&gt;=12,"Cold Winter",IF(MONTH($BI379)&gt;=10,"Post-Monsoon",IF(MONTH($BI379)&gt;=6,"Hot Humid",IF(MONTH($BI379)&gt;=3,"Hot Dry","Cold Winter")))))</f>
        <v/>
      </c>
      <c r="BK379">
        <f>IF($BD379="","",IFERROR(VLOOKUP($BD379,DECODE!$A$3:$C$8,2,FALSE),"?"))</f>
        <v/>
      </c>
      <c r="BL379">
        <f>IF($Q379="","",UPPER(TRIM(LEFT($Q379&amp;",",FIND(",",$Q379&amp;",")-1))))</f>
        <v/>
      </c>
      <c r="BM379">
        <f>IF($BL379="","",MID($BL379,4,FIND("~",SUBSTITUTE($BL379,"-","~",2))-4))</f>
        <v/>
      </c>
      <c r="BN379">
        <f>IF($BL379="","",MID($BL379,FIND("~",SUBSTITUTE($BL379,"-","~",2))+1,FIND("~",SUBSTITUTE($BL379,"-","~",3))-FIND("~",SUBSTITUTE($BL379,"-","~",2))-1))</f>
        <v/>
      </c>
      <c r="BO379">
        <f>IF($BM379="","",IFERROR(VLOOKUP($BM379,DECODE!$A$3:$C$8,3,FALSE),"?"))</f>
        <v/>
      </c>
      <c r="BP379">
        <f>IF($BN379="","",IFERROR(VLOOKUP($BM379&amp;"-"&amp;$BN379,DECODE!$E$3:$F$21,2,FALSE),"?"))</f>
        <v/>
      </c>
      <c r="BQ379">
        <f>IF($BL379="","",IFERROR(VALUE(RIGHT($BL379,3)),""))</f>
        <v/>
      </c>
      <c r="BR379">
        <f>IF($W379="","",IFERROR(IF(ISNUMBER($W379),$W379,DATEVALUE(TRIM($W379))),""))</f>
        <v/>
      </c>
      <c r="BS379">
        <f>IF($BR379="","",IF(MONTH($BR379)&gt;=12,"Cold Winter",IF(MONTH($BR379)&gt;=10,"Post-Monsoon",IF(MONTH($BR379)&gt;=6,"Hot Humid",IF(MONTH($BR379)&gt;=3,"Hot Dry","Cold Winter")))))</f>
        <v/>
      </c>
      <c r="BT379">
        <f>IF($BM379="","",IFERROR(VLOOKUP($BM379,DECODE!$A$3:$C$8,2,FALSE),"?"))</f>
        <v/>
      </c>
      <c r="BU379">
        <f>IF($R379="","",UPPER(TRIM(LEFT($R379&amp;",",FIND(",",$R379&amp;",")-1))))</f>
        <v/>
      </c>
      <c r="BV379">
        <f>IF($BU379="","",MID($BU379,4,FIND("~",SUBSTITUTE($BU379,"-","~",2))-4))</f>
        <v/>
      </c>
      <c r="BW379">
        <f>IF($BU379="","",MID($BU379,FIND("~",SUBSTITUTE($BU379,"-","~",2))+1,FIND("~",SUBSTITUTE($BU379,"-","~",3))-FIND("~",SUBSTITUTE($BU379,"-","~",2))-1))</f>
        <v/>
      </c>
      <c r="BX379">
        <f>IF($BV379="","",IFERROR(VLOOKUP($BV379,DECODE!$A$3:$C$8,3,FALSE),"?"))</f>
        <v/>
      </c>
      <c r="BY379">
        <f>IF($BW379="","",IFERROR(VLOOKUP($BV379&amp;"-"&amp;$BW379,DECODE!$E$3:$F$21,2,FALSE),"?"))</f>
        <v/>
      </c>
      <c r="BZ379">
        <f>IF($BU379="","",IFERROR(VALUE(RIGHT($BU379,3)),""))</f>
        <v/>
      </c>
      <c r="CA379">
        <f>IF($X379="","",IFERROR(IF(ISNUMBER($X379),$X379,DATEVALUE(TRIM($X379))),""))</f>
        <v/>
      </c>
      <c r="CB379">
        <f>IF($CA379="","",IF(MONTH($CA379)&gt;=12,"Cold Winter",IF(MONTH($CA379)&gt;=10,"Post-Monsoon",IF(MONTH($CA379)&gt;=6,"Hot Humid",IF(MONTH($CA379)&gt;=3,"Hot Dry","Cold Winter")))))</f>
        <v/>
      </c>
      <c r="CC379">
        <f>IF($BV379="","",IFERROR(VLOOKUP($BV379,DECODE!$A$3:$C$8,2,FALSE),"?"))</f>
        <v/>
      </c>
      <c r="CD379">
        <f>IF($S379="","",UPPER(TRIM(LEFT($S379&amp;",",FIND(",",$S379&amp;",")-1))))</f>
        <v/>
      </c>
      <c r="CE379">
        <f>IF($CD379="","",MID($CD379,4,FIND("~",SUBSTITUTE($CD379,"-","~",2))-4))</f>
        <v/>
      </c>
      <c r="CF379">
        <f>IF($CD379="","",MID($CD379,FIND("~",SUBSTITUTE($CD379,"-","~",2))+1,FIND("~",SUBSTITUTE($CD379,"-","~",3))-FIND("~",SUBSTITUTE($CD379,"-","~",2))-1))</f>
        <v/>
      </c>
      <c r="CG379">
        <f>IF($CE379="","",IFERROR(VLOOKUP($CE379,DECODE!$A$3:$C$8,3,FALSE),"?"))</f>
        <v/>
      </c>
      <c r="CH379">
        <f>IF($CF379="","",IFERROR(VLOOKUP($CE379&amp;"-"&amp;$CF379,DECODE!$E$3:$F$21,2,FALSE),"?"))</f>
        <v/>
      </c>
      <c r="CI379">
        <f>IF($CD379="","",IFERROR(VALUE(RIGHT($CD379,3)),""))</f>
        <v/>
      </c>
      <c r="CJ379">
        <f>IF($Y379="","",IFERROR(IF(ISNUMBER($Y379),$Y379,DATEVALUE(TRIM($Y379))),""))</f>
        <v/>
      </c>
      <c r="CK379">
        <f>IF($CJ379="","",IF(MONTH($CJ379)&gt;=12,"Cold Winter",IF(MONTH($CJ379)&gt;=10,"Post-Monsoon",IF(MONTH($CJ379)&gt;=6,"Hot Humid",IF(MONTH($CJ379)&gt;=3,"Hot Dry","Cold Winter")))))</f>
        <v/>
      </c>
      <c r="CL379">
        <f>IF($CE379="","",IFERROR(VLOOKUP($CE379,DECODE!$A$3:$C$8,2,FALSE),"?"))</f>
        <v/>
      </c>
      <c r="CM379">
        <f>IF($AN379="","",AN379)</f>
        <v/>
      </c>
      <c r="CN379">
        <f>IF($AO379="","",AO379)</f>
        <v/>
      </c>
      <c r="CO379">
        <f>IF($AP379="","",AP379)</f>
        <v/>
      </c>
      <c r="CP379">
        <f>IF($CM379="","",IF($CM379="Aloe Vera Gel","Aloe Vera Gel "&amp;$CO379&amp;"g",CN379&amp;" "&amp;$CO379&amp;"g"))</f>
        <v/>
      </c>
      <c r="CQ379">
        <f>IF($AT379="",0,1)</f>
        <v/>
      </c>
      <c r="CR379">
        <f>IF($CQ379=0,"",AW379)</f>
        <v/>
      </c>
      <c r="CS379">
        <f>IF($CQ379=0,"",AX379)</f>
        <v/>
      </c>
      <c r="CT379">
        <f>IF($CQ379=0,"",AY379)</f>
        <v/>
      </c>
      <c r="CU379">
        <f>IF($CR379="","",IF($CR379="Aloe Vera Gel","Aloe Vera Gel "&amp;$CT379&amp;"g",CS379&amp;" "&amp;$CT379&amp;"g"))</f>
        <v/>
      </c>
      <c r="CV379">
        <f>IF($CQ379=0,"",IF($CP379=$CU379,"Repeat Exact",IF($CT379&gt;$CO379,"Upsized",IF($CT379&lt;$CO379,"Downsized",IF($CM379&lt;&gt;$CR379,"Lateral","Same Size Diff Variant")))))</f>
        <v/>
      </c>
      <c r="CW379">
        <f>IF($CQ379=0,"",AZ379-AQ379)</f>
        <v/>
      </c>
      <c r="CX379">
        <f>IF($CQ379=0,0,IF(CS379=CN379,1,0))</f>
        <v/>
      </c>
      <c r="CY379">
        <f>IF($CQ379=0,0,IF(CR379=CM379,1,0))</f>
        <v/>
      </c>
      <c r="CZ379">
        <f>IF($A379="","",IF(AND(IF(DASHBOARD!$C$4="All",TRUE,$CM379=DASHBOARD!$C$4),IF(DASHBOARD!$C$6="All",TRUE,$CP379=DASHBOARD!$C$6),IF(DASHBOARD!$C$8="All",TRUE,$AF379&gt;=DASHBOARD!$C$8),IF(DASHBOARD!$C$10="All",TRUE,$AF379&lt;=DASHBOARD!$C$10),IF(DASHBOARD!$C$12="All",TRUE,$AH379=VALUE(DASHBOARD!$C$12)),IF(DASHBOARD!$C$14="All",TRUE,$AJ379=DASHBOARD!$C$14)),1,0))</f>
        <v/>
      </c>
    </row>
    <row r="380">
      <c r="A380" t="n">
        <v>191565</v>
      </c>
      <c r="B380" t="inlineStr">
        <is>
          <t>Face Malai</t>
        </is>
      </c>
      <c r="C380" t="inlineStr">
        <is>
          <t>Active Gel, Face Malai</t>
        </is>
      </c>
      <c r="D380" t="inlineStr">
        <is>
          <t>Face Malai</t>
        </is>
      </c>
      <c r="E380" t="inlineStr">
        <is>
          <t>Face Malai</t>
        </is>
      </c>
      <c r="F380" t="inlineStr">
        <is>
          <t>Face Malai</t>
        </is>
      </c>
      <c r="H380" t="inlineStr">
        <is>
          <t>Clove Tea-Tree (Anti-Acne) Face Malai</t>
        </is>
      </c>
      <c r="I380" t="inlineStr">
        <is>
          <t>Clove Tea-Tree (Anti-Acne) Face Malai, Active Neem TeaTree Gel</t>
        </is>
      </c>
      <c r="J380" t="inlineStr">
        <is>
          <t>Clove Tea-Tree (Anti-Acne) Face Malai</t>
        </is>
      </c>
      <c r="K380" t="inlineStr">
        <is>
          <t>Clove Tea-Tree (Anti-Acne) Face Malai, Tomato Rosehip (Hot Dry) 20 - 35 Yrs Face Malai - 30g, Flax Bakuchi (Hot Dry) 35+ Face Malai - 30g</t>
        </is>
      </c>
      <c r="L380" t="inlineStr">
        <is>
          <t>Clove Tea-Tree (Anti-Acne) Face Malai, Cocoa Mogra (Overnight) Face Malai - 30g</t>
        </is>
      </c>
      <c r="N380" t="inlineStr">
        <is>
          <t>FC-DM-AA-030</t>
        </is>
      </c>
      <c r="O380" t="inlineStr">
        <is>
          <t>FC-DM-AA-030, FC-AC-NT-050</t>
        </is>
      </c>
      <c r="P380" t="inlineStr">
        <is>
          <t>FC-DM-AA-030</t>
        </is>
      </c>
      <c r="Q380" t="inlineStr">
        <is>
          <t>FC-DM-AA-030, FC-HDDM-FB-030, FC-HDDM-TR-030</t>
        </is>
      </c>
      <c r="R380" t="inlineStr">
        <is>
          <t>FC-DM-AA-030, FC-DM-NR-030</t>
        </is>
      </c>
      <c r="T380" t="inlineStr">
        <is>
          <t>Dec 8, 2025</t>
        </is>
      </c>
      <c r="U380" t="inlineStr">
        <is>
          <t>Dec 25, 2025</t>
        </is>
      </c>
      <c r="V380" t="inlineStr">
        <is>
          <t>Jan 14, 2026</t>
        </is>
      </c>
      <c r="W380" t="inlineStr">
        <is>
          <t>Jan 26, 2026</t>
        </is>
      </c>
      <c r="X380" t="inlineStr">
        <is>
          <t>Mar 7, 2026</t>
        </is>
      </c>
      <c r="Z380" t="n">
        <v>17</v>
      </c>
      <c r="AA380" t="n">
        <v>20</v>
      </c>
      <c r="AB380" t="n">
        <v>12</v>
      </c>
      <c r="AC380" t="n">
        <v>40</v>
      </c>
      <c r="AE380" t="inlineStr">
        <is>
          <t>Secunderabad</t>
        </is>
      </c>
      <c r="AF380" t="inlineStr">
        <is>
          <t>2025-12</t>
        </is>
      </c>
      <c r="AG380" t="n">
        <v>12</v>
      </c>
      <c r="AH380" t="n">
        <v>5</v>
      </c>
      <c r="AI380" t="n">
        <v>1</v>
      </c>
      <c r="AJ380">
        <f>IF($AE380="","",IFERROR(VLOOKUP(TRIM($AE380),DECODE!$H$3:$I$60,2,FALSE),"Rest of India"))</f>
        <v/>
      </c>
      <c r="AK380">
        <f>IF($N380="","",UPPER(TRIM(LEFT($N380&amp;",",FIND(",",$N380&amp;",")-1))))</f>
        <v/>
      </c>
      <c r="AL380">
        <f>IF($AK380="","",MID($AK380,4,FIND("~",SUBSTITUTE($AK380,"-","~",2))-4))</f>
        <v/>
      </c>
      <c r="AM380">
        <f>IF($AK380="","",MID($AK380,FIND("~",SUBSTITUTE($AK380,"-","~",2))+1,FIND("~",SUBSTITUTE($AK380,"-","~",3))-FIND("~",SUBSTITUTE($AK380,"-","~",2))-1))</f>
        <v/>
      </c>
      <c r="AN380">
        <f>IF($AL380="","",IFERROR(VLOOKUP($AL380,DECODE!$A$3:$C$8,3,FALSE),"?"))</f>
        <v/>
      </c>
      <c r="AO380">
        <f>IF($AM380="","",IFERROR(VLOOKUP($AL380&amp;"-"&amp;$AM380,DECODE!$E$3:$F$21,2,FALSE),"?"))</f>
        <v/>
      </c>
      <c r="AP380">
        <f>IF($AK380="","",IFERROR(VALUE(RIGHT($AK380,3)),""))</f>
        <v/>
      </c>
      <c r="AQ380">
        <f>IF($T380="","",IFERROR(IF(ISNUMBER($T380),$T380,DATEVALUE(TRIM($T380))),""))</f>
        <v/>
      </c>
      <c r="AR380">
        <f>IF($AQ380="","",IF(MONTH($AQ380)&gt;=12,"Cold Winter",IF(MONTH($AQ380)&gt;=10,"Post-Monsoon",IF(MONTH($AQ380)&gt;=6,"Hot Humid",IF(MONTH($AQ380)&gt;=3,"Hot Dry","Cold Winter")))))</f>
        <v/>
      </c>
      <c r="AS380">
        <f>IF($AL380="","",IFERROR(VLOOKUP($AL380,DECODE!$A$3:$C$8,2,FALSE),"?"))</f>
        <v/>
      </c>
      <c r="AT380">
        <f>IF($O380="","",UPPER(TRIM(LEFT($O380&amp;",",FIND(",",$O380&amp;",")-1))))</f>
        <v/>
      </c>
      <c r="AU380">
        <f>IF($AT380="","",MID($AT380,4,FIND("~",SUBSTITUTE($AT380,"-","~",2))-4))</f>
        <v/>
      </c>
      <c r="AV380">
        <f>IF($AT380="","",MID($AT380,FIND("~",SUBSTITUTE($AT380,"-","~",2))+1,FIND("~",SUBSTITUTE($AT380,"-","~",3))-FIND("~",SUBSTITUTE($AT380,"-","~",2))-1))</f>
        <v/>
      </c>
      <c r="AW380">
        <f>IF($AU380="","",IFERROR(VLOOKUP($AU380,DECODE!$A$3:$C$8,3,FALSE),"?"))</f>
        <v/>
      </c>
      <c r="AX380">
        <f>IF($AV380="","",IFERROR(VLOOKUP($AU380&amp;"-"&amp;$AV380,DECODE!$E$3:$F$21,2,FALSE),"?"))</f>
        <v/>
      </c>
      <c r="AY380">
        <f>IF($AT380="","",IFERROR(VALUE(RIGHT($AT380,3)),""))</f>
        <v/>
      </c>
      <c r="AZ380">
        <f>IF($U380="","",IFERROR(IF(ISNUMBER($U380),$U380,DATEVALUE(TRIM($U380))),""))</f>
        <v/>
      </c>
      <c r="BA380">
        <f>IF($AZ380="","",IF(MONTH($AZ380)&gt;=12,"Cold Winter",IF(MONTH($AZ380)&gt;=10,"Post-Monsoon",IF(MONTH($AZ380)&gt;=6,"Hot Humid",IF(MONTH($AZ380)&gt;=3,"Hot Dry","Cold Winter")))))</f>
        <v/>
      </c>
      <c r="BB380">
        <f>IF($AU380="","",IFERROR(VLOOKUP($AU380,DECODE!$A$3:$C$8,2,FALSE),"?"))</f>
        <v/>
      </c>
      <c r="BC380">
        <f>IF($P380="","",UPPER(TRIM(LEFT($P380&amp;",",FIND(",",$P380&amp;",")-1))))</f>
        <v/>
      </c>
      <c r="BD380">
        <f>IF($BC380="","",MID($BC380,4,FIND("~",SUBSTITUTE($BC380,"-","~",2))-4))</f>
        <v/>
      </c>
      <c r="BE380">
        <f>IF($BC380="","",MID($BC380,FIND("~",SUBSTITUTE($BC380,"-","~",2))+1,FIND("~",SUBSTITUTE($BC380,"-","~",3))-FIND("~",SUBSTITUTE($BC380,"-","~",2))-1))</f>
        <v/>
      </c>
      <c r="BF380">
        <f>IF($BD380="","",IFERROR(VLOOKUP($BD380,DECODE!$A$3:$C$8,3,FALSE),"?"))</f>
        <v/>
      </c>
      <c r="BG380">
        <f>IF($BE380="","",IFERROR(VLOOKUP($BD380&amp;"-"&amp;$BE380,DECODE!$E$3:$F$21,2,FALSE),"?"))</f>
        <v/>
      </c>
      <c r="BH380">
        <f>IF($BC380="","",IFERROR(VALUE(RIGHT($BC380,3)),""))</f>
        <v/>
      </c>
      <c r="BI380">
        <f>IF($V380="","",IFERROR(IF(ISNUMBER($V380),$V380,DATEVALUE(TRIM($V380))),""))</f>
        <v/>
      </c>
      <c r="BJ380">
        <f>IF($BI380="","",IF(MONTH($BI380)&gt;=12,"Cold Winter",IF(MONTH($BI380)&gt;=10,"Post-Monsoon",IF(MONTH($BI380)&gt;=6,"Hot Humid",IF(MONTH($BI380)&gt;=3,"Hot Dry","Cold Winter")))))</f>
        <v/>
      </c>
      <c r="BK380">
        <f>IF($BD380="","",IFERROR(VLOOKUP($BD380,DECODE!$A$3:$C$8,2,FALSE),"?"))</f>
        <v/>
      </c>
      <c r="BL380">
        <f>IF($Q380="","",UPPER(TRIM(LEFT($Q380&amp;",",FIND(",",$Q380&amp;",")-1))))</f>
        <v/>
      </c>
      <c r="BM380">
        <f>IF($BL380="","",MID($BL380,4,FIND("~",SUBSTITUTE($BL380,"-","~",2))-4))</f>
        <v/>
      </c>
      <c r="BN380">
        <f>IF($BL380="","",MID($BL380,FIND("~",SUBSTITUTE($BL380,"-","~",2))+1,FIND("~",SUBSTITUTE($BL380,"-","~",3))-FIND("~",SUBSTITUTE($BL380,"-","~",2))-1))</f>
        <v/>
      </c>
      <c r="BO380">
        <f>IF($BM380="","",IFERROR(VLOOKUP($BM380,DECODE!$A$3:$C$8,3,FALSE),"?"))</f>
        <v/>
      </c>
      <c r="BP380">
        <f>IF($BN380="","",IFERROR(VLOOKUP($BM380&amp;"-"&amp;$BN380,DECODE!$E$3:$F$21,2,FALSE),"?"))</f>
        <v/>
      </c>
      <c r="BQ380">
        <f>IF($BL380="","",IFERROR(VALUE(RIGHT($BL380,3)),""))</f>
        <v/>
      </c>
      <c r="BR380">
        <f>IF($W380="","",IFERROR(IF(ISNUMBER($W380),$W380,DATEVALUE(TRIM($W380))),""))</f>
        <v/>
      </c>
      <c r="BS380">
        <f>IF($BR380="","",IF(MONTH($BR380)&gt;=12,"Cold Winter",IF(MONTH($BR380)&gt;=10,"Post-Monsoon",IF(MONTH($BR380)&gt;=6,"Hot Humid",IF(MONTH($BR380)&gt;=3,"Hot Dry","Cold Winter")))))</f>
        <v/>
      </c>
      <c r="BT380">
        <f>IF($BM380="","",IFERROR(VLOOKUP($BM380,DECODE!$A$3:$C$8,2,FALSE),"?"))</f>
        <v/>
      </c>
      <c r="BU380">
        <f>IF($R380="","",UPPER(TRIM(LEFT($R380&amp;",",FIND(",",$R380&amp;",")-1))))</f>
        <v/>
      </c>
      <c r="BV380">
        <f>IF($BU380="","",MID($BU380,4,FIND("~",SUBSTITUTE($BU380,"-","~",2))-4))</f>
        <v/>
      </c>
      <c r="BW380">
        <f>IF($BU380="","",MID($BU380,FIND("~",SUBSTITUTE($BU380,"-","~",2))+1,FIND("~",SUBSTITUTE($BU380,"-","~",3))-FIND("~",SUBSTITUTE($BU380,"-","~",2))-1))</f>
        <v/>
      </c>
      <c r="BX380">
        <f>IF($BV380="","",IFERROR(VLOOKUP($BV380,DECODE!$A$3:$C$8,3,FALSE),"?"))</f>
        <v/>
      </c>
      <c r="BY380">
        <f>IF($BW380="","",IFERROR(VLOOKUP($BV380&amp;"-"&amp;$BW380,DECODE!$E$3:$F$21,2,FALSE),"?"))</f>
        <v/>
      </c>
      <c r="BZ380">
        <f>IF($BU380="","",IFERROR(VALUE(RIGHT($BU380,3)),""))</f>
        <v/>
      </c>
      <c r="CA380">
        <f>IF($X380="","",IFERROR(IF(ISNUMBER($X380),$X380,DATEVALUE(TRIM($X380))),""))</f>
        <v/>
      </c>
      <c r="CB380">
        <f>IF($CA380="","",IF(MONTH($CA380)&gt;=12,"Cold Winter",IF(MONTH($CA380)&gt;=10,"Post-Monsoon",IF(MONTH($CA380)&gt;=6,"Hot Humid",IF(MONTH($CA380)&gt;=3,"Hot Dry","Cold Winter")))))</f>
        <v/>
      </c>
      <c r="CC380">
        <f>IF($BV380="","",IFERROR(VLOOKUP($BV380,DECODE!$A$3:$C$8,2,FALSE),"?"))</f>
        <v/>
      </c>
      <c r="CD380">
        <f>IF($S380="","",UPPER(TRIM(LEFT($S380&amp;",",FIND(",",$S380&amp;",")-1))))</f>
        <v/>
      </c>
      <c r="CE380">
        <f>IF($CD380="","",MID($CD380,4,FIND("~",SUBSTITUTE($CD380,"-","~",2))-4))</f>
        <v/>
      </c>
      <c r="CF380">
        <f>IF($CD380="","",MID($CD380,FIND("~",SUBSTITUTE($CD380,"-","~",2))+1,FIND("~",SUBSTITUTE($CD380,"-","~",3))-FIND("~",SUBSTITUTE($CD380,"-","~",2))-1))</f>
        <v/>
      </c>
      <c r="CG380">
        <f>IF($CE380="","",IFERROR(VLOOKUP($CE380,DECODE!$A$3:$C$8,3,FALSE),"?"))</f>
        <v/>
      </c>
      <c r="CH380">
        <f>IF($CF380="","",IFERROR(VLOOKUP($CE380&amp;"-"&amp;$CF380,DECODE!$E$3:$F$21,2,FALSE),"?"))</f>
        <v/>
      </c>
      <c r="CI380">
        <f>IF($CD380="","",IFERROR(VALUE(RIGHT($CD380,3)),""))</f>
        <v/>
      </c>
      <c r="CJ380">
        <f>IF($Y380="","",IFERROR(IF(ISNUMBER($Y380),$Y380,DATEVALUE(TRIM($Y380))),""))</f>
        <v/>
      </c>
      <c r="CK380">
        <f>IF($CJ380="","",IF(MONTH($CJ380)&gt;=12,"Cold Winter",IF(MONTH($CJ380)&gt;=10,"Post-Monsoon",IF(MONTH($CJ380)&gt;=6,"Hot Humid",IF(MONTH($CJ380)&gt;=3,"Hot Dry","Cold Winter")))))</f>
        <v/>
      </c>
      <c r="CL380">
        <f>IF($CE380="","",IFERROR(VLOOKUP($CE380,DECODE!$A$3:$C$8,2,FALSE),"?"))</f>
        <v/>
      </c>
      <c r="CM380">
        <f>IF($AN380="","",AN380)</f>
        <v/>
      </c>
      <c r="CN380">
        <f>IF($AO380="","",AO380)</f>
        <v/>
      </c>
      <c r="CO380">
        <f>IF($AP380="","",AP380)</f>
        <v/>
      </c>
      <c r="CP380">
        <f>IF($CM380="","",IF($CM380="Aloe Vera Gel","Aloe Vera Gel "&amp;$CO380&amp;"g",CN380&amp;" "&amp;$CO380&amp;"g"))</f>
        <v/>
      </c>
      <c r="CQ380">
        <f>IF($AT380="",0,1)</f>
        <v/>
      </c>
      <c r="CR380">
        <f>IF($CQ380=0,"",AW380)</f>
        <v/>
      </c>
      <c r="CS380">
        <f>IF($CQ380=0,"",AX380)</f>
        <v/>
      </c>
      <c r="CT380">
        <f>IF($CQ380=0,"",AY380)</f>
        <v/>
      </c>
      <c r="CU380">
        <f>IF($CR380="","",IF($CR380="Aloe Vera Gel","Aloe Vera Gel "&amp;$CT380&amp;"g",CS380&amp;" "&amp;$CT380&amp;"g"))</f>
        <v/>
      </c>
      <c r="CV380">
        <f>IF($CQ380=0,"",IF($CP380=$CU380,"Repeat Exact",IF($CT380&gt;$CO380,"Upsized",IF($CT380&lt;$CO380,"Downsized",IF($CM380&lt;&gt;$CR380,"Lateral","Same Size Diff Variant")))))</f>
        <v/>
      </c>
      <c r="CW380">
        <f>IF($CQ380=0,"",AZ380-AQ380)</f>
        <v/>
      </c>
      <c r="CX380">
        <f>IF($CQ380=0,0,IF(CS380=CN380,1,0))</f>
        <v/>
      </c>
      <c r="CY380">
        <f>IF($CQ380=0,0,IF(CR380=CM380,1,0))</f>
        <v/>
      </c>
      <c r="CZ380">
        <f>IF($A380="","",IF(AND(IF(DASHBOARD!$C$4="All",TRUE,$CM380=DASHBOARD!$C$4),IF(DASHBOARD!$C$6="All",TRUE,$CP380=DASHBOARD!$C$6),IF(DASHBOARD!$C$8="All",TRUE,$AF380&gt;=DASHBOARD!$C$8),IF(DASHBOARD!$C$10="All",TRUE,$AF380&lt;=DASHBOARD!$C$10),IF(DASHBOARD!$C$12="All",TRUE,$AH380=VALUE(DASHBOARD!$C$12)),IF(DASHBOARD!$C$14="All",TRUE,$AJ380=DASHBOARD!$C$14)),1,0))</f>
        <v/>
      </c>
    </row>
    <row r="381">
      <c r="A381" t="n">
        <v>191595</v>
      </c>
      <c r="B381" t="inlineStr">
        <is>
          <t>Aloe Vera Gel</t>
        </is>
      </c>
      <c r="H381" t="inlineStr">
        <is>
          <t>Aloe Vera Gel - 40 gms</t>
        </is>
      </c>
      <c r="N381" t="inlineStr">
        <is>
          <t>FC-HG-PA-040</t>
        </is>
      </c>
      <c r="T381" t="inlineStr">
        <is>
          <t>Feb 1, 2024</t>
        </is>
      </c>
      <c r="AE381" t="inlineStr">
        <is>
          <t>Guwahati</t>
        </is>
      </c>
      <c r="AF381" t="inlineStr">
        <is>
          <t>2024-02</t>
        </is>
      </c>
      <c r="AG381" t="n">
        <v>2</v>
      </c>
      <c r="AH381" t="n">
        <v>1</v>
      </c>
      <c r="AI381" t="n">
        <v>0</v>
      </c>
      <c r="AJ381">
        <f>IF($AE381="","",IFERROR(VLOOKUP(TRIM($AE381),DECODE!$H$3:$I$60,2,FALSE),"Rest of India"))</f>
        <v/>
      </c>
      <c r="AK381">
        <f>IF($N381="","",UPPER(TRIM(LEFT($N381&amp;",",FIND(",",$N381&amp;",")-1))))</f>
        <v/>
      </c>
      <c r="AL381">
        <f>IF($AK381="","",MID($AK381,4,FIND("~",SUBSTITUTE($AK381,"-","~",2))-4))</f>
        <v/>
      </c>
      <c r="AM381">
        <f>IF($AK381="","",MID($AK381,FIND("~",SUBSTITUTE($AK381,"-","~",2))+1,FIND("~",SUBSTITUTE($AK381,"-","~",3))-FIND("~",SUBSTITUTE($AK381,"-","~",2))-1))</f>
        <v/>
      </c>
      <c r="AN381">
        <f>IF($AL381="","",IFERROR(VLOOKUP($AL381,DECODE!$A$3:$C$8,3,FALSE),"?"))</f>
        <v/>
      </c>
      <c r="AO381">
        <f>IF($AM381="","",IFERROR(VLOOKUP($AL381&amp;"-"&amp;$AM381,DECODE!$E$3:$F$21,2,FALSE),"?"))</f>
        <v/>
      </c>
      <c r="AP381">
        <f>IF($AK381="","",IFERROR(VALUE(RIGHT($AK381,3)),""))</f>
        <v/>
      </c>
      <c r="AQ381">
        <f>IF($T381="","",IFERROR(IF(ISNUMBER($T381),$T381,DATEVALUE(TRIM($T381))),""))</f>
        <v/>
      </c>
      <c r="AR381">
        <f>IF($AQ381="","",IF(MONTH($AQ381)&gt;=12,"Cold Winter",IF(MONTH($AQ381)&gt;=10,"Post-Monsoon",IF(MONTH($AQ381)&gt;=6,"Hot Humid",IF(MONTH($AQ381)&gt;=3,"Hot Dry","Cold Winter")))))</f>
        <v/>
      </c>
      <c r="AS381">
        <f>IF($AL381="","",IFERROR(VLOOKUP($AL381,DECODE!$A$3:$C$8,2,FALSE),"?"))</f>
        <v/>
      </c>
      <c r="AT381">
        <f>IF($O381="","",UPPER(TRIM(LEFT($O381&amp;",",FIND(",",$O381&amp;",")-1))))</f>
        <v/>
      </c>
      <c r="AU381">
        <f>IF($AT381="","",MID($AT381,4,FIND("~",SUBSTITUTE($AT381,"-","~",2))-4))</f>
        <v/>
      </c>
      <c r="AV381">
        <f>IF($AT381="","",MID($AT381,FIND("~",SUBSTITUTE($AT381,"-","~",2))+1,FIND("~",SUBSTITUTE($AT381,"-","~",3))-FIND("~",SUBSTITUTE($AT381,"-","~",2))-1))</f>
        <v/>
      </c>
      <c r="AW381">
        <f>IF($AU381="","",IFERROR(VLOOKUP($AU381,DECODE!$A$3:$C$8,3,FALSE),"?"))</f>
        <v/>
      </c>
      <c r="AX381">
        <f>IF($AV381="","",IFERROR(VLOOKUP($AU381&amp;"-"&amp;$AV381,DECODE!$E$3:$F$21,2,FALSE),"?"))</f>
        <v/>
      </c>
      <c r="AY381">
        <f>IF($AT381="","",IFERROR(VALUE(RIGHT($AT381,3)),""))</f>
        <v/>
      </c>
      <c r="AZ381">
        <f>IF($U381="","",IFERROR(IF(ISNUMBER($U381),$U381,DATEVALUE(TRIM($U381))),""))</f>
        <v/>
      </c>
      <c r="BA381">
        <f>IF($AZ381="","",IF(MONTH($AZ381)&gt;=12,"Cold Winter",IF(MONTH($AZ381)&gt;=10,"Post-Monsoon",IF(MONTH($AZ381)&gt;=6,"Hot Humid",IF(MONTH($AZ381)&gt;=3,"Hot Dry","Cold Winter")))))</f>
        <v/>
      </c>
      <c r="BB381">
        <f>IF($AU381="","",IFERROR(VLOOKUP($AU381,DECODE!$A$3:$C$8,2,FALSE),"?"))</f>
        <v/>
      </c>
      <c r="BC381">
        <f>IF($P381="","",UPPER(TRIM(LEFT($P381&amp;",",FIND(",",$P381&amp;",")-1))))</f>
        <v/>
      </c>
      <c r="BD381">
        <f>IF($BC381="","",MID($BC381,4,FIND("~",SUBSTITUTE($BC381,"-","~",2))-4))</f>
        <v/>
      </c>
      <c r="BE381">
        <f>IF($BC381="","",MID($BC381,FIND("~",SUBSTITUTE($BC381,"-","~",2))+1,FIND("~",SUBSTITUTE($BC381,"-","~",3))-FIND("~",SUBSTITUTE($BC381,"-","~",2))-1))</f>
        <v/>
      </c>
      <c r="BF381">
        <f>IF($BD381="","",IFERROR(VLOOKUP($BD381,DECODE!$A$3:$C$8,3,FALSE),"?"))</f>
        <v/>
      </c>
      <c r="BG381">
        <f>IF($BE381="","",IFERROR(VLOOKUP($BD381&amp;"-"&amp;$BE381,DECODE!$E$3:$F$21,2,FALSE),"?"))</f>
        <v/>
      </c>
      <c r="BH381">
        <f>IF($BC381="","",IFERROR(VALUE(RIGHT($BC381,3)),""))</f>
        <v/>
      </c>
      <c r="BI381">
        <f>IF($V381="","",IFERROR(IF(ISNUMBER($V381),$V381,DATEVALUE(TRIM($V381))),""))</f>
        <v/>
      </c>
      <c r="BJ381">
        <f>IF($BI381="","",IF(MONTH($BI381)&gt;=12,"Cold Winter",IF(MONTH($BI381)&gt;=10,"Post-Monsoon",IF(MONTH($BI381)&gt;=6,"Hot Humid",IF(MONTH($BI381)&gt;=3,"Hot Dry","Cold Winter")))))</f>
        <v/>
      </c>
      <c r="BK381">
        <f>IF($BD381="","",IFERROR(VLOOKUP($BD381,DECODE!$A$3:$C$8,2,FALSE),"?"))</f>
        <v/>
      </c>
      <c r="BL381">
        <f>IF($Q381="","",UPPER(TRIM(LEFT($Q381&amp;",",FIND(",",$Q381&amp;",")-1))))</f>
        <v/>
      </c>
      <c r="BM381">
        <f>IF($BL381="","",MID($BL381,4,FIND("~",SUBSTITUTE($BL381,"-","~",2))-4))</f>
        <v/>
      </c>
      <c r="BN381">
        <f>IF($BL381="","",MID($BL381,FIND("~",SUBSTITUTE($BL381,"-","~",2))+1,FIND("~",SUBSTITUTE($BL381,"-","~",3))-FIND("~",SUBSTITUTE($BL381,"-","~",2))-1))</f>
        <v/>
      </c>
      <c r="BO381">
        <f>IF($BM381="","",IFERROR(VLOOKUP($BM381,DECODE!$A$3:$C$8,3,FALSE),"?"))</f>
        <v/>
      </c>
      <c r="BP381">
        <f>IF($BN381="","",IFERROR(VLOOKUP($BM381&amp;"-"&amp;$BN381,DECODE!$E$3:$F$21,2,FALSE),"?"))</f>
        <v/>
      </c>
      <c r="BQ381">
        <f>IF($BL381="","",IFERROR(VALUE(RIGHT($BL381,3)),""))</f>
        <v/>
      </c>
      <c r="BR381">
        <f>IF($W381="","",IFERROR(IF(ISNUMBER($W381),$W381,DATEVALUE(TRIM($W381))),""))</f>
        <v/>
      </c>
      <c r="BS381">
        <f>IF($BR381="","",IF(MONTH($BR381)&gt;=12,"Cold Winter",IF(MONTH($BR381)&gt;=10,"Post-Monsoon",IF(MONTH($BR381)&gt;=6,"Hot Humid",IF(MONTH($BR381)&gt;=3,"Hot Dry","Cold Winter")))))</f>
        <v/>
      </c>
      <c r="BT381">
        <f>IF($BM381="","",IFERROR(VLOOKUP($BM381,DECODE!$A$3:$C$8,2,FALSE),"?"))</f>
        <v/>
      </c>
      <c r="BU381">
        <f>IF($R381="","",UPPER(TRIM(LEFT($R381&amp;",",FIND(",",$R381&amp;",")-1))))</f>
        <v/>
      </c>
      <c r="BV381">
        <f>IF($BU381="","",MID($BU381,4,FIND("~",SUBSTITUTE($BU381,"-","~",2))-4))</f>
        <v/>
      </c>
      <c r="BW381">
        <f>IF($BU381="","",MID($BU381,FIND("~",SUBSTITUTE($BU381,"-","~",2))+1,FIND("~",SUBSTITUTE($BU381,"-","~",3))-FIND("~",SUBSTITUTE($BU381,"-","~",2))-1))</f>
        <v/>
      </c>
      <c r="BX381">
        <f>IF($BV381="","",IFERROR(VLOOKUP($BV381,DECODE!$A$3:$C$8,3,FALSE),"?"))</f>
        <v/>
      </c>
      <c r="BY381">
        <f>IF($BW381="","",IFERROR(VLOOKUP($BV381&amp;"-"&amp;$BW381,DECODE!$E$3:$F$21,2,FALSE),"?"))</f>
        <v/>
      </c>
      <c r="BZ381">
        <f>IF($BU381="","",IFERROR(VALUE(RIGHT($BU381,3)),""))</f>
        <v/>
      </c>
      <c r="CA381">
        <f>IF($X381="","",IFERROR(IF(ISNUMBER($X381),$X381,DATEVALUE(TRIM($X381))),""))</f>
        <v/>
      </c>
      <c r="CB381">
        <f>IF($CA381="","",IF(MONTH($CA381)&gt;=12,"Cold Winter",IF(MONTH($CA381)&gt;=10,"Post-Monsoon",IF(MONTH($CA381)&gt;=6,"Hot Humid",IF(MONTH($CA381)&gt;=3,"Hot Dry","Cold Winter")))))</f>
        <v/>
      </c>
      <c r="CC381">
        <f>IF($BV381="","",IFERROR(VLOOKUP($BV381,DECODE!$A$3:$C$8,2,FALSE),"?"))</f>
        <v/>
      </c>
      <c r="CD381">
        <f>IF($S381="","",UPPER(TRIM(LEFT($S381&amp;",",FIND(",",$S381&amp;",")-1))))</f>
        <v/>
      </c>
      <c r="CE381">
        <f>IF($CD381="","",MID($CD381,4,FIND("~",SUBSTITUTE($CD381,"-","~",2))-4))</f>
        <v/>
      </c>
      <c r="CF381">
        <f>IF($CD381="","",MID($CD381,FIND("~",SUBSTITUTE($CD381,"-","~",2))+1,FIND("~",SUBSTITUTE($CD381,"-","~",3))-FIND("~",SUBSTITUTE($CD381,"-","~",2))-1))</f>
        <v/>
      </c>
      <c r="CG381">
        <f>IF($CE381="","",IFERROR(VLOOKUP($CE381,DECODE!$A$3:$C$8,3,FALSE),"?"))</f>
        <v/>
      </c>
      <c r="CH381">
        <f>IF($CF381="","",IFERROR(VLOOKUP($CE381&amp;"-"&amp;$CF381,DECODE!$E$3:$F$21,2,FALSE),"?"))</f>
        <v/>
      </c>
      <c r="CI381">
        <f>IF($CD381="","",IFERROR(VALUE(RIGHT($CD381,3)),""))</f>
        <v/>
      </c>
      <c r="CJ381">
        <f>IF($Y381="","",IFERROR(IF(ISNUMBER($Y381),$Y381,DATEVALUE(TRIM($Y381))),""))</f>
        <v/>
      </c>
      <c r="CK381">
        <f>IF($CJ381="","",IF(MONTH($CJ381)&gt;=12,"Cold Winter",IF(MONTH($CJ381)&gt;=10,"Post-Monsoon",IF(MONTH($CJ381)&gt;=6,"Hot Humid",IF(MONTH($CJ381)&gt;=3,"Hot Dry","Cold Winter")))))</f>
        <v/>
      </c>
      <c r="CL381">
        <f>IF($CE381="","",IFERROR(VLOOKUP($CE381,DECODE!$A$3:$C$8,2,FALSE),"?"))</f>
        <v/>
      </c>
      <c r="CM381">
        <f>IF($AN381="","",AN381)</f>
        <v/>
      </c>
      <c r="CN381">
        <f>IF($AO381="","",AO381)</f>
        <v/>
      </c>
      <c r="CO381">
        <f>IF($AP381="","",AP381)</f>
        <v/>
      </c>
      <c r="CP381">
        <f>IF($CM381="","",IF($CM381="Aloe Vera Gel","Aloe Vera Gel "&amp;$CO381&amp;"g",CN381&amp;" "&amp;$CO381&amp;"g"))</f>
        <v/>
      </c>
      <c r="CQ381">
        <f>IF($AT381="",0,1)</f>
        <v/>
      </c>
      <c r="CR381">
        <f>IF($CQ381=0,"",AW381)</f>
        <v/>
      </c>
      <c r="CS381">
        <f>IF($CQ381=0,"",AX381)</f>
        <v/>
      </c>
      <c r="CT381">
        <f>IF($CQ381=0,"",AY381)</f>
        <v/>
      </c>
      <c r="CU381">
        <f>IF($CR381="","",IF($CR381="Aloe Vera Gel","Aloe Vera Gel "&amp;$CT381&amp;"g",CS381&amp;" "&amp;$CT381&amp;"g"))</f>
        <v/>
      </c>
      <c r="CV381">
        <f>IF($CQ381=0,"",IF($CP381=$CU381,"Repeat Exact",IF($CT381&gt;$CO381,"Upsized",IF($CT381&lt;$CO381,"Downsized",IF($CM381&lt;&gt;$CR381,"Lateral","Same Size Diff Variant")))))</f>
        <v/>
      </c>
      <c r="CW381">
        <f>IF($CQ381=0,"",AZ381-AQ381)</f>
        <v/>
      </c>
      <c r="CX381">
        <f>IF($CQ381=0,0,IF(CS381=CN381,1,0))</f>
        <v/>
      </c>
      <c r="CY381">
        <f>IF($CQ381=0,0,IF(CR381=CM381,1,0))</f>
        <v/>
      </c>
      <c r="CZ381">
        <f>IF($A381="","",IF(AND(IF(DASHBOARD!$C$4="All",TRUE,$CM381=DASHBOARD!$C$4),IF(DASHBOARD!$C$6="All",TRUE,$CP381=DASHBOARD!$C$6),IF(DASHBOARD!$C$8="All",TRUE,$AF381&gt;=DASHBOARD!$C$8),IF(DASHBOARD!$C$10="All",TRUE,$AF381&lt;=DASHBOARD!$C$10),IF(DASHBOARD!$C$12="All",TRUE,$AH381=VALUE(DASHBOARD!$C$12)),IF(DASHBOARD!$C$14="All",TRUE,$AJ381=DASHBOARD!$C$14)),1,0))</f>
        <v/>
      </c>
    </row>
    <row r="382">
      <c r="A382" t="n">
        <v>191890</v>
      </c>
      <c r="B382" t="inlineStr">
        <is>
          <t>Aloe Vera Gel</t>
        </is>
      </c>
      <c r="H382" t="inlineStr">
        <is>
          <t>Aloe Vera Gel - 40 gms</t>
        </is>
      </c>
      <c r="N382" t="inlineStr">
        <is>
          <t>FC-HG-PA-040</t>
        </is>
      </c>
      <c r="T382" t="inlineStr">
        <is>
          <t>Jan 19, 2024</t>
        </is>
      </c>
      <c r="AE382" t="inlineStr">
        <is>
          <t>Indore</t>
        </is>
      </c>
      <c r="AF382" t="inlineStr">
        <is>
          <t>2024-01</t>
        </is>
      </c>
      <c r="AG382" t="n">
        <v>1</v>
      </c>
      <c r="AH382" t="n">
        <v>1</v>
      </c>
      <c r="AI382" t="n">
        <v>0</v>
      </c>
      <c r="AJ382">
        <f>IF($AE382="","",IFERROR(VLOOKUP(TRIM($AE382),DECODE!$H$3:$I$60,2,FALSE),"Rest of India"))</f>
        <v/>
      </c>
      <c r="AK382">
        <f>IF($N382="","",UPPER(TRIM(LEFT($N382&amp;",",FIND(",",$N382&amp;",")-1))))</f>
        <v/>
      </c>
      <c r="AL382">
        <f>IF($AK382="","",MID($AK382,4,FIND("~",SUBSTITUTE($AK382,"-","~",2))-4))</f>
        <v/>
      </c>
      <c r="AM382">
        <f>IF($AK382="","",MID($AK382,FIND("~",SUBSTITUTE($AK382,"-","~",2))+1,FIND("~",SUBSTITUTE($AK382,"-","~",3))-FIND("~",SUBSTITUTE($AK382,"-","~",2))-1))</f>
        <v/>
      </c>
      <c r="AN382">
        <f>IF($AL382="","",IFERROR(VLOOKUP($AL382,DECODE!$A$3:$C$8,3,FALSE),"?"))</f>
        <v/>
      </c>
      <c r="AO382">
        <f>IF($AM382="","",IFERROR(VLOOKUP($AL382&amp;"-"&amp;$AM382,DECODE!$E$3:$F$21,2,FALSE),"?"))</f>
        <v/>
      </c>
      <c r="AP382">
        <f>IF($AK382="","",IFERROR(VALUE(RIGHT($AK382,3)),""))</f>
        <v/>
      </c>
      <c r="AQ382">
        <f>IF($T382="","",IFERROR(IF(ISNUMBER($T382),$T382,DATEVALUE(TRIM($T382))),""))</f>
        <v/>
      </c>
      <c r="AR382">
        <f>IF($AQ382="","",IF(MONTH($AQ382)&gt;=12,"Cold Winter",IF(MONTH($AQ382)&gt;=10,"Post-Monsoon",IF(MONTH($AQ382)&gt;=6,"Hot Humid",IF(MONTH($AQ382)&gt;=3,"Hot Dry","Cold Winter")))))</f>
        <v/>
      </c>
      <c r="AS382">
        <f>IF($AL382="","",IFERROR(VLOOKUP($AL382,DECODE!$A$3:$C$8,2,FALSE),"?"))</f>
        <v/>
      </c>
      <c r="AT382">
        <f>IF($O382="","",UPPER(TRIM(LEFT($O382&amp;",",FIND(",",$O382&amp;",")-1))))</f>
        <v/>
      </c>
      <c r="AU382">
        <f>IF($AT382="","",MID($AT382,4,FIND("~",SUBSTITUTE($AT382,"-","~",2))-4))</f>
        <v/>
      </c>
      <c r="AV382">
        <f>IF($AT382="","",MID($AT382,FIND("~",SUBSTITUTE($AT382,"-","~",2))+1,FIND("~",SUBSTITUTE($AT382,"-","~",3))-FIND("~",SUBSTITUTE($AT382,"-","~",2))-1))</f>
        <v/>
      </c>
      <c r="AW382">
        <f>IF($AU382="","",IFERROR(VLOOKUP($AU382,DECODE!$A$3:$C$8,3,FALSE),"?"))</f>
        <v/>
      </c>
      <c r="AX382">
        <f>IF($AV382="","",IFERROR(VLOOKUP($AU382&amp;"-"&amp;$AV382,DECODE!$E$3:$F$21,2,FALSE),"?"))</f>
        <v/>
      </c>
      <c r="AY382">
        <f>IF($AT382="","",IFERROR(VALUE(RIGHT($AT382,3)),""))</f>
        <v/>
      </c>
      <c r="AZ382">
        <f>IF($U382="","",IFERROR(IF(ISNUMBER($U382),$U382,DATEVALUE(TRIM($U382))),""))</f>
        <v/>
      </c>
      <c r="BA382">
        <f>IF($AZ382="","",IF(MONTH($AZ382)&gt;=12,"Cold Winter",IF(MONTH($AZ382)&gt;=10,"Post-Monsoon",IF(MONTH($AZ382)&gt;=6,"Hot Humid",IF(MONTH($AZ382)&gt;=3,"Hot Dry","Cold Winter")))))</f>
        <v/>
      </c>
      <c r="BB382">
        <f>IF($AU382="","",IFERROR(VLOOKUP($AU382,DECODE!$A$3:$C$8,2,FALSE),"?"))</f>
        <v/>
      </c>
      <c r="BC382">
        <f>IF($P382="","",UPPER(TRIM(LEFT($P382&amp;",",FIND(",",$P382&amp;",")-1))))</f>
        <v/>
      </c>
      <c r="BD382">
        <f>IF($BC382="","",MID($BC382,4,FIND("~",SUBSTITUTE($BC382,"-","~",2))-4))</f>
        <v/>
      </c>
      <c r="BE382">
        <f>IF($BC382="","",MID($BC382,FIND("~",SUBSTITUTE($BC382,"-","~",2))+1,FIND("~",SUBSTITUTE($BC382,"-","~",3))-FIND("~",SUBSTITUTE($BC382,"-","~",2))-1))</f>
        <v/>
      </c>
      <c r="BF382">
        <f>IF($BD382="","",IFERROR(VLOOKUP($BD382,DECODE!$A$3:$C$8,3,FALSE),"?"))</f>
        <v/>
      </c>
      <c r="BG382">
        <f>IF($BE382="","",IFERROR(VLOOKUP($BD382&amp;"-"&amp;$BE382,DECODE!$E$3:$F$21,2,FALSE),"?"))</f>
        <v/>
      </c>
      <c r="BH382">
        <f>IF($BC382="","",IFERROR(VALUE(RIGHT($BC382,3)),""))</f>
        <v/>
      </c>
      <c r="BI382">
        <f>IF($V382="","",IFERROR(IF(ISNUMBER($V382),$V382,DATEVALUE(TRIM($V382))),""))</f>
        <v/>
      </c>
      <c r="BJ382">
        <f>IF($BI382="","",IF(MONTH($BI382)&gt;=12,"Cold Winter",IF(MONTH($BI382)&gt;=10,"Post-Monsoon",IF(MONTH($BI382)&gt;=6,"Hot Humid",IF(MONTH($BI382)&gt;=3,"Hot Dry","Cold Winter")))))</f>
        <v/>
      </c>
      <c r="BK382">
        <f>IF($BD382="","",IFERROR(VLOOKUP($BD382,DECODE!$A$3:$C$8,2,FALSE),"?"))</f>
        <v/>
      </c>
      <c r="BL382">
        <f>IF($Q382="","",UPPER(TRIM(LEFT($Q382&amp;",",FIND(",",$Q382&amp;",")-1))))</f>
        <v/>
      </c>
      <c r="BM382">
        <f>IF($BL382="","",MID($BL382,4,FIND("~",SUBSTITUTE($BL382,"-","~",2))-4))</f>
        <v/>
      </c>
      <c r="BN382">
        <f>IF($BL382="","",MID($BL382,FIND("~",SUBSTITUTE($BL382,"-","~",2))+1,FIND("~",SUBSTITUTE($BL382,"-","~",3))-FIND("~",SUBSTITUTE($BL382,"-","~",2))-1))</f>
        <v/>
      </c>
      <c r="BO382">
        <f>IF($BM382="","",IFERROR(VLOOKUP($BM382,DECODE!$A$3:$C$8,3,FALSE),"?"))</f>
        <v/>
      </c>
      <c r="BP382">
        <f>IF($BN382="","",IFERROR(VLOOKUP($BM382&amp;"-"&amp;$BN382,DECODE!$E$3:$F$21,2,FALSE),"?"))</f>
        <v/>
      </c>
      <c r="BQ382">
        <f>IF($BL382="","",IFERROR(VALUE(RIGHT($BL382,3)),""))</f>
        <v/>
      </c>
      <c r="BR382">
        <f>IF($W382="","",IFERROR(IF(ISNUMBER($W382),$W382,DATEVALUE(TRIM($W382))),""))</f>
        <v/>
      </c>
      <c r="BS382">
        <f>IF($BR382="","",IF(MONTH($BR382)&gt;=12,"Cold Winter",IF(MONTH($BR382)&gt;=10,"Post-Monsoon",IF(MONTH($BR382)&gt;=6,"Hot Humid",IF(MONTH($BR382)&gt;=3,"Hot Dry","Cold Winter")))))</f>
        <v/>
      </c>
      <c r="BT382">
        <f>IF($BM382="","",IFERROR(VLOOKUP($BM382,DECODE!$A$3:$C$8,2,FALSE),"?"))</f>
        <v/>
      </c>
      <c r="BU382">
        <f>IF($R382="","",UPPER(TRIM(LEFT($R382&amp;",",FIND(",",$R382&amp;",")-1))))</f>
        <v/>
      </c>
      <c r="BV382">
        <f>IF($BU382="","",MID($BU382,4,FIND("~",SUBSTITUTE($BU382,"-","~",2))-4))</f>
        <v/>
      </c>
      <c r="BW382">
        <f>IF($BU382="","",MID($BU382,FIND("~",SUBSTITUTE($BU382,"-","~",2))+1,FIND("~",SUBSTITUTE($BU382,"-","~",3))-FIND("~",SUBSTITUTE($BU382,"-","~",2))-1))</f>
        <v/>
      </c>
      <c r="BX382">
        <f>IF($BV382="","",IFERROR(VLOOKUP($BV382,DECODE!$A$3:$C$8,3,FALSE),"?"))</f>
        <v/>
      </c>
      <c r="BY382">
        <f>IF($BW382="","",IFERROR(VLOOKUP($BV382&amp;"-"&amp;$BW382,DECODE!$E$3:$F$21,2,FALSE),"?"))</f>
        <v/>
      </c>
      <c r="BZ382">
        <f>IF($BU382="","",IFERROR(VALUE(RIGHT($BU382,3)),""))</f>
        <v/>
      </c>
      <c r="CA382">
        <f>IF($X382="","",IFERROR(IF(ISNUMBER($X382),$X382,DATEVALUE(TRIM($X382))),""))</f>
        <v/>
      </c>
      <c r="CB382">
        <f>IF($CA382="","",IF(MONTH($CA382)&gt;=12,"Cold Winter",IF(MONTH($CA382)&gt;=10,"Post-Monsoon",IF(MONTH($CA382)&gt;=6,"Hot Humid",IF(MONTH($CA382)&gt;=3,"Hot Dry","Cold Winter")))))</f>
        <v/>
      </c>
      <c r="CC382">
        <f>IF($BV382="","",IFERROR(VLOOKUP($BV382,DECODE!$A$3:$C$8,2,FALSE),"?"))</f>
        <v/>
      </c>
      <c r="CD382">
        <f>IF($S382="","",UPPER(TRIM(LEFT($S382&amp;",",FIND(",",$S382&amp;",")-1))))</f>
        <v/>
      </c>
      <c r="CE382">
        <f>IF($CD382="","",MID($CD382,4,FIND("~",SUBSTITUTE($CD382,"-","~",2))-4))</f>
        <v/>
      </c>
      <c r="CF382">
        <f>IF($CD382="","",MID($CD382,FIND("~",SUBSTITUTE($CD382,"-","~",2))+1,FIND("~",SUBSTITUTE($CD382,"-","~",3))-FIND("~",SUBSTITUTE($CD382,"-","~",2))-1))</f>
        <v/>
      </c>
      <c r="CG382">
        <f>IF($CE382="","",IFERROR(VLOOKUP($CE382,DECODE!$A$3:$C$8,3,FALSE),"?"))</f>
        <v/>
      </c>
      <c r="CH382">
        <f>IF($CF382="","",IFERROR(VLOOKUP($CE382&amp;"-"&amp;$CF382,DECODE!$E$3:$F$21,2,FALSE),"?"))</f>
        <v/>
      </c>
      <c r="CI382">
        <f>IF($CD382="","",IFERROR(VALUE(RIGHT($CD382,3)),""))</f>
        <v/>
      </c>
      <c r="CJ382">
        <f>IF($Y382="","",IFERROR(IF(ISNUMBER($Y382),$Y382,DATEVALUE(TRIM($Y382))),""))</f>
        <v/>
      </c>
      <c r="CK382">
        <f>IF($CJ382="","",IF(MONTH($CJ382)&gt;=12,"Cold Winter",IF(MONTH($CJ382)&gt;=10,"Post-Monsoon",IF(MONTH($CJ382)&gt;=6,"Hot Humid",IF(MONTH($CJ382)&gt;=3,"Hot Dry","Cold Winter")))))</f>
        <v/>
      </c>
      <c r="CL382">
        <f>IF($CE382="","",IFERROR(VLOOKUP($CE382,DECODE!$A$3:$C$8,2,FALSE),"?"))</f>
        <v/>
      </c>
      <c r="CM382">
        <f>IF($AN382="","",AN382)</f>
        <v/>
      </c>
      <c r="CN382">
        <f>IF($AO382="","",AO382)</f>
        <v/>
      </c>
      <c r="CO382">
        <f>IF($AP382="","",AP382)</f>
        <v/>
      </c>
      <c r="CP382">
        <f>IF($CM382="","",IF($CM382="Aloe Vera Gel","Aloe Vera Gel "&amp;$CO382&amp;"g",CN382&amp;" "&amp;$CO382&amp;"g"))</f>
        <v/>
      </c>
      <c r="CQ382">
        <f>IF($AT382="",0,1)</f>
        <v/>
      </c>
      <c r="CR382">
        <f>IF($CQ382=0,"",AW382)</f>
        <v/>
      </c>
      <c r="CS382">
        <f>IF($CQ382=0,"",AX382)</f>
        <v/>
      </c>
      <c r="CT382">
        <f>IF($CQ382=0,"",AY382)</f>
        <v/>
      </c>
      <c r="CU382">
        <f>IF($CR382="","",IF($CR382="Aloe Vera Gel","Aloe Vera Gel "&amp;$CT382&amp;"g",CS382&amp;" "&amp;$CT382&amp;"g"))</f>
        <v/>
      </c>
      <c r="CV382">
        <f>IF($CQ382=0,"",IF($CP382=$CU382,"Repeat Exact",IF($CT382&gt;$CO382,"Upsized",IF($CT382&lt;$CO382,"Downsized",IF($CM382&lt;&gt;$CR382,"Lateral","Same Size Diff Variant")))))</f>
        <v/>
      </c>
      <c r="CW382">
        <f>IF($CQ382=0,"",AZ382-AQ382)</f>
        <v/>
      </c>
      <c r="CX382">
        <f>IF($CQ382=0,0,IF(CS382=CN382,1,0))</f>
        <v/>
      </c>
      <c r="CY382">
        <f>IF($CQ382=0,0,IF(CR382=CM382,1,0))</f>
        <v/>
      </c>
      <c r="CZ382">
        <f>IF($A382="","",IF(AND(IF(DASHBOARD!$C$4="All",TRUE,$CM382=DASHBOARD!$C$4),IF(DASHBOARD!$C$6="All",TRUE,$CP382=DASHBOARD!$C$6),IF(DASHBOARD!$C$8="All",TRUE,$AF382&gt;=DASHBOARD!$C$8),IF(DASHBOARD!$C$10="All",TRUE,$AF382&lt;=DASHBOARD!$C$10),IF(DASHBOARD!$C$12="All",TRUE,$AH382=VALUE(DASHBOARD!$C$12)),IF(DASHBOARD!$C$14="All",TRUE,$AJ382=DASHBOARD!$C$14)),1,0))</f>
        <v/>
      </c>
    </row>
    <row r="383">
      <c r="A383" t="n">
        <v>191942</v>
      </c>
      <c r="B383" t="inlineStr">
        <is>
          <t>Aloe Vera Gel</t>
        </is>
      </c>
      <c r="H383" t="inlineStr">
        <is>
          <t>Aloe Vera Gel - 40 gms</t>
        </is>
      </c>
      <c r="N383" t="inlineStr">
        <is>
          <t>FC-HG-PA-040</t>
        </is>
      </c>
      <c r="T383" t="inlineStr">
        <is>
          <t>Apr 17, 2024</t>
        </is>
      </c>
      <c r="AE383" t="inlineStr">
        <is>
          <t>Bengaluru</t>
        </is>
      </c>
      <c r="AF383" t="inlineStr">
        <is>
          <t>2024-04</t>
        </is>
      </c>
      <c r="AG383" t="n">
        <v>4</v>
      </c>
      <c r="AH383" t="n">
        <v>1</v>
      </c>
      <c r="AI383" t="n">
        <v>0</v>
      </c>
      <c r="AJ383">
        <f>IF($AE383="","",IFERROR(VLOOKUP(TRIM($AE383),DECODE!$H$3:$I$60,2,FALSE),"Rest of India"))</f>
        <v/>
      </c>
      <c r="AK383">
        <f>IF($N383="","",UPPER(TRIM(LEFT($N383&amp;",",FIND(",",$N383&amp;",")-1))))</f>
        <v/>
      </c>
      <c r="AL383">
        <f>IF($AK383="","",MID($AK383,4,FIND("~",SUBSTITUTE($AK383,"-","~",2))-4))</f>
        <v/>
      </c>
      <c r="AM383">
        <f>IF($AK383="","",MID($AK383,FIND("~",SUBSTITUTE($AK383,"-","~",2))+1,FIND("~",SUBSTITUTE($AK383,"-","~",3))-FIND("~",SUBSTITUTE($AK383,"-","~",2))-1))</f>
        <v/>
      </c>
      <c r="AN383">
        <f>IF($AL383="","",IFERROR(VLOOKUP($AL383,DECODE!$A$3:$C$8,3,FALSE),"?"))</f>
        <v/>
      </c>
      <c r="AO383">
        <f>IF($AM383="","",IFERROR(VLOOKUP($AL383&amp;"-"&amp;$AM383,DECODE!$E$3:$F$21,2,FALSE),"?"))</f>
        <v/>
      </c>
      <c r="AP383">
        <f>IF($AK383="","",IFERROR(VALUE(RIGHT($AK383,3)),""))</f>
        <v/>
      </c>
      <c r="AQ383">
        <f>IF($T383="","",IFERROR(IF(ISNUMBER($T383),$T383,DATEVALUE(TRIM($T383))),""))</f>
        <v/>
      </c>
      <c r="AR383">
        <f>IF($AQ383="","",IF(MONTH($AQ383)&gt;=12,"Cold Winter",IF(MONTH($AQ383)&gt;=10,"Post-Monsoon",IF(MONTH($AQ383)&gt;=6,"Hot Humid",IF(MONTH($AQ383)&gt;=3,"Hot Dry","Cold Winter")))))</f>
        <v/>
      </c>
      <c r="AS383">
        <f>IF($AL383="","",IFERROR(VLOOKUP($AL383,DECODE!$A$3:$C$8,2,FALSE),"?"))</f>
        <v/>
      </c>
      <c r="AT383">
        <f>IF($O383="","",UPPER(TRIM(LEFT($O383&amp;",",FIND(",",$O383&amp;",")-1))))</f>
        <v/>
      </c>
      <c r="AU383">
        <f>IF($AT383="","",MID($AT383,4,FIND("~",SUBSTITUTE($AT383,"-","~",2))-4))</f>
        <v/>
      </c>
      <c r="AV383">
        <f>IF($AT383="","",MID($AT383,FIND("~",SUBSTITUTE($AT383,"-","~",2))+1,FIND("~",SUBSTITUTE($AT383,"-","~",3))-FIND("~",SUBSTITUTE($AT383,"-","~",2))-1))</f>
        <v/>
      </c>
      <c r="AW383">
        <f>IF($AU383="","",IFERROR(VLOOKUP($AU383,DECODE!$A$3:$C$8,3,FALSE),"?"))</f>
        <v/>
      </c>
      <c r="AX383">
        <f>IF($AV383="","",IFERROR(VLOOKUP($AU383&amp;"-"&amp;$AV383,DECODE!$E$3:$F$21,2,FALSE),"?"))</f>
        <v/>
      </c>
      <c r="AY383">
        <f>IF($AT383="","",IFERROR(VALUE(RIGHT($AT383,3)),""))</f>
        <v/>
      </c>
      <c r="AZ383">
        <f>IF($U383="","",IFERROR(IF(ISNUMBER($U383),$U383,DATEVALUE(TRIM($U383))),""))</f>
        <v/>
      </c>
      <c r="BA383">
        <f>IF($AZ383="","",IF(MONTH($AZ383)&gt;=12,"Cold Winter",IF(MONTH($AZ383)&gt;=10,"Post-Monsoon",IF(MONTH($AZ383)&gt;=6,"Hot Humid",IF(MONTH($AZ383)&gt;=3,"Hot Dry","Cold Winter")))))</f>
        <v/>
      </c>
      <c r="BB383">
        <f>IF($AU383="","",IFERROR(VLOOKUP($AU383,DECODE!$A$3:$C$8,2,FALSE),"?"))</f>
        <v/>
      </c>
      <c r="BC383">
        <f>IF($P383="","",UPPER(TRIM(LEFT($P383&amp;",",FIND(",",$P383&amp;",")-1))))</f>
        <v/>
      </c>
      <c r="BD383">
        <f>IF($BC383="","",MID($BC383,4,FIND("~",SUBSTITUTE($BC383,"-","~",2))-4))</f>
        <v/>
      </c>
      <c r="BE383">
        <f>IF($BC383="","",MID($BC383,FIND("~",SUBSTITUTE($BC383,"-","~",2))+1,FIND("~",SUBSTITUTE($BC383,"-","~",3))-FIND("~",SUBSTITUTE($BC383,"-","~",2))-1))</f>
        <v/>
      </c>
      <c r="BF383">
        <f>IF($BD383="","",IFERROR(VLOOKUP($BD383,DECODE!$A$3:$C$8,3,FALSE),"?"))</f>
        <v/>
      </c>
      <c r="BG383">
        <f>IF($BE383="","",IFERROR(VLOOKUP($BD383&amp;"-"&amp;$BE383,DECODE!$E$3:$F$21,2,FALSE),"?"))</f>
        <v/>
      </c>
      <c r="BH383">
        <f>IF($BC383="","",IFERROR(VALUE(RIGHT($BC383,3)),""))</f>
        <v/>
      </c>
      <c r="BI383">
        <f>IF($V383="","",IFERROR(IF(ISNUMBER($V383),$V383,DATEVALUE(TRIM($V383))),""))</f>
        <v/>
      </c>
      <c r="BJ383">
        <f>IF($BI383="","",IF(MONTH($BI383)&gt;=12,"Cold Winter",IF(MONTH($BI383)&gt;=10,"Post-Monsoon",IF(MONTH($BI383)&gt;=6,"Hot Humid",IF(MONTH($BI383)&gt;=3,"Hot Dry","Cold Winter")))))</f>
        <v/>
      </c>
      <c r="BK383">
        <f>IF($BD383="","",IFERROR(VLOOKUP($BD383,DECODE!$A$3:$C$8,2,FALSE),"?"))</f>
        <v/>
      </c>
      <c r="BL383">
        <f>IF($Q383="","",UPPER(TRIM(LEFT($Q383&amp;",",FIND(",",$Q383&amp;",")-1))))</f>
        <v/>
      </c>
      <c r="BM383">
        <f>IF($BL383="","",MID($BL383,4,FIND("~",SUBSTITUTE($BL383,"-","~",2))-4))</f>
        <v/>
      </c>
      <c r="BN383">
        <f>IF($BL383="","",MID($BL383,FIND("~",SUBSTITUTE($BL383,"-","~",2))+1,FIND("~",SUBSTITUTE($BL383,"-","~",3))-FIND("~",SUBSTITUTE($BL383,"-","~",2))-1))</f>
        <v/>
      </c>
      <c r="BO383">
        <f>IF($BM383="","",IFERROR(VLOOKUP($BM383,DECODE!$A$3:$C$8,3,FALSE),"?"))</f>
        <v/>
      </c>
      <c r="BP383">
        <f>IF($BN383="","",IFERROR(VLOOKUP($BM383&amp;"-"&amp;$BN383,DECODE!$E$3:$F$21,2,FALSE),"?"))</f>
        <v/>
      </c>
      <c r="BQ383">
        <f>IF($BL383="","",IFERROR(VALUE(RIGHT($BL383,3)),""))</f>
        <v/>
      </c>
      <c r="BR383">
        <f>IF($W383="","",IFERROR(IF(ISNUMBER($W383),$W383,DATEVALUE(TRIM($W383))),""))</f>
        <v/>
      </c>
      <c r="BS383">
        <f>IF($BR383="","",IF(MONTH($BR383)&gt;=12,"Cold Winter",IF(MONTH($BR383)&gt;=10,"Post-Monsoon",IF(MONTH($BR383)&gt;=6,"Hot Humid",IF(MONTH($BR383)&gt;=3,"Hot Dry","Cold Winter")))))</f>
        <v/>
      </c>
      <c r="BT383">
        <f>IF($BM383="","",IFERROR(VLOOKUP($BM383,DECODE!$A$3:$C$8,2,FALSE),"?"))</f>
        <v/>
      </c>
      <c r="BU383">
        <f>IF($R383="","",UPPER(TRIM(LEFT($R383&amp;",",FIND(",",$R383&amp;",")-1))))</f>
        <v/>
      </c>
      <c r="BV383">
        <f>IF($BU383="","",MID($BU383,4,FIND("~",SUBSTITUTE($BU383,"-","~",2))-4))</f>
        <v/>
      </c>
      <c r="BW383">
        <f>IF($BU383="","",MID($BU383,FIND("~",SUBSTITUTE($BU383,"-","~",2))+1,FIND("~",SUBSTITUTE($BU383,"-","~",3))-FIND("~",SUBSTITUTE($BU383,"-","~",2))-1))</f>
        <v/>
      </c>
      <c r="BX383">
        <f>IF($BV383="","",IFERROR(VLOOKUP($BV383,DECODE!$A$3:$C$8,3,FALSE),"?"))</f>
        <v/>
      </c>
      <c r="BY383">
        <f>IF($BW383="","",IFERROR(VLOOKUP($BV383&amp;"-"&amp;$BW383,DECODE!$E$3:$F$21,2,FALSE),"?"))</f>
        <v/>
      </c>
      <c r="BZ383">
        <f>IF($BU383="","",IFERROR(VALUE(RIGHT($BU383,3)),""))</f>
        <v/>
      </c>
      <c r="CA383">
        <f>IF($X383="","",IFERROR(IF(ISNUMBER($X383),$X383,DATEVALUE(TRIM($X383))),""))</f>
        <v/>
      </c>
      <c r="CB383">
        <f>IF($CA383="","",IF(MONTH($CA383)&gt;=12,"Cold Winter",IF(MONTH($CA383)&gt;=10,"Post-Monsoon",IF(MONTH($CA383)&gt;=6,"Hot Humid",IF(MONTH($CA383)&gt;=3,"Hot Dry","Cold Winter")))))</f>
        <v/>
      </c>
      <c r="CC383">
        <f>IF($BV383="","",IFERROR(VLOOKUP($BV383,DECODE!$A$3:$C$8,2,FALSE),"?"))</f>
        <v/>
      </c>
      <c r="CD383">
        <f>IF($S383="","",UPPER(TRIM(LEFT($S383&amp;",",FIND(",",$S383&amp;",")-1))))</f>
        <v/>
      </c>
      <c r="CE383">
        <f>IF($CD383="","",MID($CD383,4,FIND("~",SUBSTITUTE($CD383,"-","~",2))-4))</f>
        <v/>
      </c>
      <c r="CF383">
        <f>IF($CD383="","",MID($CD383,FIND("~",SUBSTITUTE($CD383,"-","~",2))+1,FIND("~",SUBSTITUTE($CD383,"-","~",3))-FIND("~",SUBSTITUTE($CD383,"-","~",2))-1))</f>
        <v/>
      </c>
      <c r="CG383">
        <f>IF($CE383="","",IFERROR(VLOOKUP($CE383,DECODE!$A$3:$C$8,3,FALSE),"?"))</f>
        <v/>
      </c>
      <c r="CH383">
        <f>IF($CF383="","",IFERROR(VLOOKUP($CE383&amp;"-"&amp;$CF383,DECODE!$E$3:$F$21,2,FALSE),"?"))</f>
        <v/>
      </c>
      <c r="CI383">
        <f>IF($CD383="","",IFERROR(VALUE(RIGHT($CD383,3)),""))</f>
        <v/>
      </c>
      <c r="CJ383">
        <f>IF($Y383="","",IFERROR(IF(ISNUMBER($Y383),$Y383,DATEVALUE(TRIM($Y383))),""))</f>
        <v/>
      </c>
      <c r="CK383">
        <f>IF($CJ383="","",IF(MONTH($CJ383)&gt;=12,"Cold Winter",IF(MONTH($CJ383)&gt;=10,"Post-Monsoon",IF(MONTH($CJ383)&gt;=6,"Hot Humid",IF(MONTH($CJ383)&gt;=3,"Hot Dry","Cold Winter")))))</f>
        <v/>
      </c>
      <c r="CL383">
        <f>IF($CE383="","",IFERROR(VLOOKUP($CE383,DECODE!$A$3:$C$8,2,FALSE),"?"))</f>
        <v/>
      </c>
      <c r="CM383">
        <f>IF($AN383="","",AN383)</f>
        <v/>
      </c>
      <c r="CN383">
        <f>IF($AO383="","",AO383)</f>
        <v/>
      </c>
      <c r="CO383">
        <f>IF($AP383="","",AP383)</f>
        <v/>
      </c>
      <c r="CP383">
        <f>IF($CM383="","",IF($CM383="Aloe Vera Gel","Aloe Vera Gel "&amp;$CO383&amp;"g",CN383&amp;" "&amp;$CO383&amp;"g"))</f>
        <v/>
      </c>
      <c r="CQ383">
        <f>IF($AT383="",0,1)</f>
        <v/>
      </c>
      <c r="CR383">
        <f>IF($CQ383=0,"",AW383)</f>
        <v/>
      </c>
      <c r="CS383">
        <f>IF($CQ383=0,"",AX383)</f>
        <v/>
      </c>
      <c r="CT383">
        <f>IF($CQ383=0,"",AY383)</f>
        <v/>
      </c>
      <c r="CU383">
        <f>IF($CR383="","",IF($CR383="Aloe Vera Gel","Aloe Vera Gel "&amp;$CT383&amp;"g",CS383&amp;" "&amp;$CT383&amp;"g"))</f>
        <v/>
      </c>
      <c r="CV383">
        <f>IF($CQ383=0,"",IF($CP383=$CU383,"Repeat Exact",IF($CT383&gt;$CO383,"Upsized",IF($CT383&lt;$CO383,"Downsized",IF($CM383&lt;&gt;$CR383,"Lateral","Same Size Diff Variant")))))</f>
        <v/>
      </c>
      <c r="CW383">
        <f>IF($CQ383=0,"",AZ383-AQ383)</f>
        <v/>
      </c>
      <c r="CX383">
        <f>IF($CQ383=0,0,IF(CS383=CN383,1,0))</f>
        <v/>
      </c>
      <c r="CY383">
        <f>IF($CQ383=0,0,IF(CR383=CM383,1,0))</f>
        <v/>
      </c>
      <c r="CZ383">
        <f>IF($A383="","",IF(AND(IF(DASHBOARD!$C$4="All",TRUE,$CM383=DASHBOARD!$C$4),IF(DASHBOARD!$C$6="All",TRUE,$CP383=DASHBOARD!$C$6),IF(DASHBOARD!$C$8="All",TRUE,$AF383&gt;=DASHBOARD!$C$8),IF(DASHBOARD!$C$10="All",TRUE,$AF383&lt;=DASHBOARD!$C$10),IF(DASHBOARD!$C$12="All",TRUE,$AH383=VALUE(DASHBOARD!$C$12)),IF(DASHBOARD!$C$14="All",TRUE,$AJ383=DASHBOARD!$C$14)),1,0))</f>
        <v/>
      </c>
    </row>
    <row r="384">
      <c r="A384" t="n">
        <v>192153</v>
      </c>
      <c r="B384" t="inlineStr">
        <is>
          <t>Face Malai</t>
        </is>
      </c>
      <c r="H384" t="inlineStr">
        <is>
          <t>Turmeric Nutmeg (Pigmentation)  Face Malai - 30g</t>
        </is>
      </c>
      <c r="N384" t="inlineStr">
        <is>
          <t>FC-DM-PG-030</t>
        </is>
      </c>
      <c r="T384" t="inlineStr">
        <is>
          <t>Jun 2, 2026</t>
        </is>
      </c>
      <c r="AE384" t="inlineStr">
        <is>
          <t>Srinagar</t>
        </is>
      </c>
      <c r="AF384" t="inlineStr">
        <is>
          <t>2026-06</t>
        </is>
      </c>
      <c r="AG384" t="n">
        <v>6</v>
      </c>
      <c r="AH384" t="n">
        <v>1</v>
      </c>
      <c r="AI384" t="n">
        <v>0</v>
      </c>
      <c r="AJ384">
        <f>IF($AE384="","",IFERROR(VLOOKUP(TRIM($AE384),DECODE!$H$3:$I$60,2,FALSE),"Rest of India"))</f>
        <v/>
      </c>
      <c r="AK384">
        <f>IF($N384="","",UPPER(TRIM(LEFT($N384&amp;",",FIND(",",$N384&amp;",")-1))))</f>
        <v/>
      </c>
      <c r="AL384">
        <f>IF($AK384="","",MID($AK384,4,FIND("~",SUBSTITUTE($AK384,"-","~",2))-4))</f>
        <v/>
      </c>
      <c r="AM384">
        <f>IF($AK384="","",MID($AK384,FIND("~",SUBSTITUTE($AK384,"-","~",2))+1,FIND("~",SUBSTITUTE($AK384,"-","~",3))-FIND("~",SUBSTITUTE($AK384,"-","~",2))-1))</f>
        <v/>
      </c>
      <c r="AN384">
        <f>IF($AL384="","",IFERROR(VLOOKUP($AL384,DECODE!$A$3:$C$8,3,FALSE),"?"))</f>
        <v/>
      </c>
      <c r="AO384">
        <f>IF($AM384="","",IFERROR(VLOOKUP($AL384&amp;"-"&amp;$AM384,DECODE!$E$3:$F$21,2,FALSE),"?"))</f>
        <v/>
      </c>
      <c r="AP384">
        <f>IF($AK384="","",IFERROR(VALUE(RIGHT($AK384,3)),""))</f>
        <v/>
      </c>
      <c r="AQ384">
        <f>IF($T384="","",IFERROR(IF(ISNUMBER($T384),$T384,DATEVALUE(TRIM($T384))),""))</f>
        <v/>
      </c>
      <c r="AR384">
        <f>IF($AQ384="","",IF(MONTH($AQ384)&gt;=12,"Cold Winter",IF(MONTH($AQ384)&gt;=10,"Post-Monsoon",IF(MONTH($AQ384)&gt;=6,"Hot Humid",IF(MONTH($AQ384)&gt;=3,"Hot Dry","Cold Winter")))))</f>
        <v/>
      </c>
      <c r="AS384">
        <f>IF($AL384="","",IFERROR(VLOOKUP($AL384,DECODE!$A$3:$C$8,2,FALSE),"?"))</f>
        <v/>
      </c>
      <c r="AT384">
        <f>IF($O384="","",UPPER(TRIM(LEFT($O384&amp;",",FIND(",",$O384&amp;",")-1))))</f>
        <v/>
      </c>
      <c r="AU384">
        <f>IF($AT384="","",MID($AT384,4,FIND("~",SUBSTITUTE($AT384,"-","~",2))-4))</f>
        <v/>
      </c>
      <c r="AV384">
        <f>IF($AT384="","",MID($AT384,FIND("~",SUBSTITUTE($AT384,"-","~",2))+1,FIND("~",SUBSTITUTE($AT384,"-","~",3))-FIND("~",SUBSTITUTE($AT384,"-","~",2))-1))</f>
        <v/>
      </c>
      <c r="AW384">
        <f>IF($AU384="","",IFERROR(VLOOKUP($AU384,DECODE!$A$3:$C$8,3,FALSE),"?"))</f>
        <v/>
      </c>
      <c r="AX384">
        <f>IF($AV384="","",IFERROR(VLOOKUP($AU384&amp;"-"&amp;$AV384,DECODE!$E$3:$F$21,2,FALSE),"?"))</f>
        <v/>
      </c>
      <c r="AY384">
        <f>IF($AT384="","",IFERROR(VALUE(RIGHT($AT384,3)),""))</f>
        <v/>
      </c>
      <c r="AZ384">
        <f>IF($U384="","",IFERROR(IF(ISNUMBER($U384),$U384,DATEVALUE(TRIM($U384))),""))</f>
        <v/>
      </c>
      <c r="BA384">
        <f>IF($AZ384="","",IF(MONTH($AZ384)&gt;=12,"Cold Winter",IF(MONTH($AZ384)&gt;=10,"Post-Monsoon",IF(MONTH($AZ384)&gt;=6,"Hot Humid",IF(MONTH($AZ384)&gt;=3,"Hot Dry","Cold Winter")))))</f>
        <v/>
      </c>
      <c r="BB384">
        <f>IF($AU384="","",IFERROR(VLOOKUP($AU384,DECODE!$A$3:$C$8,2,FALSE),"?"))</f>
        <v/>
      </c>
      <c r="BC384">
        <f>IF($P384="","",UPPER(TRIM(LEFT($P384&amp;",",FIND(",",$P384&amp;",")-1))))</f>
        <v/>
      </c>
      <c r="BD384">
        <f>IF($BC384="","",MID($BC384,4,FIND("~",SUBSTITUTE($BC384,"-","~",2))-4))</f>
        <v/>
      </c>
      <c r="BE384">
        <f>IF($BC384="","",MID($BC384,FIND("~",SUBSTITUTE($BC384,"-","~",2))+1,FIND("~",SUBSTITUTE($BC384,"-","~",3))-FIND("~",SUBSTITUTE($BC384,"-","~",2))-1))</f>
        <v/>
      </c>
      <c r="BF384">
        <f>IF($BD384="","",IFERROR(VLOOKUP($BD384,DECODE!$A$3:$C$8,3,FALSE),"?"))</f>
        <v/>
      </c>
      <c r="BG384">
        <f>IF($BE384="","",IFERROR(VLOOKUP($BD384&amp;"-"&amp;$BE384,DECODE!$E$3:$F$21,2,FALSE),"?"))</f>
        <v/>
      </c>
      <c r="BH384">
        <f>IF($BC384="","",IFERROR(VALUE(RIGHT($BC384,3)),""))</f>
        <v/>
      </c>
      <c r="BI384">
        <f>IF($V384="","",IFERROR(IF(ISNUMBER($V384),$V384,DATEVALUE(TRIM($V384))),""))</f>
        <v/>
      </c>
      <c r="BJ384">
        <f>IF($BI384="","",IF(MONTH($BI384)&gt;=12,"Cold Winter",IF(MONTH($BI384)&gt;=10,"Post-Monsoon",IF(MONTH($BI384)&gt;=6,"Hot Humid",IF(MONTH($BI384)&gt;=3,"Hot Dry","Cold Winter")))))</f>
        <v/>
      </c>
      <c r="BK384">
        <f>IF($BD384="","",IFERROR(VLOOKUP($BD384,DECODE!$A$3:$C$8,2,FALSE),"?"))</f>
        <v/>
      </c>
      <c r="BL384">
        <f>IF($Q384="","",UPPER(TRIM(LEFT($Q384&amp;",",FIND(",",$Q384&amp;",")-1))))</f>
        <v/>
      </c>
      <c r="BM384">
        <f>IF($BL384="","",MID($BL384,4,FIND("~",SUBSTITUTE($BL384,"-","~",2))-4))</f>
        <v/>
      </c>
      <c r="BN384">
        <f>IF($BL384="","",MID($BL384,FIND("~",SUBSTITUTE($BL384,"-","~",2))+1,FIND("~",SUBSTITUTE($BL384,"-","~",3))-FIND("~",SUBSTITUTE($BL384,"-","~",2))-1))</f>
        <v/>
      </c>
      <c r="BO384">
        <f>IF($BM384="","",IFERROR(VLOOKUP($BM384,DECODE!$A$3:$C$8,3,FALSE),"?"))</f>
        <v/>
      </c>
      <c r="BP384">
        <f>IF($BN384="","",IFERROR(VLOOKUP($BM384&amp;"-"&amp;$BN384,DECODE!$E$3:$F$21,2,FALSE),"?"))</f>
        <v/>
      </c>
      <c r="BQ384">
        <f>IF($BL384="","",IFERROR(VALUE(RIGHT($BL384,3)),""))</f>
        <v/>
      </c>
      <c r="BR384">
        <f>IF($W384="","",IFERROR(IF(ISNUMBER($W384),$W384,DATEVALUE(TRIM($W384))),""))</f>
        <v/>
      </c>
      <c r="BS384">
        <f>IF($BR384="","",IF(MONTH($BR384)&gt;=12,"Cold Winter",IF(MONTH($BR384)&gt;=10,"Post-Monsoon",IF(MONTH($BR384)&gt;=6,"Hot Humid",IF(MONTH($BR384)&gt;=3,"Hot Dry","Cold Winter")))))</f>
        <v/>
      </c>
      <c r="BT384">
        <f>IF($BM384="","",IFERROR(VLOOKUP($BM384,DECODE!$A$3:$C$8,2,FALSE),"?"))</f>
        <v/>
      </c>
      <c r="BU384">
        <f>IF($R384="","",UPPER(TRIM(LEFT($R384&amp;",",FIND(",",$R384&amp;",")-1))))</f>
        <v/>
      </c>
      <c r="BV384">
        <f>IF($BU384="","",MID($BU384,4,FIND("~",SUBSTITUTE($BU384,"-","~",2))-4))</f>
        <v/>
      </c>
      <c r="BW384">
        <f>IF($BU384="","",MID($BU384,FIND("~",SUBSTITUTE($BU384,"-","~",2))+1,FIND("~",SUBSTITUTE($BU384,"-","~",3))-FIND("~",SUBSTITUTE($BU384,"-","~",2))-1))</f>
        <v/>
      </c>
      <c r="BX384">
        <f>IF($BV384="","",IFERROR(VLOOKUP($BV384,DECODE!$A$3:$C$8,3,FALSE),"?"))</f>
        <v/>
      </c>
      <c r="BY384">
        <f>IF($BW384="","",IFERROR(VLOOKUP($BV384&amp;"-"&amp;$BW384,DECODE!$E$3:$F$21,2,FALSE),"?"))</f>
        <v/>
      </c>
      <c r="BZ384">
        <f>IF($BU384="","",IFERROR(VALUE(RIGHT($BU384,3)),""))</f>
        <v/>
      </c>
      <c r="CA384">
        <f>IF($X384="","",IFERROR(IF(ISNUMBER($X384),$X384,DATEVALUE(TRIM($X384))),""))</f>
        <v/>
      </c>
      <c r="CB384">
        <f>IF($CA384="","",IF(MONTH($CA384)&gt;=12,"Cold Winter",IF(MONTH($CA384)&gt;=10,"Post-Monsoon",IF(MONTH($CA384)&gt;=6,"Hot Humid",IF(MONTH($CA384)&gt;=3,"Hot Dry","Cold Winter")))))</f>
        <v/>
      </c>
      <c r="CC384">
        <f>IF($BV384="","",IFERROR(VLOOKUP($BV384,DECODE!$A$3:$C$8,2,FALSE),"?"))</f>
        <v/>
      </c>
      <c r="CD384">
        <f>IF($S384="","",UPPER(TRIM(LEFT($S384&amp;",",FIND(",",$S384&amp;",")-1))))</f>
        <v/>
      </c>
      <c r="CE384">
        <f>IF($CD384="","",MID($CD384,4,FIND("~",SUBSTITUTE($CD384,"-","~",2))-4))</f>
        <v/>
      </c>
      <c r="CF384">
        <f>IF($CD384="","",MID($CD384,FIND("~",SUBSTITUTE($CD384,"-","~",2))+1,FIND("~",SUBSTITUTE($CD384,"-","~",3))-FIND("~",SUBSTITUTE($CD384,"-","~",2))-1))</f>
        <v/>
      </c>
      <c r="CG384">
        <f>IF($CE384="","",IFERROR(VLOOKUP($CE384,DECODE!$A$3:$C$8,3,FALSE),"?"))</f>
        <v/>
      </c>
      <c r="CH384">
        <f>IF($CF384="","",IFERROR(VLOOKUP($CE384&amp;"-"&amp;$CF384,DECODE!$E$3:$F$21,2,FALSE),"?"))</f>
        <v/>
      </c>
      <c r="CI384">
        <f>IF($CD384="","",IFERROR(VALUE(RIGHT($CD384,3)),""))</f>
        <v/>
      </c>
      <c r="CJ384">
        <f>IF($Y384="","",IFERROR(IF(ISNUMBER($Y384),$Y384,DATEVALUE(TRIM($Y384))),""))</f>
        <v/>
      </c>
      <c r="CK384">
        <f>IF($CJ384="","",IF(MONTH($CJ384)&gt;=12,"Cold Winter",IF(MONTH($CJ384)&gt;=10,"Post-Monsoon",IF(MONTH($CJ384)&gt;=6,"Hot Humid",IF(MONTH($CJ384)&gt;=3,"Hot Dry","Cold Winter")))))</f>
        <v/>
      </c>
      <c r="CL384">
        <f>IF($CE384="","",IFERROR(VLOOKUP($CE384,DECODE!$A$3:$C$8,2,FALSE),"?"))</f>
        <v/>
      </c>
      <c r="CM384">
        <f>IF($AN384="","",AN384)</f>
        <v/>
      </c>
      <c r="CN384">
        <f>IF($AO384="","",AO384)</f>
        <v/>
      </c>
      <c r="CO384">
        <f>IF($AP384="","",AP384)</f>
        <v/>
      </c>
      <c r="CP384">
        <f>IF($CM384="","",IF($CM384="Aloe Vera Gel","Aloe Vera Gel "&amp;$CO384&amp;"g",CN384&amp;" "&amp;$CO384&amp;"g"))</f>
        <v/>
      </c>
      <c r="CQ384">
        <f>IF($AT384="",0,1)</f>
        <v/>
      </c>
      <c r="CR384">
        <f>IF($CQ384=0,"",AW384)</f>
        <v/>
      </c>
      <c r="CS384">
        <f>IF($CQ384=0,"",AX384)</f>
        <v/>
      </c>
      <c r="CT384">
        <f>IF($CQ384=0,"",AY384)</f>
        <v/>
      </c>
      <c r="CU384">
        <f>IF($CR384="","",IF($CR384="Aloe Vera Gel","Aloe Vera Gel "&amp;$CT384&amp;"g",CS384&amp;" "&amp;$CT384&amp;"g"))</f>
        <v/>
      </c>
      <c r="CV384">
        <f>IF($CQ384=0,"",IF($CP384=$CU384,"Repeat Exact",IF($CT384&gt;$CO384,"Upsized",IF($CT384&lt;$CO384,"Downsized",IF($CM384&lt;&gt;$CR384,"Lateral","Same Size Diff Variant")))))</f>
        <v/>
      </c>
      <c r="CW384">
        <f>IF($CQ384=0,"",AZ384-AQ384)</f>
        <v/>
      </c>
      <c r="CX384">
        <f>IF($CQ384=0,0,IF(CS384=CN384,1,0))</f>
        <v/>
      </c>
      <c r="CY384">
        <f>IF($CQ384=0,0,IF(CR384=CM384,1,0))</f>
        <v/>
      </c>
      <c r="CZ384">
        <f>IF($A384="","",IF(AND(IF(DASHBOARD!$C$4="All",TRUE,$CM384=DASHBOARD!$C$4),IF(DASHBOARD!$C$6="All",TRUE,$CP384=DASHBOARD!$C$6),IF(DASHBOARD!$C$8="All",TRUE,$AF384&gt;=DASHBOARD!$C$8),IF(DASHBOARD!$C$10="All",TRUE,$AF384&lt;=DASHBOARD!$C$10),IF(DASHBOARD!$C$12="All",TRUE,$AH384=VALUE(DASHBOARD!$C$12)),IF(DASHBOARD!$C$14="All",TRUE,$AJ384=DASHBOARD!$C$14)),1,0))</f>
        <v/>
      </c>
    </row>
    <row r="385">
      <c r="A385" t="n">
        <v>192253</v>
      </c>
      <c r="B385" t="inlineStr">
        <is>
          <t>Active Gel</t>
        </is>
      </c>
      <c r="H385" t="inlineStr">
        <is>
          <t>Active Beetroot Tomato Vit-A Gel</t>
        </is>
      </c>
      <c r="N385" t="inlineStr">
        <is>
          <t>FC-AC-BT-050</t>
        </is>
      </c>
      <c r="T385" t="inlineStr">
        <is>
          <t>Aug 4, 2024</t>
        </is>
      </c>
      <c r="AE385" t="inlineStr">
        <is>
          <t>Rewari</t>
        </is>
      </c>
      <c r="AF385" t="inlineStr">
        <is>
          <t>2024-08</t>
        </is>
      </c>
      <c r="AG385" t="n">
        <v>8</v>
      </c>
      <c r="AH385" t="n">
        <v>1</v>
      </c>
      <c r="AI385" t="n">
        <v>0</v>
      </c>
      <c r="AJ385">
        <f>IF($AE385="","",IFERROR(VLOOKUP(TRIM($AE385),DECODE!$H$3:$I$60,2,FALSE),"Rest of India"))</f>
        <v/>
      </c>
      <c r="AK385">
        <f>IF($N385="","",UPPER(TRIM(LEFT($N385&amp;",",FIND(",",$N385&amp;",")-1))))</f>
        <v/>
      </c>
      <c r="AL385">
        <f>IF($AK385="","",MID($AK385,4,FIND("~",SUBSTITUTE($AK385,"-","~",2))-4))</f>
        <v/>
      </c>
      <c r="AM385">
        <f>IF($AK385="","",MID($AK385,FIND("~",SUBSTITUTE($AK385,"-","~",2))+1,FIND("~",SUBSTITUTE($AK385,"-","~",3))-FIND("~",SUBSTITUTE($AK385,"-","~",2))-1))</f>
        <v/>
      </c>
      <c r="AN385">
        <f>IF($AL385="","",IFERROR(VLOOKUP($AL385,DECODE!$A$3:$C$8,3,FALSE),"?"))</f>
        <v/>
      </c>
      <c r="AO385">
        <f>IF($AM385="","",IFERROR(VLOOKUP($AL385&amp;"-"&amp;$AM385,DECODE!$E$3:$F$21,2,FALSE),"?"))</f>
        <v/>
      </c>
      <c r="AP385">
        <f>IF($AK385="","",IFERROR(VALUE(RIGHT($AK385,3)),""))</f>
        <v/>
      </c>
      <c r="AQ385">
        <f>IF($T385="","",IFERROR(IF(ISNUMBER($T385),$T385,DATEVALUE(TRIM($T385))),""))</f>
        <v/>
      </c>
      <c r="AR385">
        <f>IF($AQ385="","",IF(MONTH($AQ385)&gt;=12,"Cold Winter",IF(MONTH($AQ385)&gt;=10,"Post-Monsoon",IF(MONTH($AQ385)&gt;=6,"Hot Humid",IF(MONTH($AQ385)&gt;=3,"Hot Dry","Cold Winter")))))</f>
        <v/>
      </c>
      <c r="AS385">
        <f>IF($AL385="","",IFERROR(VLOOKUP($AL385,DECODE!$A$3:$C$8,2,FALSE),"?"))</f>
        <v/>
      </c>
      <c r="AT385">
        <f>IF($O385="","",UPPER(TRIM(LEFT($O385&amp;",",FIND(",",$O385&amp;",")-1))))</f>
        <v/>
      </c>
      <c r="AU385">
        <f>IF($AT385="","",MID($AT385,4,FIND("~",SUBSTITUTE($AT385,"-","~",2))-4))</f>
        <v/>
      </c>
      <c r="AV385">
        <f>IF($AT385="","",MID($AT385,FIND("~",SUBSTITUTE($AT385,"-","~",2))+1,FIND("~",SUBSTITUTE($AT385,"-","~",3))-FIND("~",SUBSTITUTE($AT385,"-","~",2))-1))</f>
        <v/>
      </c>
      <c r="AW385">
        <f>IF($AU385="","",IFERROR(VLOOKUP($AU385,DECODE!$A$3:$C$8,3,FALSE),"?"))</f>
        <v/>
      </c>
      <c r="AX385">
        <f>IF($AV385="","",IFERROR(VLOOKUP($AU385&amp;"-"&amp;$AV385,DECODE!$E$3:$F$21,2,FALSE),"?"))</f>
        <v/>
      </c>
      <c r="AY385">
        <f>IF($AT385="","",IFERROR(VALUE(RIGHT($AT385,3)),""))</f>
        <v/>
      </c>
      <c r="AZ385">
        <f>IF($U385="","",IFERROR(IF(ISNUMBER($U385),$U385,DATEVALUE(TRIM($U385))),""))</f>
        <v/>
      </c>
      <c r="BA385">
        <f>IF($AZ385="","",IF(MONTH($AZ385)&gt;=12,"Cold Winter",IF(MONTH($AZ385)&gt;=10,"Post-Monsoon",IF(MONTH($AZ385)&gt;=6,"Hot Humid",IF(MONTH($AZ385)&gt;=3,"Hot Dry","Cold Winter")))))</f>
        <v/>
      </c>
      <c r="BB385">
        <f>IF($AU385="","",IFERROR(VLOOKUP($AU385,DECODE!$A$3:$C$8,2,FALSE),"?"))</f>
        <v/>
      </c>
      <c r="BC385">
        <f>IF($P385="","",UPPER(TRIM(LEFT($P385&amp;",",FIND(",",$P385&amp;",")-1))))</f>
        <v/>
      </c>
      <c r="BD385">
        <f>IF($BC385="","",MID($BC385,4,FIND("~",SUBSTITUTE($BC385,"-","~",2))-4))</f>
        <v/>
      </c>
      <c r="BE385">
        <f>IF($BC385="","",MID($BC385,FIND("~",SUBSTITUTE($BC385,"-","~",2))+1,FIND("~",SUBSTITUTE($BC385,"-","~",3))-FIND("~",SUBSTITUTE($BC385,"-","~",2))-1))</f>
        <v/>
      </c>
      <c r="BF385">
        <f>IF($BD385="","",IFERROR(VLOOKUP($BD385,DECODE!$A$3:$C$8,3,FALSE),"?"))</f>
        <v/>
      </c>
      <c r="BG385">
        <f>IF($BE385="","",IFERROR(VLOOKUP($BD385&amp;"-"&amp;$BE385,DECODE!$E$3:$F$21,2,FALSE),"?"))</f>
        <v/>
      </c>
      <c r="BH385">
        <f>IF($BC385="","",IFERROR(VALUE(RIGHT($BC385,3)),""))</f>
        <v/>
      </c>
      <c r="BI385">
        <f>IF($V385="","",IFERROR(IF(ISNUMBER($V385),$V385,DATEVALUE(TRIM($V385))),""))</f>
        <v/>
      </c>
      <c r="BJ385">
        <f>IF($BI385="","",IF(MONTH($BI385)&gt;=12,"Cold Winter",IF(MONTH($BI385)&gt;=10,"Post-Monsoon",IF(MONTH($BI385)&gt;=6,"Hot Humid",IF(MONTH($BI385)&gt;=3,"Hot Dry","Cold Winter")))))</f>
        <v/>
      </c>
      <c r="BK385">
        <f>IF($BD385="","",IFERROR(VLOOKUP($BD385,DECODE!$A$3:$C$8,2,FALSE),"?"))</f>
        <v/>
      </c>
      <c r="BL385">
        <f>IF($Q385="","",UPPER(TRIM(LEFT($Q385&amp;",",FIND(",",$Q385&amp;",")-1))))</f>
        <v/>
      </c>
      <c r="BM385">
        <f>IF($BL385="","",MID($BL385,4,FIND("~",SUBSTITUTE($BL385,"-","~",2))-4))</f>
        <v/>
      </c>
      <c r="BN385">
        <f>IF($BL385="","",MID($BL385,FIND("~",SUBSTITUTE($BL385,"-","~",2))+1,FIND("~",SUBSTITUTE($BL385,"-","~",3))-FIND("~",SUBSTITUTE($BL385,"-","~",2))-1))</f>
        <v/>
      </c>
      <c r="BO385">
        <f>IF($BM385="","",IFERROR(VLOOKUP($BM385,DECODE!$A$3:$C$8,3,FALSE),"?"))</f>
        <v/>
      </c>
      <c r="BP385">
        <f>IF($BN385="","",IFERROR(VLOOKUP($BM385&amp;"-"&amp;$BN385,DECODE!$E$3:$F$21,2,FALSE),"?"))</f>
        <v/>
      </c>
      <c r="BQ385">
        <f>IF($BL385="","",IFERROR(VALUE(RIGHT($BL385,3)),""))</f>
        <v/>
      </c>
      <c r="BR385">
        <f>IF($W385="","",IFERROR(IF(ISNUMBER($W385),$W385,DATEVALUE(TRIM($W385))),""))</f>
        <v/>
      </c>
      <c r="BS385">
        <f>IF($BR385="","",IF(MONTH($BR385)&gt;=12,"Cold Winter",IF(MONTH($BR385)&gt;=10,"Post-Monsoon",IF(MONTH($BR385)&gt;=6,"Hot Humid",IF(MONTH($BR385)&gt;=3,"Hot Dry","Cold Winter")))))</f>
        <v/>
      </c>
      <c r="BT385">
        <f>IF($BM385="","",IFERROR(VLOOKUP($BM385,DECODE!$A$3:$C$8,2,FALSE),"?"))</f>
        <v/>
      </c>
      <c r="BU385">
        <f>IF($R385="","",UPPER(TRIM(LEFT($R385&amp;",",FIND(",",$R385&amp;",")-1))))</f>
        <v/>
      </c>
      <c r="BV385">
        <f>IF($BU385="","",MID($BU385,4,FIND("~",SUBSTITUTE($BU385,"-","~",2))-4))</f>
        <v/>
      </c>
      <c r="BW385">
        <f>IF($BU385="","",MID($BU385,FIND("~",SUBSTITUTE($BU385,"-","~",2))+1,FIND("~",SUBSTITUTE($BU385,"-","~",3))-FIND("~",SUBSTITUTE($BU385,"-","~",2))-1))</f>
        <v/>
      </c>
      <c r="BX385">
        <f>IF($BV385="","",IFERROR(VLOOKUP($BV385,DECODE!$A$3:$C$8,3,FALSE),"?"))</f>
        <v/>
      </c>
      <c r="BY385">
        <f>IF($BW385="","",IFERROR(VLOOKUP($BV385&amp;"-"&amp;$BW385,DECODE!$E$3:$F$21,2,FALSE),"?"))</f>
        <v/>
      </c>
      <c r="BZ385">
        <f>IF($BU385="","",IFERROR(VALUE(RIGHT($BU385,3)),""))</f>
        <v/>
      </c>
      <c r="CA385">
        <f>IF($X385="","",IFERROR(IF(ISNUMBER($X385),$X385,DATEVALUE(TRIM($X385))),""))</f>
        <v/>
      </c>
      <c r="CB385">
        <f>IF($CA385="","",IF(MONTH($CA385)&gt;=12,"Cold Winter",IF(MONTH($CA385)&gt;=10,"Post-Monsoon",IF(MONTH($CA385)&gt;=6,"Hot Humid",IF(MONTH($CA385)&gt;=3,"Hot Dry","Cold Winter")))))</f>
        <v/>
      </c>
      <c r="CC385">
        <f>IF($BV385="","",IFERROR(VLOOKUP($BV385,DECODE!$A$3:$C$8,2,FALSE),"?"))</f>
        <v/>
      </c>
      <c r="CD385">
        <f>IF($S385="","",UPPER(TRIM(LEFT($S385&amp;",",FIND(",",$S385&amp;",")-1))))</f>
        <v/>
      </c>
      <c r="CE385">
        <f>IF($CD385="","",MID($CD385,4,FIND("~",SUBSTITUTE($CD385,"-","~",2))-4))</f>
        <v/>
      </c>
      <c r="CF385">
        <f>IF($CD385="","",MID($CD385,FIND("~",SUBSTITUTE($CD385,"-","~",2))+1,FIND("~",SUBSTITUTE($CD385,"-","~",3))-FIND("~",SUBSTITUTE($CD385,"-","~",2))-1))</f>
        <v/>
      </c>
      <c r="CG385">
        <f>IF($CE385="","",IFERROR(VLOOKUP($CE385,DECODE!$A$3:$C$8,3,FALSE),"?"))</f>
        <v/>
      </c>
      <c r="CH385">
        <f>IF($CF385="","",IFERROR(VLOOKUP($CE385&amp;"-"&amp;$CF385,DECODE!$E$3:$F$21,2,FALSE),"?"))</f>
        <v/>
      </c>
      <c r="CI385">
        <f>IF($CD385="","",IFERROR(VALUE(RIGHT($CD385,3)),""))</f>
        <v/>
      </c>
      <c r="CJ385">
        <f>IF($Y385="","",IFERROR(IF(ISNUMBER($Y385),$Y385,DATEVALUE(TRIM($Y385))),""))</f>
        <v/>
      </c>
      <c r="CK385">
        <f>IF($CJ385="","",IF(MONTH($CJ385)&gt;=12,"Cold Winter",IF(MONTH($CJ385)&gt;=10,"Post-Monsoon",IF(MONTH($CJ385)&gt;=6,"Hot Humid",IF(MONTH($CJ385)&gt;=3,"Hot Dry","Cold Winter")))))</f>
        <v/>
      </c>
      <c r="CL385">
        <f>IF($CE385="","",IFERROR(VLOOKUP($CE385,DECODE!$A$3:$C$8,2,FALSE),"?"))</f>
        <v/>
      </c>
      <c r="CM385">
        <f>IF($AN385="","",AN385)</f>
        <v/>
      </c>
      <c r="CN385">
        <f>IF($AO385="","",AO385)</f>
        <v/>
      </c>
      <c r="CO385">
        <f>IF($AP385="","",AP385)</f>
        <v/>
      </c>
      <c r="CP385">
        <f>IF($CM385="","",IF($CM385="Aloe Vera Gel","Aloe Vera Gel "&amp;$CO385&amp;"g",CN385&amp;" "&amp;$CO385&amp;"g"))</f>
        <v/>
      </c>
      <c r="CQ385">
        <f>IF($AT385="",0,1)</f>
        <v/>
      </c>
      <c r="CR385">
        <f>IF($CQ385=0,"",AW385)</f>
        <v/>
      </c>
      <c r="CS385">
        <f>IF($CQ385=0,"",AX385)</f>
        <v/>
      </c>
      <c r="CT385">
        <f>IF($CQ385=0,"",AY385)</f>
        <v/>
      </c>
      <c r="CU385">
        <f>IF($CR385="","",IF($CR385="Aloe Vera Gel","Aloe Vera Gel "&amp;$CT385&amp;"g",CS385&amp;" "&amp;$CT385&amp;"g"))</f>
        <v/>
      </c>
      <c r="CV385">
        <f>IF($CQ385=0,"",IF($CP385=$CU385,"Repeat Exact",IF($CT385&gt;$CO385,"Upsized",IF($CT385&lt;$CO385,"Downsized",IF($CM385&lt;&gt;$CR385,"Lateral","Same Size Diff Variant")))))</f>
        <v/>
      </c>
      <c r="CW385">
        <f>IF($CQ385=0,"",AZ385-AQ385)</f>
        <v/>
      </c>
      <c r="CX385">
        <f>IF($CQ385=0,0,IF(CS385=CN385,1,0))</f>
        <v/>
      </c>
      <c r="CY385">
        <f>IF($CQ385=0,0,IF(CR385=CM385,1,0))</f>
        <v/>
      </c>
      <c r="CZ385">
        <f>IF($A385="","",IF(AND(IF(DASHBOARD!$C$4="All",TRUE,$CM385=DASHBOARD!$C$4),IF(DASHBOARD!$C$6="All",TRUE,$CP385=DASHBOARD!$C$6),IF(DASHBOARD!$C$8="All",TRUE,$AF385&gt;=DASHBOARD!$C$8),IF(DASHBOARD!$C$10="All",TRUE,$AF385&lt;=DASHBOARD!$C$10),IF(DASHBOARD!$C$12="All",TRUE,$AH385=VALUE(DASHBOARD!$C$12)),IF(DASHBOARD!$C$14="All",TRUE,$AJ385=DASHBOARD!$C$14)),1,0))</f>
        <v/>
      </c>
    </row>
    <row r="386">
      <c r="A386" t="n">
        <v>192419</v>
      </c>
      <c r="B386" t="inlineStr">
        <is>
          <t>Face Malai</t>
        </is>
      </c>
      <c r="H386" t="inlineStr">
        <is>
          <t>Turmeric Nutmeg (Pigmentation)  Face Malai - 30g</t>
        </is>
      </c>
      <c r="N386" t="inlineStr">
        <is>
          <t>FC-DM-PG-030</t>
        </is>
      </c>
      <c r="T386" t="inlineStr">
        <is>
          <t>Jul 13, 2025</t>
        </is>
      </c>
      <c r="AE386" t="inlineStr">
        <is>
          <t>Gautam Buddha Nagar</t>
        </is>
      </c>
      <c r="AF386" t="inlineStr">
        <is>
          <t>2025-07</t>
        </is>
      </c>
      <c r="AG386" t="n">
        <v>7</v>
      </c>
      <c r="AH386" t="n">
        <v>1</v>
      </c>
      <c r="AI386" t="n">
        <v>0</v>
      </c>
      <c r="AJ386">
        <f>IF($AE386="","",IFERROR(VLOOKUP(TRIM($AE386),DECODE!$H$3:$I$60,2,FALSE),"Rest of India"))</f>
        <v/>
      </c>
      <c r="AK386">
        <f>IF($N386="","",UPPER(TRIM(LEFT($N386&amp;",",FIND(",",$N386&amp;",")-1))))</f>
        <v/>
      </c>
      <c r="AL386">
        <f>IF($AK386="","",MID($AK386,4,FIND("~",SUBSTITUTE($AK386,"-","~",2))-4))</f>
        <v/>
      </c>
      <c r="AM386">
        <f>IF($AK386="","",MID($AK386,FIND("~",SUBSTITUTE($AK386,"-","~",2))+1,FIND("~",SUBSTITUTE($AK386,"-","~",3))-FIND("~",SUBSTITUTE($AK386,"-","~",2))-1))</f>
        <v/>
      </c>
      <c r="AN386">
        <f>IF($AL386="","",IFERROR(VLOOKUP($AL386,DECODE!$A$3:$C$8,3,FALSE),"?"))</f>
        <v/>
      </c>
      <c r="AO386">
        <f>IF($AM386="","",IFERROR(VLOOKUP($AL386&amp;"-"&amp;$AM386,DECODE!$E$3:$F$21,2,FALSE),"?"))</f>
        <v/>
      </c>
      <c r="AP386">
        <f>IF($AK386="","",IFERROR(VALUE(RIGHT($AK386,3)),""))</f>
        <v/>
      </c>
      <c r="AQ386">
        <f>IF($T386="","",IFERROR(IF(ISNUMBER($T386),$T386,DATEVALUE(TRIM($T386))),""))</f>
        <v/>
      </c>
      <c r="AR386">
        <f>IF($AQ386="","",IF(MONTH($AQ386)&gt;=12,"Cold Winter",IF(MONTH($AQ386)&gt;=10,"Post-Monsoon",IF(MONTH($AQ386)&gt;=6,"Hot Humid",IF(MONTH($AQ386)&gt;=3,"Hot Dry","Cold Winter")))))</f>
        <v/>
      </c>
      <c r="AS386">
        <f>IF($AL386="","",IFERROR(VLOOKUP($AL386,DECODE!$A$3:$C$8,2,FALSE),"?"))</f>
        <v/>
      </c>
      <c r="AT386">
        <f>IF($O386="","",UPPER(TRIM(LEFT($O386&amp;",",FIND(",",$O386&amp;",")-1))))</f>
        <v/>
      </c>
      <c r="AU386">
        <f>IF($AT386="","",MID($AT386,4,FIND("~",SUBSTITUTE($AT386,"-","~",2))-4))</f>
        <v/>
      </c>
      <c r="AV386">
        <f>IF($AT386="","",MID($AT386,FIND("~",SUBSTITUTE($AT386,"-","~",2))+1,FIND("~",SUBSTITUTE($AT386,"-","~",3))-FIND("~",SUBSTITUTE($AT386,"-","~",2))-1))</f>
        <v/>
      </c>
      <c r="AW386">
        <f>IF($AU386="","",IFERROR(VLOOKUP($AU386,DECODE!$A$3:$C$8,3,FALSE),"?"))</f>
        <v/>
      </c>
      <c r="AX386">
        <f>IF($AV386="","",IFERROR(VLOOKUP($AU386&amp;"-"&amp;$AV386,DECODE!$E$3:$F$21,2,FALSE),"?"))</f>
        <v/>
      </c>
      <c r="AY386">
        <f>IF($AT386="","",IFERROR(VALUE(RIGHT($AT386,3)),""))</f>
        <v/>
      </c>
      <c r="AZ386">
        <f>IF($U386="","",IFERROR(IF(ISNUMBER($U386),$U386,DATEVALUE(TRIM($U386))),""))</f>
        <v/>
      </c>
      <c r="BA386">
        <f>IF($AZ386="","",IF(MONTH($AZ386)&gt;=12,"Cold Winter",IF(MONTH($AZ386)&gt;=10,"Post-Monsoon",IF(MONTH($AZ386)&gt;=6,"Hot Humid",IF(MONTH($AZ386)&gt;=3,"Hot Dry","Cold Winter")))))</f>
        <v/>
      </c>
      <c r="BB386">
        <f>IF($AU386="","",IFERROR(VLOOKUP($AU386,DECODE!$A$3:$C$8,2,FALSE),"?"))</f>
        <v/>
      </c>
      <c r="BC386">
        <f>IF($P386="","",UPPER(TRIM(LEFT($P386&amp;",",FIND(",",$P386&amp;",")-1))))</f>
        <v/>
      </c>
      <c r="BD386">
        <f>IF($BC386="","",MID($BC386,4,FIND("~",SUBSTITUTE($BC386,"-","~",2))-4))</f>
        <v/>
      </c>
      <c r="BE386">
        <f>IF($BC386="","",MID($BC386,FIND("~",SUBSTITUTE($BC386,"-","~",2))+1,FIND("~",SUBSTITUTE($BC386,"-","~",3))-FIND("~",SUBSTITUTE($BC386,"-","~",2))-1))</f>
        <v/>
      </c>
      <c r="BF386">
        <f>IF($BD386="","",IFERROR(VLOOKUP($BD386,DECODE!$A$3:$C$8,3,FALSE),"?"))</f>
        <v/>
      </c>
      <c r="BG386">
        <f>IF($BE386="","",IFERROR(VLOOKUP($BD386&amp;"-"&amp;$BE386,DECODE!$E$3:$F$21,2,FALSE),"?"))</f>
        <v/>
      </c>
      <c r="BH386">
        <f>IF($BC386="","",IFERROR(VALUE(RIGHT($BC386,3)),""))</f>
        <v/>
      </c>
      <c r="BI386">
        <f>IF($V386="","",IFERROR(IF(ISNUMBER($V386),$V386,DATEVALUE(TRIM($V386))),""))</f>
        <v/>
      </c>
      <c r="BJ386">
        <f>IF($BI386="","",IF(MONTH($BI386)&gt;=12,"Cold Winter",IF(MONTH($BI386)&gt;=10,"Post-Monsoon",IF(MONTH($BI386)&gt;=6,"Hot Humid",IF(MONTH($BI386)&gt;=3,"Hot Dry","Cold Winter")))))</f>
        <v/>
      </c>
      <c r="BK386">
        <f>IF($BD386="","",IFERROR(VLOOKUP($BD386,DECODE!$A$3:$C$8,2,FALSE),"?"))</f>
        <v/>
      </c>
      <c r="BL386">
        <f>IF($Q386="","",UPPER(TRIM(LEFT($Q386&amp;",",FIND(",",$Q386&amp;",")-1))))</f>
        <v/>
      </c>
      <c r="BM386">
        <f>IF($BL386="","",MID($BL386,4,FIND("~",SUBSTITUTE($BL386,"-","~",2))-4))</f>
        <v/>
      </c>
      <c r="BN386">
        <f>IF($BL386="","",MID($BL386,FIND("~",SUBSTITUTE($BL386,"-","~",2))+1,FIND("~",SUBSTITUTE($BL386,"-","~",3))-FIND("~",SUBSTITUTE($BL386,"-","~",2))-1))</f>
        <v/>
      </c>
      <c r="BO386">
        <f>IF($BM386="","",IFERROR(VLOOKUP($BM386,DECODE!$A$3:$C$8,3,FALSE),"?"))</f>
        <v/>
      </c>
      <c r="BP386">
        <f>IF($BN386="","",IFERROR(VLOOKUP($BM386&amp;"-"&amp;$BN386,DECODE!$E$3:$F$21,2,FALSE),"?"))</f>
        <v/>
      </c>
      <c r="BQ386">
        <f>IF($BL386="","",IFERROR(VALUE(RIGHT($BL386,3)),""))</f>
        <v/>
      </c>
      <c r="BR386">
        <f>IF($W386="","",IFERROR(IF(ISNUMBER($W386),$W386,DATEVALUE(TRIM($W386))),""))</f>
        <v/>
      </c>
      <c r="BS386">
        <f>IF($BR386="","",IF(MONTH($BR386)&gt;=12,"Cold Winter",IF(MONTH($BR386)&gt;=10,"Post-Monsoon",IF(MONTH($BR386)&gt;=6,"Hot Humid",IF(MONTH($BR386)&gt;=3,"Hot Dry","Cold Winter")))))</f>
        <v/>
      </c>
      <c r="BT386">
        <f>IF($BM386="","",IFERROR(VLOOKUP($BM386,DECODE!$A$3:$C$8,2,FALSE),"?"))</f>
        <v/>
      </c>
      <c r="BU386">
        <f>IF($R386="","",UPPER(TRIM(LEFT($R386&amp;",",FIND(",",$R386&amp;",")-1))))</f>
        <v/>
      </c>
      <c r="BV386">
        <f>IF($BU386="","",MID($BU386,4,FIND("~",SUBSTITUTE($BU386,"-","~",2))-4))</f>
        <v/>
      </c>
      <c r="BW386">
        <f>IF($BU386="","",MID($BU386,FIND("~",SUBSTITUTE($BU386,"-","~",2))+1,FIND("~",SUBSTITUTE($BU386,"-","~",3))-FIND("~",SUBSTITUTE($BU386,"-","~",2))-1))</f>
        <v/>
      </c>
      <c r="BX386">
        <f>IF($BV386="","",IFERROR(VLOOKUP($BV386,DECODE!$A$3:$C$8,3,FALSE),"?"))</f>
        <v/>
      </c>
      <c r="BY386">
        <f>IF($BW386="","",IFERROR(VLOOKUP($BV386&amp;"-"&amp;$BW386,DECODE!$E$3:$F$21,2,FALSE),"?"))</f>
        <v/>
      </c>
      <c r="BZ386">
        <f>IF($BU386="","",IFERROR(VALUE(RIGHT($BU386,3)),""))</f>
        <v/>
      </c>
      <c r="CA386">
        <f>IF($X386="","",IFERROR(IF(ISNUMBER($X386),$X386,DATEVALUE(TRIM($X386))),""))</f>
        <v/>
      </c>
      <c r="CB386">
        <f>IF($CA386="","",IF(MONTH($CA386)&gt;=12,"Cold Winter",IF(MONTH($CA386)&gt;=10,"Post-Monsoon",IF(MONTH($CA386)&gt;=6,"Hot Humid",IF(MONTH($CA386)&gt;=3,"Hot Dry","Cold Winter")))))</f>
        <v/>
      </c>
      <c r="CC386">
        <f>IF($BV386="","",IFERROR(VLOOKUP($BV386,DECODE!$A$3:$C$8,2,FALSE),"?"))</f>
        <v/>
      </c>
      <c r="CD386">
        <f>IF($S386="","",UPPER(TRIM(LEFT($S386&amp;",",FIND(",",$S386&amp;",")-1))))</f>
        <v/>
      </c>
      <c r="CE386">
        <f>IF($CD386="","",MID($CD386,4,FIND("~",SUBSTITUTE($CD386,"-","~",2))-4))</f>
        <v/>
      </c>
      <c r="CF386">
        <f>IF($CD386="","",MID($CD386,FIND("~",SUBSTITUTE($CD386,"-","~",2))+1,FIND("~",SUBSTITUTE($CD386,"-","~",3))-FIND("~",SUBSTITUTE($CD386,"-","~",2))-1))</f>
        <v/>
      </c>
      <c r="CG386">
        <f>IF($CE386="","",IFERROR(VLOOKUP($CE386,DECODE!$A$3:$C$8,3,FALSE),"?"))</f>
        <v/>
      </c>
      <c r="CH386">
        <f>IF($CF386="","",IFERROR(VLOOKUP($CE386&amp;"-"&amp;$CF386,DECODE!$E$3:$F$21,2,FALSE),"?"))</f>
        <v/>
      </c>
      <c r="CI386">
        <f>IF($CD386="","",IFERROR(VALUE(RIGHT($CD386,3)),""))</f>
        <v/>
      </c>
      <c r="CJ386">
        <f>IF($Y386="","",IFERROR(IF(ISNUMBER($Y386),$Y386,DATEVALUE(TRIM($Y386))),""))</f>
        <v/>
      </c>
      <c r="CK386">
        <f>IF($CJ386="","",IF(MONTH($CJ386)&gt;=12,"Cold Winter",IF(MONTH($CJ386)&gt;=10,"Post-Monsoon",IF(MONTH($CJ386)&gt;=6,"Hot Humid",IF(MONTH($CJ386)&gt;=3,"Hot Dry","Cold Winter")))))</f>
        <v/>
      </c>
      <c r="CL386">
        <f>IF($CE386="","",IFERROR(VLOOKUP($CE386,DECODE!$A$3:$C$8,2,FALSE),"?"))</f>
        <v/>
      </c>
      <c r="CM386">
        <f>IF($AN386="","",AN386)</f>
        <v/>
      </c>
      <c r="CN386">
        <f>IF($AO386="","",AO386)</f>
        <v/>
      </c>
      <c r="CO386">
        <f>IF($AP386="","",AP386)</f>
        <v/>
      </c>
      <c r="CP386">
        <f>IF($CM386="","",IF($CM386="Aloe Vera Gel","Aloe Vera Gel "&amp;$CO386&amp;"g",CN386&amp;" "&amp;$CO386&amp;"g"))</f>
        <v/>
      </c>
      <c r="CQ386">
        <f>IF($AT386="",0,1)</f>
        <v/>
      </c>
      <c r="CR386">
        <f>IF($CQ386=0,"",AW386)</f>
        <v/>
      </c>
      <c r="CS386">
        <f>IF($CQ386=0,"",AX386)</f>
        <v/>
      </c>
      <c r="CT386">
        <f>IF($CQ386=0,"",AY386)</f>
        <v/>
      </c>
      <c r="CU386">
        <f>IF($CR386="","",IF($CR386="Aloe Vera Gel","Aloe Vera Gel "&amp;$CT386&amp;"g",CS386&amp;" "&amp;$CT386&amp;"g"))</f>
        <v/>
      </c>
      <c r="CV386">
        <f>IF($CQ386=0,"",IF($CP386=$CU386,"Repeat Exact",IF($CT386&gt;$CO386,"Upsized",IF($CT386&lt;$CO386,"Downsized",IF($CM386&lt;&gt;$CR386,"Lateral","Same Size Diff Variant")))))</f>
        <v/>
      </c>
      <c r="CW386">
        <f>IF($CQ386=0,"",AZ386-AQ386)</f>
        <v/>
      </c>
      <c r="CX386">
        <f>IF($CQ386=0,0,IF(CS386=CN386,1,0))</f>
        <v/>
      </c>
      <c r="CY386">
        <f>IF($CQ386=0,0,IF(CR386=CM386,1,0))</f>
        <v/>
      </c>
      <c r="CZ386">
        <f>IF($A386="","",IF(AND(IF(DASHBOARD!$C$4="All",TRUE,$CM386=DASHBOARD!$C$4),IF(DASHBOARD!$C$6="All",TRUE,$CP386=DASHBOARD!$C$6),IF(DASHBOARD!$C$8="All",TRUE,$AF386&gt;=DASHBOARD!$C$8),IF(DASHBOARD!$C$10="All",TRUE,$AF386&lt;=DASHBOARD!$C$10),IF(DASHBOARD!$C$12="All",TRUE,$AH386=VALUE(DASHBOARD!$C$12)),IF(DASHBOARD!$C$14="All",TRUE,$AJ386=DASHBOARD!$C$14)),1,0))</f>
        <v/>
      </c>
    </row>
    <row r="387">
      <c r="A387" t="n">
        <v>192768</v>
      </c>
      <c r="B387" t="inlineStr">
        <is>
          <t>Active Gel</t>
        </is>
      </c>
      <c r="C387" t="inlineStr">
        <is>
          <t>Active Gel</t>
        </is>
      </c>
      <c r="D387" t="inlineStr">
        <is>
          <t>Aloe Vera Gel</t>
        </is>
      </c>
      <c r="E387" t="inlineStr">
        <is>
          <t>Active Gel</t>
        </is>
      </c>
      <c r="H387" t="inlineStr">
        <is>
          <t>Active Orange Kiwi Vit-C Gel</t>
        </is>
      </c>
      <c r="I387" t="inlineStr">
        <is>
          <t>Active Beetroot Tomato Vit-A Gel</t>
        </is>
      </c>
      <c r="J387" t="inlineStr">
        <is>
          <t>Aloe Vera Gel - 40 gms</t>
        </is>
      </c>
      <c r="K387" t="inlineStr">
        <is>
          <t>Active Beetroot Tomato Vit-A Gel</t>
        </is>
      </c>
      <c r="N387" t="inlineStr">
        <is>
          <t>FC-AC-OK-050</t>
        </is>
      </c>
      <c r="O387" t="inlineStr">
        <is>
          <t>FC-AC-BT-050</t>
        </is>
      </c>
      <c r="P387" t="inlineStr">
        <is>
          <t>FC-HG-PA-040</t>
        </is>
      </c>
      <c r="Q387" t="inlineStr">
        <is>
          <t>FC-AC-BT-050</t>
        </is>
      </c>
      <c r="T387" t="inlineStr">
        <is>
          <t>Sep 9, 2024</t>
        </is>
      </c>
      <c r="U387" t="inlineStr">
        <is>
          <t>Dec 22, 2024</t>
        </is>
      </c>
      <c r="V387" t="inlineStr">
        <is>
          <t>Dec 28, 2024</t>
        </is>
      </c>
      <c r="W387" t="inlineStr">
        <is>
          <t>Feb 16, 2025</t>
        </is>
      </c>
      <c r="Z387" t="n">
        <v>104</v>
      </c>
      <c r="AA387" t="n">
        <v>6</v>
      </c>
      <c r="AB387" t="n">
        <v>50</v>
      </c>
      <c r="AE387" t="inlineStr">
        <is>
          <t>Mumbai</t>
        </is>
      </c>
      <c r="AF387" t="inlineStr">
        <is>
          <t>2024-09</t>
        </is>
      </c>
      <c r="AG387" t="n">
        <v>9</v>
      </c>
      <c r="AH387" t="n">
        <v>4</v>
      </c>
      <c r="AI387" t="n">
        <v>1</v>
      </c>
      <c r="AJ387">
        <f>IF($AE387="","",IFERROR(VLOOKUP(TRIM($AE387),DECODE!$H$3:$I$60,2,FALSE),"Rest of India"))</f>
        <v/>
      </c>
      <c r="AK387">
        <f>IF($N387="","",UPPER(TRIM(LEFT($N387&amp;",",FIND(",",$N387&amp;",")-1))))</f>
        <v/>
      </c>
      <c r="AL387">
        <f>IF($AK387="","",MID($AK387,4,FIND("~",SUBSTITUTE($AK387,"-","~",2))-4))</f>
        <v/>
      </c>
      <c r="AM387">
        <f>IF($AK387="","",MID($AK387,FIND("~",SUBSTITUTE($AK387,"-","~",2))+1,FIND("~",SUBSTITUTE($AK387,"-","~",3))-FIND("~",SUBSTITUTE($AK387,"-","~",2))-1))</f>
        <v/>
      </c>
      <c r="AN387">
        <f>IF($AL387="","",IFERROR(VLOOKUP($AL387,DECODE!$A$3:$C$8,3,FALSE),"?"))</f>
        <v/>
      </c>
      <c r="AO387">
        <f>IF($AM387="","",IFERROR(VLOOKUP($AL387&amp;"-"&amp;$AM387,DECODE!$E$3:$F$21,2,FALSE),"?"))</f>
        <v/>
      </c>
      <c r="AP387">
        <f>IF($AK387="","",IFERROR(VALUE(RIGHT($AK387,3)),""))</f>
        <v/>
      </c>
      <c r="AQ387">
        <f>IF($T387="","",IFERROR(IF(ISNUMBER($T387),$T387,DATEVALUE(TRIM($T387))),""))</f>
        <v/>
      </c>
      <c r="AR387">
        <f>IF($AQ387="","",IF(MONTH($AQ387)&gt;=12,"Cold Winter",IF(MONTH($AQ387)&gt;=10,"Post-Monsoon",IF(MONTH($AQ387)&gt;=6,"Hot Humid",IF(MONTH($AQ387)&gt;=3,"Hot Dry","Cold Winter")))))</f>
        <v/>
      </c>
      <c r="AS387">
        <f>IF($AL387="","",IFERROR(VLOOKUP($AL387,DECODE!$A$3:$C$8,2,FALSE),"?"))</f>
        <v/>
      </c>
      <c r="AT387">
        <f>IF($O387="","",UPPER(TRIM(LEFT($O387&amp;",",FIND(",",$O387&amp;",")-1))))</f>
        <v/>
      </c>
      <c r="AU387">
        <f>IF($AT387="","",MID($AT387,4,FIND("~",SUBSTITUTE($AT387,"-","~",2))-4))</f>
        <v/>
      </c>
      <c r="AV387">
        <f>IF($AT387="","",MID($AT387,FIND("~",SUBSTITUTE($AT387,"-","~",2))+1,FIND("~",SUBSTITUTE($AT387,"-","~",3))-FIND("~",SUBSTITUTE($AT387,"-","~",2))-1))</f>
        <v/>
      </c>
      <c r="AW387">
        <f>IF($AU387="","",IFERROR(VLOOKUP($AU387,DECODE!$A$3:$C$8,3,FALSE),"?"))</f>
        <v/>
      </c>
      <c r="AX387">
        <f>IF($AV387="","",IFERROR(VLOOKUP($AU387&amp;"-"&amp;$AV387,DECODE!$E$3:$F$21,2,FALSE),"?"))</f>
        <v/>
      </c>
      <c r="AY387">
        <f>IF($AT387="","",IFERROR(VALUE(RIGHT($AT387,3)),""))</f>
        <v/>
      </c>
      <c r="AZ387">
        <f>IF($U387="","",IFERROR(IF(ISNUMBER($U387),$U387,DATEVALUE(TRIM($U387))),""))</f>
        <v/>
      </c>
      <c r="BA387">
        <f>IF($AZ387="","",IF(MONTH($AZ387)&gt;=12,"Cold Winter",IF(MONTH($AZ387)&gt;=10,"Post-Monsoon",IF(MONTH($AZ387)&gt;=6,"Hot Humid",IF(MONTH($AZ387)&gt;=3,"Hot Dry","Cold Winter")))))</f>
        <v/>
      </c>
      <c r="BB387">
        <f>IF($AU387="","",IFERROR(VLOOKUP($AU387,DECODE!$A$3:$C$8,2,FALSE),"?"))</f>
        <v/>
      </c>
      <c r="BC387">
        <f>IF($P387="","",UPPER(TRIM(LEFT($P387&amp;",",FIND(",",$P387&amp;",")-1))))</f>
        <v/>
      </c>
      <c r="BD387">
        <f>IF($BC387="","",MID($BC387,4,FIND("~",SUBSTITUTE($BC387,"-","~",2))-4))</f>
        <v/>
      </c>
      <c r="BE387">
        <f>IF($BC387="","",MID($BC387,FIND("~",SUBSTITUTE($BC387,"-","~",2))+1,FIND("~",SUBSTITUTE($BC387,"-","~",3))-FIND("~",SUBSTITUTE($BC387,"-","~",2))-1))</f>
        <v/>
      </c>
      <c r="BF387">
        <f>IF($BD387="","",IFERROR(VLOOKUP($BD387,DECODE!$A$3:$C$8,3,FALSE),"?"))</f>
        <v/>
      </c>
      <c r="BG387">
        <f>IF($BE387="","",IFERROR(VLOOKUP($BD387&amp;"-"&amp;$BE387,DECODE!$E$3:$F$21,2,FALSE),"?"))</f>
        <v/>
      </c>
      <c r="BH387">
        <f>IF($BC387="","",IFERROR(VALUE(RIGHT($BC387,3)),""))</f>
        <v/>
      </c>
      <c r="BI387">
        <f>IF($V387="","",IFERROR(IF(ISNUMBER($V387),$V387,DATEVALUE(TRIM($V387))),""))</f>
        <v/>
      </c>
      <c r="BJ387">
        <f>IF($BI387="","",IF(MONTH($BI387)&gt;=12,"Cold Winter",IF(MONTH($BI387)&gt;=10,"Post-Monsoon",IF(MONTH($BI387)&gt;=6,"Hot Humid",IF(MONTH($BI387)&gt;=3,"Hot Dry","Cold Winter")))))</f>
        <v/>
      </c>
      <c r="BK387">
        <f>IF($BD387="","",IFERROR(VLOOKUP($BD387,DECODE!$A$3:$C$8,2,FALSE),"?"))</f>
        <v/>
      </c>
      <c r="BL387">
        <f>IF($Q387="","",UPPER(TRIM(LEFT($Q387&amp;",",FIND(",",$Q387&amp;",")-1))))</f>
        <v/>
      </c>
      <c r="BM387">
        <f>IF($BL387="","",MID($BL387,4,FIND("~",SUBSTITUTE($BL387,"-","~",2))-4))</f>
        <v/>
      </c>
      <c r="BN387">
        <f>IF($BL387="","",MID($BL387,FIND("~",SUBSTITUTE($BL387,"-","~",2))+1,FIND("~",SUBSTITUTE($BL387,"-","~",3))-FIND("~",SUBSTITUTE($BL387,"-","~",2))-1))</f>
        <v/>
      </c>
      <c r="BO387">
        <f>IF($BM387="","",IFERROR(VLOOKUP($BM387,DECODE!$A$3:$C$8,3,FALSE),"?"))</f>
        <v/>
      </c>
      <c r="BP387">
        <f>IF($BN387="","",IFERROR(VLOOKUP($BM387&amp;"-"&amp;$BN387,DECODE!$E$3:$F$21,2,FALSE),"?"))</f>
        <v/>
      </c>
      <c r="BQ387">
        <f>IF($BL387="","",IFERROR(VALUE(RIGHT($BL387,3)),""))</f>
        <v/>
      </c>
      <c r="BR387">
        <f>IF($W387="","",IFERROR(IF(ISNUMBER($W387),$W387,DATEVALUE(TRIM($W387))),""))</f>
        <v/>
      </c>
      <c r="BS387">
        <f>IF($BR387="","",IF(MONTH($BR387)&gt;=12,"Cold Winter",IF(MONTH($BR387)&gt;=10,"Post-Monsoon",IF(MONTH($BR387)&gt;=6,"Hot Humid",IF(MONTH($BR387)&gt;=3,"Hot Dry","Cold Winter")))))</f>
        <v/>
      </c>
      <c r="BT387">
        <f>IF($BM387="","",IFERROR(VLOOKUP($BM387,DECODE!$A$3:$C$8,2,FALSE),"?"))</f>
        <v/>
      </c>
      <c r="BU387">
        <f>IF($R387="","",UPPER(TRIM(LEFT($R387&amp;",",FIND(",",$R387&amp;",")-1))))</f>
        <v/>
      </c>
      <c r="BV387">
        <f>IF($BU387="","",MID($BU387,4,FIND("~",SUBSTITUTE($BU387,"-","~",2))-4))</f>
        <v/>
      </c>
      <c r="BW387">
        <f>IF($BU387="","",MID($BU387,FIND("~",SUBSTITUTE($BU387,"-","~",2))+1,FIND("~",SUBSTITUTE($BU387,"-","~",3))-FIND("~",SUBSTITUTE($BU387,"-","~",2))-1))</f>
        <v/>
      </c>
      <c r="BX387">
        <f>IF($BV387="","",IFERROR(VLOOKUP($BV387,DECODE!$A$3:$C$8,3,FALSE),"?"))</f>
        <v/>
      </c>
      <c r="BY387">
        <f>IF($BW387="","",IFERROR(VLOOKUP($BV387&amp;"-"&amp;$BW387,DECODE!$E$3:$F$21,2,FALSE),"?"))</f>
        <v/>
      </c>
      <c r="BZ387">
        <f>IF($BU387="","",IFERROR(VALUE(RIGHT($BU387,3)),""))</f>
        <v/>
      </c>
      <c r="CA387">
        <f>IF($X387="","",IFERROR(IF(ISNUMBER($X387),$X387,DATEVALUE(TRIM($X387))),""))</f>
        <v/>
      </c>
      <c r="CB387">
        <f>IF($CA387="","",IF(MONTH($CA387)&gt;=12,"Cold Winter",IF(MONTH($CA387)&gt;=10,"Post-Monsoon",IF(MONTH($CA387)&gt;=6,"Hot Humid",IF(MONTH($CA387)&gt;=3,"Hot Dry","Cold Winter")))))</f>
        <v/>
      </c>
      <c r="CC387">
        <f>IF($BV387="","",IFERROR(VLOOKUP($BV387,DECODE!$A$3:$C$8,2,FALSE),"?"))</f>
        <v/>
      </c>
      <c r="CD387">
        <f>IF($S387="","",UPPER(TRIM(LEFT($S387&amp;",",FIND(",",$S387&amp;",")-1))))</f>
        <v/>
      </c>
      <c r="CE387">
        <f>IF($CD387="","",MID($CD387,4,FIND("~",SUBSTITUTE($CD387,"-","~",2))-4))</f>
        <v/>
      </c>
      <c r="CF387">
        <f>IF($CD387="","",MID($CD387,FIND("~",SUBSTITUTE($CD387,"-","~",2))+1,FIND("~",SUBSTITUTE($CD387,"-","~",3))-FIND("~",SUBSTITUTE($CD387,"-","~",2))-1))</f>
        <v/>
      </c>
      <c r="CG387">
        <f>IF($CE387="","",IFERROR(VLOOKUP($CE387,DECODE!$A$3:$C$8,3,FALSE),"?"))</f>
        <v/>
      </c>
      <c r="CH387">
        <f>IF($CF387="","",IFERROR(VLOOKUP($CE387&amp;"-"&amp;$CF387,DECODE!$E$3:$F$21,2,FALSE),"?"))</f>
        <v/>
      </c>
      <c r="CI387">
        <f>IF($CD387="","",IFERROR(VALUE(RIGHT($CD387,3)),""))</f>
        <v/>
      </c>
      <c r="CJ387">
        <f>IF($Y387="","",IFERROR(IF(ISNUMBER($Y387),$Y387,DATEVALUE(TRIM($Y387))),""))</f>
        <v/>
      </c>
      <c r="CK387">
        <f>IF($CJ387="","",IF(MONTH($CJ387)&gt;=12,"Cold Winter",IF(MONTH($CJ387)&gt;=10,"Post-Monsoon",IF(MONTH($CJ387)&gt;=6,"Hot Humid",IF(MONTH($CJ387)&gt;=3,"Hot Dry","Cold Winter")))))</f>
        <v/>
      </c>
      <c r="CL387">
        <f>IF($CE387="","",IFERROR(VLOOKUP($CE387,DECODE!$A$3:$C$8,2,FALSE),"?"))</f>
        <v/>
      </c>
      <c r="CM387">
        <f>IF($AN387="","",AN387)</f>
        <v/>
      </c>
      <c r="CN387">
        <f>IF($AO387="","",AO387)</f>
        <v/>
      </c>
      <c r="CO387">
        <f>IF($AP387="","",AP387)</f>
        <v/>
      </c>
      <c r="CP387">
        <f>IF($CM387="","",IF($CM387="Aloe Vera Gel","Aloe Vera Gel "&amp;$CO387&amp;"g",CN387&amp;" "&amp;$CO387&amp;"g"))</f>
        <v/>
      </c>
      <c r="CQ387">
        <f>IF($AT387="",0,1)</f>
        <v/>
      </c>
      <c r="CR387">
        <f>IF($CQ387=0,"",AW387)</f>
        <v/>
      </c>
      <c r="CS387">
        <f>IF($CQ387=0,"",AX387)</f>
        <v/>
      </c>
      <c r="CT387">
        <f>IF($CQ387=0,"",AY387)</f>
        <v/>
      </c>
      <c r="CU387">
        <f>IF($CR387="","",IF($CR387="Aloe Vera Gel","Aloe Vera Gel "&amp;$CT387&amp;"g",CS387&amp;" "&amp;$CT387&amp;"g"))</f>
        <v/>
      </c>
      <c r="CV387">
        <f>IF($CQ387=0,"",IF($CP387=$CU387,"Repeat Exact",IF($CT387&gt;$CO387,"Upsized",IF($CT387&lt;$CO387,"Downsized",IF($CM387&lt;&gt;$CR387,"Lateral","Same Size Diff Variant")))))</f>
        <v/>
      </c>
      <c r="CW387">
        <f>IF($CQ387=0,"",AZ387-AQ387)</f>
        <v/>
      </c>
      <c r="CX387">
        <f>IF($CQ387=0,0,IF(CS387=CN387,1,0))</f>
        <v/>
      </c>
      <c r="CY387">
        <f>IF($CQ387=0,0,IF(CR387=CM387,1,0))</f>
        <v/>
      </c>
      <c r="CZ387">
        <f>IF($A387="","",IF(AND(IF(DASHBOARD!$C$4="All",TRUE,$CM387=DASHBOARD!$C$4),IF(DASHBOARD!$C$6="All",TRUE,$CP387=DASHBOARD!$C$6),IF(DASHBOARD!$C$8="All",TRUE,$AF387&gt;=DASHBOARD!$C$8),IF(DASHBOARD!$C$10="All",TRUE,$AF387&lt;=DASHBOARD!$C$10),IF(DASHBOARD!$C$12="All",TRUE,$AH387=VALUE(DASHBOARD!$C$12)),IF(DASHBOARD!$C$14="All",TRUE,$AJ387=DASHBOARD!$C$14)),1,0))</f>
        <v/>
      </c>
    </row>
    <row r="388">
      <c r="A388" t="n">
        <v>192777</v>
      </c>
      <c r="B388" t="inlineStr">
        <is>
          <t>Face Malai</t>
        </is>
      </c>
      <c r="H388" t="inlineStr">
        <is>
          <t>Cocoa Mogra (Overnight) Face Malai - 30g</t>
        </is>
      </c>
      <c r="N388" t="inlineStr">
        <is>
          <t>FC-DM-NR-030</t>
        </is>
      </c>
      <c r="T388" t="inlineStr">
        <is>
          <t>Jan 18, 2026</t>
        </is>
      </c>
      <c r="AE388" t="inlineStr">
        <is>
          <t>Dungarpur</t>
        </is>
      </c>
      <c r="AF388" t="inlineStr">
        <is>
          <t>2026-01</t>
        </is>
      </c>
      <c r="AG388" t="n">
        <v>1</v>
      </c>
      <c r="AH388" t="n">
        <v>1</v>
      </c>
      <c r="AI388" t="n">
        <v>0</v>
      </c>
      <c r="AJ388">
        <f>IF($AE388="","",IFERROR(VLOOKUP(TRIM($AE388),DECODE!$H$3:$I$60,2,FALSE),"Rest of India"))</f>
        <v/>
      </c>
      <c r="AK388">
        <f>IF($N388="","",UPPER(TRIM(LEFT($N388&amp;",",FIND(",",$N388&amp;",")-1))))</f>
        <v/>
      </c>
      <c r="AL388">
        <f>IF($AK388="","",MID($AK388,4,FIND("~",SUBSTITUTE($AK388,"-","~",2))-4))</f>
        <v/>
      </c>
      <c r="AM388">
        <f>IF($AK388="","",MID($AK388,FIND("~",SUBSTITUTE($AK388,"-","~",2))+1,FIND("~",SUBSTITUTE($AK388,"-","~",3))-FIND("~",SUBSTITUTE($AK388,"-","~",2))-1))</f>
        <v/>
      </c>
      <c r="AN388">
        <f>IF($AL388="","",IFERROR(VLOOKUP($AL388,DECODE!$A$3:$C$8,3,FALSE),"?"))</f>
        <v/>
      </c>
      <c r="AO388">
        <f>IF($AM388="","",IFERROR(VLOOKUP($AL388&amp;"-"&amp;$AM388,DECODE!$E$3:$F$21,2,FALSE),"?"))</f>
        <v/>
      </c>
      <c r="AP388">
        <f>IF($AK388="","",IFERROR(VALUE(RIGHT($AK388,3)),""))</f>
        <v/>
      </c>
      <c r="AQ388">
        <f>IF($T388="","",IFERROR(IF(ISNUMBER($T388),$T388,DATEVALUE(TRIM($T388))),""))</f>
        <v/>
      </c>
      <c r="AR388">
        <f>IF($AQ388="","",IF(MONTH($AQ388)&gt;=12,"Cold Winter",IF(MONTH($AQ388)&gt;=10,"Post-Monsoon",IF(MONTH($AQ388)&gt;=6,"Hot Humid",IF(MONTH($AQ388)&gt;=3,"Hot Dry","Cold Winter")))))</f>
        <v/>
      </c>
      <c r="AS388">
        <f>IF($AL388="","",IFERROR(VLOOKUP($AL388,DECODE!$A$3:$C$8,2,FALSE),"?"))</f>
        <v/>
      </c>
      <c r="AT388">
        <f>IF($O388="","",UPPER(TRIM(LEFT($O388&amp;",",FIND(",",$O388&amp;",")-1))))</f>
        <v/>
      </c>
      <c r="AU388">
        <f>IF($AT388="","",MID($AT388,4,FIND("~",SUBSTITUTE($AT388,"-","~",2))-4))</f>
        <v/>
      </c>
      <c r="AV388">
        <f>IF($AT388="","",MID($AT388,FIND("~",SUBSTITUTE($AT388,"-","~",2))+1,FIND("~",SUBSTITUTE($AT388,"-","~",3))-FIND("~",SUBSTITUTE($AT388,"-","~",2))-1))</f>
        <v/>
      </c>
      <c r="AW388">
        <f>IF($AU388="","",IFERROR(VLOOKUP($AU388,DECODE!$A$3:$C$8,3,FALSE),"?"))</f>
        <v/>
      </c>
      <c r="AX388">
        <f>IF($AV388="","",IFERROR(VLOOKUP($AU388&amp;"-"&amp;$AV388,DECODE!$E$3:$F$21,2,FALSE),"?"))</f>
        <v/>
      </c>
      <c r="AY388">
        <f>IF($AT388="","",IFERROR(VALUE(RIGHT($AT388,3)),""))</f>
        <v/>
      </c>
      <c r="AZ388">
        <f>IF($U388="","",IFERROR(IF(ISNUMBER($U388),$U388,DATEVALUE(TRIM($U388))),""))</f>
        <v/>
      </c>
      <c r="BA388">
        <f>IF($AZ388="","",IF(MONTH($AZ388)&gt;=12,"Cold Winter",IF(MONTH($AZ388)&gt;=10,"Post-Monsoon",IF(MONTH($AZ388)&gt;=6,"Hot Humid",IF(MONTH($AZ388)&gt;=3,"Hot Dry","Cold Winter")))))</f>
        <v/>
      </c>
      <c r="BB388">
        <f>IF($AU388="","",IFERROR(VLOOKUP($AU388,DECODE!$A$3:$C$8,2,FALSE),"?"))</f>
        <v/>
      </c>
      <c r="BC388">
        <f>IF($P388="","",UPPER(TRIM(LEFT($P388&amp;",",FIND(",",$P388&amp;",")-1))))</f>
        <v/>
      </c>
      <c r="BD388">
        <f>IF($BC388="","",MID($BC388,4,FIND("~",SUBSTITUTE($BC388,"-","~",2))-4))</f>
        <v/>
      </c>
      <c r="BE388">
        <f>IF($BC388="","",MID($BC388,FIND("~",SUBSTITUTE($BC388,"-","~",2))+1,FIND("~",SUBSTITUTE($BC388,"-","~",3))-FIND("~",SUBSTITUTE($BC388,"-","~",2))-1))</f>
        <v/>
      </c>
      <c r="BF388">
        <f>IF($BD388="","",IFERROR(VLOOKUP($BD388,DECODE!$A$3:$C$8,3,FALSE),"?"))</f>
        <v/>
      </c>
      <c r="BG388">
        <f>IF($BE388="","",IFERROR(VLOOKUP($BD388&amp;"-"&amp;$BE388,DECODE!$E$3:$F$21,2,FALSE),"?"))</f>
        <v/>
      </c>
      <c r="BH388">
        <f>IF($BC388="","",IFERROR(VALUE(RIGHT($BC388,3)),""))</f>
        <v/>
      </c>
      <c r="BI388">
        <f>IF($V388="","",IFERROR(IF(ISNUMBER($V388),$V388,DATEVALUE(TRIM($V388))),""))</f>
        <v/>
      </c>
      <c r="BJ388">
        <f>IF($BI388="","",IF(MONTH($BI388)&gt;=12,"Cold Winter",IF(MONTH($BI388)&gt;=10,"Post-Monsoon",IF(MONTH($BI388)&gt;=6,"Hot Humid",IF(MONTH($BI388)&gt;=3,"Hot Dry","Cold Winter")))))</f>
        <v/>
      </c>
      <c r="BK388">
        <f>IF($BD388="","",IFERROR(VLOOKUP($BD388,DECODE!$A$3:$C$8,2,FALSE),"?"))</f>
        <v/>
      </c>
      <c r="BL388">
        <f>IF($Q388="","",UPPER(TRIM(LEFT($Q388&amp;",",FIND(",",$Q388&amp;",")-1))))</f>
        <v/>
      </c>
      <c r="BM388">
        <f>IF($BL388="","",MID($BL388,4,FIND("~",SUBSTITUTE($BL388,"-","~",2))-4))</f>
        <v/>
      </c>
      <c r="BN388">
        <f>IF($BL388="","",MID($BL388,FIND("~",SUBSTITUTE($BL388,"-","~",2))+1,FIND("~",SUBSTITUTE($BL388,"-","~",3))-FIND("~",SUBSTITUTE($BL388,"-","~",2))-1))</f>
        <v/>
      </c>
      <c r="BO388">
        <f>IF($BM388="","",IFERROR(VLOOKUP($BM388,DECODE!$A$3:$C$8,3,FALSE),"?"))</f>
        <v/>
      </c>
      <c r="BP388">
        <f>IF($BN388="","",IFERROR(VLOOKUP($BM388&amp;"-"&amp;$BN388,DECODE!$E$3:$F$21,2,FALSE),"?"))</f>
        <v/>
      </c>
      <c r="BQ388">
        <f>IF($BL388="","",IFERROR(VALUE(RIGHT($BL388,3)),""))</f>
        <v/>
      </c>
      <c r="BR388">
        <f>IF($W388="","",IFERROR(IF(ISNUMBER($W388),$W388,DATEVALUE(TRIM($W388))),""))</f>
        <v/>
      </c>
      <c r="BS388">
        <f>IF($BR388="","",IF(MONTH($BR388)&gt;=12,"Cold Winter",IF(MONTH($BR388)&gt;=10,"Post-Monsoon",IF(MONTH($BR388)&gt;=6,"Hot Humid",IF(MONTH($BR388)&gt;=3,"Hot Dry","Cold Winter")))))</f>
        <v/>
      </c>
      <c r="BT388">
        <f>IF($BM388="","",IFERROR(VLOOKUP($BM388,DECODE!$A$3:$C$8,2,FALSE),"?"))</f>
        <v/>
      </c>
      <c r="BU388">
        <f>IF($R388="","",UPPER(TRIM(LEFT($R388&amp;",",FIND(",",$R388&amp;",")-1))))</f>
        <v/>
      </c>
      <c r="BV388">
        <f>IF($BU388="","",MID($BU388,4,FIND("~",SUBSTITUTE($BU388,"-","~",2))-4))</f>
        <v/>
      </c>
      <c r="BW388">
        <f>IF($BU388="","",MID($BU388,FIND("~",SUBSTITUTE($BU388,"-","~",2))+1,FIND("~",SUBSTITUTE($BU388,"-","~",3))-FIND("~",SUBSTITUTE($BU388,"-","~",2))-1))</f>
        <v/>
      </c>
      <c r="BX388">
        <f>IF($BV388="","",IFERROR(VLOOKUP($BV388,DECODE!$A$3:$C$8,3,FALSE),"?"))</f>
        <v/>
      </c>
      <c r="BY388">
        <f>IF($BW388="","",IFERROR(VLOOKUP($BV388&amp;"-"&amp;$BW388,DECODE!$E$3:$F$21,2,FALSE),"?"))</f>
        <v/>
      </c>
      <c r="BZ388">
        <f>IF($BU388="","",IFERROR(VALUE(RIGHT($BU388,3)),""))</f>
        <v/>
      </c>
      <c r="CA388">
        <f>IF($X388="","",IFERROR(IF(ISNUMBER($X388),$X388,DATEVALUE(TRIM($X388))),""))</f>
        <v/>
      </c>
      <c r="CB388">
        <f>IF($CA388="","",IF(MONTH($CA388)&gt;=12,"Cold Winter",IF(MONTH($CA388)&gt;=10,"Post-Monsoon",IF(MONTH($CA388)&gt;=6,"Hot Humid",IF(MONTH($CA388)&gt;=3,"Hot Dry","Cold Winter")))))</f>
        <v/>
      </c>
      <c r="CC388">
        <f>IF($BV388="","",IFERROR(VLOOKUP($BV388,DECODE!$A$3:$C$8,2,FALSE),"?"))</f>
        <v/>
      </c>
      <c r="CD388">
        <f>IF($S388="","",UPPER(TRIM(LEFT($S388&amp;",",FIND(",",$S388&amp;",")-1))))</f>
        <v/>
      </c>
      <c r="CE388">
        <f>IF($CD388="","",MID($CD388,4,FIND("~",SUBSTITUTE($CD388,"-","~",2))-4))</f>
        <v/>
      </c>
      <c r="CF388">
        <f>IF($CD388="","",MID($CD388,FIND("~",SUBSTITUTE($CD388,"-","~",2))+1,FIND("~",SUBSTITUTE($CD388,"-","~",3))-FIND("~",SUBSTITUTE($CD388,"-","~",2))-1))</f>
        <v/>
      </c>
      <c r="CG388">
        <f>IF($CE388="","",IFERROR(VLOOKUP($CE388,DECODE!$A$3:$C$8,3,FALSE),"?"))</f>
        <v/>
      </c>
      <c r="CH388">
        <f>IF($CF388="","",IFERROR(VLOOKUP($CE388&amp;"-"&amp;$CF388,DECODE!$E$3:$F$21,2,FALSE),"?"))</f>
        <v/>
      </c>
      <c r="CI388">
        <f>IF($CD388="","",IFERROR(VALUE(RIGHT($CD388,3)),""))</f>
        <v/>
      </c>
      <c r="CJ388">
        <f>IF($Y388="","",IFERROR(IF(ISNUMBER($Y388),$Y388,DATEVALUE(TRIM($Y388))),""))</f>
        <v/>
      </c>
      <c r="CK388">
        <f>IF($CJ388="","",IF(MONTH($CJ388)&gt;=12,"Cold Winter",IF(MONTH($CJ388)&gt;=10,"Post-Monsoon",IF(MONTH($CJ388)&gt;=6,"Hot Humid",IF(MONTH($CJ388)&gt;=3,"Hot Dry","Cold Winter")))))</f>
        <v/>
      </c>
      <c r="CL388">
        <f>IF($CE388="","",IFERROR(VLOOKUP($CE388,DECODE!$A$3:$C$8,2,FALSE),"?"))</f>
        <v/>
      </c>
      <c r="CM388">
        <f>IF($AN388="","",AN388)</f>
        <v/>
      </c>
      <c r="CN388">
        <f>IF($AO388="","",AO388)</f>
        <v/>
      </c>
      <c r="CO388">
        <f>IF($AP388="","",AP388)</f>
        <v/>
      </c>
      <c r="CP388">
        <f>IF($CM388="","",IF($CM388="Aloe Vera Gel","Aloe Vera Gel "&amp;$CO388&amp;"g",CN388&amp;" "&amp;$CO388&amp;"g"))</f>
        <v/>
      </c>
      <c r="CQ388">
        <f>IF($AT388="",0,1)</f>
        <v/>
      </c>
      <c r="CR388">
        <f>IF($CQ388=0,"",AW388)</f>
        <v/>
      </c>
      <c r="CS388">
        <f>IF($CQ388=0,"",AX388)</f>
        <v/>
      </c>
      <c r="CT388">
        <f>IF($CQ388=0,"",AY388)</f>
        <v/>
      </c>
      <c r="CU388">
        <f>IF($CR388="","",IF($CR388="Aloe Vera Gel","Aloe Vera Gel "&amp;$CT388&amp;"g",CS388&amp;" "&amp;$CT388&amp;"g"))</f>
        <v/>
      </c>
      <c r="CV388">
        <f>IF($CQ388=0,"",IF($CP388=$CU388,"Repeat Exact",IF($CT388&gt;$CO388,"Upsized",IF($CT388&lt;$CO388,"Downsized",IF($CM388&lt;&gt;$CR388,"Lateral","Same Size Diff Variant")))))</f>
        <v/>
      </c>
      <c r="CW388">
        <f>IF($CQ388=0,"",AZ388-AQ388)</f>
        <v/>
      </c>
      <c r="CX388">
        <f>IF($CQ388=0,0,IF(CS388=CN388,1,0))</f>
        <v/>
      </c>
      <c r="CY388">
        <f>IF($CQ388=0,0,IF(CR388=CM388,1,0))</f>
        <v/>
      </c>
      <c r="CZ388">
        <f>IF($A388="","",IF(AND(IF(DASHBOARD!$C$4="All",TRUE,$CM388=DASHBOARD!$C$4),IF(DASHBOARD!$C$6="All",TRUE,$CP388=DASHBOARD!$C$6),IF(DASHBOARD!$C$8="All",TRUE,$AF388&gt;=DASHBOARD!$C$8),IF(DASHBOARD!$C$10="All",TRUE,$AF388&lt;=DASHBOARD!$C$10),IF(DASHBOARD!$C$12="All",TRUE,$AH388=VALUE(DASHBOARD!$C$12)),IF(DASHBOARD!$C$14="All",TRUE,$AJ388=DASHBOARD!$C$14)),1,0))</f>
        <v/>
      </c>
    </row>
    <row r="389">
      <c r="A389" t="n">
        <v>193543</v>
      </c>
      <c r="B389" t="inlineStr">
        <is>
          <t>Face Malai</t>
        </is>
      </c>
      <c r="H389" t="inlineStr">
        <is>
          <t>Flax Walnut (Cold) 35+ Face Malai</t>
        </is>
      </c>
      <c r="N389" t="inlineStr">
        <is>
          <t>FC-CWDM-FW-030</t>
        </is>
      </c>
      <c r="T389" t="inlineStr">
        <is>
          <t>Jan 18, 2024</t>
        </is>
      </c>
      <c r="AE389" t="inlineStr">
        <is>
          <t>Sibsagar</t>
        </is>
      </c>
      <c r="AF389" t="inlineStr">
        <is>
          <t>2024-01</t>
        </is>
      </c>
      <c r="AG389" t="n">
        <v>1</v>
      </c>
      <c r="AH389" t="n">
        <v>1</v>
      </c>
      <c r="AI389" t="n">
        <v>0</v>
      </c>
      <c r="AJ389">
        <f>IF($AE389="","",IFERROR(VLOOKUP(TRIM($AE389),DECODE!$H$3:$I$60,2,FALSE),"Rest of India"))</f>
        <v/>
      </c>
      <c r="AK389">
        <f>IF($N389="","",UPPER(TRIM(LEFT($N389&amp;",",FIND(",",$N389&amp;",")-1))))</f>
        <v/>
      </c>
      <c r="AL389">
        <f>IF($AK389="","",MID($AK389,4,FIND("~",SUBSTITUTE($AK389,"-","~",2))-4))</f>
        <v/>
      </c>
      <c r="AM389">
        <f>IF($AK389="","",MID($AK389,FIND("~",SUBSTITUTE($AK389,"-","~",2))+1,FIND("~",SUBSTITUTE($AK389,"-","~",3))-FIND("~",SUBSTITUTE($AK389,"-","~",2))-1))</f>
        <v/>
      </c>
      <c r="AN389">
        <f>IF($AL389="","",IFERROR(VLOOKUP($AL389,DECODE!$A$3:$C$8,3,FALSE),"?"))</f>
        <v/>
      </c>
      <c r="AO389">
        <f>IF($AM389="","",IFERROR(VLOOKUP($AL389&amp;"-"&amp;$AM389,DECODE!$E$3:$F$21,2,FALSE),"?"))</f>
        <v/>
      </c>
      <c r="AP389">
        <f>IF($AK389="","",IFERROR(VALUE(RIGHT($AK389,3)),""))</f>
        <v/>
      </c>
      <c r="AQ389">
        <f>IF($T389="","",IFERROR(IF(ISNUMBER($T389),$T389,DATEVALUE(TRIM($T389))),""))</f>
        <v/>
      </c>
      <c r="AR389">
        <f>IF($AQ389="","",IF(MONTH($AQ389)&gt;=12,"Cold Winter",IF(MONTH($AQ389)&gt;=10,"Post-Monsoon",IF(MONTH($AQ389)&gt;=6,"Hot Humid",IF(MONTH($AQ389)&gt;=3,"Hot Dry","Cold Winter")))))</f>
        <v/>
      </c>
      <c r="AS389">
        <f>IF($AL389="","",IFERROR(VLOOKUP($AL389,DECODE!$A$3:$C$8,2,FALSE),"?"))</f>
        <v/>
      </c>
      <c r="AT389">
        <f>IF($O389="","",UPPER(TRIM(LEFT($O389&amp;",",FIND(",",$O389&amp;",")-1))))</f>
        <v/>
      </c>
      <c r="AU389">
        <f>IF($AT389="","",MID($AT389,4,FIND("~",SUBSTITUTE($AT389,"-","~",2))-4))</f>
        <v/>
      </c>
      <c r="AV389">
        <f>IF($AT389="","",MID($AT389,FIND("~",SUBSTITUTE($AT389,"-","~",2))+1,FIND("~",SUBSTITUTE($AT389,"-","~",3))-FIND("~",SUBSTITUTE($AT389,"-","~",2))-1))</f>
        <v/>
      </c>
      <c r="AW389">
        <f>IF($AU389="","",IFERROR(VLOOKUP($AU389,DECODE!$A$3:$C$8,3,FALSE),"?"))</f>
        <v/>
      </c>
      <c r="AX389">
        <f>IF($AV389="","",IFERROR(VLOOKUP($AU389&amp;"-"&amp;$AV389,DECODE!$E$3:$F$21,2,FALSE),"?"))</f>
        <v/>
      </c>
      <c r="AY389">
        <f>IF($AT389="","",IFERROR(VALUE(RIGHT($AT389,3)),""))</f>
        <v/>
      </c>
      <c r="AZ389">
        <f>IF($U389="","",IFERROR(IF(ISNUMBER($U389),$U389,DATEVALUE(TRIM($U389))),""))</f>
        <v/>
      </c>
      <c r="BA389">
        <f>IF($AZ389="","",IF(MONTH($AZ389)&gt;=12,"Cold Winter",IF(MONTH($AZ389)&gt;=10,"Post-Monsoon",IF(MONTH($AZ389)&gt;=6,"Hot Humid",IF(MONTH($AZ389)&gt;=3,"Hot Dry","Cold Winter")))))</f>
        <v/>
      </c>
      <c r="BB389">
        <f>IF($AU389="","",IFERROR(VLOOKUP($AU389,DECODE!$A$3:$C$8,2,FALSE),"?"))</f>
        <v/>
      </c>
      <c r="BC389">
        <f>IF($P389="","",UPPER(TRIM(LEFT($P389&amp;",",FIND(",",$P389&amp;",")-1))))</f>
        <v/>
      </c>
      <c r="BD389">
        <f>IF($BC389="","",MID($BC389,4,FIND("~",SUBSTITUTE($BC389,"-","~",2))-4))</f>
        <v/>
      </c>
      <c r="BE389">
        <f>IF($BC389="","",MID($BC389,FIND("~",SUBSTITUTE($BC389,"-","~",2))+1,FIND("~",SUBSTITUTE($BC389,"-","~",3))-FIND("~",SUBSTITUTE($BC389,"-","~",2))-1))</f>
        <v/>
      </c>
      <c r="BF389">
        <f>IF($BD389="","",IFERROR(VLOOKUP($BD389,DECODE!$A$3:$C$8,3,FALSE),"?"))</f>
        <v/>
      </c>
      <c r="BG389">
        <f>IF($BE389="","",IFERROR(VLOOKUP($BD389&amp;"-"&amp;$BE389,DECODE!$E$3:$F$21,2,FALSE),"?"))</f>
        <v/>
      </c>
      <c r="BH389">
        <f>IF($BC389="","",IFERROR(VALUE(RIGHT($BC389,3)),""))</f>
        <v/>
      </c>
      <c r="BI389">
        <f>IF($V389="","",IFERROR(IF(ISNUMBER($V389),$V389,DATEVALUE(TRIM($V389))),""))</f>
        <v/>
      </c>
      <c r="BJ389">
        <f>IF($BI389="","",IF(MONTH($BI389)&gt;=12,"Cold Winter",IF(MONTH($BI389)&gt;=10,"Post-Monsoon",IF(MONTH($BI389)&gt;=6,"Hot Humid",IF(MONTH($BI389)&gt;=3,"Hot Dry","Cold Winter")))))</f>
        <v/>
      </c>
      <c r="BK389">
        <f>IF($BD389="","",IFERROR(VLOOKUP($BD389,DECODE!$A$3:$C$8,2,FALSE),"?"))</f>
        <v/>
      </c>
      <c r="BL389">
        <f>IF($Q389="","",UPPER(TRIM(LEFT($Q389&amp;",",FIND(",",$Q389&amp;",")-1))))</f>
        <v/>
      </c>
      <c r="BM389">
        <f>IF($BL389="","",MID($BL389,4,FIND("~",SUBSTITUTE($BL389,"-","~",2))-4))</f>
        <v/>
      </c>
      <c r="BN389">
        <f>IF($BL389="","",MID($BL389,FIND("~",SUBSTITUTE($BL389,"-","~",2))+1,FIND("~",SUBSTITUTE($BL389,"-","~",3))-FIND("~",SUBSTITUTE($BL389,"-","~",2))-1))</f>
        <v/>
      </c>
      <c r="BO389">
        <f>IF($BM389="","",IFERROR(VLOOKUP($BM389,DECODE!$A$3:$C$8,3,FALSE),"?"))</f>
        <v/>
      </c>
      <c r="BP389">
        <f>IF($BN389="","",IFERROR(VLOOKUP($BM389&amp;"-"&amp;$BN389,DECODE!$E$3:$F$21,2,FALSE),"?"))</f>
        <v/>
      </c>
      <c r="BQ389">
        <f>IF($BL389="","",IFERROR(VALUE(RIGHT($BL389,3)),""))</f>
        <v/>
      </c>
      <c r="BR389">
        <f>IF($W389="","",IFERROR(IF(ISNUMBER($W389),$W389,DATEVALUE(TRIM($W389))),""))</f>
        <v/>
      </c>
      <c r="BS389">
        <f>IF($BR389="","",IF(MONTH($BR389)&gt;=12,"Cold Winter",IF(MONTH($BR389)&gt;=10,"Post-Monsoon",IF(MONTH($BR389)&gt;=6,"Hot Humid",IF(MONTH($BR389)&gt;=3,"Hot Dry","Cold Winter")))))</f>
        <v/>
      </c>
      <c r="BT389">
        <f>IF($BM389="","",IFERROR(VLOOKUP($BM389,DECODE!$A$3:$C$8,2,FALSE),"?"))</f>
        <v/>
      </c>
      <c r="BU389">
        <f>IF($R389="","",UPPER(TRIM(LEFT($R389&amp;",",FIND(",",$R389&amp;",")-1))))</f>
        <v/>
      </c>
      <c r="BV389">
        <f>IF($BU389="","",MID($BU389,4,FIND("~",SUBSTITUTE($BU389,"-","~",2))-4))</f>
        <v/>
      </c>
      <c r="BW389">
        <f>IF($BU389="","",MID($BU389,FIND("~",SUBSTITUTE($BU389,"-","~",2))+1,FIND("~",SUBSTITUTE($BU389,"-","~",3))-FIND("~",SUBSTITUTE($BU389,"-","~",2))-1))</f>
        <v/>
      </c>
      <c r="BX389">
        <f>IF($BV389="","",IFERROR(VLOOKUP($BV389,DECODE!$A$3:$C$8,3,FALSE),"?"))</f>
        <v/>
      </c>
      <c r="BY389">
        <f>IF($BW389="","",IFERROR(VLOOKUP($BV389&amp;"-"&amp;$BW389,DECODE!$E$3:$F$21,2,FALSE),"?"))</f>
        <v/>
      </c>
      <c r="BZ389">
        <f>IF($BU389="","",IFERROR(VALUE(RIGHT($BU389,3)),""))</f>
        <v/>
      </c>
      <c r="CA389">
        <f>IF($X389="","",IFERROR(IF(ISNUMBER($X389),$X389,DATEVALUE(TRIM($X389))),""))</f>
        <v/>
      </c>
      <c r="CB389">
        <f>IF($CA389="","",IF(MONTH($CA389)&gt;=12,"Cold Winter",IF(MONTH($CA389)&gt;=10,"Post-Monsoon",IF(MONTH($CA389)&gt;=6,"Hot Humid",IF(MONTH($CA389)&gt;=3,"Hot Dry","Cold Winter")))))</f>
        <v/>
      </c>
      <c r="CC389">
        <f>IF($BV389="","",IFERROR(VLOOKUP($BV389,DECODE!$A$3:$C$8,2,FALSE),"?"))</f>
        <v/>
      </c>
      <c r="CD389">
        <f>IF($S389="","",UPPER(TRIM(LEFT($S389&amp;",",FIND(",",$S389&amp;",")-1))))</f>
        <v/>
      </c>
      <c r="CE389">
        <f>IF($CD389="","",MID($CD389,4,FIND("~",SUBSTITUTE($CD389,"-","~",2))-4))</f>
        <v/>
      </c>
      <c r="CF389">
        <f>IF($CD389="","",MID($CD389,FIND("~",SUBSTITUTE($CD389,"-","~",2))+1,FIND("~",SUBSTITUTE($CD389,"-","~",3))-FIND("~",SUBSTITUTE($CD389,"-","~",2))-1))</f>
        <v/>
      </c>
      <c r="CG389">
        <f>IF($CE389="","",IFERROR(VLOOKUP($CE389,DECODE!$A$3:$C$8,3,FALSE),"?"))</f>
        <v/>
      </c>
      <c r="CH389">
        <f>IF($CF389="","",IFERROR(VLOOKUP($CE389&amp;"-"&amp;$CF389,DECODE!$E$3:$F$21,2,FALSE),"?"))</f>
        <v/>
      </c>
      <c r="CI389">
        <f>IF($CD389="","",IFERROR(VALUE(RIGHT($CD389,3)),""))</f>
        <v/>
      </c>
      <c r="CJ389">
        <f>IF($Y389="","",IFERROR(IF(ISNUMBER($Y389),$Y389,DATEVALUE(TRIM($Y389))),""))</f>
        <v/>
      </c>
      <c r="CK389">
        <f>IF($CJ389="","",IF(MONTH($CJ389)&gt;=12,"Cold Winter",IF(MONTH($CJ389)&gt;=10,"Post-Monsoon",IF(MONTH($CJ389)&gt;=6,"Hot Humid",IF(MONTH($CJ389)&gt;=3,"Hot Dry","Cold Winter")))))</f>
        <v/>
      </c>
      <c r="CL389">
        <f>IF($CE389="","",IFERROR(VLOOKUP($CE389,DECODE!$A$3:$C$8,2,FALSE),"?"))</f>
        <v/>
      </c>
      <c r="CM389">
        <f>IF($AN389="","",AN389)</f>
        <v/>
      </c>
      <c r="CN389">
        <f>IF($AO389="","",AO389)</f>
        <v/>
      </c>
      <c r="CO389">
        <f>IF($AP389="","",AP389)</f>
        <v/>
      </c>
      <c r="CP389">
        <f>IF($CM389="","",IF($CM389="Aloe Vera Gel","Aloe Vera Gel "&amp;$CO389&amp;"g",CN389&amp;" "&amp;$CO389&amp;"g"))</f>
        <v/>
      </c>
      <c r="CQ389">
        <f>IF($AT389="",0,1)</f>
        <v/>
      </c>
      <c r="CR389">
        <f>IF($CQ389=0,"",AW389)</f>
        <v/>
      </c>
      <c r="CS389">
        <f>IF($CQ389=0,"",AX389)</f>
        <v/>
      </c>
      <c r="CT389">
        <f>IF($CQ389=0,"",AY389)</f>
        <v/>
      </c>
      <c r="CU389">
        <f>IF($CR389="","",IF($CR389="Aloe Vera Gel","Aloe Vera Gel "&amp;$CT389&amp;"g",CS389&amp;" "&amp;$CT389&amp;"g"))</f>
        <v/>
      </c>
      <c r="CV389">
        <f>IF($CQ389=0,"",IF($CP389=$CU389,"Repeat Exact",IF($CT389&gt;$CO389,"Upsized",IF($CT389&lt;$CO389,"Downsized",IF($CM389&lt;&gt;$CR389,"Lateral","Same Size Diff Variant")))))</f>
        <v/>
      </c>
      <c r="CW389">
        <f>IF($CQ389=0,"",AZ389-AQ389)</f>
        <v/>
      </c>
      <c r="CX389">
        <f>IF($CQ389=0,0,IF(CS389=CN389,1,0))</f>
        <v/>
      </c>
      <c r="CY389">
        <f>IF($CQ389=0,0,IF(CR389=CM389,1,0))</f>
        <v/>
      </c>
      <c r="CZ389">
        <f>IF($A389="","",IF(AND(IF(DASHBOARD!$C$4="All",TRUE,$CM389=DASHBOARD!$C$4),IF(DASHBOARD!$C$6="All",TRUE,$CP389=DASHBOARD!$C$6),IF(DASHBOARD!$C$8="All",TRUE,$AF389&gt;=DASHBOARD!$C$8),IF(DASHBOARD!$C$10="All",TRUE,$AF389&lt;=DASHBOARD!$C$10),IF(DASHBOARD!$C$12="All",TRUE,$AH389=VALUE(DASHBOARD!$C$12)),IF(DASHBOARD!$C$14="All",TRUE,$AJ389=DASHBOARD!$C$14)),1,0))</f>
        <v/>
      </c>
    </row>
    <row r="390">
      <c r="A390" t="n">
        <v>193766</v>
      </c>
      <c r="B390" t="inlineStr">
        <is>
          <t>Face Malai</t>
        </is>
      </c>
      <c r="C390" t="inlineStr">
        <is>
          <t>Face Malai</t>
        </is>
      </c>
      <c r="D390" t="inlineStr">
        <is>
          <t>Aloe Vera Gel</t>
        </is>
      </c>
      <c r="H390" t="inlineStr">
        <is>
          <t>Cocoa Mogra (Overnight) Face Malai - 30g, Turmeric Nutmeg (Pigmentation)  Face Malai - 30g</t>
        </is>
      </c>
      <c r="I390" t="inlineStr">
        <is>
          <t>Clove Tea-Tree (Anti-Acne) Face Malai</t>
        </is>
      </c>
      <c r="J390" t="inlineStr">
        <is>
          <t>Aloe Vera Gel - 40 gms</t>
        </is>
      </c>
      <c r="N390" t="inlineStr">
        <is>
          <t>FC-DM-PG-030, FC-DM-NR-030</t>
        </is>
      </c>
      <c r="O390" t="inlineStr">
        <is>
          <t>FC-DM-AA-030</t>
        </is>
      </c>
      <c r="P390" t="inlineStr">
        <is>
          <t>FC-HG-PA-040</t>
        </is>
      </c>
      <c r="T390" t="inlineStr">
        <is>
          <t>Jul 14, 2024</t>
        </is>
      </c>
      <c r="U390" t="inlineStr">
        <is>
          <t>Jul 18, 2024</t>
        </is>
      </c>
      <c r="V390" t="inlineStr">
        <is>
          <t>Nov 15, 2024</t>
        </is>
      </c>
      <c r="Z390" t="n">
        <v>4</v>
      </c>
      <c r="AA390" t="n">
        <v>120</v>
      </c>
      <c r="AE390" t="inlineStr">
        <is>
          <t>Mumbai</t>
        </is>
      </c>
      <c r="AF390" t="inlineStr">
        <is>
          <t>2024-07</t>
        </is>
      </c>
      <c r="AG390" t="n">
        <v>7</v>
      </c>
      <c r="AH390" t="n">
        <v>3</v>
      </c>
      <c r="AI390" t="n">
        <v>1</v>
      </c>
      <c r="AJ390">
        <f>IF($AE390="","",IFERROR(VLOOKUP(TRIM($AE390),DECODE!$H$3:$I$60,2,FALSE),"Rest of India"))</f>
        <v/>
      </c>
      <c r="AK390">
        <f>IF($N390="","",UPPER(TRIM(LEFT($N390&amp;",",FIND(",",$N390&amp;",")-1))))</f>
        <v/>
      </c>
      <c r="AL390">
        <f>IF($AK390="","",MID($AK390,4,FIND("~",SUBSTITUTE($AK390,"-","~",2))-4))</f>
        <v/>
      </c>
      <c r="AM390">
        <f>IF($AK390="","",MID($AK390,FIND("~",SUBSTITUTE($AK390,"-","~",2))+1,FIND("~",SUBSTITUTE($AK390,"-","~",3))-FIND("~",SUBSTITUTE($AK390,"-","~",2))-1))</f>
        <v/>
      </c>
      <c r="AN390">
        <f>IF($AL390="","",IFERROR(VLOOKUP($AL390,DECODE!$A$3:$C$8,3,FALSE),"?"))</f>
        <v/>
      </c>
      <c r="AO390">
        <f>IF($AM390="","",IFERROR(VLOOKUP($AL390&amp;"-"&amp;$AM390,DECODE!$E$3:$F$21,2,FALSE),"?"))</f>
        <v/>
      </c>
      <c r="AP390">
        <f>IF($AK390="","",IFERROR(VALUE(RIGHT($AK390,3)),""))</f>
        <v/>
      </c>
      <c r="AQ390">
        <f>IF($T390="","",IFERROR(IF(ISNUMBER($T390),$T390,DATEVALUE(TRIM($T390))),""))</f>
        <v/>
      </c>
      <c r="AR390">
        <f>IF($AQ390="","",IF(MONTH($AQ390)&gt;=12,"Cold Winter",IF(MONTH($AQ390)&gt;=10,"Post-Monsoon",IF(MONTH($AQ390)&gt;=6,"Hot Humid",IF(MONTH($AQ390)&gt;=3,"Hot Dry","Cold Winter")))))</f>
        <v/>
      </c>
      <c r="AS390">
        <f>IF($AL390="","",IFERROR(VLOOKUP($AL390,DECODE!$A$3:$C$8,2,FALSE),"?"))</f>
        <v/>
      </c>
      <c r="AT390">
        <f>IF($O390="","",UPPER(TRIM(LEFT($O390&amp;",",FIND(",",$O390&amp;",")-1))))</f>
        <v/>
      </c>
      <c r="AU390">
        <f>IF($AT390="","",MID($AT390,4,FIND("~",SUBSTITUTE($AT390,"-","~",2))-4))</f>
        <v/>
      </c>
      <c r="AV390">
        <f>IF($AT390="","",MID($AT390,FIND("~",SUBSTITUTE($AT390,"-","~",2))+1,FIND("~",SUBSTITUTE($AT390,"-","~",3))-FIND("~",SUBSTITUTE($AT390,"-","~",2))-1))</f>
        <v/>
      </c>
      <c r="AW390">
        <f>IF($AU390="","",IFERROR(VLOOKUP($AU390,DECODE!$A$3:$C$8,3,FALSE),"?"))</f>
        <v/>
      </c>
      <c r="AX390">
        <f>IF($AV390="","",IFERROR(VLOOKUP($AU390&amp;"-"&amp;$AV390,DECODE!$E$3:$F$21,2,FALSE),"?"))</f>
        <v/>
      </c>
      <c r="AY390">
        <f>IF($AT390="","",IFERROR(VALUE(RIGHT($AT390,3)),""))</f>
        <v/>
      </c>
      <c r="AZ390">
        <f>IF($U390="","",IFERROR(IF(ISNUMBER($U390),$U390,DATEVALUE(TRIM($U390))),""))</f>
        <v/>
      </c>
      <c r="BA390">
        <f>IF($AZ390="","",IF(MONTH($AZ390)&gt;=12,"Cold Winter",IF(MONTH($AZ390)&gt;=10,"Post-Monsoon",IF(MONTH($AZ390)&gt;=6,"Hot Humid",IF(MONTH($AZ390)&gt;=3,"Hot Dry","Cold Winter")))))</f>
        <v/>
      </c>
      <c r="BB390">
        <f>IF($AU390="","",IFERROR(VLOOKUP($AU390,DECODE!$A$3:$C$8,2,FALSE),"?"))</f>
        <v/>
      </c>
      <c r="BC390">
        <f>IF($P390="","",UPPER(TRIM(LEFT($P390&amp;",",FIND(",",$P390&amp;",")-1))))</f>
        <v/>
      </c>
      <c r="BD390">
        <f>IF($BC390="","",MID($BC390,4,FIND("~",SUBSTITUTE($BC390,"-","~",2))-4))</f>
        <v/>
      </c>
      <c r="BE390">
        <f>IF($BC390="","",MID($BC390,FIND("~",SUBSTITUTE($BC390,"-","~",2))+1,FIND("~",SUBSTITUTE($BC390,"-","~",3))-FIND("~",SUBSTITUTE($BC390,"-","~",2))-1))</f>
        <v/>
      </c>
      <c r="BF390">
        <f>IF($BD390="","",IFERROR(VLOOKUP($BD390,DECODE!$A$3:$C$8,3,FALSE),"?"))</f>
        <v/>
      </c>
      <c r="BG390">
        <f>IF($BE390="","",IFERROR(VLOOKUP($BD390&amp;"-"&amp;$BE390,DECODE!$E$3:$F$21,2,FALSE),"?"))</f>
        <v/>
      </c>
      <c r="BH390">
        <f>IF($BC390="","",IFERROR(VALUE(RIGHT($BC390,3)),""))</f>
        <v/>
      </c>
      <c r="BI390">
        <f>IF($V390="","",IFERROR(IF(ISNUMBER($V390),$V390,DATEVALUE(TRIM($V390))),""))</f>
        <v/>
      </c>
      <c r="BJ390">
        <f>IF($BI390="","",IF(MONTH($BI390)&gt;=12,"Cold Winter",IF(MONTH($BI390)&gt;=10,"Post-Monsoon",IF(MONTH($BI390)&gt;=6,"Hot Humid",IF(MONTH($BI390)&gt;=3,"Hot Dry","Cold Winter")))))</f>
        <v/>
      </c>
      <c r="BK390">
        <f>IF($BD390="","",IFERROR(VLOOKUP($BD390,DECODE!$A$3:$C$8,2,FALSE),"?"))</f>
        <v/>
      </c>
      <c r="BL390">
        <f>IF($Q390="","",UPPER(TRIM(LEFT($Q390&amp;",",FIND(",",$Q390&amp;",")-1))))</f>
        <v/>
      </c>
      <c r="BM390">
        <f>IF($BL390="","",MID($BL390,4,FIND("~",SUBSTITUTE($BL390,"-","~",2))-4))</f>
        <v/>
      </c>
      <c r="BN390">
        <f>IF($BL390="","",MID($BL390,FIND("~",SUBSTITUTE($BL390,"-","~",2))+1,FIND("~",SUBSTITUTE($BL390,"-","~",3))-FIND("~",SUBSTITUTE($BL390,"-","~",2))-1))</f>
        <v/>
      </c>
      <c r="BO390">
        <f>IF($BM390="","",IFERROR(VLOOKUP($BM390,DECODE!$A$3:$C$8,3,FALSE),"?"))</f>
        <v/>
      </c>
      <c r="BP390">
        <f>IF($BN390="","",IFERROR(VLOOKUP($BM390&amp;"-"&amp;$BN390,DECODE!$E$3:$F$21,2,FALSE),"?"))</f>
        <v/>
      </c>
      <c r="BQ390">
        <f>IF($BL390="","",IFERROR(VALUE(RIGHT($BL390,3)),""))</f>
        <v/>
      </c>
      <c r="BR390">
        <f>IF($W390="","",IFERROR(IF(ISNUMBER($W390),$W390,DATEVALUE(TRIM($W390))),""))</f>
        <v/>
      </c>
      <c r="BS390">
        <f>IF($BR390="","",IF(MONTH($BR390)&gt;=12,"Cold Winter",IF(MONTH($BR390)&gt;=10,"Post-Monsoon",IF(MONTH($BR390)&gt;=6,"Hot Humid",IF(MONTH($BR390)&gt;=3,"Hot Dry","Cold Winter")))))</f>
        <v/>
      </c>
      <c r="BT390">
        <f>IF($BM390="","",IFERROR(VLOOKUP($BM390,DECODE!$A$3:$C$8,2,FALSE),"?"))</f>
        <v/>
      </c>
      <c r="BU390">
        <f>IF($R390="","",UPPER(TRIM(LEFT($R390&amp;",",FIND(",",$R390&amp;",")-1))))</f>
        <v/>
      </c>
      <c r="BV390">
        <f>IF($BU390="","",MID($BU390,4,FIND("~",SUBSTITUTE($BU390,"-","~",2))-4))</f>
        <v/>
      </c>
      <c r="BW390">
        <f>IF($BU390="","",MID($BU390,FIND("~",SUBSTITUTE($BU390,"-","~",2))+1,FIND("~",SUBSTITUTE($BU390,"-","~",3))-FIND("~",SUBSTITUTE($BU390,"-","~",2))-1))</f>
        <v/>
      </c>
      <c r="BX390">
        <f>IF($BV390="","",IFERROR(VLOOKUP($BV390,DECODE!$A$3:$C$8,3,FALSE),"?"))</f>
        <v/>
      </c>
      <c r="BY390">
        <f>IF($BW390="","",IFERROR(VLOOKUP($BV390&amp;"-"&amp;$BW390,DECODE!$E$3:$F$21,2,FALSE),"?"))</f>
        <v/>
      </c>
      <c r="BZ390">
        <f>IF($BU390="","",IFERROR(VALUE(RIGHT($BU390,3)),""))</f>
        <v/>
      </c>
      <c r="CA390">
        <f>IF($X390="","",IFERROR(IF(ISNUMBER($X390),$X390,DATEVALUE(TRIM($X390))),""))</f>
        <v/>
      </c>
      <c r="CB390">
        <f>IF($CA390="","",IF(MONTH($CA390)&gt;=12,"Cold Winter",IF(MONTH($CA390)&gt;=10,"Post-Monsoon",IF(MONTH($CA390)&gt;=6,"Hot Humid",IF(MONTH($CA390)&gt;=3,"Hot Dry","Cold Winter")))))</f>
        <v/>
      </c>
      <c r="CC390">
        <f>IF($BV390="","",IFERROR(VLOOKUP($BV390,DECODE!$A$3:$C$8,2,FALSE),"?"))</f>
        <v/>
      </c>
      <c r="CD390">
        <f>IF($S390="","",UPPER(TRIM(LEFT($S390&amp;",",FIND(",",$S390&amp;",")-1))))</f>
        <v/>
      </c>
      <c r="CE390">
        <f>IF($CD390="","",MID($CD390,4,FIND("~",SUBSTITUTE($CD390,"-","~",2))-4))</f>
        <v/>
      </c>
      <c r="CF390">
        <f>IF($CD390="","",MID($CD390,FIND("~",SUBSTITUTE($CD390,"-","~",2))+1,FIND("~",SUBSTITUTE($CD390,"-","~",3))-FIND("~",SUBSTITUTE($CD390,"-","~",2))-1))</f>
        <v/>
      </c>
      <c r="CG390">
        <f>IF($CE390="","",IFERROR(VLOOKUP($CE390,DECODE!$A$3:$C$8,3,FALSE),"?"))</f>
        <v/>
      </c>
      <c r="CH390">
        <f>IF($CF390="","",IFERROR(VLOOKUP($CE390&amp;"-"&amp;$CF390,DECODE!$E$3:$F$21,2,FALSE),"?"))</f>
        <v/>
      </c>
      <c r="CI390">
        <f>IF($CD390="","",IFERROR(VALUE(RIGHT($CD390,3)),""))</f>
        <v/>
      </c>
      <c r="CJ390">
        <f>IF($Y390="","",IFERROR(IF(ISNUMBER($Y390),$Y390,DATEVALUE(TRIM($Y390))),""))</f>
        <v/>
      </c>
      <c r="CK390">
        <f>IF($CJ390="","",IF(MONTH($CJ390)&gt;=12,"Cold Winter",IF(MONTH($CJ390)&gt;=10,"Post-Monsoon",IF(MONTH($CJ390)&gt;=6,"Hot Humid",IF(MONTH($CJ390)&gt;=3,"Hot Dry","Cold Winter")))))</f>
        <v/>
      </c>
      <c r="CL390">
        <f>IF($CE390="","",IFERROR(VLOOKUP($CE390,DECODE!$A$3:$C$8,2,FALSE),"?"))</f>
        <v/>
      </c>
      <c r="CM390">
        <f>IF($AN390="","",AN390)</f>
        <v/>
      </c>
      <c r="CN390">
        <f>IF($AO390="","",AO390)</f>
        <v/>
      </c>
      <c r="CO390">
        <f>IF($AP390="","",AP390)</f>
        <v/>
      </c>
      <c r="CP390">
        <f>IF($CM390="","",IF($CM390="Aloe Vera Gel","Aloe Vera Gel "&amp;$CO390&amp;"g",CN390&amp;" "&amp;$CO390&amp;"g"))</f>
        <v/>
      </c>
      <c r="CQ390">
        <f>IF($AT390="",0,1)</f>
        <v/>
      </c>
      <c r="CR390">
        <f>IF($CQ390=0,"",AW390)</f>
        <v/>
      </c>
      <c r="CS390">
        <f>IF($CQ390=0,"",AX390)</f>
        <v/>
      </c>
      <c r="CT390">
        <f>IF($CQ390=0,"",AY390)</f>
        <v/>
      </c>
      <c r="CU390">
        <f>IF($CR390="","",IF($CR390="Aloe Vera Gel","Aloe Vera Gel "&amp;$CT390&amp;"g",CS390&amp;" "&amp;$CT390&amp;"g"))</f>
        <v/>
      </c>
      <c r="CV390">
        <f>IF($CQ390=0,"",IF($CP390=$CU390,"Repeat Exact",IF($CT390&gt;$CO390,"Upsized",IF($CT390&lt;$CO390,"Downsized",IF($CM390&lt;&gt;$CR390,"Lateral","Same Size Diff Variant")))))</f>
        <v/>
      </c>
      <c r="CW390">
        <f>IF($CQ390=0,"",AZ390-AQ390)</f>
        <v/>
      </c>
      <c r="CX390">
        <f>IF($CQ390=0,0,IF(CS390=CN390,1,0))</f>
        <v/>
      </c>
      <c r="CY390">
        <f>IF($CQ390=0,0,IF(CR390=CM390,1,0))</f>
        <v/>
      </c>
      <c r="CZ390">
        <f>IF($A390="","",IF(AND(IF(DASHBOARD!$C$4="All",TRUE,$CM390=DASHBOARD!$C$4),IF(DASHBOARD!$C$6="All",TRUE,$CP390=DASHBOARD!$C$6),IF(DASHBOARD!$C$8="All",TRUE,$AF390&gt;=DASHBOARD!$C$8),IF(DASHBOARD!$C$10="All",TRUE,$AF390&lt;=DASHBOARD!$C$10),IF(DASHBOARD!$C$12="All",TRUE,$AH390=VALUE(DASHBOARD!$C$12)),IF(DASHBOARD!$C$14="All",TRUE,$AJ390=DASHBOARD!$C$14)),1,0))</f>
        <v/>
      </c>
    </row>
    <row r="391">
      <c r="A391" t="n">
        <v>193848</v>
      </c>
      <c r="B391" t="inlineStr">
        <is>
          <t>Face Malai</t>
        </is>
      </c>
      <c r="C391" t="inlineStr">
        <is>
          <t>Face Malai</t>
        </is>
      </c>
      <c r="H391" t="inlineStr">
        <is>
          <t>Honey Multi-Nut (Dry &amp; Peeling Skin) Face Malai</t>
        </is>
      </c>
      <c r="I391" t="inlineStr">
        <is>
          <t>Clove Tea-Tree (Anti-Acne) Face Malai</t>
        </is>
      </c>
      <c r="N391" t="inlineStr">
        <is>
          <t>FC-DM-DP-030</t>
        </is>
      </c>
      <c r="O391" t="inlineStr">
        <is>
          <t>FC-DM-AA-030</t>
        </is>
      </c>
      <c r="T391" t="inlineStr">
        <is>
          <t>Mar 9, 2025</t>
        </is>
      </c>
      <c r="U391" t="inlineStr">
        <is>
          <t>Jun 25, 2026</t>
        </is>
      </c>
      <c r="Z391" t="n">
        <v>473</v>
      </c>
      <c r="AE391" t="inlineStr">
        <is>
          <t>Bengaluru</t>
        </is>
      </c>
      <c r="AF391" t="inlineStr">
        <is>
          <t>2025-03</t>
        </is>
      </c>
      <c r="AG391" t="n">
        <v>3</v>
      </c>
      <c r="AH391" t="n">
        <v>2</v>
      </c>
      <c r="AI391" t="n">
        <v>1</v>
      </c>
      <c r="AJ391">
        <f>IF($AE391="","",IFERROR(VLOOKUP(TRIM($AE391),DECODE!$H$3:$I$60,2,FALSE),"Rest of India"))</f>
        <v/>
      </c>
      <c r="AK391">
        <f>IF($N391="","",UPPER(TRIM(LEFT($N391&amp;",",FIND(",",$N391&amp;",")-1))))</f>
        <v/>
      </c>
      <c r="AL391">
        <f>IF($AK391="","",MID($AK391,4,FIND("~",SUBSTITUTE($AK391,"-","~",2))-4))</f>
        <v/>
      </c>
      <c r="AM391">
        <f>IF($AK391="","",MID($AK391,FIND("~",SUBSTITUTE($AK391,"-","~",2))+1,FIND("~",SUBSTITUTE($AK391,"-","~",3))-FIND("~",SUBSTITUTE($AK391,"-","~",2))-1))</f>
        <v/>
      </c>
      <c r="AN391">
        <f>IF($AL391="","",IFERROR(VLOOKUP($AL391,DECODE!$A$3:$C$8,3,FALSE),"?"))</f>
        <v/>
      </c>
      <c r="AO391">
        <f>IF($AM391="","",IFERROR(VLOOKUP($AL391&amp;"-"&amp;$AM391,DECODE!$E$3:$F$21,2,FALSE),"?"))</f>
        <v/>
      </c>
      <c r="AP391">
        <f>IF($AK391="","",IFERROR(VALUE(RIGHT($AK391,3)),""))</f>
        <v/>
      </c>
      <c r="AQ391">
        <f>IF($T391="","",IFERROR(IF(ISNUMBER($T391),$T391,DATEVALUE(TRIM($T391))),""))</f>
        <v/>
      </c>
      <c r="AR391">
        <f>IF($AQ391="","",IF(MONTH($AQ391)&gt;=12,"Cold Winter",IF(MONTH($AQ391)&gt;=10,"Post-Monsoon",IF(MONTH($AQ391)&gt;=6,"Hot Humid",IF(MONTH($AQ391)&gt;=3,"Hot Dry","Cold Winter")))))</f>
        <v/>
      </c>
      <c r="AS391">
        <f>IF($AL391="","",IFERROR(VLOOKUP($AL391,DECODE!$A$3:$C$8,2,FALSE),"?"))</f>
        <v/>
      </c>
      <c r="AT391">
        <f>IF($O391="","",UPPER(TRIM(LEFT($O391&amp;",",FIND(",",$O391&amp;",")-1))))</f>
        <v/>
      </c>
      <c r="AU391">
        <f>IF($AT391="","",MID($AT391,4,FIND("~",SUBSTITUTE($AT391,"-","~",2))-4))</f>
        <v/>
      </c>
      <c r="AV391">
        <f>IF($AT391="","",MID($AT391,FIND("~",SUBSTITUTE($AT391,"-","~",2))+1,FIND("~",SUBSTITUTE($AT391,"-","~",3))-FIND("~",SUBSTITUTE($AT391,"-","~",2))-1))</f>
        <v/>
      </c>
      <c r="AW391">
        <f>IF($AU391="","",IFERROR(VLOOKUP($AU391,DECODE!$A$3:$C$8,3,FALSE),"?"))</f>
        <v/>
      </c>
      <c r="AX391">
        <f>IF($AV391="","",IFERROR(VLOOKUP($AU391&amp;"-"&amp;$AV391,DECODE!$E$3:$F$21,2,FALSE),"?"))</f>
        <v/>
      </c>
      <c r="AY391">
        <f>IF($AT391="","",IFERROR(VALUE(RIGHT($AT391,3)),""))</f>
        <v/>
      </c>
      <c r="AZ391">
        <f>IF($U391="","",IFERROR(IF(ISNUMBER($U391),$U391,DATEVALUE(TRIM($U391))),""))</f>
        <v/>
      </c>
      <c r="BA391">
        <f>IF($AZ391="","",IF(MONTH($AZ391)&gt;=12,"Cold Winter",IF(MONTH($AZ391)&gt;=10,"Post-Monsoon",IF(MONTH($AZ391)&gt;=6,"Hot Humid",IF(MONTH($AZ391)&gt;=3,"Hot Dry","Cold Winter")))))</f>
        <v/>
      </c>
      <c r="BB391">
        <f>IF($AU391="","",IFERROR(VLOOKUP($AU391,DECODE!$A$3:$C$8,2,FALSE),"?"))</f>
        <v/>
      </c>
      <c r="BC391">
        <f>IF($P391="","",UPPER(TRIM(LEFT($P391&amp;",",FIND(",",$P391&amp;",")-1))))</f>
        <v/>
      </c>
      <c r="BD391">
        <f>IF($BC391="","",MID($BC391,4,FIND("~",SUBSTITUTE($BC391,"-","~",2))-4))</f>
        <v/>
      </c>
      <c r="BE391">
        <f>IF($BC391="","",MID($BC391,FIND("~",SUBSTITUTE($BC391,"-","~",2))+1,FIND("~",SUBSTITUTE($BC391,"-","~",3))-FIND("~",SUBSTITUTE($BC391,"-","~",2))-1))</f>
        <v/>
      </c>
      <c r="BF391">
        <f>IF($BD391="","",IFERROR(VLOOKUP($BD391,DECODE!$A$3:$C$8,3,FALSE),"?"))</f>
        <v/>
      </c>
      <c r="BG391">
        <f>IF($BE391="","",IFERROR(VLOOKUP($BD391&amp;"-"&amp;$BE391,DECODE!$E$3:$F$21,2,FALSE),"?"))</f>
        <v/>
      </c>
      <c r="BH391">
        <f>IF($BC391="","",IFERROR(VALUE(RIGHT($BC391,3)),""))</f>
        <v/>
      </c>
      <c r="BI391">
        <f>IF($V391="","",IFERROR(IF(ISNUMBER($V391),$V391,DATEVALUE(TRIM($V391))),""))</f>
        <v/>
      </c>
      <c r="BJ391">
        <f>IF($BI391="","",IF(MONTH($BI391)&gt;=12,"Cold Winter",IF(MONTH($BI391)&gt;=10,"Post-Monsoon",IF(MONTH($BI391)&gt;=6,"Hot Humid",IF(MONTH($BI391)&gt;=3,"Hot Dry","Cold Winter")))))</f>
        <v/>
      </c>
      <c r="BK391">
        <f>IF($BD391="","",IFERROR(VLOOKUP($BD391,DECODE!$A$3:$C$8,2,FALSE),"?"))</f>
        <v/>
      </c>
      <c r="BL391">
        <f>IF($Q391="","",UPPER(TRIM(LEFT($Q391&amp;",",FIND(",",$Q391&amp;",")-1))))</f>
        <v/>
      </c>
      <c r="BM391">
        <f>IF($BL391="","",MID($BL391,4,FIND("~",SUBSTITUTE($BL391,"-","~",2))-4))</f>
        <v/>
      </c>
      <c r="BN391">
        <f>IF($BL391="","",MID($BL391,FIND("~",SUBSTITUTE($BL391,"-","~",2))+1,FIND("~",SUBSTITUTE($BL391,"-","~",3))-FIND("~",SUBSTITUTE($BL391,"-","~",2))-1))</f>
        <v/>
      </c>
      <c r="BO391">
        <f>IF($BM391="","",IFERROR(VLOOKUP($BM391,DECODE!$A$3:$C$8,3,FALSE),"?"))</f>
        <v/>
      </c>
      <c r="BP391">
        <f>IF($BN391="","",IFERROR(VLOOKUP($BM391&amp;"-"&amp;$BN391,DECODE!$E$3:$F$21,2,FALSE),"?"))</f>
        <v/>
      </c>
      <c r="BQ391">
        <f>IF($BL391="","",IFERROR(VALUE(RIGHT($BL391,3)),""))</f>
        <v/>
      </c>
      <c r="BR391">
        <f>IF($W391="","",IFERROR(IF(ISNUMBER($W391),$W391,DATEVALUE(TRIM($W391))),""))</f>
        <v/>
      </c>
      <c r="BS391">
        <f>IF($BR391="","",IF(MONTH($BR391)&gt;=12,"Cold Winter",IF(MONTH($BR391)&gt;=10,"Post-Monsoon",IF(MONTH($BR391)&gt;=6,"Hot Humid",IF(MONTH($BR391)&gt;=3,"Hot Dry","Cold Winter")))))</f>
        <v/>
      </c>
      <c r="BT391">
        <f>IF($BM391="","",IFERROR(VLOOKUP($BM391,DECODE!$A$3:$C$8,2,FALSE),"?"))</f>
        <v/>
      </c>
      <c r="BU391">
        <f>IF($R391="","",UPPER(TRIM(LEFT($R391&amp;",",FIND(",",$R391&amp;",")-1))))</f>
        <v/>
      </c>
      <c r="BV391">
        <f>IF($BU391="","",MID($BU391,4,FIND("~",SUBSTITUTE($BU391,"-","~",2))-4))</f>
        <v/>
      </c>
      <c r="BW391">
        <f>IF($BU391="","",MID($BU391,FIND("~",SUBSTITUTE($BU391,"-","~",2))+1,FIND("~",SUBSTITUTE($BU391,"-","~",3))-FIND("~",SUBSTITUTE($BU391,"-","~",2))-1))</f>
        <v/>
      </c>
      <c r="BX391">
        <f>IF($BV391="","",IFERROR(VLOOKUP($BV391,DECODE!$A$3:$C$8,3,FALSE),"?"))</f>
        <v/>
      </c>
      <c r="BY391">
        <f>IF($BW391="","",IFERROR(VLOOKUP($BV391&amp;"-"&amp;$BW391,DECODE!$E$3:$F$21,2,FALSE),"?"))</f>
        <v/>
      </c>
      <c r="BZ391">
        <f>IF($BU391="","",IFERROR(VALUE(RIGHT($BU391,3)),""))</f>
        <v/>
      </c>
      <c r="CA391">
        <f>IF($X391="","",IFERROR(IF(ISNUMBER($X391),$X391,DATEVALUE(TRIM($X391))),""))</f>
        <v/>
      </c>
      <c r="CB391">
        <f>IF($CA391="","",IF(MONTH($CA391)&gt;=12,"Cold Winter",IF(MONTH($CA391)&gt;=10,"Post-Monsoon",IF(MONTH($CA391)&gt;=6,"Hot Humid",IF(MONTH($CA391)&gt;=3,"Hot Dry","Cold Winter")))))</f>
        <v/>
      </c>
      <c r="CC391">
        <f>IF($BV391="","",IFERROR(VLOOKUP($BV391,DECODE!$A$3:$C$8,2,FALSE),"?"))</f>
        <v/>
      </c>
      <c r="CD391">
        <f>IF($S391="","",UPPER(TRIM(LEFT($S391&amp;",",FIND(",",$S391&amp;",")-1))))</f>
        <v/>
      </c>
      <c r="CE391">
        <f>IF($CD391="","",MID($CD391,4,FIND("~",SUBSTITUTE($CD391,"-","~",2))-4))</f>
        <v/>
      </c>
      <c r="CF391">
        <f>IF($CD391="","",MID($CD391,FIND("~",SUBSTITUTE($CD391,"-","~",2))+1,FIND("~",SUBSTITUTE($CD391,"-","~",3))-FIND("~",SUBSTITUTE($CD391,"-","~",2))-1))</f>
        <v/>
      </c>
      <c r="CG391">
        <f>IF($CE391="","",IFERROR(VLOOKUP($CE391,DECODE!$A$3:$C$8,3,FALSE),"?"))</f>
        <v/>
      </c>
      <c r="CH391">
        <f>IF($CF391="","",IFERROR(VLOOKUP($CE391&amp;"-"&amp;$CF391,DECODE!$E$3:$F$21,2,FALSE),"?"))</f>
        <v/>
      </c>
      <c r="CI391">
        <f>IF($CD391="","",IFERROR(VALUE(RIGHT($CD391,3)),""))</f>
        <v/>
      </c>
      <c r="CJ391">
        <f>IF($Y391="","",IFERROR(IF(ISNUMBER($Y391),$Y391,DATEVALUE(TRIM($Y391))),""))</f>
        <v/>
      </c>
      <c r="CK391">
        <f>IF($CJ391="","",IF(MONTH($CJ391)&gt;=12,"Cold Winter",IF(MONTH($CJ391)&gt;=10,"Post-Monsoon",IF(MONTH($CJ391)&gt;=6,"Hot Humid",IF(MONTH($CJ391)&gt;=3,"Hot Dry","Cold Winter")))))</f>
        <v/>
      </c>
      <c r="CL391">
        <f>IF($CE391="","",IFERROR(VLOOKUP($CE391,DECODE!$A$3:$C$8,2,FALSE),"?"))</f>
        <v/>
      </c>
      <c r="CM391">
        <f>IF($AN391="","",AN391)</f>
        <v/>
      </c>
      <c r="CN391">
        <f>IF($AO391="","",AO391)</f>
        <v/>
      </c>
      <c r="CO391">
        <f>IF($AP391="","",AP391)</f>
        <v/>
      </c>
      <c r="CP391">
        <f>IF($CM391="","",IF($CM391="Aloe Vera Gel","Aloe Vera Gel "&amp;$CO391&amp;"g",CN391&amp;" "&amp;$CO391&amp;"g"))</f>
        <v/>
      </c>
      <c r="CQ391">
        <f>IF($AT391="",0,1)</f>
        <v/>
      </c>
      <c r="CR391">
        <f>IF($CQ391=0,"",AW391)</f>
        <v/>
      </c>
      <c r="CS391">
        <f>IF($CQ391=0,"",AX391)</f>
        <v/>
      </c>
      <c r="CT391">
        <f>IF($CQ391=0,"",AY391)</f>
        <v/>
      </c>
      <c r="CU391">
        <f>IF($CR391="","",IF($CR391="Aloe Vera Gel","Aloe Vera Gel "&amp;$CT391&amp;"g",CS391&amp;" "&amp;$CT391&amp;"g"))</f>
        <v/>
      </c>
      <c r="CV391">
        <f>IF($CQ391=0,"",IF($CP391=$CU391,"Repeat Exact",IF($CT391&gt;$CO391,"Upsized",IF($CT391&lt;$CO391,"Downsized",IF($CM391&lt;&gt;$CR391,"Lateral","Same Size Diff Variant")))))</f>
        <v/>
      </c>
      <c r="CW391">
        <f>IF($CQ391=0,"",AZ391-AQ391)</f>
        <v/>
      </c>
      <c r="CX391">
        <f>IF($CQ391=0,0,IF(CS391=CN391,1,0))</f>
        <v/>
      </c>
      <c r="CY391">
        <f>IF($CQ391=0,0,IF(CR391=CM391,1,0))</f>
        <v/>
      </c>
      <c r="CZ391">
        <f>IF($A391="","",IF(AND(IF(DASHBOARD!$C$4="All",TRUE,$CM391=DASHBOARD!$C$4),IF(DASHBOARD!$C$6="All",TRUE,$CP391=DASHBOARD!$C$6),IF(DASHBOARD!$C$8="All",TRUE,$AF391&gt;=DASHBOARD!$C$8),IF(DASHBOARD!$C$10="All",TRUE,$AF391&lt;=DASHBOARD!$C$10),IF(DASHBOARD!$C$12="All",TRUE,$AH391=VALUE(DASHBOARD!$C$12)),IF(DASHBOARD!$C$14="All",TRUE,$AJ391=DASHBOARD!$C$14)),1,0))</f>
        <v/>
      </c>
    </row>
    <row r="392">
      <c r="A392" t="n">
        <v>194534</v>
      </c>
      <c r="B392" t="inlineStr">
        <is>
          <t>Aloe Vera Gel</t>
        </is>
      </c>
      <c r="H392" t="inlineStr">
        <is>
          <t>Aloe Vera Gel - 40 gms</t>
        </is>
      </c>
      <c r="N392" t="inlineStr">
        <is>
          <t>FC-HG-PA-040</t>
        </is>
      </c>
      <c r="T392" t="inlineStr">
        <is>
          <t>Jan 2, 2024</t>
        </is>
      </c>
      <c r="AE392" t="inlineStr">
        <is>
          <t>Bengaluru</t>
        </is>
      </c>
      <c r="AF392" t="inlineStr">
        <is>
          <t>2024-01</t>
        </is>
      </c>
      <c r="AG392" t="n">
        <v>1</v>
      </c>
      <c r="AH392" t="n">
        <v>1</v>
      </c>
      <c r="AI392" t="n">
        <v>0</v>
      </c>
      <c r="AJ392">
        <f>IF($AE392="","",IFERROR(VLOOKUP(TRIM($AE392),DECODE!$H$3:$I$60,2,FALSE),"Rest of India"))</f>
        <v/>
      </c>
      <c r="AK392">
        <f>IF($N392="","",UPPER(TRIM(LEFT($N392&amp;",",FIND(",",$N392&amp;",")-1))))</f>
        <v/>
      </c>
      <c r="AL392">
        <f>IF($AK392="","",MID($AK392,4,FIND("~",SUBSTITUTE($AK392,"-","~",2))-4))</f>
        <v/>
      </c>
      <c r="AM392">
        <f>IF($AK392="","",MID($AK392,FIND("~",SUBSTITUTE($AK392,"-","~",2))+1,FIND("~",SUBSTITUTE($AK392,"-","~",3))-FIND("~",SUBSTITUTE($AK392,"-","~",2))-1))</f>
        <v/>
      </c>
      <c r="AN392">
        <f>IF($AL392="","",IFERROR(VLOOKUP($AL392,DECODE!$A$3:$C$8,3,FALSE),"?"))</f>
        <v/>
      </c>
      <c r="AO392">
        <f>IF($AM392="","",IFERROR(VLOOKUP($AL392&amp;"-"&amp;$AM392,DECODE!$E$3:$F$21,2,FALSE),"?"))</f>
        <v/>
      </c>
      <c r="AP392">
        <f>IF($AK392="","",IFERROR(VALUE(RIGHT($AK392,3)),""))</f>
        <v/>
      </c>
      <c r="AQ392">
        <f>IF($T392="","",IFERROR(IF(ISNUMBER($T392),$T392,DATEVALUE(TRIM($T392))),""))</f>
        <v/>
      </c>
      <c r="AR392">
        <f>IF($AQ392="","",IF(MONTH($AQ392)&gt;=12,"Cold Winter",IF(MONTH($AQ392)&gt;=10,"Post-Monsoon",IF(MONTH($AQ392)&gt;=6,"Hot Humid",IF(MONTH($AQ392)&gt;=3,"Hot Dry","Cold Winter")))))</f>
        <v/>
      </c>
      <c r="AS392">
        <f>IF($AL392="","",IFERROR(VLOOKUP($AL392,DECODE!$A$3:$C$8,2,FALSE),"?"))</f>
        <v/>
      </c>
      <c r="AT392">
        <f>IF($O392="","",UPPER(TRIM(LEFT($O392&amp;",",FIND(",",$O392&amp;",")-1))))</f>
        <v/>
      </c>
      <c r="AU392">
        <f>IF($AT392="","",MID($AT392,4,FIND("~",SUBSTITUTE($AT392,"-","~",2))-4))</f>
        <v/>
      </c>
      <c r="AV392">
        <f>IF($AT392="","",MID($AT392,FIND("~",SUBSTITUTE($AT392,"-","~",2))+1,FIND("~",SUBSTITUTE($AT392,"-","~",3))-FIND("~",SUBSTITUTE($AT392,"-","~",2))-1))</f>
        <v/>
      </c>
      <c r="AW392">
        <f>IF($AU392="","",IFERROR(VLOOKUP($AU392,DECODE!$A$3:$C$8,3,FALSE),"?"))</f>
        <v/>
      </c>
      <c r="AX392">
        <f>IF($AV392="","",IFERROR(VLOOKUP($AU392&amp;"-"&amp;$AV392,DECODE!$E$3:$F$21,2,FALSE),"?"))</f>
        <v/>
      </c>
      <c r="AY392">
        <f>IF($AT392="","",IFERROR(VALUE(RIGHT($AT392,3)),""))</f>
        <v/>
      </c>
      <c r="AZ392">
        <f>IF($U392="","",IFERROR(IF(ISNUMBER($U392),$U392,DATEVALUE(TRIM($U392))),""))</f>
        <v/>
      </c>
      <c r="BA392">
        <f>IF($AZ392="","",IF(MONTH($AZ392)&gt;=12,"Cold Winter",IF(MONTH($AZ392)&gt;=10,"Post-Monsoon",IF(MONTH($AZ392)&gt;=6,"Hot Humid",IF(MONTH($AZ392)&gt;=3,"Hot Dry","Cold Winter")))))</f>
        <v/>
      </c>
      <c r="BB392">
        <f>IF($AU392="","",IFERROR(VLOOKUP($AU392,DECODE!$A$3:$C$8,2,FALSE),"?"))</f>
        <v/>
      </c>
      <c r="BC392">
        <f>IF($P392="","",UPPER(TRIM(LEFT($P392&amp;",",FIND(",",$P392&amp;",")-1))))</f>
        <v/>
      </c>
      <c r="BD392">
        <f>IF($BC392="","",MID($BC392,4,FIND("~",SUBSTITUTE($BC392,"-","~",2))-4))</f>
        <v/>
      </c>
      <c r="BE392">
        <f>IF($BC392="","",MID($BC392,FIND("~",SUBSTITUTE($BC392,"-","~",2))+1,FIND("~",SUBSTITUTE($BC392,"-","~",3))-FIND("~",SUBSTITUTE($BC392,"-","~",2))-1))</f>
        <v/>
      </c>
      <c r="BF392">
        <f>IF($BD392="","",IFERROR(VLOOKUP($BD392,DECODE!$A$3:$C$8,3,FALSE),"?"))</f>
        <v/>
      </c>
      <c r="BG392">
        <f>IF($BE392="","",IFERROR(VLOOKUP($BD392&amp;"-"&amp;$BE392,DECODE!$E$3:$F$21,2,FALSE),"?"))</f>
        <v/>
      </c>
      <c r="BH392">
        <f>IF($BC392="","",IFERROR(VALUE(RIGHT($BC392,3)),""))</f>
        <v/>
      </c>
      <c r="BI392">
        <f>IF($V392="","",IFERROR(IF(ISNUMBER($V392),$V392,DATEVALUE(TRIM($V392))),""))</f>
        <v/>
      </c>
      <c r="BJ392">
        <f>IF($BI392="","",IF(MONTH($BI392)&gt;=12,"Cold Winter",IF(MONTH($BI392)&gt;=10,"Post-Monsoon",IF(MONTH($BI392)&gt;=6,"Hot Humid",IF(MONTH($BI392)&gt;=3,"Hot Dry","Cold Winter")))))</f>
        <v/>
      </c>
      <c r="BK392">
        <f>IF($BD392="","",IFERROR(VLOOKUP($BD392,DECODE!$A$3:$C$8,2,FALSE),"?"))</f>
        <v/>
      </c>
      <c r="BL392">
        <f>IF($Q392="","",UPPER(TRIM(LEFT($Q392&amp;",",FIND(",",$Q392&amp;",")-1))))</f>
        <v/>
      </c>
      <c r="BM392">
        <f>IF($BL392="","",MID($BL392,4,FIND("~",SUBSTITUTE($BL392,"-","~",2))-4))</f>
        <v/>
      </c>
      <c r="BN392">
        <f>IF($BL392="","",MID($BL392,FIND("~",SUBSTITUTE($BL392,"-","~",2))+1,FIND("~",SUBSTITUTE($BL392,"-","~",3))-FIND("~",SUBSTITUTE($BL392,"-","~",2))-1))</f>
        <v/>
      </c>
      <c r="BO392">
        <f>IF($BM392="","",IFERROR(VLOOKUP($BM392,DECODE!$A$3:$C$8,3,FALSE),"?"))</f>
        <v/>
      </c>
      <c r="BP392">
        <f>IF($BN392="","",IFERROR(VLOOKUP($BM392&amp;"-"&amp;$BN392,DECODE!$E$3:$F$21,2,FALSE),"?"))</f>
        <v/>
      </c>
      <c r="BQ392">
        <f>IF($BL392="","",IFERROR(VALUE(RIGHT($BL392,3)),""))</f>
        <v/>
      </c>
      <c r="BR392">
        <f>IF($W392="","",IFERROR(IF(ISNUMBER($W392),$W392,DATEVALUE(TRIM($W392))),""))</f>
        <v/>
      </c>
      <c r="BS392">
        <f>IF($BR392="","",IF(MONTH($BR392)&gt;=12,"Cold Winter",IF(MONTH($BR392)&gt;=10,"Post-Monsoon",IF(MONTH($BR392)&gt;=6,"Hot Humid",IF(MONTH($BR392)&gt;=3,"Hot Dry","Cold Winter")))))</f>
        <v/>
      </c>
      <c r="BT392">
        <f>IF($BM392="","",IFERROR(VLOOKUP($BM392,DECODE!$A$3:$C$8,2,FALSE),"?"))</f>
        <v/>
      </c>
      <c r="BU392">
        <f>IF($R392="","",UPPER(TRIM(LEFT($R392&amp;",",FIND(",",$R392&amp;",")-1))))</f>
        <v/>
      </c>
      <c r="BV392">
        <f>IF($BU392="","",MID($BU392,4,FIND("~",SUBSTITUTE($BU392,"-","~",2))-4))</f>
        <v/>
      </c>
      <c r="BW392">
        <f>IF($BU392="","",MID($BU392,FIND("~",SUBSTITUTE($BU392,"-","~",2))+1,FIND("~",SUBSTITUTE($BU392,"-","~",3))-FIND("~",SUBSTITUTE($BU392,"-","~",2))-1))</f>
        <v/>
      </c>
      <c r="BX392">
        <f>IF($BV392="","",IFERROR(VLOOKUP($BV392,DECODE!$A$3:$C$8,3,FALSE),"?"))</f>
        <v/>
      </c>
      <c r="BY392">
        <f>IF($BW392="","",IFERROR(VLOOKUP($BV392&amp;"-"&amp;$BW392,DECODE!$E$3:$F$21,2,FALSE),"?"))</f>
        <v/>
      </c>
      <c r="BZ392">
        <f>IF($BU392="","",IFERROR(VALUE(RIGHT($BU392,3)),""))</f>
        <v/>
      </c>
      <c r="CA392">
        <f>IF($X392="","",IFERROR(IF(ISNUMBER($X392),$X392,DATEVALUE(TRIM($X392))),""))</f>
        <v/>
      </c>
      <c r="CB392">
        <f>IF($CA392="","",IF(MONTH($CA392)&gt;=12,"Cold Winter",IF(MONTH($CA392)&gt;=10,"Post-Monsoon",IF(MONTH($CA392)&gt;=6,"Hot Humid",IF(MONTH($CA392)&gt;=3,"Hot Dry","Cold Winter")))))</f>
        <v/>
      </c>
      <c r="CC392">
        <f>IF($BV392="","",IFERROR(VLOOKUP($BV392,DECODE!$A$3:$C$8,2,FALSE),"?"))</f>
        <v/>
      </c>
      <c r="CD392">
        <f>IF($S392="","",UPPER(TRIM(LEFT($S392&amp;",",FIND(",",$S392&amp;",")-1))))</f>
        <v/>
      </c>
      <c r="CE392">
        <f>IF($CD392="","",MID($CD392,4,FIND("~",SUBSTITUTE($CD392,"-","~",2))-4))</f>
        <v/>
      </c>
      <c r="CF392">
        <f>IF($CD392="","",MID($CD392,FIND("~",SUBSTITUTE($CD392,"-","~",2))+1,FIND("~",SUBSTITUTE($CD392,"-","~",3))-FIND("~",SUBSTITUTE($CD392,"-","~",2))-1))</f>
        <v/>
      </c>
      <c r="CG392">
        <f>IF($CE392="","",IFERROR(VLOOKUP($CE392,DECODE!$A$3:$C$8,3,FALSE),"?"))</f>
        <v/>
      </c>
      <c r="CH392">
        <f>IF($CF392="","",IFERROR(VLOOKUP($CE392&amp;"-"&amp;$CF392,DECODE!$E$3:$F$21,2,FALSE),"?"))</f>
        <v/>
      </c>
      <c r="CI392">
        <f>IF($CD392="","",IFERROR(VALUE(RIGHT($CD392,3)),""))</f>
        <v/>
      </c>
      <c r="CJ392">
        <f>IF($Y392="","",IFERROR(IF(ISNUMBER($Y392),$Y392,DATEVALUE(TRIM($Y392))),""))</f>
        <v/>
      </c>
      <c r="CK392">
        <f>IF($CJ392="","",IF(MONTH($CJ392)&gt;=12,"Cold Winter",IF(MONTH($CJ392)&gt;=10,"Post-Monsoon",IF(MONTH($CJ392)&gt;=6,"Hot Humid",IF(MONTH($CJ392)&gt;=3,"Hot Dry","Cold Winter")))))</f>
        <v/>
      </c>
      <c r="CL392">
        <f>IF($CE392="","",IFERROR(VLOOKUP($CE392,DECODE!$A$3:$C$8,2,FALSE),"?"))</f>
        <v/>
      </c>
      <c r="CM392">
        <f>IF($AN392="","",AN392)</f>
        <v/>
      </c>
      <c r="CN392">
        <f>IF($AO392="","",AO392)</f>
        <v/>
      </c>
      <c r="CO392">
        <f>IF($AP392="","",AP392)</f>
        <v/>
      </c>
      <c r="CP392">
        <f>IF($CM392="","",IF($CM392="Aloe Vera Gel","Aloe Vera Gel "&amp;$CO392&amp;"g",CN392&amp;" "&amp;$CO392&amp;"g"))</f>
        <v/>
      </c>
      <c r="CQ392">
        <f>IF($AT392="",0,1)</f>
        <v/>
      </c>
      <c r="CR392">
        <f>IF($CQ392=0,"",AW392)</f>
        <v/>
      </c>
      <c r="CS392">
        <f>IF($CQ392=0,"",AX392)</f>
        <v/>
      </c>
      <c r="CT392">
        <f>IF($CQ392=0,"",AY392)</f>
        <v/>
      </c>
      <c r="CU392">
        <f>IF($CR392="","",IF($CR392="Aloe Vera Gel","Aloe Vera Gel "&amp;$CT392&amp;"g",CS392&amp;" "&amp;$CT392&amp;"g"))</f>
        <v/>
      </c>
      <c r="CV392">
        <f>IF($CQ392=0,"",IF($CP392=$CU392,"Repeat Exact",IF($CT392&gt;$CO392,"Upsized",IF($CT392&lt;$CO392,"Downsized",IF($CM392&lt;&gt;$CR392,"Lateral","Same Size Diff Variant")))))</f>
        <v/>
      </c>
      <c r="CW392">
        <f>IF($CQ392=0,"",AZ392-AQ392)</f>
        <v/>
      </c>
      <c r="CX392">
        <f>IF($CQ392=0,0,IF(CS392=CN392,1,0))</f>
        <v/>
      </c>
      <c r="CY392">
        <f>IF($CQ392=0,0,IF(CR392=CM392,1,0))</f>
        <v/>
      </c>
      <c r="CZ392">
        <f>IF($A392="","",IF(AND(IF(DASHBOARD!$C$4="All",TRUE,$CM392=DASHBOARD!$C$4),IF(DASHBOARD!$C$6="All",TRUE,$CP392=DASHBOARD!$C$6),IF(DASHBOARD!$C$8="All",TRUE,$AF392&gt;=DASHBOARD!$C$8),IF(DASHBOARD!$C$10="All",TRUE,$AF392&lt;=DASHBOARD!$C$10),IF(DASHBOARD!$C$12="All",TRUE,$AH392=VALUE(DASHBOARD!$C$12)),IF(DASHBOARD!$C$14="All",TRUE,$AJ392=DASHBOARD!$C$14)),1,0))</f>
        <v/>
      </c>
    </row>
    <row r="393">
      <c r="A393" t="n">
        <v>194827</v>
      </c>
      <c r="B393" t="inlineStr">
        <is>
          <t>Aloe Vera Gel</t>
        </is>
      </c>
      <c r="H393" t="inlineStr">
        <is>
          <t>Aloe Vera Gel - 80 gms</t>
        </is>
      </c>
      <c r="N393" t="inlineStr">
        <is>
          <t>FC-HG-PA-080</t>
        </is>
      </c>
      <c r="T393" t="inlineStr">
        <is>
          <t>Mar 5, 2026</t>
        </is>
      </c>
      <c r="AE393" t="inlineStr">
        <is>
          <t>Faridabad</t>
        </is>
      </c>
      <c r="AF393" t="inlineStr">
        <is>
          <t>2026-03</t>
        </is>
      </c>
      <c r="AG393" t="n">
        <v>3</v>
      </c>
      <c r="AH393" t="n">
        <v>1</v>
      </c>
      <c r="AI393" t="n">
        <v>0</v>
      </c>
      <c r="AJ393">
        <f>IF($AE393="","",IFERROR(VLOOKUP(TRIM($AE393),DECODE!$H$3:$I$60,2,FALSE),"Rest of India"))</f>
        <v/>
      </c>
      <c r="AK393">
        <f>IF($N393="","",UPPER(TRIM(LEFT($N393&amp;",",FIND(",",$N393&amp;",")-1))))</f>
        <v/>
      </c>
      <c r="AL393">
        <f>IF($AK393="","",MID($AK393,4,FIND("~",SUBSTITUTE($AK393,"-","~",2))-4))</f>
        <v/>
      </c>
      <c r="AM393">
        <f>IF($AK393="","",MID($AK393,FIND("~",SUBSTITUTE($AK393,"-","~",2))+1,FIND("~",SUBSTITUTE($AK393,"-","~",3))-FIND("~",SUBSTITUTE($AK393,"-","~",2))-1))</f>
        <v/>
      </c>
      <c r="AN393">
        <f>IF($AL393="","",IFERROR(VLOOKUP($AL393,DECODE!$A$3:$C$8,3,FALSE),"?"))</f>
        <v/>
      </c>
      <c r="AO393">
        <f>IF($AM393="","",IFERROR(VLOOKUP($AL393&amp;"-"&amp;$AM393,DECODE!$E$3:$F$21,2,FALSE),"?"))</f>
        <v/>
      </c>
      <c r="AP393">
        <f>IF($AK393="","",IFERROR(VALUE(RIGHT($AK393,3)),""))</f>
        <v/>
      </c>
      <c r="AQ393">
        <f>IF($T393="","",IFERROR(IF(ISNUMBER($T393),$T393,DATEVALUE(TRIM($T393))),""))</f>
        <v/>
      </c>
      <c r="AR393">
        <f>IF($AQ393="","",IF(MONTH($AQ393)&gt;=12,"Cold Winter",IF(MONTH($AQ393)&gt;=10,"Post-Monsoon",IF(MONTH($AQ393)&gt;=6,"Hot Humid",IF(MONTH($AQ393)&gt;=3,"Hot Dry","Cold Winter")))))</f>
        <v/>
      </c>
      <c r="AS393">
        <f>IF($AL393="","",IFERROR(VLOOKUP($AL393,DECODE!$A$3:$C$8,2,FALSE),"?"))</f>
        <v/>
      </c>
      <c r="AT393">
        <f>IF($O393="","",UPPER(TRIM(LEFT($O393&amp;",",FIND(",",$O393&amp;",")-1))))</f>
        <v/>
      </c>
      <c r="AU393">
        <f>IF($AT393="","",MID($AT393,4,FIND("~",SUBSTITUTE($AT393,"-","~",2))-4))</f>
        <v/>
      </c>
      <c r="AV393">
        <f>IF($AT393="","",MID($AT393,FIND("~",SUBSTITUTE($AT393,"-","~",2))+1,FIND("~",SUBSTITUTE($AT393,"-","~",3))-FIND("~",SUBSTITUTE($AT393,"-","~",2))-1))</f>
        <v/>
      </c>
      <c r="AW393">
        <f>IF($AU393="","",IFERROR(VLOOKUP($AU393,DECODE!$A$3:$C$8,3,FALSE),"?"))</f>
        <v/>
      </c>
      <c r="AX393">
        <f>IF($AV393="","",IFERROR(VLOOKUP($AU393&amp;"-"&amp;$AV393,DECODE!$E$3:$F$21,2,FALSE),"?"))</f>
        <v/>
      </c>
      <c r="AY393">
        <f>IF($AT393="","",IFERROR(VALUE(RIGHT($AT393,3)),""))</f>
        <v/>
      </c>
      <c r="AZ393">
        <f>IF($U393="","",IFERROR(IF(ISNUMBER($U393),$U393,DATEVALUE(TRIM($U393))),""))</f>
        <v/>
      </c>
      <c r="BA393">
        <f>IF($AZ393="","",IF(MONTH($AZ393)&gt;=12,"Cold Winter",IF(MONTH($AZ393)&gt;=10,"Post-Monsoon",IF(MONTH($AZ393)&gt;=6,"Hot Humid",IF(MONTH($AZ393)&gt;=3,"Hot Dry","Cold Winter")))))</f>
        <v/>
      </c>
      <c r="BB393">
        <f>IF($AU393="","",IFERROR(VLOOKUP($AU393,DECODE!$A$3:$C$8,2,FALSE),"?"))</f>
        <v/>
      </c>
      <c r="BC393">
        <f>IF($P393="","",UPPER(TRIM(LEFT($P393&amp;",",FIND(",",$P393&amp;",")-1))))</f>
        <v/>
      </c>
      <c r="BD393">
        <f>IF($BC393="","",MID($BC393,4,FIND("~",SUBSTITUTE($BC393,"-","~",2))-4))</f>
        <v/>
      </c>
      <c r="BE393">
        <f>IF($BC393="","",MID($BC393,FIND("~",SUBSTITUTE($BC393,"-","~",2))+1,FIND("~",SUBSTITUTE($BC393,"-","~",3))-FIND("~",SUBSTITUTE($BC393,"-","~",2))-1))</f>
        <v/>
      </c>
      <c r="BF393">
        <f>IF($BD393="","",IFERROR(VLOOKUP($BD393,DECODE!$A$3:$C$8,3,FALSE),"?"))</f>
        <v/>
      </c>
      <c r="BG393">
        <f>IF($BE393="","",IFERROR(VLOOKUP($BD393&amp;"-"&amp;$BE393,DECODE!$E$3:$F$21,2,FALSE),"?"))</f>
        <v/>
      </c>
      <c r="BH393">
        <f>IF($BC393="","",IFERROR(VALUE(RIGHT($BC393,3)),""))</f>
        <v/>
      </c>
      <c r="BI393">
        <f>IF($V393="","",IFERROR(IF(ISNUMBER($V393),$V393,DATEVALUE(TRIM($V393))),""))</f>
        <v/>
      </c>
      <c r="BJ393">
        <f>IF($BI393="","",IF(MONTH($BI393)&gt;=12,"Cold Winter",IF(MONTH($BI393)&gt;=10,"Post-Monsoon",IF(MONTH($BI393)&gt;=6,"Hot Humid",IF(MONTH($BI393)&gt;=3,"Hot Dry","Cold Winter")))))</f>
        <v/>
      </c>
      <c r="BK393">
        <f>IF($BD393="","",IFERROR(VLOOKUP($BD393,DECODE!$A$3:$C$8,2,FALSE),"?"))</f>
        <v/>
      </c>
      <c r="BL393">
        <f>IF($Q393="","",UPPER(TRIM(LEFT($Q393&amp;",",FIND(",",$Q393&amp;",")-1))))</f>
        <v/>
      </c>
      <c r="BM393">
        <f>IF($BL393="","",MID($BL393,4,FIND("~",SUBSTITUTE($BL393,"-","~",2))-4))</f>
        <v/>
      </c>
      <c r="BN393">
        <f>IF($BL393="","",MID($BL393,FIND("~",SUBSTITUTE($BL393,"-","~",2))+1,FIND("~",SUBSTITUTE($BL393,"-","~",3))-FIND("~",SUBSTITUTE($BL393,"-","~",2))-1))</f>
        <v/>
      </c>
      <c r="BO393">
        <f>IF($BM393="","",IFERROR(VLOOKUP($BM393,DECODE!$A$3:$C$8,3,FALSE),"?"))</f>
        <v/>
      </c>
      <c r="BP393">
        <f>IF($BN393="","",IFERROR(VLOOKUP($BM393&amp;"-"&amp;$BN393,DECODE!$E$3:$F$21,2,FALSE),"?"))</f>
        <v/>
      </c>
      <c r="BQ393">
        <f>IF($BL393="","",IFERROR(VALUE(RIGHT($BL393,3)),""))</f>
        <v/>
      </c>
      <c r="BR393">
        <f>IF($W393="","",IFERROR(IF(ISNUMBER($W393),$W393,DATEVALUE(TRIM($W393))),""))</f>
        <v/>
      </c>
      <c r="BS393">
        <f>IF($BR393="","",IF(MONTH($BR393)&gt;=12,"Cold Winter",IF(MONTH($BR393)&gt;=10,"Post-Monsoon",IF(MONTH($BR393)&gt;=6,"Hot Humid",IF(MONTH($BR393)&gt;=3,"Hot Dry","Cold Winter")))))</f>
        <v/>
      </c>
      <c r="BT393">
        <f>IF($BM393="","",IFERROR(VLOOKUP($BM393,DECODE!$A$3:$C$8,2,FALSE),"?"))</f>
        <v/>
      </c>
      <c r="BU393">
        <f>IF($R393="","",UPPER(TRIM(LEFT($R393&amp;",",FIND(",",$R393&amp;",")-1))))</f>
        <v/>
      </c>
      <c r="BV393">
        <f>IF($BU393="","",MID($BU393,4,FIND("~",SUBSTITUTE($BU393,"-","~",2))-4))</f>
        <v/>
      </c>
      <c r="BW393">
        <f>IF($BU393="","",MID($BU393,FIND("~",SUBSTITUTE($BU393,"-","~",2))+1,FIND("~",SUBSTITUTE($BU393,"-","~",3))-FIND("~",SUBSTITUTE($BU393,"-","~",2))-1))</f>
        <v/>
      </c>
      <c r="BX393">
        <f>IF($BV393="","",IFERROR(VLOOKUP($BV393,DECODE!$A$3:$C$8,3,FALSE),"?"))</f>
        <v/>
      </c>
      <c r="BY393">
        <f>IF($BW393="","",IFERROR(VLOOKUP($BV393&amp;"-"&amp;$BW393,DECODE!$E$3:$F$21,2,FALSE),"?"))</f>
        <v/>
      </c>
      <c r="BZ393">
        <f>IF($BU393="","",IFERROR(VALUE(RIGHT($BU393,3)),""))</f>
        <v/>
      </c>
      <c r="CA393">
        <f>IF($X393="","",IFERROR(IF(ISNUMBER($X393),$X393,DATEVALUE(TRIM($X393))),""))</f>
        <v/>
      </c>
      <c r="CB393">
        <f>IF($CA393="","",IF(MONTH($CA393)&gt;=12,"Cold Winter",IF(MONTH($CA393)&gt;=10,"Post-Monsoon",IF(MONTH($CA393)&gt;=6,"Hot Humid",IF(MONTH($CA393)&gt;=3,"Hot Dry","Cold Winter")))))</f>
        <v/>
      </c>
      <c r="CC393">
        <f>IF($BV393="","",IFERROR(VLOOKUP($BV393,DECODE!$A$3:$C$8,2,FALSE),"?"))</f>
        <v/>
      </c>
      <c r="CD393">
        <f>IF($S393="","",UPPER(TRIM(LEFT($S393&amp;",",FIND(",",$S393&amp;",")-1))))</f>
        <v/>
      </c>
      <c r="CE393">
        <f>IF($CD393="","",MID($CD393,4,FIND("~",SUBSTITUTE($CD393,"-","~",2))-4))</f>
        <v/>
      </c>
      <c r="CF393">
        <f>IF($CD393="","",MID($CD393,FIND("~",SUBSTITUTE($CD393,"-","~",2))+1,FIND("~",SUBSTITUTE($CD393,"-","~",3))-FIND("~",SUBSTITUTE($CD393,"-","~",2))-1))</f>
        <v/>
      </c>
      <c r="CG393">
        <f>IF($CE393="","",IFERROR(VLOOKUP($CE393,DECODE!$A$3:$C$8,3,FALSE),"?"))</f>
        <v/>
      </c>
      <c r="CH393">
        <f>IF($CF393="","",IFERROR(VLOOKUP($CE393&amp;"-"&amp;$CF393,DECODE!$E$3:$F$21,2,FALSE),"?"))</f>
        <v/>
      </c>
      <c r="CI393">
        <f>IF($CD393="","",IFERROR(VALUE(RIGHT($CD393,3)),""))</f>
        <v/>
      </c>
      <c r="CJ393">
        <f>IF($Y393="","",IFERROR(IF(ISNUMBER($Y393),$Y393,DATEVALUE(TRIM($Y393))),""))</f>
        <v/>
      </c>
      <c r="CK393">
        <f>IF($CJ393="","",IF(MONTH($CJ393)&gt;=12,"Cold Winter",IF(MONTH($CJ393)&gt;=10,"Post-Monsoon",IF(MONTH($CJ393)&gt;=6,"Hot Humid",IF(MONTH($CJ393)&gt;=3,"Hot Dry","Cold Winter")))))</f>
        <v/>
      </c>
      <c r="CL393">
        <f>IF($CE393="","",IFERROR(VLOOKUP($CE393,DECODE!$A$3:$C$8,2,FALSE),"?"))</f>
        <v/>
      </c>
      <c r="CM393">
        <f>IF($AN393="","",AN393)</f>
        <v/>
      </c>
      <c r="CN393">
        <f>IF($AO393="","",AO393)</f>
        <v/>
      </c>
      <c r="CO393">
        <f>IF($AP393="","",AP393)</f>
        <v/>
      </c>
      <c r="CP393">
        <f>IF($CM393="","",IF($CM393="Aloe Vera Gel","Aloe Vera Gel "&amp;$CO393&amp;"g",CN393&amp;" "&amp;$CO393&amp;"g"))</f>
        <v/>
      </c>
      <c r="CQ393">
        <f>IF($AT393="",0,1)</f>
        <v/>
      </c>
      <c r="CR393">
        <f>IF($CQ393=0,"",AW393)</f>
        <v/>
      </c>
      <c r="CS393">
        <f>IF($CQ393=0,"",AX393)</f>
        <v/>
      </c>
      <c r="CT393">
        <f>IF($CQ393=0,"",AY393)</f>
        <v/>
      </c>
      <c r="CU393">
        <f>IF($CR393="","",IF($CR393="Aloe Vera Gel","Aloe Vera Gel "&amp;$CT393&amp;"g",CS393&amp;" "&amp;$CT393&amp;"g"))</f>
        <v/>
      </c>
      <c r="CV393">
        <f>IF($CQ393=0,"",IF($CP393=$CU393,"Repeat Exact",IF($CT393&gt;$CO393,"Upsized",IF($CT393&lt;$CO393,"Downsized",IF($CM393&lt;&gt;$CR393,"Lateral","Same Size Diff Variant")))))</f>
        <v/>
      </c>
      <c r="CW393">
        <f>IF($CQ393=0,"",AZ393-AQ393)</f>
        <v/>
      </c>
      <c r="CX393">
        <f>IF($CQ393=0,0,IF(CS393=CN393,1,0))</f>
        <v/>
      </c>
      <c r="CY393">
        <f>IF($CQ393=0,0,IF(CR393=CM393,1,0))</f>
        <v/>
      </c>
      <c r="CZ393">
        <f>IF($A393="","",IF(AND(IF(DASHBOARD!$C$4="All",TRUE,$CM393=DASHBOARD!$C$4),IF(DASHBOARD!$C$6="All",TRUE,$CP393=DASHBOARD!$C$6),IF(DASHBOARD!$C$8="All",TRUE,$AF393&gt;=DASHBOARD!$C$8),IF(DASHBOARD!$C$10="All",TRUE,$AF393&lt;=DASHBOARD!$C$10),IF(DASHBOARD!$C$12="All",TRUE,$AH393=VALUE(DASHBOARD!$C$12)),IF(DASHBOARD!$C$14="All",TRUE,$AJ393=DASHBOARD!$C$14)),1,0))</f>
        <v/>
      </c>
    </row>
    <row r="394">
      <c r="A394" t="n">
        <v>194937</v>
      </c>
      <c r="B394" t="inlineStr">
        <is>
          <t>Aloe Vera Gel</t>
        </is>
      </c>
      <c r="H394" t="inlineStr">
        <is>
          <t>Aloe Vera Gel - 40 gms</t>
        </is>
      </c>
      <c r="N394" t="inlineStr">
        <is>
          <t>FC-HG-PA-040</t>
        </is>
      </c>
      <c r="T394" t="inlineStr">
        <is>
          <t>Feb 28, 2024</t>
        </is>
      </c>
      <c r="AE394" t="inlineStr">
        <is>
          <t>Rajouri</t>
        </is>
      </c>
      <c r="AF394" t="inlineStr">
        <is>
          <t>2024-02</t>
        </is>
      </c>
      <c r="AG394" t="n">
        <v>2</v>
      </c>
      <c r="AH394" t="n">
        <v>1</v>
      </c>
      <c r="AI394" t="n">
        <v>0</v>
      </c>
      <c r="AJ394">
        <f>IF($AE394="","",IFERROR(VLOOKUP(TRIM($AE394),DECODE!$H$3:$I$60,2,FALSE),"Rest of India"))</f>
        <v/>
      </c>
      <c r="AK394">
        <f>IF($N394="","",UPPER(TRIM(LEFT($N394&amp;",",FIND(",",$N394&amp;",")-1))))</f>
        <v/>
      </c>
      <c r="AL394">
        <f>IF($AK394="","",MID($AK394,4,FIND("~",SUBSTITUTE($AK394,"-","~",2))-4))</f>
        <v/>
      </c>
      <c r="AM394">
        <f>IF($AK394="","",MID($AK394,FIND("~",SUBSTITUTE($AK394,"-","~",2))+1,FIND("~",SUBSTITUTE($AK394,"-","~",3))-FIND("~",SUBSTITUTE($AK394,"-","~",2))-1))</f>
        <v/>
      </c>
      <c r="AN394">
        <f>IF($AL394="","",IFERROR(VLOOKUP($AL394,DECODE!$A$3:$C$8,3,FALSE),"?"))</f>
        <v/>
      </c>
      <c r="AO394">
        <f>IF($AM394="","",IFERROR(VLOOKUP($AL394&amp;"-"&amp;$AM394,DECODE!$E$3:$F$21,2,FALSE),"?"))</f>
        <v/>
      </c>
      <c r="AP394">
        <f>IF($AK394="","",IFERROR(VALUE(RIGHT($AK394,3)),""))</f>
        <v/>
      </c>
      <c r="AQ394">
        <f>IF($T394="","",IFERROR(IF(ISNUMBER($T394),$T394,DATEVALUE(TRIM($T394))),""))</f>
        <v/>
      </c>
      <c r="AR394">
        <f>IF($AQ394="","",IF(MONTH($AQ394)&gt;=12,"Cold Winter",IF(MONTH($AQ394)&gt;=10,"Post-Monsoon",IF(MONTH($AQ394)&gt;=6,"Hot Humid",IF(MONTH($AQ394)&gt;=3,"Hot Dry","Cold Winter")))))</f>
        <v/>
      </c>
      <c r="AS394">
        <f>IF($AL394="","",IFERROR(VLOOKUP($AL394,DECODE!$A$3:$C$8,2,FALSE),"?"))</f>
        <v/>
      </c>
      <c r="AT394">
        <f>IF($O394="","",UPPER(TRIM(LEFT($O394&amp;",",FIND(",",$O394&amp;",")-1))))</f>
        <v/>
      </c>
      <c r="AU394">
        <f>IF($AT394="","",MID($AT394,4,FIND("~",SUBSTITUTE($AT394,"-","~",2))-4))</f>
        <v/>
      </c>
      <c r="AV394">
        <f>IF($AT394="","",MID($AT394,FIND("~",SUBSTITUTE($AT394,"-","~",2))+1,FIND("~",SUBSTITUTE($AT394,"-","~",3))-FIND("~",SUBSTITUTE($AT394,"-","~",2))-1))</f>
        <v/>
      </c>
      <c r="AW394">
        <f>IF($AU394="","",IFERROR(VLOOKUP($AU394,DECODE!$A$3:$C$8,3,FALSE),"?"))</f>
        <v/>
      </c>
      <c r="AX394">
        <f>IF($AV394="","",IFERROR(VLOOKUP($AU394&amp;"-"&amp;$AV394,DECODE!$E$3:$F$21,2,FALSE),"?"))</f>
        <v/>
      </c>
      <c r="AY394">
        <f>IF($AT394="","",IFERROR(VALUE(RIGHT($AT394,3)),""))</f>
        <v/>
      </c>
      <c r="AZ394">
        <f>IF($U394="","",IFERROR(IF(ISNUMBER($U394),$U394,DATEVALUE(TRIM($U394))),""))</f>
        <v/>
      </c>
      <c r="BA394">
        <f>IF($AZ394="","",IF(MONTH($AZ394)&gt;=12,"Cold Winter",IF(MONTH($AZ394)&gt;=10,"Post-Monsoon",IF(MONTH($AZ394)&gt;=6,"Hot Humid",IF(MONTH($AZ394)&gt;=3,"Hot Dry","Cold Winter")))))</f>
        <v/>
      </c>
      <c r="BB394">
        <f>IF($AU394="","",IFERROR(VLOOKUP($AU394,DECODE!$A$3:$C$8,2,FALSE),"?"))</f>
        <v/>
      </c>
      <c r="BC394">
        <f>IF($P394="","",UPPER(TRIM(LEFT($P394&amp;",",FIND(",",$P394&amp;",")-1))))</f>
        <v/>
      </c>
      <c r="BD394">
        <f>IF($BC394="","",MID($BC394,4,FIND("~",SUBSTITUTE($BC394,"-","~",2))-4))</f>
        <v/>
      </c>
      <c r="BE394">
        <f>IF($BC394="","",MID($BC394,FIND("~",SUBSTITUTE($BC394,"-","~",2))+1,FIND("~",SUBSTITUTE($BC394,"-","~",3))-FIND("~",SUBSTITUTE($BC394,"-","~",2))-1))</f>
        <v/>
      </c>
      <c r="BF394">
        <f>IF($BD394="","",IFERROR(VLOOKUP($BD394,DECODE!$A$3:$C$8,3,FALSE),"?"))</f>
        <v/>
      </c>
      <c r="BG394">
        <f>IF($BE394="","",IFERROR(VLOOKUP($BD394&amp;"-"&amp;$BE394,DECODE!$E$3:$F$21,2,FALSE),"?"))</f>
        <v/>
      </c>
      <c r="BH394">
        <f>IF($BC394="","",IFERROR(VALUE(RIGHT($BC394,3)),""))</f>
        <v/>
      </c>
      <c r="BI394">
        <f>IF($V394="","",IFERROR(IF(ISNUMBER($V394),$V394,DATEVALUE(TRIM($V394))),""))</f>
        <v/>
      </c>
      <c r="BJ394">
        <f>IF($BI394="","",IF(MONTH($BI394)&gt;=12,"Cold Winter",IF(MONTH($BI394)&gt;=10,"Post-Monsoon",IF(MONTH($BI394)&gt;=6,"Hot Humid",IF(MONTH($BI394)&gt;=3,"Hot Dry","Cold Winter")))))</f>
        <v/>
      </c>
      <c r="BK394">
        <f>IF($BD394="","",IFERROR(VLOOKUP($BD394,DECODE!$A$3:$C$8,2,FALSE),"?"))</f>
        <v/>
      </c>
      <c r="BL394">
        <f>IF($Q394="","",UPPER(TRIM(LEFT($Q394&amp;",",FIND(",",$Q394&amp;",")-1))))</f>
        <v/>
      </c>
      <c r="BM394">
        <f>IF($BL394="","",MID($BL394,4,FIND("~",SUBSTITUTE($BL394,"-","~",2))-4))</f>
        <v/>
      </c>
      <c r="BN394">
        <f>IF($BL394="","",MID($BL394,FIND("~",SUBSTITUTE($BL394,"-","~",2))+1,FIND("~",SUBSTITUTE($BL394,"-","~",3))-FIND("~",SUBSTITUTE($BL394,"-","~",2))-1))</f>
        <v/>
      </c>
      <c r="BO394">
        <f>IF($BM394="","",IFERROR(VLOOKUP($BM394,DECODE!$A$3:$C$8,3,FALSE),"?"))</f>
        <v/>
      </c>
      <c r="BP394">
        <f>IF($BN394="","",IFERROR(VLOOKUP($BM394&amp;"-"&amp;$BN394,DECODE!$E$3:$F$21,2,FALSE),"?"))</f>
        <v/>
      </c>
      <c r="BQ394">
        <f>IF($BL394="","",IFERROR(VALUE(RIGHT($BL394,3)),""))</f>
        <v/>
      </c>
      <c r="BR394">
        <f>IF($W394="","",IFERROR(IF(ISNUMBER($W394),$W394,DATEVALUE(TRIM($W394))),""))</f>
        <v/>
      </c>
      <c r="BS394">
        <f>IF($BR394="","",IF(MONTH($BR394)&gt;=12,"Cold Winter",IF(MONTH($BR394)&gt;=10,"Post-Monsoon",IF(MONTH($BR394)&gt;=6,"Hot Humid",IF(MONTH($BR394)&gt;=3,"Hot Dry","Cold Winter")))))</f>
        <v/>
      </c>
      <c r="BT394">
        <f>IF($BM394="","",IFERROR(VLOOKUP($BM394,DECODE!$A$3:$C$8,2,FALSE),"?"))</f>
        <v/>
      </c>
      <c r="BU394">
        <f>IF($R394="","",UPPER(TRIM(LEFT($R394&amp;",",FIND(",",$R394&amp;",")-1))))</f>
        <v/>
      </c>
      <c r="BV394">
        <f>IF($BU394="","",MID($BU394,4,FIND("~",SUBSTITUTE($BU394,"-","~",2))-4))</f>
        <v/>
      </c>
      <c r="BW394">
        <f>IF($BU394="","",MID($BU394,FIND("~",SUBSTITUTE($BU394,"-","~",2))+1,FIND("~",SUBSTITUTE($BU394,"-","~",3))-FIND("~",SUBSTITUTE($BU394,"-","~",2))-1))</f>
        <v/>
      </c>
      <c r="BX394">
        <f>IF($BV394="","",IFERROR(VLOOKUP($BV394,DECODE!$A$3:$C$8,3,FALSE),"?"))</f>
        <v/>
      </c>
      <c r="BY394">
        <f>IF($BW394="","",IFERROR(VLOOKUP($BV394&amp;"-"&amp;$BW394,DECODE!$E$3:$F$21,2,FALSE),"?"))</f>
        <v/>
      </c>
      <c r="BZ394">
        <f>IF($BU394="","",IFERROR(VALUE(RIGHT($BU394,3)),""))</f>
        <v/>
      </c>
      <c r="CA394">
        <f>IF($X394="","",IFERROR(IF(ISNUMBER($X394),$X394,DATEVALUE(TRIM($X394))),""))</f>
        <v/>
      </c>
      <c r="CB394">
        <f>IF($CA394="","",IF(MONTH($CA394)&gt;=12,"Cold Winter",IF(MONTH($CA394)&gt;=10,"Post-Monsoon",IF(MONTH($CA394)&gt;=6,"Hot Humid",IF(MONTH($CA394)&gt;=3,"Hot Dry","Cold Winter")))))</f>
        <v/>
      </c>
      <c r="CC394">
        <f>IF($BV394="","",IFERROR(VLOOKUP($BV394,DECODE!$A$3:$C$8,2,FALSE),"?"))</f>
        <v/>
      </c>
      <c r="CD394">
        <f>IF($S394="","",UPPER(TRIM(LEFT($S394&amp;",",FIND(",",$S394&amp;",")-1))))</f>
        <v/>
      </c>
      <c r="CE394">
        <f>IF($CD394="","",MID($CD394,4,FIND("~",SUBSTITUTE($CD394,"-","~",2))-4))</f>
        <v/>
      </c>
      <c r="CF394">
        <f>IF($CD394="","",MID($CD394,FIND("~",SUBSTITUTE($CD394,"-","~",2))+1,FIND("~",SUBSTITUTE($CD394,"-","~",3))-FIND("~",SUBSTITUTE($CD394,"-","~",2))-1))</f>
        <v/>
      </c>
      <c r="CG394">
        <f>IF($CE394="","",IFERROR(VLOOKUP($CE394,DECODE!$A$3:$C$8,3,FALSE),"?"))</f>
        <v/>
      </c>
      <c r="CH394">
        <f>IF($CF394="","",IFERROR(VLOOKUP($CE394&amp;"-"&amp;$CF394,DECODE!$E$3:$F$21,2,FALSE),"?"))</f>
        <v/>
      </c>
      <c r="CI394">
        <f>IF($CD394="","",IFERROR(VALUE(RIGHT($CD394,3)),""))</f>
        <v/>
      </c>
      <c r="CJ394">
        <f>IF($Y394="","",IFERROR(IF(ISNUMBER($Y394),$Y394,DATEVALUE(TRIM($Y394))),""))</f>
        <v/>
      </c>
      <c r="CK394">
        <f>IF($CJ394="","",IF(MONTH($CJ394)&gt;=12,"Cold Winter",IF(MONTH($CJ394)&gt;=10,"Post-Monsoon",IF(MONTH($CJ394)&gt;=6,"Hot Humid",IF(MONTH($CJ394)&gt;=3,"Hot Dry","Cold Winter")))))</f>
        <v/>
      </c>
      <c r="CL394">
        <f>IF($CE394="","",IFERROR(VLOOKUP($CE394,DECODE!$A$3:$C$8,2,FALSE),"?"))</f>
        <v/>
      </c>
      <c r="CM394">
        <f>IF($AN394="","",AN394)</f>
        <v/>
      </c>
      <c r="CN394">
        <f>IF($AO394="","",AO394)</f>
        <v/>
      </c>
      <c r="CO394">
        <f>IF($AP394="","",AP394)</f>
        <v/>
      </c>
      <c r="CP394">
        <f>IF($CM394="","",IF($CM394="Aloe Vera Gel","Aloe Vera Gel "&amp;$CO394&amp;"g",CN394&amp;" "&amp;$CO394&amp;"g"))</f>
        <v/>
      </c>
      <c r="CQ394">
        <f>IF($AT394="",0,1)</f>
        <v/>
      </c>
      <c r="CR394">
        <f>IF($CQ394=0,"",AW394)</f>
        <v/>
      </c>
      <c r="CS394">
        <f>IF($CQ394=0,"",AX394)</f>
        <v/>
      </c>
      <c r="CT394">
        <f>IF($CQ394=0,"",AY394)</f>
        <v/>
      </c>
      <c r="CU394">
        <f>IF($CR394="","",IF($CR394="Aloe Vera Gel","Aloe Vera Gel "&amp;$CT394&amp;"g",CS394&amp;" "&amp;$CT394&amp;"g"))</f>
        <v/>
      </c>
      <c r="CV394">
        <f>IF($CQ394=0,"",IF($CP394=$CU394,"Repeat Exact",IF($CT394&gt;$CO394,"Upsized",IF($CT394&lt;$CO394,"Downsized",IF($CM394&lt;&gt;$CR394,"Lateral","Same Size Diff Variant")))))</f>
        <v/>
      </c>
      <c r="CW394">
        <f>IF($CQ394=0,"",AZ394-AQ394)</f>
        <v/>
      </c>
      <c r="CX394">
        <f>IF($CQ394=0,0,IF(CS394=CN394,1,0))</f>
        <v/>
      </c>
      <c r="CY394">
        <f>IF($CQ394=0,0,IF(CR394=CM394,1,0))</f>
        <v/>
      </c>
      <c r="CZ394">
        <f>IF($A394="","",IF(AND(IF(DASHBOARD!$C$4="All",TRUE,$CM394=DASHBOARD!$C$4),IF(DASHBOARD!$C$6="All",TRUE,$CP394=DASHBOARD!$C$6),IF(DASHBOARD!$C$8="All",TRUE,$AF394&gt;=DASHBOARD!$C$8),IF(DASHBOARD!$C$10="All",TRUE,$AF394&lt;=DASHBOARD!$C$10),IF(DASHBOARD!$C$12="All",TRUE,$AH394=VALUE(DASHBOARD!$C$12)),IF(DASHBOARD!$C$14="All",TRUE,$AJ394=DASHBOARD!$C$14)),1,0))</f>
        <v/>
      </c>
    </row>
    <row r="395">
      <c r="A395" t="n">
        <v>195938</v>
      </c>
      <c r="B395" t="inlineStr">
        <is>
          <t>Aloe Vera Gel</t>
        </is>
      </c>
      <c r="H395" t="inlineStr">
        <is>
          <t>Aloe Vera Gel - 40 gms</t>
        </is>
      </c>
      <c r="N395" t="inlineStr">
        <is>
          <t>FC-HG-PA-040</t>
        </is>
      </c>
      <c r="T395" t="inlineStr">
        <is>
          <t>Aug 19, 2024</t>
        </is>
      </c>
      <c r="AE395" t="inlineStr">
        <is>
          <t>Bengaluru</t>
        </is>
      </c>
      <c r="AF395" t="inlineStr">
        <is>
          <t>2024-08</t>
        </is>
      </c>
      <c r="AG395" t="n">
        <v>8</v>
      </c>
      <c r="AH395" t="n">
        <v>1</v>
      </c>
      <c r="AI395" t="n">
        <v>0</v>
      </c>
      <c r="AJ395">
        <f>IF($AE395="","",IFERROR(VLOOKUP(TRIM($AE395),DECODE!$H$3:$I$60,2,FALSE),"Rest of India"))</f>
        <v/>
      </c>
      <c r="AK395">
        <f>IF($N395="","",UPPER(TRIM(LEFT($N395&amp;",",FIND(",",$N395&amp;",")-1))))</f>
        <v/>
      </c>
      <c r="AL395">
        <f>IF($AK395="","",MID($AK395,4,FIND("~",SUBSTITUTE($AK395,"-","~",2))-4))</f>
        <v/>
      </c>
      <c r="AM395">
        <f>IF($AK395="","",MID($AK395,FIND("~",SUBSTITUTE($AK395,"-","~",2))+1,FIND("~",SUBSTITUTE($AK395,"-","~",3))-FIND("~",SUBSTITUTE($AK395,"-","~",2))-1))</f>
        <v/>
      </c>
      <c r="AN395">
        <f>IF($AL395="","",IFERROR(VLOOKUP($AL395,DECODE!$A$3:$C$8,3,FALSE),"?"))</f>
        <v/>
      </c>
      <c r="AO395">
        <f>IF($AM395="","",IFERROR(VLOOKUP($AL395&amp;"-"&amp;$AM395,DECODE!$E$3:$F$21,2,FALSE),"?"))</f>
        <v/>
      </c>
      <c r="AP395">
        <f>IF($AK395="","",IFERROR(VALUE(RIGHT($AK395,3)),""))</f>
        <v/>
      </c>
      <c r="AQ395">
        <f>IF($T395="","",IFERROR(IF(ISNUMBER($T395),$T395,DATEVALUE(TRIM($T395))),""))</f>
        <v/>
      </c>
      <c r="AR395">
        <f>IF($AQ395="","",IF(MONTH($AQ395)&gt;=12,"Cold Winter",IF(MONTH($AQ395)&gt;=10,"Post-Monsoon",IF(MONTH($AQ395)&gt;=6,"Hot Humid",IF(MONTH($AQ395)&gt;=3,"Hot Dry","Cold Winter")))))</f>
        <v/>
      </c>
      <c r="AS395">
        <f>IF($AL395="","",IFERROR(VLOOKUP($AL395,DECODE!$A$3:$C$8,2,FALSE),"?"))</f>
        <v/>
      </c>
      <c r="AT395">
        <f>IF($O395="","",UPPER(TRIM(LEFT($O395&amp;",",FIND(",",$O395&amp;",")-1))))</f>
        <v/>
      </c>
      <c r="AU395">
        <f>IF($AT395="","",MID($AT395,4,FIND("~",SUBSTITUTE($AT395,"-","~",2))-4))</f>
        <v/>
      </c>
      <c r="AV395">
        <f>IF($AT395="","",MID($AT395,FIND("~",SUBSTITUTE($AT395,"-","~",2))+1,FIND("~",SUBSTITUTE($AT395,"-","~",3))-FIND("~",SUBSTITUTE($AT395,"-","~",2))-1))</f>
        <v/>
      </c>
      <c r="AW395">
        <f>IF($AU395="","",IFERROR(VLOOKUP($AU395,DECODE!$A$3:$C$8,3,FALSE),"?"))</f>
        <v/>
      </c>
      <c r="AX395">
        <f>IF($AV395="","",IFERROR(VLOOKUP($AU395&amp;"-"&amp;$AV395,DECODE!$E$3:$F$21,2,FALSE),"?"))</f>
        <v/>
      </c>
      <c r="AY395">
        <f>IF($AT395="","",IFERROR(VALUE(RIGHT($AT395,3)),""))</f>
        <v/>
      </c>
      <c r="AZ395">
        <f>IF($U395="","",IFERROR(IF(ISNUMBER($U395),$U395,DATEVALUE(TRIM($U395))),""))</f>
        <v/>
      </c>
      <c r="BA395">
        <f>IF($AZ395="","",IF(MONTH($AZ395)&gt;=12,"Cold Winter",IF(MONTH($AZ395)&gt;=10,"Post-Monsoon",IF(MONTH($AZ395)&gt;=6,"Hot Humid",IF(MONTH($AZ395)&gt;=3,"Hot Dry","Cold Winter")))))</f>
        <v/>
      </c>
      <c r="BB395">
        <f>IF($AU395="","",IFERROR(VLOOKUP($AU395,DECODE!$A$3:$C$8,2,FALSE),"?"))</f>
        <v/>
      </c>
      <c r="BC395">
        <f>IF($P395="","",UPPER(TRIM(LEFT($P395&amp;",",FIND(",",$P395&amp;",")-1))))</f>
        <v/>
      </c>
      <c r="BD395">
        <f>IF($BC395="","",MID($BC395,4,FIND("~",SUBSTITUTE($BC395,"-","~",2))-4))</f>
        <v/>
      </c>
      <c r="BE395">
        <f>IF($BC395="","",MID($BC395,FIND("~",SUBSTITUTE($BC395,"-","~",2))+1,FIND("~",SUBSTITUTE($BC395,"-","~",3))-FIND("~",SUBSTITUTE($BC395,"-","~",2))-1))</f>
        <v/>
      </c>
      <c r="BF395">
        <f>IF($BD395="","",IFERROR(VLOOKUP($BD395,DECODE!$A$3:$C$8,3,FALSE),"?"))</f>
        <v/>
      </c>
      <c r="BG395">
        <f>IF($BE395="","",IFERROR(VLOOKUP($BD395&amp;"-"&amp;$BE395,DECODE!$E$3:$F$21,2,FALSE),"?"))</f>
        <v/>
      </c>
      <c r="BH395">
        <f>IF($BC395="","",IFERROR(VALUE(RIGHT($BC395,3)),""))</f>
        <v/>
      </c>
      <c r="BI395">
        <f>IF($V395="","",IFERROR(IF(ISNUMBER($V395),$V395,DATEVALUE(TRIM($V395))),""))</f>
        <v/>
      </c>
      <c r="BJ395">
        <f>IF($BI395="","",IF(MONTH($BI395)&gt;=12,"Cold Winter",IF(MONTH($BI395)&gt;=10,"Post-Monsoon",IF(MONTH($BI395)&gt;=6,"Hot Humid",IF(MONTH($BI395)&gt;=3,"Hot Dry","Cold Winter")))))</f>
        <v/>
      </c>
      <c r="BK395">
        <f>IF($BD395="","",IFERROR(VLOOKUP($BD395,DECODE!$A$3:$C$8,2,FALSE),"?"))</f>
        <v/>
      </c>
      <c r="BL395">
        <f>IF($Q395="","",UPPER(TRIM(LEFT($Q395&amp;",",FIND(",",$Q395&amp;",")-1))))</f>
        <v/>
      </c>
      <c r="BM395">
        <f>IF($BL395="","",MID($BL395,4,FIND("~",SUBSTITUTE($BL395,"-","~",2))-4))</f>
        <v/>
      </c>
      <c r="BN395">
        <f>IF($BL395="","",MID($BL395,FIND("~",SUBSTITUTE($BL395,"-","~",2))+1,FIND("~",SUBSTITUTE($BL395,"-","~",3))-FIND("~",SUBSTITUTE($BL395,"-","~",2))-1))</f>
        <v/>
      </c>
      <c r="BO395">
        <f>IF($BM395="","",IFERROR(VLOOKUP($BM395,DECODE!$A$3:$C$8,3,FALSE),"?"))</f>
        <v/>
      </c>
      <c r="BP395">
        <f>IF($BN395="","",IFERROR(VLOOKUP($BM395&amp;"-"&amp;$BN395,DECODE!$E$3:$F$21,2,FALSE),"?"))</f>
        <v/>
      </c>
      <c r="BQ395">
        <f>IF($BL395="","",IFERROR(VALUE(RIGHT($BL395,3)),""))</f>
        <v/>
      </c>
      <c r="BR395">
        <f>IF($W395="","",IFERROR(IF(ISNUMBER($W395),$W395,DATEVALUE(TRIM($W395))),""))</f>
        <v/>
      </c>
      <c r="BS395">
        <f>IF($BR395="","",IF(MONTH($BR395)&gt;=12,"Cold Winter",IF(MONTH($BR395)&gt;=10,"Post-Monsoon",IF(MONTH($BR395)&gt;=6,"Hot Humid",IF(MONTH($BR395)&gt;=3,"Hot Dry","Cold Winter")))))</f>
        <v/>
      </c>
      <c r="BT395">
        <f>IF($BM395="","",IFERROR(VLOOKUP($BM395,DECODE!$A$3:$C$8,2,FALSE),"?"))</f>
        <v/>
      </c>
      <c r="BU395">
        <f>IF($R395="","",UPPER(TRIM(LEFT($R395&amp;",",FIND(",",$R395&amp;",")-1))))</f>
        <v/>
      </c>
      <c r="BV395">
        <f>IF($BU395="","",MID($BU395,4,FIND("~",SUBSTITUTE($BU395,"-","~",2))-4))</f>
        <v/>
      </c>
      <c r="BW395">
        <f>IF($BU395="","",MID($BU395,FIND("~",SUBSTITUTE($BU395,"-","~",2))+1,FIND("~",SUBSTITUTE($BU395,"-","~",3))-FIND("~",SUBSTITUTE($BU395,"-","~",2))-1))</f>
        <v/>
      </c>
      <c r="BX395">
        <f>IF($BV395="","",IFERROR(VLOOKUP($BV395,DECODE!$A$3:$C$8,3,FALSE),"?"))</f>
        <v/>
      </c>
      <c r="BY395">
        <f>IF($BW395="","",IFERROR(VLOOKUP($BV395&amp;"-"&amp;$BW395,DECODE!$E$3:$F$21,2,FALSE),"?"))</f>
        <v/>
      </c>
      <c r="BZ395">
        <f>IF($BU395="","",IFERROR(VALUE(RIGHT($BU395,3)),""))</f>
        <v/>
      </c>
      <c r="CA395">
        <f>IF($X395="","",IFERROR(IF(ISNUMBER($X395),$X395,DATEVALUE(TRIM($X395))),""))</f>
        <v/>
      </c>
      <c r="CB395">
        <f>IF($CA395="","",IF(MONTH($CA395)&gt;=12,"Cold Winter",IF(MONTH($CA395)&gt;=10,"Post-Monsoon",IF(MONTH($CA395)&gt;=6,"Hot Humid",IF(MONTH($CA395)&gt;=3,"Hot Dry","Cold Winter")))))</f>
        <v/>
      </c>
      <c r="CC395">
        <f>IF($BV395="","",IFERROR(VLOOKUP($BV395,DECODE!$A$3:$C$8,2,FALSE),"?"))</f>
        <v/>
      </c>
      <c r="CD395">
        <f>IF($S395="","",UPPER(TRIM(LEFT($S395&amp;",",FIND(",",$S395&amp;",")-1))))</f>
        <v/>
      </c>
      <c r="CE395">
        <f>IF($CD395="","",MID($CD395,4,FIND("~",SUBSTITUTE($CD395,"-","~",2))-4))</f>
        <v/>
      </c>
      <c r="CF395">
        <f>IF($CD395="","",MID($CD395,FIND("~",SUBSTITUTE($CD395,"-","~",2))+1,FIND("~",SUBSTITUTE($CD395,"-","~",3))-FIND("~",SUBSTITUTE($CD395,"-","~",2))-1))</f>
        <v/>
      </c>
      <c r="CG395">
        <f>IF($CE395="","",IFERROR(VLOOKUP($CE395,DECODE!$A$3:$C$8,3,FALSE),"?"))</f>
        <v/>
      </c>
      <c r="CH395">
        <f>IF($CF395="","",IFERROR(VLOOKUP($CE395&amp;"-"&amp;$CF395,DECODE!$E$3:$F$21,2,FALSE),"?"))</f>
        <v/>
      </c>
      <c r="CI395">
        <f>IF($CD395="","",IFERROR(VALUE(RIGHT($CD395,3)),""))</f>
        <v/>
      </c>
      <c r="CJ395">
        <f>IF($Y395="","",IFERROR(IF(ISNUMBER($Y395),$Y395,DATEVALUE(TRIM($Y395))),""))</f>
        <v/>
      </c>
      <c r="CK395">
        <f>IF($CJ395="","",IF(MONTH($CJ395)&gt;=12,"Cold Winter",IF(MONTH($CJ395)&gt;=10,"Post-Monsoon",IF(MONTH($CJ395)&gt;=6,"Hot Humid",IF(MONTH($CJ395)&gt;=3,"Hot Dry","Cold Winter")))))</f>
        <v/>
      </c>
      <c r="CL395">
        <f>IF($CE395="","",IFERROR(VLOOKUP($CE395,DECODE!$A$3:$C$8,2,FALSE),"?"))</f>
        <v/>
      </c>
      <c r="CM395">
        <f>IF($AN395="","",AN395)</f>
        <v/>
      </c>
      <c r="CN395">
        <f>IF($AO395="","",AO395)</f>
        <v/>
      </c>
      <c r="CO395">
        <f>IF($AP395="","",AP395)</f>
        <v/>
      </c>
      <c r="CP395">
        <f>IF($CM395="","",IF($CM395="Aloe Vera Gel","Aloe Vera Gel "&amp;$CO395&amp;"g",CN395&amp;" "&amp;$CO395&amp;"g"))</f>
        <v/>
      </c>
      <c r="CQ395">
        <f>IF($AT395="",0,1)</f>
        <v/>
      </c>
      <c r="CR395">
        <f>IF($CQ395=0,"",AW395)</f>
        <v/>
      </c>
      <c r="CS395">
        <f>IF($CQ395=0,"",AX395)</f>
        <v/>
      </c>
      <c r="CT395">
        <f>IF($CQ395=0,"",AY395)</f>
        <v/>
      </c>
      <c r="CU395">
        <f>IF($CR395="","",IF($CR395="Aloe Vera Gel","Aloe Vera Gel "&amp;$CT395&amp;"g",CS395&amp;" "&amp;$CT395&amp;"g"))</f>
        <v/>
      </c>
      <c r="CV395">
        <f>IF($CQ395=0,"",IF($CP395=$CU395,"Repeat Exact",IF($CT395&gt;$CO395,"Upsized",IF($CT395&lt;$CO395,"Downsized",IF($CM395&lt;&gt;$CR395,"Lateral","Same Size Diff Variant")))))</f>
        <v/>
      </c>
      <c r="CW395">
        <f>IF($CQ395=0,"",AZ395-AQ395)</f>
        <v/>
      </c>
      <c r="CX395">
        <f>IF($CQ395=0,0,IF(CS395=CN395,1,0))</f>
        <v/>
      </c>
      <c r="CY395">
        <f>IF($CQ395=0,0,IF(CR395=CM395,1,0))</f>
        <v/>
      </c>
      <c r="CZ395">
        <f>IF($A395="","",IF(AND(IF(DASHBOARD!$C$4="All",TRUE,$CM395=DASHBOARD!$C$4),IF(DASHBOARD!$C$6="All",TRUE,$CP395=DASHBOARD!$C$6),IF(DASHBOARD!$C$8="All",TRUE,$AF395&gt;=DASHBOARD!$C$8),IF(DASHBOARD!$C$10="All",TRUE,$AF395&lt;=DASHBOARD!$C$10),IF(DASHBOARD!$C$12="All",TRUE,$AH395=VALUE(DASHBOARD!$C$12)),IF(DASHBOARD!$C$14="All",TRUE,$AJ395=DASHBOARD!$C$14)),1,0))</f>
        <v/>
      </c>
    </row>
    <row r="396">
      <c r="A396" t="n">
        <v>195944</v>
      </c>
      <c r="B396" t="inlineStr">
        <is>
          <t>Aloe Vera Gel</t>
        </is>
      </c>
      <c r="H396" t="inlineStr">
        <is>
          <t>Aloe Vera Gel - 40 gms</t>
        </is>
      </c>
      <c r="N396" t="inlineStr">
        <is>
          <t>FC-HG-PA-040</t>
        </is>
      </c>
      <c r="T396" t="inlineStr">
        <is>
          <t>Feb 21, 2024</t>
        </is>
      </c>
      <c r="AE396" t="inlineStr">
        <is>
          <t>Chennai</t>
        </is>
      </c>
      <c r="AF396" t="inlineStr">
        <is>
          <t>2024-02</t>
        </is>
      </c>
      <c r="AG396" t="n">
        <v>2</v>
      </c>
      <c r="AH396" t="n">
        <v>1</v>
      </c>
      <c r="AI396" t="n">
        <v>0</v>
      </c>
      <c r="AJ396">
        <f>IF($AE396="","",IFERROR(VLOOKUP(TRIM($AE396),DECODE!$H$3:$I$60,2,FALSE),"Rest of India"))</f>
        <v/>
      </c>
      <c r="AK396">
        <f>IF($N396="","",UPPER(TRIM(LEFT($N396&amp;",",FIND(",",$N396&amp;",")-1))))</f>
        <v/>
      </c>
      <c r="AL396">
        <f>IF($AK396="","",MID($AK396,4,FIND("~",SUBSTITUTE($AK396,"-","~",2))-4))</f>
        <v/>
      </c>
      <c r="AM396">
        <f>IF($AK396="","",MID($AK396,FIND("~",SUBSTITUTE($AK396,"-","~",2))+1,FIND("~",SUBSTITUTE($AK396,"-","~",3))-FIND("~",SUBSTITUTE($AK396,"-","~",2))-1))</f>
        <v/>
      </c>
      <c r="AN396">
        <f>IF($AL396="","",IFERROR(VLOOKUP($AL396,DECODE!$A$3:$C$8,3,FALSE),"?"))</f>
        <v/>
      </c>
      <c r="AO396">
        <f>IF($AM396="","",IFERROR(VLOOKUP($AL396&amp;"-"&amp;$AM396,DECODE!$E$3:$F$21,2,FALSE),"?"))</f>
        <v/>
      </c>
      <c r="AP396">
        <f>IF($AK396="","",IFERROR(VALUE(RIGHT($AK396,3)),""))</f>
        <v/>
      </c>
      <c r="AQ396">
        <f>IF($T396="","",IFERROR(IF(ISNUMBER($T396),$T396,DATEVALUE(TRIM($T396))),""))</f>
        <v/>
      </c>
      <c r="AR396">
        <f>IF($AQ396="","",IF(MONTH($AQ396)&gt;=12,"Cold Winter",IF(MONTH($AQ396)&gt;=10,"Post-Monsoon",IF(MONTH($AQ396)&gt;=6,"Hot Humid",IF(MONTH($AQ396)&gt;=3,"Hot Dry","Cold Winter")))))</f>
        <v/>
      </c>
      <c r="AS396">
        <f>IF($AL396="","",IFERROR(VLOOKUP($AL396,DECODE!$A$3:$C$8,2,FALSE),"?"))</f>
        <v/>
      </c>
      <c r="AT396">
        <f>IF($O396="","",UPPER(TRIM(LEFT($O396&amp;",",FIND(",",$O396&amp;",")-1))))</f>
        <v/>
      </c>
      <c r="AU396">
        <f>IF($AT396="","",MID($AT396,4,FIND("~",SUBSTITUTE($AT396,"-","~",2))-4))</f>
        <v/>
      </c>
      <c r="AV396">
        <f>IF($AT396="","",MID($AT396,FIND("~",SUBSTITUTE($AT396,"-","~",2))+1,FIND("~",SUBSTITUTE($AT396,"-","~",3))-FIND("~",SUBSTITUTE($AT396,"-","~",2))-1))</f>
        <v/>
      </c>
      <c r="AW396">
        <f>IF($AU396="","",IFERROR(VLOOKUP($AU396,DECODE!$A$3:$C$8,3,FALSE),"?"))</f>
        <v/>
      </c>
      <c r="AX396">
        <f>IF($AV396="","",IFERROR(VLOOKUP($AU396&amp;"-"&amp;$AV396,DECODE!$E$3:$F$21,2,FALSE),"?"))</f>
        <v/>
      </c>
      <c r="AY396">
        <f>IF($AT396="","",IFERROR(VALUE(RIGHT($AT396,3)),""))</f>
        <v/>
      </c>
      <c r="AZ396">
        <f>IF($U396="","",IFERROR(IF(ISNUMBER($U396),$U396,DATEVALUE(TRIM($U396))),""))</f>
        <v/>
      </c>
      <c r="BA396">
        <f>IF($AZ396="","",IF(MONTH($AZ396)&gt;=12,"Cold Winter",IF(MONTH($AZ396)&gt;=10,"Post-Monsoon",IF(MONTH($AZ396)&gt;=6,"Hot Humid",IF(MONTH($AZ396)&gt;=3,"Hot Dry","Cold Winter")))))</f>
        <v/>
      </c>
      <c r="BB396">
        <f>IF($AU396="","",IFERROR(VLOOKUP($AU396,DECODE!$A$3:$C$8,2,FALSE),"?"))</f>
        <v/>
      </c>
      <c r="BC396">
        <f>IF($P396="","",UPPER(TRIM(LEFT($P396&amp;",",FIND(",",$P396&amp;",")-1))))</f>
        <v/>
      </c>
      <c r="BD396">
        <f>IF($BC396="","",MID($BC396,4,FIND("~",SUBSTITUTE($BC396,"-","~",2))-4))</f>
        <v/>
      </c>
      <c r="BE396">
        <f>IF($BC396="","",MID($BC396,FIND("~",SUBSTITUTE($BC396,"-","~",2))+1,FIND("~",SUBSTITUTE($BC396,"-","~",3))-FIND("~",SUBSTITUTE($BC396,"-","~",2))-1))</f>
        <v/>
      </c>
      <c r="BF396">
        <f>IF($BD396="","",IFERROR(VLOOKUP($BD396,DECODE!$A$3:$C$8,3,FALSE),"?"))</f>
        <v/>
      </c>
      <c r="BG396">
        <f>IF($BE396="","",IFERROR(VLOOKUP($BD396&amp;"-"&amp;$BE396,DECODE!$E$3:$F$21,2,FALSE),"?"))</f>
        <v/>
      </c>
      <c r="BH396">
        <f>IF($BC396="","",IFERROR(VALUE(RIGHT($BC396,3)),""))</f>
        <v/>
      </c>
      <c r="BI396">
        <f>IF($V396="","",IFERROR(IF(ISNUMBER($V396),$V396,DATEVALUE(TRIM($V396))),""))</f>
        <v/>
      </c>
      <c r="BJ396">
        <f>IF($BI396="","",IF(MONTH($BI396)&gt;=12,"Cold Winter",IF(MONTH($BI396)&gt;=10,"Post-Monsoon",IF(MONTH($BI396)&gt;=6,"Hot Humid",IF(MONTH($BI396)&gt;=3,"Hot Dry","Cold Winter")))))</f>
        <v/>
      </c>
      <c r="BK396">
        <f>IF($BD396="","",IFERROR(VLOOKUP($BD396,DECODE!$A$3:$C$8,2,FALSE),"?"))</f>
        <v/>
      </c>
      <c r="BL396">
        <f>IF($Q396="","",UPPER(TRIM(LEFT($Q396&amp;",",FIND(",",$Q396&amp;",")-1))))</f>
        <v/>
      </c>
      <c r="BM396">
        <f>IF($BL396="","",MID($BL396,4,FIND("~",SUBSTITUTE($BL396,"-","~",2))-4))</f>
        <v/>
      </c>
      <c r="BN396">
        <f>IF($BL396="","",MID($BL396,FIND("~",SUBSTITUTE($BL396,"-","~",2))+1,FIND("~",SUBSTITUTE($BL396,"-","~",3))-FIND("~",SUBSTITUTE($BL396,"-","~",2))-1))</f>
        <v/>
      </c>
      <c r="BO396">
        <f>IF($BM396="","",IFERROR(VLOOKUP($BM396,DECODE!$A$3:$C$8,3,FALSE),"?"))</f>
        <v/>
      </c>
      <c r="BP396">
        <f>IF($BN396="","",IFERROR(VLOOKUP($BM396&amp;"-"&amp;$BN396,DECODE!$E$3:$F$21,2,FALSE),"?"))</f>
        <v/>
      </c>
      <c r="BQ396">
        <f>IF($BL396="","",IFERROR(VALUE(RIGHT($BL396,3)),""))</f>
        <v/>
      </c>
      <c r="BR396">
        <f>IF($W396="","",IFERROR(IF(ISNUMBER($W396),$W396,DATEVALUE(TRIM($W396))),""))</f>
        <v/>
      </c>
      <c r="BS396">
        <f>IF($BR396="","",IF(MONTH($BR396)&gt;=12,"Cold Winter",IF(MONTH($BR396)&gt;=10,"Post-Monsoon",IF(MONTH($BR396)&gt;=6,"Hot Humid",IF(MONTH($BR396)&gt;=3,"Hot Dry","Cold Winter")))))</f>
        <v/>
      </c>
      <c r="BT396">
        <f>IF($BM396="","",IFERROR(VLOOKUP($BM396,DECODE!$A$3:$C$8,2,FALSE),"?"))</f>
        <v/>
      </c>
      <c r="BU396">
        <f>IF($R396="","",UPPER(TRIM(LEFT($R396&amp;",",FIND(",",$R396&amp;",")-1))))</f>
        <v/>
      </c>
      <c r="BV396">
        <f>IF($BU396="","",MID($BU396,4,FIND("~",SUBSTITUTE($BU396,"-","~",2))-4))</f>
        <v/>
      </c>
      <c r="BW396">
        <f>IF($BU396="","",MID($BU396,FIND("~",SUBSTITUTE($BU396,"-","~",2))+1,FIND("~",SUBSTITUTE($BU396,"-","~",3))-FIND("~",SUBSTITUTE($BU396,"-","~",2))-1))</f>
        <v/>
      </c>
      <c r="BX396">
        <f>IF($BV396="","",IFERROR(VLOOKUP($BV396,DECODE!$A$3:$C$8,3,FALSE),"?"))</f>
        <v/>
      </c>
      <c r="BY396">
        <f>IF($BW396="","",IFERROR(VLOOKUP($BV396&amp;"-"&amp;$BW396,DECODE!$E$3:$F$21,2,FALSE),"?"))</f>
        <v/>
      </c>
      <c r="BZ396">
        <f>IF($BU396="","",IFERROR(VALUE(RIGHT($BU396,3)),""))</f>
        <v/>
      </c>
      <c r="CA396">
        <f>IF($X396="","",IFERROR(IF(ISNUMBER($X396),$X396,DATEVALUE(TRIM($X396))),""))</f>
        <v/>
      </c>
      <c r="CB396">
        <f>IF($CA396="","",IF(MONTH($CA396)&gt;=12,"Cold Winter",IF(MONTH($CA396)&gt;=10,"Post-Monsoon",IF(MONTH($CA396)&gt;=6,"Hot Humid",IF(MONTH($CA396)&gt;=3,"Hot Dry","Cold Winter")))))</f>
        <v/>
      </c>
      <c r="CC396">
        <f>IF($BV396="","",IFERROR(VLOOKUP($BV396,DECODE!$A$3:$C$8,2,FALSE),"?"))</f>
        <v/>
      </c>
      <c r="CD396">
        <f>IF($S396="","",UPPER(TRIM(LEFT($S396&amp;",",FIND(",",$S396&amp;",")-1))))</f>
        <v/>
      </c>
      <c r="CE396">
        <f>IF($CD396="","",MID($CD396,4,FIND("~",SUBSTITUTE($CD396,"-","~",2))-4))</f>
        <v/>
      </c>
      <c r="CF396">
        <f>IF($CD396="","",MID($CD396,FIND("~",SUBSTITUTE($CD396,"-","~",2))+1,FIND("~",SUBSTITUTE($CD396,"-","~",3))-FIND("~",SUBSTITUTE($CD396,"-","~",2))-1))</f>
        <v/>
      </c>
      <c r="CG396">
        <f>IF($CE396="","",IFERROR(VLOOKUP($CE396,DECODE!$A$3:$C$8,3,FALSE),"?"))</f>
        <v/>
      </c>
      <c r="CH396">
        <f>IF($CF396="","",IFERROR(VLOOKUP($CE396&amp;"-"&amp;$CF396,DECODE!$E$3:$F$21,2,FALSE),"?"))</f>
        <v/>
      </c>
      <c r="CI396">
        <f>IF($CD396="","",IFERROR(VALUE(RIGHT($CD396,3)),""))</f>
        <v/>
      </c>
      <c r="CJ396">
        <f>IF($Y396="","",IFERROR(IF(ISNUMBER($Y396),$Y396,DATEVALUE(TRIM($Y396))),""))</f>
        <v/>
      </c>
      <c r="CK396">
        <f>IF($CJ396="","",IF(MONTH($CJ396)&gt;=12,"Cold Winter",IF(MONTH($CJ396)&gt;=10,"Post-Monsoon",IF(MONTH($CJ396)&gt;=6,"Hot Humid",IF(MONTH($CJ396)&gt;=3,"Hot Dry","Cold Winter")))))</f>
        <v/>
      </c>
      <c r="CL396">
        <f>IF($CE396="","",IFERROR(VLOOKUP($CE396,DECODE!$A$3:$C$8,2,FALSE),"?"))</f>
        <v/>
      </c>
      <c r="CM396">
        <f>IF($AN396="","",AN396)</f>
        <v/>
      </c>
      <c r="CN396">
        <f>IF($AO396="","",AO396)</f>
        <v/>
      </c>
      <c r="CO396">
        <f>IF($AP396="","",AP396)</f>
        <v/>
      </c>
      <c r="CP396">
        <f>IF($CM396="","",IF($CM396="Aloe Vera Gel","Aloe Vera Gel "&amp;$CO396&amp;"g",CN396&amp;" "&amp;$CO396&amp;"g"))</f>
        <v/>
      </c>
      <c r="CQ396">
        <f>IF($AT396="",0,1)</f>
        <v/>
      </c>
      <c r="CR396">
        <f>IF($CQ396=0,"",AW396)</f>
        <v/>
      </c>
      <c r="CS396">
        <f>IF($CQ396=0,"",AX396)</f>
        <v/>
      </c>
      <c r="CT396">
        <f>IF($CQ396=0,"",AY396)</f>
        <v/>
      </c>
      <c r="CU396">
        <f>IF($CR396="","",IF($CR396="Aloe Vera Gel","Aloe Vera Gel "&amp;$CT396&amp;"g",CS396&amp;" "&amp;$CT396&amp;"g"))</f>
        <v/>
      </c>
      <c r="CV396">
        <f>IF($CQ396=0,"",IF($CP396=$CU396,"Repeat Exact",IF($CT396&gt;$CO396,"Upsized",IF($CT396&lt;$CO396,"Downsized",IF($CM396&lt;&gt;$CR396,"Lateral","Same Size Diff Variant")))))</f>
        <v/>
      </c>
      <c r="CW396">
        <f>IF($CQ396=0,"",AZ396-AQ396)</f>
        <v/>
      </c>
      <c r="CX396">
        <f>IF($CQ396=0,0,IF(CS396=CN396,1,0))</f>
        <v/>
      </c>
      <c r="CY396">
        <f>IF($CQ396=0,0,IF(CR396=CM396,1,0))</f>
        <v/>
      </c>
      <c r="CZ396">
        <f>IF($A396="","",IF(AND(IF(DASHBOARD!$C$4="All",TRUE,$CM396=DASHBOARD!$C$4),IF(DASHBOARD!$C$6="All",TRUE,$CP396=DASHBOARD!$C$6),IF(DASHBOARD!$C$8="All",TRUE,$AF396&gt;=DASHBOARD!$C$8),IF(DASHBOARD!$C$10="All",TRUE,$AF396&lt;=DASHBOARD!$C$10),IF(DASHBOARD!$C$12="All",TRUE,$AH396=VALUE(DASHBOARD!$C$12)),IF(DASHBOARD!$C$14="All",TRUE,$AJ396=DASHBOARD!$C$14)),1,0))</f>
        <v/>
      </c>
    </row>
    <row r="397">
      <c r="A397" t="n">
        <v>196026</v>
      </c>
      <c r="B397" t="inlineStr">
        <is>
          <t>Active Gel</t>
        </is>
      </c>
      <c r="H397" t="inlineStr">
        <is>
          <t>Active Neem TeaTree Gel</t>
        </is>
      </c>
      <c r="N397" t="inlineStr">
        <is>
          <t>FC-AC-NT-050</t>
        </is>
      </c>
      <c r="T397" t="inlineStr">
        <is>
          <t>Oct 27, 2024</t>
        </is>
      </c>
      <c r="AE397" t="inlineStr">
        <is>
          <t>Bengaluru</t>
        </is>
      </c>
      <c r="AF397" t="inlineStr">
        <is>
          <t>2024-10</t>
        </is>
      </c>
      <c r="AG397" t="n">
        <v>10</v>
      </c>
      <c r="AH397" t="n">
        <v>1</v>
      </c>
      <c r="AI397" t="n">
        <v>0</v>
      </c>
      <c r="AJ397">
        <f>IF($AE397="","",IFERROR(VLOOKUP(TRIM($AE397),DECODE!$H$3:$I$60,2,FALSE),"Rest of India"))</f>
        <v/>
      </c>
      <c r="AK397">
        <f>IF($N397="","",UPPER(TRIM(LEFT($N397&amp;",",FIND(",",$N397&amp;",")-1))))</f>
        <v/>
      </c>
      <c r="AL397">
        <f>IF($AK397="","",MID($AK397,4,FIND("~",SUBSTITUTE($AK397,"-","~",2))-4))</f>
        <v/>
      </c>
      <c r="AM397">
        <f>IF($AK397="","",MID($AK397,FIND("~",SUBSTITUTE($AK397,"-","~",2))+1,FIND("~",SUBSTITUTE($AK397,"-","~",3))-FIND("~",SUBSTITUTE($AK397,"-","~",2))-1))</f>
        <v/>
      </c>
      <c r="AN397">
        <f>IF($AL397="","",IFERROR(VLOOKUP($AL397,DECODE!$A$3:$C$8,3,FALSE),"?"))</f>
        <v/>
      </c>
      <c r="AO397">
        <f>IF($AM397="","",IFERROR(VLOOKUP($AL397&amp;"-"&amp;$AM397,DECODE!$E$3:$F$21,2,FALSE),"?"))</f>
        <v/>
      </c>
      <c r="AP397">
        <f>IF($AK397="","",IFERROR(VALUE(RIGHT($AK397,3)),""))</f>
        <v/>
      </c>
      <c r="AQ397">
        <f>IF($T397="","",IFERROR(IF(ISNUMBER($T397),$T397,DATEVALUE(TRIM($T397))),""))</f>
        <v/>
      </c>
      <c r="AR397">
        <f>IF($AQ397="","",IF(MONTH($AQ397)&gt;=12,"Cold Winter",IF(MONTH($AQ397)&gt;=10,"Post-Monsoon",IF(MONTH($AQ397)&gt;=6,"Hot Humid",IF(MONTH($AQ397)&gt;=3,"Hot Dry","Cold Winter")))))</f>
        <v/>
      </c>
      <c r="AS397">
        <f>IF($AL397="","",IFERROR(VLOOKUP($AL397,DECODE!$A$3:$C$8,2,FALSE),"?"))</f>
        <v/>
      </c>
      <c r="AT397">
        <f>IF($O397="","",UPPER(TRIM(LEFT($O397&amp;",",FIND(",",$O397&amp;",")-1))))</f>
        <v/>
      </c>
      <c r="AU397">
        <f>IF($AT397="","",MID($AT397,4,FIND("~",SUBSTITUTE($AT397,"-","~",2))-4))</f>
        <v/>
      </c>
      <c r="AV397">
        <f>IF($AT397="","",MID($AT397,FIND("~",SUBSTITUTE($AT397,"-","~",2))+1,FIND("~",SUBSTITUTE($AT397,"-","~",3))-FIND("~",SUBSTITUTE($AT397,"-","~",2))-1))</f>
        <v/>
      </c>
      <c r="AW397">
        <f>IF($AU397="","",IFERROR(VLOOKUP($AU397,DECODE!$A$3:$C$8,3,FALSE),"?"))</f>
        <v/>
      </c>
      <c r="AX397">
        <f>IF($AV397="","",IFERROR(VLOOKUP($AU397&amp;"-"&amp;$AV397,DECODE!$E$3:$F$21,2,FALSE),"?"))</f>
        <v/>
      </c>
      <c r="AY397">
        <f>IF($AT397="","",IFERROR(VALUE(RIGHT($AT397,3)),""))</f>
        <v/>
      </c>
      <c r="AZ397">
        <f>IF($U397="","",IFERROR(IF(ISNUMBER($U397),$U397,DATEVALUE(TRIM($U397))),""))</f>
        <v/>
      </c>
      <c r="BA397">
        <f>IF($AZ397="","",IF(MONTH($AZ397)&gt;=12,"Cold Winter",IF(MONTH($AZ397)&gt;=10,"Post-Monsoon",IF(MONTH($AZ397)&gt;=6,"Hot Humid",IF(MONTH($AZ397)&gt;=3,"Hot Dry","Cold Winter")))))</f>
        <v/>
      </c>
      <c r="BB397">
        <f>IF($AU397="","",IFERROR(VLOOKUP($AU397,DECODE!$A$3:$C$8,2,FALSE),"?"))</f>
        <v/>
      </c>
      <c r="BC397">
        <f>IF($P397="","",UPPER(TRIM(LEFT($P397&amp;",",FIND(",",$P397&amp;",")-1))))</f>
        <v/>
      </c>
      <c r="BD397">
        <f>IF($BC397="","",MID($BC397,4,FIND("~",SUBSTITUTE($BC397,"-","~",2))-4))</f>
        <v/>
      </c>
      <c r="BE397">
        <f>IF($BC397="","",MID($BC397,FIND("~",SUBSTITUTE($BC397,"-","~",2))+1,FIND("~",SUBSTITUTE($BC397,"-","~",3))-FIND("~",SUBSTITUTE($BC397,"-","~",2))-1))</f>
        <v/>
      </c>
      <c r="BF397">
        <f>IF($BD397="","",IFERROR(VLOOKUP($BD397,DECODE!$A$3:$C$8,3,FALSE),"?"))</f>
        <v/>
      </c>
      <c r="BG397">
        <f>IF($BE397="","",IFERROR(VLOOKUP($BD397&amp;"-"&amp;$BE397,DECODE!$E$3:$F$21,2,FALSE),"?"))</f>
        <v/>
      </c>
      <c r="BH397">
        <f>IF($BC397="","",IFERROR(VALUE(RIGHT($BC397,3)),""))</f>
        <v/>
      </c>
      <c r="BI397">
        <f>IF($V397="","",IFERROR(IF(ISNUMBER($V397),$V397,DATEVALUE(TRIM($V397))),""))</f>
        <v/>
      </c>
      <c r="BJ397">
        <f>IF($BI397="","",IF(MONTH($BI397)&gt;=12,"Cold Winter",IF(MONTH($BI397)&gt;=10,"Post-Monsoon",IF(MONTH($BI397)&gt;=6,"Hot Humid",IF(MONTH($BI397)&gt;=3,"Hot Dry","Cold Winter")))))</f>
        <v/>
      </c>
      <c r="BK397">
        <f>IF($BD397="","",IFERROR(VLOOKUP($BD397,DECODE!$A$3:$C$8,2,FALSE),"?"))</f>
        <v/>
      </c>
      <c r="BL397">
        <f>IF($Q397="","",UPPER(TRIM(LEFT($Q397&amp;",",FIND(",",$Q397&amp;",")-1))))</f>
        <v/>
      </c>
      <c r="BM397">
        <f>IF($BL397="","",MID($BL397,4,FIND("~",SUBSTITUTE($BL397,"-","~",2))-4))</f>
        <v/>
      </c>
      <c r="BN397">
        <f>IF($BL397="","",MID($BL397,FIND("~",SUBSTITUTE($BL397,"-","~",2))+1,FIND("~",SUBSTITUTE($BL397,"-","~",3))-FIND("~",SUBSTITUTE($BL397,"-","~",2))-1))</f>
        <v/>
      </c>
      <c r="BO397">
        <f>IF($BM397="","",IFERROR(VLOOKUP($BM397,DECODE!$A$3:$C$8,3,FALSE),"?"))</f>
        <v/>
      </c>
      <c r="BP397">
        <f>IF($BN397="","",IFERROR(VLOOKUP($BM397&amp;"-"&amp;$BN397,DECODE!$E$3:$F$21,2,FALSE),"?"))</f>
        <v/>
      </c>
      <c r="BQ397">
        <f>IF($BL397="","",IFERROR(VALUE(RIGHT($BL397,3)),""))</f>
        <v/>
      </c>
      <c r="BR397">
        <f>IF($W397="","",IFERROR(IF(ISNUMBER($W397),$W397,DATEVALUE(TRIM($W397))),""))</f>
        <v/>
      </c>
      <c r="BS397">
        <f>IF($BR397="","",IF(MONTH($BR397)&gt;=12,"Cold Winter",IF(MONTH($BR397)&gt;=10,"Post-Monsoon",IF(MONTH($BR397)&gt;=6,"Hot Humid",IF(MONTH($BR397)&gt;=3,"Hot Dry","Cold Winter")))))</f>
        <v/>
      </c>
      <c r="BT397">
        <f>IF($BM397="","",IFERROR(VLOOKUP($BM397,DECODE!$A$3:$C$8,2,FALSE),"?"))</f>
        <v/>
      </c>
      <c r="BU397">
        <f>IF($R397="","",UPPER(TRIM(LEFT($R397&amp;",",FIND(",",$R397&amp;",")-1))))</f>
        <v/>
      </c>
      <c r="BV397">
        <f>IF($BU397="","",MID($BU397,4,FIND("~",SUBSTITUTE($BU397,"-","~",2))-4))</f>
        <v/>
      </c>
      <c r="BW397">
        <f>IF($BU397="","",MID($BU397,FIND("~",SUBSTITUTE($BU397,"-","~",2))+1,FIND("~",SUBSTITUTE($BU397,"-","~",3))-FIND("~",SUBSTITUTE($BU397,"-","~",2))-1))</f>
        <v/>
      </c>
      <c r="BX397">
        <f>IF($BV397="","",IFERROR(VLOOKUP($BV397,DECODE!$A$3:$C$8,3,FALSE),"?"))</f>
        <v/>
      </c>
      <c r="BY397">
        <f>IF($BW397="","",IFERROR(VLOOKUP($BV397&amp;"-"&amp;$BW397,DECODE!$E$3:$F$21,2,FALSE),"?"))</f>
        <v/>
      </c>
      <c r="BZ397">
        <f>IF($BU397="","",IFERROR(VALUE(RIGHT($BU397,3)),""))</f>
        <v/>
      </c>
      <c r="CA397">
        <f>IF($X397="","",IFERROR(IF(ISNUMBER($X397),$X397,DATEVALUE(TRIM($X397))),""))</f>
        <v/>
      </c>
      <c r="CB397">
        <f>IF($CA397="","",IF(MONTH($CA397)&gt;=12,"Cold Winter",IF(MONTH($CA397)&gt;=10,"Post-Monsoon",IF(MONTH($CA397)&gt;=6,"Hot Humid",IF(MONTH($CA397)&gt;=3,"Hot Dry","Cold Winter")))))</f>
        <v/>
      </c>
      <c r="CC397">
        <f>IF($BV397="","",IFERROR(VLOOKUP($BV397,DECODE!$A$3:$C$8,2,FALSE),"?"))</f>
        <v/>
      </c>
      <c r="CD397">
        <f>IF($S397="","",UPPER(TRIM(LEFT($S397&amp;",",FIND(",",$S397&amp;",")-1))))</f>
        <v/>
      </c>
      <c r="CE397">
        <f>IF($CD397="","",MID($CD397,4,FIND("~",SUBSTITUTE($CD397,"-","~",2))-4))</f>
        <v/>
      </c>
      <c r="CF397">
        <f>IF($CD397="","",MID($CD397,FIND("~",SUBSTITUTE($CD397,"-","~",2))+1,FIND("~",SUBSTITUTE($CD397,"-","~",3))-FIND("~",SUBSTITUTE($CD397,"-","~",2))-1))</f>
        <v/>
      </c>
      <c r="CG397">
        <f>IF($CE397="","",IFERROR(VLOOKUP($CE397,DECODE!$A$3:$C$8,3,FALSE),"?"))</f>
        <v/>
      </c>
      <c r="CH397">
        <f>IF($CF397="","",IFERROR(VLOOKUP($CE397&amp;"-"&amp;$CF397,DECODE!$E$3:$F$21,2,FALSE),"?"))</f>
        <v/>
      </c>
      <c r="CI397">
        <f>IF($CD397="","",IFERROR(VALUE(RIGHT($CD397,3)),""))</f>
        <v/>
      </c>
      <c r="CJ397">
        <f>IF($Y397="","",IFERROR(IF(ISNUMBER($Y397),$Y397,DATEVALUE(TRIM($Y397))),""))</f>
        <v/>
      </c>
      <c r="CK397">
        <f>IF($CJ397="","",IF(MONTH($CJ397)&gt;=12,"Cold Winter",IF(MONTH($CJ397)&gt;=10,"Post-Monsoon",IF(MONTH($CJ397)&gt;=6,"Hot Humid",IF(MONTH($CJ397)&gt;=3,"Hot Dry","Cold Winter")))))</f>
        <v/>
      </c>
      <c r="CL397">
        <f>IF($CE397="","",IFERROR(VLOOKUP($CE397,DECODE!$A$3:$C$8,2,FALSE),"?"))</f>
        <v/>
      </c>
      <c r="CM397">
        <f>IF($AN397="","",AN397)</f>
        <v/>
      </c>
      <c r="CN397">
        <f>IF($AO397="","",AO397)</f>
        <v/>
      </c>
      <c r="CO397">
        <f>IF($AP397="","",AP397)</f>
        <v/>
      </c>
      <c r="CP397">
        <f>IF($CM397="","",IF($CM397="Aloe Vera Gel","Aloe Vera Gel "&amp;$CO397&amp;"g",CN397&amp;" "&amp;$CO397&amp;"g"))</f>
        <v/>
      </c>
      <c r="CQ397">
        <f>IF($AT397="",0,1)</f>
        <v/>
      </c>
      <c r="CR397">
        <f>IF($CQ397=0,"",AW397)</f>
        <v/>
      </c>
      <c r="CS397">
        <f>IF($CQ397=0,"",AX397)</f>
        <v/>
      </c>
      <c r="CT397">
        <f>IF($CQ397=0,"",AY397)</f>
        <v/>
      </c>
      <c r="CU397">
        <f>IF($CR397="","",IF($CR397="Aloe Vera Gel","Aloe Vera Gel "&amp;$CT397&amp;"g",CS397&amp;" "&amp;$CT397&amp;"g"))</f>
        <v/>
      </c>
      <c r="CV397">
        <f>IF($CQ397=0,"",IF($CP397=$CU397,"Repeat Exact",IF($CT397&gt;$CO397,"Upsized",IF($CT397&lt;$CO397,"Downsized",IF($CM397&lt;&gt;$CR397,"Lateral","Same Size Diff Variant")))))</f>
        <v/>
      </c>
      <c r="CW397">
        <f>IF($CQ397=0,"",AZ397-AQ397)</f>
        <v/>
      </c>
      <c r="CX397">
        <f>IF($CQ397=0,0,IF(CS397=CN397,1,0))</f>
        <v/>
      </c>
      <c r="CY397">
        <f>IF($CQ397=0,0,IF(CR397=CM397,1,0))</f>
        <v/>
      </c>
      <c r="CZ397">
        <f>IF($A397="","",IF(AND(IF(DASHBOARD!$C$4="All",TRUE,$CM397=DASHBOARD!$C$4),IF(DASHBOARD!$C$6="All",TRUE,$CP397=DASHBOARD!$C$6),IF(DASHBOARD!$C$8="All",TRUE,$AF397&gt;=DASHBOARD!$C$8),IF(DASHBOARD!$C$10="All",TRUE,$AF397&lt;=DASHBOARD!$C$10),IF(DASHBOARD!$C$12="All",TRUE,$AH397=VALUE(DASHBOARD!$C$12)),IF(DASHBOARD!$C$14="All",TRUE,$AJ397=DASHBOARD!$C$14)),1,0))</f>
        <v/>
      </c>
    </row>
    <row r="398">
      <c r="A398" t="n">
        <v>196622</v>
      </c>
      <c r="B398" t="inlineStr">
        <is>
          <t>Aloe Vera Gel</t>
        </is>
      </c>
      <c r="H398" t="inlineStr">
        <is>
          <t>Aloe Vera Gel - 80 gms</t>
        </is>
      </c>
      <c r="N398" t="inlineStr">
        <is>
          <t>FC-HG-PA-080</t>
        </is>
      </c>
      <c r="T398" t="inlineStr">
        <is>
          <t>Oct 8, 2025</t>
        </is>
      </c>
      <c r="AE398" t="inlineStr">
        <is>
          <t>Kolkata</t>
        </is>
      </c>
      <c r="AF398" t="inlineStr">
        <is>
          <t>2025-10</t>
        </is>
      </c>
      <c r="AG398" t="n">
        <v>10</v>
      </c>
      <c r="AH398" t="n">
        <v>1</v>
      </c>
      <c r="AI398" t="n">
        <v>0</v>
      </c>
      <c r="AJ398">
        <f>IF($AE398="","",IFERROR(VLOOKUP(TRIM($AE398),DECODE!$H$3:$I$60,2,FALSE),"Rest of India"))</f>
        <v/>
      </c>
      <c r="AK398">
        <f>IF($N398="","",UPPER(TRIM(LEFT($N398&amp;",",FIND(",",$N398&amp;",")-1))))</f>
        <v/>
      </c>
      <c r="AL398">
        <f>IF($AK398="","",MID($AK398,4,FIND("~",SUBSTITUTE($AK398,"-","~",2))-4))</f>
        <v/>
      </c>
      <c r="AM398">
        <f>IF($AK398="","",MID($AK398,FIND("~",SUBSTITUTE($AK398,"-","~",2))+1,FIND("~",SUBSTITUTE($AK398,"-","~",3))-FIND("~",SUBSTITUTE($AK398,"-","~",2))-1))</f>
        <v/>
      </c>
      <c r="AN398">
        <f>IF($AL398="","",IFERROR(VLOOKUP($AL398,DECODE!$A$3:$C$8,3,FALSE),"?"))</f>
        <v/>
      </c>
      <c r="AO398">
        <f>IF($AM398="","",IFERROR(VLOOKUP($AL398&amp;"-"&amp;$AM398,DECODE!$E$3:$F$21,2,FALSE),"?"))</f>
        <v/>
      </c>
      <c r="AP398">
        <f>IF($AK398="","",IFERROR(VALUE(RIGHT($AK398,3)),""))</f>
        <v/>
      </c>
      <c r="AQ398">
        <f>IF($T398="","",IFERROR(IF(ISNUMBER($T398),$T398,DATEVALUE(TRIM($T398))),""))</f>
        <v/>
      </c>
      <c r="AR398">
        <f>IF($AQ398="","",IF(MONTH($AQ398)&gt;=12,"Cold Winter",IF(MONTH($AQ398)&gt;=10,"Post-Monsoon",IF(MONTH($AQ398)&gt;=6,"Hot Humid",IF(MONTH($AQ398)&gt;=3,"Hot Dry","Cold Winter")))))</f>
        <v/>
      </c>
      <c r="AS398">
        <f>IF($AL398="","",IFERROR(VLOOKUP($AL398,DECODE!$A$3:$C$8,2,FALSE),"?"))</f>
        <v/>
      </c>
      <c r="AT398">
        <f>IF($O398="","",UPPER(TRIM(LEFT($O398&amp;",",FIND(",",$O398&amp;",")-1))))</f>
        <v/>
      </c>
      <c r="AU398">
        <f>IF($AT398="","",MID($AT398,4,FIND("~",SUBSTITUTE($AT398,"-","~",2))-4))</f>
        <v/>
      </c>
      <c r="AV398">
        <f>IF($AT398="","",MID($AT398,FIND("~",SUBSTITUTE($AT398,"-","~",2))+1,FIND("~",SUBSTITUTE($AT398,"-","~",3))-FIND("~",SUBSTITUTE($AT398,"-","~",2))-1))</f>
        <v/>
      </c>
      <c r="AW398">
        <f>IF($AU398="","",IFERROR(VLOOKUP($AU398,DECODE!$A$3:$C$8,3,FALSE),"?"))</f>
        <v/>
      </c>
      <c r="AX398">
        <f>IF($AV398="","",IFERROR(VLOOKUP($AU398&amp;"-"&amp;$AV398,DECODE!$E$3:$F$21,2,FALSE),"?"))</f>
        <v/>
      </c>
      <c r="AY398">
        <f>IF($AT398="","",IFERROR(VALUE(RIGHT($AT398,3)),""))</f>
        <v/>
      </c>
      <c r="AZ398">
        <f>IF($U398="","",IFERROR(IF(ISNUMBER($U398),$U398,DATEVALUE(TRIM($U398))),""))</f>
        <v/>
      </c>
      <c r="BA398">
        <f>IF($AZ398="","",IF(MONTH($AZ398)&gt;=12,"Cold Winter",IF(MONTH($AZ398)&gt;=10,"Post-Monsoon",IF(MONTH($AZ398)&gt;=6,"Hot Humid",IF(MONTH($AZ398)&gt;=3,"Hot Dry","Cold Winter")))))</f>
        <v/>
      </c>
      <c r="BB398">
        <f>IF($AU398="","",IFERROR(VLOOKUP($AU398,DECODE!$A$3:$C$8,2,FALSE),"?"))</f>
        <v/>
      </c>
      <c r="BC398">
        <f>IF($P398="","",UPPER(TRIM(LEFT($P398&amp;",",FIND(",",$P398&amp;",")-1))))</f>
        <v/>
      </c>
      <c r="BD398">
        <f>IF($BC398="","",MID($BC398,4,FIND("~",SUBSTITUTE($BC398,"-","~",2))-4))</f>
        <v/>
      </c>
      <c r="BE398">
        <f>IF($BC398="","",MID($BC398,FIND("~",SUBSTITUTE($BC398,"-","~",2))+1,FIND("~",SUBSTITUTE($BC398,"-","~",3))-FIND("~",SUBSTITUTE($BC398,"-","~",2))-1))</f>
        <v/>
      </c>
      <c r="BF398">
        <f>IF($BD398="","",IFERROR(VLOOKUP($BD398,DECODE!$A$3:$C$8,3,FALSE),"?"))</f>
        <v/>
      </c>
      <c r="BG398">
        <f>IF($BE398="","",IFERROR(VLOOKUP($BD398&amp;"-"&amp;$BE398,DECODE!$E$3:$F$21,2,FALSE),"?"))</f>
        <v/>
      </c>
      <c r="BH398">
        <f>IF($BC398="","",IFERROR(VALUE(RIGHT($BC398,3)),""))</f>
        <v/>
      </c>
      <c r="BI398">
        <f>IF($V398="","",IFERROR(IF(ISNUMBER($V398),$V398,DATEVALUE(TRIM($V398))),""))</f>
        <v/>
      </c>
      <c r="BJ398">
        <f>IF($BI398="","",IF(MONTH($BI398)&gt;=12,"Cold Winter",IF(MONTH($BI398)&gt;=10,"Post-Monsoon",IF(MONTH($BI398)&gt;=6,"Hot Humid",IF(MONTH($BI398)&gt;=3,"Hot Dry","Cold Winter")))))</f>
        <v/>
      </c>
      <c r="BK398">
        <f>IF($BD398="","",IFERROR(VLOOKUP($BD398,DECODE!$A$3:$C$8,2,FALSE),"?"))</f>
        <v/>
      </c>
      <c r="BL398">
        <f>IF($Q398="","",UPPER(TRIM(LEFT($Q398&amp;",",FIND(",",$Q398&amp;",")-1))))</f>
        <v/>
      </c>
      <c r="BM398">
        <f>IF($BL398="","",MID($BL398,4,FIND("~",SUBSTITUTE($BL398,"-","~",2))-4))</f>
        <v/>
      </c>
      <c r="BN398">
        <f>IF($BL398="","",MID($BL398,FIND("~",SUBSTITUTE($BL398,"-","~",2))+1,FIND("~",SUBSTITUTE($BL398,"-","~",3))-FIND("~",SUBSTITUTE($BL398,"-","~",2))-1))</f>
        <v/>
      </c>
      <c r="BO398">
        <f>IF($BM398="","",IFERROR(VLOOKUP($BM398,DECODE!$A$3:$C$8,3,FALSE),"?"))</f>
        <v/>
      </c>
      <c r="BP398">
        <f>IF($BN398="","",IFERROR(VLOOKUP($BM398&amp;"-"&amp;$BN398,DECODE!$E$3:$F$21,2,FALSE),"?"))</f>
        <v/>
      </c>
      <c r="BQ398">
        <f>IF($BL398="","",IFERROR(VALUE(RIGHT($BL398,3)),""))</f>
        <v/>
      </c>
      <c r="BR398">
        <f>IF($W398="","",IFERROR(IF(ISNUMBER($W398),$W398,DATEVALUE(TRIM($W398))),""))</f>
        <v/>
      </c>
      <c r="BS398">
        <f>IF($BR398="","",IF(MONTH($BR398)&gt;=12,"Cold Winter",IF(MONTH($BR398)&gt;=10,"Post-Monsoon",IF(MONTH($BR398)&gt;=6,"Hot Humid",IF(MONTH($BR398)&gt;=3,"Hot Dry","Cold Winter")))))</f>
        <v/>
      </c>
      <c r="BT398">
        <f>IF($BM398="","",IFERROR(VLOOKUP($BM398,DECODE!$A$3:$C$8,2,FALSE),"?"))</f>
        <v/>
      </c>
      <c r="BU398">
        <f>IF($R398="","",UPPER(TRIM(LEFT($R398&amp;",",FIND(",",$R398&amp;",")-1))))</f>
        <v/>
      </c>
      <c r="BV398">
        <f>IF($BU398="","",MID($BU398,4,FIND("~",SUBSTITUTE($BU398,"-","~",2))-4))</f>
        <v/>
      </c>
      <c r="BW398">
        <f>IF($BU398="","",MID($BU398,FIND("~",SUBSTITUTE($BU398,"-","~",2))+1,FIND("~",SUBSTITUTE($BU398,"-","~",3))-FIND("~",SUBSTITUTE($BU398,"-","~",2))-1))</f>
        <v/>
      </c>
      <c r="BX398">
        <f>IF($BV398="","",IFERROR(VLOOKUP($BV398,DECODE!$A$3:$C$8,3,FALSE),"?"))</f>
        <v/>
      </c>
      <c r="BY398">
        <f>IF($BW398="","",IFERROR(VLOOKUP($BV398&amp;"-"&amp;$BW398,DECODE!$E$3:$F$21,2,FALSE),"?"))</f>
        <v/>
      </c>
      <c r="BZ398">
        <f>IF($BU398="","",IFERROR(VALUE(RIGHT($BU398,3)),""))</f>
        <v/>
      </c>
      <c r="CA398">
        <f>IF($X398="","",IFERROR(IF(ISNUMBER($X398),$X398,DATEVALUE(TRIM($X398))),""))</f>
        <v/>
      </c>
      <c r="CB398">
        <f>IF($CA398="","",IF(MONTH($CA398)&gt;=12,"Cold Winter",IF(MONTH($CA398)&gt;=10,"Post-Monsoon",IF(MONTH($CA398)&gt;=6,"Hot Humid",IF(MONTH($CA398)&gt;=3,"Hot Dry","Cold Winter")))))</f>
        <v/>
      </c>
      <c r="CC398">
        <f>IF($BV398="","",IFERROR(VLOOKUP($BV398,DECODE!$A$3:$C$8,2,FALSE),"?"))</f>
        <v/>
      </c>
      <c r="CD398">
        <f>IF($S398="","",UPPER(TRIM(LEFT($S398&amp;",",FIND(",",$S398&amp;",")-1))))</f>
        <v/>
      </c>
      <c r="CE398">
        <f>IF($CD398="","",MID($CD398,4,FIND("~",SUBSTITUTE($CD398,"-","~",2))-4))</f>
        <v/>
      </c>
      <c r="CF398">
        <f>IF($CD398="","",MID($CD398,FIND("~",SUBSTITUTE($CD398,"-","~",2))+1,FIND("~",SUBSTITUTE($CD398,"-","~",3))-FIND("~",SUBSTITUTE($CD398,"-","~",2))-1))</f>
        <v/>
      </c>
      <c r="CG398">
        <f>IF($CE398="","",IFERROR(VLOOKUP($CE398,DECODE!$A$3:$C$8,3,FALSE),"?"))</f>
        <v/>
      </c>
      <c r="CH398">
        <f>IF($CF398="","",IFERROR(VLOOKUP($CE398&amp;"-"&amp;$CF398,DECODE!$E$3:$F$21,2,FALSE),"?"))</f>
        <v/>
      </c>
      <c r="CI398">
        <f>IF($CD398="","",IFERROR(VALUE(RIGHT($CD398,3)),""))</f>
        <v/>
      </c>
      <c r="CJ398">
        <f>IF($Y398="","",IFERROR(IF(ISNUMBER($Y398),$Y398,DATEVALUE(TRIM($Y398))),""))</f>
        <v/>
      </c>
      <c r="CK398">
        <f>IF($CJ398="","",IF(MONTH($CJ398)&gt;=12,"Cold Winter",IF(MONTH($CJ398)&gt;=10,"Post-Monsoon",IF(MONTH($CJ398)&gt;=6,"Hot Humid",IF(MONTH($CJ398)&gt;=3,"Hot Dry","Cold Winter")))))</f>
        <v/>
      </c>
      <c r="CL398">
        <f>IF($CE398="","",IFERROR(VLOOKUP($CE398,DECODE!$A$3:$C$8,2,FALSE),"?"))</f>
        <v/>
      </c>
      <c r="CM398">
        <f>IF($AN398="","",AN398)</f>
        <v/>
      </c>
      <c r="CN398">
        <f>IF($AO398="","",AO398)</f>
        <v/>
      </c>
      <c r="CO398">
        <f>IF($AP398="","",AP398)</f>
        <v/>
      </c>
      <c r="CP398">
        <f>IF($CM398="","",IF($CM398="Aloe Vera Gel","Aloe Vera Gel "&amp;$CO398&amp;"g",CN398&amp;" "&amp;$CO398&amp;"g"))</f>
        <v/>
      </c>
      <c r="CQ398">
        <f>IF($AT398="",0,1)</f>
        <v/>
      </c>
      <c r="CR398">
        <f>IF($CQ398=0,"",AW398)</f>
        <v/>
      </c>
      <c r="CS398">
        <f>IF($CQ398=0,"",AX398)</f>
        <v/>
      </c>
      <c r="CT398">
        <f>IF($CQ398=0,"",AY398)</f>
        <v/>
      </c>
      <c r="CU398">
        <f>IF($CR398="","",IF($CR398="Aloe Vera Gel","Aloe Vera Gel "&amp;$CT398&amp;"g",CS398&amp;" "&amp;$CT398&amp;"g"))</f>
        <v/>
      </c>
      <c r="CV398">
        <f>IF($CQ398=0,"",IF($CP398=$CU398,"Repeat Exact",IF($CT398&gt;$CO398,"Upsized",IF($CT398&lt;$CO398,"Downsized",IF($CM398&lt;&gt;$CR398,"Lateral","Same Size Diff Variant")))))</f>
        <v/>
      </c>
      <c r="CW398">
        <f>IF($CQ398=0,"",AZ398-AQ398)</f>
        <v/>
      </c>
      <c r="CX398">
        <f>IF($CQ398=0,0,IF(CS398=CN398,1,0))</f>
        <v/>
      </c>
      <c r="CY398">
        <f>IF($CQ398=0,0,IF(CR398=CM398,1,0))</f>
        <v/>
      </c>
      <c r="CZ398">
        <f>IF($A398="","",IF(AND(IF(DASHBOARD!$C$4="All",TRUE,$CM398=DASHBOARD!$C$4),IF(DASHBOARD!$C$6="All",TRUE,$CP398=DASHBOARD!$C$6),IF(DASHBOARD!$C$8="All",TRUE,$AF398&gt;=DASHBOARD!$C$8),IF(DASHBOARD!$C$10="All",TRUE,$AF398&lt;=DASHBOARD!$C$10),IF(DASHBOARD!$C$12="All",TRUE,$AH398=VALUE(DASHBOARD!$C$12)),IF(DASHBOARD!$C$14="All",TRUE,$AJ398=DASHBOARD!$C$14)),1,0))</f>
        <v/>
      </c>
    </row>
    <row r="399">
      <c r="A399" t="n">
        <v>196712</v>
      </c>
      <c r="B399" t="inlineStr">
        <is>
          <t>Face Malai</t>
        </is>
      </c>
      <c r="C399" t="inlineStr">
        <is>
          <t>Active Gel, Face Malai</t>
        </is>
      </c>
      <c r="D399" t="inlineStr">
        <is>
          <t>Face Malai</t>
        </is>
      </c>
      <c r="E399" t="inlineStr">
        <is>
          <t>Face Malai</t>
        </is>
      </c>
      <c r="F399" t="inlineStr">
        <is>
          <t>Face Malai</t>
        </is>
      </c>
      <c r="H399" t="inlineStr">
        <is>
          <t>Flax Carrot (Hot Humid) 35+ Face Malai - 30g</t>
        </is>
      </c>
      <c r="I399" t="inlineStr">
        <is>
          <t>Flax Carrot (Hot Humid) 35+ Face Malai - 50g, Active Orange Kiwi Vit-C Gel</t>
        </is>
      </c>
      <c r="J399" t="inlineStr">
        <is>
          <t>Flax Walnut (Cold) 35+ Face Malai</t>
        </is>
      </c>
      <c r="K399" t="inlineStr">
        <is>
          <t xml:space="preserve">Flax Carrot (Hot Humid) 35+ Face Malai - 50g, Cocoa Mogra (Overnight) Face Malai - 50g </t>
        </is>
      </c>
      <c r="L399" t="inlineStr">
        <is>
          <t>Flax Carrot (Hot Humid) 35+ Face Malai - 50g</t>
        </is>
      </c>
      <c r="N399" t="inlineStr">
        <is>
          <t>FC-HHDM-FC-030</t>
        </is>
      </c>
      <c r="O399" t="inlineStr">
        <is>
          <t>FC-HHDM-FC-050, FC-AC-OK-050</t>
        </is>
      </c>
      <c r="P399" t="inlineStr">
        <is>
          <t>FC-CWDM-FW-030</t>
        </is>
      </c>
      <c r="Q399" t="inlineStr">
        <is>
          <t>FC-DM-NR-050, FC-HHDM-FC-050</t>
        </is>
      </c>
      <c r="R399" t="inlineStr">
        <is>
          <t>FC-HHDM-FC-050</t>
        </is>
      </c>
      <c r="T399" t="inlineStr">
        <is>
          <t>May 29, 2024</t>
        </is>
      </c>
      <c r="U399" t="inlineStr">
        <is>
          <t>Jul 22, 2024</t>
        </is>
      </c>
      <c r="V399" t="inlineStr">
        <is>
          <t>Dec 17, 2024</t>
        </is>
      </c>
      <c r="W399" t="inlineStr">
        <is>
          <t>Feb 16, 2025</t>
        </is>
      </c>
      <c r="X399" t="inlineStr">
        <is>
          <t>Jun 11, 2025</t>
        </is>
      </c>
      <c r="Z399" t="n">
        <v>54</v>
      </c>
      <c r="AA399" t="n">
        <v>148</v>
      </c>
      <c r="AB399" t="n">
        <v>61</v>
      </c>
      <c r="AC399" t="n">
        <v>115</v>
      </c>
      <c r="AE399" t="inlineStr">
        <is>
          <t>Chandigarh</t>
        </is>
      </c>
      <c r="AF399" t="inlineStr">
        <is>
          <t>2024-05</t>
        </is>
      </c>
      <c r="AG399" t="n">
        <v>5</v>
      </c>
      <c r="AH399" t="n">
        <v>5</v>
      </c>
      <c r="AI399" t="n">
        <v>1</v>
      </c>
      <c r="AJ399">
        <f>IF($AE399="","",IFERROR(VLOOKUP(TRIM($AE399),DECODE!$H$3:$I$60,2,FALSE),"Rest of India"))</f>
        <v/>
      </c>
      <c r="AK399">
        <f>IF($N399="","",UPPER(TRIM(LEFT($N399&amp;",",FIND(",",$N399&amp;",")-1))))</f>
        <v/>
      </c>
      <c r="AL399">
        <f>IF($AK399="","",MID($AK399,4,FIND("~",SUBSTITUTE($AK399,"-","~",2))-4))</f>
        <v/>
      </c>
      <c r="AM399">
        <f>IF($AK399="","",MID($AK399,FIND("~",SUBSTITUTE($AK399,"-","~",2))+1,FIND("~",SUBSTITUTE($AK399,"-","~",3))-FIND("~",SUBSTITUTE($AK399,"-","~",2))-1))</f>
        <v/>
      </c>
      <c r="AN399">
        <f>IF($AL399="","",IFERROR(VLOOKUP($AL399,DECODE!$A$3:$C$8,3,FALSE),"?"))</f>
        <v/>
      </c>
      <c r="AO399">
        <f>IF($AM399="","",IFERROR(VLOOKUP($AL399&amp;"-"&amp;$AM399,DECODE!$E$3:$F$21,2,FALSE),"?"))</f>
        <v/>
      </c>
      <c r="AP399">
        <f>IF($AK399="","",IFERROR(VALUE(RIGHT($AK399,3)),""))</f>
        <v/>
      </c>
      <c r="AQ399">
        <f>IF($T399="","",IFERROR(IF(ISNUMBER($T399),$T399,DATEVALUE(TRIM($T399))),""))</f>
        <v/>
      </c>
      <c r="AR399">
        <f>IF($AQ399="","",IF(MONTH($AQ399)&gt;=12,"Cold Winter",IF(MONTH($AQ399)&gt;=10,"Post-Monsoon",IF(MONTH($AQ399)&gt;=6,"Hot Humid",IF(MONTH($AQ399)&gt;=3,"Hot Dry","Cold Winter")))))</f>
        <v/>
      </c>
      <c r="AS399">
        <f>IF($AL399="","",IFERROR(VLOOKUP($AL399,DECODE!$A$3:$C$8,2,FALSE),"?"))</f>
        <v/>
      </c>
      <c r="AT399">
        <f>IF($O399="","",UPPER(TRIM(LEFT($O399&amp;",",FIND(",",$O399&amp;",")-1))))</f>
        <v/>
      </c>
      <c r="AU399">
        <f>IF($AT399="","",MID($AT399,4,FIND("~",SUBSTITUTE($AT399,"-","~",2))-4))</f>
        <v/>
      </c>
      <c r="AV399">
        <f>IF($AT399="","",MID($AT399,FIND("~",SUBSTITUTE($AT399,"-","~",2))+1,FIND("~",SUBSTITUTE($AT399,"-","~",3))-FIND("~",SUBSTITUTE($AT399,"-","~",2))-1))</f>
        <v/>
      </c>
      <c r="AW399">
        <f>IF($AU399="","",IFERROR(VLOOKUP($AU399,DECODE!$A$3:$C$8,3,FALSE),"?"))</f>
        <v/>
      </c>
      <c r="AX399">
        <f>IF($AV399="","",IFERROR(VLOOKUP($AU399&amp;"-"&amp;$AV399,DECODE!$E$3:$F$21,2,FALSE),"?"))</f>
        <v/>
      </c>
      <c r="AY399">
        <f>IF($AT399="","",IFERROR(VALUE(RIGHT($AT399,3)),""))</f>
        <v/>
      </c>
      <c r="AZ399">
        <f>IF($U399="","",IFERROR(IF(ISNUMBER($U399),$U399,DATEVALUE(TRIM($U399))),""))</f>
        <v/>
      </c>
      <c r="BA399">
        <f>IF($AZ399="","",IF(MONTH($AZ399)&gt;=12,"Cold Winter",IF(MONTH($AZ399)&gt;=10,"Post-Monsoon",IF(MONTH($AZ399)&gt;=6,"Hot Humid",IF(MONTH($AZ399)&gt;=3,"Hot Dry","Cold Winter")))))</f>
        <v/>
      </c>
      <c r="BB399">
        <f>IF($AU399="","",IFERROR(VLOOKUP($AU399,DECODE!$A$3:$C$8,2,FALSE),"?"))</f>
        <v/>
      </c>
      <c r="BC399">
        <f>IF($P399="","",UPPER(TRIM(LEFT($P399&amp;",",FIND(",",$P399&amp;",")-1))))</f>
        <v/>
      </c>
      <c r="BD399">
        <f>IF($BC399="","",MID($BC399,4,FIND("~",SUBSTITUTE($BC399,"-","~",2))-4))</f>
        <v/>
      </c>
      <c r="BE399">
        <f>IF($BC399="","",MID($BC399,FIND("~",SUBSTITUTE($BC399,"-","~",2))+1,FIND("~",SUBSTITUTE($BC399,"-","~",3))-FIND("~",SUBSTITUTE($BC399,"-","~",2))-1))</f>
        <v/>
      </c>
      <c r="BF399">
        <f>IF($BD399="","",IFERROR(VLOOKUP($BD399,DECODE!$A$3:$C$8,3,FALSE),"?"))</f>
        <v/>
      </c>
      <c r="BG399">
        <f>IF($BE399="","",IFERROR(VLOOKUP($BD399&amp;"-"&amp;$BE399,DECODE!$E$3:$F$21,2,FALSE),"?"))</f>
        <v/>
      </c>
      <c r="BH399">
        <f>IF($BC399="","",IFERROR(VALUE(RIGHT($BC399,3)),""))</f>
        <v/>
      </c>
      <c r="BI399">
        <f>IF($V399="","",IFERROR(IF(ISNUMBER($V399),$V399,DATEVALUE(TRIM($V399))),""))</f>
        <v/>
      </c>
      <c r="BJ399">
        <f>IF($BI399="","",IF(MONTH($BI399)&gt;=12,"Cold Winter",IF(MONTH($BI399)&gt;=10,"Post-Monsoon",IF(MONTH($BI399)&gt;=6,"Hot Humid",IF(MONTH($BI399)&gt;=3,"Hot Dry","Cold Winter")))))</f>
        <v/>
      </c>
      <c r="BK399">
        <f>IF($BD399="","",IFERROR(VLOOKUP($BD399,DECODE!$A$3:$C$8,2,FALSE),"?"))</f>
        <v/>
      </c>
      <c r="BL399">
        <f>IF($Q399="","",UPPER(TRIM(LEFT($Q399&amp;",",FIND(",",$Q399&amp;",")-1))))</f>
        <v/>
      </c>
      <c r="BM399">
        <f>IF($BL399="","",MID($BL399,4,FIND("~",SUBSTITUTE($BL399,"-","~",2))-4))</f>
        <v/>
      </c>
      <c r="BN399">
        <f>IF($BL399="","",MID($BL399,FIND("~",SUBSTITUTE($BL399,"-","~",2))+1,FIND("~",SUBSTITUTE($BL399,"-","~",3))-FIND("~",SUBSTITUTE($BL399,"-","~",2))-1))</f>
        <v/>
      </c>
      <c r="BO399">
        <f>IF($BM399="","",IFERROR(VLOOKUP($BM399,DECODE!$A$3:$C$8,3,FALSE),"?"))</f>
        <v/>
      </c>
      <c r="BP399">
        <f>IF($BN399="","",IFERROR(VLOOKUP($BM399&amp;"-"&amp;$BN399,DECODE!$E$3:$F$21,2,FALSE),"?"))</f>
        <v/>
      </c>
      <c r="BQ399">
        <f>IF($BL399="","",IFERROR(VALUE(RIGHT($BL399,3)),""))</f>
        <v/>
      </c>
      <c r="BR399">
        <f>IF($W399="","",IFERROR(IF(ISNUMBER($W399),$W399,DATEVALUE(TRIM($W399))),""))</f>
        <v/>
      </c>
      <c r="BS399">
        <f>IF($BR399="","",IF(MONTH($BR399)&gt;=12,"Cold Winter",IF(MONTH($BR399)&gt;=10,"Post-Monsoon",IF(MONTH($BR399)&gt;=6,"Hot Humid",IF(MONTH($BR399)&gt;=3,"Hot Dry","Cold Winter")))))</f>
        <v/>
      </c>
      <c r="BT399">
        <f>IF($BM399="","",IFERROR(VLOOKUP($BM399,DECODE!$A$3:$C$8,2,FALSE),"?"))</f>
        <v/>
      </c>
      <c r="BU399">
        <f>IF($R399="","",UPPER(TRIM(LEFT($R399&amp;",",FIND(",",$R399&amp;",")-1))))</f>
        <v/>
      </c>
      <c r="BV399">
        <f>IF($BU399="","",MID($BU399,4,FIND("~",SUBSTITUTE($BU399,"-","~",2))-4))</f>
        <v/>
      </c>
      <c r="BW399">
        <f>IF($BU399="","",MID($BU399,FIND("~",SUBSTITUTE($BU399,"-","~",2))+1,FIND("~",SUBSTITUTE($BU399,"-","~",3))-FIND("~",SUBSTITUTE($BU399,"-","~",2))-1))</f>
        <v/>
      </c>
      <c r="BX399">
        <f>IF($BV399="","",IFERROR(VLOOKUP($BV399,DECODE!$A$3:$C$8,3,FALSE),"?"))</f>
        <v/>
      </c>
      <c r="BY399">
        <f>IF($BW399="","",IFERROR(VLOOKUP($BV399&amp;"-"&amp;$BW399,DECODE!$E$3:$F$21,2,FALSE),"?"))</f>
        <v/>
      </c>
      <c r="BZ399">
        <f>IF($BU399="","",IFERROR(VALUE(RIGHT($BU399,3)),""))</f>
        <v/>
      </c>
      <c r="CA399">
        <f>IF($X399="","",IFERROR(IF(ISNUMBER($X399),$X399,DATEVALUE(TRIM($X399))),""))</f>
        <v/>
      </c>
      <c r="CB399">
        <f>IF($CA399="","",IF(MONTH($CA399)&gt;=12,"Cold Winter",IF(MONTH($CA399)&gt;=10,"Post-Monsoon",IF(MONTH($CA399)&gt;=6,"Hot Humid",IF(MONTH($CA399)&gt;=3,"Hot Dry","Cold Winter")))))</f>
        <v/>
      </c>
      <c r="CC399">
        <f>IF($BV399="","",IFERROR(VLOOKUP($BV399,DECODE!$A$3:$C$8,2,FALSE),"?"))</f>
        <v/>
      </c>
      <c r="CD399">
        <f>IF($S399="","",UPPER(TRIM(LEFT($S399&amp;",",FIND(",",$S399&amp;",")-1))))</f>
        <v/>
      </c>
      <c r="CE399">
        <f>IF($CD399="","",MID($CD399,4,FIND("~",SUBSTITUTE($CD399,"-","~",2))-4))</f>
        <v/>
      </c>
      <c r="CF399">
        <f>IF($CD399="","",MID($CD399,FIND("~",SUBSTITUTE($CD399,"-","~",2))+1,FIND("~",SUBSTITUTE($CD399,"-","~",3))-FIND("~",SUBSTITUTE($CD399,"-","~",2))-1))</f>
        <v/>
      </c>
      <c r="CG399">
        <f>IF($CE399="","",IFERROR(VLOOKUP($CE399,DECODE!$A$3:$C$8,3,FALSE),"?"))</f>
        <v/>
      </c>
      <c r="CH399">
        <f>IF($CF399="","",IFERROR(VLOOKUP($CE399&amp;"-"&amp;$CF399,DECODE!$E$3:$F$21,2,FALSE),"?"))</f>
        <v/>
      </c>
      <c r="CI399">
        <f>IF($CD399="","",IFERROR(VALUE(RIGHT($CD399,3)),""))</f>
        <v/>
      </c>
      <c r="CJ399">
        <f>IF($Y399="","",IFERROR(IF(ISNUMBER($Y399),$Y399,DATEVALUE(TRIM($Y399))),""))</f>
        <v/>
      </c>
      <c r="CK399">
        <f>IF($CJ399="","",IF(MONTH($CJ399)&gt;=12,"Cold Winter",IF(MONTH($CJ399)&gt;=10,"Post-Monsoon",IF(MONTH($CJ399)&gt;=6,"Hot Humid",IF(MONTH($CJ399)&gt;=3,"Hot Dry","Cold Winter")))))</f>
        <v/>
      </c>
      <c r="CL399">
        <f>IF($CE399="","",IFERROR(VLOOKUP($CE399,DECODE!$A$3:$C$8,2,FALSE),"?"))</f>
        <v/>
      </c>
      <c r="CM399">
        <f>IF($AN399="","",AN399)</f>
        <v/>
      </c>
      <c r="CN399">
        <f>IF($AO399="","",AO399)</f>
        <v/>
      </c>
      <c r="CO399">
        <f>IF($AP399="","",AP399)</f>
        <v/>
      </c>
      <c r="CP399">
        <f>IF($CM399="","",IF($CM399="Aloe Vera Gel","Aloe Vera Gel "&amp;$CO399&amp;"g",CN399&amp;" "&amp;$CO399&amp;"g"))</f>
        <v/>
      </c>
      <c r="CQ399">
        <f>IF($AT399="",0,1)</f>
        <v/>
      </c>
      <c r="CR399">
        <f>IF($CQ399=0,"",AW399)</f>
        <v/>
      </c>
      <c r="CS399">
        <f>IF($CQ399=0,"",AX399)</f>
        <v/>
      </c>
      <c r="CT399">
        <f>IF($CQ399=0,"",AY399)</f>
        <v/>
      </c>
      <c r="CU399">
        <f>IF($CR399="","",IF($CR399="Aloe Vera Gel","Aloe Vera Gel "&amp;$CT399&amp;"g",CS399&amp;" "&amp;$CT399&amp;"g"))</f>
        <v/>
      </c>
      <c r="CV399">
        <f>IF($CQ399=0,"",IF($CP399=$CU399,"Repeat Exact",IF($CT399&gt;$CO399,"Upsized",IF($CT399&lt;$CO399,"Downsized",IF($CM399&lt;&gt;$CR399,"Lateral","Same Size Diff Variant")))))</f>
        <v/>
      </c>
      <c r="CW399">
        <f>IF($CQ399=0,"",AZ399-AQ399)</f>
        <v/>
      </c>
      <c r="CX399">
        <f>IF($CQ399=0,0,IF(CS399=CN399,1,0))</f>
        <v/>
      </c>
      <c r="CY399">
        <f>IF($CQ399=0,0,IF(CR399=CM399,1,0))</f>
        <v/>
      </c>
      <c r="CZ399">
        <f>IF($A399="","",IF(AND(IF(DASHBOARD!$C$4="All",TRUE,$CM399=DASHBOARD!$C$4),IF(DASHBOARD!$C$6="All",TRUE,$CP399=DASHBOARD!$C$6),IF(DASHBOARD!$C$8="All",TRUE,$AF399&gt;=DASHBOARD!$C$8),IF(DASHBOARD!$C$10="All",TRUE,$AF399&lt;=DASHBOARD!$C$10),IF(DASHBOARD!$C$12="All",TRUE,$AH399=VALUE(DASHBOARD!$C$12)),IF(DASHBOARD!$C$14="All",TRUE,$AJ399=DASHBOARD!$C$14)),1,0))</f>
        <v/>
      </c>
    </row>
    <row r="400">
      <c r="A400" t="n">
        <v>196948</v>
      </c>
      <c r="B400" t="inlineStr">
        <is>
          <t>Aloe Vera Gel</t>
        </is>
      </c>
      <c r="C400" t="inlineStr">
        <is>
          <t>Face Malai</t>
        </is>
      </c>
      <c r="H400" t="inlineStr">
        <is>
          <t>Aloe Vera Gel - 80 gms</t>
        </is>
      </c>
      <c r="I400" t="inlineStr">
        <is>
          <t>Turmeric Nutmeg (Pigmentation)  Face Malai - 50g</t>
        </is>
      </c>
      <c r="N400" t="inlineStr">
        <is>
          <t>FC-HG-PA-080</t>
        </is>
      </c>
      <c r="O400" t="inlineStr">
        <is>
          <t>FC-DM-PG-050</t>
        </is>
      </c>
      <c r="T400" t="inlineStr">
        <is>
          <t>Aug 6, 2025</t>
        </is>
      </c>
      <c r="U400" t="inlineStr">
        <is>
          <t>Dec 22, 2025</t>
        </is>
      </c>
      <c r="Z400" t="n">
        <v>138</v>
      </c>
      <c r="AE400" t="inlineStr">
        <is>
          <t>Tumakuru</t>
        </is>
      </c>
      <c r="AF400" t="inlineStr">
        <is>
          <t>2025-08</t>
        </is>
      </c>
      <c r="AG400" t="n">
        <v>8</v>
      </c>
      <c r="AH400" t="n">
        <v>2</v>
      </c>
      <c r="AI400" t="n">
        <v>1</v>
      </c>
      <c r="AJ400">
        <f>IF($AE400="","",IFERROR(VLOOKUP(TRIM($AE400),DECODE!$H$3:$I$60,2,FALSE),"Rest of India"))</f>
        <v/>
      </c>
      <c r="AK400">
        <f>IF($N400="","",UPPER(TRIM(LEFT($N400&amp;",",FIND(",",$N400&amp;",")-1))))</f>
        <v/>
      </c>
      <c r="AL400">
        <f>IF($AK400="","",MID($AK400,4,FIND("~",SUBSTITUTE($AK400,"-","~",2))-4))</f>
        <v/>
      </c>
      <c r="AM400">
        <f>IF($AK400="","",MID($AK400,FIND("~",SUBSTITUTE($AK400,"-","~",2))+1,FIND("~",SUBSTITUTE($AK400,"-","~",3))-FIND("~",SUBSTITUTE($AK400,"-","~",2))-1))</f>
        <v/>
      </c>
      <c r="AN400">
        <f>IF($AL400="","",IFERROR(VLOOKUP($AL400,DECODE!$A$3:$C$8,3,FALSE),"?"))</f>
        <v/>
      </c>
      <c r="AO400">
        <f>IF($AM400="","",IFERROR(VLOOKUP($AL400&amp;"-"&amp;$AM400,DECODE!$E$3:$F$21,2,FALSE),"?"))</f>
        <v/>
      </c>
      <c r="AP400">
        <f>IF($AK400="","",IFERROR(VALUE(RIGHT($AK400,3)),""))</f>
        <v/>
      </c>
      <c r="AQ400">
        <f>IF($T400="","",IFERROR(IF(ISNUMBER($T400),$T400,DATEVALUE(TRIM($T400))),""))</f>
        <v/>
      </c>
      <c r="AR400">
        <f>IF($AQ400="","",IF(MONTH($AQ400)&gt;=12,"Cold Winter",IF(MONTH($AQ400)&gt;=10,"Post-Monsoon",IF(MONTH($AQ400)&gt;=6,"Hot Humid",IF(MONTH($AQ400)&gt;=3,"Hot Dry","Cold Winter")))))</f>
        <v/>
      </c>
      <c r="AS400">
        <f>IF($AL400="","",IFERROR(VLOOKUP($AL400,DECODE!$A$3:$C$8,2,FALSE),"?"))</f>
        <v/>
      </c>
      <c r="AT400">
        <f>IF($O400="","",UPPER(TRIM(LEFT($O400&amp;",",FIND(",",$O400&amp;",")-1))))</f>
        <v/>
      </c>
      <c r="AU400">
        <f>IF($AT400="","",MID($AT400,4,FIND("~",SUBSTITUTE($AT400,"-","~",2))-4))</f>
        <v/>
      </c>
      <c r="AV400">
        <f>IF($AT400="","",MID($AT400,FIND("~",SUBSTITUTE($AT400,"-","~",2))+1,FIND("~",SUBSTITUTE($AT400,"-","~",3))-FIND("~",SUBSTITUTE($AT400,"-","~",2))-1))</f>
        <v/>
      </c>
      <c r="AW400">
        <f>IF($AU400="","",IFERROR(VLOOKUP($AU400,DECODE!$A$3:$C$8,3,FALSE),"?"))</f>
        <v/>
      </c>
      <c r="AX400">
        <f>IF($AV400="","",IFERROR(VLOOKUP($AU400&amp;"-"&amp;$AV400,DECODE!$E$3:$F$21,2,FALSE),"?"))</f>
        <v/>
      </c>
      <c r="AY400">
        <f>IF($AT400="","",IFERROR(VALUE(RIGHT($AT400,3)),""))</f>
        <v/>
      </c>
      <c r="AZ400">
        <f>IF($U400="","",IFERROR(IF(ISNUMBER($U400),$U400,DATEVALUE(TRIM($U400))),""))</f>
        <v/>
      </c>
      <c r="BA400">
        <f>IF($AZ400="","",IF(MONTH($AZ400)&gt;=12,"Cold Winter",IF(MONTH($AZ400)&gt;=10,"Post-Monsoon",IF(MONTH($AZ400)&gt;=6,"Hot Humid",IF(MONTH($AZ400)&gt;=3,"Hot Dry","Cold Winter")))))</f>
        <v/>
      </c>
      <c r="BB400">
        <f>IF($AU400="","",IFERROR(VLOOKUP($AU400,DECODE!$A$3:$C$8,2,FALSE),"?"))</f>
        <v/>
      </c>
      <c r="BC400">
        <f>IF($P400="","",UPPER(TRIM(LEFT($P400&amp;",",FIND(",",$P400&amp;",")-1))))</f>
        <v/>
      </c>
      <c r="BD400">
        <f>IF($BC400="","",MID($BC400,4,FIND("~",SUBSTITUTE($BC400,"-","~",2))-4))</f>
        <v/>
      </c>
      <c r="BE400">
        <f>IF($BC400="","",MID($BC400,FIND("~",SUBSTITUTE($BC400,"-","~",2))+1,FIND("~",SUBSTITUTE($BC400,"-","~",3))-FIND("~",SUBSTITUTE($BC400,"-","~",2))-1))</f>
        <v/>
      </c>
      <c r="BF400">
        <f>IF($BD400="","",IFERROR(VLOOKUP($BD400,DECODE!$A$3:$C$8,3,FALSE),"?"))</f>
        <v/>
      </c>
      <c r="BG400">
        <f>IF($BE400="","",IFERROR(VLOOKUP($BD400&amp;"-"&amp;$BE400,DECODE!$E$3:$F$21,2,FALSE),"?"))</f>
        <v/>
      </c>
      <c r="BH400">
        <f>IF($BC400="","",IFERROR(VALUE(RIGHT($BC400,3)),""))</f>
        <v/>
      </c>
      <c r="BI400">
        <f>IF($V400="","",IFERROR(IF(ISNUMBER($V400),$V400,DATEVALUE(TRIM($V400))),""))</f>
        <v/>
      </c>
      <c r="BJ400">
        <f>IF($BI400="","",IF(MONTH($BI400)&gt;=12,"Cold Winter",IF(MONTH($BI400)&gt;=10,"Post-Monsoon",IF(MONTH($BI400)&gt;=6,"Hot Humid",IF(MONTH($BI400)&gt;=3,"Hot Dry","Cold Winter")))))</f>
        <v/>
      </c>
      <c r="BK400">
        <f>IF($BD400="","",IFERROR(VLOOKUP($BD400,DECODE!$A$3:$C$8,2,FALSE),"?"))</f>
        <v/>
      </c>
      <c r="BL400">
        <f>IF($Q400="","",UPPER(TRIM(LEFT($Q400&amp;",",FIND(",",$Q400&amp;",")-1))))</f>
        <v/>
      </c>
      <c r="BM400">
        <f>IF($BL400="","",MID($BL400,4,FIND("~",SUBSTITUTE($BL400,"-","~",2))-4))</f>
        <v/>
      </c>
      <c r="BN400">
        <f>IF($BL400="","",MID($BL400,FIND("~",SUBSTITUTE($BL400,"-","~",2))+1,FIND("~",SUBSTITUTE($BL400,"-","~",3))-FIND("~",SUBSTITUTE($BL400,"-","~",2))-1))</f>
        <v/>
      </c>
      <c r="BO400">
        <f>IF($BM400="","",IFERROR(VLOOKUP($BM400,DECODE!$A$3:$C$8,3,FALSE),"?"))</f>
        <v/>
      </c>
      <c r="BP400">
        <f>IF($BN400="","",IFERROR(VLOOKUP($BM400&amp;"-"&amp;$BN400,DECODE!$E$3:$F$21,2,FALSE),"?"))</f>
        <v/>
      </c>
      <c r="BQ400">
        <f>IF($BL400="","",IFERROR(VALUE(RIGHT($BL400,3)),""))</f>
        <v/>
      </c>
      <c r="BR400">
        <f>IF($W400="","",IFERROR(IF(ISNUMBER($W400),$W400,DATEVALUE(TRIM($W400))),""))</f>
        <v/>
      </c>
      <c r="BS400">
        <f>IF($BR400="","",IF(MONTH($BR400)&gt;=12,"Cold Winter",IF(MONTH($BR400)&gt;=10,"Post-Monsoon",IF(MONTH($BR400)&gt;=6,"Hot Humid",IF(MONTH($BR400)&gt;=3,"Hot Dry","Cold Winter")))))</f>
        <v/>
      </c>
      <c r="BT400">
        <f>IF($BM400="","",IFERROR(VLOOKUP($BM400,DECODE!$A$3:$C$8,2,FALSE),"?"))</f>
        <v/>
      </c>
      <c r="BU400">
        <f>IF($R400="","",UPPER(TRIM(LEFT($R400&amp;",",FIND(",",$R400&amp;",")-1))))</f>
        <v/>
      </c>
      <c r="BV400">
        <f>IF($BU400="","",MID($BU400,4,FIND("~",SUBSTITUTE($BU400,"-","~",2))-4))</f>
        <v/>
      </c>
      <c r="BW400">
        <f>IF($BU400="","",MID($BU400,FIND("~",SUBSTITUTE($BU400,"-","~",2))+1,FIND("~",SUBSTITUTE($BU400,"-","~",3))-FIND("~",SUBSTITUTE($BU400,"-","~",2))-1))</f>
        <v/>
      </c>
      <c r="BX400">
        <f>IF($BV400="","",IFERROR(VLOOKUP($BV400,DECODE!$A$3:$C$8,3,FALSE),"?"))</f>
        <v/>
      </c>
      <c r="BY400">
        <f>IF($BW400="","",IFERROR(VLOOKUP($BV400&amp;"-"&amp;$BW400,DECODE!$E$3:$F$21,2,FALSE),"?"))</f>
        <v/>
      </c>
      <c r="BZ400">
        <f>IF($BU400="","",IFERROR(VALUE(RIGHT($BU400,3)),""))</f>
        <v/>
      </c>
      <c r="CA400">
        <f>IF($X400="","",IFERROR(IF(ISNUMBER($X400),$X400,DATEVALUE(TRIM($X400))),""))</f>
        <v/>
      </c>
      <c r="CB400">
        <f>IF($CA400="","",IF(MONTH($CA400)&gt;=12,"Cold Winter",IF(MONTH($CA400)&gt;=10,"Post-Monsoon",IF(MONTH($CA400)&gt;=6,"Hot Humid",IF(MONTH($CA400)&gt;=3,"Hot Dry","Cold Winter")))))</f>
        <v/>
      </c>
      <c r="CC400">
        <f>IF($BV400="","",IFERROR(VLOOKUP($BV400,DECODE!$A$3:$C$8,2,FALSE),"?"))</f>
        <v/>
      </c>
      <c r="CD400">
        <f>IF($S400="","",UPPER(TRIM(LEFT($S400&amp;",",FIND(",",$S400&amp;",")-1))))</f>
        <v/>
      </c>
      <c r="CE400">
        <f>IF($CD400="","",MID($CD400,4,FIND("~",SUBSTITUTE($CD400,"-","~",2))-4))</f>
        <v/>
      </c>
      <c r="CF400">
        <f>IF($CD400="","",MID($CD400,FIND("~",SUBSTITUTE($CD400,"-","~",2))+1,FIND("~",SUBSTITUTE($CD400,"-","~",3))-FIND("~",SUBSTITUTE($CD400,"-","~",2))-1))</f>
        <v/>
      </c>
      <c r="CG400">
        <f>IF($CE400="","",IFERROR(VLOOKUP($CE400,DECODE!$A$3:$C$8,3,FALSE),"?"))</f>
        <v/>
      </c>
      <c r="CH400">
        <f>IF($CF400="","",IFERROR(VLOOKUP($CE400&amp;"-"&amp;$CF400,DECODE!$E$3:$F$21,2,FALSE),"?"))</f>
        <v/>
      </c>
      <c r="CI400">
        <f>IF($CD400="","",IFERROR(VALUE(RIGHT($CD400,3)),""))</f>
        <v/>
      </c>
      <c r="CJ400">
        <f>IF($Y400="","",IFERROR(IF(ISNUMBER($Y400),$Y400,DATEVALUE(TRIM($Y400))),""))</f>
        <v/>
      </c>
      <c r="CK400">
        <f>IF($CJ400="","",IF(MONTH($CJ400)&gt;=12,"Cold Winter",IF(MONTH($CJ400)&gt;=10,"Post-Monsoon",IF(MONTH($CJ400)&gt;=6,"Hot Humid",IF(MONTH($CJ400)&gt;=3,"Hot Dry","Cold Winter")))))</f>
        <v/>
      </c>
      <c r="CL400">
        <f>IF($CE400="","",IFERROR(VLOOKUP($CE400,DECODE!$A$3:$C$8,2,FALSE),"?"))</f>
        <v/>
      </c>
      <c r="CM400">
        <f>IF($AN400="","",AN400)</f>
        <v/>
      </c>
      <c r="CN400">
        <f>IF($AO400="","",AO400)</f>
        <v/>
      </c>
      <c r="CO400">
        <f>IF($AP400="","",AP400)</f>
        <v/>
      </c>
      <c r="CP400">
        <f>IF($CM400="","",IF($CM400="Aloe Vera Gel","Aloe Vera Gel "&amp;$CO400&amp;"g",CN400&amp;" "&amp;$CO400&amp;"g"))</f>
        <v/>
      </c>
      <c r="CQ400">
        <f>IF($AT400="",0,1)</f>
        <v/>
      </c>
      <c r="CR400">
        <f>IF($CQ400=0,"",AW400)</f>
        <v/>
      </c>
      <c r="CS400">
        <f>IF($CQ400=0,"",AX400)</f>
        <v/>
      </c>
      <c r="CT400">
        <f>IF($CQ400=0,"",AY400)</f>
        <v/>
      </c>
      <c r="CU400">
        <f>IF($CR400="","",IF($CR400="Aloe Vera Gel","Aloe Vera Gel "&amp;$CT400&amp;"g",CS400&amp;" "&amp;$CT400&amp;"g"))</f>
        <v/>
      </c>
      <c r="CV400">
        <f>IF($CQ400=0,"",IF($CP400=$CU400,"Repeat Exact",IF($CT400&gt;$CO400,"Upsized",IF($CT400&lt;$CO400,"Downsized",IF($CM400&lt;&gt;$CR400,"Lateral","Same Size Diff Variant")))))</f>
        <v/>
      </c>
      <c r="CW400">
        <f>IF($CQ400=0,"",AZ400-AQ400)</f>
        <v/>
      </c>
      <c r="CX400">
        <f>IF($CQ400=0,0,IF(CS400=CN400,1,0))</f>
        <v/>
      </c>
      <c r="CY400">
        <f>IF($CQ400=0,0,IF(CR400=CM400,1,0))</f>
        <v/>
      </c>
      <c r="CZ400">
        <f>IF($A400="","",IF(AND(IF(DASHBOARD!$C$4="All",TRUE,$CM400=DASHBOARD!$C$4),IF(DASHBOARD!$C$6="All",TRUE,$CP400=DASHBOARD!$C$6),IF(DASHBOARD!$C$8="All",TRUE,$AF400&gt;=DASHBOARD!$C$8),IF(DASHBOARD!$C$10="All",TRUE,$AF400&lt;=DASHBOARD!$C$10),IF(DASHBOARD!$C$12="All",TRUE,$AH400=VALUE(DASHBOARD!$C$12)),IF(DASHBOARD!$C$14="All",TRUE,$AJ400=DASHBOARD!$C$14)),1,0))</f>
        <v/>
      </c>
    </row>
    <row r="401">
      <c r="A401" t="n">
        <v>197371</v>
      </c>
      <c r="B401" t="inlineStr">
        <is>
          <t>Aloe Vera Gel</t>
        </is>
      </c>
      <c r="H401" t="inlineStr">
        <is>
          <t>Aloe Vera Gel - 80 gms</t>
        </is>
      </c>
      <c r="N401" t="inlineStr">
        <is>
          <t>FC-HG-PA-080</t>
        </is>
      </c>
      <c r="T401" t="inlineStr">
        <is>
          <t>Jun 11, 2025</t>
        </is>
      </c>
      <c r="AE401" t="inlineStr">
        <is>
          <t>Bengaluru</t>
        </is>
      </c>
      <c r="AF401" t="inlineStr">
        <is>
          <t>2025-06</t>
        </is>
      </c>
      <c r="AG401" t="n">
        <v>6</v>
      </c>
      <c r="AH401" t="n">
        <v>1</v>
      </c>
      <c r="AI401" t="n">
        <v>0</v>
      </c>
      <c r="AJ401">
        <f>IF($AE401="","",IFERROR(VLOOKUP(TRIM($AE401),DECODE!$H$3:$I$60,2,FALSE),"Rest of India"))</f>
        <v/>
      </c>
      <c r="AK401">
        <f>IF($N401="","",UPPER(TRIM(LEFT($N401&amp;",",FIND(",",$N401&amp;",")-1))))</f>
        <v/>
      </c>
      <c r="AL401">
        <f>IF($AK401="","",MID($AK401,4,FIND("~",SUBSTITUTE($AK401,"-","~",2))-4))</f>
        <v/>
      </c>
      <c r="AM401">
        <f>IF($AK401="","",MID($AK401,FIND("~",SUBSTITUTE($AK401,"-","~",2))+1,FIND("~",SUBSTITUTE($AK401,"-","~",3))-FIND("~",SUBSTITUTE($AK401,"-","~",2))-1))</f>
        <v/>
      </c>
      <c r="AN401">
        <f>IF($AL401="","",IFERROR(VLOOKUP($AL401,DECODE!$A$3:$C$8,3,FALSE),"?"))</f>
        <v/>
      </c>
      <c r="AO401">
        <f>IF($AM401="","",IFERROR(VLOOKUP($AL401&amp;"-"&amp;$AM401,DECODE!$E$3:$F$21,2,FALSE),"?"))</f>
        <v/>
      </c>
      <c r="AP401">
        <f>IF($AK401="","",IFERROR(VALUE(RIGHT($AK401,3)),""))</f>
        <v/>
      </c>
      <c r="AQ401">
        <f>IF($T401="","",IFERROR(IF(ISNUMBER($T401),$T401,DATEVALUE(TRIM($T401))),""))</f>
        <v/>
      </c>
      <c r="AR401">
        <f>IF($AQ401="","",IF(MONTH($AQ401)&gt;=12,"Cold Winter",IF(MONTH($AQ401)&gt;=10,"Post-Monsoon",IF(MONTH($AQ401)&gt;=6,"Hot Humid",IF(MONTH($AQ401)&gt;=3,"Hot Dry","Cold Winter")))))</f>
        <v/>
      </c>
      <c r="AS401">
        <f>IF($AL401="","",IFERROR(VLOOKUP($AL401,DECODE!$A$3:$C$8,2,FALSE),"?"))</f>
        <v/>
      </c>
      <c r="AT401">
        <f>IF($O401="","",UPPER(TRIM(LEFT($O401&amp;",",FIND(",",$O401&amp;",")-1))))</f>
        <v/>
      </c>
      <c r="AU401">
        <f>IF($AT401="","",MID($AT401,4,FIND("~",SUBSTITUTE($AT401,"-","~",2))-4))</f>
        <v/>
      </c>
      <c r="AV401">
        <f>IF($AT401="","",MID($AT401,FIND("~",SUBSTITUTE($AT401,"-","~",2))+1,FIND("~",SUBSTITUTE($AT401,"-","~",3))-FIND("~",SUBSTITUTE($AT401,"-","~",2))-1))</f>
        <v/>
      </c>
      <c r="AW401">
        <f>IF($AU401="","",IFERROR(VLOOKUP($AU401,DECODE!$A$3:$C$8,3,FALSE),"?"))</f>
        <v/>
      </c>
      <c r="AX401">
        <f>IF($AV401="","",IFERROR(VLOOKUP($AU401&amp;"-"&amp;$AV401,DECODE!$E$3:$F$21,2,FALSE),"?"))</f>
        <v/>
      </c>
      <c r="AY401">
        <f>IF($AT401="","",IFERROR(VALUE(RIGHT($AT401,3)),""))</f>
        <v/>
      </c>
      <c r="AZ401">
        <f>IF($U401="","",IFERROR(IF(ISNUMBER($U401),$U401,DATEVALUE(TRIM($U401))),""))</f>
        <v/>
      </c>
      <c r="BA401">
        <f>IF($AZ401="","",IF(MONTH($AZ401)&gt;=12,"Cold Winter",IF(MONTH($AZ401)&gt;=10,"Post-Monsoon",IF(MONTH($AZ401)&gt;=6,"Hot Humid",IF(MONTH($AZ401)&gt;=3,"Hot Dry","Cold Winter")))))</f>
        <v/>
      </c>
      <c r="BB401">
        <f>IF($AU401="","",IFERROR(VLOOKUP($AU401,DECODE!$A$3:$C$8,2,FALSE),"?"))</f>
        <v/>
      </c>
      <c r="BC401">
        <f>IF($P401="","",UPPER(TRIM(LEFT($P401&amp;",",FIND(",",$P401&amp;",")-1))))</f>
        <v/>
      </c>
      <c r="BD401">
        <f>IF($BC401="","",MID($BC401,4,FIND("~",SUBSTITUTE($BC401,"-","~",2))-4))</f>
        <v/>
      </c>
      <c r="BE401">
        <f>IF($BC401="","",MID($BC401,FIND("~",SUBSTITUTE($BC401,"-","~",2))+1,FIND("~",SUBSTITUTE($BC401,"-","~",3))-FIND("~",SUBSTITUTE($BC401,"-","~",2))-1))</f>
        <v/>
      </c>
      <c r="BF401">
        <f>IF($BD401="","",IFERROR(VLOOKUP($BD401,DECODE!$A$3:$C$8,3,FALSE),"?"))</f>
        <v/>
      </c>
      <c r="BG401">
        <f>IF($BE401="","",IFERROR(VLOOKUP($BD401&amp;"-"&amp;$BE401,DECODE!$E$3:$F$21,2,FALSE),"?"))</f>
        <v/>
      </c>
      <c r="BH401">
        <f>IF($BC401="","",IFERROR(VALUE(RIGHT($BC401,3)),""))</f>
        <v/>
      </c>
      <c r="BI401">
        <f>IF($V401="","",IFERROR(IF(ISNUMBER($V401),$V401,DATEVALUE(TRIM($V401))),""))</f>
        <v/>
      </c>
      <c r="BJ401">
        <f>IF($BI401="","",IF(MONTH($BI401)&gt;=12,"Cold Winter",IF(MONTH($BI401)&gt;=10,"Post-Monsoon",IF(MONTH($BI401)&gt;=6,"Hot Humid",IF(MONTH($BI401)&gt;=3,"Hot Dry","Cold Winter")))))</f>
        <v/>
      </c>
      <c r="BK401">
        <f>IF($BD401="","",IFERROR(VLOOKUP($BD401,DECODE!$A$3:$C$8,2,FALSE),"?"))</f>
        <v/>
      </c>
      <c r="BL401">
        <f>IF($Q401="","",UPPER(TRIM(LEFT($Q401&amp;",",FIND(",",$Q401&amp;",")-1))))</f>
        <v/>
      </c>
      <c r="BM401">
        <f>IF($BL401="","",MID($BL401,4,FIND("~",SUBSTITUTE($BL401,"-","~",2))-4))</f>
        <v/>
      </c>
      <c r="BN401">
        <f>IF($BL401="","",MID($BL401,FIND("~",SUBSTITUTE($BL401,"-","~",2))+1,FIND("~",SUBSTITUTE($BL401,"-","~",3))-FIND("~",SUBSTITUTE($BL401,"-","~",2))-1))</f>
        <v/>
      </c>
      <c r="BO401">
        <f>IF($BM401="","",IFERROR(VLOOKUP($BM401,DECODE!$A$3:$C$8,3,FALSE),"?"))</f>
        <v/>
      </c>
      <c r="BP401">
        <f>IF($BN401="","",IFERROR(VLOOKUP($BM401&amp;"-"&amp;$BN401,DECODE!$E$3:$F$21,2,FALSE),"?"))</f>
        <v/>
      </c>
      <c r="BQ401">
        <f>IF($BL401="","",IFERROR(VALUE(RIGHT($BL401,3)),""))</f>
        <v/>
      </c>
      <c r="BR401">
        <f>IF($W401="","",IFERROR(IF(ISNUMBER($W401),$W401,DATEVALUE(TRIM($W401))),""))</f>
        <v/>
      </c>
      <c r="BS401">
        <f>IF($BR401="","",IF(MONTH($BR401)&gt;=12,"Cold Winter",IF(MONTH($BR401)&gt;=10,"Post-Monsoon",IF(MONTH($BR401)&gt;=6,"Hot Humid",IF(MONTH($BR401)&gt;=3,"Hot Dry","Cold Winter")))))</f>
        <v/>
      </c>
      <c r="BT401">
        <f>IF($BM401="","",IFERROR(VLOOKUP($BM401,DECODE!$A$3:$C$8,2,FALSE),"?"))</f>
        <v/>
      </c>
      <c r="BU401">
        <f>IF($R401="","",UPPER(TRIM(LEFT($R401&amp;",",FIND(",",$R401&amp;",")-1))))</f>
        <v/>
      </c>
      <c r="BV401">
        <f>IF($BU401="","",MID($BU401,4,FIND("~",SUBSTITUTE($BU401,"-","~",2))-4))</f>
        <v/>
      </c>
      <c r="BW401">
        <f>IF($BU401="","",MID($BU401,FIND("~",SUBSTITUTE($BU401,"-","~",2))+1,FIND("~",SUBSTITUTE($BU401,"-","~",3))-FIND("~",SUBSTITUTE($BU401,"-","~",2))-1))</f>
        <v/>
      </c>
      <c r="BX401">
        <f>IF($BV401="","",IFERROR(VLOOKUP($BV401,DECODE!$A$3:$C$8,3,FALSE),"?"))</f>
        <v/>
      </c>
      <c r="BY401">
        <f>IF($BW401="","",IFERROR(VLOOKUP($BV401&amp;"-"&amp;$BW401,DECODE!$E$3:$F$21,2,FALSE),"?"))</f>
        <v/>
      </c>
      <c r="BZ401">
        <f>IF($BU401="","",IFERROR(VALUE(RIGHT($BU401,3)),""))</f>
        <v/>
      </c>
      <c r="CA401">
        <f>IF($X401="","",IFERROR(IF(ISNUMBER($X401),$X401,DATEVALUE(TRIM($X401))),""))</f>
        <v/>
      </c>
      <c r="CB401">
        <f>IF($CA401="","",IF(MONTH($CA401)&gt;=12,"Cold Winter",IF(MONTH($CA401)&gt;=10,"Post-Monsoon",IF(MONTH($CA401)&gt;=6,"Hot Humid",IF(MONTH($CA401)&gt;=3,"Hot Dry","Cold Winter")))))</f>
        <v/>
      </c>
      <c r="CC401">
        <f>IF($BV401="","",IFERROR(VLOOKUP($BV401,DECODE!$A$3:$C$8,2,FALSE),"?"))</f>
        <v/>
      </c>
      <c r="CD401">
        <f>IF($S401="","",UPPER(TRIM(LEFT($S401&amp;",",FIND(",",$S401&amp;",")-1))))</f>
        <v/>
      </c>
      <c r="CE401">
        <f>IF($CD401="","",MID($CD401,4,FIND("~",SUBSTITUTE($CD401,"-","~",2))-4))</f>
        <v/>
      </c>
      <c r="CF401">
        <f>IF($CD401="","",MID($CD401,FIND("~",SUBSTITUTE($CD401,"-","~",2))+1,FIND("~",SUBSTITUTE($CD401,"-","~",3))-FIND("~",SUBSTITUTE($CD401,"-","~",2))-1))</f>
        <v/>
      </c>
      <c r="CG401">
        <f>IF($CE401="","",IFERROR(VLOOKUP($CE401,DECODE!$A$3:$C$8,3,FALSE),"?"))</f>
        <v/>
      </c>
      <c r="CH401">
        <f>IF($CF401="","",IFERROR(VLOOKUP($CE401&amp;"-"&amp;$CF401,DECODE!$E$3:$F$21,2,FALSE),"?"))</f>
        <v/>
      </c>
      <c r="CI401">
        <f>IF($CD401="","",IFERROR(VALUE(RIGHT($CD401,3)),""))</f>
        <v/>
      </c>
      <c r="CJ401">
        <f>IF($Y401="","",IFERROR(IF(ISNUMBER($Y401),$Y401,DATEVALUE(TRIM($Y401))),""))</f>
        <v/>
      </c>
      <c r="CK401">
        <f>IF($CJ401="","",IF(MONTH($CJ401)&gt;=12,"Cold Winter",IF(MONTH($CJ401)&gt;=10,"Post-Monsoon",IF(MONTH($CJ401)&gt;=6,"Hot Humid",IF(MONTH($CJ401)&gt;=3,"Hot Dry","Cold Winter")))))</f>
        <v/>
      </c>
      <c r="CL401">
        <f>IF($CE401="","",IFERROR(VLOOKUP($CE401,DECODE!$A$3:$C$8,2,FALSE),"?"))</f>
        <v/>
      </c>
      <c r="CM401">
        <f>IF($AN401="","",AN401)</f>
        <v/>
      </c>
      <c r="CN401">
        <f>IF($AO401="","",AO401)</f>
        <v/>
      </c>
      <c r="CO401">
        <f>IF($AP401="","",AP401)</f>
        <v/>
      </c>
      <c r="CP401">
        <f>IF($CM401="","",IF($CM401="Aloe Vera Gel","Aloe Vera Gel "&amp;$CO401&amp;"g",CN401&amp;" "&amp;$CO401&amp;"g"))</f>
        <v/>
      </c>
      <c r="CQ401">
        <f>IF($AT401="",0,1)</f>
        <v/>
      </c>
      <c r="CR401">
        <f>IF($CQ401=0,"",AW401)</f>
        <v/>
      </c>
      <c r="CS401">
        <f>IF($CQ401=0,"",AX401)</f>
        <v/>
      </c>
      <c r="CT401">
        <f>IF($CQ401=0,"",AY401)</f>
        <v/>
      </c>
      <c r="CU401">
        <f>IF($CR401="","",IF($CR401="Aloe Vera Gel","Aloe Vera Gel "&amp;$CT401&amp;"g",CS401&amp;" "&amp;$CT401&amp;"g"))</f>
        <v/>
      </c>
      <c r="CV401">
        <f>IF($CQ401=0,"",IF($CP401=$CU401,"Repeat Exact",IF($CT401&gt;$CO401,"Upsized",IF($CT401&lt;$CO401,"Downsized",IF($CM401&lt;&gt;$CR401,"Lateral","Same Size Diff Variant")))))</f>
        <v/>
      </c>
      <c r="CW401">
        <f>IF($CQ401=0,"",AZ401-AQ401)</f>
        <v/>
      </c>
      <c r="CX401">
        <f>IF($CQ401=0,0,IF(CS401=CN401,1,0))</f>
        <v/>
      </c>
      <c r="CY401">
        <f>IF($CQ401=0,0,IF(CR401=CM401,1,0))</f>
        <v/>
      </c>
      <c r="CZ401">
        <f>IF($A401="","",IF(AND(IF(DASHBOARD!$C$4="All",TRUE,$CM401=DASHBOARD!$C$4),IF(DASHBOARD!$C$6="All",TRUE,$CP401=DASHBOARD!$C$6),IF(DASHBOARD!$C$8="All",TRUE,$AF401&gt;=DASHBOARD!$C$8),IF(DASHBOARD!$C$10="All",TRUE,$AF401&lt;=DASHBOARD!$C$10),IF(DASHBOARD!$C$12="All",TRUE,$AH401=VALUE(DASHBOARD!$C$12)),IF(DASHBOARD!$C$14="All",TRUE,$AJ401=DASHBOARD!$C$14)),1,0))</f>
        <v/>
      </c>
    </row>
    <row r="402">
      <c r="A402" t="n">
        <v>197493</v>
      </c>
      <c r="B402" t="inlineStr">
        <is>
          <t>Face Malai</t>
        </is>
      </c>
      <c r="H402" t="inlineStr">
        <is>
          <t>Cocoa Mogra (Overnight) Face Malai - 30g</t>
        </is>
      </c>
      <c r="N402" t="inlineStr">
        <is>
          <t>FC-DM-NR-030</t>
        </is>
      </c>
      <c r="T402" t="inlineStr">
        <is>
          <t>Apr 18, 2025</t>
        </is>
      </c>
      <c r="AE402" t="inlineStr">
        <is>
          <t>Kanpur</t>
        </is>
      </c>
      <c r="AF402" t="inlineStr">
        <is>
          <t>2025-04</t>
        </is>
      </c>
      <c r="AG402" t="n">
        <v>4</v>
      </c>
      <c r="AH402" t="n">
        <v>1</v>
      </c>
      <c r="AI402" t="n">
        <v>0</v>
      </c>
      <c r="AJ402">
        <f>IF($AE402="","",IFERROR(VLOOKUP(TRIM($AE402),DECODE!$H$3:$I$60,2,FALSE),"Rest of India"))</f>
        <v/>
      </c>
      <c r="AK402">
        <f>IF($N402="","",UPPER(TRIM(LEFT($N402&amp;",",FIND(",",$N402&amp;",")-1))))</f>
        <v/>
      </c>
      <c r="AL402">
        <f>IF($AK402="","",MID($AK402,4,FIND("~",SUBSTITUTE($AK402,"-","~",2))-4))</f>
        <v/>
      </c>
      <c r="AM402">
        <f>IF($AK402="","",MID($AK402,FIND("~",SUBSTITUTE($AK402,"-","~",2))+1,FIND("~",SUBSTITUTE($AK402,"-","~",3))-FIND("~",SUBSTITUTE($AK402,"-","~",2))-1))</f>
        <v/>
      </c>
      <c r="AN402">
        <f>IF($AL402="","",IFERROR(VLOOKUP($AL402,DECODE!$A$3:$C$8,3,FALSE),"?"))</f>
        <v/>
      </c>
      <c r="AO402">
        <f>IF($AM402="","",IFERROR(VLOOKUP($AL402&amp;"-"&amp;$AM402,DECODE!$E$3:$F$21,2,FALSE),"?"))</f>
        <v/>
      </c>
      <c r="AP402">
        <f>IF($AK402="","",IFERROR(VALUE(RIGHT($AK402,3)),""))</f>
        <v/>
      </c>
      <c r="AQ402">
        <f>IF($T402="","",IFERROR(IF(ISNUMBER($T402),$T402,DATEVALUE(TRIM($T402))),""))</f>
        <v/>
      </c>
      <c r="AR402">
        <f>IF($AQ402="","",IF(MONTH($AQ402)&gt;=12,"Cold Winter",IF(MONTH($AQ402)&gt;=10,"Post-Monsoon",IF(MONTH($AQ402)&gt;=6,"Hot Humid",IF(MONTH($AQ402)&gt;=3,"Hot Dry","Cold Winter")))))</f>
        <v/>
      </c>
      <c r="AS402">
        <f>IF($AL402="","",IFERROR(VLOOKUP($AL402,DECODE!$A$3:$C$8,2,FALSE),"?"))</f>
        <v/>
      </c>
      <c r="AT402">
        <f>IF($O402="","",UPPER(TRIM(LEFT($O402&amp;",",FIND(",",$O402&amp;",")-1))))</f>
        <v/>
      </c>
      <c r="AU402">
        <f>IF($AT402="","",MID($AT402,4,FIND("~",SUBSTITUTE($AT402,"-","~",2))-4))</f>
        <v/>
      </c>
      <c r="AV402">
        <f>IF($AT402="","",MID($AT402,FIND("~",SUBSTITUTE($AT402,"-","~",2))+1,FIND("~",SUBSTITUTE($AT402,"-","~",3))-FIND("~",SUBSTITUTE($AT402,"-","~",2))-1))</f>
        <v/>
      </c>
      <c r="AW402">
        <f>IF($AU402="","",IFERROR(VLOOKUP($AU402,DECODE!$A$3:$C$8,3,FALSE),"?"))</f>
        <v/>
      </c>
      <c r="AX402">
        <f>IF($AV402="","",IFERROR(VLOOKUP($AU402&amp;"-"&amp;$AV402,DECODE!$E$3:$F$21,2,FALSE),"?"))</f>
        <v/>
      </c>
      <c r="AY402">
        <f>IF($AT402="","",IFERROR(VALUE(RIGHT($AT402,3)),""))</f>
        <v/>
      </c>
      <c r="AZ402">
        <f>IF($U402="","",IFERROR(IF(ISNUMBER($U402),$U402,DATEVALUE(TRIM($U402))),""))</f>
        <v/>
      </c>
      <c r="BA402">
        <f>IF($AZ402="","",IF(MONTH($AZ402)&gt;=12,"Cold Winter",IF(MONTH($AZ402)&gt;=10,"Post-Monsoon",IF(MONTH($AZ402)&gt;=6,"Hot Humid",IF(MONTH($AZ402)&gt;=3,"Hot Dry","Cold Winter")))))</f>
        <v/>
      </c>
      <c r="BB402">
        <f>IF($AU402="","",IFERROR(VLOOKUP($AU402,DECODE!$A$3:$C$8,2,FALSE),"?"))</f>
        <v/>
      </c>
      <c r="BC402">
        <f>IF($P402="","",UPPER(TRIM(LEFT($P402&amp;",",FIND(",",$P402&amp;",")-1))))</f>
        <v/>
      </c>
      <c r="BD402">
        <f>IF($BC402="","",MID($BC402,4,FIND("~",SUBSTITUTE($BC402,"-","~",2))-4))</f>
        <v/>
      </c>
      <c r="BE402">
        <f>IF($BC402="","",MID($BC402,FIND("~",SUBSTITUTE($BC402,"-","~",2))+1,FIND("~",SUBSTITUTE($BC402,"-","~",3))-FIND("~",SUBSTITUTE($BC402,"-","~",2))-1))</f>
        <v/>
      </c>
      <c r="BF402">
        <f>IF($BD402="","",IFERROR(VLOOKUP($BD402,DECODE!$A$3:$C$8,3,FALSE),"?"))</f>
        <v/>
      </c>
      <c r="BG402">
        <f>IF($BE402="","",IFERROR(VLOOKUP($BD402&amp;"-"&amp;$BE402,DECODE!$E$3:$F$21,2,FALSE),"?"))</f>
        <v/>
      </c>
      <c r="BH402">
        <f>IF($BC402="","",IFERROR(VALUE(RIGHT($BC402,3)),""))</f>
        <v/>
      </c>
      <c r="BI402">
        <f>IF($V402="","",IFERROR(IF(ISNUMBER($V402),$V402,DATEVALUE(TRIM($V402))),""))</f>
        <v/>
      </c>
      <c r="BJ402">
        <f>IF($BI402="","",IF(MONTH($BI402)&gt;=12,"Cold Winter",IF(MONTH($BI402)&gt;=10,"Post-Monsoon",IF(MONTH($BI402)&gt;=6,"Hot Humid",IF(MONTH($BI402)&gt;=3,"Hot Dry","Cold Winter")))))</f>
        <v/>
      </c>
      <c r="BK402">
        <f>IF($BD402="","",IFERROR(VLOOKUP($BD402,DECODE!$A$3:$C$8,2,FALSE),"?"))</f>
        <v/>
      </c>
      <c r="BL402">
        <f>IF($Q402="","",UPPER(TRIM(LEFT($Q402&amp;",",FIND(",",$Q402&amp;",")-1))))</f>
        <v/>
      </c>
      <c r="BM402">
        <f>IF($BL402="","",MID($BL402,4,FIND("~",SUBSTITUTE($BL402,"-","~",2))-4))</f>
        <v/>
      </c>
      <c r="BN402">
        <f>IF($BL402="","",MID($BL402,FIND("~",SUBSTITUTE($BL402,"-","~",2))+1,FIND("~",SUBSTITUTE($BL402,"-","~",3))-FIND("~",SUBSTITUTE($BL402,"-","~",2))-1))</f>
        <v/>
      </c>
      <c r="BO402">
        <f>IF($BM402="","",IFERROR(VLOOKUP($BM402,DECODE!$A$3:$C$8,3,FALSE),"?"))</f>
        <v/>
      </c>
      <c r="BP402">
        <f>IF($BN402="","",IFERROR(VLOOKUP($BM402&amp;"-"&amp;$BN402,DECODE!$E$3:$F$21,2,FALSE),"?"))</f>
        <v/>
      </c>
      <c r="BQ402">
        <f>IF($BL402="","",IFERROR(VALUE(RIGHT($BL402,3)),""))</f>
        <v/>
      </c>
      <c r="BR402">
        <f>IF($W402="","",IFERROR(IF(ISNUMBER($W402),$W402,DATEVALUE(TRIM($W402))),""))</f>
        <v/>
      </c>
      <c r="BS402">
        <f>IF($BR402="","",IF(MONTH($BR402)&gt;=12,"Cold Winter",IF(MONTH($BR402)&gt;=10,"Post-Monsoon",IF(MONTH($BR402)&gt;=6,"Hot Humid",IF(MONTH($BR402)&gt;=3,"Hot Dry","Cold Winter")))))</f>
        <v/>
      </c>
      <c r="BT402">
        <f>IF($BM402="","",IFERROR(VLOOKUP($BM402,DECODE!$A$3:$C$8,2,FALSE),"?"))</f>
        <v/>
      </c>
      <c r="BU402">
        <f>IF($R402="","",UPPER(TRIM(LEFT($R402&amp;",",FIND(",",$R402&amp;",")-1))))</f>
        <v/>
      </c>
      <c r="BV402">
        <f>IF($BU402="","",MID($BU402,4,FIND("~",SUBSTITUTE($BU402,"-","~",2))-4))</f>
        <v/>
      </c>
      <c r="BW402">
        <f>IF($BU402="","",MID($BU402,FIND("~",SUBSTITUTE($BU402,"-","~",2))+1,FIND("~",SUBSTITUTE($BU402,"-","~",3))-FIND("~",SUBSTITUTE($BU402,"-","~",2))-1))</f>
        <v/>
      </c>
      <c r="BX402">
        <f>IF($BV402="","",IFERROR(VLOOKUP($BV402,DECODE!$A$3:$C$8,3,FALSE),"?"))</f>
        <v/>
      </c>
      <c r="BY402">
        <f>IF($BW402="","",IFERROR(VLOOKUP($BV402&amp;"-"&amp;$BW402,DECODE!$E$3:$F$21,2,FALSE),"?"))</f>
        <v/>
      </c>
      <c r="BZ402">
        <f>IF($BU402="","",IFERROR(VALUE(RIGHT($BU402,3)),""))</f>
        <v/>
      </c>
      <c r="CA402">
        <f>IF($X402="","",IFERROR(IF(ISNUMBER($X402),$X402,DATEVALUE(TRIM($X402))),""))</f>
        <v/>
      </c>
      <c r="CB402">
        <f>IF($CA402="","",IF(MONTH($CA402)&gt;=12,"Cold Winter",IF(MONTH($CA402)&gt;=10,"Post-Monsoon",IF(MONTH($CA402)&gt;=6,"Hot Humid",IF(MONTH($CA402)&gt;=3,"Hot Dry","Cold Winter")))))</f>
        <v/>
      </c>
      <c r="CC402">
        <f>IF($BV402="","",IFERROR(VLOOKUP($BV402,DECODE!$A$3:$C$8,2,FALSE),"?"))</f>
        <v/>
      </c>
      <c r="CD402">
        <f>IF($S402="","",UPPER(TRIM(LEFT($S402&amp;",",FIND(",",$S402&amp;",")-1))))</f>
        <v/>
      </c>
      <c r="CE402">
        <f>IF($CD402="","",MID($CD402,4,FIND("~",SUBSTITUTE($CD402,"-","~",2))-4))</f>
        <v/>
      </c>
      <c r="CF402">
        <f>IF($CD402="","",MID($CD402,FIND("~",SUBSTITUTE($CD402,"-","~",2))+1,FIND("~",SUBSTITUTE($CD402,"-","~",3))-FIND("~",SUBSTITUTE($CD402,"-","~",2))-1))</f>
        <v/>
      </c>
      <c r="CG402">
        <f>IF($CE402="","",IFERROR(VLOOKUP($CE402,DECODE!$A$3:$C$8,3,FALSE),"?"))</f>
        <v/>
      </c>
      <c r="CH402">
        <f>IF($CF402="","",IFERROR(VLOOKUP($CE402&amp;"-"&amp;$CF402,DECODE!$E$3:$F$21,2,FALSE),"?"))</f>
        <v/>
      </c>
      <c r="CI402">
        <f>IF($CD402="","",IFERROR(VALUE(RIGHT($CD402,3)),""))</f>
        <v/>
      </c>
      <c r="CJ402">
        <f>IF($Y402="","",IFERROR(IF(ISNUMBER($Y402),$Y402,DATEVALUE(TRIM($Y402))),""))</f>
        <v/>
      </c>
      <c r="CK402">
        <f>IF($CJ402="","",IF(MONTH($CJ402)&gt;=12,"Cold Winter",IF(MONTH($CJ402)&gt;=10,"Post-Monsoon",IF(MONTH($CJ402)&gt;=6,"Hot Humid",IF(MONTH($CJ402)&gt;=3,"Hot Dry","Cold Winter")))))</f>
        <v/>
      </c>
      <c r="CL402">
        <f>IF($CE402="","",IFERROR(VLOOKUP($CE402,DECODE!$A$3:$C$8,2,FALSE),"?"))</f>
        <v/>
      </c>
      <c r="CM402">
        <f>IF($AN402="","",AN402)</f>
        <v/>
      </c>
      <c r="CN402">
        <f>IF($AO402="","",AO402)</f>
        <v/>
      </c>
      <c r="CO402">
        <f>IF($AP402="","",AP402)</f>
        <v/>
      </c>
      <c r="CP402">
        <f>IF($CM402="","",IF($CM402="Aloe Vera Gel","Aloe Vera Gel "&amp;$CO402&amp;"g",CN402&amp;" "&amp;$CO402&amp;"g"))</f>
        <v/>
      </c>
      <c r="CQ402">
        <f>IF($AT402="",0,1)</f>
        <v/>
      </c>
      <c r="CR402">
        <f>IF($CQ402=0,"",AW402)</f>
        <v/>
      </c>
      <c r="CS402">
        <f>IF($CQ402=0,"",AX402)</f>
        <v/>
      </c>
      <c r="CT402">
        <f>IF($CQ402=0,"",AY402)</f>
        <v/>
      </c>
      <c r="CU402">
        <f>IF($CR402="","",IF($CR402="Aloe Vera Gel","Aloe Vera Gel "&amp;$CT402&amp;"g",CS402&amp;" "&amp;$CT402&amp;"g"))</f>
        <v/>
      </c>
      <c r="CV402">
        <f>IF($CQ402=0,"",IF($CP402=$CU402,"Repeat Exact",IF($CT402&gt;$CO402,"Upsized",IF($CT402&lt;$CO402,"Downsized",IF($CM402&lt;&gt;$CR402,"Lateral","Same Size Diff Variant")))))</f>
        <v/>
      </c>
      <c r="CW402">
        <f>IF($CQ402=0,"",AZ402-AQ402)</f>
        <v/>
      </c>
      <c r="CX402">
        <f>IF($CQ402=0,0,IF(CS402=CN402,1,0))</f>
        <v/>
      </c>
      <c r="CY402">
        <f>IF($CQ402=0,0,IF(CR402=CM402,1,0))</f>
        <v/>
      </c>
      <c r="CZ402">
        <f>IF($A402="","",IF(AND(IF(DASHBOARD!$C$4="All",TRUE,$CM402=DASHBOARD!$C$4),IF(DASHBOARD!$C$6="All",TRUE,$CP402=DASHBOARD!$C$6),IF(DASHBOARD!$C$8="All",TRUE,$AF402&gt;=DASHBOARD!$C$8),IF(DASHBOARD!$C$10="All",TRUE,$AF402&lt;=DASHBOARD!$C$10),IF(DASHBOARD!$C$12="All",TRUE,$AH402=VALUE(DASHBOARD!$C$12)),IF(DASHBOARD!$C$14="All",TRUE,$AJ402=DASHBOARD!$C$14)),1,0))</f>
        <v/>
      </c>
    </row>
    <row r="403">
      <c r="A403" t="n">
        <v>198049</v>
      </c>
      <c r="B403" t="inlineStr">
        <is>
          <t>Active Gel</t>
        </is>
      </c>
      <c r="H403" t="inlineStr">
        <is>
          <t>Active Orange Kiwi Vit-C Gel</t>
        </is>
      </c>
      <c r="N403" t="inlineStr">
        <is>
          <t>FC-AC-OK-050</t>
        </is>
      </c>
      <c r="T403" t="inlineStr">
        <is>
          <t>Aug 7, 2025</t>
        </is>
      </c>
      <c r="AE403" t="inlineStr">
        <is>
          <t>Srinagar</t>
        </is>
      </c>
      <c r="AF403" t="inlineStr">
        <is>
          <t>2025-08</t>
        </is>
      </c>
      <c r="AG403" t="n">
        <v>8</v>
      </c>
      <c r="AH403" t="n">
        <v>1</v>
      </c>
      <c r="AI403" t="n">
        <v>0</v>
      </c>
      <c r="AJ403">
        <f>IF($AE403="","",IFERROR(VLOOKUP(TRIM($AE403),DECODE!$H$3:$I$60,2,FALSE),"Rest of India"))</f>
        <v/>
      </c>
      <c r="AK403">
        <f>IF($N403="","",UPPER(TRIM(LEFT($N403&amp;",",FIND(",",$N403&amp;",")-1))))</f>
        <v/>
      </c>
      <c r="AL403">
        <f>IF($AK403="","",MID($AK403,4,FIND("~",SUBSTITUTE($AK403,"-","~",2))-4))</f>
        <v/>
      </c>
      <c r="AM403">
        <f>IF($AK403="","",MID($AK403,FIND("~",SUBSTITUTE($AK403,"-","~",2))+1,FIND("~",SUBSTITUTE($AK403,"-","~",3))-FIND("~",SUBSTITUTE($AK403,"-","~",2))-1))</f>
        <v/>
      </c>
      <c r="AN403">
        <f>IF($AL403="","",IFERROR(VLOOKUP($AL403,DECODE!$A$3:$C$8,3,FALSE),"?"))</f>
        <v/>
      </c>
      <c r="AO403">
        <f>IF($AM403="","",IFERROR(VLOOKUP($AL403&amp;"-"&amp;$AM403,DECODE!$E$3:$F$21,2,FALSE),"?"))</f>
        <v/>
      </c>
      <c r="AP403">
        <f>IF($AK403="","",IFERROR(VALUE(RIGHT($AK403,3)),""))</f>
        <v/>
      </c>
      <c r="AQ403">
        <f>IF($T403="","",IFERROR(IF(ISNUMBER($T403),$T403,DATEVALUE(TRIM($T403))),""))</f>
        <v/>
      </c>
      <c r="AR403">
        <f>IF($AQ403="","",IF(MONTH($AQ403)&gt;=12,"Cold Winter",IF(MONTH($AQ403)&gt;=10,"Post-Monsoon",IF(MONTH($AQ403)&gt;=6,"Hot Humid",IF(MONTH($AQ403)&gt;=3,"Hot Dry","Cold Winter")))))</f>
        <v/>
      </c>
      <c r="AS403">
        <f>IF($AL403="","",IFERROR(VLOOKUP($AL403,DECODE!$A$3:$C$8,2,FALSE),"?"))</f>
        <v/>
      </c>
      <c r="AT403">
        <f>IF($O403="","",UPPER(TRIM(LEFT($O403&amp;",",FIND(",",$O403&amp;",")-1))))</f>
        <v/>
      </c>
      <c r="AU403">
        <f>IF($AT403="","",MID($AT403,4,FIND("~",SUBSTITUTE($AT403,"-","~",2))-4))</f>
        <v/>
      </c>
      <c r="AV403">
        <f>IF($AT403="","",MID($AT403,FIND("~",SUBSTITUTE($AT403,"-","~",2))+1,FIND("~",SUBSTITUTE($AT403,"-","~",3))-FIND("~",SUBSTITUTE($AT403,"-","~",2))-1))</f>
        <v/>
      </c>
      <c r="AW403">
        <f>IF($AU403="","",IFERROR(VLOOKUP($AU403,DECODE!$A$3:$C$8,3,FALSE),"?"))</f>
        <v/>
      </c>
      <c r="AX403">
        <f>IF($AV403="","",IFERROR(VLOOKUP($AU403&amp;"-"&amp;$AV403,DECODE!$E$3:$F$21,2,FALSE),"?"))</f>
        <v/>
      </c>
      <c r="AY403">
        <f>IF($AT403="","",IFERROR(VALUE(RIGHT($AT403,3)),""))</f>
        <v/>
      </c>
      <c r="AZ403">
        <f>IF($U403="","",IFERROR(IF(ISNUMBER($U403),$U403,DATEVALUE(TRIM($U403))),""))</f>
        <v/>
      </c>
      <c r="BA403">
        <f>IF($AZ403="","",IF(MONTH($AZ403)&gt;=12,"Cold Winter",IF(MONTH($AZ403)&gt;=10,"Post-Monsoon",IF(MONTH($AZ403)&gt;=6,"Hot Humid",IF(MONTH($AZ403)&gt;=3,"Hot Dry","Cold Winter")))))</f>
        <v/>
      </c>
      <c r="BB403">
        <f>IF($AU403="","",IFERROR(VLOOKUP($AU403,DECODE!$A$3:$C$8,2,FALSE),"?"))</f>
        <v/>
      </c>
      <c r="BC403">
        <f>IF($P403="","",UPPER(TRIM(LEFT($P403&amp;",",FIND(",",$P403&amp;",")-1))))</f>
        <v/>
      </c>
      <c r="BD403">
        <f>IF($BC403="","",MID($BC403,4,FIND("~",SUBSTITUTE($BC403,"-","~",2))-4))</f>
        <v/>
      </c>
      <c r="BE403">
        <f>IF($BC403="","",MID($BC403,FIND("~",SUBSTITUTE($BC403,"-","~",2))+1,FIND("~",SUBSTITUTE($BC403,"-","~",3))-FIND("~",SUBSTITUTE($BC403,"-","~",2))-1))</f>
        <v/>
      </c>
      <c r="BF403">
        <f>IF($BD403="","",IFERROR(VLOOKUP($BD403,DECODE!$A$3:$C$8,3,FALSE),"?"))</f>
        <v/>
      </c>
      <c r="BG403">
        <f>IF($BE403="","",IFERROR(VLOOKUP($BD403&amp;"-"&amp;$BE403,DECODE!$E$3:$F$21,2,FALSE),"?"))</f>
        <v/>
      </c>
      <c r="BH403">
        <f>IF($BC403="","",IFERROR(VALUE(RIGHT($BC403,3)),""))</f>
        <v/>
      </c>
      <c r="BI403">
        <f>IF($V403="","",IFERROR(IF(ISNUMBER($V403),$V403,DATEVALUE(TRIM($V403))),""))</f>
        <v/>
      </c>
      <c r="BJ403">
        <f>IF($BI403="","",IF(MONTH($BI403)&gt;=12,"Cold Winter",IF(MONTH($BI403)&gt;=10,"Post-Monsoon",IF(MONTH($BI403)&gt;=6,"Hot Humid",IF(MONTH($BI403)&gt;=3,"Hot Dry","Cold Winter")))))</f>
        <v/>
      </c>
      <c r="BK403">
        <f>IF($BD403="","",IFERROR(VLOOKUP($BD403,DECODE!$A$3:$C$8,2,FALSE),"?"))</f>
        <v/>
      </c>
      <c r="BL403">
        <f>IF($Q403="","",UPPER(TRIM(LEFT($Q403&amp;",",FIND(",",$Q403&amp;",")-1))))</f>
        <v/>
      </c>
      <c r="BM403">
        <f>IF($BL403="","",MID($BL403,4,FIND("~",SUBSTITUTE($BL403,"-","~",2))-4))</f>
        <v/>
      </c>
      <c r="BN403">
        <f>IF($BL403="","",MID($BL403,FIND("~",SUBSTITUTE($BL403,"-","~",2))+1,FIND("~",SUBSTITUTE($BL403,"-","~",3))-FIND("~",SUBSTITUTE($BL403,"-","~",2))-1))</f>
        <v/>
      </c>
      <c r="BO403">
        <f>IF($BM403="","",IFERROR(VLOOKUP($BM403,DECODE!$A$3:$C$8,3,FALSE),"?"))</f>
        <v/>
      </c>
      <c r="BP403">
        <f>IF($BN403="","",IFERROR(VLOOKUP($BM403&amp;"-"&amp;$BN403,DECODE!$E$3:$F$21,2,FALSE),"?"))</f>
        <v/>
      </c>
      <c r="BQ403">
        <f>IF($BL403="","",IFERROR(VALUE(RIGHT($BL403,3)),""))</f>
        <v/>
      </c>
      <c r="BR403">
        <f>IF($W403="","",IFERROR(IF(ISNUMBER($W403),$W403,DATEVALUE(TRIM($W403))),""))</f>
        <v/>
      </c>
      <c r="BS403">
        <f>IF($BR403="","",IF(MONTH($BR403)&gt;=12,"Cold Winter",IF(MONTH($BR403)&gt;=10,"Post-Monsoon",IF(MONTH($BR403)&gt;=6,"Hot Humid",IF(MONTH($BR403)&gt;=3,"Hot Dry","Cold Winter")))))</f>
        <v/>
      </c>
      <c r="BT403">
        <f>IF($BM403="","",IFERROR(VLOOKUP($BM403,DECODE!$A$3:$C$8,2,FALSE),"?"))</f>
        <v/>
      </c>
      <c r="BU403">
        <f>IF($R403="","",UPPER(TRIM(LEFT($R403&amp;",",FIND(",",$R403&amp;",")-1))))</f>
        <v/>
      </c>
      <c r="BV403">
        <f>IF($BU403="","",MID($BU403,4,FIND("~",SUBSTITUTE($BU403,"-","~",2))-4))</f>
        <v/>
      </c>
      <c r="BW403">
        <f>IF($BU403="","",MID($BU403,FIND("~",SUBSTITUTE($BU403,"-","~",2))+1,FIND("~",SUBSTITUTE($BU403,"-","~",3))-FIND("~",SUBSTITUTE($BU403,"-","~",2))-1))</f>
        <v/>
      </c>
      <c r="BX403">
        <f>IF($BV403="","",IFERROR(VLOOKUP($BV403,DECODE!$A$3:$C$8,3,FALSE),"?"))</f>
        <v/>
      </c>
      <c r="BY403">
        <f>IF($BW403="","",IFERROR(VLOOKUP($BV403&amp;"-"&amp;$BW403,DECODE!$E$3:$F$21,2,FALSE),"?"))</f>
        <v/>
      </c>
      <c r="BZ403">
        <f>IF($BU403="","",IFERROR(VALUE(RIGHT($BU403,3)),""))</f>
        <v/>
      </c>
      <c r="CA403">
        <f>IF($X403="","",IFERROR(IF(ISNUMBER($X403),$X403,DATEVALUE(TRIM($X403))),""))</f>
        <v/>
      </c>
      <c r="CB403">
        <f>IF($CA403="","",IF(MONTH($CA403)&gt;=12,"Cold Winter",IF(MONTH($CA403)&gt;=10,"Post-Monsoon",IF(MONTH($CA403)&gt;=6,"Hot Humid",IF(MONTH($CA403)&gt;=3,"Hot Dry","Cold Winter")))))</f>
        <v/>
      </c>
      <c r="CC403">
        <f>IF($BV403="","",IFERROR(VLOOKUP($BV403,DECODE!$A$3:$C$8,2,FALSE),"?"))</f>
        <v/>
      </c>
      <c r="CD403">
        <f>IF($S403="","",UPPER(TRIM(LEFT($S403&amp;",",FIND(",",$S403&amp;",")-1))))</f>
        <v/>
      </c>
      <c r="CE403">
        <f>IF($CD403="","",MID($CD403,4,FIND("~",SUBSTITUTE($CD403,"-","~",2))-4))</f>
        <v/>
      </c>
      <c r="CF403">
        <f>IF($CD403="","",MID($CD403,FIND("~",SUBSTITUTE($CD403,"-","~",2))+1,FIND("~",SUBSTITUTE($CD403,"-","~",3))-FIND("~",SUBSTITUTE($CD403,"-","~",2))-1))</f>
        <v/>
      </c>
      <c r="CG403">
        <f>IF($CE403="","",IFERROR(VLOOKUP($CE403,DECODE!$A$3:$C$8,3,FALSE),"?"))</f>
        <v/>
      </c>
      <c r="CH403">
        <f>IF($CF403="","",IFERROR(VLOOKUP($CE403&amp;"-"&amp;$CF403,DECODE!$E$3:$F$21,2,FALSE),"?"))</f>
        <v/>
      </c>
      <c r="CI403">
        <f>IF($CD403="","",IFERROR(VALUE(RIGHT($CD403,3)),""))</f>
        <v/>
      </c>
      <c r="CJ403">
        <f>IF($Y403="","",IFERROR(IF(ISNUMBER($Y403),$Y403,DATEVALUE(TRIM($Y403))),""))</f>
        <v/>
      </c>
      <c r="CK403">
        <f>IF($CJ403="","",IF(MONTH($CJ403)&gt;=12,"Cold Winter",IF(MONTH($CJ403)&gt;=10,"Post-Monsoon",IF(MONTH($CJ403)&gt;=6,"Hot Humid",IF(MONTH($CJ403)&gt;=3,"Hot Dry","Cold Winter")))))</f>
        <v/>
      </c>
      <c r="CL403">
        <f>IF($CE403="","",IFERROR(VLOOKUP($CE403,DECODE!$A$3:$C$8,2,FALSE),"?"))</f>
        <v/>
      </c>
      <c r="CM403">
        <f>IF($AN403="","",AN403)</f>
        <v/>
      </c>
      <c r="CN403">
        <f>IF($AO403="","",AO403)</f>
        <v/>
      </c>
      <c r="CO403">
        <f>IF($AP403="","",AP403)</f>
        <v/>
      </c>
      <c r="CP403">
        <f>IF($CM403="","",IF($CM403="Aloe Vera Gel","Aloe Vera Gel "&amp;$CO403&amp;"g",CN403&amp;" "&amp;$CO403&amp;"g"))</f>
        <v/>
      </c>
      <c r="CQ403">
        <f>IF($AT403="",0,1)</f>
        <v/>
      </c>
      <c r="CR403">
        <f>IF($CQ403=0,"",AW403)</f>
        <v/>
      </c>
      <c r="CS403">
        <f>IF($CQ403=0,"",AX403)</f>
        <v/>
      </c>
      <c r="CT403">
        <f>IF($CQ403=0,"",AY403)</f>
        <v/>
      </c>
      <c r="CU403">
        <f>IF($CR403="","",IF($CR403="Aloe Vera Gel","Aloe Vera Gel "&amp;$CT403&amp;"g",CS403&amp;" "&amp;$CT403&amp;"g"))</f>
        <v/>
      </c>
      <c r="CV403">
        <f>IF($CQ403=0,"",IF($CP403=$CU403,"Repeat Exact",IF($CT403&gt;$CO403,"Upsized",IF($CT403&lt;$CO403,"Downsized",IF($CM403&lt;&gt;$CR403,"Lateral","Same Size Diff Variant")))))</f>
        <v/>
      </c>
      <c r="CW403">
        <f>IF($CQ403=0,"",AZ403-AQ403)</f>
        <v/>
      </c>
      <c r="CX403">
        <f>IF($CQ403=0,0,IF(CS403=CN403,1,0))</f>
        <v/>
      </c>
      <c r="CY403">
        <f>IF($CQ403=0,0,IF(CR403=CM403,1,0))</f>
        <v/>
      </c>
      <c r="CZ403">
        <f>IF($A403="","",IF(AND(IF(DASHBOARD!$C$4="All",TRUE,$CM403=DASHBOARD!$C$4),IF(DASHBOARD!$C$6="All",TRUE,$CP403=DASHBOARD!$C$6),IF(DASHBOARD!$C$8="All",TRUE,$AF403&gt;=DASHBOARD!$C$8),IF(DASHBOARD!$C$10="All",TRUE,$AF403&lt;=DASHBOARD!$C$10),IF(DASHBOARD!$C$12="All",TRUE,$AH403=VALUE(DASHBOARD!$C$12)),IF(DASHBOARD!$C$14="All",TRUE,$AJ403=DASHBOARD!$C$14)),1,0))</f>
        <v/>
      </c>
    </row>
    <row r="404">
      <c r="A404" t="n">
        <v>198582</v>
      </c>
      <c r="B404" t="inlineStr">
        <is>
          <t>Active Gel</t>
        </is>
      </c>
      <c r="H404" t="inlineStr">
        <is>
          <t>Active Orange Kiwi Vit-C Gel</t>
        </is>
      </c>
      <c r="N404" t="inlineStr">
        <is>
          <t>FC-AC-OK-050</t>
        </is>
      </c>
      <c r="T404" t="inlineStr">
        <is>
          <t>May 10, 2026</t>
        </is>
      </c>
      <c r="AE404" t="inlineStr">
        <is>
          <t>Darjeeling</t>
        </is>
      </c>
      <c r="AF404" t="inlineStr">
        <is>
          <t>2026-05</t>
        </is>
      </c>
      <c r="AG404" t="n">
        <v>5</v>
      </c>
      <c r="AH404" t="n">
        <v>1</v>
      </c>
      <c r="AI404" t="n">
        <v>0</v>
      </c>
      <c r="AJ404">
        <f>IF($AE404="","",IFERROR(VLOOKUP(TRIM($AE404),DECODE!$H$3:$I$60,2,FALSE),"Rest of India"))</f>
        <v/>
      </c>
      <c r="AK404">
        <f>IF($N404="","",UPPER(TRIM(LEFT($N404&amp;",",FIND(",",$N404&amp;",")-1))))</f>
        <v/>
      </c>
      <c r="AL404">
        <f>IF($AK404="","",MID($AK404,4,FIND("~",SUBSTITUTE($AK404,"-","~",2))-4))</f>
        <v/>
      </c>
      <c r="AM404">
        <f>IF($AK404="","",MID($AK404,FIND("~",SUBSTITUTE($AK404,"-","~",2))+1,FIND("~",SUBSTITUTE($AK404,"-","~",3))-FIND("~",SUBSTITUTE($AK404,"-","~",2))-1))</f>
        <v/>
      </c>
      <c r="AN404">
        <f>IF($AL404="","",IFERROR(VLOOKUP($AL404,DECODE!$A$3:$C$8,3,FALSE),"?"))</f>
        <v/>
      </c>
      <c r="AO404">
        <f>IF($AM404="","",IFERROR(VLOOKUP($AL404&amp;"-"&amp;$AM404,DECODE!$E$3:$F$21,2,FALSE),"?"))</f>
        <v/>
      </c>
      <c r="AP404">
        <f>IF($AK404="","",IFERROR(VALUE(RIGHT($AK404,3)),""))</f>
        <v/>
      </c>
      <c r="AQ404">
        <f>IF($T404="","",IFERROR(IF(ISNUMBER($T404),$T404,DATEVALUE(TRIM($T404))),""))</f>
        <v/>
      </c>
      <c r="AR404">
        <f>IF($AQ404="","",IF(MONTH($AQ404)&gt;=12,"Cold Winter",IF(MONTH($AQ404)&gt;=10,"Post-Monsoon",IF(MONTH($AQ404)&gt;=6,"Hot Humid",IF(MONTH($AQ404)&gt;=3,"Hot Dry","Cold Winter")))))</f>
        <v/>
      </c>
      <c r="AS404">
        <f>IF($AL404="","",IFERROR(VLOOKUP($AL404,DECODE!$A$3:$C$8,2,FALSE),"?"))</f>
        <v/>
      </c>
      <c r="AT404">
        <f>IF($O404="","",UPPER(TRIM(LEFT($O404&amp;",",FIND(",",$O404&amp;",")-1))))</f>
        <v/>
      </c>
      <c r="AU404">
        <f>IF($AT404="","",MID($AT404,4,FIND("~",SUBSTITUTE($AT404,"-","~",2))-4))</f>
        <v/>
      </c>
      <c r="AV404">
        <f>IF($AT404="","",MID($AT404,FIND("~",SUBSTITUTE($AT404,"-","~",2))+1,FIND("~",SUBSTITUTE($AT404,"-","~",3))-FIND("~",SUBSTITUTE($AT404,"-","~",2))-1))</f>
        <v/>
      </c>
      <c r="AW404">
        <f>IF($AU404="","",IFERROR(VLOOKUP($AU404,DECODE!$A$3:$C$8,3,FALSE),"?"))</f>
        <v/>
      </c>
      <c r="AX404">
        <f>IF($AV404="","",IFERROR(VLOOKUP($AU404&amp;"-"&amp;$AV404,DECODE!$E$3:$F$21,2,FALSE),"?"))</f>
        <v/>
      </c>
      <c r="AY404">
        <f>IF($AT404="","",IFERROR(VALUE(RIGHT($AT404,3)),""))</f>
        <v/>
      </c>
      <c r="AZ404">
        <f>IF($U404="","",IFERROR(IF(ISNUMBER($U404),$U404,DATEVALUE(TRIM($U404))),""))</f>
        <v/>
      </c>
      <c r="BA404">
        <f>IF($AZ404="","",IF(MONTH($AZ404)&gt;=12,"Cold Winter",IF(MONTH($AZ404)&gt;=10,"Post-Monsoon",IF(MONTH($AZ404)&gt;=6,"Hot Humid",IF(MONTH($AZ404)&gt;=3,"Hot Dry","Cold Winter")))))</f>
        <v/>
      </c>
      <c r="BB404">
        <f>IF($AU404="","",IFERROR(VLOOKUP($AU404,DECODE!$A$3:$C$8,2,FALSE),"?"))</f>
        <v/>
      </c>
      <c r="BC404">
        <f>IF($P404="","",UPPER(TRIM(LEFT($P404&amp;",",FIND(",",$P404&amp;",")-1))))</f>
        <v/>
      </c>
      <c r="BD404">
        <f>IF($BC404="","",MID($BC404,4,FIND("~",SUBSTITUTE($BC404,"-","~",2))-4))</f>
        <v/>
      </c>
      <c r="BE404">
        <f>IF($BC404="","",MID($BC404,FIND("~",SUBSTITUTE($BC404,"-","~",2))+1,FIND("~",SUBSTITUTE($BC404,"-","~",3))-FIND("~",SUBSTITUTE($BC404,"-","~",2))-1))</f>
        <v/>
      </c>
      <c r="BF404">
        <f>IF($BD404="","",IFERROR(VLOOKUP($BD404,DECODE!$A$3:$C$8,3,FALSE),"?"))</f>
        <v/>
      </c>
      <c r="BG404">
        <f>IF($BE404="","",IFERROR(VLOOKUP($BD404&amp;"-"&amp;$BE404,DECODE!$E$3:$F$21,2,FALSE),"?"))</f>
        <v/>
      </c>
      <c r="BH404">
        <f>IF($BC404="","",IFERROR(VALUE(RIGHT($BC404,3)),""))</f>
        <v/>
      </c>
      <c r="BI404">
        <f>IF($V404="","",IFERROR(IF(ISNUMBER($V404),$V404,DATEVALUE(TRIM($V404))),""))</f>
        <v/>
      </c>
      <c r="BJ404">
        <f>IF($BI404="","",IF(MONTH($BI404)&gt;=12,"Cold Winter",IF(MONTH($BI404)&gt;=10,"Post-Monsoon",IF(MONTH($BI404)&gt;=6,"Hot Humid",IF(MONTH($BI404)&gt;=3,"Hot Dry","Cold Winter")))))</f>
        <v/>
      </c>
      <c r="BK404">
        <f>IF($BD404="","",IFERROR(VLOOKUP($BD404,DECODE!$A$3:$C$8,2,FALSE),"?"))</f>
        <v/>
      </c>
      <c r="BL404">
        <f>IF($Q404="","",UPPER(TRIM(LEFT($Q404&amp;",",FIND(",",$Q404&amp;",")-1))))</f>
        <v/>
      </c>
      <c r="BM404">
        <f>IF($BL404="","",MID($BL404,4,FIND("~",SUBSTITUTE($BL404,"-","~",2))-4))</f>
        <v/>
      </c>
      <c r="BN404">
        <f>IF($BL404="","",MID($BL404,FIND("~",SUBSTITUTE($BL404,"-","~",2))+1,FIND("~",SUBSTITUTE($BL404,"-","~",3))-FIND("~",SUBSTITUTE($BL404,"-","~",2))-1))</f>
        <v/>
      </c>
      <c r="BO404">
        <f>IF($BM404="","",IFERROR(VLOOKUP($BM404,DECODE!$A$3:$C$8,3,FALSE),"?"))</f>
        <v/>
      </c>
      <c r="BP404">
        <f>IF($BN404="","",IFERROR(VLOOKUP($BM404&amp;"-"&amp;$BN404,DECODE!$E$3:$F$21,2,FALSE),"?"))</f>
        <v/>
      </c>
      <c r="BQ404">
        <f>IF($BL404="","",IFERROR(VALUE(RIGHT($BL404,3)),""))</f>
        <v/>
      </c>
      <c r="BR404">
        <f>IF($W404="","",IFERROR(IF(ISNUMBER($W404),$W404,DATEVALUE(TRIM($W404))),""))</f>
        <v/>
      </c>
      <c r="BS404">
        <f>IF($BR404="","",IF(MONTH($BR404)&gt;=12,"Cold Winter",IF(MONTH($BR404)&gt;=10,"Post-Monsoon",IF(MONTH($BR404)&gt;=6,"Hot Humid",IF(MONTH($BR404)&gt;=3,"Hot Dry","Cold Winter")))))</f>
        <v/>
      </c>
      <c r="BT404">
        <f>IF($BM404="","",IFERROR(VLOOKUP($BM404,DECODE!$A$3:$C$8,2,FALSE),"?"))</f>
        <v/>
      </c>
      <c r="BU404">
        <f>IF($R404="","",UPPER(TRIM(LEFT($R404&amp;",",FIND(",",$R404&amp;",")-1))))</f>
        <v/>
      </c>
      <c r="BV404">
        <f>IF($BU404="","",MID($BU404,4,FIND("~",SUBSTITUTE($BU404,"-","~",2))-4))</f>
        <v/>
      </c>
      <c r="BW404">
        <f>IF($BU404="","",MID($BU404,FIND("~",SUBSTITUTE($BU404,"-","~",2))+1,FIND("~",SUBSTITUTE($BU404,"-","~",3))-FIND("~",SUBSTITUTE($BU404,"-","~",2))-1))</f>
        <v/>
      </c>
      <c r="BX404">
        <f>IF($BV404="","",IFERROR(VLOOKUP($BV404,DECODE!$A$3:$C$8,3,FALSE),"?"))</f>
        <v/>
      </c>
      <c r="BY404">
        <f>IF($BW404="","",IFERROR(VLOOKUP($BV404&amp;"-"&amp;$BW404,DECODE!$E$3:$F$21,2,FALSE),"?"))</f>
        <v/>
      </c>
      <c r="BZ404">
        <f>IF($BU404="","",IFERROR(VALUE(RIGHT($BU404,3)),""))</f>
        <v/>
      </c>
      <c r="CA404">
        <f>IF($X404="","",IFERROR(IF(ISNUMBER($X404),$X404,DATEVALUE(TRIM($X404))),""))</f>
        <v/>
      </c>
      <c r="CB404">
        <f>IF($CA404="","",IF(MONTH($CA404)&gt;=12,"Cold Winter",IF(MONTH($CA404)&gt;=10,"Post-Monsoon",IF(MONTH($CA404)&gt;=6,"Hot Humid",IF(MONTH($CA404)&gt;=3,"Hot Dry","Cold Winter")))))</f>
        <v/>
      </c>
      <c r="CC404">
        <f>IF($BV404="","",IFERROR(VLOOKUP($BV404,DECODE!$A$3:$C$8,2,FALSE),"?"))</f>
        <v/>
      </c>
      <c r="CD404">
        <f>IF($S404="","",UPPER(TRIM(LEFT($S404&amp;",",FIND(",",$S404&amp;",")-1))))</f>
        <v/>
      </c>
      <c r="CE404">
        <f>IF($CD404="","",MID($CD404,4,FIND("~",SUBSTITUTE($CD404,"-","~",2))-4))</f>
        <v/>
      </c>
      <c r="CF404">
        <f>IF($CD404="","",MID($CD404,FIND("~",SUBSTITUTE($CD404,"-","~",2))+1,FIND("~",SUBSTITUTE($CD404,"-","~",3))-FIND("~",SUBSTITUTE($CD404,"-","~",2))-1))</f>
        <v/>
      </c>
      <c r="CG404">
        <f>IF($CE404="","",IFERROR(VLOOKUP($CE404,DECODE!$A$3:$C$8,3,FALSE),"?"))</f>
        <v/>
      </c>
      <c r="CH404">
        <f>IF($CF404="","",IFERROR(VLOOKUP($CE404&amp;"-"&amp;$CF404,DECODE!$E$3:$F$21,2,FALSE),"?"))</f>
        <v/>
      </c>
      <c r="CI404">
        <f>IF($CD404="","",IFERROR(VALUE(RIGHT($CD404,3)),""))</f>
        <v/>
      </c>
      <c r="CJ404">
        <f>IF($Y404="","",IFERROR(IF(ISNUMBER($Y404),$Y404,DATEVALUE(TRIM($Y404))),""))</f>
        <v/>
      </c>
      <c r="CK404">
        <f>IF($CJ404="","",IF(MONTH($CJ404)&gt;=12,"Cold Winter",IF(MONTH($CJ404)&gt;=10,"Post-Monsoon",IF(MONTH($CJ404)&gt;=6,"Hot Humid",IF(MONTH($CJ404)&gt;=3,"Hot Dry","Cold Winter")))))</f>
        <v/>
      </c>
      <c r="CL404">
        <f>IF($CE404="","",IFERROR(VLOOKUP($CE404,DECODE!$A$3:$C$8,2,FALSE),"?"))</f>
        <v/>
      </c>
      <c r="CM404">
        <f>IF($AN404="","",AN404)</f>
        <v/>
      </c>
      <c r="CN404">
        <f>IF($AO404="","",AO404)</f>
        <v/>
      </c>
      <c r="CO404">
        <f>IF($AP404="","",AP404)</f>
        <v/>
      </c>
      <c r="CP404">
        <f>IF($CM404="","",IF($CM404="Aloe Vera Gel","Aloe Vera Gel "&amp;$CO404&amp;"g",CN404&amp;" "&amp;$CO404&amp;"g"))</f>
        <v/>
      </c>
      <c r="CQ404">
        <f>IF($AT404="",0,1)</f>
        <v/>
      </c>
      <c r="CR404">
        <f>IF($CQ404=0,"",AW404)</f>
        <v/>
      </c>
      <c r="CS404">
        <f>IF($CQ404=0,"",AX404)</f>
        <v/>
      </c>
      <c r="CT404">
        <f>IF($CQ404=0,"",AY404)</f>
        <v/>
      </c>
      <c r="CU404">
        <f>IF($CR404="","",IF($CR404="Aloe Vera Gel","Aloe Vera Gel "&amp;$CT404&amp;"g",CS404&amp;" "&amp;$CT404&amp;"g"))</f>
        <v/>
      </c>
      <c r="CV404">
        <f>IF($CQ404=0,"",IF($CP404=$CU404,"Repeat Exact",IF($CT404&gt;$CO404,"Upsized",IF($CT404&lt;$CO404,"Downsized",IF($CM404&lt;&gt;$CR404,"Lateral","Same Size Diff Variant")))))</f>
        <v/>
      </c>
      <c r="CW404">
        <f>IF($CQ404=0,"",AZ404-AQ404)</f>
        <v/>
      </c>
      <c r="CX404">
        <f>IF($CQ404=0,0,IF(CS404=CN404,1,0))</f>
        <v/>
      </c>
      <c r="CY404">
        <f>IF($CQ404=0,0,IF(CR404=CM404,1,0))</f>
        <v/>
      </c>
      <c r="CZ404">
        <f>IF($A404="","",IF(AND(IF(DASHBOARD!$C$4="All",TRUE,$CM404=DASHBOARD!$C$4),IF(DASHBOARD!$C$6="All",TRUE,$CP404=DASHBOARD!$C$6),IF(DASHBOARD!$C$8="All",TRUE,$AF404&gt;=DASHBOARD!$C$8),IF(DASHBOARD!$C$10="All",TRUE,$AF404&lt;=DASHBOARD!$C$10),IF(DASHBOARD!$C$12="All",TRUE,$AH404=VALUE(DASHBOARD!$C$12)),IF(DASHBOARD!$C$14="All",TRUE,$AJ404=DASHBOARD!$C$14)),1,0))</f>
        <v/>
      </c>
    </row>
    <row r="405">
      <c r="A405" t="n">
        <v>198825</v>
      </c>
      <c r="B405" t="inlineStr">
        <is>
          <t>Active Gel</t>
        </is>
      </c>
      <c r="H405" t="inlineStr">
        <is>
          <t>Active Orange Kiwi Vit-C Gel</t>
        </is>
      </c>
      <c r="N405" t="inlineStr">
        <is>
          <t>FC-AC-OK-050</t>
        </is>
      </c>
      <c r="T405" t="inlineStr">
        <is>
          <t>Feb 5, 2025</t>
        </is>
      </c>
      <c r="AE405" t="inlineStr">
        <is>
          <t>Ranchi</t>
        </is>
      </c>
      <c r="AF405" t="inlineStr">
        <is>
          <t>2025-02</t>
        </is>
      </c>
      <c r="AG405" t="n">
        <v>2</v>
      </c>
      <c r="AH405" t="n">
        <v>1</v>
      </c>
      <c r="AI405" t="n">
        <v>0</v>
      </c>
      <c r="AJ405">
        <f>IF($AE405="","",IFERROR(VLOOKUP(TRIM($AE405),DECODE!$H$3:$I$60,2,FALSE),"Rest of India"))</f>
        <v/>
      </c>
      <c r="AK405">
        <f>IF($N405="","",UPPER(TRIM(LEFT($N405&amp;",",FIND(",",$N405&amp;",")-1))))</f>
        <v/>
      </c>
      <c r="AL405">
        <f>IF($AK405="","",MID($AK405,4,FIND("~",SUBSTITUTE($AK405,"-","~",2))-4))</f>
        <v/>
      </c>
      <c r="AM405">
        <f>IF($AK405="","",MID($AK405,FIND("~",SUBSTITUTE($AK405,"-","~",2))+1,FIND("~",SUBSTITUTE($AK405,"-","~",3))-FIND("~",SUBSTITUTE($AK405,"-","~",2))-1))</f>
        <v/>
      </c>
      <c r="AN405">
        <f>IF($AL405="","",IFERROR(VLOOKUP($AL405,DECODE!$A$3:$C$8,3,FALSE),"?"))</f>
        <v/>
      </c>
      <c r="AO405">
        <f>IF($AM405="","",IFERROR(VLOOKUP($AL405&amp;"-"&amp;$AM405,DECODE!$E$3:$F$21,2,FALSE),"?"))</f>
        <v/>
      </c>
      <c r="AP405">
        <f>IF($AK405="","",IFERROR(VALUE(RIGHT($AK405,3)),""))</f>
        <v/>
      </c>
      <c r="AQ405">
        <f>IF($T405="","",IFERROR(IF(ISNUMBER($T405),$T405,DATEVALUE(TRIM($T405))),""))</f>
        <v/>
      </c>
      <c r="AR405">
        <f>IF($AQ405="","",IF(MONTH($AQ405)&gt;=12,"Cold Winter",IF(MONTH($AQ405)&gt;=10,"Post-Monsoon",IF(MONTH($AQ405)&gt;=6,"Hot Humid",IF(MONTH($AQ405)&gt;=3,"Hot Dry","Cold Winter")))))</f>
        <v/>
      </c>
      <c r="AS405">
        <f>IF($AL405="","",IFERROR(VLOOKUP($AL405,DECODE!$A$3:$C$8,2,FALSE),"?"))</f>
        <v/>
      </c>
      <c r="AT405">
        <f>IF($O405="","",UPPER(TRIM(LEFT($O405&amp;",",FIND(",",$O405&amp;",")-1))))</f>
        <v/>
      </c>
      <c r="AU405">
        <f>IF($AT405="","",MID($AT405,4,FIND("~",SUBSTITUTE($AT405,"-","~",2))-4))</f>
        <v/>
      </c>
      <c r="AV405">
        <f>IF($AT405="","",MID($AT405,FIND("~",SUBSTITUTE($AT405,"-","~",2))+1,FIND("~",SUBSTITUTE($AT405,"-","~",3))-FIND("~",SUBSTITUTE($AT405,"-","~",2))-1))</f>
        <v/>
      </c>
      <c r="AW405">
        <f>IF($AU405="","",IFERROR(VLOOKUP($AU405,DECODE!$A$3:$C$8,3,FALSE),"?"))</f>
        <v/>
      </c>
      <c r="AX405">
        <f>IF($AV405="","",IFERROR(VLOOKUP($AU405&amp;"-"&amp;$AV405,DECODE!$E$3:$F$21,2,FALSE),"?"))</f>
        <v/>
      </c>
      <c r="AY405">
        <f>IF($AT405="","",IFERROR(VALUE(RIGHT($AT405,3)),""))</f>
        <v/>
      </c>
      <c r="AZ405">
        <f>IF($U405="","",IFERROR(IF(ISNUMBER($U405),$U405,DATEVALUE(TRIM($U405))),""))</f>
        <v/>
      </c>
      <c r="BA405">
        <f>IF($AZ405="","",IF(MONTH($AZ405)&gt;=12,"Cold Winter",IF(MONTH($AZ405)&gt;=10,"Post-Monsoon",IF(MONTH($AZ405)&gt;=6,"Hot Humid",IF(MONTH($AZ405)&gt;=3,"Hot Dry","Cold Winter")))))</f>
        <v/>
      </c>
      <c r="BB405">
        <f>IF($AU405="","",IFERROR(VLOOKUP($AU405,DECODE!$A$3:$C$8,2,FALSE),"?"))</f>
        <v/>
      </c>
      <c r="BC405">
        <f>IF($P405="","",UPPER(TRIM(LEFT($P405&amp;",",FIND(",",$P405&amp;",")-1))))</f>
        <v/>
      </c>
      <c r="BD405">
        <f>IF($BC405="","",MID($BC405,4,FIND("~",SUBSTITUTE($BC405,"-","~",2))-4))</f>
        <v/>
      </c>
      <c r="BE405">
        <f>IF($BC405="","",MID($BC405,FIND("~",SUBSTITUTE($BC405,"-","~",2))+1,FIND("~",SUBSTITUTE($BC405,"-","~",3))-FIND("~",SUBSTITUTE($BC405,"-","~",2))-1))</f>
        <v/>
      </c>
      <c r="BF405">
        <f>IF($BD405="","",IFERROR(VLOOKUP($BD405,DECODE!$A$3:$C$8,3,FALSE),"?"))</f>
        <v/>
      </c>
      <c r="BG405">
        <f>IF($BE405="","",IFERROR(VLOOKUP($BD405&amp;"-"&amp;$BE405,DECODE!$E$3:$F$21,2,FALSE),"?"))</f>
        <v/>
      </c>
      <c r="BH405">
        <f>IF($BC405="","",IFERROR(VALUE(RIGHT($BC405,3)),""))</f>
        <v/>
      </c>
      <c r="BI405">
        <f>IF($V405="","",IFERROR(IF(ISNUMBER($V405),$V405,DATEVALUE(TRIM($V405))),""))</f>
        <v/>
      </c>
      <c r="BJ405">
        <f>IF($BI405="","",IF(MONTH($BI405)&gt;=12,"Cold Winter",IF(MONTH($BI405)&gt;=10,"Post-Monsoon",IF(MONTH($BI405)&gt;=6,"Hot Humid",IF(MONTH($BI405)&gt;=3,"Hot Dry","Cold Winter")))))</f>
        <v/>
      </c>
      <c r="BK405">
        <f>IF($BD405="","",IFERROR(VLOOKUP($BD405,DECODE!$A$3:$C$8,2,FALSE),"?"))</f>
        <v/>
      </c>
      <c r="BL405">
        <f>IF($Q405="","",UPPER(TRIM(LEFT($Q405&amp;",",FIND(",",$Q405&amp;",")-1))))</f>
        <v/>
      </c>
      <c r="BM405">
        <f>IF($BL405="","",MID($BL405,4,FIND("~",SUBSTITUTE($BL405,"-","~",2))-4))</f>
        <v/>
      </c>
      <c r="BN405">
        <f>IF($BL405="","",MID($BL405,FIND("~",SUBSTITUTE($BL405,"-","~",2))+1,FIND("~",SUBSTITUTE($BL405,"-","~",3))-FIND("~",SUBSTITUTE($BL405,"-","~",2))-1))</f>
        <v/>
      </c>
      <c r="BO405">
        <f>IF($BM405="","",IFERROR(VLOOKUP($BM405,DECODE!$A$3:$C$8,3,FALSE),"?"))</f>
        <v/>
      </c>
      <c r="BP405">
        <f>IF($BN405="","",IFERROR(VLOOKUP($BM405&amp;"-"&amp;$BN405,DECODE!$E$3:$F$21,2,FALSE),"?"))</f>
        <v/>
      </c>
      <c r="BQ405">
        <f>IF($BL405="","",IFERROR(VALUE(RIGHT($BL405,3)),""))</f>
        <v/>
      </c>
      <c r="BR405">
        <f>IF($W405="","",IFERROR(IF(ISNUMBER($W405),$W405,DATEVALUE(TRIM($W405))),""))</f>
        <v/>
      </c>
      <c r="BS405">
        <f>IF($BR405="","",IF(MONTH($BR405)&gt;=12,"Cold Winter",IF(MONTH($BR405)&gt;=10,"Post-Monsoon",IF(MONTH($BR405)&gt;=6,"Hot Humid",IF(MONTH($BR405)&gt;=3,"Hot Dry","Cold Winter")))))</f>
        <v/>
      </c>
      <c r="BT405">
        <f>IF($BM405="","",IFERROR(VLOOKUP($BM405,DECODE!$A$3:$C$8,2,FALSE),"?"))</f>
        <v/>
      </c>
      <c r="BU405">
        <f>IF($R405="","",UPPER(TRIM(LEFT($R405&amp;",",FIND(",",$R405&amp;",")-1))))</f>
        <v/>
      </c>
      <c r="BV405">
        <f>IF($BU405="","",MID($BU405,4,FIND("~",SUBSTITUTE($BU405,"-","~",2))-4))</f>
        <v/>
      </c>
      <c r="BW405">
        <f>IF($BU405="","",MID($BU405,FIND("~",SUBSTITUTE($BU405,"-","~",2))+1,FIND("~",SUBSTITUTE($BU405,"-","~",3))-FIND("~",SUBSTITUTE($BU405,"-","~",2))-1))</f>
        <v/>
      </c>
      <c r="BX405">
        <f>IF($BV405="","",IFERROR(VLOOKUP($BV405,DECODE!$A$3:$C$8,3,FALSE),"?"))</f>
        <v/>
      </c>
      <c r="BY405">
        <f>IF($BW405="","",IFERROR(VLOOKUP($BV405&amp;"-"&amp;$BW405,DECODE!$E$3:$F$21,2,FALSE),"?"))</f>
        <v/>
      </c>
      <c r="BZ405">
        <f>IF($BU405="","",IFERROR(VALUE(RIGHT($BU405,3)),""))</f>
        <v/>
      </c>
      <c r="CA405">
        <f>IF($X405="","",IFERROR(IF(ISNUMBER($X405),$X405,DATEVALUE(TRIM($X405))),""))</f>
        <v/>
      </c>
      <c r="CB405">
        <f>IF($CA405="","",IF(MONTH($CA405)&gt;=12,"Cold Winter",IF(MONTH($CA405)&gt;=10,"Post-Monsoon",IF(MONTH($CA405)&gt;=6,"Hot Humid",IF(MONTH($CA405)&gt;=3,"Hot Dry","Cold Winter")))))</f>
        <v/>
      </c>
      <c r="CC405">
        <f>IF($BV405="","",IFERROR(VLOOKUP($BV405,DECODE!$A$3:$C$8,2,FALSE),"?"))</f>
        <v/>
      </c>
      <c r="CD405">
        <f>IF($S405="","",UPPER(TRIM(LEFT($S405&amp;",",FIND(",",$S405&amp;",")-1))))</f>
        <v/>
      </c>
      <c r="CE405">
        <f>IF($CD405="","",MID($CD405,4,FIND("~",SUBSTITUTE($CD405,"-","~",2))-4))</f>
        <v/>
      </c>
      <c r="CF405">
        <f>IF($CD405="","",MID($CD405,FIND("~",SUBSTITUTE($CD405,"-","~",2))+1,FIND("~",SUBSTITUTE($CD405,"-","~",3))-FIND("~",SUBSTITUTE($CD405,"-","~",2))-1))</f>
        <v/>
      </c>
      <c r="CG405">
        <f>IF($CE405="","",IFERROR(VLOOKUP($CE405,DECODE!$A$3:$C$8,3,FALSE),"?"))</f>
        <v/>
      </c>
      <c r="CH405">
        <f>IF($CF405="","",IFERROR(VLOOKUP($CE405&amp;"-"&amp;$CF405,DECODE!$E$3:$F$21,2,FALSE),"?"))</f>
        <v/>
      </c>
      <c r="CI405">
        <f>IF($CD405="","",IFERROR(VALUE(RIGHT($CD405,3)),""))</f>
        <v/>
      </c>
      <c r="CJ405">
        <f>IF($Y405="","",IFERROR(IF(ISNUMBER($Y405),$Y405,DATEVALUE(TRIM($Y405))),""))</f>
        <v/>
      </c>
      <c r="CK405">
        <f>IF($CJ405="","",IF(MONTH($CJ405)&gt;=12,"Cold Winter",IF(MONTH($CJ405)&gt;=10,"Post-Monsoon",IF(MONTH($CJ405)&gt;=6,"Hot Humid",IF(MONTH($CJ405)&gt;=3,"Hot Dry","Cold Winter")))))</f>
        <v/>
      </c>
      <c r="CL405">
        <f>IF($CE405="","",IFERROR(VLOOKUP($CE405,DECODE!$A$3:$C$8,2,FALSE),"?"))</f>
        <v/>
      </c>
      <c r="CM405">
        <f>IF($AN405="","",AN405)</f>
        <v/>
      </c>
      <c r="CN405">
        <f>IF($AO405="","",AO405)</f>
        <v/>
      </c>
      <c r="CO405">
        <f>IF($AP405="","",AP405)</f>
        <v/>
      </c>
      <c r="CP405">
        <f>IF($CM405="","",IF($CM405="Aloe Vera Gel","Aloe Vera Gel "&amp;$CO405&amp;"g",CN405&amp;" "&amp;$CO405&amp;"g"))</f>
        <v/>
      </c>
      <c r="CQ405">
        <f>IF($AT405="",0,1)</f>
        <v/>
      </c>
      <c r="CR405">
        <f>IF($CQ405=0,"",AW405)</f>
        <v/>
      </c>
      <c r="CS405">
        <f>IF($CQ405=0,"",AX405)</f>
        <v/>
      </c>
      <c r="CT405">
        <f>IF($CQ405=0,"",AY405)</f>
        <v/>
      </c>
      <c r="CU405">
        <f>IF($CR405="","",IF($CR405="Aloe Vera Gel","Aloe Vera Gel "&amp;$CT405&amp;"g",CS405&amp;" "&amp;$CT405&amp;"g"))</f>
        <v/>
      </c>
      <c r="CV405">
        <f>IF($CQ405=0,"",IF($CP405=$CU405,"Repeat Exact",IF($CT405&gt;$CO405,"Upsized",IF($CT405&lt;$CO405,"Downsized",IF($CM405&lt;&gt;$CR405,"Lateral","Same Size Diff Variant")))))</f>
        <v/>
      </c>
      <c r="CW405">
        <f>IF($CQ405=0,"",AZ405-AQ405)</f>
        <v/>
      </c>
      <c r="CX405">
        <f>IF($CQ405=0,0,IF(CS405=CN405,1,0))</f>
        <v/>
      </c>
      <c r="CY405">
        <f>IF($CQ405=0,0,IF(CR405=CM405,1,0))</f>
        <v/>
      </c>
      <c r="CZ405">
        <f>IF($A405="","",IF(AND(IF(DASHBOARD!$C$4="All",TRUE,$CM405=DASHBOARD!$C$4),IF(DASHBOARD!$C$6="All",TRUE,$CP405=DASHBOARD!$C$6),IF(DASHBOARD!$C$8="All",TRUE,$AF405&gt;=DASHBOARD!$C$8),IF(DASHBOARD!$C$10="All",TRUE,$AF405&lt;=DASHBOARD!$C$10),IF(DASHBOARD!$C$12="All",TRUE,$AH405=VALUE(DASHBOARD!$C$12)),IF(DASHBOARD!$C$14="All",TRUE,$AJ405=DASHBOARD!$C$14)),1,0))</f>
        <v/>
      </c>
    </row>
    <row r="406">
      <c r="A406" t="n">
        <v>199273</v>
      </c>
      <c r="B406" t="inlineStr">
        <is>
          <t>Face Malai</t>
        </is>
      </c>
      <c r="C406" t="inlineStr">
        <is>
          <t>Face Malai</t>
        </is>
      </c>
      <c r="D406" t="inlineStr">
        <is>
          <t>Active Gel, Face Malai</t>
        </is>
      </c>
      <c r="E406" t="inlineStr">
        <is>
          <t>Face Malai</t>
        </is>
      </c>
      <c r="F406" t="inlineStr">
        <is>
          <t>Face Malai</t>
        </is>
      </c>
      <c r="G406" t="inlineStr">
        <is>
          <t>Face Malai</t>
        </is>
      </c>
      <c r="H406" t="inlineStr">
        <is>
          <t>Flax Carrot (Hot Humid) 35+ Face Malai - 30g</t>
        </is>
      </c>
      <c r="I406" t="inlineStr">
        <is>
          <t>Flax Carrot (Hot Humid) 35+ Face Malai - 50g</t>
        </is>
      </c>
      <c r="J406" t="inlineStr">
        <is>
          <t>Flax Carrot (Hot Humid) 35+ Face Malai - 30g, Cocoa Mogra (Overnight) Face Malai - 30g, Active Olive Vit-E Night Gel</t>
        </is>
      </c>
      <c r="K406" t="inlineStr">
        <is>
          <t>Flax Walnut (Cold) 35+ Face Malai</t>
        </is>
      </c>
      <c r="L406" t="inlineStr">
        <is>
          <t>Cocoa Mogra (Overnight) Face Malai - 30g</t>
        </is>
      </c>
      <c r="M406" t="inlineStr">
        <is>
          <t>Flax Walnut (Cold) 35+ Face Malai</t>
        </is>
      </c>
      <c r="N406" t="inlineStr">
        <is>
          <t>FC-HHDM-FC-030</t>
        </is>
      </c>
      <c r="O406" t="inlineStr">
        <is>
          <t>FC-HHDM-FC-050</t>
        </is>
      </c>
      <c r="P406" t="inlineStr">
        <is>
          <t>FC-AC-OV-050, FC-DM-NR-030, FC-HHDM-FC-030</t>
        </is>
      </c>
      <c r="Q406" t="inlineStr">
        <is>
          <t>FC-CWDM-FW-030</t>
        </is>
      </c>
      <c r="R406" t="inlineStr">
        <is>
          <t>FC-DM-NR-030</t>
        </is>
      </c>
      <c r="S406" t="inlineStr">
        <is>
          <t>FC-CWDM-FW-030</t>
        </is>
      </c>
      <c r="T406" t="inlineStr">
        <is>
          <t>Aug 1, 2024</t>
        </is>
      </c>
      <c r="U406" t="inlineStr">
        <is>
          <t>Aug 15, 2024</t>
        </is>
      </c>
      <c r="V406" t="inlineStr">
        <is>
          <t>Sep 24, 2024</t>
        </is>
      </c>
      <c r="W406" t="inlineStr">
        <is>
          <t>Nov 9, 2024</t>
        </is>
      </c>
      <c r="X406" t="inlineStr">
        <is>
          <t>Nov 30, 2024</t>
        </is>
      </c>
      <c r="Y406" t="inlineStr">
        <is>
          <t>Dec 9, 2024</t>
        </is>
      </c>
      <c r="Z406" t="n">
        <v>14</v>
      </c>
      <c r="AA406" t="n">
        <v>40</v>
      </c>
      <c r="AB406" t="n">
        <v>46</v>
      </c>
      <c r="AC406" t="n">
        <v>21</v>
      </c>
      <c r="AD406" t="n">
        <v>9</v>
      </c>
      <c r="AE406" t="inlineStr">
        <is>
          <t>Kolkata</t>
        </is>
      </c>
      <c r="AF406" t="inlineStr">
        <is>
          <t>2024-08</t>
        </is>
      </c>
      <c r="AG406" t="n">
        <v>8</v>
      </c>
      <c r="AH406" t="n">
        <v>6</v>
      </c>
      <c r="AI406" t="n">
        <v>1</v>
      </c>
      <c r="AJ406">
        <f>IF($AE406="","",IFERROR(VLOOKUP(TRIM($AE406),DECODE!$H$3:$I$60,2,FALSE),"Rest of India"))</f>
        <v/>
      </c>
      <c r="AK406">
        <f>IF($N406="","",UPPER(TRIM(LEFT($N406&amp;",",FIND(",",$N406&amp;",")-1))))</f>
        <v/>
      </c>
      <c r="AL406">
        <f>IF($AK406="","",MID($AK406,4,FIND("~",SUBSTITUTE($AK406,"-","~",2))-4))</f>
        <v/>
      </c>
      <c r="AM406">
        <f>IF($AK406="","",MID($AK406,FIND("~",SUBSTITUTE($AK406,"-","~",2))+1,FIND("~",SUBSTITUTE($AK406,"-","~",3))-FIND("~",SUBSTITUTE($AK406,"-","~",2))-1))</f>
        <v/>
      </c>
      <c r="AN406">
        <f>IF($AL406="","",IFERROR(VLOOKUP($AL406,DECODE!$A$3:$C$8,3,FALSE),"?"))</f>
        <v/>
      </c>
      <c r="AO406">
        <f>IF($AM406="","",IFERROR(VLOOKUP($AL406&amp;"-"&amp;$AM406,DECODE!$E$3:$F$21,2,FALSE),"?"))</f>
        <v/>
      </c>
      <c r="AP406">
        <f>IF($AK406="","",IFERROR(VALUE(RIGHT($AK406,3)),""))</f>
        <v/>
      </c>
      <c r="AQ406">
        <f>IF($T406="","",IFERROR(IF(ISNUMBER($T406),$T406,DATEVALUE(TRIM($T406))),""))</f>
        <v/>
      </c>
      <c r="AR406">
        <f>IF($AQ406="","",IF(MONTH($AQ406)&gt;=12,"Cold Winter",IF(MONTH($AQ406)&gt;=10,"Post-Monsoon",IF(MONTH($AQ406)&gt;=6,"Hot Humid",IF(MONTH($AQ406)&gt;=3,"Hot Dry","Cold Winter")))))</f>
        <v/>
      </c>
      <c r="AS406">
        <f>IF($AL406="","",IFERROR(VLOOKUP($AL406,DECODE!$A$3:$C$8,2,FALSE),"?"))</f>
        <v/>
      </c>
      <c r="AT406">
        <f>IF($O406="","",UPPER(TRIM(LEFT($O406&amp;",",FIND(",",$O406&amp;",")-1))))</f>
        <v/>
      </c>
      <c r="AU406">
        <f>IF($AT406="","",MID($AT406,4,FIND("~",SUBSTITUTE($AT406,"-","~",2))-4))</f>
        <v/>
      </c>
      <c r="AV406">
        <f>IF($AT406="","",MID($AT406,FIND("~",SUBSTITUTE($AT406,"-","~",2))+1,FIND("~",SUBSTITUTE($AT406,"-","~",3))-FIND("~",SUBSTITUTE($AT406,"-","~",2))-1))</f>
        <v/>
      </c>
      <c r="AW406">
        <f>IF($AU406="","",IFERROR(VLOOKUP($AU406,DECODE!$A$3:$C$8,3,FALSE),"?"))</f>
        <v/>
      </c>
      <c r="AX406">
        <f>IF($AV406="","",IFERROR(VLOOKUP($AU406&amp;"-"&amp;$AV406,DECODE!$E$3:$F$21,2,FALSE),"?"))</f>
        <v/>
      </c>
      <c r="AY406">
        <f>IF($AT406="","",IFERROR(VALUE(RIGHT($AT406,3)),""))</f>
        <v/>
      </c>
      <c r="AZ406">
        <f>IF($U406="","",IFERROR(IF(ISNUMBER($U406),$U406,DATEVALUE(TRIM($U406))),""))</f>
        <v/>
      </c>
      <c r="BA406">
        <f>IF($AZ406="","",IF(MONTH($AZ406)&gt;=12,"Cold Winter",IF(MONTH($AZ406)&gt;=10,"Post-Monsoon",IF(MONTH($AZ406)&gt;=6,"Hot Humid",IF(MONTH($AZ406)&gt;=3,"Hot Dry","Cold Winter")))))</f>
        <v/>
      </c>
      <c r="BB406">
        <f>IF($AU406="","",IFERROR(VLOOKUP($AU406,DECODE!$A$3:$C$8,2,FALSE),"?"))</f>
        <v/>
      </c>
      <c r="BC406">
        <f>IF($P406="","",UPPER(TRIM(LEFT($P406&amp;",",FIND(",",$P406&amp;",")-1))))</f>
        <v/>
      </c>
      <c r="BD406">
        <f>IF($BC406="","",MID($BC406,4,FIND("~",SUBSTITUTE($BC406,"-","~",2))-4))</f>
        <v/>
      </c>
      <c r="BE406">
        <f>IF($BC406="","",MID($BC406,FIND("~",SUBSTITUTE($BC406,"-","~",2))+1,FIND("~",SUBSTITUTE($BC406,"-","~",3))-FIND("~",SUBSTITUTE($BC406,"-","~",2))-1))</f>
        <v/>
      </c>
      <c r="BF406">
        <f>IF($BD406="","",IFERROR(VLOOKUP($BD406,DECODE!$A$3:$C$8,3,FALSE),"?"))</f>
        <v/>
      </c>
      <c r="BG406">
        <f>IF($BE406="","",IFERROR(VLOOKUP($BD406&amp;"-"&amp;$BE406,DECODE!$E$3:$F$21,2,FALSE),"?"))</f>
        <v/>
      </c>
      <c r="BH406">
        <f>IF($BC406="","",IFERROR(VALUE(RIGHT($BC406,3)),""))</f>
        <v/>
      </c>
      <c r="BI406">
        <f>IF($V406="","",IFERROR(IF(ISNUMBER($V406),$V406,DATEVALUE(TRIM($V406))),""))</f>
        <v/>
      </c>
      <c r="BJ406">
        <f>IF($BI406="","",IF(MONTH($BI406)&gt;=12,"Cold Winter",IF(MONTH($BI406)&gt;=10,"Post-Monsoon",IF(MONTH($BI406)&gt;=6,"Hot Humid",IF(MONTH($BI406)&gt;=3,"Hot Dry","Cold Winter")))))</f>
        <v/>
      </c>
      <c r="BK406">
        <f>IF($BD406="","",IFERROR(VLOOKUP($BD406,DECODE!$A$3:$C$8,2,FALSE),"?"))</f>
        <v/>
      </c>
      <c r="BL406">
        <f>IF($Q406="","",UPPER(TRIM(LEFT($Q406&amp;",",FIND(",",$Q406&amp;",")-1))))</f>
        <v/>
      </c>
      <c r="BM406">
        <f>IF($BL406="","",MID($BL406,4,FIND("~",SUBSTITUTE($BL406,"-","~",2))-4))</f>
        <v/>
      </c>
      <c r="BN406">
        <f>IF($BL406="","",MID($BL406,FIND("~",SUBSTITUTE($BL406,"-","~",2))+1,FIND("~",SUBSTITUTE($BL406,"-","~",3))-FIND("~",SUBSTITUTE($BL406,"-","~",2))-1))</f>
        <v/>
      </c>
      <c r="BO406">
        <f>IF($BM406="","",IFERROR(VLOOKUP($BM406,DECODE!$A$3:$C$8,3,FALSE),"?"))</f>
        <v/>
      </c>
      <c r="BP406">
        <f>IF($BN406="","",IFERROR(VLOOKUP($BM406&amp;"-"&amp;$BN406,DECODE!$E$3:$F$21,2,FALSE),"?"))</f>
        <v/>
      </c>
      <c r="BQ406">
        <f>IF($BL406="","",IFERROR(VALUE(RIGHT($BL406,3)),""))</f>
        <v/>
      </c>
      <c r="BR406">
        <f>IF($W406="","",IFERROR(IF(ISNUMBER($W406),$W406,DATEVALUE(TRIM($W406))),""))</f>
        <v/>
      </c>
      <c r="BS406">
        <f>IF($BR406="","",IF(MONTH($BR406)&gt;=12,"Cold Winter",IF(MONTH($BR406)&gt;=10,"Post-Monsoon",IF(MONTH($BR406)&gt;=6,"Hot Humid",IF(MONTH($BR406)&gt;=3,"Hot Dry","Cold Winter")))))</f>
        <v/>
      </c>
      <c r="BT406">
        <f>IF($BM406="","",IFERROR(VLOOKUP($BM406,DECODE!$A$3:$C$8,2,FALSE),"?"))</f>
        <v/>
      </c>
      <c r="BU406">
        <f>IF($R406="","",UPPER(TRIM(LEFT($R406&amp;",",FIND(",",$R406&amp;",")-1))))</f>
        <v/>
      </c>
      <c r="BV406">
        <f>IF($BU406="","",MID($BU406,4,FIND("~",SUBSTITUTE($BU406,"-","~",2))-4))</f>
        <v/>
      </c>
      <c r="BW406">
        <f>IF($BU406="","",MID($BU406,FIND("~",SUBSTITUTE($BU406,"-","~",2))+1,FIND("~",SUBSTITUTE($BU406,"-","~",3))-FIND("~",SUBSTITUTE($BU406,"-","~",2))-1))</f>
        <v/>
      </c>
      <c r="BX406">
        <f>IF($BV406="","",IFERROR(VLOOKUP($BV406,DECODE!$A$3:$C$8,3,FALSE),"?"))</f>
        <v/>
      </c>
      <c r="BY406">
        <f>IF($BW406="","",IFERROR(VLOOKUP($BV406&amp;"-"&amp;$BW406,DECODE!$E$3:$F$21,2,FALSE),"?"))</f>
        <v/>
      </c>
      <c r="BZ406">
        <f>IF($BU406="","",IFERROR(VALUE(RIGHT($BU406,3)),""))</f>
        <v/>
      </c>
      <c r="CA406">
        <f>IF($X406="","",IFERROR(IF(ISNUMBER($X406),$X406,DATEVALUE(TRIM($X406))),""))</f>
        <v/>
      </c>
      <c r="CB406">
        <f>IF($CA406="","",IF(MONTH($CA406)&gt;=12,"Cold Winter",IF(MONTH($CA406)&gt;=10,"Post-Monsoon",IF(MONTH($CA406)&gt;=6,"Hot Humid",IF(MONTH($CA406)&gt;=3,"Hot Dry","Cold Winter")))))</f>
        <v/>
      </c>
      <c r="CC406">
        <f>IF($BV406="","",IFERROR(VLOOKUP($BV406,DECODE!$A$3:$C$8,2,FALSE),"?"))</f>
        <v/>
      </c>
      <c r="CD406">
        <f>IF($S406="","",UPPER(TRIM(LEFT($S406&amp;",",FIND(",",$S406&amp;",")-1))))</f>
        <v/>
      </c>
      <c r="CE406">
        <f>IF($CD406="","",MID($CD406,4,FIND("~",SUBSTITUTE($CD406,"-","~",2))-4))</f>
        <v/>
      </c>
      <c r="CF406">
        <f>IF($CD406="","",MID($CD406,FIND("~",SUBSTITUTE($CD406,"-","~",2))+1,FIND("~",SUBSTITUTE($CD406,"-","~",3))-FIND("~",SUBSTITUTE($CD406,"-","~",2))-1))</f>
        <v/>
      </c>
      <c r="CG406">
        <f>IF($CE406="","",IFERROR(VLOOKUP($CE406,DECODE!$A$3:$C$8,3,FALSE),"?"))</f>
        <v/>
      </c>
      <c r="CH406">
        <f>IF($CF406="","",IFERROR(VLOOKUP($CE406&amp;"-"&amp;$CF406,DECODE!$E$3:$F$21,2,FALSE),"?"))</f>
        <v/>
      </c>
      <c r="CI406">
        <f>IF($CD406="","",IFERROR(VALUE(RIGHT($CD406,3)),""))</f>
        <v/>
      </c>
      <c r="CJ406">
        <f>IF($Y406="","",IFERROR(IF(ISNUMBER($Y406),$Y406,DATEVALUE(TRIM($Y406))),""))</f>
        <v/>
      </c>
      <c r="CK406">
        <f>IF($CJ406="","",IF(MONTH($CJ406)&gt;=12,"Cold Winter",IF(MONTH($CJ406)&gt;=10,"Post-Monsoon",IF(MONTH($CJ406)&gt;=6,"Hot Humid",IF(MONTH($CJ406)&gt;=3,"Hot Dry","Cold Winter")))))</f>
        <v/>
      </c>
      <c r="CL406">
        <f>IF($CE406="","",IFERROR(VLOOKUP($CE406,DECODE!$A$3:$C$8,2,FALSE),"?"))</f>
        <v/>
      </c>
      <c r="CM406">
        <f>IF($AN406="","",AN406)</f>
        <v/>
      </c>
      <c r="CN406">
        <f>IF($AO406="","",AO406)</f>
        <v/>
      </c>
      <c r="CO406">
        <f>IF($AP406="","",AP406)</f>
        <v/>
      </c>
      <c r="CP406">
        <f>IF($CM406="","",IF($CM406="Aloe Vera Gel","Aloe Vera Gel "&amp;$CO406&amp;"g",CN406&amp;" "&amp;$CO406&amp;"g"))</f>
        <v/>
      </c>
      <c r="CQ406">
        <f>IF($AT406="",0,1)</f>
        <v/>
      </c>
      <c r="CR406">
        <f>IF($CQ406=0,"",AW406)</f>
        <v/>
      </c>
      <c r="CS406">
        <f>IF($CQ406=0,"",AX406)</f>
        <v/>
      </c>
      <c r="CT406">
        <f>IF($CQ406=0,"",AY406)</f>
        <v/>
      </c>
      <c r="CU406">
        <f>IF($CR406="","",IF($CR406="Aloe Vera Gel","Aloe Vera Gel "&amp;$CT406&amp;"g",CS406&amp;" "&amp;$CT406&amp;"g"))</f>
        <v/>
      </c>
      <c r="CV406">
        <f>IF($CQ406=0,"",IF($CP406=$CU406,"Repeat Exact",IF($CT406&gt;$CO406,"Upsized",IF($CT406&lt;$CO406,"Downsized",IF($CM406&lt;&gt;$CR406,"Lateral","Same Size Diff Variant")))))</f>
        <v/>
      </c>
      <c r="CW406">
        <f>IF($CQ406=0,"",AZ406-AQ406)</f>
        <v/>
      </c>
      <c r="CX406">
        <f>IF($CQ406=0,0,IF(CS406=CN406,1,0))</f>
        <v/>
      </c>
      <c r="CY406">
        <f>IF($CQ406=0,0,IF(CR406=CM406,1,0))</f>
        <v/>
      </c>
      <c r="CZ406">
        <f>IF($A406="","",IF(AND(IF(DASHBOARD!$C$4="All",TRUE,$CM406=DASHBOARD!$C$4),IF(DASHBOARD!$C$6="All",TRUE,$CP406=DASHBOARD!$C$6),IF(DASHBOARD!$C$8="All",TRUE,$AF406&gt;=DASHBOARD!$C$8),IF(DASHBOARD!$C$10="All",TRUE,$AF406&lt;=DASHBOARD!$C$10),IF(DASHBOARD!$C$12="All",TRUE,$AH406=VALUE(DASHBOARD!$C$12)),IF(DASHBOARD!$C$14="All",TRUE,$AJ406=DASHBOARD!$C$14)),1,0))</f>
        <v/>
      </c>
    </row>
    <row r="407">
      <c r="A407" t="n">
        <v>199287</v>
      </c>
      <c r="B407" t="inlineStr">
        <is>
          <t>Face Malai</t>
        </is>
      </c>
      <c r="H407" t="inlineStr">
        <is>
          <t>Flax Carrot (Hot Humid) 35+ Face Malai - 30g</t>
        </is>
      </c>
      <c r="N407" t="inlineStr">
        <is>
          <t>FC-HHDM-FC-030</t>
        </is>
      </c>
      <c r="T407" t="inlineStr">
        <is>
          <t>Jun 23, 2026</t>
        </is>
      </c>
      <c r="AE407" t="inlineStr">
        <is>
          <t>Ernakulam</t>
        </is>
      </c>
      <c r="AF407" t="inlineStr">
        <is>
          <t>2026-06</t>
        </is>
      </c>
      <c r="AG407" t="n">
        <v>6</v>
      </c>
      <c r="AH407" t="n">
        <v>1</v>
      </c>
      <c r="AI407" t="n">
        <v>0</v>
      </c>
      <c r="AJ407">
        <f>IF($AE407="","",IFERROR(VLOOKUP(TRIM($AE407),DECODE!$H$3:$I$60,2,FALSE),"Rest of India"))</f>
        <v/>
      </c>
      <c r="AK407">
        <f>IF($N407="","",UPPER(TRIM(LEFT($N407&amp;",",FIND(",",$N407&amp;",")-1))))</f>
        <v/>
      </c>
      <c r="AL407">
        <f>IF($AK407="","",MID($AK407,4,FIND("~",SUBSTITUTE($AK407,"-","~",2))-4))</f>
        <v/>
      </c>
      <c r="AM407">
        <f>IF($AK407="","",MID($AK407,FIND("~",SUBSTITUTE($AK407,"-","~",2))+1,FIND("~",SUBSTITUTE($AK407,"-","~",3))-FIND("~",SUBSTITUTE($AK407,"-","~",2))-1))</f>
        <v/>
      </c>
      <c r="AN407">
        <f>IF($AL407="","",IFERROR(VLOOKUP($AL407,DECODE!$A$3:$C$8,3,FALSE),"?"))</f>
        <v/>
      </c>
      <c r="AO407">
        <f>IF($AM407="","",IFERROR(VLOOKUP($AL407&amp;"-"&amp;$AM407,DECODE!$E$3:$F$21,2,FALSE),"?"))</f>
        <v/>
      </c>
      <c r="AP407">
        <f>IF($AK407="","",IFERROR(VALUE(RIGHT($AK407,3)),""))</f>
        <v/>
      </c>
      <c r="AQ407">
        <f>IF($T407="","",IFERROR(IF(ISNUMBER($T407),$T407,DATEVALUE(TRIM($T407))),""))</f>
        <v/>
      </c>
      <c r="AR407">
        <f>IF($AQ407="","",IF(MONTH($AQ407)&gt;=12,"Cold Winter",IF(MONTH($AQ407)&gt;=10,"Post-Monsoon",IF(MONTH($AQ407)&gt;=6,"Hot Humid",IF(MONTH($AQ407)&gt;=3,"Hot Dry","Cold Winter")))))</f>
        <v/>
      </c>
      <c r="AS407">
        <f>IF($AL407="","",IFERROR(VLOOKUP($AL407,DECODE!$A$3:$C$8,2,FALSE),"?"))</f>
        <v/>
      </c>
      <c r="AT407">
        <f>IF($O407="","",UPPER(TRIM(LEFT($O407&amp;",",FIND(",",$O407&amp;",")-1))))</f>
        <v/>
      </c>
      <c r="AU407">
        <f>IF($AT407="","",MID($AT407,4,FIND("~",SUBSTITUTE($AT407,"-","~",2))-4))</f>
        <v/>
      </c>
      <c r="AV407">
        <f>IF($AT407="","",MID($AT407,FIND("~",SUBSTITUTE($AT407,"-","~",2))+1,FIND("~",SUBSTITUTE($AT407,"-","~",3))-FIND("~",SUBSTITUTE($AT407,"-","~",2))-1))</f>
        <v/>
      </c>
      <c r="AW407">
        <f>IF($AU407="","",IFERROR(VLOOKUP($AU407,DECODE!$A$3:$C$8,3,FALSE),"?"))</f>
        <v/>
      </c>
      <c r="AX407">
        <f>IF($AV407="","",IFERROR(VLOOKUP($AU407&amp;"-"&amp;$AV407,DECODE!$E$3:$F$21,2,FALSE),"?"))</f>
        <v/>
      </c>
      <c r="AY407">
        <f>IF($AT407="","",IFERROR(VALUE(RIGHT($AT407,3)),""))</f>
        <v/>
      </c>
      <c r="AZ407">
        <f>IF($U407="","",IFERROR(IF(ISNUMBER($U407),$U407,DATEVALUE(TRIM($U407))),""))</f>
        <v/>
      </c>
      <c r="BA407">
        <f>IF($AZ407="","",IF(MONTH($AZ407)&gt;=12,"Cold Winter",IF(MONTH($AZ407)&gt;=10,"Post-Monsoon",IF(MONTH($AZ407)&gt;=6,"Hot Humid",IF(MONTH($AZ407)&gt;=3,"Hot Dry","Cold Winter")))))</f>
        <v/>
      </c>
      <c r="BB407">
        <f>IF($AU407="","",IFERROR(VLOOKUP($AU407,DECODE!$A$3:$C$8,2,FALSE),"?"))</f>
        <v/>
      </c>
      <c r="BC407">
        <f>IF($P407="","",UPPER(TRIM(LEFT($P407&amp;",",FIND(",",$P407&amp;",")-1))))</f>
        <v/>
      </c>
      <c r="BD407">
        <f>IF($BC407="","",MID($BC407,4,FIND("~",SUBSTITUTE($BC407,"-","~",2))-4))</f>
        <v/>
      </c>
      <c r="BE407">
        <f>IF($BC407="","",MID($BC407,FIND("~",SUBSTITUTE($BC407,"-","~",2))+1,FIND("~",SUBSTITUTE($BC407,"-","~",3))-FIND("~",SUBSTITUTE($BC407,"-","~",2))-1))</f>
        <v/>
      </c>
      <c r="BF407">
        <f>IF($BD407="","",IFERROR(VLOOKUP($BD407,DECODE!$A$3:$C$8,3,FALSE),"?"))</f>
        <v/>
      </c>
      <c r="BG407">
        <f>IF($BE407="","",IFERROR(VLOOKUP($BD407&amp;"-"&amp;$BE407,DECODE!$E$3:$F$21,2,FALSE),"?"))</f>
        <v/>
      </c>
      <c r="BH407">
        <f>IF($BC407="","",IFERROR(VALUE(RIGHT($BC407,3)),""))</f>
        <v/>
      </c>
      <c r="BI407">
        <f>IF($V407="","",IFERROR(IF(ISNUMBER($V407),$V407,DATEVALUE(TRIM($V407))),""))</f>
        <v/>
      </c>
      <c r="BJ407">
        <f>IF($BI407="","",IF(MONTH($BI407)&gt;=12,"Cold Winter",IF(MONTH($BI407)&gt;=10,"Post-Monsoon",IF(MONTH($BI407)&gt;=6,"Hot Humid",IF(MONTH($BI407)&gt;=3,"Hot Dry","Cold Winter")))))</f>
        <v/>
      </c>
      <c r="BK407">
        <f>IF($BD407="","",IFERROR(VLOOKUP($BD407,DECODE!$A$3:$C$8,2,FALSE),"?"))</f>
        <v/>
      </c>
      <c r="BL407">
        <f>IF($Q407="","",UPPER(TRIM(LEFT($Q407&amp;",",FIND(",",$Q407&amp;",")-1))))</f>
        <v/>
      </c>
      <c r="BM407">
        <f>IF($BL407="","",MID($BL407,4,FIND("~",SUBSTITUTE($BL407,"-","~",2))-4))</f>
        <v/>
      </c>
      <c r="BN407">
        <f>IF($BL407="","",MID($BL407,FIND("~",SUBSTITUTE($BL407,"-","~",2))+1,FIND("~",SUBSTITUTE($BL407,"-","~",3))-FIND("~",SUBSTITUTE($BL407,"-","~",2))-1))</f>
        <v/>
      </c>
      <c r="BO407">
        <f>IF($BM407="","",IFERROR(VLOOKUP($BM407,DECODE!$A$3:$C$8,3,FALSE),"?"))</f>
        <v/>
      </c>
      <c r="BP407">
        <f>IF($BN407="","",IFERROR(VLOOKUP($BM407&amp;"-"&amp;$BN407,DECODE!$E$3:$F$21,2,FALSE),"?"))</f>
        <v/>
      </c>
      <c r="BQ407">
        <f>IF($BL407="","",IFERROR(VALUE(RIGHT($BL407,3)),""))</f>
        <v/>
      </c>
      <c r="BR407">
        <f>IF($W407="","",IFERROR(IF(ISNUMBER($W407),$W407,DATEVALUE(TRIM($W407))),""))</f>
        <v/>
      </c>
      <c r="BS407">
        <f>IF($BR407="","",IF(MONTH($BR407)&gt;=12,"Cold Winter",IF(MONTH($BR407)&gt;=10,"Post-Monsoon",IF(MONTH($BR407)&gt;=6,"Hot Humid",IF(MONTH($BR407)&gt;=3,"Hot Dry","Cold Winter")))))</f>
        <v/>
      </c>
      <c r="BT407">
        <f>IF($BM407="","",IFERROR(VLOOKUP($BM407,DECODE!$A$3:$C$8,2,FALSE),"?"))</f>
        <v/>
      </c>
      <c r="BU407">
        <f>IF($R407="","",UPPER(TRIM(LEFT($R407&amp;",",FIND(",",$R407&amp;",")-1))))</f>
        <v/>
      </c>
      <c r="BV407">
        <f>IF($BU407="","",MID($BU407,4,FIND("~",SUBSTITUTE($BU407,"-","~",2))-4))</f>
        <v/>
      </c>
      <c r="BW407">
        <f>IF($BU407="","",MID($BU407,FIND("~",SUBSTITUTE($BU407,"-","~",2))+1,FIND("~",SUBSTITUTE($BU407,"-","~",3))-FIND("~",SUBSTITUTE($BU407,"-","~",2))-1))</f>
        <v/>
      </c>
      <c r="BX407">
        <f>IF($BV407="","",IFERROR(VLOOKUP($BV407,DECODE!$A$3:$C$8,3,FALSE),"?"))</f>
        <v/>
      </c>
      <c r="BY407">
        <f>IF($BW407="","",IFERROR(VLOOKUP($BV407&amp;"-"&amp;$BW407,DECODE!$E$3:$F$21,2,FALSE),"?"))</f>
        <v/>
      </c>
      <c r="BZ407">
        <f>IF($BU407="","",IFERROR(VALUE(RIGHT($BU407,3)),""))</f>
        <v/>
      </c>
      <c r="CA407">
        <f>IF($X407="","",IFERROR(IF(ISNUMBER($X407),$X407,DATEVALUE(TRIM($X407))),""))</f>
        <v/>
      </c>
      <c r="CB407">
        <f>IF($CA407="","",IF(MONTH($CA407)&gt;=12,"Cold Winter",IF(MONTH($CA407)&gt;=10,"Post-Monsoon",IF(MONTH($CA407)&gt;=6,"Hot Humid",IF(MONTH($CA407)&gt;=3,"Hot Dry","Cold Winter")))))</f>
        <v/>
      </c>
      <c r="CC407">
        <f>IF($BV407="","",IFERROR(VLOOKUP($BV407,DECODE!$A$3:$C$8,2,FALSE),"?"))</f>
        <v/>
      </c>
      <c r="CD407">
        <f>IF($S407="","",UPPER(TRIM(LEFT($S407&amp;",",FIND(",",$S407&amp;",")-1))))</f>
        <v/>
      </c>
      <c r="CE407">
        <f>IF($CD407="","",MID($CD407,4,FIND("~",SUBSTITUTE($CD407,"-","~",2))-4))</f>
        <v/>
      </c>
      <c r="CF407">
        <f>IF($CD407="","",MID($CD407,FIND("~",SUBSTITUTE($CD407,"-","~",2))+1,FIND("~",SUBSTITUTE($CD407,"-","~",3))-FIND("~",SUBSTITUTE($CD407,"-","~",2))-1))</f>
        <v/>
      </c>
      <c r="CG407">
        <f>IF($CE407="","",IFERROR(VLOOKUP($CE407,DECODE!$A$3:$C$8,3,FALSE),"?"))</f>
        <v/>
      </c>
      <c r="CH407">
        <f>IF($CF407="","",IFERROR(VLOOKUP($CE407&amp;"-"&amp;$CF407,DECODE!$E$3:$F$21,2,FALSE),"?"))</f>
        <v/>
      </c>
      <c r="CI407">
        <f>IF($CD407="","",IFERROR(VALUE(RIGHT($CD407,3)),""))</f>
        <v/>
      </c>
      <c r="CJ407">
        <f>IF($Y407="","",IFERROR(IF(ISNUMBER($Y407),$Y407,DATEVALUE(TRIM($Y407))),""))</f>
        <v/>
      </c>
      <c r="CK407">
        <f>IF($CJ407="","",IF(MONTH($CJ407)&gt;=12,"Cold Winter",IF(MONTH($CJ407)&gt;=10,"Post-Monsoon",IF(MONTH($CJ407)&gt;=6,"Hot Humid",IF(MONTH($CJ407)&gt;=3,"Hot Dry","Cold Winter")))))</f>
        <v/>
      </c>
      <c r="CL407">
        <f>IF($CE407="","",IFERROR(VLOOKUP($CE407,DECODE!$A$3:$C$8,2,FALSE),"?"))</f>
        <v/>
      </c>
      <c r="CM407">
        <f>IF($AN407="","",AN407)</f>
        <v/>
      </c>
      <c r="CN407">
        <f>IF($AO407="","",AO407)</f>
        <v/>
      </c>
      <c r="CO407">
        <f>IF($AP407="","",AP407)</f>
        <v/>
      </c>
      <c r="CP407">
        <f>IF($CM407="","",IF($CM407="Aloe Vera Gel","Aloe Vera Gel "&amp;$CO407&amp;"g",CN407&amp;" "&amp;$CO407&amp;"g"))</f>
        <v/>
      </c>
      <c r="CQ407">
        <f>IF($AT407="",0,1)</f>
        <v/>
      </c>
      <c r="CR407">
        <f>IF($CQ407=0,"",AW407)</f>
        <v/>
      </c>
      <c r="CS407">
        <f>IF($CQ407=0,"",AX407)</f>
        <v/>
      </c>
      <c r="CT407">
        <f>IF($CQ407=0,"",AY407)</f>
        <v/>
      </c>
      <c r="CU407">
        <f>IF($CR407="","",IF($CR407="Aloe Vera Gel","Aloe Vera Gel "&amp;$CT407&amp;"g",CS407&amp;" "&amp;$CT407&amp;"g"))</f>
        <v/>
      </c>
      <c r="CV407">
        <f>IF($CQ407=0,"",IF($CP407=$CU407,"Repeat Exact",IF($CT407&gt;$CO407,"Upsized",IF($CT407&lt;$CO407,"Downsized",IF($CM407&lt;&gt;$CR407,"Lateral","Same Size Diff Variant")))))</f>
        <v/>
      </c>
      <c r="CW407">
        <f>IF($CQ407=0,"",AZ407-AQ407)</f>
        <v/>
      </c>
      <c r="CX407">
        <f>IF($CQ407=0,0,IF(CS407=CN407,1,0))</f>
        <v/>
      </c>
      <c r="CY407">
        <f>IF($CQ407=0,0,IF(CR407=CM407,1,0))</f>
        <v/>
      </c>
      <c r="CZ407">
        <f>IF($A407="","",IF(AND(IF(DASHBOARD!$C$4="All",TRUE,$CM407=DASHBOARD!$C$4),IF(DASHBOARD!$C$6="All",TRUE,$CP407=DASHBOARD!$C$6),IF(DASHBOARD!$C$8="All",TRUE,$AF407&gt;=DASHBOARD!$C$8),IF(DASHBOARD!$C$10="All",TRUE,$AF407&lt;=DASHBOARD!$C$10),IF(DASHBOARD!$C$12="All",TRUE,$AH407=VALUE(DASHBOARD!$C$12)),IF(DASHBOARD!$C$14="All",TRUE,$AJ407=DASHBOARD!$C$14)),1,0))</f>
        <v/>
      </c>
    </row>
    <row r="408">
      <c r="A408" t="n">
        <v>199979</v>
      </c>
      <c r="B408" t="inlineStr">
        <is>
          <t>Face Malai</t>
        </is>
      </c>
      <c r="H408" t="inlineStr">
        <is>
          <t>Flax Walnut (Cold) 35+ Face Malai</t>
        </is>
      </c>
      <c r="N408" t="inlineStr">
        <is>
          <t>FC-CWDM-FW-030</t>
        </is>
      </c>
      <c r="T408" t="inlineStr">
        <is>
          <t>Feb 5, 2024</t>
        </is>
      </c>
      <c r="AE408" t="inlineStr">
        <is>
          <t>New Delhi</t>
        </is>
      </c>
      <c r="AF408" t="inlineStr">
        <is>
          <t>2024-02</t>
        </is>
      </c>
      <c r="AG408" t="n">
        <v>2</v>
      </c>
      <c r="AH408" t="n">
        <v>1</v>
      </c>
      <c r="AI408" t="n">
        <v>0</v>
      </c>
      <c r="AJ408">
        <f>IF($AE408="","",IFERROR(VLOOKUP(TRIM($AE408),DECODE!$H$3:$I$60,2,FALSE),"Rest of India"))</f>
        <v/>
      </c>
      <c r="AK408">
        <f>IF($N408="","",UPPER(TRIM(LEFT($N408&amp;",",FIND(",",$N408&amp;",")-1))))</f>
        <v/>
      </c>
      <c r="AL408">
        <f>IF($AK408="","",MID($AK408,4,FIND("~",SUBSTITUTE($AK408,"-","~",2))-4))</f>
        <v/>
      </c>
      <c r="AM408">
        <f>IF($AK408="","",MID($AK408,FIND("~",SUBSTITUTE($AK408,"-","~",2))+1,FIND("~",SUBSTITUTE($AK408,"-","~",3))-FIND("~",SUBSTITUTE($AK408,"-","~",2))-1))</f>
        <v/>
      </c>
      <c r="AN408">
        <f>IF($AL408="","",IFERROR(VLOOKUP($AL408,DECODE!$A$3:$C$8,3,FALSE),"?"))</f>
        <v/>
      </c>
      <c r="AO408">
        <f>IF($AM408="","",IFERROR(VLOOKUP($AL408&amp;"-"&amp;$AM408,DECODE!$E$3:$F$21,2,FALSE),"?"))</f>
        <v/>
      </c>
      <c r="AP408">
        <f>IF($AK408="","",IFERROR(VALUE(RIGHT($AK408,3)),""))</f>
        <v/>
      </c>
      <c r="AQ408">
        <f>IF($T408="","",IFERROR(IF(ISNUMBER($T408),$T408,DATEVALUE(TRIM($T408))),""))</f>
        <v/>
      </c>
      <c r="AR408">
        <f>IF($AQ408="","",IF(MONTH($AQ408)&gt;=12,"Cold Winter",IF(MONTH($AQ408)&gt;=10,"Post-Monsoon",IF(MONTH($AQ408)&gt;=6,"Hot Humid",IF(MONTH($AQ408)&gt;=3,"Hot Dry","Cold Winter")))))</f>
        <v/>
      </c>
      <c r="AS408">
        <f>IF($AL408="","",IFERROR(VLOOKUP($AL408,DECODE!$A$3:$C$8,2,FALSE),"?"))</f>
        <v/>
      </c>
      <c r="AT408">
        <f>IF($O408="","",UPPER(TRIM(LEFT($O408&amp;",",FIND(",",$O408&amp;",")-1))))</f>
        <v/>
      </c>
      <c r="AU408">
        <f>IF($AT408="","",MID($AT408,4,FIND("~",SUBSTITUTE($AT408,"-","~",2))-4))</f>
        <v/>
      </c>
      <c r="AV408">
        <f>IF($AT408="","",MID($AT408,FIND("~",SUBSTITUTE($AT408,"-","~",2))+1,FIND("~",SUBSTITUTE($AT408,"-","~",3))-FIND("~",SUBSTITUTE($AT408,"-","~",2))-1))</f>
        <v/>
      </c>
      <c r="AW408">
        <f>IF($AU408="","",IFERROR(VLOOKUP($AU408,DECODE!$A$3:$C$8,3,FALSE),"?"))</f>
        <v/>
      </c>
      <c r="AX408">
        <f>IF($AV408="","",IFERROR(VLOOKUP($AU408&amp;"-"&amp;$AV408,DECODE!$E$3:$F$21,2,FALSE),"?"))</f>
        <v/>
      </c>
      <c r="AY408">
        <f>IF($AT408="","",IFERROR(VALUE(RIGHT($AT408,3)),""))</f>
        <v/>
      </c>
      <c r="AZ408">
        <f>IF($U408="","",IFERROR(IF(ISNUMBER($U408),$U408,DATEVALUE(TRIM($U408))),""))</f>
        <v/>
      </c>
      <c r="BA408">
        <f>IF($AZ408="","",IF(MONTH($AZ408)&gt;=12,"Cold Winter",IF(MONTH($AZ408)&gt;=10,"Post-Monsoon",IF(MONTH($AZ408)&gt;=6,"Hot Humid",IF(MONTH($AZ408)&gt;=3,"Hot Dry","Cold Winter")))))</f>
        <v/>
      </c>
      <c r="BB408">
        <f>IF($AU408="","",IFERROR(VLOOKUP($AU408,DECODE!$A$3:$C$8,2,FALSE),"?"))</f>
        <v/>
      </c>
      <c r="BC408">
        <f>IF($P408="","",UPPER(TRIM(LEFT($P408&amp;",",FIND(",",$P408&amp;",")-1))))</f>
        <v/>
      </c>
      <c r="BD408">
        <f>IF($BC408="","",MID($BC408,4,FIND("~",SUBSTITUTE($BC408,"-","~",2))-4))</f>
        <v/>
      </c>
      <c r="BE408">
        <f>IF($BC408="","",MID($BC408,FIND("~",SUBSTITUTE($BC408,"-","~",2))+1,FIND("~",SUBSTITUTE($BC408,"-","~",3))-FIND("~",SUBSTITUTE($BC408,"-","~",2))-1))</f>
        <v/>
      </c>
      <c r="BF408">
        <f>IF($BD408="","",IFERROR(VLOOKUP($BD408,DECODE!$A$3:$C$8,3,FALSE),"?"))</f>
        <v/>
      </c>
      <c r="BG408">
        <f>IF($BE408="","",IFERROR(VLOOKUP($BD408&amp;"-"&amp;$BE408,DECODE!$E$3:$F$21,2,FALSE),"?"))</f>
        <v/>
      </c>
      <c r="BH408">
        <f>IF($BC408="","",IFERROR(VALUE(RIGHT($BC408,3)),""))</f>
        <v/>
      </c>
      <c r="BI408">
        <f>IF($V408="","",IFERROR(IF(ISNUMBER($V408),$V408,DATEVALUE(TRIM($V408))),""))</f>
        <v/>
      </c>
      <c r="BJ408">
        <f>IF($BI408="","",IF(MONTH($BI408)&gt;=12,"Cold Winter",IF(MONTH($BI408)&gt;=10,"Post-Monsoon",IF(MONTH($BI408)&gt;=6,"Hot Humid",IF(MONTH($BI408)&gt;=3,"Hot Dry","Cold Winter")))))</f>
        <v/>
      </c>
      <c r="BK408">
        <f>IF($BD408="","",IFERROR(VLOOKUP($BD408,DECODE!$A$3:$C$8,2,FALSE),"?"))</f>
        <v/>
      </c>
      <c r="BL408">
        <f>IF($Q408="","",UPPER(TRIM(LEFT($Q408&amp;",",FIND(",",$Q408&amp;",")-1))))</f>
        <v/>
      </c>
      <c r="BM408">
        <f>IF($BL408="","",MID($BL408,4,FIND("~",SUBSTITUTE($BL408,"-","~",2))-4))</f>
        <v/>
      </c>
      <c r="BN408">
        <f>IF($BL408="","",MID($BL408,FIND("~",SUBSTITUTE($BL408,"-","~",2))+1,FIND("~",SUBSTITUTE($BL408,"-","~",3))-FIND("~",SUBSTITUTE($BL408,"-","~",2))-1))</f>
        <v/>
      </c>
      <c r="BO408">
        <f>IF($BM408="","",IFERROR(VLOOKUP($BM408,DECODE!$A$3:$C$8,3,FALSE),"?"))</f>
        <v/>
      </c>
      <c r="BP408">
        <f>IF($BN408="","",IFERROR(VLOOKUP($BM408&amp;"-"&amp;$BN408,DECODE!$E$3:$F$21,2,FALSE),"?"))</f>
        <v/>
      </c>
      <c r="BQ408">
        <f>IF($BL408="","",IFERROR(VALUE(RIGHT($BL408,3)),""))</f>
        <v/>
      </c>
      <c r="BR408">
        <f>IF($W408="","",IFERROR(IF(ISNUMBER($W408),$W408,DATEVALUE(TRIM($W408))),""))</f>
        <v/>
      </c>
      <c r="BS408">
        <f>IF($BR408="","",IF(MONTH($BR408)&gt;=12,"Cold Winter",IF(MONTH($BR408)&gt;=10,"Post-Monsoon",IF(MONTH($BR408)&gt;=6,"Hot Humid",IF(MONTH($BR408)&gt;=3,"Hot Dry","Cold Winter")))))</f>
        <v/>
      </c>
      <c r="BT408">
        <f>IF($BM408="","",IFERROR(VLOOKUP($BM408,DECODE!$A$3:$C$8,2,FALSE),"?"))</f>
        <v/>
      </c>
      <c r="BU408">
        <f>IF($R408="","",UPPER(TRIM(LEFT($R408&amp;",",FIND(",",$R408&amp;",")-1))))</f>
        <v/>
      </c>
      <c r="BV408">
        <f>IF($BU408="","",MID($BU408,4,FIND("~",SUBSTITUTE($BU408,"-","~",2))-4))</f>
        <v/>
      </c>
      <c r="BW408">
        <f>IF($BU408="","",MID($BU408,FIND("~",SUBSTITUTE($BU408,"-","~",2))+1,FIND("~",SUBSTITUTE($BU408,"-","~",3))-FIND("~",SUBSTITUTE($BU408,"-","~",2))-1))</f>
        <v/>
      </c>
      <c r="BX408">
        <f>IF($BV408="","",IFERROR(VLOOKUP($BV408,DECODE!$A$3:$C$8,3,FALSE),"?"))</f>
        <v/>
      </c>
      <c r="BY408">
        <f>IF($BW408="","",IFERROR(VLOOKUP($BV408&amp;"-"&amp;$BW408,DECODE!$E$3:$F$21,2,FALSE),"?"))</f>
        <v/>
      </c>
      <c r="BZ408">
        <f>IF($BU408="","",IFERROR(VALUE(RIGHT($BU408,3)),""))</f>
        <v/>
      </c>
      <c r="CA408">
        <f>IF($X408="","",IFERROR(IF(ISNUMBER($X408),$X408,DATEVALUE(TRIM($X408))),""))</f>
        <v/>
      </c>
      <c r="CB408">
        <f>IF($CA408="","",IF(MONTH($CA408)&gt;=12,"Cold Winter",IF(MONTH($CA408)&gt;=10,"Post-Monsoon",IF(MONTH($CA408)&gt;=6,"Hot Humid",IF(MONTH($CA408)&gt;=3,"Hot Dry","Cold Winter")))))</f>
        <v/>
      </c>
      <c r="CC408">
        <f>IF($BV408="","",IFERROR(VLOOKUP($BV408,DECODE!$A$3:$C$8,2,FALSE),"?"))</f>
        <v/>
      </c>
      <c r="CD408">
        <f>IF($S408="","",UPPER(TRIM(LEFT($S408&amp;",",FIND(",",$S408&amp;",")-1))))</f>
        <v/>
      </c>
      <c r="CE408">
        <f>IF($CD408="","",MID($CD408,4,FIND("~",SUBSTITUTE($CD408,"-","~",2))-4))</f>
        <v/>
      </c>
      <c r="CF408">
        <f>IF($CD408="","",MID($CD408,FIND("~",SUBSTITUTE($CD408,"-","~",2))+1,FIND("~",SUBSTITUTE($CD408,"-","~",3))-FIND("~",SUBSTITUTE($CD408,"-","~",2))-1))</f>
        <v/>
      </c>
      <c r="CG408">
        <f>IF($CE408="","",IFERROR(VLOOKUP($CE408,DECODE!$A$3:$C$8,3,FALSE),"?"))</f>
        <v/>
      </c>
      <c r="CH408">
        <f>IF($CF408="","",IFERROR(VLOOKUP($CE408&amp;"-"&amp;$CF408,DECODE!$E$3:$F$21,2,FALSE),"?"))</f>
        <v/>
      </c>
      <c r="CI408">
        <f>IF($CD408="","",IFERROR(VALUE(RIGHT($CD408,3)),""))</f>
        <v/>
      </c>
      <c r="CJ408">
        <f>IF($Y408="","",IFERROR(IF(ISNUMBER($Y408),$Y408,DATEVALUE(TRIM($Y408))),""))</f>
        <v/>
      </c>
      <c r="CK408">
        <f>IF($CJ408="","",IF(MONTH($CJ408)&gt;=12,"Cold Winter",IF(MONTH($CJ408)&gt;=10,"Post-Monsoon",IF(MONTH($CJ408)&gt;=6,"Hot Humid",IF(MONTH($CJ408)&gt;=3,"Hot Dry","Cold Winter")))))</f>
        <v/>
      </c>
      <c r="CL408">
        <f>IF($CE408="","",IFERROR(VLOOKUP($CE408,DECODE!$A$3:$C$8,2,FALSE),"?"))</f>
        <v/>
      </c>
      <c r="CM408">
        <f>IF($AN408="","",AN408)</f>
        <v/>
      </c>
      <c r="CN408">
        <f>IF($AO408="","",AO408)</f>
        <v/>
      </c>
      <c r="CO408">
        <f>IF($AP408="","",AP408)</f>
        <v/>
      </c>
      <c r="CP408">
        <f>IF($CM408="","",IF($CM408="Aloe Vera Gel","Aloe Vera Gel "&amp;$CO408&amp;"g",CN408&amp;" "&amp;$CO408&amp;"g"))</f>
        <v/>
      </c>
      <c r="CQ408">
        <f>IF($AT408="",0,1)</f>
        <v/>
      </c>
      <c r="CR408">
        <f>IF($CQ408=0,"",AW408)</f>
        <v/>
      </c>
      <c r="CS408">
        <f>IF($CQ408=0,"",AX408)</f>
        <v/>
      </c>
      <c r="CT408">
        <f>IF($CQ408=0,"",AY408)</f>
        <v/>
      </c>
      <c r="CU408">
        <f>IF($CR408="","",IF($CR408="Aloe Vera Gel","Aloe Vera Gel "&amp;$CT408&amp;"g",CS408&amp;" "&amp;$CT408&amp;"g"))</f>
        <v/>
      </c>
      <c r="CV408">
        <f>IF($CQ408=0,"",IF($CP408=$CU408,"Repeat Exact",IF($CT408&gt;$CO408,"Upsized",IF($CT408&lt;$CO408,"Downsized",IF($CM408&lt;&gt;$CR408,"Lateral","Same Size Diff Variant")))))</f>
        <v/>
      </c>
      <c r="CW408">
        <f>IF($CQ408=0,"",AZ408-AQ408)</f>
        <v/>
      </c>
      <c r="CX408">
        <f>IF($CQ408=0,0,IF(CS408=CN408,1,0))</f>
        <v/>
      </c>
      <c r="CY408">
        <f>IF($CQ408=0,0,IF(CR408=CM408,1,0))</f>
        <v/>
      </c>
      <c r="CZ408">
        <f>IF($A408="","",IF(AND(IF(DASHBOARD!$C$4="All",TRUE,$CM408=DASHBOARD!$C$4),IF(DASHBOARD!$C$6="All",TRUE,$CP408=DASHBOARD!$C$6),IF(DASHBOARD!$C$8="All",TRUE,$AF408&gt;=DASHBOARD!$C$8),IF(DASHBOARD!$C$10="All",TRUE,$AF408&lt;=DASHBOARD!$C$10),IF(DASHBOARD!$C$12="All",TRUE,$AH408=VALUE(DASHBOARD!$C$12)),IF(DASHBOARD!$C$14="All",TRUE,$AJ408=DASHBOARD!$C$14)),1,0))</f>
        <v/>
      </c>
    </row>
    <row r="409">
      <c r="A409" t="n">
        <v>200296</v>
      </c>
      <c r="B409" t="inlineStr">
        <is>
          <t>Aloe Vera Gel</t>
        </is>
      </c>
      <c r="C409" t="inlineStr">
        <is>
          <t>Face Malai</t>
        </is>
      </c>
      <c r="D409" t="inlineStr">
        <is>
          <t>Aloe Vera Gel</t>
        </is>
      </c>
      <c r="E409" t="inlineStr">
        <is>
          <t>Face Malai</t>
        </is>
      </c>
      <c r="H409" t="inlineStr">
        <is>
          <t>Aloe Vera Gel - 40 gms</t>
        </is>
      </c>
      <c r="I409" t="inlineStr">
        <is>
          <t>Flax Bakuchi (Hot Dry) 35+ Face Malai - 30g</t>
        </is>
      </c>
      <c r="J409" t="inlineStr">
        <is>
          <t>Aloe Vera Gel - 40 gms</t>
        </is>
      </c>
      <c r="K409" t="inlineStr">
        <is>
          <t>Cocoa Mogra (Overnight) Face Malai - 30g</t>
        </is>
      </c>
      <c r="N409" t="inlineStr">
        <is>
          <t>FC-HG-PA-040</t>
        </is>
      </c>
      <c r="O409" t="inlineStr">
        <is>
          <t>FC-HDDM-FB-030</t>
        </is>
      </c>
      <c r="P409" t="inlineStr">
        <is>
          <t>FC-HG-PA-040</t>
        </is>
      </c>
      <c r="Q409" t="inlineStr">
        <is>
          <t>FC-DM-NR-030</t>
        </is>
      </c>
      <c r="T409" t="inlineStr">
        <is>
          <t>May 4, 2024</t>
        </is>
      </c>
      <c r="U409" t="inlineStr">
        <is>
          <t>May 30, 2024</t>
        </is>
      </c>
      <c r="V409" t="inlineStr">
        <is>
          <t>Jun 25, 2024</t>
        </is>
      </c>
      <c r="W409" t="inlineStr">
        <is>
          <t>Dec 3, 2024</t>
        </is>
      </c>
      <c r="Z409" t="n">
        <v>26</v>
      </c>
      <c r="AA409" t="n">
        <v>26</v>
      </c>
      <c r="AB409" t="n">
        <v>161</v>
      </c>
      <c r="AE409" t="inlineStr">
        <is>
          <t>Jaipur</t>
        </is>
      </c>
      <c r="AF409" t="inlineStr">
        <is>
          <t>2024-05</t>
        </is>
      </c>
      <c r="AG409" t="n">
        <v>5</v>
      </c>
      <c r="AH409" t="n">
        <v>4</v>
      </c>
      <c r="AI409" t="n">
        <v>1</v>
      </c>
      <c r="AJ409">
        <f>IF($AE409="","",IFERROR(VLOOKUP(TRIM($AE409),DECODE!$H$3:$I$60,2,FALSE),"Rest of India"))</f>
        <v/>
      </c>
      <c r="AK409">
        <f>IF($N409="","",UPPER(TRIM(LEFT($N409&amp;",",FIND(",",$N409&amp;",")-1))))</f>
        <v/>
      </c>
      <c r="AL409">
        <f>IF($AK409="","",MID($AK409,4,FIND("~",SUBSTITUTE($AK409,"-","~",2))-4))</f>
        <v/>
      </c>
      <c r="AM409">
        <f>IF($AK409="","",MID($AK409,FIND("~",SUBSTITUTE($AK409,"-","~",2))+1,FIND("~",SUBSTITUTE($AK409,"-","~",3))-FIND("~",SUBSTITUTE($AK409,"-","~",2))-1))</f>
        <v/>
      </c>
      <c r="AN409">
        <f>IF($AL409="","",IFERROR(VLOOKUP($AL409,DECODE!$A$3:$C$8,3,FALSE),"?"))</f>
        <v/>
      </c>
      <c r="AO409">
        <f>IF($AM409="","",IFERROR(VLOOKUP($AL409&amp;"-"&amp;$AM409,DECODE!$E$3:$F$21,2,FALSE),"?"))</f>
        <v/>
      </c>
      <c r="AP409">
        <f>IF($AK409="","",IFERROR(VALUE(RIGHT($AK409,3)),""))</f>
        <v/>
      </c>
      <c r="AQ409">
        <f>IF($T409="","",IFERROR(IF(ISNUMBER($T409),$T409,DATEVALUE(TRIM($T409))),""))</f>
        <v/>
      </c>
      <c r="AR409">
        <f>IF($AQ409="","",IF(MONTH($AQ409)&gt;=12,"Cold Winter",IF(MONTH($AQ409)&gt;=10,"Post-Monsoon",IF(MONTH($AQ409)&gt;=6,"Hot Humid",IF(MONTH($AQ409)&gt;=3,"Hot Dry","Cold Winter")))))</f>
        <v/>
      </c>
      <c r="AS409">
        <f>IF($AL409="","",IFERROR(VLOOKUP($AL409,DECODE!$A$3:$C$8,2,FALSE),"?"))</f>
        <v/>
      </c>
      <c r="AT409">
        <f>IF($O409="","",UPPER(TRIM(LEFT($O409&amp;",",FIND(",",$O409&amp;",")-1))))</f>
        <v/>
      </c>
      <c r="AU409">
        <f>IF($AT409="","",MID($AT409,4,FIND("~",SUBSTITUTE($AT409,"-","~",2))-4))</f>
        <v/>
      </c>
      <c r="AV409">
        <f>IF($AT409="","",MID($AT409,FIND("~",SUBSTITUTE($AT409,"-","~",2))+1,FIND("~",SUBSTITUTE($AT409,"-","~",3))-FIND("~",SUBSTITUTE($AT409,"-","~",2))-1))</f>
        <v/>
      </c>
      <c r="AW409">
        <f>IF($AU409="","",IFERROR(VLOOKUP($AU409,DECODE!$A$3:$C$8,3,FALSE),"?"))</f>
        <v/>
      </c>
      <c r="AX409">
        <f>IF($AV409="","",IFERROR(VLOOKUP($AU409&amp;"-"&amp;$AV409,DECODE!$E$3:$F$21,2,FALSE),"?"))</f>
        <v/>
      </c>
      <c r="AY409">
        <f>IF($AT409="","",IFERROR(VALUE(RIGHT($AT409,3)),""))</f>
        <v/>
      </c>
      <c r="AZ409">
        <f>IF($U409="","",IFERROR(IF(ISNUMBER($U409),$U409,DATEVALUE(TRIM($U409))),""))</f>
        <v/>
      </c>
      <c r="BA409">
        <f>IF($AZ409="","",IF(MONTH($AZ409)&gt;=12,"Cold Winter",IF(MONTH($AZ409)&gt;=10,"Post-Monsoon",IF(MONTH($AZ409)&gt;=6,"Hot Humid",IF(MONTH($AZ409)&gt;=3,"Hot Dry","Cold Winter")))))</f>
        <v/>
      </c>
      <c r="BB409">
        <f>IF($AU409="","",IFERROR(VLOOKUP($AU409,DECODE!$A$3:$C$8,2,FALSE),"?"))</f>
        <v/>
      </c>
      <c r="BC409">
        <f>IF($P409="","",UPPER(TRIM(LEFT($P409&amp;",",FIND(",",$P409&amp;",")-1))))</f>
        <v/>
      </c>
      <c r="BD409">
        <f>IF($BC409="","",MID($BC409,4,FIND("~",SUBSTITUTE($BC409,"-","~",2))-4))</f>
        <v/>
      </c>
      <c r="BE409">
        <f>IF($BC409="","",MID($BC409,FIND("~",SUBSTITUTE($BC409,"-","~",2))+1,FIND("~",SUBSTITUTE($BC409,"-","~",3))-FIND("~",SUBSTITUTE($BC409,"-","~",2))-1))</f>
        <v/>
      </c>
      <c r="BF409">
        <f>IF($BD409="","",IFERROR(VLOOKUP($BD409,DECODE!$A$3:$C$8,3,FALSE),"?"))</f>
        <v/>
      </c>
      <c r="BG409">
        <f>IF($BE409="","",IFERROR(VLOOKUP($BD409&amp;"-"&amp;$BE409,DECODE!$E$3:$F$21,2,FALSE),"?"))</f>
        <v/>
      </c>
      <c r="BH409">
        <f>IF($BC409="","",IFERROR(VALUE(RIGHT($BC409,3)),""))</f>
        <v/>
      </c>
      <c r="BI409">
        <f>IF($V409="","",IFERROR(IF(ISNUMBER($V409),$V409,DATEVALUE(TRIM($V409))),""))</f>
        <v/>
      </c>
      <c r="BJ409">
        <f>IF($BI409="","",IF(MONTH($BI409)&gt;=12,"Cold Winter",IF(MONTH($BI409)&gt;=10,"Post-Monsoon",IF(MONTH($BI409)&gt;=6,"Hot Humid",IF(MONTH($BI409)&gt;=3,"Hot Dry","Cold Winter")))))</f>
        <v/>
      </c>
      <c r="BK409">
        <f>IF($BD409="","",IFERROR(VLOOKUP($BD409,DECODE!$A$3:$C$8,2,FALSE),"?"))</f>
        <v/>
      </c>
      <c r="BL409">
        <f>IF($Q409="","",UPPER(TRIM(LEFT($Q409&amp;",",FIND(",",$Q409&amp;",")-1))))</f>
        <v/>
      </c>
      <c r="BM409">
        <f>IF($BL409="","",MID($BL409,4,FIND("~",SUBSTITUTE($BL409,"-","~",2))-4))</f>
        <v/>
      </c>
      <c r="BN409">
        <f>IF($BL409="","",MID($BL409,FIND("~",SUBSTITUTE($BL409,"-","~",2))+1,FIND("~",SUBSTITUTE($BL409,"-","~",3))-FIND("~",SUBSTITUTE($BL409,"-","~",2))-1))</f>
        <v/>
      </c>
      <c r="BO409">
        <f>IF($BM409="","",IFERROR(VLOOKUP($BM409,DECODE!$A$3:$C$8,3,FALSE),"?"))</f>
        <v/>
      </c>
      <c r="BP409">
        <f>IF($BN409="","",IFERROR(VLOOKUP($BM409&amp;"-"&amp;$BN409,DECODE!$E$3:$F$21,2,FALSE),"?"))</f>
        <v/>
      </c>
      <c r="BQ409">
        <f>IF($BL409="","",IFERROR(VALUE(RIGHT($BL409,3)),""))</f>
        <v/>
      </c>
      <c r="BR409">
        <f>IF($W409="","",IFERROR(IF(ISNUMBER($W409),$W409,DATEVALUE(TRIM($W409))),""))</f>
        <v/>
      </c>
      <c r="BS409">
        <f>IF($BR409="","",IF(MONTH($BR409)&gt;=12,"Cold Winter",IF(MONTH($BR409)&gt;=10,"Post-Monsoon",IF(MONTH($BR409)&gt;=6,"Hot Humid",IF(MONTH($BR409)&gt;=3,"Hot Dry","Cold Winter")))))</f>
        <v/>
      </c>
      <c r="BT409">
        <f>IF($BM409="","",IFERROR(VLOOKUP($BM409,DECODE!$A$3:$C$8,2,FALSE),"?"))</f>
        <v/>
      </c>
      <c r="BU409">
        <f>IF($R409="","",UPPER(TRIM(LEFT($R409&amp;",",FIND(",",$R409&amp;",")-1))))</f>
        <v/>
      </c>
      <c r="BV409">
        <f>IF($BU409="","",MID($BU409,4,FIND("~",SUBSTITUTE($BU409,"-","~",2))-4))</f>
        <v/>
      </c>
      <c r="BW409">
        <f>IF($BU409="","",MID($BU409,FIND("~",SUBSTITUTE($BU409,"-","~",2))+1,FIND("~",SUBSTITUTE($BU409,"-","~",3))-FIND("~",SUBSTITUTE($BU409,"-","~",2))-1))</f>
        <v/>
      </c>
      <c r="BX409">
        <f>IF($BV409="","",IFERROR(VLOOKUP($BV409,DECODE!$A$3:$C$8,3,FALSE),"?"))</f>
        <v/>
      </c>
      <c r="BY409">
        <f>IF($BW409="","",IFERROR(VLOOKUP($BV409&amp;"-"&amp;$BW409,DECODE!$E$3:$F$21,2,FALSE),"?"))</f>
        <v/>
      </c>
      <c r="BZ409">
        <f>IF($BU409="","",IFERROR(VALUE(RIGHT($BU409,3)),""))</f>
        <v/>
      </c>
      <c r="CA409">
        <f>IF($X409="","",IFERROR(IF(ISNUMBER($X409),$X409,DATEVALUE(TRIM($X409))),""))</f>
        <v/>
      </c>
      <c r="CB409">
        <f>IF($CA409="","",IF(MONTH($CA409)&gt;=12,"Cold Winter",IF(MONTH($CA409)&gt;=10,"Post-Monsoon",IF(MONTH($CA409)&gt;=6,"Hot Humid",IF(MONTH($CA409)&gt;=3,"Hot Dry","Cold Winter")))))</f>
        <v/>
      </c>
      <c r="CC409">
        <f>IF($BV409="","",IFERROR(VLOOKUP($BV409,DECODE!$A$3:$C$8,2,FALSE),"?"))</f>
        <v/>
      </c>
      <c r="CD409">
        <f>IF($S409="","",UPPER(TRIM(LEFT($S409&amp;",",FIND(",",$S409&amp;",")-1))))</f>
        <v/>
      </c>
      <c r="CE409">
        <f>IF($CD409="","",MID($CD409,4,FIND("~",SUBSTITUTE($CD409,"-","~",2))-4))</f>
        <v/>
      </c>
      <c r="CF409">
        <f>IF($CD409="","",MID($CD409,FIND("~",SUBSTITUTE($CD409,"-","~",2))+1,FIND("~",SUBSTITUTE($CD409,"-","~",3))-FIND("~",SUBSTITUTE($CD409,"-","~",2))-1))</f>
        <v/>
      </c>
      <c r="CG409">
        <f>IF($CE409="","",IFERROR(VLOOKUP($CE409,DECODE!$A$3:$C$8,3,FALSE),"?"))</f>
        <v/>
      </c>
      <c r="CH409">
        <f>IF($CF409="","",IFERROR(VLOOKUP($CE409&amp;"-"&amp;$CF409,DECODE!$E$3:$F$21,2,FALSE),"?"))</f>
        <v/>
      </c>
      <c r="CI409">
        <f>IF($CD409="","",IFERROR(VALUE(RIGHT($CD409,3)),""))</f>
        <v/>
      </c>
      <c r="CJ409">
        <f>IF($Y409="","",IFERROR(IF(ISNUMBER($Y409),$Y409,DATEVALUE(TRIM($Y409))),""))</f>
        <v/>
      </c>
      <c r="CK409">
        <f>IF($CJ409="","",IF(MONTH($CJ409)&gt;=12,"Cold Winter",IF(MONTH($CJ409)&gt;=10,"Post-Monsoon",IF(MONTH($CJ409)&gt;=6,"Hot Humid",IF(MONTH($CJ409)&gt;=3,"Hot Dry","Cold Winter")))))</f>
        <v/>
      </c>
      <c r="CL409">
        <f>IF($CE409="","",IFERROR(VLOOKUP($CE409,DECODE!$A$3:$C$8,2,FALSE),"?"))</f>
        <v/>
      </c>
      <c r="CM409">
        <f>IF($AN409="","",AN409)</f>
        <v/>
      </c>
      <c r="CN409">
        <f>IF($AO409="","",AO409)</f>
        <v/>
      </c>
      <c r="CO409">
        <f>IF($AP409="","",AP409)</f>
        <v/>
      </c>
      <c r="CP409">
        <f>IF($CM409="","",IF($CM409="Aloe Vera Gel","Aloe Vera Gel "&amp;$CO409&amp;"g",CN409&amp;" "&amp;$CO409&amp;"g"))</f>
        <v/>
      </c>
      <c r="CQ409">
        <f>IF($AT409="",0,1)</f>
        <v/>
      </c>
      <c r="CR409">
        <f>IF($CQ409=0,"",AW409)</f>
        <v/>
      </c>
      <c r="CS409">
        <f>IF($CQ409=0,"",AX409)</f>
        <v/>
      </c>
      <c r="CT409">
        <f>IF($CQ409=0,"",AY409)</f>
        <v/>
      </c>
      <c r="CU409">
        <f>IF($CR409="","",IF($CR409="Aloe Vera Gel","Aloe Vera Gel "&amp;$CT409&amp;"g",CS409&amp;" "&amp;$CT409&amp;"g"))</f>
        <v/>
      </c>
      <c r="CV409">
        <f>IF($CQ409=0,"",IF($CP409=$CU409,"Repeat Exact",IF($CT409&gt;$CO409,"Upsized",IF($CT409&lt;$CO409,"Downsized",IF($CM409&lt;&gt;$CR409,"Lateral","Same Size Diff Variant")))))</f>
        <v/>
      </c>
      <c r="CW409">
        <f>IF($CQ409=0,"",AZ409-AQ409)</f>
        <v/>
      </c>
      <c r="CX409">
        <f>IF($CQ409=0,0,IF(CS409=CN409,1,0))</f>
        <v/>
      </c>
      <c r="CY409">
        <f>IF($CQ409=0,0,IF(CR409=CM409,1,0))</f>
        <v/>
      </c>
      <c r="CZ409">
        <f>IF($A409="","",IF(AND(IF(DASHBOARD!$C$4="All",TRUE,$CM409=DASHBOARD!$C$4),IF(DASHBOARD!$C$6="All",TRUE,$CP409=DASHBOARD!$C$6),IF(DASHBOARD!$C$8="All",TRUE,$AF409&gt;=DASHBOARD!$C$8),IF(DASHBOARD!$C$10="All",TRUE,$AF409&lt;=DASHBOARD!$C$10),IF(DASHBOARD!$C$12="All",TRUE,$AH409=VALUE(DASHBOARD!$C$12)),IF(DASHBOARD!$C$14="All",TRUE,$AJ409=DASHBOARD!$C$14)),1,0))</f>
        <v/>
      </c>
    </row>
    <row r="410">
      <c r="A410" t="n">
        <v>201062</v>
      </c>
      <c r="B410" t="inlineStr">
        <is>
          <t>Face Malai</t>
        </is>
      </c>
      <c r="H410" t="inlineStr">
        <is>
          <t>Flax Bakuchi (Hot Dry) 35+ Face Malai - 30g</t>
        </is>
      </c>
      <c r="N410" t="inlineStr">
        <is>
          <t>FC-HDDM-FB-030</t>
        </is>
      </c>
      <c r="T410" t="inlineStr">
        <is>
          <t>May 8, 2025</t>
        </is>
      </c>
      <c r="AE410" t="inlineStr">
        <is>
          <t>Keonjhar</t>
        </is>
      </c>
      <c r="AF410" t="inlineStr">
        <is>
          <t>2025-05</t>
        </is>
      </c>
      <c r="AG410" t="n">
        <v>5</v>
      </c>
      <c r="AH410" t="n">
        <v>1</v>
      </c>
      <c r="AI410" t="n">
        <v>0</v>
      </c>
      <c r="AJ410">
        <f>IF($AE410="","",IFERROR(VLOOKUP(TRIM($AE410),DECODE!$H$3:$I$60,2,FALSE),"Rest of India"))</f>
        <v/>
      </c>
      <c r="AK410">
        <f>IF($N410="","",UPPER(TRIM(LEFT($N410&amp;",",FIND(",",$N410&amp;",")-1))))</f>
        <v/>
      </c>
      <c r="AL410">
        <f>IF($AK410="","",MID($AK410,4,FIND("~",SUBSTITUTE($AK410,"-","~",2))-4))</f>
        <v/>
      </c>
      <c r="AM410">
        <f>IF($AK410="","",MID($AK410,FIND("~",SUBSTITUTE($AK410,"-","~",2))+1,FIND("~",SUBSTITUTE($AK410,"-","~",3))-FIND("~",SUBSTITUTE($AK410,"-","~",2))-1))</f>
        <v/>
      </c>
      <c r="AN410">
        <f>IF($AL410="","",IFERROR(VLOOKUP($AL410,DECODE!$A$3:$C$8,3,FALSE),"?"))</f>
        <v/>
      </c>
      <c r="AO410">
        <f>IF($AM410="","",IFERROR(VLOOKUP($AL410&amp;"-"&amp;$AM410,DECODE!$E$3:$F$21,2,FALSE),"?"))</f>
        <v/>
      </c>
      <c r="AP410">
        <f>IF($AK410="","",IFERROR(VALUE(RIGHT($AK410,3)),""))</f>
        <v/>
      </c>
      <c r="AQ410">
        <f>IF($T410="","",IFERROR(IF(ISNUMBER($T410),$T410,DATEVALUE(TRIM($T410))),""))</f>
        <v/>
      </c>
      <c r="AR410">
        <f>IF($AQ410="","",IF(MONTH($AQ410)&gt;=12,"Cold Winter",IF(MONTH($AQ410)&gt;=10,"Post-Monsoon",IF(MONTH($AQ410)&gt;=6,"Hot Humid",IF(MONTH($AQ410)&gt;=3,"Hot Dry","Cold Winter")))))</f>
        <v/>
      </c>
      <c r="AS410">
        <f>IF($AL410="","",IFERROR(VLOOKUP($AL410,DECODE!$A$3:$C$8,2,FALSE),"?"))</f>
        <v/>
      </c>
      <c r="AT410">
        <f>IF($O410="","",UPPER(TRIM(LEFT($O410&amp;",",FIND(",",$O410&amp;",")-1))))</f>
        <v/>
      </c>
      <c r="AU410">
        <f>IF($AT410="","",MID($AT410,4,FIND("~",SUBSTITUTE($AT410,"-","~",2))-4))</f>
        <v/>
      </c>
      <c r="AV410">
        <f>IF($AT410="","",MID($AT410,FIND("~",SUBSTITUTE($AT410,"-","~",2))+1,FIND("~",SUBSTITUTE($AT410,"-","~",3))-FIND("~",SUBSTITUTE($AT410,"-","~",2))-1))</f>
        <v/>
      </c>
      <c r="AW410">
        <f>IF($AU410="","",IFERROR(VLOOKUP($AU410,DECODE!$A$3:$C$8,3,FALSE),"?"))</f>
        <v/>
      </c>
      <c r="AX410">
        <f>IF($AV410="","",IFERROR(VLOOKUP($AU410&amp;"-"&amp;$AV410,DECODE!$E$3:$F$21,2,FALSE),"?"))</f>
        <v/>
      </c>
      <c r="AY410">
        <f>IF($AT410="","",IFERROR(VALUE(RIGHT($AT410,3)),""))</f>
        <v/>
      </c>
      <c r="AZ410">
        <f>IF($U410="","",IFERROR(IF(ISNUMBER($U410),$U410,DATEVALUE(TRIM($U410))),""))</f>
        <v/>
      </c>
      <c r="BA410">
        <f>IF($AZ410="","",IF(MONTH($AZ410)&gt;=12,"Cold Winter",IF(MONTH($AZ410)&gt;=10,"Post-Monsoon",IF(MONTH($AZ410)&gt;=6,"Hot Humid",IF(MONTH($AZ410)&gt;=3,"Hot Dry","Cold Winter")))))</f>
        <v/>
      </c>
      <c r="BB410">
        <f>IF($AU410="","",IFERROR(VLOOKUP($AU410,DECODE!$A$3:$C$8,2,FALSE),"?"))</f>
        <v/>
      </c>
      <c r="BC410">
        <f>IF($P410="","",UPPER(TRIM(LEFT($P410&amp;",",FIND(",",$P410&amp;",")-1))))</f>
        <v/>
      </c>
      <c r="BD410">
        <f>IF($BC410="","",MID($BC410,4,FIND("~",SUBSTITUTE($BC410,"-","~",2))-4))</f>
        <v/>
      </c>
      <c r="BE410">
        <f>IF($BC410="","",MID($BC410,FIND("~",SUBSTITUTE($BC410,"-","~",2))+1,FIND("~",SUBSTITUTE($BC410,"-","~",3))-FIND("~",SUBSTITUTE($BC410,"-","~",2))-1))</f>
        <v/>
      </c>
      <c r="BF410">
        <f>IF($BD410="","",IFERROR(VLOOKUP($BD410,DECODE!$A$3:$C$8,3,FALSE),"?"))</f>
        <v/>
      </c>
      <c r="BG410">
        <f>IF($BE410="","",IFERROR(VLOOKUP($BD410&amp;"-"&amp;$BE410,DECODE!$E$3:$F$21,2,FALSE),"?"))</f>
        <v/>
      </c>
      <c r="BH410">
        <f>IF($BC410="","",IFERROR(VALUE(RIGHT($BC410,3)),""))</f>
        <v/>
      </c>
      <c r="BI410">
        <f>IF($V410="","",IFERROR(IF(ISNUMBER($V410),$V410,DATEVALUE(TRIM($V410))),""))</f>
        <v/>
      </c>
      <c r="BJ410">
        <f>IF($BI410="","",IF(MONTH($BI410)&gt;=12,"Cold Winter",IF(MONTH($BI410)&gt;=10,"Post-Monsoon",IF(MONTH($BI410)&gt;=6,"Hot Humid",IF(MONTH($BI410)&gt;=3,"Hot Dry","Cold Winter")))))</f>
        <v/>
      </c>
      <c r="BK410">
        <f>IF($BD410="","",IFERROR(VLOOKUP($BD410,DECODE!$A$3:$C$8,2,FALSE),"?"))</f>
        <v/>
      </c>
      <c r="BL410">
        <f>IF($Q410="","",UPPER(TRIM(LEFT($Q410&amp;",",FIND(",",$Q410&amp;",")-1))))</f>
        <v/>
      </c>
      <c r="BM410">
        <f>IF($BL410="","",MID($BL410,4,FIND("~",SUBSTITUTE($BL410,"-","~",2))-4))</f>
        <v/>
      </c>
      <c r="BN410">
        <f>IF($BL410="","",MID($BL410,FIND("~",SUBSTITUTE($BL410,"-","~",2))+1,FIND("~",SUBSTITUTE($BL410,"-","~",3))-FIND("~",SUBSTITUTE($BL410,"-","~",2))-1))</f>
        <v/>
      </c>
      <c r="BO410">
        <f>IF($BM410="","",IFERROR(VLOOKUP($BM410,DECODE!$A$3:$C$8,3,FALSE),"?"))</f>
        <v/>
      </c>
      <c r="BP410">
        <f>IF($BN410="","",IFERROR(VLOOKUP($BM410&amp;"-"&amp;$BN410,DECODE!$E$3:$F$21,2,FALSE),"?"))</f>
        <v/>
      </c>
      <c r="BQ410">
        <f>IF($BL410="","",IFERROR(VALUE(RIGHT($BL410,3)),""))</f>
        <v/>
      </c>
      <c r="BR410">
        <f>IF($W410="","",IFERROR(IF(ISNUMBER($W410),$W410,DATEVALUE(TRIM($W410))),""))</f>
        <v/>
      </c>
      <c r="BS410">
        <f>IF($BR410="","",IF(MONTH($BR410)&gt;=12,"Cold Winter",IF(MONTH($BR410)&gt;=10,"Post-Monsoon",IF(MONTH($BR410)&gt;=6,"Hot Humid",IF(MONTH($BR410)&gt;=3,"Hot Dry","Cold Winter")))))</f>
        <v/>
      </c>
      <c r="BT410">
        <f>IF($BM410="","",IFERROR(VLOOKUP($BM410,DECODE!$A$3:$C$8,2,FALSE),"?"))</f>
        <v/>
      </c>
      <c r="BU410">
        <f>IF($R410="","",UPPER(TRIM(LEFT($R410&amp;",",FIND(",",$R410&amp;",")-1))))</f>
        <v/>
      </c>
      <c r="BV410">
        <f>IF($BU410="","",MID($BU410,4,FIND("~",SUBSTITUTE($BU410,"-","~",2))-4))</f>
        <v/>
      </c>
      <c r="BW410">
        <f>IF($BU410="","",MID($BU410,FIND("~",SUBSTITUTE($BU410,"-","~",2))+1,FIND("~",SUBSTITUTE($BU410,"-","~",3))-FIND("~",SUBSTITUTE($BU410,"-","~",2))-1))</f>
        <v/>
      </c>
      <c r="BX410">
        <f>IF($BV410="","",IFERROR(VLOOKUP($BV410,DECODE!$A$3:$C$8,3,FALSE),"?"))</f>
        <v/>
      </c>
      <c r="BY410">
        <f>IF($BW410="","",IFERROR(VLOOKUP($BV410&amp;"-"&amp;$BW410,DECODE!$E$3:$F$21,2,FALSE),"?"))</f>
        <v/>
      </c>
      <c r="BZ410">
        <f>IF($BU410="","",IFERROR(VALUE(RIGHT($BU410,3)),""))</f>
        <v/>
      </c>
      <c r="CA410">
        <f>IF($X410="","",IFERROR(IF(ISNUMBER($X410),$X410,DATEVALUE(TRIM($X410))),""))</f>
        <v/>
      </c>
      <c r="CB410">
        <f>IF($CA410="","",IF(MONTH($CA410)&gt;=12,"Cold Winter",IF(MONTH($CA410)&gt;=10,"Post-Monsoon",IF(MONTH($CA410)&gt;=6,"Hot Humid",IF(MONTH($CA410)&gt;=3,"Hot Dry","Cold Winter")))))</f>
        <v/>
      </c>
      <c r="CC410">
        <f>IF($BV410="","",IFERROR(VLOOKUP($BV410,DECODE!$A$3:$C$8,2,FALSE),"?"))</f>
        <v/>
      </c>
      <c r="CD410">
        <f>IF($S410="","",UPPER(TRIM(LEFT($S410&amp;",",FIND(",",$S410&amp;",")-1))))</f>
        <v/>
      </c>
      <c r="CE410">
        <f>IF($CD410="","",MID($CD410,4,FIND("~",SUBSTITUTE($CD410,"-","~",2))-4))</f>
        <v/>
      </c>
      <c r="CF410">
        <f>IF($CD410="","",MID($CD410,FIND("~",SUBSTITUTE($CD410,"-","~",2))+1,FIND("~",SUBSTITUTE($CD410,"-","~",3))-FIND("~",SUBSTITUTE($CD410,"-","~",2))-1))</f>
        <v/>
      </c>
      <c r="CG410">
        <f>IF($CE410="","",IFERROR(VLOOKUP($CE410,DECODE!$A$3:$C$8,3,FALSE),"?"))</f>
        <v/>
      </c>
      <c r="CH410">
        <f>IF($CF410="","",IFERROR(VLOOKUP($CE410&amp;"-"&amp;$CF410,DECODE!$E$3:$F$21,2,FALSE),"?"))</f>
        <v/>
      </c>
      <c r="CI410">
        <f>IF($CD410="","",IFERROR(VALUE(RIGHT($CD410,3)),""))</f>
        <v/>
      </c>
      <c r="CJ410">
        <f>IF($Y410="","",IFERROR(IF(ISNUMBER($Y410),$Y410,DATEVALUE(TRIM($Y410))),""))</f>
        <v/>
      </c>
      <c r="CK410">
        <f>IF($CJ410="","",IF(MONTH($CJ410)&gt;=12,"Cold Winter",IF(MONTH($CJ410)&gt;=10,"Post-Monsoon",IF(MONTH($CJ410)&gt;=6,"Hot Humid",IF(MONTH($CJ410)&gt;=3,"Hot Dry","Cold Winter")))))</f>
        <v/>
      </c>
      <c r="CL410">
        <f>IF($CE410="","",IFERROR(VLOOKUP($CE410,DECODE!$A$3:$C$8,2,FALSE),"?"))</f>
        <v/>
      </c>
      <c r="CM410">
        <f>IF($AN410="","",AN410)</f>
        <v/>
      </c>
      <c r="CN410">
        <f>IF($AO410="","",AO410)</f>
        <v/>
      </c>
      <c r="CO410">
        <f>IF($AP410="","",AP410)</f>
        <v/>
      </c>
      <c r="CP410">
        <f>IF($CM410="","",IF($CM410="Aloe Vera Gel","Aloe Vera Gel "&amp;$CO410&amp;"g",CN410&amp;" "&amp;$CO410&amp;"g"))</f>
        <v/>
      </c>
      <c r="CQ410">
        <f>IF($AT410="",0,1)</f>
        <v/>
      </c>
      <c r="CR410">
        <f>IF($CQ410=0,"",AW410)</f>
        <v/>
      </c>
      <c r="CS410">
        <f>IF($CQ410=0,"",AX410)</f>
        <v/>
      </c>
      <c r="CT410">
        <f>IF($CQ410=0,"",AY410)</f>
        <v/>
      </c>
      <c r="CU410">
        <f>IF($CR410="","",IF($CR410="Aloe Vera Gel","Aloe Vera Gel "&amp;$CT410&amp;"g",CS410&amp;" "&amp;$CT410&amp;"g"))</f>
        <v/>
      </c>
      <c r="CV410">
        <f>IF($CQ410=0,"",IF($CP410=$CU410,"Repeat Exact",IF($CT410&gt;$CO410,"Upsized",IF($CT410&lt;$CO410,"Downsized",IF($CM410&lt;&gt;$CR410,"Lateral","Same Size Diff Variant")))))</f>
        <v/>
      </c>
      <c r="CW410">
        <f>IF($CQ410=0,"",AZ410-AQ410)</f>
        <v/>
      </c>
      <c r="CX410">
        <f>IF($CQ410=0,0,IF(CS410=CN410,1,0))</f>
        <v/>
      </c>
      <c r="CY410">
        <f>IF($CQ410=0,0,IF(CR410=CM410,1,0))</f>
        <v/>
      </c>
      <c r="CZ410">
        <f>IF($A410="","",IF(AND(IF(DASHBOARD!$C$4="All",TRUE,$CM410=DASHBOARD!$C$4),IF(DASHBOARD!$C$6="All",TRUE,$CP410=DASHBOARD!$C$6),IF(DASHBOARD!$C$8="All",TRUE,$AF410&gt;=DASHBOARD!$C$8),IF(DASHBOARD!$C$10="All",TRUE,$AF410&lt;=DASHBOARD!$C$10),IF(DASHBOARD!$C$12="All",TRUE,$AH410=VALUE(DASHBOARD!$C$12)),IF(DASHBOARD!$C$14="All",TRUE,$AJ410=DASHBOARD!$C$14)),1,0))</f>
        <v/>
      </c>
    </row>
    <row r="411">
      <c r="A411" t="n">
        <v>201134</v>
      </c>
      <c r="B411" t="inlineStr">
        <is>
          <t>Face Malai</t>
        </is>
      </c>
      <c r="H411" t="inlineStr">
        <is>
          <t>Turmeric Nutmeg (Pigmentation)  Face Malai - 30g</t>
        </is>
      </c>
      <c r="N411" t="inlineStr">
        <is>
          <t>FC-DM-PG-030</t>
        </is>
      </c>
      <c r="T411" t="inlineStr">
        <is>
          <t>May 15, 2026</t>
        </is>
      </c>
      <c r="AE411" t="inlineStr">
        <is>
          <t>Coimbatore</t>
        </is>
      </c>
      <c r="AF411" t="inlineStr">
        <is>
          <t>2026-05</t>
        </is>
      </c>
      <c r="AG411" t="n">
        <v>5</v>
      </c>
      <c r="AH411" t="n">
        <v>1</v>
      </c>
      <c r="AI411" t="n">
        <v>0</v>
      </c>
      <c r="AJ411">
        <f>IF($AE411="","",IFERROR(VLOOKUP(TRIM($AE411),DECODE!$H$3:$I$60,2,FALSE),"Rest of India"))</f>
        <v/>
      </c>
      <c r="AK411">
        <f>IF($N411="","",UPPER(TRIM(LEFT($N411&amp;",",FIND(",",$N411&amp;",")-1))))</f>
        <v/>
      </c>
      <c r="AL411">
        <f>IF($AK411="","",MID($AK411,4,FIND("~",SUBSTITUTE($AK411,"-","~",2))-4))</f>
        <v/>
      </c>
      <c r="AM411">
        <f>IF($AK411="","",MID($AK411,FIND("~",SUBSTITUTE($AK411,"-","~",2))+1,FIND("~",SUBSTITUTE($AK411,"-","~",3))-FIND("~",SUBSTITUTE($AK411,"-","~",2))-1))</f>
        <v/>
      </c>
      <c r="AN411">
        <f>IF($AL411="","",IFERROR(VLOOKUP($AL411,DECODE!$A$3:$C$8,3,FALSE),"?"))</f>
        <v/>
      </c>
      <c r="AO411">
        <f>IF($AM411="","",IFERROR(VLOOKUP($AL411&amp;"-"&amp;$AM411,DECODE!$E$3:$F$21,2,FALSE),"?"))</f>
        <v/>
      </c>
      <c r="AP411">
        <f>IF($AK411="","",IFERROR(VALUE(RIGHT($AK411,3)),""))</f>
        <v/>
      </c>
      <c r="AQ411">
        <f>IF($T411="","",IFERROR(IF(ISNUMBER($T411),$T411,DATEVALUE(TRIM($T411))),""))</f>
        <v/>
      </c>
      <c r="AR411">
        <f>IF($AQ411="","",IF(MONTH($AQ411)&gt;=12,"Cold Winter",IF(MONTH($AQ411)&gt;=10,"Post-Monsoon",IF(MONTH($AQ411)&gt;=6,"Hot Humid",IF(MONTH($AQ411)&gt;=3,"Hot Dry","Cold Winter")))))</f>
        <v/>
      </c>
      <c r="AS411">
        <f>IF($AL411="","",IFERROR(VLOOKUP($AL411,DECODE!$A$3:$C$8,2,FALSE),"?"))</f>
        <v/>
      </c>
      <c r="AT411">
        <f>IF($O411="","",UPPER(TRIM(LEFT($O411&amp;",",FIND(",",$O411&amp;",")-1))))</f>
        <v/>
      </c>
      <c r="AU411">
        <f>IF($AT411="","",MID($AT411,4,FIND("~",SUBSTITUTE($AT411,"-","~",2))-4))</f>
        <v/>
      </c>
      <c r="AV411">
        <f>IF($AT411="","",MID($AT411,FIND("~",SUBSTITUTE($AT411,"-","~",2))+1,FIND("~",SUBSTITUTE($AT411,"-","~",3))-FIND("~",SUBSTITUTE($AT411,"-","~",2))-1))</f>
        <v/>
      </c>
      <c r="AW411">
        <f>IF($AU411="","",IFERROR(VLOOKUP($AU411,DECODE!$A$3:$C$8,3,FALSE),"?"))</f>
        <v/>
      </c>
      <c r="AX411">
        <f>IF($AV411="","",IFERROR(VLOOKUP($AU411&amp;"-"&amp;$AV411,DECODE!$E$3:$F$21,2,FALSE),"?"))</f>
        <v/>
      </c>
      <c r="AY411">
        <f>IF($AT411="","",IFERROR(VALUE(RIGHT($AT411,3)),""))</f>
        <v/>
      </c>
      <c r="AZ411">
        <f>IF($U411="","",IFERROR(IF(ISNUMBER($U411),$U411,DATEVALUE(TRIM($U411))),""))</f>
        <v/>
      </c>
      <c r="BA411">
        <f>IF($AZ411="","",IF(MONTH($AZ411)&gt;=12,"Cold Winter",IF(MONTH($AZ411)&gt;=10,"Post-Monsoon",IF(MONTH($AZ411)&gt;=6,"Hot Humid",IF(MONTH($AZ411)&gt;=3,"Hot Dry","Cold Winter")))))</f>
        <v/>
      </c>
      <c r="BB411">
        <f>IF($AU411="","",IFERROR(VLOOKUP($AU411,DECODE!$A$3:$C$8,2,FALSE),"?"))</f>
        <v/>
      </c>
      <c r="BC411">
        <f>IF($P411="","",UPPER(TRIM(LEFT($P411&amp;",",FIND(",",$P411&amp;",")-1))))</f>
        <v/>
      </c>
      <c r="BD411">
        <f>IF($BC411="","",MID($BC411,4,FIND("~",SUBSTITUTE($BC411,"-","~",2))-4))</f>
        <v/>
      </c>
      <c r="BE411">
        <f>IF($BC411="","",MID($BC411,FIND("~",SUBSTITUTE($BC411,"-","~",2))+1,FIND("~",SUBSTITUTE($BC411,"-","~",3))-FIND("~",SUBSTITUTE($BC411,"-","~",2))-1))</f>
        <v/>
      </c>
      <c r="BF411">
        <f>IF($BD411="","",IFERROR(VLOOKUP($BD411,DECODE!$A$3:$C$8,3,FALSE),"?"))</f>
        <v/>
      </c>
      <c r="BG411">
        <f>IF($BE411="","",IFERROR(VLOOKUP($BD411&amp;"-"&amp;$BE411,DECODE!$E$3:$F$21,2,FALSE),"?"))</f>
        <v/>
      </c>
      <c r="BH411">
        <f>IF($BC411="","",IFERROR(VALUE(RIGHT($BC411,3)),""))</f>
        <v/>
      </c>
      <c r="BI411">
        <f>IF($V411="","",IFERROR(IF(ISNUMBER($V411),$V411,DATEVALUE(TRIM($V411))),""))</f>
        <v/>
      </c>
      <c r="BJ411">
        <f>IF($BI411="","",IF(MONTH($BI411)&gt;=12,"Cold Winter",IF(MONTH($BI411)&gt;=10,"Post-Monsoon",IF(MONTH($BI411)&gt;=6,"Hot Humid",IF(MONTH($BI411)&gt;=3,"Hot Dry","Cold Winter")))))</f>
        <v/>
      </c>
      <c r="BK411">
        <f>IF($BD411="","",IFERROR(VLOOKUP($BD411,DECODE!$A$3:$C$8,2,FALSE),"?"))</f>
        <v/>
      </c>
      <c r="BL411">
        <f>IF($Q411="","",UPPER(TRIM(LEFT($Q411&amp;",",FIND(",",$Q411&amp;",")-1))))</f>
        <v/>
      </c>
      <c r="BM411">
        <f>IF($BL411="","",MID($BL411,4,FIND("~",SUBSTITUTE($BL411,"-","~",2))-4))</f>
        <v/>
      </c>
      <c r="BN411">
        <f>IF($BL411="","",MID($BL411,FIND("~",SUBSTITUTE($BL411,"-","~",2))+1,FIND("~",SUBSTITUTE($BL411,"-","~",3))-FIND("~",SUBSTITUTE($BL411,"-","~",2))-1))</f>
        <v/>
      </c>
      <c r="BO411">
        <f>IF($BM411="","",IFERROR(VLOOKUP($BM411,DECODE!$A$3:$C$8,3,FALSE),"?"))</f>
        <v/>
      </c>
      <c r="BP411">
        <f>IF($BN411="","",IFERROR(VLOOKUP($BM411&amp;"-"&amp;$BN411,DECODE!$E$3:$F$21,2,FALSE),"?"))</f>
        <v/>
      </c>
      <c r="BQ411">
        <f>IF($BL411="","",IFERROR(VALUE(RIGHT($BL411,3)),""))</f>
        <v/>
      </c>
      <c r="BR411">
        <f>IF($W411="","",IFERROR(IF(ISNUMBER($W411),$W411,DATEVALUE(TRIM($W411))),""))</f>
        <v/>
      </c>
      <c r="BS411">
        <f>IF($BR411="","",IF(MONTH($BR411)&gt;=12,"Cold Winter",IF(MONTH($BR411)&gt;=10,"Post-Monsoon",IF(MONTH($BR411)&gt;=6,"Hot Humid",IF(MONTH($BR411)&gt;=3,"Hot Dry","Cold Winter")))))</f>
        <v/>
      </c>
      <c r="BT411">
        <f>IF($BM411="","",IFERROR(VLOOKUP($BM411,DECODE!$A$3:$C$8,2,FALSE),"?"))</f>
        <v/>
      </c>
      <c r="BU411">
        <f>IF($R411="","",UPPER(TRIM(LEFT($R411&amp;",",FIND(",",$R411&amp;",")-1))))</f>
        <v/>
      </c>
      <c r="BV411">
        <f>IF($BU411="","",MID($BU411,4,FIND("~",SUBSTITUTE($BU411,"-","~",2))-4))</f>
        <v/>
      </c>
      <c r="BW411">
        <f>IF($BU411="","",MID($BU411,FIND("~",SUBSTITUTE($BU411,"-","~",2))+1,FIND("~",SUBSTITUTE($BU411,"-","~",3))-FIND("~",SUBSTITUTE($BU411,"-","~",2))-1))</f>
        <v/>
      </c>
      <c r="BX411">
        <f>IF($BV411="","",IFERROR(VLOOKUP($BV411,DECODE!$A$3:$C$8,3,FALSE),"?"))</f>
        <v/>
      </c>
      <c r="BY411">
        <f>IF($BW411="","",IFERROR(VLOOKUP($BV411&amp;"-"&amp;$BW411,DECODE!$E$3:$F$21,2,FALSE),"?"))</f>
        <v/>
      </c>
      <c r="BZ411">
        <f>IF($BU411="","",IFERROR(VALUE(RIGHT($BU411,3)),""))</f>
        <v/>
      </c>
      <c r="CA411">
        <f>IF($X411="","",IFERROR(IF(ISNUMBER($X411),$X411,DATEVALUE(TRIM($X411))),""))</f>
        <v/>
      </c>
      <c r="CB411">
        <f>IF($CA411="","",IF(MONTH($CA411)&gt;=12,"Cold Winter",IF(MONTH($CA411)&gt;=10,"Post-Monsoon",IF(MONTH($CA411)&gt;=6,"Hot Humid",IF(MONTH($CA411)&gt;=3,"Hot Dry","Cold Winter")))))</f>
        <v/>
      </c>
      <c r="CC411">
        <f>IF($BV411="","",IFERROR(VLOOKUP($BV411,DECODE!$A$3:$C$8,2,FALSE),"?"))</f>
        <v/>
      </c>
      <c r="CD411">
        <f>IF($S411="","",UPPER(TRIM(LEFT($S411&amp;",",FIND(",",$S411&amp;",")-1))))</f>
        <v/>
      </c>
      <c r="CE411">
        <f>IF($CD411="","",MID($CD411,4,FIND("~",SUBSTITUTE($CD411,"-","~",2))-4))</f>
        <v/>
      </c>
      <c r="CF411">
        <f>IF($CD411="","",MID($CD411,FIND("~",SUBSTITUTE($CD411,"-","~",2))+1,FIND("~",SUBSTITUTE($CD411,"-","~",3))-FIND("~",SUBSTITUTE($CD411,"-","~",2))-1))</f>
        <v/>
      </c>
      <c r="CG411">
        <f>IF($CE411="","",IFERROR(VLOOKUP($CE411,DECODE!$A$3:$C$8,3,FALSE),"?"))</f>
        <v/>
      </c>
      <c r="CH411">
        <f>IF($CF411="","",IFERROR(VLOOKUP($CE411&amp;"-"&amp;$CF411,DECODE!$E$3:$F$21,2,FALSE),"?"))</f>
        <v/>
      </c>
      <c r="CI411">
        <f>IF($CD411="","",IFERROR(VALUE(RIGHT($CD411,3)),""))</f>
        <v/>
      </c>
      <c r="CJ411">
        <f>IF($Y411="","",IFERROR(IF(ISNUMBER($Y411),$Y411,DATEVALUE(TRIM($Y411))),""))</f>
        <v/>
      </c>
      <c r="CK411">
        <f>IF($CJ411="","",IF(MONTH($CJ411)&gt;=12,"Cold Winter",IF(MONTH($CJ411)&gt;=10,"Post-Monsoon",IF(MONTH($CJ411)&gt;=6,"Hot Humid",IF(MONTH($CJ411)&gt;=3,"Hot Dry","Cold Winter")))))</f>
        <v/>
      </c>
      <c r="CL411">
        <f>IF($CE411="","",IFERROR(VLOOKUP($CE411,DECODE!$A$3:$C$8,2,FALSE),"?"))</f>
        <v/>
      </c>
      <c r="CM411">
        <f>IF($AN411="","",AN411)</f>
        <v/>
      </c>
      <c r="CN411">
        <f>IF($AO411="","",AO411)</f>
        <v/>
      </c>
      <c r="CO411">
        <f>IF($AP411="","",AP411)</f>
        <v/>
      </c>
      <c r="CP411">
        <f>IF($CM411="","",IF($CM411="Aloe Vera Gel","Aloe Vera Gel "&amp;$CO411&amp;"g",CN411&amp;" "&amp;$CO411&amp;"g"))</f>
        <v/>
      </c>
      <c r="CQ411">
        <f>IF($AT411="",0,1)</f>
        <v/>
      </c>
      <c r="CR411">
        <f>IF($CQ411=0,"",AW411)</f>
        <v/>
      </c>
      <c r="CS411">
        <f>IF($CQ411=0,"",AX411)</f>
        <v/>
      </c>
      <c r="CT411">
        <f>IF($CQ411=0,"",AY411)</f>
        <v/>
      </c>
      <c r="CU411">
        <f>IF($CR411="","",IF($CR411="Aloe Vera Gel","Aloe Vera Gel "&amp;$CT411&amp;"g",CS411&amp;" "&amp;$CT411&amp;"g"))</f>
        <v/>
      </c>
      <c r="CV411">
        <f>IF($CQ411=0,"",IF($CP411=$CU411,"Repeat Exact",IF($CT411&gt;$CO411,"Upsized",IF($CT411&lt;$CO411,"Downsized",IF($CM411&lt;&gt;$CR411,"Lateral","Same Size Diff Variant")))))</f>
        <v/>
      </c>
      <c r="CW411">
        <f>IF($CQ411=0,"",AZ411-AQ411)</f>
        <v/>
      </c>
      <c r="CX411">
        <f>IF($CQ411=0,0,IF(CS411=CN411,1,0))</f>
        <v/>
      </c>
      <c r="CY411">
        <f>IF($CQ411=0,0,IF(CR411=CM411,1,0))</f>
        <v/>
      </c>
      <c r="CZ411">
        <f>IF($A411="","",IF(AND(IF(DASHBOARD!$C$4="All",TRUE,$CM411=DASHBOARD!$C$4),IF(DASHBOARD!$C$6="All",TRUE,$CP411=DASHBOARD!$C$6),IF(DASHBOARD!$C$8="All",TRUE,$AF411&gt;=DASHBOARD!$C$8),IF(DASHBOARD!$C$10="All",TRUE,$AF411&lt;=DASHBOARD!$C$10),IF(DASHBOARD!$C$12="All",TRUE,$AH411=VALUE(DASHBOARD!$C$12)),IF(DASHBOARD!$C$14="All",TRUE,$AJ411=DASHBOARD!$C$14)),1,0))</f>
        <v/>
      </c>
    </row>
    <row r="412">
      <c r="A412" t="n">
        <v>201238</v>
      </c>
      <c r="B412" t="inlineStr">
        <is>
          <t>Active Gel</t>
        </is>
      </c>
      <c r="H412" t="inlineStr">
        <is>
          <t>Active Olive Vit-E Night Gel, Active Orange Kiwi Vit-C Gel</t>
        </is>
      </c>
      <c r="N412" t="inlineStr">
        <is>
          <t>FC-AC-OV-050, FC-AC-OK-050</t>
        </is>
      </c>
      <c r="T412" t="inlineStr">
        <is>
          <t>Mar 15, 2024</t>
        </is>
      </c>
      <c r="AE412" t="inlineStr">
        <is>
          <t>Bhatinda</t>
        </is>
      </c>
      <c r="AF412" t="inlineStr">
        <is>
          <t>2024-03</t>
        </is>
      </c>
      <c r="AG412" t="n">
        <v>3</v>
      </c>
      <c r="AH412" t="n">
        <v>1</v>
      </c>
      <c r="AI412" t="n">
        <v>0</v>
      </c>
      <c r="AJ412">
        <f>IF($AE412="","",IFERROR(VLOOKUP(TRIM($AE412),DECODE!$H$3:$I$60,2,FALSE),"Rest of India"))</f>
        <v/>
      </c>
      <c r="AK412">
        <f>IF($N412="","",UPPER(TRIM(LEFT($N412&amp;",",FIND(",",$N412&amp;",")-1))))</f>
        <v/>
      </c>
      <c r="AL412">
        <f>IF($AK412="","",MID($AK412,4,FIND("~",SUBSTITUTE($AK412,"-","~",2))-4))</f>
        <v/>
      </c>
      <c r="AM412">
        <f>IF($AK412="","",MID($AK412,FIND("~",SUBSTITUTE($AK412,"-","~",2))+1,FIND("~",SUBSTITUTE($AK412,"-","~",3))-FIND("~",SUBSTITUTE($AK412,"-","~",2))-1))</f>
        <v/>
      </c>
      <c r="AN412">
        <f>IF($AL412="","",IFERROR(VLOOKUP($AL412,DECODE!$A$3:$C$8,3,FALSE),"?"))</f>
        <v/>
      </c>
      <c r="AO412">
        <f>IF($AM412="","",IFERROR(VLOOKUP($AL412&amp;"-"&amp;$AM412,DECODE!$E$3:$F$21,2,FALSE),"?"))</f>
        <v/>
      </c>
      <c r="AP412">
        <f>IF($AK412="","",IFERROR(VALUE(RIGHT($AK412,3)),""))</f>
        <v/>
      </c>
      <c r="AQ412">
        <f>IF($T412="","",IFERROR(IF(ISNUMBER($T412),$T412,DATEVALUE(TRIM($T412))),""))</f>
        <v/>
      </c>
      <c r="AR412">
        <f>IF($AQ412="","",IF(MONTH($AQ412)&gt;=12,"Cold Winter",IF(MONTH($AQ412)&gt;=10,"Post-Monsoon",IF(MONTH($AQ412)&gt;=6,"Hot Humid",IF(MONTH($AQ412)&gt;=3,"Hot Dry","Cold Winter")))))</f>
        <v/>
      </c>
      <c r="AS412">
        <f>IF($AL412="","",IFERROR(VLOOKUP($AL412,DECODE!$A$3:$C$8,2,FALSE),"?"))</f>
        <v/>
      </c>
      <c r="AT412">
        <f>IF($O412="","",UPPER(TRIM(LEFT($O412&amp;",",FIND(",",$O412&amp;",")-1))))</f>
        <v/>
      </c>
      <c r="AU412">
        <f>IF($AT412="","",MID($AT412,4,FIND("~",SUBSTITUTE($AT412,"-","~",2))-4))</f>
        <v/>
      </c>
      <c r="AV412">
        <f>IF($AT412="","",MID($AT412,FIND("~",SUBSTITUTE($AT412,"-","~",2))+1,FIND("~",SUBSTITUTE($AT412,"-","~",3))-FIND("~",SUBSTITUTE($AT412,"-","~",2))-1))</f>
        <v/>
      </c>
      <c r="AW412">
        <f>IF($AU412="","",IFERROR(VLOOKUP($AU412,DECODE!$A$3:$C$8,3,FALSE),"?"))</f>
        <v/>
      </c>
      <c r="AX412">
        <f>IF($AV412="","",IFERROR(VLOOKUP($AU412&amp;"-"&amp;$AV412,DECODE!$E$3:$F$21,2,FALSE),"?"))</f>
        <v/>
      </c>
      <c r="AY412">
        <f>IF($AT412="","",IFERROR(VALUE(RIGHT($AT412,3)),""))</f>
        <v/>
      </c>
      <c r="AZ412">
        <f>IF($U412="","",IFERROR(IF(ISNUMBER($U412),$U412,DATEVALUE(TRIM($U412))),""))</f>
        <v/>
      </c>
      <c r="BA412">
        <f>IF($AZ412="","",IF(MONTH($AZ412)&gt;=12,"Cold Winter",IF(MONTH($AZ412)&gt;=10,"Post-Monsoon",IF(MONTH($AZ412)&gt;=6,"Hot Humid",IF(MONTH($AZ412)&gt;=3,"Hot Dry","Cold Winter")))))</f>
        <v/>
      </c>
      <c r="BB412">
        <f>IF($AU412="","",IFERROR(VLOOKUP($AU412,DECODE!$A$3:$C$8,2,FALSE),"?"))</f>
        <v/>
      </c>
      <c r="BC412">
        <f>IF($P412="","",UPPER(TRIM(LEFT($P412&amp;",",FIND(",",$P412&amp;",")-1))))</f>
        <v/>
      </c>
      <c r="BD412">
        <f>IF($BC412="","",MID($BC412,4,FIND("~",SUBSTITUTE($BC412,"-","~",2))-4))</f>
        <v/>
      </c>
      <c r="BE412">
        <f>IF($BC412="","",MID($BC412,FIND("~",SUBSTITUTE($BC412,"-","~",2))+1,FIND("~",SUBSTITUTE($BC412,"-","~",3))-FIND("~",SUBSTITUTE($BC412,"-","~",2))-1))</f>
        <v/>
      </c>
      <c r="BF412">
        <f>IF($BD412="","",IFERROR(VLOOKUP($BD412,DECODE!$A$3:$C$8,3,FALSE),"?"))</f>
        <v/>
      </c>
      <c r="BG412">
        <f>IF($BE412="","",IFERROR(VLOOKUP($BD412&amp;"-"&amp;$BE412,DECODE!$E$3:$F$21,2,FALSE),"?"))</f>
        <v/>
      </c>
      <c r="BH412">
        <f>IF($BC412="","",IFERROR(VALUE(RIGHT($BC412,3)),""))</f>
        <v/>
      </c>
      <c r="BI412">
        <f>IF($V412="","",IFERROR(IF(ISNUMBER($V412),$V412,DATEVALUE(TRIM($V412))),""))</f>
        <v/>
      </c>
      <c r="BJ412">
        <f>IF($BI412="","",IF(MONTH($BI412)&gt;=12,"Cold Winter",IF(MONTH($BI412)&gt;=10,"Post-Monsoon",IF(MONTH($BI412)&gt;=6,"Hot Humid",IF(MONTH($BI412)&gt;=3,"Hot Dry","Cold Winter")))))</f>
        <v/>
      </c>
      <c r="BK412">
        <f>IF($BD412="","",IFERROR(VLOOKUP($BD412,DECODE!$A$3:$C$8,2,FALSE),"?"))</f>
        <v/>
      </c>
      <c r="BL412">
        <f>IF($Q412="","",UPPER(TRIM(LEFT($Q412&amp;",",FIND(",",$Q412&amp;",")-1))))</f>
        <v/>
      </c>
      <c r="BM412">
        <f>IF($BL412="","",MID($BL412,4,FIND("~",SUBSTITUTE($BL412,"-","~",2))-4))</f>
        <v/>
      </c>
      <c r="BN412">
        <f>IF($BL412="","",MID($BL412,FIND("~",SUBSTITUTE($BL412,"-","~",2))+1,FIND("~",SUBSTITUTE($BL412,"-","~",3))-FIND("~",SUBSTITUTE($BL412,"-","~",2))-1))</f>
        <v/>
      </c>
      <c r="BO412">
        <f>IF($BM412="","",IFERROR(VLOOKUP($BM412,DECODE!$A$3:$C$8,3,FALSE),"?"))</f>
        <v/>
      </c>
      <c r="BP412">
        <f>IF($BN412="","",IFERROR(VLOOKUP($BM412&amp;"-"&amp;$BN412,DECODE!$E$3:$F$21,2,FALSE),"?"))</f>
        <v/>
      </c>
      <c r="BQ412">
        <f>IF($BL412="","",IFERROR(VALUE(RIGHT($BL412,3)),""))</f>
        <v/>
      </c>
      <c r="BR412">
        <f>IF($W412="","",IFERROR(IF(ISNUMBER($W412),$W412,DATEVALUE(TRIM($W412))),""))</f>
        <v/>
      </c>
      <c r="BS412">
        <f>IF($BR412="","",IF(MONTH($BR412)&gt;=12,"Cold Winter",IF(MONTH($BR412)&gt;=10,"Post-Monsoon",IF(MONTH($BR412)&gt;=6,"Hot Humid",IF(MONTH($BR412)&gt;=3,"Hot Dry","Cold Winter")))))</f>
        <v/>
      </c>
      <c r="BT412">
        <f>IF($BM412="","",IFERROR(VLOOKUP($BM412,DECODE!$A$3:$C$8,2,FALSE),"?"))</f>
        <v/>
      </c>
      <c r="BU412">
        <f>IF($R412="","",UPPER(TRIM(LEFT($R412&amp;",",FIND(",",$R412&amp;",")-1))))</f>
        <v/>
      </c>
      <c r="BV412">
        <f>IF($BU412="","",MID($BU412,4,FIND("~",SUBSTITUTE($BU412,"-","~",2))-4))</f>
        <v/>
      </c>
      <c r="BW412">
        <f>IF($BU412="","",MID($BU412,FIND("~",SUBSTITUTE($BU412,"-","~",2))+1,FIND("~",SUBSTITUTE($BU412,"-","~",3))-FIND("~",SUBSTITUTE($BU412,"-","~",2))-1))</f>
        <v/>
      </c>
      <c r="BX412">
        <f>IF($BV412="","",IFERROR(VLOOKUP($BV412,DECODE!$A$3:$C$8,3,FALSE),"?"))</f>
        <v/>
      </c>
      <c r="BY412">
        <f>IF($BW412="","",IFERROR(VLOOKUP($BV412&amp;"-"&amp;$BW412,DECODE!$E$3:$F$21,2,FALSE),"?"))</f>
        <v/>
      </c>
      <c r="BZ412">
        <f>IF($BU412="","",IFERROR(VALUE(RIGHT($BU412,3)),""))</f>
        <v/>
      </c>
      <c r="CA412">
        <f>IF($X412="","",IFERROR(IF(ISNUMBER($X412),$X412,DATEVALUE(TRIM($X412))),""))</f>
        <v/>
      </c>
      <c r="CB412">
        <f>IF($CA412="","",IF(MONTH($CA412)&gt;=12,"Cold Winter",IF(MONTH($CA412)&gt;=10,"Post-Monsoon",IF(MONTH($CA412)&gt;=6,"Hot Humid",IF(MONTH($CA412)&gt;=3,"Hot Dry","Cold Winter")))))</f>
        <v/>
      </c>
      <c r="CC412">
        <f>IF($BV412="","",IFERROR(VLOOKUP($BV412,DECODE!$A$3:$C$8,2,FALSE),"?"))</f>
        <v/>
      </c>
      <c r="CD412">
        <f>IF($S412="","",UPPER(TRIM(LEFT($S412&amp;",",FIND(",",$S412&amp;",")-1))))</f>
        <v/>
      </c>
      <c r="CE412">
        <f>IF($CD412="","",MID($CD412,4,FIND("~",SUBSTITUTE($CD412,"-","~",2))-4))</f>
        <v/>
      </c>
      <c r="CF412">
        <f>IF($CD412="","",MID($CD412,FIND("~",SUBSTITUTE($CD412,"-","~",2))+1,FIND("~",SUBSTITUTE($CD412,"-","~",3))-FIND("~",SUBSTITUTE($CD412,"-","~",2))-1))</f>
        <v/>
      </c>
      <c r="CG412">
        <f>IF($CE412="","",IFERROR(VLOOKUP($CE412,DECODE!$A$3:$C$8,3,FALSE),"?"))</f>
        <v/>
      </c>
      <c r="CH412">
        <f>IF($CF412="","",IFERROR(VLOOKUP($CE412&amp;"-"&amp;$CF412,DECODE!$E$3:$F$21,2,FALSE),"?"))</f>
        <v/>
      </c>
      <c r="CI412">
        <f>IF($CD412="","",IFERROR(VALUE(RIGHT($CD412,3)),""))</f>
        <v/>
      </c>
      <c r="CJ412">
        <f>IF($Y412="","",IFERROR(IF(ISNUMBER($Y412),$Y412,DATEVALUE(TRIM($Y412))),""))</f>
        <v/>
      </c>
      <c r="CK412">
        <f>IF($CJ412="","",IF(MONTH($CJ412)&gt;=12,"Cold Winter",IF(MONTH($CJ412)&gt;=10,"Post-Monsoon",IF(MONTH($CJ412)&gt;=6,"Hot Humid",IF(MONTH($CJ412)&gt;=3,"Hot Dry","Cold Winter")))))</f>
        <v/>
      </c>
      <c r="CL412">
        <f>IF($CE412="","",IFERROR(VLOOKUP($CE412,DECODE!$A$3:$C$8,2,FALSE),"?"))</f>
        <v/>
      </c>
      <c r="CM412">
        <f>IF($AN412="","",AN412)</f>
        <v/>
      </c>
      <c r="CN412">
        <f>IF($AO412="","",AO412)</f>
        <v/>
      </c>
      <c r="CO412">
        <f>IF($AP412="","",AP412)</f>
        <v/>
      </c>
      <c r="CP412">
        <f>IF($CM412="","",IF($CM412="Aloe Vera Gel","Aloe Vera Gel "&amp;$CO412&amp;"g",CN412&amp;" "&amp;$CO412&amp;"g"))</f>
        <v/>
      </c>
      <c r="CQ412">
        <f>IF($AT412="",0,1)</f>
        <v/>
      </c>
      <c r="CR412">
        <f>IF($CQ412=0,"",AW412)</f>
        <v/>
      </c>
      <c r="CS412">
        <f>IF($CQ412=0,"",AX412)</f>
        <v/>
      </c>
      <c r="CT412">
        <f>IF($CQ412=0,"",AY412)</f>
        <v/>
      </c>
      <c r="CU412">
        <f>IF($CR412="","",IF($CR412="Aloe Vera Gel","Aloe Vera Gel "&amp;$CT412&amp;"g",CS412&amp;" "&amp;$CT412&amp;"g"))</f>
        <v/>
      </c>
      <c r="CV412">
        <f>IF($CQ412=0,"",IF($CP412=$CU412,"Repeat Exact",IF($CT412&gt;$CO412,"Upsized",IF($CT412&lt;$CO412,"Downsized",IF($CM412&lt;&gt;$CR412,"Lateral","Same Size Diff Variant")))))</f>
        <v/>
      </c>
      <c r="CW412">
        <f>IF($CQ412=0,"",AZ412-AQ412)</f>
        <v/>
      </c>
      <c r="CX412">
        <f>IF($CQ412=0,0,IF(CS412=CN412,1,0))</f>
        <v/>
      </c>
      <c r="CY412">
        <f>IF($CQ412=0,0,IF(CR412=CM412,1,0))</f>
        <v/>
      </c>
      <c r="CZ412">
        <f>IF($A412="","",IF(AND(IF(DASHBOARD!$C$4="All",TRUE,$CM412=DASHBOARD!$C$4),IF(DASHBOARD!$C$6="All",TRUE,$CP412=DASHBOARD!$C$6),IF(DASHBOARD!$C$8="All",TRUE,$AF412&gt;=DASHBOARD!$C$8),IF(DASHBOARD!$C$10="All",TRUE,$AF412&lt;=DASHBOARD!$C$10),IF(DASHBOARD!$C$12="All",TRUE,$AH412=VALUE(DASHBOARD!$C$12)),IF(DASHBOARD!$C$14="All",TRUE,$AJ412=DASHBOARD!$C$14)),1,0))</f>
        <v/>
      </c>
    </row>
    <row r="413">
      <c r="A413" t="n">
        <v>201344</v>
      </c>
      <c r="B413" t="inlineStr">
        <is>
          <t>Face Malai</t>
        </is>
      </c>
      <c r="C413" t="inlineStr">
        <is>
          <t>Active Gel, Face Malai</t>
        </is>
      </c>
      <c r="H413" t="inlineStr">
        <is>
          <t>Honey Multi-Nut (Dry &amp; Peeling Skin) Face Malai</t>
        </is>
      </c>
      <c r="I413" t="inlineStr">
        <is>
          <t>Flax Bakuchi (Hot Dry) 35+ Face Malai - 50g, Active Olive Vit-E Night Gel</t>
        </is>
      </c>
      <c r="N413" t="inlineStr">
        <is>
          <t>FC-DM-DP-030</t>
        </is>
      </c>
      <c r="O413" t="inlineStr">
        <is>
          <t>FC-HDDM-FB-050, FC-AC-OV-050</t>
        </is>
      </c>
      <c r="T413" t="inlineStr">
        <is>
          <t>Jan 17, 2025</t>
        </is>
      </c>
      <c r="U413" t="inlineStr">
        <is>
          <t>Feb 13, 2025</t>
        </is>
      </c>
      <c r="Z413" t="n">
        <v>27</v>
      </c>
      <c r="AE413" t="inlineStr">
        <is>
          <t>Ahmedabad</t>
        </is>
      </c>
      <c r="AF413" t="inlineStr">
        <is>
          <t>2025-01</t>
        </is>
      </c>
      <c r="AG413" t="n">
        <v>1</v>
      </c>
      <c r="AH413" t="n">
        <v>2</v>
      </c>
      <c r="AI413" t="n">
        <v>1</v>
      </c>
      <c r="AJ413">
        <f>IF($AE413="","",IFERROR(VLOOKUP(TRIM($AE413),DECODE!$H$3:$I$60,2,FALSE),"Rest of India"))</f>
        <v/>
      </c>
      <c r="AK413">
        <f>IF($N413="","",UPPER(TRIM(LEFT($N413&amp;",",FIND(",",$N413&amp;",")-1))))</f>
        <v/>
      </c>
      <c r="AL413">
        <f>IF($AK413="","",MID($AK413,4,FIND("~",SUBSTITUTE($AK413,"-","~",2))-4))</f>
        <v/>
      </c>
      <c r="AM413">
        <f>IF($AK413="","",MID($AK413,FIND("~",SUBSTITUTE($AK413,"-","~",2))+1,FIND("~",SUBSTITUTE($AK413,"-","~",3))-FIND("~",SUBSTITUTE($AK413,"-","~",2))-1))</f>
        <v/>
      </c>
      <c r="AN413">
        <f>IF($AL413="","",IFERROR(VLOOKUP($AL413,DECODE!$A$3:$C$8,3,FALSE),"?"))</f>
        <v/>
      </c>
      <c r="AO413">
        <f>IF($AM413="","",IFERROR(VLOOKUP($AL413&amp;"-"&amp;$AM413,DECODE!$E$3:$F$21,2,FALSE),"?"))</f>
        <v/>
      </c>
      <c r="AP413">
        <f>IF($AK413="","",IFERROR(VALUE(RIGHT($AK413,3)),""))</f>
        <v/>
      </c>
      <c r="AQ413">
        <f>IF($T413="","",IFERROR(IF(ISNUMBER($T413),$T413,DATEVALUE(TRIM($T413))),""))</f>
        <v/>
      </c>
      <c r="AR413">
        <f>IF($AQ413="","",IF(MONTH($AQ413)&gt;=12,"Cold Winter",IF(MONTH($AQ413)&gt;=10,"Post-Monsoon",IF(MONTH($AQ413)&gt;=6,"Hot Humid",IF(MONTH($AQ413)&gt;=3,"Hot Dry","Cold Winter")))))</f>
        <v/>
      </c>
      <c r="AS413">
        <f>IF($AL413="","",IFERROR(VLOOKUP($AL413,DECODE!$A$3:$C$8,2,FALSE),"?"))</f>
        <v/>
      </c>
      <c r="AT413">
        <f>IF($O413="","",UPPER(TRIM(LEFT($O413&amp;",",FIND(",",$O413&amp;",")-1))))</f>
        <v/>
      </c>
      <c r="AU413">
        <f>IF($AT413="","",MID($AT413,4,FIND("~",SUBSTITUTE($AT413,"-","~",2))-4))</f>
        <v/>
      </c>
      <c r="AV413">
        <f>IF($AT413="","",MID($AT413,FIND("~",SUBSTITUTE($AT413,"-","~",2))+1,FIND("~",SUBSTITUTE($AT413,"-","~",3))-FIND("~",SUBSTITUTE($AT413,"-","~",2))-1))</f>
        <v/>
      </c>
      <c r="AW413">
        <f>IF($AU413="","",IFERROR(VLOOKUP($AU413,DECODE!$A$3:$C$8,3,FALSE),"?"))</f>
        <v/>
      </c>
      <c r="AX413">
        <f>IF($AV413="","",IFERROR(VLOOKUP($AU413&amp;"-"&amp;$AV413,DECODE!$E$3:$F$21,2,FALSE),"?"))</f>
        <v/>
      </c>
      <c r="AY413">
        <f>IF($AT413="","",IFERROR(VALUE(RIGHT($AT413,3)),""))</f>
        <v/>
      </c>
      <c r="AZ413">
        <f>IF($U413="","",IFERROR(IF(ISNUMBER($U413),$U413,DATEVALUE(TRIM($U413))),""))</f>
        <v/>
      </c>
      <c r="BA413">
        <f>IF($AZ413="","",IF(MONTH($AZ413)&gt;=12,"Cold Winter",IF(MONTH($AZ413)&gt;=10,"Post-Monsoon",IF(MONTH($AZ413)&gt;=6,"Hot Humid",IF(MONTH($AZ413)&gt;=3,"Hot Dry","Cold Winter")))))</f>
        <v/>
      </c>
      <c r="BB413">
        <f>IF($AU413="","",IFERROR(VLOOKUP($AU413,DECODE!$A$3:$C$8,2,FALSE),"?"))</f>
        <v/>
      </c>
      <c r="BC413">
        <f>IF($P413="","",UPPER(TRIM(LEFT($P413&amp;",",FIND(",",$P413&amp;",")-1))))</f>
        <v/>
      </c>
      <c r="BD413">
        <f>IF($BC413="","",MID($BC413,4,FIND("~",SUBSTITUTE($BC413,"-","~",2))-4))</f>
        <v/>
      </c>
      <c r="BE413">
        <f>IF($BC413="","",MID($BC413,FIND("~",SUBSTITUTE($BC413,"-","~",2))+1,FIND("~",SUBSTITUTE($BC413,"-","~",3))-FIND("~",SUBSTITUTE($BC413,"-","~",2))-1))</f>
        <v/>
      </c>
      <c r="BF413">
        <f>IF($BD413="","",IFERROR(VLOOKUP($BD413,DECODE!$A$3:$C$8,3,FALSE),"?"))</f>
        <v/>
      </c>
      <c r="BG413">
        <f>IF($BE413="","",IFERROR(VLOOKUP($BD413&amp;"-"&amp;$BE413,DECODE!$E$3:$F$21,2,FALSE),"?"))</f>
        <v/>
      </c>
      <c r="BH413">
        <f>IF($BC413="","",IFERROR(VALUE(RIGHT($BC413,3)),""))</f>
        <v/>
      </c>
      <c r="BI413">
        <f>IF($V413="","",IFERROR(IF(ISNUMBER($V413),$V413,DATEVALUE(TRIM($V413))),""))</f>
        <v/>
      </c>
      <c r="BJ413">
        <f>IF($BI413="","",IF(MONTH($BI413)&gt;=12,"Cold Winter",IF(MONTH($BI413)&gt;=10,"Post-Monsoon",IF(MONTH($BI413)&gt;=6,"Hot Humid",IF(MONTH($BI413)&gt;=3,"Hot Dry","Cold Winter")))))</f>
        <v/>
      </c>
      <c r="BK413">
        <f>IF($BD413="","",IFERROR(VLOOKUP($BD413,DECODE!$A$3:$C$8,2,FALSE),"?"))</f>
        <v/>
      </c>
      <c r="BL413">
        <f>IF($Q413="","",UPPER(TRIM(LEFT($Q413&amp;",",FIND(",",$Q413&amp;",")-1))))</f>
        <v/>
      </c>
      <c r="BM413">
        <f>IF($BL413="","",MID($BL413,4,FIND("~",SUBSTITUTE($BL413,"-","~",2))-4))</f>
        <v/>
      </c>
      <c r="BN413">
        <f>IF($BL413="","",MID($BL413,FIND("~",SUBSTITUTE($BL413,"-","~",2))+1,FIND("~",SUBSTITUTE($BL413,"-","~",3))-FIND("~",SUBSTITUTE($BL413,"-","~",2))-1))</f>
        <v/>
      </c>
      <c r="BO413">
        <f>IF($BM413="","",IFERROR(VLOOKUP($BM413,DECODE!$A$3:$C$8,3,FALSE),"?"))</f>
        <v/>
      </c>
      <c r="BP413">
        <f>IF($BN413="","",IFERROR(VLOOKUP($BM413&amp;"-"&amp;$BN413,DECODE!$E$3:$F$21,2,FALSE),"?"))</f>
        <v/>
      </c>
      <c r="BQ413">
        <f>IF($BL413="","",IFERROR(VALUE(RIGHT($BL413,3)),""))</f>
        <v/>
      </c>
      <c r="BR413">
        <f>IF($W413="","",IFERROR(IF(ISNUMBER($W413),$W413,DATEVALUE(TRIM($W413))),""))</f>
        <v/>
      </c>
      <c r="BS413">
        <f>IF($BR413="","",IF(MONTH($BR413)&gt;=12,"Cold Winter",IF(MONTH($BR413)&gt;=10,"Post-Monsoon",IF(MONTH($BR413)&gt;=6,"Hot Humid",IF(MONTH($BR413)&gt;=3,"Hot Dry","Cold Winter")))))</f>
        <v/>
      </c>
      <c r="BT413">
        <f>IF($BM413="","",IFERROR(VLOOKUP($BM413,DECODE!$A$3:$C$8,2,FALSE),"?"))</f>
        <v/>
      </c>
      <c r="BU413">
        <f>IF($R413="","",UPPER(TRIM(LEFT($R413&amp;",",FIND(",",$R413&amp;",")-1))))</f>
        <v/>
      </c>
      <c r="BV413">
        <f>IF($BU413="","",MID($BU413,4,FIND("~",SUBSTITUTE($BU413,"-","~",2))-4))</f>
        <v/>
      </c>
      <c r="BW413">
        <f>IF($BU413="","",MID($BU413,FIND("~",SUBSTITUTE($BU413,"-","~",2))+1,FIND("~",SUBSTITUTE($BU413,"-","~",3))-FIND("~",SUBSTITUTE($BU413,"-","~",2))-1))</f>
        <v/>
      </c>
      <c r="BX413">
        <f>IF($BV413="","",IFERROR(VLOOKUP($BV413,DECODE!$A$3:$C$8,3,FALSE),"?"))</f>
        <v/>
      </c>
      <c r="BY413">
        <f>IF($BW413="","",IFERROR(VLOOKUP($BV413&amp;"-"&amp;$BW413,DECODE!$E$3:$F$21,2,FALSE),"?"))</f>
        <v/>
      </c>
      <c r="BZ413">
        <f>IF($BU413="","",IFERROR(VALUE(RIGHT($BU413,3)),""))</f>
        <v/>
      </c>
      <c r="CA413">
        <f>IF($X413="","",IFERROR(IF(ISNUMBER($X413),$X413,DATEVALUE(TRIM($X413))),""))</f>
        <v/>
      </c>
      <c r="CB413">
        <f>IF($CA413="","",IF(MONTH($CA413)&gt;=12,"Cold Winter",IF(MONTH($CA413)&gt;=10,"Post-Monsoon",IF(MONTH($CA413)&gt;=6,"Hot Humid",IF(MONTH($CA413)&gt;=3,"Hot Dry","Cold Winter")))))</f>
        <v/>
      </c>
      <c r="CC413">
        <f>IF($BV413="","",IFERROR(VLOOKUP($BV413,DECODE!$A$3:$C$8,2,FALSE),"?"))</f>
        <v/>
      </c>
      <c r="CD413">
        <f>IF($S413="","",UPPER(TRIM(LEFT($S413&amp;",",FIND(",",$S413&amp;",")-1))))</f>
        <v/>
      </c>
      <c r="CE413">
        <f>IF($CD413="","",MID($CD413,4,FIND("~",SUBSTITUTE($CD413,"-","~",2))-4))</f>
        <v/>
      </c>
      <c r="CF413">
        <f>IF($CD413="","",MID($CD413,FIND("~",SUBSTITUTE($CD413,"-","~",2))+1,FIND("~",SUBSTITUTE($CD413,"-","~",3))-FIND("~",SUBSTITUTE($CD413,"-","~",2))-1))</f>
        <v/>
      </c>
      <c r="CG413">
        <f>IF($CE413="","",IFERROR(VLOOKUP($CE413,DECODE!$A$3:$C$8,3,FALSE),"?"))</f>
        <v/>
      </c>
      <c r="CH413">
        <f>IF($CF413="","",IFERROR(VLOOKUP($CE413&amp;"-"&amp;$CF413,DECODE!$E$3:$F$21,2,FALSE),"?"))</f>
        <v/>
      </c>
      <c r="CI413">
        <f>IF($CD413="","",IFERROR(VALUE(RIGHT($CD413,3)),""))</f>
        <v/>
      </c>
      <c r="CJ413">
        <f>IF($Y413="","",IFERROR(IF(ISNUMBER($Y413),$Y413,DATEVALUE(TRIM($Y413))),""))</f>
        <v/>
      </c>
      <c r="CK413">
        <f>IF($CJ413="","",IF(MONTH($CJ413)&gt;=12,"Cold Winter",IF(MONTH($CJ413)&gt;=10,"Post-Monsoon",IF(MONTH($CJ413)&gt;=6,"Hot Humid",IF(MONTH($CJ413)&gt;=3,"Hot Dry","Cold Winter")))))</f>
        <v/>
      </c>
      <c r="CL413">
        <f>IF($CE413="","",IFERROR(VLOOKUP($CE413,DECODE!$A$3:$C$8,2,FALSE),"?"))</f>
        <v/>
      </c>
      <c r="CM413">
        <f>IF($AN413="","",AN413)</f>
        <v/>
      </c>
      <c r="CN413">
        <f>IF($AO413="","",AO413)</f>
        <v/>
      </c>
      <c r="CO413">
        <f>IF($AP413="","",AP413)</f>
        <v/>
      </c>
      <c r="CP413">
        <f>IF($CM413="","",IF($CM413="Aloe Vera Gel","Aloe Vera Gel "&amp;$CO413&amp;"g",CN413&amp;" "&amp;$CO413&amp;"g"))</f>
        <v/>
      </c>
      <c r="CQ413">
        <f>IF($AT413="",0,1)</f>
        <v/>
      </c>
      <c r="CR413">
        <f>IF($CQ413=0,"",AW413)</f>
        <v/>
      </c>
      <c r="CS413">
        <f>IF($CQ413=0,"",AX413)</f>
        <v/>
      </c>
      <c r="CT413">
        <f>IF($CQ413=0,"",AY413)</f>
        <v/>
      </c>
      <c r="CU413">
        <f>IF($CR413="","",IF($CR413="Aloe Vera Gel","Aloe Vera Gel "&amp;$CT413&amp;"g",CS413&amp;" "&amp;$CT413&amp;"g"))</f>
        <v/>
      </c>
      <c r="CV413">
        <f>IF($CQ413=0,"",IF($CP413=$CU413,"Repeat Exact",IF($CT413&gt;$CO413,"Upsized",IF($CT413&lt;$CO413,"Downsized",IF($CM413&lt;&gt;$CR413,"Lateral","Same Size Diff Variant")))))</f>
        <v/>
      </c>
      <c r="CW413">
        <f>IF($CQ413=0,"",AZ413-AQ413)</f>
        <v/>
      </c>
      <c r="CX413">
        <f>IF($CQ413=0,0,IF(CS413=CN413,1,0))</f>
        <v/>
      </c>
      <c r="CY413">
        <f>IF($CQ413=0,0,IF(CR413=CM413,1,0))</f>
        <v/>
      </c>
      <c r="CZ413">
        <f>IF($A413="","",IF(AND(IF(DASHBOARD!$C$4="All",TRUE,$CM413=DASHBOARD!$C$4),IF(DASHBOARD!$C$6="All",TRUE,$CP413=DASHBOARD!$C$6),IF(DASHBOARD!$C$8="All",TRUE,$AF413&gt;=DASHBOARD!$C$8),IF(DASHBOARD!$C$10="All",TRUE,$AF413&lt;=DASHBOARD!$C$10),IF(DASHBOARD!$C$12="All",TRUE,$AH413=VALUE(DASHBOARD!$C$12)),IF(DASHBOARD!$C$14="All",TRUE,$AJ413=DASHBOARD!$C$14)),1,0))</f>
        <v/>
      </c>
    </row>
    <row r="414">
      <c r="A414" t="n">
        <v>201455</v>
      </c>
      <c r="B414" t="inlineStr">
        <is>
          <t>Aloe Vera Gel</t>
        </is>
      </c>
      <c r="H414" t="inlineStr">
        <is>
          <t>Aloe Vera Gel - 40 gms</t>
        </is>
      </c>
      <c r="N414" t="inlineStr">
        <is>
          <t>FC-HG-PA-040</t>
        </is>
      </c>
      <c r="T414" t="inlineStr">
        <is>
          <t>Mar 3, 2024</t>
        </is>
      </c>
      <c r="AE414" t="inlineStr">
        <is>
          <t>Ghaziabad</t>
        </is>
      </c>
      <c r="AF414" t="inlineStr">
        <is>
          <t>2024-03</t>
        </is>
      </c>
      <c r="AG414" t="n">
        <v>3</v>
      </c>
      <c r="AH414" t="n">
        <v>1</v>
      </c>
      <c r="AI414" t="n">
        <v>0</v>
      </c>
      <c r="AJ414">
        <f>IF($AE414="","",IFERROR(VLOOKUP(TRIM($AE414),DECODE!$H$3:$I$60,2,FALSE),"Rest of India"))</f>
        <v/>
      </c>
      <c r="AK414">
        <f>IF($N414="","",UPPER(TRIM(LEFT($N414&amp;",",FIND(",",$N414&amp;",")-1))))</f>
        <v/>
      </c>
      <c r="AL414">
        <f>IF($AK414="","",MID($AK414,4,FIND("~",SUBSTITUTE($AK414,"-","~",2))-4))</f>
        <v/>
      </c>
      <c r="AM414">
        <f>IF($AK414="","",MID($AK414,FIND("~",SUBSTITUTE($AK414,"-","~",2))+1,FIND("~",SUBSTITUTE($AK414,"-","~",3))-FIND("~",SUBSTITUTE($AK414,"-","~",2))-1))</f>
        <v/>
      </c>
      <c r="AN414">
        <f>IF($AL414="","",IFERROR(VLOOKUP($AL414,DECODE!$A$3:$C$8,3,FALSE),"?"))</f>
        <v/>
      </c>
      <c r="AO414">
        <f>IF($AM414="","",IFERROR(VLOOKUP($AL414&amp;"-"&amp;$AM414,DECODE!$E$3:$F$21,2,FALSE),"?"))</f>
        <v/>
      </c>
      <c r="AP414">
        <f>IF($AK414="","",IFERROR(VALUE(RIGHT($AK414,3)),""))</f>
        <v/>
      </c>
      <c r="AQ414">
        <f>IF($T414="","",IFERROR(IF(ISNUMBER($T414),$T414,DATEVALUE(TRIM($T414))),""))</f>
        <v/>
      </c>
      <c r="AR414">
        <f>IF($AQ414="","",IF(MONTH($AQ414)&gt;=12,"Cold Winter",IF(MONTH($AQ414)&gt;=10,"Post-Monsoon",IF(MONTH($AQ414)&gt;=6,"Hot Humid",IF(MONTH($AQ414)&gt;=3,"Hot Dry","Cold Winter")))))</f>
        <v/>
      </c>
      <c r="AS414">
        <f>IF($AL414="","",IFERROR(VLOOKUP($AL414,DECODE!$A$3:$C$8,2,FALSE),"?"))</f>
        <v/>
      </c>
      <c r="AT414">
        <f>IF($O414="","",UPPER(TRIM(LEFT($O414&amp;",",FIND(",",$O414&amp;",")-1))))</f>
        <v/>
      </c>
      <c r="AU414">
        <f>IF($AT414="","",MID($AT414,4,FIND("~",SUBSTITUTE($AT414,"-","~",2))-4))</f>
        <v/>
      </c>
      <c r="AV414">
        <f>IF($AT414="","",MID($AT414,FIND("~",SUBSTITUTE($AT414,"-","~",2))+1,FIND("~",SUBSTITUTE($AT414,"-","~",3))-FIND("~",SUBSTITUTE($AT414,"-","~",2))-1))</f>
        <v/>
      </c>
      <c r="AW414">
        <f>IF($AU414="","",IFERROR(VLOOKUP($AU414,DECODE!$A$3:$C$8,3,FALSE),"?"))</f>
        <v/>
      </c>
      <c r="AX414">
        <f>IF($AV414="","",IFERROR(VLOOKUP($AU414&amp;"-"&amp;$AV414,DECODE!$E$3:$F$21,2,FALSE),"?"))</f>
        <v/>
      </c>
      <c r="AY414">
        <f>IF($AT414="","",IFERROR(VALUE(RIGHT($AT414,3)),""))</f>
        <v/>
      </c>
      <c r="AZ414">
        <f>IF($U414="","",IFERROR(IF(ISNUMBER($U414),$U414,DATEVALUE(TRIM($U414))),""))</f>
        <v/>
      </c>
      <c r="BA414">
        <f>IF($AZ414="","",IF(MONTH($AZ414)&gt;=12,"Cold Winter",IF(MONTH($AZ414)&gt;=10,"Post-Monsoon",IF(MONTH($AZ414)&gt;=6,"Hot Humid",IF(MONTH($AZ414)&gt;=3,"Hot Dry","Cold Winter")))))</f>
        <v/>
      </c>
      <c r="BB414">
        <f>IF($AU414="","",IFERROR(VLOOKUP($AU414,DECODE!$A$3:$C$8,2,FALSE),"?"))</f>
        <v/>
      </c>
      <c r="BC414">
        <f>IF($P414="","",UPPER(TRIM(LEFT($P414&amp;",",FIND(",",$P414&amp;",")-1))))</f>
        <v/>
      </c>
      <c r="BD414">
        <f>IF($BC414="","",MID($BC414,4,FIND("~",SUBSTITUTE($BC414,"-","~",2))-4))</f>
        <v/>
      </c>
      <c r="BE414">
        <f>IF($BC414="","",MID($BC414,FIND("~",SUBSTITUTE($BC414,"-","~",2))+1,FIND("~",SUBSTITUTE($BC414,"-","~",3))-FIND("~",SUBSTITUTE($BC414,"-","~",2))-1))</f>
        <v/>
      </c>
      <c r="BF414">
        <f>IF($BD414="","",IFERROR(VLOOKUP($BD414,DECODE!$A$3:$C$8,3,FALSE),"?"))</f>
        <v/>
      </c>
      <c r="BG414">
        <f>IF($BE414="","",IFERROR(VLOOKUP($BD414&amp;"-"&amp;$BE414,DECODE!$E$3:$F$21,2,FALSE),"?"))</f>
        <v/>
      </c>
      <c r="BH414">
        <f>IF($BC414="","",IFERROR(VALUE(RIGHT($BC414,3)),""))</f>
        <v/>
      </c>
      <c r="BI414">
        <f>IF($V414="","",IFERROR(IF(ISNUMBER($V414),$V414,DATEVALUE(TRIM($V414))),""))</f>
        <v/>
      </c>
      <c r="BJ414">
        <f>IF($BI414="","",IF(MONTH($BI414)&gt;=12,"Cold Winter",IF(MONTH($BI414)&gt;=10,"Post-Monsoon",IF(MONTH($BI414)&gt;=6,"Hot Humid",IF(MONTH($BI414)&gt;=3,"Hot Dry","Cold Winter")))))</f>
        <v/>
      </c>
      <c r="BK414">
        <f>IF($BD414="","",IFERROR(VLOOKUP($BD414,DECODE!$A$3:$C$8,2,FALSE),"?"))</f>
        <v/>
      </c>
      <c r="BL414">
        <f>IF($Q414="","",UPPER(TRIM(LEFT($Q414&amp;",",FIND(",",$Q414&amp;",")-1))))</f>
        <v/>
      </c>
      <c r="BM414">
        <f>IF($BL414="","",MID($BL414,4,FIND("~",SUBSTITUTE($BL414,"-","~",2))-4))</f>
        <v/>
      </c>
      <c r="BN414">
        <f>IF($BL414="","",MID($BL414,FIND("~",SUBSTITUTE($BL414,"-","~",2))+1,FIND("~",SUBSTITUTE($BL414,"-","~",3))-FIND("~",SUBSTITUTE($BL414,"-","~",2))-1))</f>
        <v/>
      </c>
      <c r="BO414">
        <f>IF($BM414="","",IFERROR(VLOOKUP($BM414,DECODE!$A$3:$C$8,3,FALSE),"?"))</f>
        <v/>
      </c>
      <c r="BP414">
        <f>IF($BN414="","",IFERROR(VLOOKUP($BM414&amp;"-"&amp;$BN414,DECODE!$E$3:$F$21,2,FALSE),"?"))</f>
        <v/>
      </c>
      <c r="BQ414">
        <f>IF($BL414="","",IFERROR(VALUE(RIGHT($BL414,3)),""))</f>
        <v/>
      </c>
      <c r="BR414">
        <f>IF($W414="","",IFERROR(IF(ISNUMBER($W414),$W414,DATEVALUE(TRIM($W414))),""))</f>
        <v/>
      </c>
      <c r="BS414">
        <f>IF($BR414="","",IF(MONTH($BR414)&gt;=12,"Cold Winter",IF(MONTH($BR414)&gt;=10,"Post-Monsoon",IF(MONTH($BR414)&gt;=6,"Hot Humid",IF(MONTH($BR414)&gt;=3,"Hot Dry","Cold Winter")))))</f>
        <v/>
      </c>
      <c r="BT414">
        <f>IF($BM414="","",IFERROR(VLOOKUP($BM414,DECODE!$A$3:$C$8,2,FALSE),"?"))</f>
        <v/>
      </c>
      <c r="BU414">
        <f>IF($R414="","",UPPER(TRIM(LEFT($R414&amp;",",FIND(",",$R414&amp;",")-1))))</f>
        <v/>
      </c>
      <c r="BV414">
        <f>IF($BU414="","",MID($BU414,4,FIND("~",SUBSTITUTE($BU414,"-","~",2))-4))</f>
        <v/>
      </c>
      <c r="BW414">
        <f>IF($BU414="","",MID($BU414,FIND("~",SUBSTITUTE($BU414,"-","~",2))+1,FIND("~",SUBSTITUTE($BU414,"-","~",3))-FIND("~",SUBSTITUTE($BU414,"-","~",2))-1))</f>
        <v/>
      </c>
      <c r="BX414">
        <f>IF($BV414="","",IFERROR(VLOOKUP($BV414,DECODE!$A$3:$C$8,3,FALSE),"?"))</f>
        <v/>
      </c>
      <c r="BY414">
        <f>IF($BW414="","",IFERROR(VLOOKUP($BV414&amp;"-"&amp;$BW414,DECODE!$E$3:$F$21,2,FALSE),"?"))</f>
        <v/>
      </c>
      <c r="BZ414">
        <f>IF($BU414="","",IFERROR(VALUE(RIGHT($BU414,3)),""))</f>
        <v/>
      </c>
      <c r="CA414">
        <f>IF($X414="","",IFERROR(IF(ISNUMBER($X414),$X414,DATEVALUE(TRIM($X414))),""))</f>
        <v/>
      </c>
      <c r="CB414">
        <f>IF($CA414="","",IF(MONTH($CA414)&gt;=12,"Cold Winter",IF(MONTH($CA414)&gt;=10,"Post-Monsoon",IF(MONTH($CA414)&gt;=6,"Hot Humid",IF(MONTH($CA414)&gt;=3,"Hot Dry","Cold Winter")))))</f>
        <v/>
      </c>
      <c r="CC414">
        <f>IF($BV414="","",IFERROR(VLOOKUP($BV414,DECODE!$A$3:$C$8,2,FALSE),"?"))</f>
        <v/>
      </c>
      <c r="CD414">
        <f>IF($S414="","",UPPER(TRIM(LEFT($S414&amp;",",FIND(",",$S414&amp;",")-1))))</f>
        <v/>
      </c>
      <c r="CE414">
        <f>IF($CD414="","",MID($CD414,4,FIND("~",SUBSTITUTE($CD414,"-","~",2))-4))</f>
        <v/>
      </c>
      <c r="CF414">
        <f>IF($CD414="","",MID($CD414,FIND("~",SUBSTITUTE($CD414,"-","~",2))+1,FIND("~",SUBSTITUTE($CD414,"-","~",3))-FIND("~",SUBSTITUTE($CD414,"-","~",2))-1))</f>
        <v/>
      </c>
      <c r="CG414">
        <f>IF($CE414="","",IFERROR(VLOOKUP($CE414,DECODE!$A$3:$C$8,3,FALSE),"?"))</f>
        <v/>
      </c>
      <c r="CH414">
        <f>IF($CF414="","",IFERROR(VLOOKUP($CE414&amp;"-"&amp;$CF414,DECODE!$E$3:$F$21,2,FALSE),"?"))</f>
        <v/>
      </c>
      <c r="CI414">
        <f>IF($CD414="","",IFERROR(VALUE(RIGHT($CD414,3)),""))</f>
        <v/>
      </c>
      <c r="CJ414">
        <f>IF($Y414="","",IFERROR(IF(ISNUMBER($Y414),$Y414,DATEVALUE(TRIM($Y414))),""))</f>
        <v/>
      </c>
      <c r="CK414">
        <f>IF($CJ414="","",IF(MONTH($CJ414)&gt;=12,"Cold Winter",IF(MONTH($CJ414)&gt;=10,"Post-Monsoon",IF(MONTH($CJ414)&gt;=6,"Hot Humid",IF(MONTH($CJ414)&gt;=3,"Hot Dry","Cold Winter")))))</f>
        <v/>
      </c>
      <c r="CL414">
        <f>IF($CE414="","",IFERROR(VLOOKUP($CE414,DECODE!$A$3:$C$8,2,FALSE),"?"))</f>
        <v/>
      </c>
      <c r="CM414">
        <f>IF($AN414="","",AN414)</f>
        <v/>
      </c>
      <c r="CN414">
        <f>IF($AO414="","",AO414)</f>
        <v/>
      </c>
      <c r="CO414">
        <f>IF($AP414="","",AP414)</f>
        <v/>
      </c>
      <c r="CP414">
        <f>IF($CM414="","",IF($CM414="Aloe Vera Gel","Aloe Vera Gel "&amp;$CO414&amp;"g",CN414&amp;" "&amp;$CO414&amp;"g"))</f>
        <v/>
      </c>
      <c r="CQ414">
        <f>IF($AT414="",0,1)</f>
        <v/>
      </c>
      <c r="CR414">
        <f>IF($CQ414=0,"",AW414)</f>
        <v/>
      </c>
      <c r="CS414">
        <f>IF($CQ414=0,"",AX414)</f>
        <v/>
      </c>
      <c r="CT414">
        <f>IF($CQ414=0,"",AY414)</f>
        <v/>
      </c>
      <c r="CU414">
        <f>IF($CR414="","",IF($CR414="Aloe Vera Gel","Aloe Vera Gel "&amp;$CT414&amp;"g",CS414&amp;" "&amp;$CT414&amp;"g"))</f>
        <v/>
      </c>
      <c r="CV414">
        <f>IF($CQ414=0,"",IF($CP414=$CU414,"Repeat Exact",IF($CT414&gt;$CO414,"Upsized",IF($CT414&lt;$CO414,"Downsized",IF($CM414&lt;&gt;$CR414,"Lateral","Same Size Diff Variant")))))</f>
        <v/>
      </c>
      <c r="CW414">
        <f>IF($CQ414=0,"",AZ414-AQ414)</f>
        <v/>
      </c>
      <c r="CX414">
        <f>IF($CQ414=0,0,IF(CS414=CN414,1,0))</f>
        <v/>
      </c>
      <c r="CY414">
        <f>IF($CQ414=0,0,IF(CR414=CM414,1,0))</f>
        <v/>
      </c>
      <c r="CZ414">
        <f>IF($A414="","",IF(AND(IF(DASHBOARD!$C$4="All",TRUE,$CM414=DASHBOARD!$C$4),IF(DASHBOARD!$C$6="All",TRUE,$CP414=DASHBOARD!$C$6),IF(DASHBOARD!$C$8="All",TRUE,$AF414&gt;=DASHBOARD!$C$8),IF(DASHBOARD!$C$10="All",TRUE,$AF414&lt;=DASHBOARD!$C$10),IF(DASHBOARD!$C$12="All",TRUE,$AH414=VALUE(DASHBOARD!$C$12)),IF(DASHBOARD!$C$14="All",TRUE,$AJ414=DASHBOARD!$C$14)),1,0))</f>
        <v/>
      </c>
    </row>
    <row r="415">
      <c r="A415" t="n">
        <v>201692</v>
      </c>
      <c r="B415" t="inlineStr">
        <is>
          <t>Aloe Vera Gel, Face Malai</t>
        </is>
      </c>
      <c r="H415" t="inlineStr">
        <is>
          <t xml:space="preserve">Aloe Vera Gel - 80 gms, Turmeric Nutmeg (Pigmentation)  Face Malai - 50g </t>
        </is>
      </c>
      <c r="N415" t="inlineStr">
        <is>
          <t>FC-DM-PG-050, FC-HG-PA-080</t>
        </is>
      </c>
      <c r="T415" t="inlineStr">
        <is>
          <t>Apr 12, 2025</t>
        </is>
      </c>
      <c r="AE415" t="inlineStr">
        <is>
          <t>Bengaluru</t>
        </is>
      </c>
      <c r="AF415" t="inlineStr">
        <is>
          <t>2025-04</t>
        </is>
      </c>
      <c r="AG415" t="n">
        <v>4</v>
      </c>
      <c r="AH415" t="n">
        <v>1</v>
      </c>
      <c r="AI415" t="n">
        <v>0</v>
      </c>
      <c r="AJ415">
        <f>IF($AE415="","",IFERROR(VLOOKUP(TRIM($AE415),DECODE!$H$3:$I$60,2,FALSE),"Rest of India"))</f>
        <v/>
      </c>
      <c r="AK415">
        <f>IF($N415="","",UPPER(TRIM(LEFT($N415&amp;",",FIND(",",$N415&amp;",")-1))))</f>
        <v/>
      </c>
      <c r="AL415">
        <f>IF($AK415="","",MID($AK415,4,FIND("~",SUBSTITUTE($AK415,"-","~",2))-4))</f>
        <v/>
      </c>
      <c r="AM415">
        <f>IF($AK415="","",MID($AK415,FIND("~",SUBSTITUTE($AK415,"-","~",2))+1,FIND("~",SUBSTITUTE($AK415,"-","~",3))-FIND("~",SUBSTITUTE($AK415,"-","~",2))-1))</f>
        <v/>
      </c>
      <c r="AN415">
        <f>IF($AL415="","",IFERROR(VLOOKUP($AL415,DECODE!$A$3:$C$8,3,FALSE),"?"))</f>
        <v/>
      </c>
      <c r="AO415">
        <f>IF($AM415="","",IFERROR(VLOOKUP($AL415&amp;"-"&amp;$AM415,DECODE!$E$3:$F$21,2,FALSE),"?"))</f>
        <v/>
      </c>
      <c r="AP415">
        <f>IF($AK415="","",IFERROR(VALUE(RIGHT($AK415,3)),""))</f>
        <v/>
      </c>
      <c r="AQ415">
        <f>IF($T415="","",IFERROR(IF(ISNUMBER($T415),$T415,DATEVALUE(TRIM($T415))),""))</f>
        <v/>
      </c>
      <c r="AR415">
        <f>IF($AQ415="","",IF(MONTH($AQ415)&gt;=12,"Cold Winter",IF(MONTH($AQ415)&gt;=10,"Post-Monsoon",IF(MONTH($AQ415)&gt;=6,"Hot Humid",IF(MONTH($AQ415)&gt;=3,"Hot Dry","Cold Winter")))))</f>
        <v/>
      </c>
      <c r="AS415">
        <f>IF($AL415="","",IFERROR(VLOOKUP($AL415,DECODE!$A$3:$C$8,2,FALSE),"?"))</f>
        <v/>
      </c>
      <c r="AT415">
        <f>IF($O415="","",UPPER(TRIM(LEFT($O415&amp;",",FIND(",",$O415&amp;",")-1))))</f>
        <v/>
      </c>
      <c r="AU415">
        <f>IF($AT415="","",MID($AT415,4,FIND("~",SUBSTITUTE($AT415,"-","~",2))-4))</f>
        <v/>
      </c>
      <c r="AV415">
        <f>IF($AT415="","",MID($AT415,FIND("~",SUBSTITUTE($AT415,"-","~",2))+1,FIND("~",SUBSTITUTE($AT415,"-","~",3))-FIND("~",SUBSTITUTE($AT415,"-","~",2))-1))</f>
        <v/>
      </c>
      <c r="AW415">
        <f>IF($AU415="","",IFERROR(VLOOKUP($AU415,DECODE!$A$3:$C$8,3,FALSE),"?"))</f>
        <v/>
      </c>
      <c r="AX415">
        <f>IF($AV415="","",IFERROR(VLOOKUP($AU415&amp;"-"&amp;$AV415,DECODE!$E$3:$F$21,2,FALSE),"?"))</f>
        <v/>
      </c>
      <c r="AY415">
        <f>IF($AT415="","",IFERROR(VALUE(RIGHT($AT415,3)),""))</f>
        <v/>
      </c>
      <c r="AZ415">
        <f>IF($U415="","",IFERROR(IF(ISNUMBER($U415),$U415,DATEVALUE(TRIM($U415))),""))</f>
        <v/>
      </c>
      <c r="BA415">
        <f>IF($AZ415="","",IF(MONTH($AZ415)&gt;=12,"Cold Winter",IF(MONTH($AZ415)&gt;=10,"Post-Monsoon",IF(MONTH($AZ415)&gt;=6,"Hot Humid",IF(MONTH($AZ415)&gt;=3,"Hot Dry","Cold Winter")))))</f>
        <v/>
      </c>
      <c r="BB415">
        <f>IF($AU415="","",IFERROR(VLOOKUP($AU415,DECODE!$A$3:$C$8,2,FALSE),"?"))</f>
        <v/>
      </c>
      <c r="BC415">
        <f>IF($P415="","",UPPER(TRIM(LEFT($P415&amp;",",FIND(",",$P415&amp;",")-1))))</f>
        <v/>
      </c>
      <c r="BD415">
        <f>IF($BC415="","",MID($BC415,4,FIND("~",SUBSTITUTE($BC415,"-","~",2))-4))</f>
        <v/>
      </c>
      <c r="BE415">
        <f>IF($BC415="","",MID($BC415,FIND("~",SUBSTITUTE($BC415,"-","~",2))+1,FIND("~",SUBSTITUTE($BC415,"-","~",3))-FIND("~",SUBSTITUTE($BC415,"-","~",2))-1))</f>
        <v/>
      </c>
      <c r="BF415">
        <f>IF($BD415="","",IFERROR(VLOOKUP($BD415,DECODE!$A$3:$C$8,3,FALSE),"?"))</f>
        <v/>
      </c>
      <c r="BG415">
        <f>IF($BE415="","",IFERROR(VLOOKUP($BD415&amp;"-"&amp;$BE415,DECODE!$E$3:$F$21,2,FALSE),"?"))</f>
        <v/>
      </c>
      <c r="BH415">
        <f>IF($BC415="","",IFERROR(VALUE(RIGHT($BC415,3)),""))</f>
        <v/>
      </c>
      <c r="BI415">
        <f>IF($V415="","",IFERROR(IF(ISNUMBER($V415),$V415,DATEVALUE(TRIM($V415))),""))</f>
        <v/>
      </c>
      <c r="BJ415">
        <f>IF($BI415="","",IF(MONTH($BI415)&gt;=12,"Cold Winter",IF(MONTH($BI415)&gt;=10,"Post-Monsoon",IF(MONTH($BI415)&gt;=6,"Hot Humid",IF(MONTH($BI415)&gt;=3,"Hot Dry","Cold Winter")))))</f>
        <v/>
      </c>
      <c r="BK415">
        <f>IF($BD415="","",IFERROR(VLOOKUP($BD415,DECODE!$A$3:$C$8,2,FALSE),"?"))</f>
        <v/>
      </c>
      <c r="BL415">
        <f>IF($Q415="","",UPPER(TRIM(LEFT($Q415&amp;",",FIND(",",$Q415&amp;",")-1))))</f>
        <v/>
      </c>
      <c r="BM415">
        <f>IF($BL415="","",MID($BL415,4,FIND("~",SUBSTITUTE($BL415,"-","~",2))-4))</f>
        <v/>
      </c>
      <c r="BN415">
        <f>IF($BL415="","",MID($BL415,FIND("~",SUBSTITUTE($BL415,"-","~",2))+1,FIND("~",SUBSTITUTE($BL415,"-","~",3))-FIND("~",SUBSTITUTE($BL415,"-","~",2))-1))</f>
        <v/>
      </c>
      <c r="BO415">
        <f>IF($BM415="","",IFERROR(VLOOKUP($BM415,DECODE!$A$3:$C$8,3,FALSE),"?"))</f>
        <v/>
      </c>
      <c r="BP415">
        <f>IF($BN415="","",IFERROR(VLOOKUP($BM415&amp;"-"&amp;$BN415,DECODE!$E$3:$F$21,2,FALSE),"?"))</f>
        <v/>
      </c>
      <c r="BQ415">
        <f>IF($BL415="","",IFERROR(VALUE(RIGHT($BL415,3)),""))</f>
        <v/>
      </c>
      <c r="BR415">
        <f>IF($W415="","",IFERROR(IF(ISNUMBER($W415),$W415,DATEVALUE(TRIM($W415))),""))</f>
        <v/>
      </c>
      <c r="BS415">
        <f>IF($BR415="","",IF(MONTH($BR415)&gt;=12,"Cold Winter",IF(MONTH($BR415)&gt;=10,"Post-Monsoon",IF(MONTH($BR415)&gt;=6,"Hot Humid",IF(MONTH($BR415)&gt;=3,"Hot Dry","Cold Winter")))))</f>
        <v/>
      </c>
      <c r="BT415">
        <f>IF($BM415="","",IFERROR(VLOOKUP($BM415,DECODE!$A$3:$C$8,2,FALSE),"?"))</f>
        <v/>
      </c>
      <c r="BU415">
        <f>IF($R415="","",UPPER(TRIM(LEFT($R415&amp;",",FIND(",",$R415&amp;",")-1))))</f>
        <v/>
      </c>
      <c r="BV415">
        <f>IF($BU415="","",MID($BU415,4,FIND("~",SUBSTITUTE($BU415,"-","~",2))-4))</f>
        <v/>
      </c>
      <c r="BW415">
        <f>IF($BU415="","",MID($BU415,FIND("~",SUBSTITUTE($BU415,"-","~",2))+1,FIND("~",SUBSTITUTE($BU415,"-","~",3))-FIND("~",SUBSTITUTE($BU415,"-","~",2))-1))</f>
        <v/>
      </c>
      <c r="BX415">
        <f>IF($BV415="","",IFERROR(VLOOKUP($BV415,DECODE!$A$3:$C$8,3,FALSE),"?"))</f>
        <v/>
      </c>
      <c r="BY415">
        <f>IF($BW415="","",IFERROR(VLOOKUP($BV415&amp;"-"&amp;$BW415,DECODE!$E$3:$F$21,2,FALSE),"?"))</f>
        <v/>
      </c>
      <c r="BZ415">
        <f>IF($BU415="","",IFERROR(VALUE(RIGHT($BU415,3)),""))</f>
        <v/>
      </c>
      <c r="CA415">
        <f>IF($X415="","",IFERROR(IF(ISNUMBER($X415),$X415,DATEVALUE(TRIM($X415))),""))</f>
        <v/>
      </c>
      <c r="CB415">
        <f>IF($CA415="","",IF(MONTH($CA415)&gt;=12,"Cold Winter",IF(MONTH($CA415)&gt;=10,"Post-Monsoon",IF(MONTH($CA415)&gt;=6,"Hot Humid",IF(MONTH($CA415)&gt;=3,"Hot Dry","Cold Winter")))))</f>
        <v/>
      </c>
      <c r="CC415">
        <f>IF($BV415="","",IFERROR(VLOOKUP($BV415,DECODE!$A$3:$C$8,2,FALSE),"?"))</f>
        <v/>
      </c>
      <c r="CD415">
        <f>IF($S415="","",UPPER(TRIM(LEFT($S415&amp;",",FIND(",",$S415&amp;",")-1))))</f>
        <v/>
      </c>
      <c r="CE415">
        <f>IF($CD415="","",MID($CD415,4,FIND("~",SUBSTITUTE($CD415,"-","~",2))-4))</f>
        <v/>
      </c>
      <c r="CF415">
        <f>IF($CD415="","",MID($CD415,FIND("~",SUBSTITUTE($CD415,"-","~",2))+1,FIND("~",SUBSTITUTE($CD415,"-","~",3))-FIND("~",SUBSTITUTE($CD415,"-","~",2))-1))</f>
        <v/>
      </c>
      <c r="CG415">
        <f>IF($CE415="","",IFERROR(VLOOKUP($CE415,DECODE!$A$3:$C$8,3,FALSE),"?"))</f>
        <v/>
      </c>
      <c r="CH415">
        <f>IF($CF415="","",IFERROR(VLOOKUP($CE415&amp;"-"&amp;$CF415,DECODE!$E$3:$F$21,2,FALSE),"?"))</f>
        <v/>
      </c>
      <c r="CI415">
        <f>IF($CD415="","",IFERROR(VALUE(RIGHT($CD415,3)),""))</f>
        <v/>
      </c>
      <c r="CJ415">
        <f>IF($Y415="","",IFERROR(IF(ISNUMBER($Y415),$Y415,DATEVALUE(TRIM($Y415))),""))</f>
        <v/>
      </c>
      <c r="CK415">
        <f>IF($CJ415="","",IF(MONTH($CJ415)&gt;=12,"Cold Winter",IF(MONTH($CJ415)&gt;=10,"Post-Monsoon",IF(MONTH($CJ415)&gt;=6,"Hot Humid",IF(MONTH($CJ415)&gt;=3,"Hot Dry","Cold Winter")))))</f>
        <v/>
      </c>
      <c r="CL415">
        <f>IF($CE415="","",IFERROR(VLOOKUP($CE415,DECODE!$A$3:$C$8,2,FALSE),"?"))</f>
        <v/>
      </c>
      <c r="CM415">
        <f>IF($AN415="","",AN415)</f>
        <v/>
      </c>
      <c r="CN415">
        <f>IF($AO415="","",AO415)</f>
        <v/>
      </c>
      <c r="CO415">
        <f>IF($AP415="","",AP415)</f>
        <v/>
      </c>
      <c r="CP415">
        <f>IF($CM415="","",IF($CM415="Aloe Vera Gel","Aloe Vera Gel "&amp;$CO415&amp;"g",CN415&amp;" "&amp;$CO415&amp;"g"))</f>
        <v/>
      </c>
      <c r="CQ415">
        <f>IF($AT415="",0,1)</f>
        <v/>
      </c>
      <c r="CR415">
        <f>IF($CQ415=0,"",AW415)</f>
        <v/>
      </c>
      <c r="CS415">
        <f>IF($CQ415=0,"",AX415)</f>
        <v/>
      </c>
      <c r="CT415">
        <f>IF($CQ415=0,"",AY415)</f>
        <v/>
      </c>
      <c r="CU415">
        <f>IF($CR415="","",IF($CR415="Aloe Vera Gel","Aloe Vera Gel "&amp;$CT415&amp;"g",CS415&amp;" "&amp;$CT415&amp;"g"))</f>
        <v/>
      </c>
      <c r="CV415">
        <f>IF($CQ415=0,"",IF($CP415=$CU415,"Repeat Exact",IF($CT415&gt;$CO415,"Upsized",IF($CT415&lt;$CO415,"Downsized",IF($CM415&lt;&gt;$CR415,"Lateral","Same Size Diff Variant")))))</f>
        <v/>
      </c>
      <c r="CW415">
        <f>IF($CQ415=0,"",AZ415-AQ415)</f>
        <v/>
      </c>
      <c r="CX415">
        <f>IF($CQ415=0,0,IF(CS415=CN415,1,0))</f>
        <v/>
      </c>
      <c r="CY415">
        <f>IF($CQ415=0,0,IF(CR415=CM415,1,0))</f>
        <v/>
      </c>
      <c r="CZ415">
        <f>IF($A415="","",IF(AND(IF(DASHBOARD!$C$4="All",TRUE,$CM415=DASHBOARD!$C$4),IF(DASHBOARD!$C$6="All",TRUE,$CP415=DASHBOARD!$C$6),IF(DASHBOARD!$C$8="All",TRUE,$AF415&gt;=DASHBOARD!$C$8),IF(DASHBOARD!$C$10="All",TRUE,$AF415&lt;=DASHBOARD!$C$10),IF(DASHBOARD!$C$12="All",TRUE,$AH415=VALUE(DASHBOARD!$C$12)),IF(DASHBOARD!$C$14="All",TRUE,$AJ415=DASHBOARD!$C$14)),1,0))</f>
        <v/>
      </c>
    </row>
    <row r="416">
      <c r="A416" t="n">
        <v>201812</v>
      </c>
      <c r="B416" t="inlineStr">
        <is>
          <t>Aloe Vera Gel</t>
        </is>
      </c>
      <c r="H416" t="inlineStr">
        <is>
          <t>Aloe Vera Gel - 80 gms</t>
        </is>
      </c>
      <c r="N416" t="inlineStr">
        <is>
          <t>FC-HG-PA-080</t>
        </is>
      </c>
      <c r="T416" t="inlineStr">
        <is>
          <t>Aug 17, 2025</t>
        </is>
      </c>
      <c r="AE416" t="inlineStr">
        <is>
          <t>Mumbai</t>
        </is>
      </c>
      <c r="AF416" t="inlineStr">
        <is>
          <t>2025-08</t>
        </is>
      </c>
      <c r="AG416" t="n">
        <v>8</v>
      </c>
      <c r="AH416" t="n">
        <v>1</v>
      </c>
      <c r="AI416" t="n">
        <v>0</v>
      </c>
      <c r="AJ416">
        <f>IF($AE416="","",IFERROR(VLOOKUP(TRIM($AE416),DECODE!$H$3:$I$60,2,FALSE),"Rest of India"))</f>
        <v/>
      </c>
      <c r="AK416">
        <f>IF($N416="","",UPPER(TRIM(LEFT($N416&amp;",",FIND(",",$N416&amp;",")-1))))</f>
        <v/>
      </c>
      <c r="AL416">
        <f>IF($AK416="","",MID($AK416,4,FIND("~",SUBSTITUTE($AK416,"-","~",2))-4))</f>
        <v/>
      </c>
      <c r="AM416">
        <f>IF($AK416="","",MID($AK416,FIND("~",SUBSTITUTE($AK416,"-","~",2))+1,FIND("~",SUBSTITUTE($AK416,"-","~",3))-FIND("~",SUBSTITUTE($AK416,"-","~",2))-1))</f>
        <v/>
      </c>
      <c r="AN416">
        <f>IF($AL416="","",IFERROR(VLOOKUP($AL416,DECODE!$A$3:$C$8,3,FALSE),"?"))</f>
        <v/>
      </c>
      <c r="AO416">
        <f>IF($AM416="","",IFERROR(VLOOKUP($AL416&amp;"-"&amp;$AM416,DECODE!$E$3:$F$21,2,FALSE),"?"))</f>
        <v/>
      </c>
      <c r="AP416">
        <f>IF($AK416="","",IFERROR(VALUE(RIGHT($AK416,3)),""))</f>
        <v/>
      </c>
      <c r="AQ416">
        <f>IF($T416="","",IFERROR(IF(ISNUMBER($T416),$T416,DATEVALUE(TRIM($T416))),""))</f>
        <v/>
      </c>
      <c r="AR416">
        <f>IF($AQ416="","",IF(MONTH($AQ416)&gt;=12,"Cold Winter",IF(MONTH($AQ416)&gt;=10,"Post-Monsoon",IF(MONTH($AQ416)&gt;=6,"Hot Humid",IF(MONTH($AQ416)&gt;=3,"Hot Dry","Cold Winter")))))</f>
        <v/>
      </c>
      <c r="AS416">
        <f>IF($AL416="","",IFERROR(VLOOKUP($AL416,DECODE!$A$3:$C$8,2,FALSE),"?"))</f>
        <v/>
      </c>
      <c r="AT416">
        <f>IF($O416="","",UPPER(TRIM(LEFT($O416&amp;",",FIND(",",$O416&amp;",")-1))))</f>
        <v/>
      </c>
      <c r="AU416">
        <f>IF($AT416="","",MID($AT416,4,FIND("~",SUBSTITUTE($AT416,"-","~",2))-4))</f>
        <v/>
      </c>
      <c r="AV416">
        <f>IF($AT416="","",MID($AT416,FIND("~",SUBSTITUTE($AT416,"-","~",2))+1,FIND("~",SUBSTITUTE($AT416,"-","~",3))-FIND("~",SUBSTITUTE($AT416,"-","~",2))-1))</f>
        <v/>
      </c>
      <c r="AW416">
        <f>IF($AU416="","",IFERROR(VLOOKUP($AU416,DECODE!$A$3:$C$8,3,FALSE),"?"))</f>
        <v/>
      </c>
      <c r="AX416">
        <f>IF($AV416="","",IFERROR(VLOOKUP($AU416&amp;"-"&amp;$AV416,DECODE!$E$3:$F$21,2,FALSE),"?"))</f>
        <v/>
      </c>
      <c r="AY416">
        <f>IF($AT416="","",IFERROR(VALUE(RIGHT($AT416,3)),""))</f>
        <v/>
      </c>
      <c r="AZ416">
        <f>IF($U416="","",IFERROR(IF(ISNUMBER($U416),$U416,DATEVALUE(TRIM($U416))),""))</f>
        <v/>
      </c>
      <c r="BA416">
        <f>IF($AZ416="","",IF(MONTH($AZ416)&gt;=12,"Cold Winter",IF(MONTH($AZ416)&gt;=10,"Post-Monsoon",IF(MONTH($AZ416)&gt;=6,"Hot Humid",IF(MONTH($AZ416)&gt;=3,"Hot Dry","Cold Winter")))))</f>
        <v/>
      </c>
      <c r="BB416">
        <f>IF($AU416="","",IFERROR(VLOOKUP($AU416,DECODE!$A$3:$C$8,2,FALSE),"?"))</f>
        <v/>
      </c>
      <c r="BC416">
        <f>IF($P416="","",UPPER(TRIM(LEFT($P416&amp;",",FIND(",",$P416&amp;",")-1))))</f>
        <v/>
      </c>
      <c r="BD416">
        <f>IF($BC416="","",MID($BC416,4,FIND("~",SUBSTITUTE($BC416,"-","~",2))-4))</f>
        <v/>
      </c>
      <c r="BE416">
        <f>IF($BC416="","",MID($BC416,FIND("~",SUBSTITUTE($BC416,"-","~",2))+1,FIND("~",SUBSTITUTE($BC416,"-","~",3))-FIND("~",SUBSTITUTE($BC416,"-","~",2))-1))</f>
        <v/>
      </c>
      <c r="BF416">
        <f>IF($BD416="","",IFERROR(VLOOKUP($BD416,DECODE!$A$3:$C$8,3,FALSE),"?"))</f>
        <v/>
      </c>
      <c r="BG416">
        <f>IF($BE416="","",IFERROR(VLOOKUP($BD416&amp;"-"&amp;$BE416,DECODE!$E$3:$F$21,2,FALSE),"?"))</f>
        <v/>
      </c>
      <c r="BH416">
        <f>IF($BC416="","",IFERROR(VALUE(RIGHT($BC416,3)),""))</f>
        <v/>
      </c>
      <c r="BI416">
        <f>IF($V416="","",IFERROR(IF(ISNUMBER($V416),$V416,DATEVALUE(TRIM($V416))),""))</f>
        <v/>
      </c>
      <c r="BJ416">
        <f>IF($BI416="","",IF(MONTH($BI416)&gt;=12,"Cold Winter",IF(MONTH($BI416)&gt;=10,"Post-Monsoon",IF(MONTH($BI416)&gt;=6,"Hot Humid",IF(MONTH($BI416)&gt;=3,"Hot Dry","Cold Winter")))))</f>
        <v/>
      </c>
      <c r="BK416">
        <f>IF($BD416="","",IFERROR(VLOOKUP($BD416,DECODE!$A$3:$C$8,2,FALSE),"?"))</f>
        <v/>
      </c>
      <c r="BL416">
        <f>IF($Q416="","",UPPER(TRIM(LEFT($Q416&amp;",",FIND(",",$Q416&amp;",")-1))))</f>
        <v/>
      </c>
      <c r="BM416">
        <f>IF($BL416="","",MID($BL416,4,FIND("~",SUBSTITUTE($BL416,"-","~",2))-4))</f>
        <v/>
      </c>
      <c r="BN416">
        <f>IF($BL416="","",MID($BL416,FIND("~",SUBSTITUTE($BL416,"-","~",2))+1,FIND("~",SUBSTITUTE($BL416,"-","~",3))-FIND("~",SUBSTITUTE($BL416,"-","~",2))-1))</f>
        <v/>
      </c>
      <c r="BO416">
        <f>IF($BM416="","",IFERROR(VLOOKUP($BM416,DECODE!$A$3:$C$8,3,FALSE),"?"))</f>
        <v/>
      </c>
      <c r="BP416">
        <f>IF($BN416="","",IFERROR(VLOOKUP($BM416&amp;"-"&amp;$BN416,DECODE!$E$3:$F$21,2,FALSE),"?"))</f>
        <v/>
      </c>
      <c r="BQ416">
        <f>IF($BL416="","",IFERROR(VALUE(RIGHT($BL416,3)),""))</f>
        <v/>
      </c>
      <c r="BR416">
        <f>IF($W416="","",IFERROR(IF(ISNUMBER($W416),$W416,DATEVALUE(TRIM($W416))),""))</f>
        <v/>
      </c>
      <c r="BS416">
        <f>IF($BR416="","",IF(MONTH($BR416)&gt;=12,"Cold Winter",IF(MONTH($BR416)&gt;=10,"Post-Monsoon",IF(MONTH($BR416)&gt;=6,"Hot Humid",IF(MONTH($BR416)&gt;=3,"Hot Dry","Cold Winter")))))</f>
        <v/>
      </c>
      <c r="BT416">
        <f>IF($BM416="","",IFERROR(VLOOKUP($BM416,DECODE!$A$3:$C$8,2,FALSE),"?"))</f>
        <v/>
      </c>
      <c r="BU416">
        <f>IF($R416="","",UPPER(TRIM(LEFT($R416&amp;",",FIND(",",$R416&amp;",")-1))))</f>
        <v/>
      </c>
      <c r="BV416">
        <f>IF($BU416="","",MID($BU416,4,FIND("~",SUBSTITUTE($BU416,"-","~",2))-4))</f>
        <v/>
      </c>
      <c r="BW416">
        <f>IF($BU416="","",MID($BU416,FIND("~",SUBSTITUTE($BU416,"-","~",2))+1,FIND("~",SUBSTITUTE($BU416,"-","~",3))-FIND("~",SUBSTITUTE($BU416,"-","~",2))-1))</f>
        <v/>
      </c>
      <c r="BX416">
        <f>IF($BV416="","",IFERROR(VLOOKUP($BV416,DECODE!$A$3:$C$8,3,FALSE),"?"))</f>
        <v/>
      </c>
      <c r="BY416">
        <f>IF($BW416="","",IFERROR(VLOOKUP($BV416&amp;"-"&amp;$BW416,DECODE!$E$3:$F$21,2,FALSE),"?"))</f>
        <v/>
      </c>
      <c r="BZ416">
        <f>IF($BU416="","",IFERROR(VALUE(RIGHT($BU416,3)),""))</f>
        <v/>
      </c>
      <c r="CA416">
        <f>IF($X416="","",IFERROR(IF(ISNUMBER($X416),$X416,DATEVALUE(TRIM($X416))),""))</f>
        <v/>
      </c>
      <c r="CB416">
        <f>IF($CA416="","",IF(MONTH($CA416)&gt;=12,"Cold Winter",IF(MONTH($CA416)&gt;=10,"Post-Monsoon",IF(MONTH($CA416)&gt;=6,"Hot Humid",IF(MONTH($CA416)&gt;=3,"Hot Dry","Cold Winter")))))</f>
        <v/>
      </c>
      <c r="CC416">
        <f>IF($BV416="","",IFERROR(VLOOKUP($BV416,DECODE!$A$3:$C$8,2,FALSE),"?"))</f>
        <v/>
      </c>
      <c r="CD416">
        <f>IF($S416="","",UPPER(TRIM(LEFT($S416&amp;",",FIND(",",$S416&amp;",")-1))))</f>
        <v/>
      </c>
      <c r="CE416">
        <f>IF($CD416="","",MID($CD416,4,FIND("~",SUBSTITUTE($CD416,"-","~",2))-4))</f>
        <v/>
      </c>
      <c r="CF416">
        <f>IF($CD416="","",MID($CD416,FIND("~",SUBSTITUTE($CD416,"-","~",2))+1,FIND("~",SUBSTITUTE($CD416,"-","~",3))-FIND("~",SUBSTITUTE($CD416,"-","~",2))-1))</f>
        <v/>
      </c>
      <c r="CG416">
        <f>IF($CE416="","",IFERROR(VLOOKUP($CE416,DECODE!$A$3:$C$8,3,FALSE),"?"))</f>
        <v/>
      </c>
      <c r="CH416">
        <f>IF($CF416="","",IFERROR(VLOOKUP($CE416&amp;"-"&amp;$CF416,DECODE!$E$3:$F$21,2,FALSE),"?"))</f>
        <v/>
      </c>
      <c r="CI416">
        <f>IF($CD416="","",IFERROR(VALUE(RIGHT($CD416,3)),""))</f>
        <v/>
      </c>
      <c r="CJ416">
        <f>IF($Y416="","",IFERROR(IF(ISNUMBER($Y416),$Y416,DATEVALUE(TRIM($Y416))),""))</f>
        <v/>
      </c>
      <c r="CK416">
        <f>IF($CJ416="","",IF(MONTH($CJ416)&gt;=12,"Cold Winter",IF(MONTH($CJ416)&gt;=10,"Post-Monsoon",IF(MONTH($CJ416)&gt;=6,"Hot Humid",IF(MONTH($CJ416)&gt;=3,"Hot Dry","Cold Winter")))))</f>
        <v/>
      </c>
      <c r="CL416">
        <f>IF($CE416="","",IFERROR(VLOOKUP($CE416,DECODE!$A$3:$C$8,2,FALSE),"?"))</f>
        <v/>
      </c>
      <c r="CM416">
        <f>IF($AN416="","",AN416)</f>
        <v/>
      </c>
      <c r="CN416">
        <f>IF($AO416="","",AO416)</f>
        <v/>
      </c>
      <c r="CO416">
        <f>IF($AP416="","",AP416)</f>
        <v/>
      </c>
      <c r="CP416">
        <f>IF($CM416="","",IF($CM416="Aloe Vera Gel","Aloe Vera Gel "&amp;$CO416&amp;"g",CN416&amp;" "&amp;$CO416&amp;"g"))</f>
        <v/>
      </c>
      <c r="CQ416">
        <f>IF($AT416="",0,1)</f>
        <v/>
      </c>
      <c r="CR416">
        <f>IF($CQ416=0,"",AW416)</f>
        <v/>
      </c>
      <c r="CS416">
        <f>IF($CQ416=0,"",AX416)</f>
        <v/>
      </c>
      <c r="CT416">
        <f>IF($CQ416=0,"",AY416)</f>
        <v/>
      </c>
      <c r="CU416">
        <f>IF($CR416="","",IF($CR416="Aloe Vera Gel","Aloe Vera Gel "&amp;$CT416&amp;"g",CS416&amp;" "&amp;$CT416&amp;"g"))</f>
        <v/>
      </c>
      <c r="CV416">
        <f>IF($CQ416=0,"",IF($CP416=$CU416,"Repeat Exact",IF($CT416&gt;$CO416,"Upsized",IF($CT416&lt;$CO416,"Downsized",IF($CM416&lt;&gt;$CR416,"Lateral","Same Size Diff Variant")))))</f>
        <v/>
      </c>
      <c r="CW416">
        <f>IF($CQ416=0,"",AZ416-AQ416)</f>
        <v/>
      </c>
      <c r="CX416">
        <f>IF($CQ416=0,0,IF(CS416=CN416,1,0))</f>
        <v/>
      </c>
      <c r="CY416">
        <f>IF($CQ416=0,0,IF(CR416=CM416,1,0))</f>
        <v/>
      </c>
      <c r="CZ416">
        <f>IF($A416="","",IF(AND(IF(DASHBOARD!$C$4="All",TRUE,$CM416=DASHBOARD!$C$4),IF(DASHBOARD!$C$6="All",TRUE,$CP416=DASHBOARD!$C$6),IF(DASHBOARD!$C$8="All",TRUE,$AF416&gt;=DASHBOARD!$C$8),IF(DASHBOARD!$C$10="All",TRUE,$AF416&lt;=DASHBOARD!$C$10),IF(DASHBOARD!$C$12="All",TRUE,$AH416=VALUE(DASHBOARD!$C$12)),IF(DASHBOARD!$C$14="All",TRUE,$AJ416=DASHBOARD!$C$14)),1,0))</f>
        <v/>
      </c>
    </row>
    <row r="417">
      <c r="A417" t="n">
        <v>201976</v>
      </c>
      <c r="B417" t="inlineStr">
        <is>
          <t>Face Malai</t>
        </is>
      </c>
      <c r="H417" t="inlineStr">
        <is>
          <t>Clove Tea-Tree (Anti-Acne) Face Malai</t>
        </is>
      </c>
      <c r="N417" t="inlineStr">
        <is>
          <t>FC-DM-AA-030</t>
        </is>
      </c>
      <c r="T417" t="inlineStr">
        <is>
          <t>Nov 17, 2024</t>
        </is>
      </c>
      <c r="AE417" t="inlineStr">
        <is>
          <t>Pune</t>
        </is>
      </c>
      <c r="AF417" t="inlineStr">
        <is>
          <t>2024-11</t>
        </is>
      </c>
      <c r="AG417" t="n">
        <v>11</v>
      </c>
      <c r="AH417" t="n">
        <v>1</v>
      </c>
      <c r="AI417" t="n">
        <v>0</v>
      </c>
      <c r="AJ417">
        <f>IF($AE417="","",IFERROR(VLOOKUP(TRIM($AE417),DECODE!$H$3:$I$60,2,FALSE),"Rest of India"))</f>
        <v/>
      </c>
      <c r="AK417">
        <f>IF($N417="","",UPPER(TRIM(LEFT($N417&amp;",",FIND(",",$N417&amp;",")-1))))</f>
        <v/>
      </c>
      <c r="AL417">
        <f>IF($AK417="","",MID($AK417,4,FIND("~",SUBSTITUTE($AK417,"-","~",2))-4))</f>
        <v/>
      </c>
      <c r="AM417">
        <f>IF($AK417="","",MID($AK417,FIND("~",SUBSTITUTE($AK417,"-","~",2))+1,FIND("~",SUBSTITUTE($AK417,"-","~",3))-FIND("~",SUBSTITUTE($AK417,"-","~",2))-1))</f>
        <v/>
      </c>
      <c r="AN417">
        <f>IF($AL417="","",IFERROR(VLOOKUP($AL417,DECODE!$A$3:$C$8,3,FALSE),"?"))</f>
        <v/>
      </c>
      <c r="AO417">
        <f>IF($AM417="","",IFERROR(VLOOKUP($AL417&amp;"-"&amp;$AM417,DECODE!$E$3:$F$21,2,FALSE),"?"))</f>
        <v/>
      </c>
      <c r="AP417">
        <f>IF($AK417="","",IFERROR(VALUE(RIGHT($AK417,3)),""))</f>
        <v/>
      </c>
      <c r="AQ417">
        <f>IF($T417="","",IFERROR(IF(ISNUMBER($T417),$T417,DATEVALUE(TRIM($T417))),""))</f>
        <v/>
      </c>
      <c r="AR417">
        <f>IF($AQ417="","",IF(MONTH($AQ417)&gt;=12,"Cold Winter",IF(MONTH($AQ417)&gt;=10,"Post-Monsoon",IF(MONTH($AQ417)&gt;=6,"Hot Humid",IF(MONTH($AQ417)&gt;=3,"Hot Dry","Cold Winter")))))</f>
        <v/>
      </c>
      <c r="AS417">
        <f>IF($AL417="","",IFERROR(VLOOKUP($AL417,DECODE!$A$3:$C$8,2,FALSE),"?"))</f>
        <v/>
      </c>
      <c r="AT417">
        <f>IF($O417="","",UPPER(TRIM(LEFT($O417&amp;",",FIND(",",$O417&amp;",")-1))))</f>
        <v/>
      </c>
      <c r="AU417">
        <f>IF($AT417="","",MID($AT417,4,FIND("~",SUBSTITUTE($AT417,"-","~",2))-4))</f>
        <v/>
      </c>
      <c r="AV417">
        <f>IF($AT417="","",MID($AT417,FIND("~",SUBSTITUTE($AT417,"-","~",2))+1,FIND("~",SUBSTITUTE($AT417,"-","~",3))-FIND("~",SUBSTITUTE($AT417,"-","~",2))-1))</f>
        <v/>
      </c>
      <c r="AW417">
        <f>IF($AU417="","",IFERROR(VLOOKUP($AU417,DECODE!$A$3:$C$8,3,FALSE),"?"))</f>
        <v/>
      </c>
      <c r="AX417">
        <f>IF($AV417="","",IFERROR(VLOOKUP($AU417&amp;"-"&amp;$AV417,DECODE!$E$3:$F$21,2,FALSE),"?"))</f>
        <v/>
      </c>
      <c r="AY417">
        <f>IF($AT417="","",IFERROR(VALUE(RIGHT($AT417,3)),""))</f>
        <v/>
      </c>
      <c r="AZ417">
        <f>IF($U417="","",IFERROR(IF(ISNUMBER($U417),$U417,DATEVALUE(TRIM($U417))),""))</f>
        <v/>
      </c>
      <c r="BA417">
        <f>IF($AZ417="","",IF(MONTH($AZ417)&gt;=12,"Cold Winter",IF(MONTH($AZ417)&gt;=10,"Post-Monsoon",IF(MONTH($AZ417)&gt;=6,"Hot Humid",IF(MONTH($AZ417)&gt;=3,"Hot Dry","Cold Winter")))))</f>
        <v/>
      </c>
      <c r="BB417">
        <f>IF($AU417="","",IFERROR(VLOOKUP($AU417,DECODE!$A$3:$C$8,2,FALSE),"?"))</f>
        <v/>
      </c>
      <c r="BC417">
        <f>IF($P417="","",UPPER(TRIM(LEFT($P417&amp;",",FIND(",",$P417&amp;",")-1))))</f>
        <v/>
      </c>
      <c r="BD417">
        <f>IF($BC417="","",MID($BC417,4,FIND("~",SUBSTITUTE($BC417,"-","~",2))-4))</f>
        <v/>
      </c>
      <c r="BE417">
        <f>IF($BC417="","",MID($BC417,FIND("~",SUBSTITUTE($BC417,"-","~",2))+1,FIND("~",SUBSTITUTE($BC417,"-","~",3))-FIND("~",SUBSTITUTE($BC417,"-","~",2))-1))</f>
        <v/>
      </c>
      <c r="BF417">
        <f>IF($BD417="","",IFERROR(VLOOKUP($BD417,DECODE!$A$3:$C$8,3,FALSE),"?"))</f>
        <v/>
      </c>
      <c r="BG417">
        <f>IF($BE417="","",IFERROR(VLOOKUP($BD417&amp;"-"&amp;$BE417,DECODE!$E$3:$F$21,2,FALSE),"?"))</f>
        <v/>
      </c>
      <c r="BH417">
        <f>IF($BC417="","",IFERROR(VALUE(RIGHT($BC417,3)),""))</f>
        <v/>
      </c>
      <c r="BI417">
        <f>IF($V417="","",IFERROR(IF(ISNUMBER($V417),$V417,DATEVALUE(TRIM($V417))),""))</f>
        <v/>
      </c>
      <c r="BJ417">
        <f>IF($BI417="","",IF(MONTH($BI417)&gt;=12,"Cold Winter",IF(MONTH($BI417)&gt;=10,"Post-Monsoon",IF(MONTH($BI417)&gt;=6,"Hot Humid",IF(MONTH($BI417)&gt;=3,"Hot Dry","Cold Winter")))))</f>
        <v/>
      </c>
      <c r="BK417">
        <f>IF($BD417="","",IFERROR(VLOOKUP($BD417,DECODE!$A$3:$C$8,2,FALSE),"?"))</f>
        <v/>
      </c>
      <c r="BL417">
        <f>IF($Q417="","",UPPER(TRIM(LEFT($Q417&amp;",",FIND(",",$Q417&amp;",")-1))))</f>
        <v/>
      </c>
      <c r="BM417">
        <f>IF($BL417="","",MID($BL417,4,FIND("~",SUBSTITUTE($BL417,"-","~",2))-4))</f>
        <v/>
      </c>
      <c r="BN417">
        <f>IF($BL417="","",MID($BL417,FIND("~",SUBSTITUTE($BL417,"-","~",2))+1,FIND("~",SUBSTITUTE($BL417,"-","~",3))-FIND("~",SUBSTITUTE($BL417,"-","~",2))-1))</f>
        <v/>
      </c>
      <c r="BO417">
        <f>IF($BM417="","",IFERROR(VLOOKUP($BM417,DECODE!$A$3:$C$8,3,FALSE),"?"))</f>
        <v/>
      </c>
      <c r="BP417">
        <f>IF($BN417="","",IFERROR(VLOOKUP($BM417&amp;"-"&amp;$BN417,DECODE!$E$3:$F$21,2,FALSE),"?"))</f>
        <v/>
      </c>
      <c r="BQ417">
        <f>IF($BL417="","",IFERROR(VALUE(RIGHT($BL417,3)),""))</f>
        <v/>
      </c>
      <c r="BR417">
        <f>IF($W417="","",IFERROR(IF(ISNUMBER($W417),$W417,DATEVALUE(TRIM($W417))),""))</f>
        <v/>
      </c>
      <c r="BS417">
        <f>IF($BR417="","",IF(MONTH($BR417)&gt;=12,"Cold Winter",IF(MONTH($BR417)&gt;=10,"Post-Monsoon",IF(MONTH($BR417)&gt;=6,"Hot Humid",IF(MONTH($BR417)&gt;=3,"Hot Dry","Cold Winter")))))</f>
        <v/>
      </c>
      <c r="BT417">
        <f>IF($BM417="","",IFERROR(VLOOKUP($BM417,DECODE!$A$3:$C$8,2,FALSE),"?"))</f>
        <v/>
      </c>
      <c r="BU417">
        <f>IF($R417="","",UPPER(TRIM(LEFT($R417&amp;",",FIND(",",$R417&amp;",")-1))))</f>
        <v/>
      </c>
      <c r="BV417">
        <f>IF($BU417="","",MID($BU417,4,FIND("~",SUBSTITUTE($BU417,"-","~",2))-4))</f>
        <v/>
      </c>
      <c r="BW417">
        <f>IF($BU417="","",MID($BU417,FIND("~",SUBSTITUTE($BU417,"-","~",2))+1,FIND("~",SUBSTITUTE($BU417,"-","~",3))-FIND("~",SUBSTITUTE($BU417,"-","~",2))-1))</f>
        <v/>
      </c>
      <c r="BX417">
        <f>IF($BV417="","",IFERROR(VLOOKUP($BV417,DECODE!$A$3:$C$8,3,FALSE),"?"))</f>
        <v/>
      </c>
      <c r="BY417">
        <f>IF($BW417="","",IFERROR(VLOOKUP($BV417&amp;"-"&amp;$BW417,DECODE!$E$3:$F$21,2,FALSE),"?"))</f>
        <v/>
      </c>
      <c r="BZ417">
        <f>IF($BU417="","",IFERROR(VALUE(RIGHT($BU417,3)),""))</f>
        <v/>
      </c>
      <c r="CA417">
        <f>IF($X417="","",IFERROR(IF(ISNUMBER($X417),$X417,DATEVALUE(TRIM($X417))),""))</f>
        <v/>
      </c>
      <c r="CB417">
        <f>IF($CA417="","",IF(MONTH($CA417)&gt;=12,"Cold Winter",IF(MONTH($CA417)&gt;=10,"Post-Monsoon",IF(MONTH($CA417)&gt;=6,"Hot Humid",IF(MONTH($CA417)&gt;=3,"Hot Dry","Cold Winter")))))</f>
        <v/>
      </c>
      <c r="CC417">
        <f>IF($BV417="","",IFERROR(VLOOKUP($BV417,DECODE!$A$3:$C$8,2,FALSE),"?"))</f>
        <v/>
      </c>
      <c r="CD417">
        <f>IF($S417="","",UPPER(TRIM(LEFT($S417&amp;",",FIND(",",$S417&amp;",")-1))))</f>
        <v/>
      </c>
      <c r="CE417">
        <f>IF($CD417="","",MID($CD417,4,FIND("~",SUBSTITUTE($CD417,"-","~",2))-4))</f>
        <v/>
      </c>
      <c r="CF417">
        <f>IF($CD417="","",MID($CD417,FIND("~",SUBSTITUTE($CD417,"-","~",2))+1,FIND("~",SUBSTITUTE($CD417,"-","~",3))-FIND("~",SUBSTITUTE($CD417,"-","~",2))-1))</f>
        <v/>
      </c>
      <c r="CG417">
        <f>IF($CE417="","",IFERROR(VLOOKUP($CE417,DECODE!$A$3:$C$8,3,FALSE),"?"))</f>
        <v/>
      </c>
      <c r="CH417">
        <f>IF($CF417="","",IFERROR(VLOOKUP($CE417&amp;"-"&amp;$CF417,DECODE!$E$3:$F$21,2,FALSE),"?"))</f>
        <v/>
      </c>
      <c r="CI417">
        <f>IF($CD417="","",IFERROR(VALUE(RIGHT($CD417,3)),""))</f>
        <v/>
      </c>
      <c r="CJ417">
        <f>IF($Y417="","",IFERROR(IF(ISNUMBER($Y417),$Y417,DATEVALUE(TRIM($Y417))),""))</f>
        <v/>
      </c>
      <c r="CK417">
        <f>IF($CJ417="","",IF(MONTH($CJ417)&gt;=12,"Cold Winter",IF(MONTH($CJ417)&gt;=10,"Post-Monsoon",IF(MONTH($CJ417)&gt;=6,"Hot Humid",IF(MONTH($CJ417)&gt;=3,"Hot Dry","Cold Winter")))))</f>
        <v/>
      </c>
      <c r="CL417">
        <f>IF($CE417="","",IFERROR(VLOOKUP($CE417,DECODE!$A$3:$C$8,2,FALSE),"?"))</f>
        <v/>
      </c>
      <c r="CM417">
        <f>IF($AN417="","",AN417)</f>
        <v/>
      </c>
      <c r="CN417">
        <f>IF($AO417="","",AO417)</f>
        <v/>
      </c>
      <c r="CO417">
        <f>IF($AP417="","",AP417)</f>
        <v/>
      </c>
      <c r="CP417">
        <f>IF($CM417="","",IF($CM417="Aloe Vera Gel","Aloe Vera Gel "&amp;$CO417&amp;"g",CN417&amp;" "&amp;$CO417&amp;"g"))</f>
        <v/>
      </c>
      <c r="CQ417">
        <f>IF($AT417="",0,1)</f>
        <v/>
      </c>
      <c r="CR417">
        <f>IF($CQ417=0,"",AW417)</f>
        <v/>
      </c>
      <c r="CS417">
        <f>IF($CQ417=0,"",AX417)</f>
        <v/>
      </c>
      <c r="CT417">
        <f>IF($CQ417=0,"",AY417)</f>
        <v/>
      </c>
      <c r="CU417">
        <f>IF($CR417="","",IF($CR417="Aloe Vera Gel","Aloe Vera Gel "&amp;$CT417&amp;"g",CS417&amp;" "&amp;$CT417&amp;"g"))</f>
        <v/>
      </c>
      <c r="CV417">
        <f>IF($CQ417=0,"",IF($CP417=$CU417,"Repeat Exact",IF($CT417&gt;$CO417,"Upsized",IF($CT417&lt;$CO417,"Downsized",IF($CM417&lt;&gt;$CR417,"Lateral","Same Size Diff Variant")))))</f>
        <v/>
      </c>
      <c r="CW417">
        <f>IF($CQ417=0,"",AZ417-AQ417)</f>
        <v/>
      </c>
      <c r="CX417">
        <f>IF($CQ417=0,0,IF(CS417=CN417,1,0))</f>
        <v/>
      </c>
      <c r="CY417">
        <f>IF($CQ417=0,0,IF(CR417=CM417,1,0))</f>
        <v/>
      </c>
      <c r="CZ417">
        <f>IF($A417="","",IF(AND(IF(DASHBOARD!$C$4="All",TRUE,$CM417=DASHBOARD!$C$4),IF(DASHBOARD!$C$6="All",TRUE,$CP417=DASHBOARD!$C$6),IF(DASHBOARD!$C$8="All",TRUE,$AF417&gt;=DASHBOARD!$C$8),IF(DASHBOARD!$C$10="All",TRUE,$AF417&lt;=DASHBOARD!$C$10),IF(DASHBOARD!$C$12="All",TRUE,$AH417=VALUE(DASHBOARD!$C$12)),IF(DASHBOARD!$C$14="All",TRUE,$AJ417=DASHBOARD!$C$14)),1,0))</f>
        <v/>
      </c>
    </row>
    <row r="418">
      <c r="A418" t="n">
        <v>202061</v>
      </c>
      <c r="B418" t="inlineStr">
        <is>
          <t>Face Malai</t>
        </is>
      </c>
      <c r="H418" t="inlineStr">
        <is>
          <t>Flax Bakuchi (Hot Dry) 35+ Face Malai - 30g</t>
        </is>
      </c>
      <c r="N418" t="inlineStr">
        <is>
          <t>FC-HDDM-FB-030</t>
        </is>
      </c>
      <c r="T418" t="inlineStr">
        <is>
          <t>May 9, 2024</t>
        </is>
      </c>
      <c r="AE418" t="inlineStr">
        <is>
          <t>Sangrur</t>
        </is>
      </c>
      <c r="AF418" t="inlineStr">
        <is>
          <t>2024-05</t>
        </is>
      </c>
      <c r="AG418" t="n">
        <v>5</v>
      </c>
      <c r="AH418" t="n">
        <v>1</v>
      </c>
      <c r="AI418" t="n">
        <v>0</v>
      </c>
      <c r="AJ418">
        <f>IF($AE418="","",IFERROR(VLOOKUP(TRIM($AE418),DECODE!$H$3:$I$60,2,FALSE),"Rest of India"))</f>
        <v/>
      </c>
      <c r="AK418">
        <f>IF($N418="","",UPPER(TRIM(LEFT($N418&amp;",",FIND(",",$N418&amp;",")-1))))</f>
        <v/>
      </c>
      <c r="AL418">
        <f>IF($AK418="","",MID($AK418,4,FIND("~",SUBSTITUTE($AK418,"-","~",2))-4))</f>
        <v/>
      </c>
      <c r="AM418">
        <f>IF($AK418="","",MID($AK418,FIND("~",SUBSTITUTE($AK418,"-","~",2))+1,FIND("~",SUBSTITUTE($AK418,"-","~",3))-FIND("~",SUBSTITUTE($AK418,"-","~",2))-1))</f>
        <v/>
      </c>
      <c r="AN418">
        <f>IF($AL418="","",IFERROR(VLOOKUP($AL418,DECODE!$A$3:$C$8,3,FALSE),"?"))</f>
        <v/>
      </c>
      <c r="AO418">
        <f>IF($AM418="","",IFERROR(VLOOKUP($AL418&amp;"-"&amp;$AM418,DECODE!$E$3:$F$21,2,FALSE),"?"))</f>
        <v/>
      </c>
      <c r="AP418">
        <f>IF($AK418="","",IFERROR(VALUE(RIGHT($AK418,3)),""))</f>
        <v/>
      </c>
      <c r="AQ418">
        <f>IF($T418="","",IFERROR(IF(ISNUMBER($T418),$T418,DATEVALUE(TRIM($T418))),""))</f>
        <v/>
      </c>
      <c r="AR418">
        <f>IF($AQ418="","",IF(MONTH($AQ418)&gt;=12,"Cold Winter",IF(MONTH($AQ418)&gt;=10,"Post-Monsoon",IF(MONTH($AQ418)&gt;=6,"Hot Humid",IF(MONTH($AQ418)&gt;=3,"Hot Dry","Cold Winter")))))</f>
        <v/>
      </c>
      <c r="AS418">
        <f>IF($AL418="","",IFERROR(VLOOKUP($AL418,DECODE!$A$3:$C$8,2,FALSE),"?"))</f>
        <v/>
      </c>
      <c r="AT418">
        <f>IF($O418="","",UPPER(TRIM(LEFT($O418&amp;",",FIND(",",$O418&amp;",")-1))))</f>
        <v/>
      </c>
      <c r="AU418">
        <f>IF($AT418="","",MID($AT418,4,FIND("~",SUBSTITUTE($AT418,"-","~",2))-4))</f>
        <v/>
      </c>
      <c r="AV418">
        <f>IF($AT418="","",MID($AT418,FIND("~",SUBSTITUTE($AT418,"-","~",2))+1,FIND("~",SUBSTITUTE($AT418,"-","~",3))-FIND("~",SUBSTITUTE($AT418,"-","~",2))-1))</f>
        <v/>
      </c>
      <c r="AW418">
        <f>IF($AU418="","",IFERROR(VLOOKUP($AU418,DECODE!$A$3:$C$8,3,FALSE),"?"))</f>
        <v/>
      </c>
      <c r="AX418">
        <f>IF($AV418="","",IFERROR(VLOOKUP($AU418&amp;"-"&amp;$AV418,DECODE!$E$3:$F$21,2,FALSE),"?"))</f>
        <v/>
      </c>
      <c r="AY418">
        <f>IF($AT418="","",IFERROR(VALUE(RIGHT($AT418,3)),""))</f>
        <v/>
      </c>
      <c r="AZ418">
        <f>IF($U418="","",IFERROR(IF(ISNUMBER($U418),$U418,DATEVALUE(TRIM($U418))),""))</f>
        <v/>
      </c>
      <c r="BA418">
        <f>IF($AZ418="","",IF(MONTH($AZ418)&gt;=12,"Cold Winter",IF(MONTH($AZ418)&gt;=10,"Post-Monsoon",IF(MONTH($AZ418)&gt;=6,"Hot Humid",IF(MONTH($AZ418)&gt;=3,"Hot Dry","Cold Winter")))))</f>
        <v/>
      </c>
      <c r="BB418">
        <f>IF($AU418="","",IFERROR(VLOOKUP($AU418,DECODE!$A$3:$C$8,2,FALSE),"?"))</f>
        <v/>
      </c>
      <c r="BC418">
        <f>IF($P418="","",UPPER(TRIM(LEFT($P418&amp;",",FIND(",",$P418&amp;",")-1))))</f>
        <v/>
      </c>
      <c r="BD418">
        <f>IF($BC418="","",MID($BC418,4,FIND("~",SUBSTITUTE($BC418,"-","~",2))-4))</f>
        <v/>
      </c>
      <c r="BE418">
        <f>IF($BC418="","",MID($BC418,FIND("~",SUBSTITUTE($BC418,"-","~",2))+1,FIND("~",SUBSTITUTE($BC418,"-","~",3))-FIND("~",SUBSTITUTE($BC418,"-","~",2))-1))</f>
        <v/>
      </c>
      <c r="BF418">
        <f>IF($BD418="","",IFERROR(VLOOKUP($BD418,DECODE!$A$3:$C$8,3,FALSE),"?"))</f>
        <v/>
      </c>
      <c r="BG418">
        <f>IF($BE418="","",IFERROR(VLOOKUP($BD418&amp;"-"&amp;$BE418,DECODE!$E$3:$F$21,2,FALSE),"?"))</f>
        <v/>
      </c>
      <c r="BH418">
        <f>IF($BC418="","",IFERROR(VALUE(RIGHT($BC418,3)),""))</f>
        <v/>
      </c>
      <c r="BI418">
        <f>IF($V418="","",IFERROR(IF(ISNUMBER($V418),$V418,DATEVALUE(TRIM($V418))),""))</f>
        <v/>
      </c>
      <c r="BJ418">
        <f>IF($BI418="","",IF(MONTH($BI418)&gt;=12,"Cold Winter",IF(MONTH($BI418)&gt;=10,"Post-Monsoon",IF(MONTH($BI418)&gt;=6,"Hot Humid",IF(MONTH($BI418)&gt;=3,"Hot Dry","Cold Winter")))))</f>
        <v/>
      </c>
      <c r="BK418">
        <f>IF($BD418="","",IFERROR(VLOOKUP($BD418,DECODE!$A$3:$C$8,2,FALSE),"?"))</f>
        <v/>
      </c>
      <c r="BL418">
        <f>IF($Q418="","",UPPER(TRIM(LEFT($Q418&amp;",",FIND(",",$Q418&amp;",")-1))))</f>
        <v/>
      </c>
      <c r="BM418">
        <f>IF($BL418="","",MID($BL418,4,FIND("~",SUBSTITUTE($BL418,"-","~",2))-4))</f>
        <v/>
      </c>
      <c r="BN418">
        <f>IF($BL418="","",MID($BL418,FIND("~",SUBSTITUTE($BL418,"-","~",2))+1,FIND("~",SUBSTITUTE($BL418,"-","~",3))-FIND("~",SUBSTITUTE($BL418,"-","~",2))-1))</f>
        <v/>
      </c>
      <c r="BO418">
        <f>IF($BM418="","",IFERROR(VLOOKUP($BM418,DECODE!$A$3:$C$8,3,FALSE),"?"))</f>
        <v/>
      </c>
      <c r="BP418">
        <f>IF($BN418="","",IFERROR(VLOOKUP($BM418&amp;"-"&amp;$BN418,DECODE!$E$3:$F$21,2,FALSE),"?"))</f>
        <v/>
      </c>
      <c r="BQ418">
        <f>IF($BL418="","",IFERROR(VALUE(RIGHT($BL418,3)),""))</f>
        <v/>
      </c>
      <c r="BR418">
        <f>IF($W418="","",IFERROR(IF(ISNUMBER($W418),$W418,DATEVALUE(TRIM($W418))),""))</f>
        <v/>
      </c>
      <c r="BS418">
        <f>IF($BR418="","",IF(MONTH($BR418)&gt;=12,"Cold Winter",IF(MONTH($BR418)&gt;=10,"Post-Monsoon",IF(MONTH($BR418)&gt;=6,"Hot Humid",IF(MONTH($BR418)&gt;=3,"Hot Dry","Cold Winter")))))</f>
        <v/>
      </c>
      <c r="BT418">
        <f>IF($BM418="","",IFERROR(VLOOKUP($BM418,DECODE!$A$3:$C$8,2,FALSE),"?"))</f>
        <v/>
      </c>
      <c r="BU418">
        <f>IF($R418="","",UPPER(TRIM(LEFT($R418&amp;",",FIND(",",$R418&amp;",")-1))))</f>
        <v/>
      </c>
      <c r="BV418">
        <f>IF($BU418="","",MID($BU418,4,FIND("~",SUBSTITUTE($BU418,"-","~",2))-4))</f>
        <v/>
      </c>
      <c r="BW418">
        <f>IF($BU418="","",MID($BU418,FIND("~",SUBSTITUTE($BU418,"-","~",2))+1,FIND("~",SUBSTITUTE($BU418,"-","~",3))-FIND("~",SUBSTITUTE($BU418,"-","~",2))-1))</f>
        <v/>
      </c>
      <c r="BX418">
        <f>IF($BV418="","",IFERROR(VLOOKUP($BV418,DECODE!$A$3:$C$8,3,FALSE),"?"))</f>
        <v/>
      </c>
      <c r="BY418">
        <f>IF($BW418="","",IFERROR(VLOOKUP($BV418&amp;"-"&amp;$BW418,DECODE!$E$3:$F$21,2,FALSE),"?"))</f>
        <v/>
      </c>
      <c r="BZ418">
        <f>IF($BU418="","",IFERROR(VALUE(RIGHT($BU418,3)),""))</f>
        <v/>
      </c>
      <c r="CA418">
        <f>IF($X418="","",IFERROR(IF(ISNUMBER($X418),$X418,DATEVALUE(TRIM($X418))),""))</f>
        <v/>
      </c>
      <c r="CB418">
        <f>IF($CA418="","",IF(MONTH($CA418)&gt;=12,"Cold Winter",IF(MONTH($CA418)&gt;=10,"Post-Monsoon",IF(MONTH($CA418)&gt;=6,"Hot Humid",IF(MONTH($CA418)&gt;=3,"Hot Dry","Cold Winter")))))</f>
        <v/>
      </c>
      <c r="CC418">
        <f>IF($BV418="","",IFERROR(VLOOKUP($BV418,DECODE!$A$3:$C$8,2,FALSE),"?"))</f>
        <v/>
      </c>
      <c r="CD418">
        <f>IF($S418="","",UPPER(TRIM(LEFT($S418&amp;",",FIND(",",$S418&amp;",")-1))))</f>
        <v/>
      </c>
      <c r="CE418">
        <f>IF($CD418="","",MID($CD418,4,FIND("~",SUBSTITUTE($CD418,"-","~",2))-4))</f>
        <v/>
      </c>
      <c r="CF418">
        <f>IF($CD418="","",MID($CD418,FIND("~",SUBSTITUTE($CD418,"-","~",2))+1,FIND("~",SUBSTITUTE($CD418,"-","~",3))-FIND("~",SUBSTITUTE($CD418,"-","~",2))-1))</f>
        <v/>
      </c>
      <c r="CG418">
        <f>IF($CE418="","",IFERROR(VLOOKUP($CE418,DECODE!$A$3:$C$8,3,FALSE),"?"))</f>
        <v/>
      </c>
      <c r="CH418">
        <f>IF($CF418="","",IFERROR(VLOOKUP($CE418&amp;"-"&amp;$CF418,DECODE!$E$3:$F$21,2,FALSE),"?"))</f>
        <v/>
      </c>
      <c r="CI418">
        <f>IF($CD418="","",IFERROR(VALUE(RIGHT($CD418,3)),""))</f>
        <v/>
      </c>
      <c r="CJ418">
        <f>IF($Y418="","",IFERROR(IF(ISNUMBER($Y418),$Y418,DATEVALUE(TRIM($Y418))),""))</f>
        <v/>
      </c>
      <c r="CK418">
        <f>IF($CJ418="","",IF(MONTH($CJ418)&gt;=12,"Cold Winter",IF(MONTH($CJ418)&gt;=10,"Post-Monsoon",IF(MONTH($CJ418)&gt;=6,"Hot Humid",IF(MONTH($CJ418)&gt;=3,"Hot Dry","Cold Winter")))))</f>
        <v/>
      </c>
      <c r="CL418">
        <f>IF($CE418="","",IFERROR(VLOOKUP($CE418,DECODE!$A$3:$C$8,2,FALSE),"?"))</f>
        <v/>
      </c>
      <c r="CM418">
        <f>IF($AN418="","",AN418)</f>
        <v/>
      </c>
      <c r="CN418">
        <f>IF($AO418="","",AO418)</f>
        <v/>
      </c>
      <c r="CO418">
        <f>IF($AP418="","",AP418)</f>
        <v/>
      </c>
      <c r="CP418">
        <f>IF($CM418="","",IF($CM418="Aloe Vera Gel","Aloe Vera Gel "&amp;$CO418&amp;"g",CN418&amp;" "&amp;$CO418&amp;"g"))</f>
        <v/>
      </c>
      <c r="CQ418">
        <f>IF($AT418="",0,1)</f>
        <v/>
      </c>
      <c r="CR418">
        <f>IF($CQ418=0,"",AW418)</f>
        <v/>
      </c>
      <c r="CS418">
        <f>IF($CQ418=0,"",AX418)</f>
        <v/>
      </c>
      <c r="CT418">
        <f>IF($CQ418=0,"",AY418)</f>
        <v/>
      </c>
      <c r="CU418">
        <f>IF($CR418="","",IF($CR418="Aloe Vera Gel","Aloe Vera Gel "&amp;$CT418&amp;"g",CS418&amp;" "&amp;$CT418&amp;"g"))</f>
        <v/>
      </c>
      <c r="CV418">
        <f>IF($CQ418=0,"",IF($CP418=$CU418,"Repeat Exact",IF($CT418&gt;$CO418,"Upsized",IF($CT418&lt;$CO418,"Downsized",IF($CM418&lt;&gt;$CR418,"Lateral","Same Size Diff Variant")))))</f>
        <v/>
      </c>
      <c r="CW418">
        <f>IF($CQ418=0,"",AZ418-AQ418)</f>
        <v/>
      </c>
      <c r="CX418">
        <f>IF($CQ418=0,0,IF(CS418=CN418,1,0))</f>
        <v/>
      </c>
      <c r="CY418">
        <f>IF($CQ418=0,0,IF(CR418=CM418,1,0))</f>
        <v/>
      </c>
      <c r="CZ418">
        <f>IF($A418="","",IF(AND(IF(DASHBOARD!$C$4="All",TRUE,$CM418=DASHBOARD!$C$4),IF(DASHBOARD!$C$6="All",TRUE,$CP418=DASHBOARD!$C$6),IF(DASHBOARD!$C$8="All",TRUE,$AF418&gt;=DASHBOARD!$C$8),IF(DASHBOARD!$C$10="All",TRUE,$AF418&lt;=DASHBOARD!$C$10),IF(DASHBOARD!$C$12="All",TRUE,$AH418=VALUE(DASHBOARD!$C$12)),IF(DASHBOARD!$C$14="All",TRUE,$AJ418=DASHBOARD!$C$14)),1,0))</f>
        <v/>
      </c>
    </row>
    <row r="419">
      <c r="A419" t="n">
        <v>202449</v>
      </c>
      <c r="B419" t="inlineStr">
        <is>
          <t>Active Gel, Face Malai</t>
        </is>
      </c>
      <c r="C419" t="inlineStr">
        <is>
          <t>Face Malai</t>
        </is>
      </c>
      <c r="D419" t="inlineStr">
        <is>
          <t>Aloe Vera Gel</t>
        </is>
      </c>
      <c r="H419" t="inlineStr">
        <is>
          <t>Flax Bakuchi (Hot Dry) 35+ Face Malai - 30g, Active Orange Kiwi Vit-C Gel</t>
        </is>
      </c>
      <c r="I419" t="inlineStr">
        <is>
          <t>Flax Carrot (Hot Humid) 35+ Face Malai - 30g</t>
        </is>
      </c>
      <c r="J419" t="inlineStr">
        <is>
          <t>Aloe Vera Gel - 40 gms</t>
        </is>
      </c>
      <c r="N419" t="inlineStr">
        <is>
          <t>FC-HDDM-FB-030, FC-AC-OK-050</t>
        </is>
      </c>
      <c r="O419" t="inlineStr">
        <is>
          <t>FC-HHDM-FC-030</t>
        </is>
      </c>
      <c r="P419" t="inlineStr">
        <is>
          <t>FC-HG-PA-040</t>
        </is>
      </c>
      <c r="T419" t="inlineStr">
        <is>
          <t>May 15, 2024</t>
        </is>
      </c>
      <c r="U419" t="inlineStr">
        <is>
          <t>Oct 8, 2024</t>
        </is>
      </c>
      <c r="V419" t="inlineStr">
        <is>
          <t>Jan 1, 2025</t>
        </is>
      </c>
      <c r="Z419" t="n">
        <v>146</v>
      </c>
      <c r="AA419" t="n">
        <v>85</v>
      </c>
      <c r="AE419" t="inlineStr">
        <is>
          <t>Tirupur</t>
        </is>
      </c>
      <c r="AF419" t="inlineStr">
        <is>
          <t>2024-05</t>
        </is>
      </c>
      <c r="AG419" t="n">
        <v>5</v>
      </c>
      <c r="AH419" t="n">
        <v>3</v>
      </c>
      <c r="AI419" t="n">
        <v>1</v>
      </c>
      <c r="AJ419">
        <f>IF($AE419="","",IFERROR(VLOOKUP(TRIM($AE419),DECODE!$H$3:$I$60,2,FALSE),"Rest of India"))</f>
        <v/>
      </c>
      <c r="AK419">
        <f>IF($N419="","",UPPER(TRIM(LEFT($N419&amp;",",FIND(",",$N419&amp;",")-1))))</f>
        <v/>
      </c>
      <c r="AL419">
        <f>IF($AK419="","",MID($AK419,4,FIND("~",SUBSTITUTE($AK419,"-","~",2))-4))</f>
        <v/>
      </c>
      <c r="AM419">
        <f>IF($AK419="","",MID($AK419,FIND("~",SUBSTITUTE($AK419,"-","~",2))+1,FIND("~",SUBSTITUTE($AK419,"-","~",3))-FIND("~",SUBSTITUTE($AK419,"-","~",2))-1))</f>
        <v/>
      </c>
      <c r="AN419">
        <f>IF($AL419="","",IFERROR(VLOOKUP($AL419,DECODE!$A$3:$C$8,3,FALSE),"?"))</f>
        <v/>
      </c>
      <c r="AO419">
        <f>IF($AM419="","",IFERROR(VLOOKUP($AL419&amp;"-"&amp;$AM419,DECODE!$E$3:$F$21,2,FALSE),"?"))</f>
        <v/>
      </c>
      <c r="AP419">
        <f>IF($AK419="","",IFERROR(VALUE(RIGHT($AK419,3)),""))</f>
        <v/>
      </c>
      <c r="AQ419">
        <f>IF($T419="","",IFERROR(IF(ISNUMBER($T419),$T419,DATEVALUE(TRIM($T419))),""))</f>
        <v/>
      </c>
      <c r="AR419">
        <f>IF($AQ419="","",IF(MONTH($AQ419)&gt;=12,"Cold Winter",IF(MONTH($AQ419)&gt;=10,"Post-Monsoon",IF(MONTH($AQ419)&gt;=6,"Hot Humid",IF(MONTH($AQ419)&gt;=3,"Hot Dry","Cold Winter")))))</f>
        <v/>
      </c>
      <c r="AS419">
        <f>IF($AL419="","",IFERROR(VLOOKUP($AL419,DECODE!$A$3:$C$8,2,FALSE),"?"))</f>
        <v/>
      </c>
      <c r="AT419">
        <f>IF($O419="","",UPPER(TRIM(LEFT($O419&amp;",",FIND(",",$O419&amp;",")-1))))</f>
        <v/>
      </c>
      <c r="AU419">
        <f>IF($AT419="","",MID($AT419,4,FIND("~",SUBSTITUTE($AT419,"-","~",2))-4))</f>
        <v/>
      </c>
      <c r="AV419">
        <f>IF($AT419="","",MID($AT419,FIND("~",SUBSTITUTE($AT419,"-","~",2))+1,FIND("~",SUBSTITUTE($AT419,"-","~",3))-FIND("~",SUBSTITUTE($AT419,"-","~",2))-1))</f>
        <v/>
      </c>
      <c r="AW419">
        <f>IF($AU419="","",IFERROR(VLOOKUP($AU419,DECODE!$A$3:$C$8,3,FALSE),"?"))</f>
        <v/>
      </c>
      <c r="AX419">
        <f>IF($AV419="","",IFERROR(VLOOKUP($AU419&amp;"-"&amp;$AV419,DECODE!$E$3:$F$21,2,FALSE),"?"))</f>
        <v/>
      </c>
      <c r="AY419">
        <f>IF($AT419="","",IFERROR(VALUE(RIGHT($AT419,3)),""))</f>
        <v/>
      </c>
      <c r="AZ419">
        <f>IF($U419="","",IFERROR(IF(ISNUMBER($U419),$U419,DATEVALUE(TRIM($U419))),""))</f>
        <v/>
      </c>
      <c r="BA419">
        <f>IF($AZ419="","",IF(MONTH($AZ419)&gt;=12,"Cold Winter",IF(MONTH($AZ419)&gt;=10,"Post-Monsoon",IF(MONTH($AZ419)&gt;=6,"Hot Humid",IF(MONTH($AZ419)&gt;=3,"Hot Dry","Cold Winter")))))</f>
        <v/>
      </c>
      <c r="BB419">
        <f>IF($AU419="","",IFERROR(VLOOKUP($AU419,DECODE!$A$3:$C$8,2,FALSE),"?"))</f>
        <v/>
      </c>
      <c r="BC419">
        <f>IF($P419="","",UPPER(TRIM(LEFT($P419&amp;",",FIND(",",$P419&amp;",")-1))))</f>
        <v/>
      </c>
      <c r="BD419">
        <f>IF($BC419="","",MID($BC419,4,FIND("~",SUBSTITUTE($BC419,"-","~",2))-4))</f>
        <v/>
      </c>
      <c r="BE419">
        <f>IF($BC419="","",MID($BC419,FIND("~",SUBSTITUTE($BC419,"-","~",2))+1,FIND("~",SUBSTITUTE($BC419,"-","~",3))-FIND("~",SUBSTITUTE($BC419,"-","~",2))-1))</f>
        <v/>
      </c>
      <c r="BF419">
        <f>IF($BD419="","",IFERROR(VLOOKUP($BD419,DECODE!$A$3:$C$8,3,FALSE),"?"))</f>
        <v/>
      </c>
      <c r="BG419">
        <f>IF($BE419="","",IFERROR(VLOOKUP($BD419&amp;"-"&amp;$BE419,DECODE!$E$3:$F$21,2,FALSE),"?"))</f>
        <v/>
      </c>
      <c r="BH419">
        <f>IF($BC419="","",IFERROR(VALUE(RIGHT($BC419,3)),""))</f>
        <v/>
      </c>
      <c r="BI419">
        <f>IF($V419="","",IFERROR(IF(ISNUMBER($V419),$V419,DATEVALUE(TRIM($V419))),""))</f>
        <v/>
      </c>
      <c r="BJ419">
        <f>IF($BI419="","",IF(MONTH($BI419)&gt;=12,"Cold Winter",IF(MONTH($BI419)&gt;=10,"Post-Monsoon",IF(MONTH($BI419)&gt;=6,"Hot Humid",IF(MONTH($BI419)&gt;=3,"Hot Dry","Cold Winter")))))</f>
        <v/>
      </c>
      <c r="BK419">
        <f>IF($BD419="","",IFERROR(VLOOKUP($BD419,DECODE!$A$3:$C$8,2,FALSE),"?"))</f>
        <v/>
      </c>
      <c r="BL419">
        <f>IF($Q419="","",UPPER(TRIM(LEFT($Q419&amp;",",FIND(",",$Q419&amp;",")-1))))</f>
        <v/>
      </c>
      <c r="BM419">
        <f>IF($BL419="","",MID($BL419,4,FIND("~",SUBSTITUTE($BL419,"-","~",2))-4))</f>
        <v/>
      </c>
      <c r="BN419">
        <f>IF($BL419="","",MID($BL419,FIND("~",SUBSTITUTE($BL419,"-","~",2))+1,FIND("~",SUBSTITUTE($BL419,"-","~",3))-FIND("~",SUBSTITUTE($BL419,"-","~",2))-1))</f>
        <v/>
      </c>
      <c r="BO419">
        <f>IF($BM419="","",IFERROR(VLOOKUP($BM419,DECODE!$A$3:$C$8,3,FALSE),"?"))</f>
        <v/>
      </c>
      <c r="BP419">
        <f>IF($BN419="","",IFERROR(VLOOKUP($BM419&amp;"-"&amp;$BN419,DECODE!$E$3:$F$21,2,FALSE),"?"))</f>
        <v/>
      </c>
      <c r="BQ419">
        <f>IF($BL419="","",IFERROR(VALUE(RIGHT($BL419,3)),""))</f>
        <v/>
      </c>
      <c r="BR419">
        <f>IF($W419="","",IFERROR(IF(ISNUMBER($W419),$W419,DATEVALUE(TRIM($W419))),""))</f>
        <v/>
      </c>
      <c r="BS419">
        <f>IF($BR419="","",IF(MONTH($BR419)&gt;=12,"Cold Winter",IF(MONTH($BR419)&gt;=10,"Post-Monsoon",IF(MONTH($BR419)&gt;=6,"Hot Humid",IF(MONTH($BR419)&gt;=3,"Hot Dry","Cold Winter")))))</f>
        <v/>
      </c>
      <c r="BT419">
        <f>IF($BM419="","",IFERROR(VLOOKUP($BM419,DECODE!$A$3:$C$8,2,FALSE),"?"))</f>
        <v/>
      </c>
      <c r="BU419">
        <f>IF($R419="","",UPPER(TRIM(LEFT($R419&amp;",",FIND(",",$R419&amp;",")-1))))</f>
        <v/>
      </c>
      <c r="BV419">
        <f>IF($BU419="","",MID($BU419,4,FIND("~",SUBSTITUTE($BU419,"-","~",2))-4))</f>
        <v/>
      </c>
      <c r="BW419">
        <f>IF($BU419="","",MID($BU419,FIND("~",SUBSTITUTE($BU419,"-","~",2))+1,FIND("~",SUBSTITUTE($BU419,"-","~",3))-FIND("~",SUBSTITUTE($BU419,"-","~",2))-1))</f>
        <v/>
      </c>
      <c r="BX419">
        <f>IF($BV419="","",IFERROR(VLOOKUP($BV419,DECODE!$A$3:$C$8,3,FALSE),"?"))</f>
        <v/>
      </c>
      <c r="BY419">
        <f>IF($BW419="","",IFERROR(VLOOKUP($BV419&amp;"-"&amp;$BW419,DECODE!$E$3:$F$21,2,FALSE),"?"))</f>
        <v/>
      </c>
      <c r="BZ419">
        <f>IF($BU419="","",IFERROR(VALUE(RIGHT($BU419,3)),""))</f>
        <v/>
      </c>
      <c r="CA419">
        <f>IF($X419="","",IFERROR(IF(ISNUMBER($X419),$X419,DATEVALUE(TRIM($X419))),""))</f>
        <v/>
      </c>
      <c r="CB419">
        <f>IF($CA419="","",IF(MONTH($CA419)&gt;=12,"Cold Winter",IF(MONTH($CA419)&gt;=10,"Post-Monsoon",IF(MONTH($CA419)&gt;=6,"Hot Humid",IF(MONTH($CA419)&gt;=3,"Hot Dry","Cold Winter")))))</f>
        <v/>
      </c>
      <c r="CC419">
        <f>IF($BV419="","",IFERROR(VLOOKUP($BV419,DECODE!$A$3:$C$8,2,FALSE),"?"))</f>
        <v/>
      </c>
      <c r="CD419">
        <f>IF($S419="","",UPPER(TRIM(LEFT($S419&amp;",",FIND(",",$S419&amp;",")-1))))</f>
        <v/>
      </c>
      <c r="CE419">
        <f>IF($CD419="","",MID($CD419,4,FIND("~",SUBSTITUTE($CD419,"-","~",2))-4))</f>
        <v/>
      </c>
      <c r="CF419">
        <f>IF($CD419="","",MID($CD419,FIND("~",SUBSTITUTE($CD419,"-","~",2))+1,FIND("~",SUBSTITUTE($CD419,"-","~",3))-FIND("~",SUBSTITUTE($CD419,"-","~",2))-1))</f>
        <v/>
      </c>
      <c r="CG419">
        <f>IF($CE419="","",IFERROR(VLOOKUP($CE419,DECODE!$A$3:$C$8,3,FALSE),"?"))</f>
        <v/>
      </c>
      <c r="CH419">
        <f>IF($CF419="","",IFERROR(VLOOKUP($CE419&amp;"-"&amp;$CF419,DECODE!$E$3:$F$21,2,FALSE),"?"))</f>
        <v/>
      </c>
      <c r="CI419">
        <f>IF($CD419="","",IFERROR(VALUE(RIGHT($CD419,3)),""))</f>
        <v/>
      </c>
      <c r="CJ419">
        <f>IF($Y419="","",IFERROR(IF(ISNUMBER($Y419),$Y419,DATEVALUE(TRIM($Y419))),""))</f>
        <v/>
      </c>
      <c r="CK419">
        <f>IF($CJ419="","",IF(MONTH($CJ419)&gt;=12,"Cold Winter",IF(MONTH($CJ419)&gt;=10,"Post-Monsoon",IF(MONTH($CJ419)&gt;=6,"Hot Humid",IF(MONTH($CJ419)&gt;=3,"Hot Dry","Cold Winter")))))</f>
        <v/>
      </c>
      <c r="CL419">
        <f>IF($CE419="","",IFERROR(VLOOKUP($CE419,DECODE!$A$3:$C$8,2,FALSE),"?"))</f>
        <v/>
      </c>
      <c r="CM419">
        <f>IF($AN419="","",AN419)</f>
        <v/>
      </c>
      <c r="CN419">
        <f>IF($AO419="","",AO419)</f>
        <v/>
      </c>
      <c r="CO419">
        <f>IF($AP419="","",AP419)</f>
        <v/>
      </c>
      <c r="CP419">
        <f>IF($CM419="","",IF($CM419="Aloe Vera Gel","Aloe Vera Gel "&amp;$CO419&amp;"g",CN419&amp;" "&amp;$CO419&amp;"g"))</f>
        <v/>
      </c>
      <c r="CQ419">
        <f>IF($AT419="",0,1)</f>
        <v/>
      </c>
      <c r="CR419">
        <f>IF($CQ419=0,"",AW419)</f>
        <v/>
      </c>
      <c r="CS419">
        <f>IF($CQ419=0,"",AX419)</f>
        <v/>
      </c>
      <c r="CT419">
        <f>IF($CQ419=0,"",AY419)</f>
        <v/>
      </c>
      <c r="CU419">
        <f>IF($CR419="","",IF($CR419="Aloe Vera Gel","Aloe Vera Gel "&amp;$CT419&amp;"g",CS419&amp;" "&amp;$CT419&amp;"g"))</f>
        <v/>
      </c>
      <c r="CV419">
        <f>IF($CQ419=0,"",IF($CP419=$CU419,"Repeat Exact",IF($CT419&gt;$CO419,"Upsized",IF($CT419&lt;$CO419,"Downsized",IF($CM419&lt;&gt;$CR419,"Lateral","Same Size Diff Variant")))))</f>
        <v/>
      </c>
      <c r="CW419">
        <f>IF($CQ419=0,"",AZ419-AQ419)</f>
        <v/>
      </c>
      <c r="CX419">
        <f>IF($CQ419=0,0,IF(CS419=CN419,1,0))</f>
        <v/>
      </c>
      <c r="CY419">
        <f>IF($CQ419=0,0,IF(CR419=CM419,1,0))</f>
        <v/>
      </c>
      <c r="CZ419">
        <f>IF($A419="","",IF(AND(IF(DASHBOARD!$C$4="All",TRUE,$CM419=DASHBOARD!$C$4),IF(DASHBOARD!$C$6="All",TRUE,$CP419=DASHBOARD!$C$6),IF(DASHBOARD!$C$8="All",TRUE,$AF419&gt;=DASHBOARD!$C$8),IF(DASHBOARD!$C$10="All",TRUE,$AF419&lt;=DASHBOARD!$C$10),IF(DASHBOARD!$C$12="All",TRUE,$AH419=VALUE(DASHBOARD!$C$12)),IF(DASHBOARD!$C$14="All",TRUE,$AJ419=DASHBOARD!$C$14)),1,0))</f>
        <v/>
      </c>
    </row>
    <row r="420">
      <c r="A420" t="n">
        <v>202572</v>
      </c>
      <c r="B420" t="inlineStr">
        <is>
          <t>Aloe Vera Gel</t>
        </is>
      </c>
      <c r="H420" t="inlineStr">
        <is>
          <t>Aloe Vera Gel - 80 gms</t>
        </is>
      </c>
      <c r="N420" t="inlineStr">
        <is>
          <t>FC-HG-PA-080</t>
        </is>
      </c>
      <c r="T420" t="inlineStr">
        <is>
          <t>May 7, 2025</t>
        </is>
      </c>
      <c r="AE420" t="inlineStr">
        <is>
          <t>New Delhi</t>
        </is>
      </c>
      <c r="AF420" t="inlineStr">
        <is>
          <t>2025-05</t>
        </is>
      </c>
      <c r="AG420" t="n">
        <v>5</v>
      </c>
      <c r="AH420" t="n">
        <v>1</v>
      </c>
      <c r="AI420" t="n">
        <v>0</v>
      </c>
      <c r="AJ420">
        <f>IF($AE420="","",IFERROR(VLOOKUP(TRIM($AE420),DECODE!$H$3:$I$60,2,FALSE),"Rest of India"))</f>
        <v/>
      </c>
      <c r="AK420">
        <f>IF($N420="","",UPPER(TRIM(LEFT($N420&amp;",",FIND(",",$N420&amp;",")-1))))</f>
        <v/>
      </c>
      <c r="AL420">
        <f>IF($AK420="","",MID($AK420,4,FIND("~",SUBSTITUTE($AK420,"-","~",2))-4))</f>
        <v/>
      </c>
      <c r="AM420">
        <f>IF($AK420="","",MID($AK420,FIND("~",SUBSTITUTE($AK420,"-","~",2))+1,FIND("~",SUBSTITUTE($AK420,"-","~",3))-FIND("~",SUBSTITUTE($AK420,"-","~",2))-1))</f>
        <v/>
      </c>
      <c r="AN420">
        <f>IF($AL420="","",IFERROR(VLOOKUP($AL420,DECODE!$A$3:$C$8,3,FALSE),"?"))</f>
        <v/>
      </c>
      <c r="AO420">
        <f>IF($AM420="","",IFERROR(VLOOKUP($AL420&amp;"-"&amp;$AM420,DECODE!$E$3:$F$21,2,FALSE),"?"))</f>
        <v/>
      </c>
      <c r="AP420">
        <f>IF($AK420="","",IFERROR(VALUE(RIGHT($AK420,3)),""))</f>
        <v/>
      </c>
      <c r="AQ420">
        <f>IF($T420="","",IFERROR(IF(ISNUMBER($T420),$T420,DATEVALUE(TRIM($T420))),""))</f>
        <v/>
      </c>
      <c r="AR420">
        <f>IF($AQ420="","",IF(MONTH($AQ420)&gt;=12,"Cold Winter",IF(MONTH($AQ420)&gt;=10,"Post-Monsoon",IF(MONTH($AQ420)&gt;=6,"Hot Humid",IF(MONTH($AQ420)&gt;=3,"Hot Dry","Cold Winter")))))</f>
        <v/>
      </c>
      <c r="AS420">
        <f>IF($AL420="","",IFERROR(VLOOKUP($AL420,DECODE!$A$3:$C$8,2,FALSE),"?"))</f>
        <v/>
      </c>
      <c r="AT420">
        <f>IF($O420="","",UPPER(TRIM(LEFT($O420&amp;",",FIND(",",$O420&amp;",")-1))))</f>
        <v/>
      </c>
      <c r="AU420">
        <f>IF($AT420="","",MID($AT420,4,FIND("~",SUBSTITUTE($AT420,"-","~",2))-4))</f>
        <v/>
      </c>
      <c r="AV420">
        <f>IF($AT420="","",MID($AT420,FIND("~",SUBSTITUTE($AT420,"-","~",2))+1,FIND("~",SUBSTITUTE($AT420,"-","~",3))-FIND("~",SUBSTITUTE($AT420,"-","~",2))-1))</f>
        <v/>
      </c>
      <c r="AW420">
        <f>IF($AU420="","",IFERROR(VLOOKUP($AU420,DECODE!$A$3:$C$8,3,FALSE),"?"))</f>
        <v/>
      </c>
      <c r="AX420">
        <f>IF($AV420="","",IFERROR(VLOOKUP($AU420&amp;"-"&amp;$AV420,DECODE!$E$3:$F$21,2,FALSE),"?"))</f>
        <v/>
      </c>
      <c r="AY420">
        <f>IF($AT420="","",IFERROR(VALUE(RIGHT($AT420,3)),""))</f>
        <v/>
      </c>
      <c r="AZ420">
        <f>IF($U420="","",IFERROR(IF(ISNUMBER($U420),$U420,DATEVALUE(TRIM($U420))),""))</f>
        <v/>
      </c>
      <c r="BA420">
        <f>IF($AZ420="","",IF(MONTH($AZ420)&gt;=12,"Cold Winter",IF(MONTH($AZ420)&gt;=10,"Post-Monsoon",IF(MONTH($AZ420)&gt;=6,"Hot Humid",IF(MONTH($AZ420)&gt;=3,"Hot Dry","Cold Winter")))))</f>
        <v/>
      </c>
      <c r="BB420">
        <f>IF($AU420="","",IFERROR(VLOOKUP($AU420,DECODE!$A$3:$C$8,2,FALSE),"?"))</f>
        <v/>
      </c>
      <c r="BC420">
        <f>IF($P420="","",UPPER(TRIM(LEFT($P420&amp;",",FIND(",",$P420&amp;",")-1))))</f>
        <v/>
      </c>
      <c r="BD420">
        <f>IF($BC420="","",MID($BC420,4,FIND("~",SUBSTITUTE($BC420,"-","~",2))-4))</f>
        <v/>
      </c>
      <c r="BE420">
        <f>IF($BC420="","",MID($BC420,FIND("~",SUBSTITUTE($BC420,"-","~",2))+1,FIND("~",SUBSTITUTE($BC420,"-","~",3))-FIND("~",SUBSTITUTE($BC420,"-","~",2))-1))</f>
        <v/>
      </c>
      <c r="BF420">
        <f>IF($BD420="","",IFERROR(VLOOKUP($BD420,DECODE!$A$3:$C$8,3,FALSE),"?"))</f>
        <v/>
      </c>
      <c r="BG420">
        <f>IF($BE420="","",IFERROR(VLOOKUP($BD420&amp;"-"&amp;$BE420,DECODE!$E$3:$F$21,2,FALSE),"?"))</f>
        <v/>
      </c>
      <c r="BH420">
        <f>IF($BC420="","",IFERROR(VALUE(RIGHT($BC420,3)),""))</f>
        <v/>
      </c>
      <c r="BI420">
        <f>IF($V420="","",IFERROR(IF(ISNUMBER($V420),$V420,DATEVALUE(TRIM($V420))),""))</f>
        <v/>
      </c>
      <c r="BJ420">
        <f>IF($BI420="","",IF(MONTH($BI420)&gt;=12,"Cold Winter",IF(MONTH($BI420)&gt;=10,"Post-Monsoon",IF(MONTH($BI420)&gt;=6,"Hot Humid",IF(MONTH($BI420)&gt;=3,"Hot Dry","Cold Winter")))))</f>
        <v/>
      </c>
      <c r="BK420">
        <f>IF($BD420="","",IFERROR(VLOOKUP($BD420,DECODE!$A$3:$C$8,2,FALSE),"?"))</f>
        <v/>
      </c>
      <c r="BL420">
        <f>IF($Q420="","",UPPER(TRIM(LEFT($Q420&amp;",",FIND(",",$Q420&amp;",")-1))))</f>
        <v/>
      </c>
      <c r="BM420">
        <f>IF($BL420="","",MID($BL420,4,FIND("~",SUBSTITUTE($BL420,"-","~",2))-4))</f>
        <v/>
      </c>
      <c r="BN420">
        <f>IF($BL420="","",MID($BL420,FIND("~",SUBSTITUTE($BL420,"-","~",2))+1,FIND("~",SUBSTITUTE($BL420,"-","~",3))-FIND("~",SUBSTITUTE($BL420,"-","~",2))-1))</f>
        <v/>
      </c>
      <c r="BO420">
        <f>IF($BM420="","",IFERROR(VLOOKUP($BM420,DECODE!$A$3:$C$8,3,FALSE),"?"))</f>
        <v/>
      </c>
      <c r="BP420">
        <f>IF($BN420="","",IFERROR(VLOOKUP($BM420&amp;"-"&amp;$BN420,DECODE!$E$3:$F$21,2,FALSE),"?"))</f>
        <v/>
      </c>
      <c r="BQ420">
        <f>IF($BL420="","",IFERROR(VALUE(RIGHT($BL420,3)),""))</f>
        <v/>
      </c>
      <c r="BR420">
        <f>IF($W420="","",IFERROR(IF(ISNUMBER($W420),$W420,DATEVALUE(TRIM($W420))),""))</f>
        <v/>
      </c>
      <c r="BS420">
        <f>IF($BR420="","",IF(MONTH($BR420)&gt;=12,"Cold Winter",IF(MONTH($BR420)&gt;=10,"Post-Monsoon",IF(MONTH($BR420)&gt;=6,"Hot Humid",IF(MONTH($BR420)&gt;=3,"Hot Dry","Cold Winter")))))</f>
        <v/>
      </c>
      <c r="BT420">
        <f>IF($BM420="","",IFERROR(VLOOKUP($BM420,DECODE!$A$3:$C$8,2,FALSE),"?"))</f>
        <v/>
      </c>
      <c r="BU420">
        <f>IF($R420="","",UPPER(TRIM(LEFT($R420&amp;",",FIND(",",$R420&amp;",")-1))))</f>
        <v/>
      </c>
      <c r="BV420">
        <f>IF($BU420="","",MID($BU420,4,FIND("~",SUBSTITUTE($BU420,"-","~",2))-4))</f>
        <v/>
      </c>
      <c r="BW420">
        <f>IF($BU420="","",MID($BU420,FIND("~",SUBSTITUTE($BU420,"-","~",2))+1,FIND("~",SUBSTITUTE($BU420,"-","~",3))-FIND("~",SUBSTITUTE($BU420,"-","~",2))-1))</f>
        <v/>
      </c>
      <c r="BX420">
        <f>IF($BV420="","",IFERROR(VLOOKUP($BV420,DECODE!$A$3:$C$8,3,FALSE),"?"))</f>
        <v/>
      </c>
      <c r="BY420">
        <f>IF($BW420="","",IFERROR(VLOOKUP($BV420&amp;"-"&amp;$BW420,DECODE!$E$3:$F$21,2,FALSE),"?"))</f>
        <v/>
      </c>
      <c r="BZ420">
        <f>IF($BU420="","",IFERROR(VALUE(RIGHT($BU420,3)),""))</f>
        <v/>
      </c>
      <c r="CA420">
        <f>IF($X420="","",IFERROR(IF(ISNUMBER($X420),$X420,DATEVALUE(TRIM($X420))),""))</f>
        <v/>
      </c>
      <c r="CB420">
        <f>IF($CA420="","",IF(MONTH($CA420)&gt;=12,"Cold Winter",IF(MONTH($CA420)&gt;=10,"Post-Monsoon",IF(MONTH($CA420)&gt;=6,"Hot Humid",IF(MONTH($CA420)&gt;=3,"Hot Dry","Cold Winter")))))</f>
        <v/>
      </c>
      <c r="CC420">
        <f>IF($BV420="","",IFERROR(VLOOKUP($BV420,DECODE!$A$3:$C$8,2,FALSE),"?"))</f>
        <v/>
      </c>
      <c r="CD420">
        <f>IF($S420="","",UPPER(TRIM(LEFT($S420&amp;",",FIND(",",$S420&amp;",")-1))))</f>
        <v/>
      </c>
      <c r="CE420">
        <f>IF($CD420="","",MID($CD420,4,FIND("~",SUBSTITUTE($CD420,"-","~",2))-4))</f>
        <v/>
      </c>
      <c r="CF420">
        <f>IF($CD420="","",MID($CD420,FIND("~",SUBSTITUTE($CD420,"-","~",2))+1,FIND("~",SUBSTITUTE($CD420,"-","~",3))-FIND("~",SUBSTITUTE($CD420,"-","~",2))-1))</f>
        <v/>
      </c>
      <c r="CG420">
        <f>IF($CE420="","",IFERROR(VLOOKUP($CE420,DECODE!$A$3:$C$8,3,FALSE),"?"))</f>
        <v/>
      </c>
      <c r="CH420">
        <f>IF($CF420="","",IFERROR(VLOOKUP($CE420&amp;"-"&amp;$CF420,DECODE!$E$3:$F$21,2,FALSE),"?"))</f>
        <v/>
      </c>
      <c r="CI420">
        <f>IF($CD420="","",IFERROR(VALUE(RIGHT($CD420,3)),""))</f>
        <v/>
      </c>
      <c r="CJ420">
        <f>IF($Y420="","",IFERROR(IF(ISNUMBER($Y420),$Y420,DATEVALUE(TRIM($Y420))),""))</f>
        <v/>
      </c>
      <c r="CK420">
        <f>IF($CJ420="","",IF(MONTH($CJ420)&gt;=12,"Cold Winter",IF(MONTH($CJ420)&gt;=10,"Post-Monsoon",IF(MONTH($CJ420)&gt;=6,"Hot Humid",IF(MONTH($CJ420)&gt;=3,"Hot Dry","Cold Winter")))))</f>
        <v/>
      </c>
      <c r="CL420">
        <f>IF($CE420="","",IFERROR(VLOOKUP($CE420,DECODE!$A$3:$C$8,2,FALSE),"?"))</f>
        <v/>
      </c>
      <c r="CM420">
        <f>IF($AN420="","",AN420)</f>
        <v/>
      </c>
      <c r="CN420">
        <f>IF($AO420="","",AO420)</f>
        <v/>
      </c>
      <c r="CO420">
        <f>IF($AP420="","",AP420)</f>
        <v/>
      </c>
      <c r="CP420">
        <f>IF($CM420="","",IF($CM420="Aloe Vera Gel","Aloe Vera Gel "&amp;$CO420&amp;"g",CN420&amp;" "&amp;$CO420&amp;"g"))</f>
        <v/>
      </c>
      <c r="CQ420">
        <f>IF($AT420="",0,1)</f>
        <v/>
      </c>
      <c r="CR420">
        <f>IF($CQ420=0,"",AW420)</f>
        <v/>
      </c>
      <c r="CS420">
        <f>IF($CQ420=0,"",AX420)</f>
        <v/>
      </c>
      <c r="CT420">
        <f>IF($CQ420=0,"",AY420)</f>
        <v/>
      </c>
      <c r="CU420">
        <f>IF($CR420="","",IF($CR420="Aloe Vera Gel","Aloe Vera Gel "&amp;$CT420&amp;"g",CS420&amp;" "&amp;$CT420&amp;"g"))</f>
        <v/>
      </c>
      <c r="CV420">
        <f>IF($CQ420=0,"",IF($CP420=$CU420,"Repeat Exact",IF($CT420&gt;$CO420,"Upsized",IF($CT420&lt;$CO420,"Downsized",IF($CM420&lt;&gt;$CR420,"Lateral","Same Size Diff Variant")))))</f>
        <v/>
      </c>
      <c r="CW420">
        <f>IF($CQ420=0,"",AZ420-AQ420)</f>
        <v/>
      </c>
      <c r="CX420">
        <f>IF($CQ420=0,0,IF(CS420=CN420,1,0))</f>
        <v/>
      </c>
      <c r="CY420">
        <f>IF($CQ420=0,0,IF(CR420=CM420,1,0))</f>
        <v/>
      </c>
      <c r="CZ420">
        <f>IF($A420="","",IF(AND(IF(DASHBOARD!$C$4="All",TRUE,$CM420=DASHBOARD!$C$4),IF(DASHBOARD!$C$6="All",TRUE,$CP420=DASHBOARD!$C$6),IF(DASHBOARD!$C$8="All",TRUE,$AF420&gt;=DASHBOARD!$C$8),IF(DASHBOARD!$C$10="All",TRUE,$AF420&lt;=DASHBOARD!$C$10),IF(DASHBOARD!$C$12="All",TRUE,$AH420=VALUE(DASHBOARD!$C$12)),IF(DASHBOARD!$C$14="All",TRUE,$AJ420=DASHBOARD!$C$14)),1,0))</f>
        <v/>
      </c>
    </row>
    <row r="421">
      <c r="A421" t="n">
        <v>203233</v>
      </c>
      <c r="B421" t="inlineStr">
        <is>
          <t>Face Malai</t>
        </is>
      </c>
      <c r="H421" t="inlineStr">
        <is>
          <t>Tomato Rosehip (Hot Dry) 20 - 35 Yrs Face Malai - 30g</t>
        </is>
      </c>
      <c r="N421" t="inlineStr">
        <is>
          <t>FC-HDDM-TR-030</t>
        </is>
      </c>
      <c r="T421" t="inlineStr">
        <is>
          <t>May 31, 2024</t>
        </is>
      </c>
      <c r="AE421" t="inlineStr">
        <is>
          <t>Faridabad</t>
        </is>
      </c>
      <c r="AF421" t="inlineStr">
        <is>
          <t>2024-05</t>
        </is>
      </c>
      <c r="AG421" t="n">
        <v>5</v>
      </c>
      <c r="AH421" t="n">
        <v>1</v>
      </c>
      <c r="AI421" t="n">
        <v>0</v>
      </c>
      <c r="AJ421">
        <f>IF($AE421="","",IFERROR(VLOOKUP(TRIM($AE421),DECODE!$H$3:$I$60,2,FALSE),"Rest of India"))</f>
        <v/>
      </c>
      <c r="AK421">
        <f>IF($N421="","",UPPER(TRIM(LEFT($N421&amp;",",FIND(",",$N421&amp;",")-1))))</f>
        <v/>
      </c>
      <c r="AL421">
        <f>IF($AK421="","",MID($AK421,4,FIND("~",SUBSTITUTE($AK421,"-","~",2))-4))</f>
        <v/>
      </c>
      <c r="AM421">
        <f>IF($AK421="","",MID($AK421,FIND("~",SUBSTITUTE($AK421,"-","~",2))+1,FIND("~",SUBSTITUTE($AK421,"-","~",3))-FIND("~",SUBSTITUTE($AK421,"-","~",2))-1))</f>
        <v/>
      </c>
      <c r="AN421">
        <f>IF($AL421="","",IFERROR(VLOOKUP($AL421,DECODE!$A$3:$C$8,3,FALSE),"?"))</f>
        <v/>
      </c>
      <c r="AO421">
        <f>IF($AM421="","",IFERROR(VLOOKUP($AL421&amp;"-"&amp;$AM421,DECODE!$E$3:$F$21,2,FALSE),"?"))</f>
        <v/>
      </c>
      <c r="AP421">
        <f>IF($AK421="","",IFERROR(VALUE(RIGHT($AK421,3)),""))</f>
        <v/>
      </c>
      <c r="AQ421">
        <f>IF($T421="","",IFERROR(IF(ISNUMBER($T421),$T421,DATEVALUE(TRIM($T421))),""))</f>
        <v/>
      </c>
      <c r="AR421">
        <f>IF($AQ421="","",IF(MONTH($AQ421)&gt;=12,"Cold Winter",IF(MONTH($AQ421)&gt;=10,"Post-Monsoon",IF(MONTH($AQ421)&gt;=6,"Hot Humid",IF(MONTH($AQ421)&gt;=3,"Hot Dry","Cold Winter")))))</f>
        <v/>
      </c>
      <c r="AS421">
        <f>IF($AL421="","",IFERROR(VLOOKUP($AL421,DECODE!$A$3:$C$8,2,FALSE),"?"))</f>
        <v/>
      </c>
      <c r="AT421">
        <f>IF($O421="","",UPPER(TRIM(LEFT($O421&amp;",",FIND(",",$O421&amp;",")-1))))</f>
        <v/>
      </c>
      <c r="AU421">
        <f>IF($AT421="","",MID($AT421,4,FIND("~",SUBSTITUTE($AT421,"-","~",2))-4))</f>
        <v/>
      </c>
      <c r="AV421">
        <f>IF($AT421="","",MID($AT421,FIND("~",SUBSTITUTE($AT421,"-","~",2))+1,FIND("~",SUBSTITUTE($AT421,"-","~",3))-FIND("~",SUBSTITUTE($AT421,"-","~",2))-1))</f>
        <v/>
      </c>
      <c r="AW421">
        <f>IF($AU421="","",IFERROR(VLOOKUP($AU421,DECODE!$A$3:$C$8,3,FALSE),"?"))</f>
        <v/>
      </c>
      <c r="AX421">
        <f>IF($AV421="","",IFERROR(VLOOKUP($AU421&amp;"-"&amp;$AV421,DECODE!$E$3:$F$21,2,FALSE),"?"))</f>
        <v/>
      </c>
      <c r="AY421">
        <f>IF($AT421="","",IFERROR(VALUE(RIGHT($AT421,3)),""))</f>
        <v/>
      </c>
      <c r="AZ421">
        <f>IF($U421="","",IFERROR(IF(ISNUMBER($U421),$U421,DATEVALUE(TRIM($U421))),""))</f>
        <v/>
      </c>
      <c r="BA421">
        <f>IF($AZ421="","",IF(MONTH($AZ421)&gt;=12,"Cold Winter",IF(MONTH($AZ421)&gt;=10,"Post-Monsoon",IF(MONTH($AZ421)&gt;=6,"Hot Humid",IF(MONTH($AZ421)&gt;=3,"Hot Dry","Cold Winter")))))</f>
        <v/>
      </c>
      <c r="BB421">
        <f>IF($AU421="","",IFERROR(VLOOKUP($AU421,DECODE!$A$3:$C$8,2,FALSE),"?"))</f>
        <v/>
      </c>
      <c r="BC421">
        <f>IF($P421="","",UPPER(TRIM(LEFT($P421&amp;",",FIND(",",$P421&amp;",")-1))))</f>
        <v/>
      </c>
      <c r="BD421">
        <f>IF($BC421="","",MID($BC421,4,FIND("~",SUBSTITUTE($BC421,"-","~",2))-4))</f>
        <v/>
      </c>
      <c r="BE421">
        <f>IF($BC421="","",MID($BC421,FIND("~",SUBSTITUTE($BC421,"-","~",2))+1,FIND("~",SUBSTITUTE($BC421,"-","~",3))-FIND("~",SUBSTITUTE($BC421,"-","~",2))-1))</f>
        <v/>
      </c>
      <c r="BF421">
        <f>IF($BD421="","",IFERROR(VLOOKUP($BD421,DECODE!$A$3:$C$8,3,FALSE),"?"))</f>
        <v/>
      </c>
      <c r="BG421">
        <f>IF($BE421="","",IFERROR(VLOOKUP($BD421&amp;"-"&amp;$BE421,DECODE!$E$3:$F$21,2,FALSE),"?"))</f>
        <v/>
      </c>
      <c r="BH421">
        <f>IF($BC421="","",IFERROR(VALUE(RIGHT($BC421,3)),""))</f>
        <v/>
      </c>
      <c r="BI421">
        <f>IF($V421="","",IFERROR(IF(ISNUMBER($V421),$V421,DATEVALUE(TRIM($V421))),""))</f>
        <v/>
      </c>
      <c r="BJ421">
        <f>IF($BI421="","",IF(MONTH($BI421)&gt;=12,"Cold Winter",IF(MONTH($BI421)&gt;=10,"Post-Monsoon",IF(MONTH($BI421)&gt;=6,"Hot Humid",IF(MONTH($BI421)&gt;=3,"Hot Dry","Cold Winter")))))</f>
        <v/>
      </c>
      <c r="BK421">
        <f>IF($BD421="","",IFERROR(VLOOKUP($BD421,DECODE!$A$3:$C$8,2,FALSE),"?"))</f>
        <v/>
      </c>
      <c r="BL421">
        <f>IF($Q421="","",UPPER(TRIM(LEFT($Q421&amp;",",FIND(",",$Q421&amp;",")-1))))</f>
        <v/>
      </c>
      <c r="BM421">
        <f>IF($BL421="","",MID($BL421,4,FIND("~",SUBSTITUTE($BL421,"-","~",2))-4))</f>
        <v/>
      </c>
      <c r="BN421">
        <f>IF($BL421="","",MID($BL421,FIND("~",SUBSTITUTE($BL421,"-","~",2))+1,FIND("~",SUBSTITUTE($BL421,"-","~",3))-FIND("~",SUBSTITUTE($BL421,"-","~",2))-1))</f>
        <v/>
      </c>
      <c r="BO421">
        <f>IF($BM421="","",IFERROR(VLOOKUP($BM421,DECODE!$A$3:$C$8,3,FALSE),"?"))</f>
        <v/>
      </c>
      <c r="BP421">
        <f>IF($BN421="","",IFERROR(VLOOKUP($BM421&amp;"-"&amp;$BN421,DECODE!$E$3:$F$21,2,FALSE),"?"))</f>
        <v/>
      </c>
      <c r="BQ421">
        <f>IF($BL421="","",IFERROR(VALUE(RIGHT($BL421,3)),""))</f>
        <v/>
      </c>
      <c r="BR421">
        <f>IF($W421="","",IFERROR(IF(ISNUMBER($W421),$W421,DATEVALUE(TRIM($W421))),""))</f>
        <v/>
      </c>
      <c r="BS421">
        <f>IF($BR421="","",IF(MONTH($BR421)&gt;=12,"Cold Winter",IF(MONTH($BR421)&gt;=10,"Post-Monsoon",IF(MONTH($BR421)&gt;=6,"Hot Humid",IF(MONTH($BR421)&gt;=3,"Hot Dry","Cold Winter")))))</f>
        <v/>
      </c>
      <c r="BT421">
        <f>IF($BM421="","",IFERROR(VLOOKUP($BM421,DECODE!$A$3:$C$8,2,FALSE),"?"))</f>
        <v/>
      </c>
      <c r="BU421">
        <f>IF($R421="","",UPPER(TRIM(LEFT($R421&amp;",",FIND(",",$R421&amp;",")-1))))</f>
        <v/>
      </c>
      <c r="BV421">
        <f>IF($BU421="","",MID($BU421,4,FIND("~",SUBSTITUTE($BU421,"-","~",2))-4))</f>
        <v/>
      </c>
      <c r="BW421">
        <f>IF($BU421="","",MID($BU421,FIND("~",SUBSTITUTE($BU421,"-","~",2))+1,FIND("~",SUBSTITUTE($BU421,"-","~",3))-FIND("~",SUBSTITUTE($BU421,"-","~",2))-1))</f>
        <v/>
      </c>
      <c r="BX421">
        <f>IF($BV421="","",IFERROR(VLOOKUP($BV421,DECODE!$A$3:$C$8,3,FALSE),"?"))</f>
        <v/>
      </c>
      <c r="BY421">
        <f>IF($BW421="","",IFERROR(VLOOKUP($BV421&amp;"-"&amp;$BW421,DECODE!$E$3:$F$21,2,FALSE),"?"))</f>
        <v/>
      </c>
      <c r="BZ421">
        <f>IF($BU421="","",IFERROR(VALUE(RIGHT($BU421,3)),""))</f>
        <v/>
      </c>
      <c r="CA421">
        <f>IF($X421="","",IFERROR(IF(ISNUMBER($X421),$X421,DATEVALUE(TRIM($X421))),""))</f>
        <v/>
      </c>
      <c r="CB421">
        <f>IF($CA421="","",IF(MONTH($CA421)&gt;=12,"Cold Winter",IF(MONTH($CA421)&gt;=10,"Post-Monsoon",IF(MONTH($CA421)&gt;=6,"Hot Humid",IF(MONTH($CA421)&gt;=3,"Hot Dry","Cold Winter")))))</f>
        <v/>
      </c>
      <c r="CC421">
        <f>IF($BV421="","",IFERROR(VLOOKUP($BV421,DECODE!$A$3:$C$8,2,FALSE),"?"))</f>
        <v/>
      </c>
      <c r="CD421">
        <f>IF($S421="","",UPPER(TRIM(LEFT($S421&amp;",",FIND(",",$S421&amp;",")-1))))</f>
        <v/>
      </c>
      <c r="CE421">
        <f>IF($CD421="","",MID($CD421,4,FIND("~",SUBSTITUTE($CD421,"-","~",2))-4))</f>
        <v/>
      </c>
      <c r="CF421">
        <f>IF($CD421="","",MID($CD421,FIND("~",SUBSTITUTE($CD421,"-","~",2))+1,FIND("~",SUBSTITUTE($CD421,"-","~",3))-FIND("~",SUBSTITUTE($CD421,"-","~",2))-1))</f>
        <v/>
      </c>
      <c r="CG421">
        <f>IF($CE421="","",IFERROR(VLOOKUP($CE421,DECODE!$A$3:$C$8,3,FALSE),"?"))</f>
        <v/>
      </c>
      <c r="CH421">
        <f>IF($CF421="","",IFERROR(VLOOKUP($CE421&amp;"-"&amp;$CF421,DECODE!$E$3:$F$21,2,FALSE),"?"))</f>
        <v/>
      </c>
      <c r="CI421">
        <f>IF($CD421="","",IFERROR(VALUE(RIGHT($CD421,3)),""))</f>
        <v/>
      </c>
      <c r="CJ421">
        <f>IF($Y421="","",IFERROR(IF(ISNUMBER($Y421),$Y421,DATEVALUE(TRIM($Y421))),""))</f>
        <v/>
      </c>
      <c r="CK421">
        <f>IF($CJ421="","",IF(MONTH($CJ421)&gt;=12,"Cold Winter",IF(MONTH($CJ421)&gt;=10,"Post-Monsoon",IF(MONTH($CJ421)&gt;=6,"Hot Humid",IF(MONTH($CJ421)&gt;=3,"Hot Dry","Cold Winter")))))</f>
        <v/>
      </c>
      <c r="CL421">
        <f>IF($CE421="","",IFERROR(VLOOKUP($CE421,DECODE!$A$3:$C$8,2,FALSE),"?"))</f>
        <v/>
      </c>
      <c r="CM421">
        <f>IF($AN421="","",AN421)</f>
        <v/>
      </c>
      <c r="CN421">
        <f>IF($AO421="","",AO421)</f>
        <v/>
      </c>
      <c r="CO421">
        <f>IF($AP421="","",AP421)</f>
        <v/>
      </c>
      <c r="CP421">
        <f>IF($CM421="","",IF($CM421="Aloe Vera Gel","Aloe Vera Gel "&amp;$CO421&amp;"g",CN421&amp;" "&amp;$CO421&amp;"g"))</f>
        <v/>
      </c>
      <c r="CQ421">
        <f>IF($AT421="",0,1)</f>
        <v/>
      </c>
      <c r="CR421">
        <f>IF($CQ421=0,"",AW421)</f>
        <v/>
      </c>
      <c r="CS421">
        <f>IF($CQ421=0,"",AX421)</f>
        <v/>
      </c>
      <c r="CT421">
        <f>IF($CQ421=0,"",AY421)</f>
        <v/>
      </c>
      <c r="CU421">
        <f>IF($CR421="","",IF($CR421="Aloe Vera Gel","Aloe Vera Gel "&amp;$CT421&amp;"g",CS421&amp;" "&amp;$CT421&amp;"g"))</f>
        <v/>
      </c>
      <c r="CV421">
        <f>IF($CQ421=0,"",IF($CP421=$CU421,"Repeat Exact",IF($CT421&gt;$CO421,"Upsized",IF($CT421&lt;$CO421,"Downsized",IF($CM421&lt;&gt;$CR421,"Lateral","Same Size Diff Variant")))))</f>
        <v/>
      </c>
      <c r="CW421">
        <f>IF($CQ421=0,"",AZ421-AQ421)</f>
        <v/>
      </c>
      <c r="CX421">
        <f>IF($CQ421=0,0,IF(CS421=CN421,1,0))</f>
        <v/>
      </c>
      <c r="CY421">
        <f>IF($CQ421=0,0,IF(CR421=CM421,1,0))</f>
        <v/>
      </c>
      <c r="CZ421">
        <f>IF($A421="","",IF(AND(IF(DASHBOARD!$C$4="All",TRUE,$CM421=DASHBOARD!$C$4),IF(DASHBOARD!$C$6="All",TRUE,$CP421=DASHBOARD!$C$6),IF(DASHBOARD!$C$8="All",TRUE,$AF421&gt;=DASHBOARD!$C$8),IF(DASHBOARD!$C$10="All",TRUE,$AF421&lt;=DASHBOARD!$C$10),IF(DASHBOARD!$C$12="All",TRUE,$AH421=VALUE(DASHBOARD!$C$12)),IF(DASHBOARD!$C$14="All",TRUE,$AJ421=DASHBOARD!$C$14)),1,0))</f>
        <v/>
      </c>
    </row>
    <row r="422">
      <c r="A422" t="n">
        <v>203272</v>
      </c>
      <c r="B422" t="inlineStr">
        <is>
          <t>Aloe Vera Gel</t>
        </is>
      </c>
      <c r="H422" t="inlineStr">
        <is>
          <t>Aloe Vera Gel - 80 gms</t>
        </is>
      </c>
      <c r="N422" t="inlineStr">
        <is>
          <t>FC-HG-PA-080</t>
        </is>
      </c>
      <c r="T422" t="inlineStr">
        <is>
          <t>Jul 4, 2026</t>
        </is>
      </c>
      <c r="AE422" t="inlineStr">
        <is>
          <t>Thane</t>
        </is>
      </c>
      <c r="AF422" t="inlineStr">
        <is>
          <t>2026-07</t>
        </is>
      </c>
      <c r="AG422" t="n">
        <v>7</v>
      </c>
      <c r="AH422" t="n">
        <v>1</v>
      </c>
      <c r="AI422" t="n">
        <v>0</v>
      </c>
      <c r="AJ422">
        <f>IF($AE422="","",IFERROR(VLOOKUP(TRIM($AE422),DECODE!$H$3:$I$60,2,FALSE),"Rest of India"))</f>
        <v/>
      </c>
      <c r="AK422">
        <f>IF($N422="","",UPPER(TRIM(LEFT($N422&amp;",",FIND(",",$N422&amp;",")-1))))</f>
        <v/>
      </c>
      <c r="AL422">
        <f>IF($AK422="","",MID($AK422,4,FIND("~",SUBSTITUTE($AK422,"-","~",2))-4))</f>
        <v/>
      </c>
      <c r="AM422">
        <f>IF($AK422="","",MID($AK422,FIND("~",SUBSTITUTE($AK422,"-","~",2))+1,FIND("~",SUBSTITUTE($AK422,"-","~",3))-FIND("~",SUBSTITUTE($AK422,"-","~",2))-1))</f>
        <v/>
      </c>
      <c r="AN422">
        <f>IF($AL422="","",IFERROR(VLOOKUP($AL422,DECODE!$A$3:$C$8,3,FALSE),"?"))</f>
        <v/>
      </c>
      <c r="AO422">
        <f>IF($AM422="","",IFERROR(VLOOKUP($AL422&amp;"-"&amp;$AM422,DECODE!$E$3:$F$21,2,FALSE),"?"))</f>
        <v/>
      </c>
      <c r="AP422">
        <f>IF($AK422="","",IFERROR(VALUE(RIGHT($AK422,3)),""))</f>
        <v/>
      </c>
      <c r="AQ422">
        <f>IF($T422="","",IFERROR(IF(ISNUMBER($T422),$T422,DATEVALUE(TRIM($T422))),""))</f>
        <v/>
      </c>
      <c r="AR422">
        <f>IF($AQ422="","",IF(MONTH($AQ422)&gt;=12,"Cold Winter",IF(MONTH($AQ422)&gt;=10,"Post-Monsoon",IF(MONTH($AQ422)&gt;=6,"Hot Humid",IF(MONTH($AQ422)&gt;=3,"Hot Dry","Cold Winter")))))</f>
        <v/>
      </c>
      <c r="AS422">
        <f>IF($AL422="","",IFERROR(VLOOKUP($AL422,DECODE!$A$3:$C$8,2,FALSE),"?"))</f>
        <v/>
      </c>
      <c r="AT422">
        <f>IF($O422="","",UPPER(TRIM(LEFT($O422&amp;",",FIND(",",$O422&amp;",")-1))))</f>
        <v/>
      </c>
      <c r="AU422">
        <f>IF($AT422="","",MID($AT422,4,FIND("~",SUBSTITUTE($AT422,"-","~",2))-4))</f>
        <v/>
      </c>
      <c r="AV422">
        <f>IF($AT422="","",MID($AT422,FIND("~",SUBSTITUTE($AT422,"-","~",2))+1,FIND("~",SUBSTITUTE($AT422,"-","~",3))-FIND("~",SUBSTITUTE($AT422,"-","~",2))-1))</f>
        <v/>
      </c>
      <c r="AW422">
        <f>IF($AU422="","",IFERROR(VLOOKUP($AU422,DECODE!$A$3:$C$8,3,FALSE),"?"))</f>
        <v/>
      </c>
      <c r="AX422">
        <f>IF($AV422="","",IFERROR(VLOOKUP($AU422&amp;"-"&amp;$AV422,DECODE!$E$3:$F$21,2,FALSE),"?"))</f>
        <v/>
      </c>
      <c r="AY422">
        <f>IF($AT422="","",IFERROR(VALUE(RIGHT($AT422,3)),""))</f>
        <v/>
      </c>
      <c r="AZ422">
        <f>IF($U422="","",IFERROR(IF(ISNUMBER($U422),$U422,DATEVALUE(TRIM($U422))),""))</f>
        <v/>
      </c>
      <c r="BA422">
        <f>IF($AZ422="","",IF(MONTH($AZ422)&gt;=12,"Cold Winter",IF(MONTH($AZ422)&gt;=10,"Post-Monsoon",IF(MONTH($AZ422)&gt;=6,"Hot Humid",IF(MONTH($AZ422)&gt;=3,"Hot Dry","Cold Winter")))))</f>
        <v/>
      </c>
      <c r="BB422">
        <f>IF($AU422="","",IFERROR(VLOOKUP($AU422,DECODE!$A$3:$C$8,2,FALSE),"?"))</f>
        <v/>
      </c>
      <c r="BC422">
        <f>IF($P422="","",UPPER(TRIM(LEFT($P422&amp;",",FIND(",",$P422&amp;",")-1))))</f>
        <v/>
      </c>
      <c r="BD422">
        <f>IF($BC422="","",MID($BC422,4,FIND("~",SUBSTITUTE($BC422,"-","~",2))-4))</f>
        <v/>
      </c>
      <c r="BE422">
        <f>IF($BC422="","",MID($BC422,FIND("~",SUBSTITUTE($BC422,"-","~",2))+1,FIND("~",SUBSTITUTE($BC422,"-","~",3))-FIND("~",SUBSTITUTE($BC422,"-","~",2))-1))</f>
        <v/>
      </c>
      <c r="BF422">
        <f>IF($BD422="","",IFERROR(VLOOKUP($BD422,DECODE!$A$3:$C$8,3,FALSE),"?"))</f>
        <v/>
      </c>
      <c r="BG422">
        <f>IF($BE422="","",IFERROR(VLOOKUP($BD422&amp;"-"&amp;$BE422,DECODE!$E$3:$F$21,2,FALSE),"?"))</f>
        <v/>
      </c>
      <c r="BH422">
        <f>IF($BC422="","",IFERROR(VALUE(RIGHT($BC422,3)),""))</f>
        <v/>
      </c>
      <c r="BI422">
        <f>IF($V422="","",IFERROR(IF(ISNUMBER($V422),$V422,DATEVALUE(TRIM($V422))),""))</f>
        <v/>
      </c>
      <c r="BJ422">
        <f>IF($BI422="","",IF(MONTH($BI422)&gt;=12,"Cold Winter",IF(MONTH($BI422)&gt;=10,"Post-Monsoon",IF(MONTH($BI422)&gt;=6,"Hot Humid",IF(MONTH($BI422)&gt;=3,"Hot Dry","Cold Winter")))))</f>
        <v/>
      </c>
      <c r="BK422">
        <f>IF($BD422="","",IFERROR(VLOOKUP($BD422,DECODE!$A$3:$C$8,2,FALSE),"?"))</f>
        <v/>
      </c>
      <c r="BL422">
        <f>IF($Q422="","",UPPER(TRIM(LEFT($Q422&amp;",",FIND(",",$Q422&amp;",")-1))))</f>
        <v/>
      </c>
      <c r="BM422">
        <f>IF($BL422="","",MID($BL422,4,FIND("~",SUBSTITUTE($BL422,"-","~",2))-4))</f>
        <v/>
      </c>
      <c r="BN422">
        <f>IF($BL422="","",MID($BL422,FIND("~",SUBSTITUTE($BL422,"-","~",2))+1,FIND("~",SUBSTITUTE($BL422,"-","~",3))-FIND("~",SUBSTITUTE($BL422,"-","~",2))-1))</f>
        <v/>
      </c>
      <c r="BO422">
        <f>IF($BM422="","",IFERROR(VLOOKUP($BM422,DECODE!$A$3:$C$8,3,FALSE),"?"))</f>
        <v/>
      </c>
      <c r="BP422">
        <f>IF($BN422="","",IFERROR(VLOOKUP($BM422&amp;"-"&amp;$BN422,DECODE!$E$3:$F$21,2,FALSE),"?"))</f>
        <v/>
      </c>
      <c r="BQ422">
        <f>IF($BL422="","",IFERROR(VALUE(RIGHT($BL422,3)),""))</f>
        <v/>
      </c>
      <c r="BR422">
        <f>IF($W422="","",IFERROR(IF(ISNUMBER($W422),$W422,DATEVALUE(TRIM($W422))),""))</f>
        <v/>
      </c>
      <c r="BS422">
        <f>IF($BR422="","",IF(MONTH($BR422)&gt;=12,"Cold Winter",IF(MONTH($BR422)&gt;=10,"Post-Monsoon",IF(MONTH($BR422)&gt;=6,"Hot Humid",IF(MONTH($BR422)&gt;=3,"Hot Dry","Cold Winter")))))</f>
        <v/>
      </c>
      <c r="BT422">
        <f>IF($BM422="","",IFERROR(VLOOKUP($BM422,DECODE!$A$3:$C$8,2,FALSE),"?"))</f>
        <v/>
      </c>
      <c r="BU422">
        <f>IF($R422="","",UPPER(TRIM(LEFT($R422&amp;",",FIND(",",$R422&amp;",")-1))))</f>
        <v/>
      </c>
      <c r="BV422">
        <f>IF($BU422="","",MID($BU422,4,FIND("~",SUBSTITUTE($BU422,"-","~",2))-4))</f>
        <v/>
      </c>
      <c r="BW422">
        <f>IF($BU422="","",MID($BU422,FIND("~",SUBSTITUTE($BU422,"-","~",2))+1,FIND("~",SUBSTITUTE($BU422,"-","~",3))-FIND("~",SUBSTITUTE($BU422,"-","~",2))-1))</f>
        <v/>
      </c>
      <c r="BX422">
        <f>IF($BV422="","",IFERROR(VLOOKUP($BV422,DECODE!$A$3:$C$8,3,FALSE),"?"))</f>
        <v/>
      </c>
      <c r="BY422">
        <f>IF($BW422="","",IFERROR(VLOOKUP($BV422&amp;"-"&amp;$BW422,DECODE!$E$3:$F$21,2,FALSE),"?"))</f>
        <v/>
      </c>
      <c r="BZ422">
        <f>IF($BU422="","",IFERROR(VALUE(RIGHT($BU422,3)),""))</f>
        <v/>
      </c>
      <c r="CA422">
        <f>IF($X422="","",IFERROR(IF(ISNUMBER($X422),$X422,DATEVALUE(TRIM($X422))),""))</f>
        <v/>
      </c>
      <c r="CB422">
        <f>IF($CA422="","",IF(MONTH($CA422)&gt;=12,"Cold Winter",IF(MONTH($CA422)&gt;=10,"Post-Monsoon",IF(MONTH($CA422)&gt;=6,"Hot Humid",IF(MONTH($CA422)&gt;=3,"Hot Dry","Cold Winter")))))</f>
        <v/>
      </c>
      <c r="CC422">
        <f>IF($BV422="","",IFERROR(VLOOKUP($BV422,DECODE!$A$3:$C$8,2,FALSE),"?"))</f>
        <v/>
      </c>
      <c r="CD422">
        <f>IF($S422="","",UPPER(TRIM(LEFT($S422&amp;",",FIND(",",$S422&amp;",")-1))))</f>
        <v/>
      </c>
      <c r="CE422">
        <f>IF($CD422="","",MID($CD422,4,FIND("~",SUBSTITUTE($CD422,"-","~",2))-4))</f>
        <v/>
      </c>
      <c r="CF422">
        <f>IF($CD422="","",MID($CD422,FIND("~",SUBSTITUTE($CD422,"-","~",2))+1,FIND("~",SUBSTITUTE($CD422,"-","~",3))-FIND("~",SUBSTITUTE($CD422,"-","~",2))-1))</f>
        <v/>
      </c>
      <c r="CG422">
        <f>IF($CE422="","",IFERROR(VLOOKUP($CE422,DECODE!$A$3:$C$8,3,FALSE),"?"))</f>
        <v/>
      </c>
      <c r="CH422">
        <f>IF($CF422="","",IFERROR(VLOOKUP($CE422&amp;"-"&amp;$CF422,DECODE!$E$3:$F$21,2,FALSE),"?"))</f>
        <v/>
      </c>
      <c r="CI422">
        <f>IF($CD422="","",IFERROR(VALUE(RIGHT($CD422,3)),""))</f>
        <v/>
      </c>
      <c r="CJ422">
        <f>IF($Y422="","",IFERROR(IF(ISNUMBER($Y422),$Y422,DATEVALUE(TRIM($Y422))),""))</f>
        <v/>
      </c>
      <c r="CK422">
        <f>IF($CJ422="","",IF(MONTH($CJ422)&gt;=12,"Cold Winter",IF(MONTH($CJ422)&gt;=10,"Post-Monsoon",IF(MONTH($CJ422)&gt;=6,"Hot Humid",IF(MONTH($CJ422)&gt;=3,"Hot Dry","Cold Winter")))))</f>
        <v/>
      </c>
      <c r="CL422">
        <f>IF($CE422="","",IFERROR(VLOOKUP($CE422,DECODE!$A$3:$C$8,2,FALSE),"?"))</f>
        <v/>
      </c>
      <c r="CM422">
        <f>IF($AN422="","",AN422)</f>
        <v/>
      </c>
      <c r="CN422">
        <f>IF($AO422="","",AO422)</f>
        <v/>
      </c>
      <c r="CO422">
        <f>IF($AP422="","",AP422)</f>
        <v/>
      </c>
      <c r="CP422">
        <f>IF($CM422="","",IF($CM422="Aloe Vera Gel","Aloe Vera Gel "&amp;$CO422&amp;"g",CN422&amp;" "&amp;$CO422&amp;"g"))</f>
        <v/>
      </c>
      <c r="CQ422">
        <f>IF($AT422="",0,1)</f>
        <v/>
      </c>
      <c r="CR422">
        <f>IF($CQ422=0,"",AW422)</f>
        <v/>
      </c>
      <c r="CS422">
        <f>IF($CQ422=0,"",AX422)</f>
        <v/>
      </c>
      <c r="CT422">
        <f>IF($CQ422=0,"",AY422)</f>
        <v/>
      </c>
      <c r="CU422">
        <f>IF($CR422="","",IF($CR422="Aloe Vera Gel","Aloe Vera Gel "&amp;$CT422&amp;"g",CS422&amp;" "&amp;$CT422&amp;"g"))</f>
        <v/>
      </c>
      <c r="CV422">
        <f>IF($CQ422=0,"",IF($CP422=$CU422,"Repeat Exact",IF($CT422&gt;$CO422,"Upsized",IF($CT422&lt;$CO422,"Downsized",IF($CM422&lt;&gt;$CR422,"Lateral","Same Size Diff Variant")))))</f>
        <v/>
      </c>
      <c r="CW422">
        <f>IF($CQ422=0,"",AZ422-AQ422)</f>
        <v/>
      </c>
      <c r="CX422">
        <f>IF($CQ422=0,0,IF(CS422=CN422,1,0))</f>
        <v/>
      </c>
      <c r="CY422">
        <f>IF($CQ422=0,0,IF(CR422=CM422,1,0))</f>
        <v/>
      </c>
      <c r="CZ422">
        <f>IF($A422="","",IF(AND(IF(DASHBOARD!$C$4="All",TRUE,$CM422=DASHBOARD!$C$4),IF(DASHBOARD!$C$6="All",TRUE,$CP422=DASHBOARD!$C$6),IF(DASHBOARD!$C$8="All",TRUE,$AF422&gt;=DASHBOARD!$C$8),IF(DASHBOARD!$C$10="All",TRUE,$AF422&lt;=DASHBOARD!$C$10),IF(DASHBOARD!$C$12="All",TRUE,$AH422=VALUE(DASHBOARD!$C$12)),IF(DASHBOARD!$C$14="All",TRUE,$AJ422=DASHBOARD!$C$14)),1,0))</f>
        <v/>
      </c>
    </row>
    <row r="423">
      <c r="A423" t="n">
        <v>203565</v>
      </c>
      <c r="B423" t="inlineStr">
        <is>
          <t>Face Malai</t>
        </is>
      </c>
      <c r="H423" t="inlineStr">
        <is>
          <t>Cocoa Mogra (Overnight) Face Malai - 30g</t>
        </is>
      </c>
      <c r="N423" t="inlineStr">
        <is>
          <t>FC-DM-NR-030</t>
        </is>
      </c>
      <c r="T423" t="inlineStr">
        <is>
          <t>Dec 4, 2024</t>
        </is>
      </c>
      <c r="AE423" t="inlineStr">
        <is>
          <t>Dhenkanal</t>
        </is>
      </c>
      <c r="AF423" t="inlineStr">
        <is>
          <t>2024-12</t>
        </is>
      </c>
      <c r="AG423" t="n">
        <v>12</v>
      </c>
      <c r="AH423" t="n">
        <v>1</v>
      </c>
      <c r="AI423" t="n">
        <v>0</v>
      </c>
      <c r="AJ423">
        <f>IF($AE423="","",IFERROR(VLOOKUP(TRIM($AE423),DECODE!$H$3:$I$60,2,FALSE),"Rest of India"))</f>
        <v/>
      </c>
      <c r="AK423">
        <f>IF($N423="","",UPPER(TRIM(LEFT($N423&amp;",",FIND(",",$N423&amp;",")-1))))</f>
        <v/>
      </c>
      <c r="AL423">
        <f>IF($AK423="","",MID($AK423,4,FIND("~",SUBSTITUTE($AK423,"-","~",2))-4))</f>
        <v/>
      </c>
      <c r="AM423">
        <f>IF($AK423="","",MID($AK423,FIND("~",SUBSTITUTE($AK423,"-","~",2))+1,FIND("~",SUBSTITUTE($AK423,"-","~",3))-FIND("~",SUBSTITUTE($AK423,"-","~",2))-1))</f>
        <v/>
      </c>
      <c r="AN423">
        <f>IF($AL423="","",IFERROR(VLOOKUP($AL423,DECODE!$A$3:$C$8,3,FALSE),"?"))</f>
        <v/>
      </c>
      <c r="AO423">
        <f>IF($AM423="","",IFERROR(VLOOKUP($AL423&amp;"-"&amp;$AM423,DECODE!$E$3:$F$21,2,FALSE),"?"))</f>
        <v/>
      </c>
      <c r="AP423">
        <f>IF($AK423="","",IFERROR(VALUE(RIGHT($AK423,3)),""))</f>
        <v/>
      </c>
      <c r="AQ423">
        <f>IF($T423="","",IFERROR(IF(ISNUMBER($T423),$T423,DATEVALUE(TRIM($T423))),""))</f>
        <v/>
      </c>
      <c r="AR423">
        <f>IF($AQ423="","",IF(MONTH($AQ423)&gt;=12,"Cold Winter",IF(MONTH($AQ423)&gt;=10,"Post-Monsoon",IF(MONTH($AQ423)&gt;=6,"Hot Humid",IF(MONTH($AQ423)&gt;=3,"Hot Dry","Cold Winter")))))</f>
        <v/>
      </c>
      <c r="AS423">
        <f>IF($AL423="","",IFERROR(VLOOKUP($AL423,DECODE!$A$3:$C$8,2,FALSE),"?"))</f>
        <v/>
      </c>
      <c r="AT423">
        <f>IF($O423="","",UPPER(TRIM(LEFT($O423&amp;",",FIND(",",$O423&amp;",")-1))))</f>
        <v/>
      </c>
      <c r="AU423">
        <f>IF($AT423="","",MID($AT423,4,FIND("~",SUBSTITUTE($AT423,"-","~",2))-4))</f>
        <v/>
      </c>
      <c r="AV423">
        <f>IF($AT423="","",MID($AT423,FIND("~",SUBSTITUTE($AT423,"-","~",2))+1,FIND("~",SUBSTITUTE($AT423,"-","~",3))-FIND("~",SUBSTITUTE($AT423,"-","~",2))-1))</f>
        <v/>
      </c>
      <c r="AW423">
        <f>IF($AU423="","",IFERROR(VLOOKUP($AU423,DECODE!$A$3:$C$8,3,FALSE),"?"))</f>
        <v/>
      </c>
      <c r="AX423">
        <f>IF($AV423="","",IFERROR(VLOOKUP($AU423&amp;"-"&amp;$AV423,DECODE!$E$3:$F$21,2,FALSE),"?"))</f>
        <v/>
      </c>
      <c r="AY423">
        <f>IF($AT423="","",IFERROR(VALUE(RIGHT($AT423,3)),""))</f>
        <v/>
      </c>
      <c r="AZ423">
        <f>IF($U423="","",IFERROR(IF(ISNUMBER($U423),$U423,DATEVALUE(TRIM($U423))),""))</f>
        <v/>
      </c>
      <c r="BA423">
        <f>IF($AZ423="","",IF(MONTH($AZ423)&gt;=12,"Cold Winter",IF(MONTH($AZ423)&gt;=10,"Post-Monsoon",IF(MONTH($AZ423)&gt;=6,"Hot Humid",IF(MONTH($AZ423)&gt;=3,"Hot Dry","Cold Winter")))))</f>
        <v/>
      </c>
      <c r="BB423">
        <f>IF($AU423="","",IFERROR(VLOOKUP($AU423,DECODE!$A$3:$C$8,2,FALSE),"?"))</f>
        <v/>
      </c>
      <c r="BC423">
        <f>IF($P423="","",UPPER(TRIM(LEFT($P423&amp;",",FIND(",",$P423&amp;",")-1))))</f>
        <v/>
      </c>
      <c r="BD423">
        <f>IF($BC423="","",MID($BC423,4,FIND("~",SUBSTITUTE($BC423,"-","~",2))-4))</f>
        <v/>
      </c>
      <c r="BE423">
        <f>IF($BC423="","",MID($BC423,FIND("~",SUBSTITUTE($BC423,"-","~",2))+1,FIND("~",SUBSTITUTE($BC423,"-","~",3))-FIND("~",SUBSTITUTE($BC423,"-","~",2))-1))</f>
        <v/>
      </c>
      <c r="BF423">
        <f>IF($BD423="","",IFERROR(VLOOKUP($BD423,DECODE!$A$3:$C$8,3,FALSE),"?"))</f>
        <v/>
      </c>
      <c r="BG423">
        <f>IF($BE423="","",IFERROR(VLOOKUP($BD423&amp;"-"&amp;$BE423,DECODE!$E$3:$F$21,2,FALSE),"?"))</f>
        <v/>
      </c>
      <c r="BH423">
        <f>IF($BC423="","",IFERROR(VALUE(RIGHT($BC423,3)),""))</f>
        <v/>
      </c>
      <c r="BI423">
        <f>IF($V423="","",IFERROR(IF(ISNUMBER($V423),$V423,DATEVALUE(TRIM($V423))),""))</f>
        <v/>
      </c>
      <c r="BJ423">
        <f>IF($BI423="","",IF(MONTH($BI423)&gt;=12,"Cold Winter",IF(MONTH($BI423)&gt;=10,"Post-Monsoon",IF(MONTH($BI423)&gt;=6,"Hot Humid",IF(MONTH($BI423)&gt;=3,"Hot Dry","Cold Winter")))))</f>
        <v/>
      </c>
      <c r="BK423">
        <f>IF($BD423="","",IFERROR(VLOOKUP($BD423,DECODE!$A$3:$C$8,2,FALSE),"?"))</f>
        <v/>
      </c>
      <c r="BL423">
        <f>IF($Q423="","",UPPER(TRIM(LEFT($Q423&amp;",",FIND(",",$Q423&amp;",")-1))))</f>
        <v/>
      </c>
      <c r="BM423">
        <f>IF($BL423="","",MID($BL423,4,FIND("~",SUBSTITUTE($BL423,"-","~",2))-4))</f>
        <v/>
      </c>
      <c r="BN423">
        <f>IF($BL423="","",MID($BL423,FIND("~",SUBSTITUTE($BL423,"-","~",2))+1,FIND("~",SUBSTITUTE($BL423,"-","~",3))-FIND("~",SUBSTITUTE($BL423,"-","~",2))-1))</f>
        <v/>
      </c>
      <c r="BO423">
        <f>IF($BM423="","",IFERROR(VLOOKUP($BM423,DECODE!$A$3:$C$8,3,FALSE),"?"))</f>
        <v/>
      </c>
      <c r="BP423">
        <f>IF($BN423="","",IFERROR(VLOOKUP($BM423&amp;"-"&amp;$BN423,DECODE!$E$3:$F$21,2,FALSE),"?"))</f>
        <v/>
      </c>
      <c r="BQ423">
        <f>IF($BL423="","",IFERROR(VALUE(RIGHT($BL423,3)),""))</f>
        <v/>
      </c>
      <c r="BR423">
        <f>IF($W423="","",IFERROR(IF(ISNUMBER($W423),$W423,DATEVALUE(TRIM($W423))),""))</f>
        <v/>
      </c>
      <c r="BS423">
        <f>IF($BR423="","",IF(MONTH($BR423)&gt;=12,"Cold Winter",IF(MONTH($BR423)&gt;=10,"Post-Monsoon",IF(MONTH($BR423)&gt;=6,"Hot Humid",IF(MONTH($BR423)&gt;=3,"Hot Dry","Cold Winter")))))</f>
        <v/>
      </c>
      <c r="BT423">
        <f>IF($BM423="","",IFERROR(VLOOKUP($BM423,DECODE!$A$3:$C$8,2,FALSE),"?"))</f>
        <v/>
      </c>
      <c r="BU423">
        <f>IF($R423="","",UPPER(TRIM(LEFT($R423&amp;",",FIND(",",$R423&amp;",")-1))))</f>
        <v/>
      </c>
      <c r="BV423">
        <f>IF($BU423="","",MID($BU423,4,FIND("~",SUBSTITUTE($BU423,"-","~",2))-4))</f>
        <v/>
      </c>
      <c r="BW423">
        <f>IF($BU423="","",MID($BU423,FIND("~",SUBSTITUTE($BU423,"-","~",2))+1,FIND("~",SUBSTITUTE($BU423,"-","~",3))-FIND("~",SUBSTITUTE($BU423,"-","~",2))-1))</f>
        <v/>
      </c>
      <c r="BX423">
        <f>IF($BV423="","",IFERROR(VLOOKUP($BV423,DECODE!$A$3:$C$8,3,FALSE),"?"))</f>
        <v/>
      </c>
      <c r="BY423">
        <f>IF($BW423="","",IFERROR(VLOOKUP($BV423&amp;"-"&amp;$BW423,DECODE!$E$3:$F$21,2,FALSE),"?"))</f>
        <v/>
      </c>
      <c r="BZ423">
        <f>IF($BU423="","",IFERROR(VALUE(RIGHT($BU423,3)),""))</f>
        <v/>
      </c>
      <c r="CA423">
        <f>IF($X423="","",IFERROR(IF(ISNUMBER($X423),$X423,DATEVALUE(TRIM($X423))),""))</f>
        <v/>
      </c>
      <c r="CB423">
        <f>IF($CA423="","",IF(MONTH($CA423)&gt;=12,"Cold Winter",IF(MONTH($CA423)&gt;=10,"Post-Monsoon",IF(MONTH($CA423)&gt;=6,"Hot Humid",IF(MONTH($CA423)&gt;=3,"Hot Dry","Cold Winter")))))</f>
        <v/>
      </c>
      <c r="CC423">
        <f>IF($BV423="","",IFERROR(VLOOKUP($BV423,DECODE!$A$3:$C$8,2,FALSE),"?"))</f>
        <v/>
      </c>
      <c r="CD423">
        <f>IF($S423="","",UPPER(TRIM(LEFT($S423&amp;",",FIND(",",$S423&amp;",")-1))))</f>
        <v/>
      </c>
      <c r="CE423">
        <f>IF($CD423="","",MID($CD423,4,FIND("~",SUBSTITUTE($CD423,"-","~",2))-4))</f>
        <v/>
      </c>
      <c r="CF423">
        <f>IF($CD423="","",MID($CD423,FIND("~",SUBSTITUTE($CD423,"-","~",2))+1,FIND("~",SUBSTITUTE($CD423,"-","~",3))-FIND("~",SUBSTITUTE($CD423,"-","~",2))-1))</f>
        <v/>
      </c>
      <c r="CG423">
        <f>IF($CE423="","",IFERROR(VLOOKUP($CE423,DECODE!$A$3:$C$8,3,FALSE),"?"))</f>
        <v/>
      </c>
      <c r="CH423">
        <f>IF($CF423="","",IFERROR(VLOOKUP($CE423&amp;"-"&amp;$CF423,DECODE!$E$3:$F$21,2,FALSE),"?"))</f>
        <v/>
      </c>
      <c r="CI423">
        <f>IF($CD423="","",IFERROR(VALUE(RIGHT($CD423,3)),""))</f>
        <v/>
      </c>
      <c r="CJ423">
        <f>IF($Y423="","",IFERROR(IF(ISNUMBER($Y423),$Y423,DATEVALUE(TRIM($Y423))),""))</f>
        <v/>
      </c>
      <c r="CK423">
        <f>IF($CJ423="","",IF(MONTH($CJ423)&gt;=12,"Cold Winter",IF(MONTH($CJ423)&gt;=10,"Post-Monsoon",IF(MONTH($CJ423)&gt;=6,"Hot Humid",IF(MONTH($CJ423)&gt;=3,"Hot Dry","Cold Winter")))))</f>
        <v/>
      </c>
      <c r="CL423">
        <f>IF($CE423="","",IFERROR(VLOOKUP($CE423,DECODE!$A$3:$C$8,2,FALSE),"?"))</f>
        <v/>
      </c>
      <c r="CM423">
        <f>IF($AN423="","",AN423)</f>
        <v/>
      </c>
      <c r="CN423">
        <f>IF($AO423="","",AO423)</f>
        <v/>
      </c>
      <c r="CO423">
        <f>IF($AP423="","",AP423)</f>
        <v/>
      </c>
      <c r="CP423">
        <f>IF($CM423="","",IF($CM423="Aloe Vera Gel","Aloe Vera Gel "&amp;$CO423&amp;"g",CN423&amp;" "&amp;$CO423&amp;"g"))</f>
        <v/>
      </c>
      <c r="CQ423">
        <f>IF($AT423="",0,1)</f>
        <v/>
      </c>
      <c r="CR423">
        <f>IF($CQ423=0,"",AW423)</f>
        <v/>
      </c>
      <c r="CS423">
        <f>IF($CQ423=0,"",AX423)</f>
        <v/>
      </c>
      <c r="CT423">
        <f>IF($CQ423=0,"",AY423)</f>
        <v/>
      </c>
      <c r="CU423">
        <f>IF($CR423="","",IF($CR423="Aloe Vera Gel","Aloe Vera Gel "&amp;$CT423&amp;"g",CS423&amp;" "&amp;$CT423&amp;"g"))</f>
        <v/>
      </c>
      <c r="CV423">
        <f>IF($CQ423=0,"",IF($CP423=$CU423,"Repeat Exact",IF($CT423&gt;$CO423,"Upsized",IF($CT423&lt;$CO423,"Downsized",IF($CM423&lt;&gt;$CR423,"Lateral","Same Size Diff Variant")))))</f>
        <v/>
      </c>
      <c r="CW423">
        <f>IF($CQ423=0,"",AZ423-AQ423)</f>
        <v/>
      </c>
      <c r="CX423">
        <f>IF($CQ423=0,0,IF(CS423=CN423,1,0))</f>
        <v/>
      </c>
      <c r="CY423">
        <f>IF($CQ423=0,0,IF(CR423=CM423,1,0))</f>
        <v/>
      </c>
      <c r="CZ423">
        <f>IF($A423="","",IF(AND(IF(DASHBOARD!$C$4="All",TRUE,$CM423=DASHBOARD!$C$4),IF(DASHBOARD!$C$6="All",TRUE,$CP423=DASHBOARD!$C$6),IF(DASHBOARD!$C$8="All",TRUE,$AF423&gt;=DASHBOARD!$C$8),IF(DASHBOARD!$C$10="All",TRUE,$AF423&lt;=DASHBOARD!$C$10),IF(DASHBOARD!$C$12="All",TRUE,$AH423=VALUE(DASHBOARD!$C$12)),IF(DASHBOARD!$C$14="All",TRUE,$AJ423=DASHBOARD!$C$14)),1,0))</f>
        <v/>
      </c>
    </row>
    <row r="424">
      <c r="A424" t="n">
        <v>204532</v>
      </c>
      <c r="B424" t="inlineStr">
        <is>
          <t>Aloe Vera Gel</t>
        </is>
      </c>
      <c r="H424" t="inlineStr">
        <is>
          <t>Aloe Vera Gel - 40 gms</t>
        </is>
      </c>
      <c r="N424" t="inlineStr">
        <is>
          <t>FC-HG-PA-040</t>
        </is>
      </c>
      <c r="T424" t="inlineStr">
        <is>
          <t>Apr 7, 2024</t>
        </is>
      </c>
      <c r="AE424" t="inlineStr">
        <is>
          <t>Bengaluru</t>
        </is>
      </c>
      <c r="AF424" t="inlineStr">
        <is>
          <t>2024-04</t>
        </is>
      </c>
      <c r="AG424" t="n">
        <v>4</v>
      </c>
      <c r="AH424" t="n">
        <v>1</v>
      </c>
      <c r="AI424" t="n">
        <v>0</v>
      </c>
      <c r="AJ424">
        <f>IF($AE424="","",IFERROR(VLOOKUP(TRIM($AE424),DECODE!$H$3:$I$60,2,FALSE),"Rest of India"))</f>
        <v/>
      </c>
      <c r="AK424">
        <f>IF($N424="","",UPPER(TRIM(LEFT($N424&amp;",",FIND(",",$N424&amp;",")-1))))</f>
        <v/>
      </c>
      <c r="AL424">
        <f>IF($AK424="","",MID($AK424,4,FIND("~",SUBSTITUTE($AK424,"-","~",2))-4))</f>
        <v/>
      </c>
      <c r="AM424">
        <f>IF($AK424="","",MID($AK424,FIND("~",SUBSTITUTE($AK424,"-","~",2))+1,FIND("~",SUBSTITUTE($AK424,"-","~",3))-FIND("~",SUBSTITUTE($AK424,"-","~",2))-1))</f>
        <v/>
      </c>
      <c r="AN424">
        <f>IF($AL424="","",IFERROR(VLOOKUP($AL424,DECODE!$A$3:$C$8,3,FALSE),"?"))</f>
        <v/>
      </c>
      <c r="AO424">
        <f>IF($AM424="","",IFERROR(VLOOKUP($AL424&amp;"-"&amp;$AM424,DECODE!$E$3:$F$21,2,FALSE),"?"))</f>
        <v/>
      </c>
      <c r="AP424">
        <f>IF($AK424="","",IFERROR(VALUE(RIGHT($AK424,3)),""))</f>
        <v/>
      </c>
      <c r="AQ424">
        <f>IF($T424="","",IFERROR(IF(ISNUMBER($T424),$T424,DATEVALUE(TRIM($T424))),""))</f>
        <v/>
      </c>
      <c r="AR424">
        <f>IF($AQ424="","",IF(MONTH($AQ424)&gt;=12,"Cold Winter",IF(MONTH($AQ424)&gt;=10,"Post-Monsoon",IF(MONTH($AQ424)&gt;=6,"Hot Humid",IF(MONTH($AQ424)&gt;=3,"Hot Dry","Cold Winter")))))</f>
        <v/>
      </c>
      <c r="AS424">
        <f>IF($AL424="","",IFERROR(VLOOKUP($AL424,DECODE!$A$3:$C$8,2,FALSE),"?"))</f>
        <v/>
      </c>
      <c r="AT424">
        <f>IF($O424="","",UPPER(TRIM(LEFT($O424&amp;",",FIND(",",$O424&amp;",")-1))))</f>
        <v/>
      </c>
      <c r="AU424">
        <f>IF($AT424="","",MID($AT424,4,FIND("~",SUBSTITUTE($AT424,"-","~",2))-4))</f>
        <v/>
      </c>
      <c r="AV424">
        <f>IF($AT424="","",MID($AT424,FIND("~",SUBSTITUTE($AT424,"-","~",2))+1,FIND("~",SUBSTITUTE($AT424,"-","~",3))-FIND("~",SUBSTITUTE($AT424,"-","~",2))-1))</f>
        <v/>
      </c>
      <c r="AW424">
        <f>IF($AU424="","",IFERROR(VLOOKUP($AU424,DECODE!$A$3:$C$8,3,FALSE),"?"))</f>
        <v/>
      </c>
      <c r="AX424">
        <f>IF($AV424="","",IFERROR(VLOOKUP($AU424&amp;"-"&amp;$AV424,DECODE!$E$3:$F$21,2,FALSE),"?"))</f>
        <v/>
      </c>
      <c r="AY424">
        <f>IF($AT424="","",IFERROR(VALUE(RIGHT($AT424,3)),""))</f>
        <v/>
      </c>
      <c r="AZ424">
        <f>IF($U424="","",IFERROR(IF(ISNUMBER($U424),$U424,DATEVALUE(TRIM($U424))),""))</f>
        <v/>
      </c>
      <c r="BA424">
        <f>IF($AZ424="","",IF(MONTH($AZ424)&gt;=12,"Cold Winter",IF(MONTH($AZ424)&gt;=10,"Post-Monsoon",IF(MONTH($AZ424)&gt;=6,"Hot Humid",IF(MONTH($AZ424)&gt;=3,"Hot Dry","Cold Winter")))))</f>
        <v/>
      </c>
      <c r="BB424">
        <f>IF($AU424="","",IFERROR(VLOOKUP($AU424,DECODE!$A$3:$C$8,2,FALSE),"?"))</f>
        <v/>
      </c>
      <c r="BC424">
        <f>IF($P424="","",UPPER(TRIM(LEFT($P424&amp;",",FIND(",",$P424&amp;",")-1))))</f>
        <v/>
      </c>
      <c r="BD424">
        <f>IF($BC424="","",MID($BC424,4,FIND("~",SUBSTITUTE($BC424,"-","~",2))-4))</f>
        <v/>
      </c>
      <c r="BE424">
        <f>IF($BC424="","",MID($BC424,FIND("~",SUBSTITUTE($BC424,"-","~",2))+1,FIND("~",SUBSTITUTE($BC424,"-","~",3))-FIND("~",SUBSTITUTE($BC424,"-","~",2))-1))</f>
        <v/>
      </c>
      <c r="BF424">
        <f>IF($BD424="","",IFERROR(VLOOKUP($BD424,DECODE!$A$3:$C$8,3,FALSE),"?"))</f>
        <v/>
      </c>
      <c r="BG424">
        <f>IF($BE424="","",IFERROR(VLOOKUP($BD424&amp;"-"&amp;$BE424,DECODE!$E$3:$F$21,2,FALSE),"?"))</f>
        <v/>
      </c>
      <c r="BH424">
        <f>IF($BC424="","",IFERROR(VALUE(RIGHT($BC424,3)),""))</f>
        <v/>
      </c>
      <c r="BI424">
        <f>IF($V424="","",IFERROR(IF(ISNUMBER($V424),$V424,DATEVALUE(TRIM($V424))),""))</f>
        <v/>
      </c>
      <c r="BJ424">
        <f>IF($BI424="","",IF(MONTH($BI424)&gt;=12,"Cold Winter",IF(MONTH($BI424)&gt;=10,"Post-Monsoon",IF(MONTH($BI424)&gt;=6,"Hot Humid",IF(MONTH($BI424)&gt;=3,"Hot Dry","Cold Winter")))))</f>
        <v/>
      </c>
      <c r="BK424">
        <f>IF($BD424="","",IFERROR(VLOOKUP($BD424,DECODE!$A$3:$C$8,2,FALSE),"?"))</f>
        <v/>
      </c>
      <c r="BL424">
        <f>IF($Q424="","",UPPER(TRIM(LEFT($Q424&amp;",",FIND(",",$Q424&amp;",")-1))))</f>
        <v/>
      </c>
      <c r="BM424">
        <f>IF($BL424="","",MID($BL424,4,FIND("~",SUBSTITUTE($BL424,"-","~",2))-4))</f>
        <v/>
      </c>
      <c r="BN424">
        <f>IF($BL424="","",MID($BL424,FIND("~",SUBSTITUTE($BL424,"-","~",2))+1,FIND("~",SUBSTITUTE($BL424,"-","~",3))-FIND("~",SUBSTITUTE($BL424,"-","~",2))-1))</f>
        <v/>
      </c>
      <c r="BO424">
        <f>IF($BM424="","",IFERROR(VLOOKUP($BM424,DECODE!$A$3:$C$8,3,FALSE),"?"))</f>
        <v/>
      </c>
      <c r="BP424">
        <f>IF($BN424="","",IFERROR(VLOOKUP($BM424&amp;"-"&amp;$BN424,DECODE!$E$3:$F$21,2,FALSE),"?"))</f>
        <v/>
      </c>
      <c r="BQ424">
        <f>IF($BL424="","",IFERROR(VALUE(RIGHT($BL424,3)),""))</f>
        <v/>
      </c>
      <c r="BR424">
        <f>IF($W424="","",IFERROR(IF(ISNUMBER($W424),$W424,DATEVALUE(TRIM($W424))),""))</f>
        <v/>
      </c>
      <c r="BS424">
        <f>IF($BR424="","",IF(MONTH($BR424)&gt;=12,"Cold Winter",IF(MONTH($BR424)&gt;=10,"Post-Monsoon",IF(MONTH($BR424)&gt;=6,"Hot Humid",IF(MONTH($BR424)&gt;=3,"Hot Dry","Cold Winter")))))</f>
        <v/>
      </c>
      <c r="BT424">
        <f>IF($BM424="","",IFERROR(VLOOKUP($BM424,DECODE!$A$3:$C$8,2,FALSE),"?"))</f>
        <v/>
      </c>
      <c r="BU424">
        <f>IF($R424="","",UPPER(TRIM(LEFT($R424&amp;",",FIND(",",$R424&amp;",")-1))))</f>
        <v/>
      </c>
      <c r="BV424">
        <f>IF($BU424="","",MID($BU424,4,FIND("~",SUBSTITUTE($BU424,"-","~",2))-4))</f>
        <v/>
      </c>
      <c r="BW424">
        <f>IF($BU424="","",MID($BU424,FIND("~",SUBSTITUTE($BU424,"-","~",2))+1,FIND("~",SUBSTITUTE($BU424,"-","~",3))-FIND("~",SUBSTITUTE($BU424,"-","~",2))-1))</f>
        <v/>
      </c>
      <c r="BX424">
        <f>IF($BV424="","",IFERROR(VLOOKUP($BV424,DECODE!$A$3:$C$8,3,FALSE),"?"))</f>
        <v/>
      </c>
      <c r="BY424">
        <f>IF($BW424="","",IFERROR(VLOOKUP($BV424&amp;"-"&amp;$BW424,DECODE!$E$3:$F$21,2,FALSE),"?"))</f>
        <v/>
      </c>
      <c r="BZ424">
        <f>IF($BU424="","",IFERROR(VALUE(RIGHT($BU424,3)),""))</f>
        <v/>
      </c>
      <c r="CA424">
        <f>IF($X424="","",IFERROR(IF(ISNUMBER($X424),$X424,DATEVALUE(TRIM($X424))),""))</f>
        <v/>
      </c>
      <c r="CB424">
        <f>IF($CA424="","",IF(MONTH($CA424)&gt;=12,"Cold Winter",IF(MONTH($CA424)&gt;=10,"Post-Monsoon",IF(MONTH($CA424)&gt;=6,"Hot Humid",IF(MONTH($CA424)&gt;=3,"Hot Dry","Cold Winter")))))</f>
        <v/>
      </c>
      <c r="CC424">
        <f>IF($BV424="","",IFERROR(VLOOKUP($BV424,DECODE!$A$3:$C$8,2,FALSE),"?"))</f>
        <v/>
      </c>
      <c r="CD424">
        <f>IF($S424="","",UPPER(TRIM(LEFT($S424&amp;",",FIND(",",$S424&amp;",")-1))))</f>
        <v/>
      </c>
      <c r="CE424">
        <f>IF($CD424="","",MID($CD424,4,FIND("~",SUBSTITUTE($CD424,"-","~",2))-4))</f>
        <v/>
      </c>
      <c r="CF424">
        <f>IF($CD424="","",MID($CD424,FIND("~",SUBSTITUTE($CD424,"-","~",2))+1,FIND("~",SUBSTITUTE($CD424,"-","~",3))-FIND("~",SUBSTITUTE($CD424,"-","~",2))-1))</f>
        <v/>
      </c>
      <c r="CG424">
        <f>IF($CE424="","",IFERROR(VLOOKUP($CE424,DECODE!$A$3:$C$8,3,FALSE),"?"))</f>
        <v/>
      </c>
      <c r="CH424">
        <f>IF($CF424="","",IFERROR(VLOOKUP($CE424&amp;"-"&amp;$CF424,DECODE!$E$3:$F$21,2,FALSE),"?"))</f>
        <v/>
      </c>
      <c r="CI424">
        <f>IF($CD424="","",IFERROR(VALUE(RIGHT($CD424,3)),""))</f>
        <v/>
      </c>
      <c r="CJ424">
        <f>IF($Y424="","",IFERROR(IF(ISNUMBER($Y424),$Y424,DATEVALUE(TRIM($Y424))),""))</f>
        <v/>
      </c>
      <c r="CK424">
        <f>IF($CJ424="","",IF(MONTH($CJ424)&gt;=12,"Cold Winter",IF(MONTH($CJ424)&gt;=10,"Post-Monsoon",IF(MONTH($CJ424)&gt;=6,"Hot Humid",IF(MONTH($CJ424)&gt;=3,"Hot Dry","Cold Winter")))))</f>
        <v/>
      </c>
      <c r="CL424">
        <f>IF($CE424="","",IFERROR(VLOOKUP($CE424,DECODE!$A$3:$C$8,2,FALSE),"?"))</f>
        <v/>
      </c>
      <c r="CM424">
        <f>IF($AN424="","",AN424)</f>
        <v/>
      </c>
      <c r="CN424">
        <f>IF($AO424="","",AO424)</f>
        <v/>
      </c>
      <c r="CO424">
        <f>IF($AP424="","",AP424)</f>
        <v/>
      </c>
      <c r="CP424">
        <f>IF($CM424="","",IF($CM424="Aloe Vera Gel","Aloe Vera Gel "&amp;$CO424&amp;"g",CN424&amp;" "&amp;$CO424&amp;"g"))</f>
        <v/>
      </c>
      <c r="CQ424">
        <f>IF($AT424="",0,1)</f>
        <v/>
      </c>
      <c r="CR424">
        <f>IF($CQ424=0,"",AW424)</f>
        <v/>
      </c>
      <c r="CS424">
        <f>IF($CQ424=0,"",AX424)</f>
        <v/>
      </c>
      <c r="CT424">
        <f>IF($CQ424=0,"",AY424)</f>
        <v/>
      </c>
      <c r="CU424">
        <f>IF($CR424="","",IF($CR424="Aloe Vera Gel","Aloe Vera Gel "&amp;$CT424&amp;"g",CS424&amp;" "&amp;$CT424&amp;"g"))</f>
        <v/>
      </c>
      <c r="CV424">
        <f>IF($CQ424=0,"",IF($CP424=$CU424,"Repeat Exact",IF($CT424&gt;$CO424,"Upsized",IF($CT424&lt;$CO424,"Downsized",IF($CM424&lt;&gt;$CR424,"Lateral","Same Size Diff Variant")))))</f>
        <v/>
      </c>
      <c r="CW424">
        <f>IF($CQ424=0,"",AZ424-AQ424)</f>
        <v/>
      </c>
      <c r="CX424">
        <f>IF($CQ424=0,0,IF(CS424=CN424,1,0))</f>
        <v/>
      </c>
      <c r="CY424">
        <f>IF($CQ424=0,0,IF(CR424=CM424,1,0))</f>
        <v/>
      </c>
      <c r="CZ424">
        <f>IF($A424="","",IF(AND(IF(DASHBOARD!$C$4="All",TRUE,$CM424=DASHBOARD!$C$4),IF(DASHBOARD!$C$6="All",TRUE,$CP424=DASHBOARD!$C$6),IF(DASHBOARD!$C$8="All",TRUE,$AF424&gt;=DASHBOARD!$C$8),IF(DASHBOARD!$C$10="All",TRUE,$AF424&lt;=DASHBOARD!$C$10),IF(DASHBOARD!$C$12="All",TRUE,$AH424=VALUE(DASHBOARD!$C$12)),IF(DASHBOARD!$C$14="All",TRUE,$AJ424=DASHBOARD!$C$14)),1,0))</f>
        <v/>
      </c>
    </row>
    <row r="425">
      <c r="A425" t="n">
        <v>204622</v>
      </c>
      <c r="B425" t="inlineStr">
        <is>
          <t>Active Gel</t>
        </is>
      </c>
      <c r="H425" t="inlineStr">
        <is>
          <t>Active Orange Kiwi Vit-C Gel</t>
        </is>
      </c>
      <c r="N425" t="inlineStr">
        <is>
          <t>FC-AC-OK-050</t>
        </is>
      </c>
      <c r="T425" t="inlineStr">
        <is>
          <t>May 3, 2026</t>
        </is>
      </c>
      <c r="AE425" t="inlineStr">
        <is>
          <t>Gwalior</t>
        </is>
      </c>
      <c r="AF425" t="inlineStr">
        <is>
          <t>2026-05</t>
        </is>
      </c>
      <c r="AG425" t="n">
        <v>5</v>
      </c>
      <c r="AH425" t="n">
        <v>1</v>
      </c>
      <c r="AI425" t="n">
        <v>0</v>
      </c>
      <c r="AJ425">
        <f>IF($AE425="","",IFERROR(VLOOKUP(TRIM($AE425),DECODE!$H$3:$I$60,2,FALSE),"Rest of India"))</f>
        <v/>
      </c>
      <c r="AK425">
        <f>IF($N425="","",UPPER(TRIM(LEFT($N425&amp;",",FIND(",",$N425&amp;",")-1))))</f>
        <v/>
      </c>
      <c r="AL425">
        <f>IF($AK425="","",MID($AK425,4,FIND("~",SUBSTITUTE($AK425,"-","~",2))-4))</f>
        <v/>
      </c>
      <c r="AM425">
        <f>IF($AK425="","",MID($AK425,FIND("~",SUBSTITUTE($AK425,"-","~",2))+1,FIND("~",SUBSTITUTE($AK425,"-","~",3))-FIND("~",SUBSTITUTE($AK425,"-","~",2))-1))</f>
        <v/>
      </c>
      <c r="AN425">
        <f>IF($AL425="","",IFERROR(VLOOKUP($AL425,DECODE!$A$3:$C$8,3,FALSE),"?"))</f>
        <v/>
      </c>
      <c r="AO425">
        <f>IF($AM425="","",IFERROR(VLOOKUP($AL425&amp;"-"&amp;$AM425,DECODE!$E$3:$F$21,2,FALSE),"?"))</f>
        <v/>
      </c>
      <c r="AP425">
        <f>IF($AK425="","",IFERROR(VALUE(RIGHT($AK425,3)),""))</f>
        <v/>
      </c>
      <c r="AQ425">
        <f>IF($T425="","",IFERROR(IF(ISNUMBER($T425),$T425,DATEVALUE(TRIM($T425))),""))</f>
        <v/>
      </c>
      <c r="AR425">
        <f>IF($AQ425="","",IF(MONTH($AQ425)&gt;=12,"Cold Winter",IF(MONTH($AQ425)&gt;=10,"Post-Monsoon",IF(MONTH($AQ425)&gt;=6,"Hot Humid",IF(MONTH($AQ425)&gt;=3,"Hot Dry","Cold Winter")))))</f>
        <v/>
      </c>
      <c r="AS425">
        <f>IF($AL425="","",IFERROR(VLOOKUP($AL425,DECODE!$A$3:$C$8,2,FALSE),"?"))</f>
        <v/>
      </c>
      <c r="AT425">
        <f>IF($O425="","",UPPER(TRIM(LEFT($O425&amp;",",FIND(",",$O425&amp;",")-1))))</f>
        <v/>
      </c>
      <c r="AU425">
        <f>IF($AT425="","",MID($AT425,4,FIND("~",SUBSTITUTE($AT425,"-","~",2))-4))</f>
        <v/>
      </c>
      <c r="AV425">
        <f>IF($AT425="","",MID($AT425,FIND("~",SUBSTITUTE($AT425,"-","~",2))+1,FIND("~",SUBSTITUTE($AT425,"-","~",3))-FIND("~",SUBSTITUTE($AT425,"-","~",2))-1))</f>
        <v/>
      </c>
      <c r="AW425">
        <f>IF($AU425="","",IFERROR(VLOOKUP($AU425,DECODE!$A$3:$C$8,3,FALSE),"?"))</f>
        <v/>
      </c>
      <c r="AX425">
        <f>IF($AV425="","",IFERROR(VLOOKUP($AU425&amp;"-"&amp;$AV425,DECODE!$E$3:$F$21,2,FALSE),"?"))</f>
        <v/>
      </c>
      <c r="AY425">
        <f>IF($AT425="","",IFERROR(VALUE(RIGHT($AT425,3)),""))</f>
        <v/>
      </c>
      <c r="AZ425">
        <f>IF($U425="","",IFERROR(IF(ISNUMBER($U425),$U425,DATEVALUE(TRIM($U425))),""))</f>
        <v/>
      </c>
      <c r="BA425">
        <f>IF($AZ425="","",IF(MONTH($AZ425)&gt;=12,"Cold Winter",IF(MONTH($AZ425)&gt;=10,"Post-Monsoon",IF(MONTH($AZ425)&gt;=6,"Hot Humid",IF(MONTH($AZ425)&gt;=3,"Hot Dry","Cold Winter")))))</f>
        <v/>
      </c>
      <c r="BB425">
        <f>IF($AU425="","",IFERROR(VLOOKUP($AU425,DECODE!$A$3:$C$8,2,FALSE),"?"))</f>
        <v/>
      </c>
      <c r="BC425">
        <f>IF($P425="","",UPPER(TRIM(LEFT($P425&amp;",",FIND(",",$P425&amp;",")-1))))</f>
        <v/>
      </c>
      <c r="BD425">
        <f>IF($BC425="","",MID($BC425,4,FIND("~",SUBSTITUTE($BC425,"-","~",2))-4))</f>
        <v/>
      </c>
      <c r="BE425">
        <f>IF($BC425="","",MID($BC425,FIND("~",SUBSTITUTE($BC425,"-","~",2))+1,FIND("~",SUBSTITUTE($BC425,"-","~",3))-FIND("~",SUBSTITUTE($BC425,"-","~",2))-1))</f>
        <v/>
      </c>
      <c r="BF425">
        <f>IF($BD425="","",IFERROR(VLOOKUP($BD425,DECODE!$A$3:$C$8,3,FALSE),"?"))</f>
        <v/>
      </c>
      <c r="BG425">
        <f>IF($BE425="","",IFERROR(VLOOKUP($BD425&amp;"-"&amp;$BE425,DECODE!$E$3:$F$21,2,FALSE),"?"))</f>
        <v/>
      </c>
      <c r="BH425">
        <f>IF($BC425="","",IFERROR(VALUE(RIGHT($BC425,3)),""))</f>
        <v/>
      </c>
      <c r="BI425">
        <f>IF($V425="","",IFERROR(IF(ISNUMBER($V425),$V425,DATEVALUE(TRIM($V425))),""))</f>
        <v/>
      </c>
      <c r="BJ425">
        <f>IF($BI425="","",IF(MONTH($BI425)&gt;=12,"Cold Winter",IF(MONTH($BI425)&gt;=10,"Post-Monsoon",IF(MONTH($BI425)&gt;=6,"Hot Humid",IF(MONTH($BI425)&gt;=3,"Hot Dry","Cold Winter")))))</f>
        <v/>
      </c>
      <c r="BK425">
        <f>IF($BD425="","",IFERROR(VLOOKUP($BD425,DECODE!$A$3:$C$8,2,FALSE),"?"))</f>
        <v/>
      </c>
      <c r="BL425">
        <f>IF($Q425="","",UPPER(TRIM(LEFT($Q425&amp;",",FIND(",",$Q425&amp;",")-1))))</f>
        <v/>
      </c>
      <c r="BM425">
        <f>IF($BL425="","",MID($BL425,4,FIND("~",SUBSTITUTE($BL425,"-","~",2))-4))</f>
        <v/>
      </c>
      <c r="BN425">
        <f>IF($BL425="","",MID($BL425,FIND("~",SUBSTITUTE($BL425,"-","~",2))+1,FIND("~",SUBSTITUTE($BL425,"-","~",3))-FIND("~",SUBSTITUTE($BL425,"-","~",2))-1))</f>
        <v/>
      </c>
      <c r="BO425">
        <f>IF($BM425="","",IFERROR(VLOOKUP($BM425,DECODE!$A$3:$C$8,3,FALSE),"?"))</f>
        <v/>
      </c>
      <c r="BP425">
        <f>IF($BN425="","",IFERROR(VLOOKUP($BM425&amp;"-"&amp;$BN425,DECODE!$E$3:$F$21,2,FALSE),"?"))</f>
        <v/>
      </c>
      <c r="BQ425">
        <f>IF($BL425="","",IFERROR(VALUE(RIGHT($BL425,3)),""))</f>
        <v/>
      </c>
      <c r="BR425">
        <f>IF($W425="","",IFERROR(IF(ISNUMBER($W425),$W425,DATEVALUE(TRIM($W425))),""))</f>
        <v/>
      </c>
      <c r="BS425">
        <f>IF($BR425="","",IF(MONTH($BR425)&gt;=12,"Cold Winter",IF(MONTH($BR425)&gt;=10,"Post-Monsoon",IF(MONTH($BR425)&gt;=6,"Hot Humid",IF(MONTH($BR425)&gt;=3,"Hot Dry","Cold Winter")))))</f>
        <v/>
      </c>
      <c r="BT425">
        <f>IF($BM425="","",IFERROR(VLOOKUP($BM425,DECODE!$A$3:$C$8,2,FALSE),"?"))</f>
        <v/>
      </c>
      <c r="BU425">
        <f>IF($R425="","",UPPER(TRIM(LEFT($R425&amp;",",FIND(",",$R425&amp;",")-1))))</f>
        <v/>
      </c>
      <c r="BV425">
        <f>IF($BU425="","",MID($BU425,4,FIND("~",SUBSTITUTE($BU425,"-","~",2))-4))</f>
        <v/>
      </c>
      <c r="BW425">
        <f>IF($BU425="","",MID($BU425,FIND("~",SUBSTITUTE($BU425,"-","~",2))+1,FIND("~",SUBSTITUTE($BU425,"-","~",3))-FIND("~",SUBSTITUTE($BU425,"-","~",2))-1))</f>
        <v/>
      </c>
      <c r="BX425">
        <f>IF($BV425="","",IFERROR(VLOOKUP($BV425,DECODE!$A$3:$C$8,3,FALSE),"?"))</f>
        <v/>
      </c>
      <c r="BY425">
        <f>IF($BW425="","",IFERROR(VLOOKUP($BV425&amp;"-"&amp;$BW425,DECODE!$E$3:$F$21,2,FALSE),"?"))</f>
        <v/>
      </c>
      <c r="BZ425">
        <f>IF($BU425="","",IFERROR(VALUE(RIGHT($BU425,3)),""))</f>
        <v/>
      </c>
      <c r="CA425">
        <f>IF($X425="","",IFERROR(IF(ISNUMBER($X425),$X425,DATEVALUE(TRIM($X425))),""))</f>
        <v/>
      </c>
      <c r="CB425">
        <f>IF($CA425="","",IF(MONTH($CA425)&gt;=12,"Cold Winter",IF(MONTH($CA425)&gt;=10,"Post-Monsoon",IF(MONTH($CA425)&gt;=6,"Hot Humid",IF(MONTH($CA425)&gt;=3,"Hot Dry","Cold Winter")))))</f>
        <v/>
      </c>
      <c r="CC425">
        <f>IF($BV425="","",IFERROR(VLOOKUP($BV425,DECODE!$A$3:$C$8,2,FALSE),"?"))</f>
        <v/>
      </c>
      <c r="CD425">
        <f>IF($S425="","",UPPER(TRIM(LEFT($S425&amp;",",FIND(",",$S425&amp;",")-1))))</f>
        <v/>
      </c>
      <c r="CE425">
        <f>IF($CD425="","",MID($CD425,4,FIND("~",SUBSTITUTE($CD425,"-","~",2))-4))</f>
        <v/>
      </c>
      <c r="CF425">
        <f>IF($CD425="","",MID($CD425,FIND("~",SUBSTITUTE($CD425,"-","~",2))+1,FIND("~",SUBSTITUTE($CD425,"-","~",3))-FIND("~",SUBSTITUTE($CD425,"-","~",2))-1))</f>
        <v/>
      </c>
      <c r="CG425">
        <f>IF($CE425="","",IFERROR(VLOOKUP($CE425,DECODE!$A$3:$C$8,3,FALSE),"?"))</f>
        <v/>
      </c>
      <c r="CH425">
        <f>IF($CF425="","",IFERROR(VLOOKUP($CE425&amp;"-"&amp;$CF425,DECODE!$E$3:$F$21,2,FALSE),"?"))</f>
        <v/>
      </c>
      <c r="CI425">
        <f>IF($CD425="","",IFERROR(VALUE(RIGHT($CD425,3)),""))</f>
        <v/>
      </c>
      <c r="CJ425">
        <f>IF($Y425="","",IFERROR(IF(ISNUMBER($Y425),$Y425,DATEVALUE(TRIM($Y425))),""))</f>
        <v/>
      </c>
      <c r="CK425">
        <f>IF($CJ425="","",IF(MONTH($CJ425)&gt;=12,"Cold Winter",IF(MONTH($CJ425)&gt;=10,"Post-Monsoon",IF(MONTH($CJ425)&gt;=6,"Hot Humid",IF(MONTH($CJ425)&gt;=3,"Hot Dry","Cold Winter")))))</f>
        <v/>
      </c>
      <c r="CL425">
        <f>IF($CE425="","",IFERROR(VLOOKUP($CE425,DECODE!$A$3:$C$8,2,FALSE),"?"))</f>
        <v/>
      </c>
      <c r="CM425">
        <f>IF($AN425="","",AN425)</f>
        <v/>
      </c>
      <c r="CN425">
        <f>IF($AO425="","",AO425)</f>
        <v/>
      </c>
      <c r="CO425">
        <f>IF($AP425="","",AP425)</f>
        <v/>
      </c>
      <c r="CP425">
        <f>IF($CM425="","",IF($CM425="Aloe Vera Gel","Aloe Vera Gel "&amp;$CO425&amp;"g",CN425&amp;" "&amp;$CO425&amp;"g"))</f>
        <v/>
      </c>
      <c r="CQ425">
        <f>IF($AT425="",0,1)</f>
        <v/>
      </c>
      <c r="CR425">
        <f>IF($CQ425=0,"",AW425)</f>
        <v/>
      </c>
      <c r="CS425">
        <f>IF($CQ425=0,"",AX425)</f>
        <v/>
      </c>
      <c r="CT425">
        <f>IF($CQ425=0,"",AY425)</f>
        <v/>
      </c>
      <c r="CU425">
        <f>IF($CR425="","",IF($CR425="Aloe Vera Gel","Aloe Vera Gel "&amp;$CT425&amp;"g",CS425&amp;" "&amp;$CT425&amp;"g"))</f>
        <v/>
      </c>
      <c r="CV425">
        <f>IF($CQ425=0,"",IF($CP425=$CU425,"Repeat Exact",IF($CT425&gt;$CO425,"Upsized",IF($CT425&lt;$CO425,"Downsized",IF($CM425&lt;&gt;$CR425,"Lateral","Same Size Diff Variant")))))</f>
        <v/>
      </c>
      <c r="CW425">
        <f>IF($CQ425=0,"",AZ425-AQ425)</f>
        <v/>
      </c>
      <c r="CX425">
        <f>IF($CQ425=0,0,IF(CS425=CN425,1,0))</f>
        <v/>
      </c>
      <c r="CY425">
        <f>IF($CQ425=0,0,IF(CR425=CM425,1,0))</f>
        <v/>
      </c>
      <c r="CZ425">
        <f>IF($A425="","",IF(AND(IF(DASHBOARD!$C$4="All",TRUE,$CM425=DASHBOARD!$C$4),IF(DASHBOARD!$C$6="All",TRUE,$CP425=DASHBOARD!$C$6),IF(DASHBOARD!$C$8="All",TRUE,$AF425&gt;=DASHBOARD!$C$8),IF(DASHBOARD!$C$10="All",TRUE,$AF425&lt;=DASHBOARD!$C$10),IF(DASHBOARD!$C$12="All",TRUE,$AH425=VALUE(DASHBOARD!$C$12)),IF(DASHBOARD!$C$14="All",TRUE,$AJ425=DASHBOARD!$C$14)),1,0))</f>
        <v/>
      </c>
    </row>
    <row r="426">
      <c r="A426" t="n">
        <v>204952</v>
      </c>
      <c r="B426" t="inlineStr">
        <is>
          <t>Aloe Vera Gel</t>
        </is>
      </c>
      <c r="H426" t="inlineStr">
        <is>
          <t>Aloe Vera Gel - 80 gms</t>
        </is>
      </c>
      <c r="N426" t="inlineStr">
        <is>
          <t>FC-HG-PA-080</t>
        </is>
      </c>
      <c r="T426" t="inlineStr">
        <is>
          <t>Apr 28, 2025</t>
        </is>
      </c>
      <c r="AE426" t="inlineStr">
        <is>
          <t>Barrackpore</t>
        </is>
      </c>
      <c r="AF426" t="inlineStr">
        <is>
          <t>2025-04</t>
        </is>
      </c>
      <c r="AG426" t="n">
        <v>4</v>
      </c>
      <c r="AH426" t="n">
        <v>1</v>
      </c>
      <c r="AI426" t="n">
        <v>0</v>
      </c>
      <c r="AJ426">
        <f>IF($AE426="","",IFERROR(VLOOKUP(TRIM($AE426),DECODE!$H$3:$I$60,2,FALSE),"Rest of India"))</f>
        <v/>
      </c>
      <c r="AK426">
        <f>IF($N426="","",UPPER(TRIM(LEFT($N426&amp;",",FIND(",",$N426&amp;",")-1))))</f>
        <v/>
      </c>
      <c r="AL426">
        <f>IF($AK426="","",MID($AK426,4,FIND("~",SUBSTITUTE($AK426,"-","~",2))-4))</f>
        <v/>
      </c>
      <c r="AM426">
        <f>IF($AK426="","",MID($AK426,FIND("~",SUBSTITUTE($AK426,"-","~",2))+1,FIND("~",SUBSTITUTE($AK426,"-","~",3))-FIND("~",SUBSTITUTE($AK426,"-","~",2))-1))</f>
        <v/>
      </c>
      <c r="AN426">
        <f>IF($AL426="","",IFERROR(VLOOKUP($AL426,DECODE!$A$3:$C$8,3,FALSE),"?"))</f>
        <v/>
      </c>
      <c r="AO426">
        <f>IF($AM426="","",IFERROR(VLOOKUP($AL426&amp;"-"&amp;$AM426,DECODE!$E$3:$F$21,2,FALSE),"?"))</f>
        <v/>
      </c>
      <c r="AP426">
        <f>IF($AK426="","",IFERROR(VALUE(RIGHT($AK426,3)),""))</f>
        <v/>
      </c>
      <c r="AQ426">
        <f>IF($T426="","",IFERROR(IF(ISNUMBER($T426),$T426,DATEVALUE(TRIM($T426))),""))</f>
        <v/>
      </c>
      <c r="AR426">
        <f>IF($AQ426="","",IF(MONTH($AQ426)&gt;=12,"Cold Winter",IF(MONTH($AQ426)&gt;=10,"Post-Monsoon",IF(MONTH($AQ426)&gt;=6,"Hot Humid",IF(MONTH($AQ426)&gt;=3,"Hot Dry","Cold Winter")))))</f>
        <v/>
      </c>
      <c r="AS426">
        <f>IF($AL426="","",IFERROR(VLOOKUP($AL426,DECODE!$A$3:$C$8,2,FALSE),"?"))</f>
        <v/>
      </c>
      <c r="AT426">
        <f>IF($O426="","",UPPER(TRIM(LEFT($O426&amp;",",FIND(",",$O426&amp;",")-1))))</f>
        <v/>
      </c>
      <c r="AU426">
        <f>IF($AT426="","",MID($AT426,4,FIND("~",SUBSTITUTE($AT426,"-","~",2))-4))</f>
        <v/>
      </c>
      <c r="AV426">
        <f>IF($AT426="","",MID($AT426,FIND("~",SUBSTITUTE($AT426,"-","~",2))+1,FIND("~",SUBSTITUTE($AT426,"-","~",3))-FIND("~",SUBSTITUTE($AT426,"-","~",2))-1))</f>
        <v/>
      </c>
      <c r="AW426">
        <f>IF($AU426="","",IFERROR(VLOOKUP($AU426,DECODE!$A$3:$C$8,3,FALSE),"?"))</f>
        <v/>
      </c>
      <c r="AX426">
        <f>IF($AV426="","",IFERROR(VLOOKUP($AU426&amp;"-"&amp;$AV426,DECODE!$E$3:$F$21,2,FALSE),"?"))</f>
        <v/>
      </c>
      <c r="AY426">
        <f>IF($AT426="","",IFERROR(VALUE(RIGHT($AT426,3)),""))</f>
        <v/>
      </c>
      <c r="AZ426">
        <f>IF($U426="","",IFERROR(IF(ISNUMBER($U426),$U426,DATEVALUE(TRIM($U426))),""))</f>
        <v/>
      </c>
      <c r="BA426">
        <f>IF($AZ426="","",IF(MONTH($AZ426)&gt;=12,"Cold Winter",IF(MONTH($AZ426)&gt;=10,"Post-Monsoon",IF(MONTH($AZ426)&gt;=6,"Hot Humid",IF(MONTH($AZ426)&gt;=3,"Hot Dry","Cold Winter")))))</f>
        <v/>
      </c>
      <c r="BB426">
        <f>IF($AU426="","",IFERROR(VLOOKUP($AU426,DECODE!$A$3:$C$8,2,FALSE),"?"))</f>
        <v/>
      </c>
      <c r="BC426">
        <f>IF($P426="","",UPPER(TRIM(LEFT($P426&amp;",",FIND(",",$P426&amp;",")-1))))</f>
        <v/>
      </c>
      <c r="BD426">
        <f>IF($BC426="","",MID($BC426,4,FIND("~",SUBSTITUTE($BC426,"-","~",2))-4))</f>
        <v/>
      </c>
      <c r="BE426">
        <f>IF($BC426="","",MID($BC426,FIND("~",SUBSTITUTE($BC426,"-","~",2))+1,FIND("~",SUBSTITUTE($BC426,"-","~",3))-FIND("~",SUBSTITUTE($BC426,"-","~",2))-1))</f>
        <v/>
      </c>
      <c r="BF426">
        <f>IF($BD426="","",IFERROR(VLOOKUP($BD426,DECODE!$A$3:$C$8,3,FALSE),"?"))</f>
        <v/>
      </c>
      <c r="BG426">
        <f>IF($BE426="","",IFERROR(VLOOKUP($BD426&amp;"-"&amp;$BE426,DECODE!$E$3:$F$21,2,FALSE),"?"))</f>
        <v/>
      </c>
      <c r="BH426">
        <f>IF($BC426="","",IFERROR(VALUE(RIGHT($BC426,3)),""))</f>
        <v/>
      </c>
      <c r="BI426">
        <f>IF($V426="","",IFERROR(IF(ISNUMBER($V426),$V426,DATEVALUE(TRIM($V426))),""))</f>
        <v/>
      </c>
      <c r="BJ426">
        <f>IF($BI426="","",IF(MONTH($BI426)&gt;=12,"Cold Winter",IF(MONTH($BI426)&gt;=10,"Post-Monsoon",IF(MONTH($BI426)&gt;=6,"Hot Humid",IF(MONTH($BI426)&gt;=3,"Hot Dry","Cold Winter")))))</f>
        <v/>
      </c>
      <c r="BK426">
        <f>IF($BD426="","",IFERROR(VLOOKUP($BD426,DECODE!$A$3:$C$8,2,FALSE),"?"))</f>
        <v/>
      </c>
      <c r="BL426">
        <f>IF($Q426="","",UPPER(TRIM(LEFT($Q426&amp;",",FIND(",",$Q426&amp;",")-1))))</f>
        <v/>
      </c>
      <c r="BM426">
        <f>IF($BL426="","",MID($BL426,4,FIND("~",SUBSTITUTE($BL426,"-","~",2))-4))</f>
        <v/>
      </c>
      <c r="BN426">
        <f>IF($BL426="","",MID($BL426,FIND("~",SUBSTITUTE($BL426,"-","~",2))+1,FIND("~",SUBSTITUTE($BL426,"-","~",3))-FIND("~",SUBSTITUTE($BL426,"-","~",2))-1))</f>
        <v/>
      </c>
      <c r="BO426">
        <f>IF($BM426="","",IFERROR(VLOOKUP($BM426,DECODE!$A$3:$C$8,3,FALSE),"?"))</f>
        <v/>
      </c>
      <c r="BP426">
        <f>IF($BN426="","",IFERROR(VLOOKUP($BM426&amp;"-"&amp;$BN426,DECODE!$E$3:$F$21,2,FALSE),"?"))</f>
        <v/>
      </c>
      <c r="BQ426">
        <f>IF($BL426="","",IFERROR(VALUE(RIGHT($BL426,3)),""))</f>
        <v/>
      </c>
      <c r="BR426">
        <f>IF($W426="","",IFERROR(IF(ISNUMBER($W426),$W426,DATEVALUE(TRIM($W426))),""))</f>
        <v/>
      </c>
      <c r="BS426">
        <f>IF($BR426="","",IF(MONTH($BR426)&gt;=12,"Cold Winter",IF(MONTH($BR426)&gt;=10,"Post-Monsoon",IF(MONTH($BR426)&gt;=6,"Hot Humid",IF(MONTH($BR426)&gt;=3,"Hot Dry","Cold Winter")))))</f>
        <v/>
      </c>
      <c r="BT426">
        <f>IF($BM426="","",IFERROR(VLOOKUP($BM426,DECODE!$A$3:$C$8,2,FALSE),"?"))</f>
        <v/>
      </c>
      <c r="BU426">
        <f>IF($R426="","",UPPER(TRIM(LEFT($R426&amp;",",FIND(",",$R426&amp;",")-1))))</f>
        <v/>
      </c>
      <c r="BV426">
        <f>IF($BU426="","",MID($BU426,4,FIND("~",SUBSTITUTE($BU426,"-","~",2))-4))</f>
        <v/>
      </c>
      <c r="BW426">
        <f>IF($BU426="","",MID($BU426,FIND("~",SUBSTITUTE($BU426,"-","~",2))+1,FIND("~",SUBSTITUTE($BU426,"-","~",3))-FIND("~",SUBSTITUTE($BU426,"-","~",2))-1))</f>
        <v/>
      </c>
      <c r="BX426">
        <f>IF($BV426="","",IFERROR(VLOOKUP($BV426,DECODE!$A$3:$C$8,3,FALSE),"?"))</f>
        <v/>
      </c>
      <c r="BY426">
        <f>IF($BW426="","",IFERROR(VLOOKUP($BV426&amp;"-"&amp;$BW426,DECODE!$E$3:$F$21,2,FALSE),"?"))</f>
        <v/>
      </c>
      <c r="BZ426">
        <f>IF($BU426="","",IFERROR(VALUE(RIGHT($BU426,3)),""))</f>
        <v/>
      </c>
      <c r="CA426">
        <f>IF($X426="","",IFERROR(IF(ISNUMBER($X426),$X426,DATEVALUE(TRIM($X426))),""))</f>
        <v/>
      </c>
      <c r="CB426">
        <f>IF($CA426="","",IF(MONTH($CA426)&gt;=12,"Cold Winter",IF(MONTH($CA426)&gt;=10,"Post-Monsoon",IF(MONTH($CA426)&gt;=6,"Hot Humid",IF(MONTH($CA426)&gt;=3,"Hot Dry","Cold Winter")))))</f>
        <v/>
      </c>
      <c r="CC426">
        <f>IF($BV426="","",IFERROR(VLOOKUP($BV426,DECODE!$A$3:$C$8,2,FALSE),"?"))</f>
        <v/>
      </c>
      <c r="CD426">
        <f>IF($S426="","",UPPER(TRIM(LEFT($S426&amp;",",FIND(",",$S426&amp;",")-1))))</f>
        <v/>
      </c>
      <c r="CE426">
        <f>IF($CD426="","",MID($CD426,4,FIND("~",SUBSTITUTE($CD426,"-","~",2))-4))</f>
        <v/>
      </c>
      <c r="CF426">
        <f>IF($CD426="","",MID($CD426,FIND("~",SUBSTITUTE($CD426,"-","~",2))+1,FIND("~",SUBSTITUTE($CD426,"-","~",3))-FIND("~",SUBSTITUTE($CD426,"-","~",2))-1))</f>
        <v/>
      </c>
      <c r="CG426">
        <f>IF($CE426="","",IFERROR(VLOOKUP($CE426,DECODE!$A$3:$C$8,3,FALSE),"?"))</f>
        <v/>
      </c>
      <c r="CH426">
        <f>IF($CF426="","",IFERROR(VLOOKUP($CE426&amp;"-"&amp;$CF426,DECODE!$E$3:$F$21,2,FALSE),"?"))</f>
        <v/>
      </c>
      <c r="CI426">
        <f>IF($CD426="","",IFERROR(VALUE(RIGHT($CD426,3)),""))</f>
        <v/>
      </c>
      <c r="CJ426">
        <f>IF($Y426="","",IFERROR(IF(ISNUMBER($Y426),$Y426,DATEVALUE(TRIM($Y426))),""))</f>
        <v/>
      </c>
      <c r="CK426">
        <f>IF($CJ426="","",IF(MONTH($CJ426)&gt;=12,"Cold Winter",IF(MONTH($CJ426)&gt;=10,"Post-Monsoon",IF(MONTH($CJ426)&gt;=6,"Hot Humid",IF(MONTH($CJ426)&gt;=3,"Hot Dry","Cold Winter")))))</f>
        <v/>
      </c>
      <c r="CL426">
        <f>IF($CE426="","",IFERROR(VLOOKUP($CE426,DECODE!$A$3:$C$8,2,FALSE),"?"))</f>
        <v/>
      </c>
      <c r="CM426">
        <f>IF($AN426="","",AN426)</f>
        <v/>
      </c>
      <c r="CN426">
        <f>IF($AO426="","",AO426)</f>
        <v/>
      </c>
      <c r="CO426">
        <f>IF($AP426="","",AP426)</f>
        <v/>
      </c>
      <c r="CP426">
        <f>IF($CM426="","",IF($CM426="Aloe Vera Gel","Aloe Vera Gel "&amp;$CO426&amp;"g",CN426&amp;" "&amp;$CO426&amp;"g"))</f>
        <v/>
      </c>
      <c r="CQ426">
        <f>IF($AT426="",0,1)</f>
        <v/>
      </c>
      <c r="CR426">
        <f>IF($CQ426=0,"",AW426)</f>
        <v/>
      </c>
      <c r="CS426">
        <f>IF($CQ426=0,"",AX426)</f>
        <v/>
      </c>
      <c r="CT426">
        <f>IF($CQ426=0,"",AY426)</f>
        <v/>
      </c>
      <c r="CU426">
        <f>IF($CR426="","",IF($CR426="Aloe Vera Gel","Aloe Vera Gel "&amp;$CT426&amp;"g",CS426&amp;" "&amp;$CT426&amp;"g"))</f>
        <v/>
      </c>
      <c r="CV426">
        <f>IF($CQ426=0,"",IF($CP426=$CU426,"Repeat Exact",IF($CT426&gt;$CO426,"Upsized",IF($CT426&lt;$CO426,"Downsized",IF($CM426&lt;&gt;$CR426,"Lateral","Same Size Diff Variant")))))</f>
        <v/>
      </c>
      <c r="CW426">
        <f>IF($CQ426=0,"",AZ426-AQ426)</f>
        <v/>
      </c>
      <c r="CX426">
        <f>IF($CQ426=0,0,IF(CS426=CN426,1,0))</f>
        <v/>
      </c>
      <c r="CY426">
        <f>IF($CQ426=0,0,IF(CR426=CM426,1,0))</f>
        <v/>
      </c>
      <c r="CZ426">
        <f>IF($A426="","",IF(AND(IF(DASHBOARD!$C$4="All",TRUE,$CM426=DASHBOARD!$C$4),IF(DASHBOARD!$C$6="All",TRUE,$CP426=DASHBOARD!$C$6),IF(DASHBOARD!$C$8="All",TRUE,$AF426&gt;=DASHBOARD!$C$8),IF(DASHBOARD!$C$10="All",TRUE,$AF426&lt;=DASHBOARD!$C$10),IF(DASHBOARD!$C$12="All",TRUE,$AH426=VALUE(DASHBOARD!$C$12)),IF(DASHBOARD!$C$14="All",TRUE,$AJ426=DASHBOARD!$C$14)),1,0))</f>
        <v/>
      </c>
    </row>
    <row r="427">
      <c r="A427" t="n">
        <v>205074</v>
      </c>
      <c r="B427" t="inlineStr">
        <is>
          <t>Active Gel</t>
        </is>
      </c>
      <c r="H427" t="inlineStr">
        <is>
          <t>Active Orange Kiwi Vit-C Gel</t>
        </is>
      </c>
      <c r="N427" t="inlineStr">
        <is>
          <t>FC-AC-OK-050</t>
        </is>
      </c>
      <c r="T427" t="inlineStr">
        <is>
          <t>Jul 22, 2024</t>
        </is>
      </c>
      <c r="AE427" t="inlineStr">
        <is>
          <t>Chandigarh</t>
        </is>
      </c>
      <c r="AF427" t="inlineStr">
        <is>
          <t>2024-07</t>
        </is>
      </c>
      <c r="AG427" t="n">
        <v>7</v>
      </c>
      <c r="AH427" t="n">
        <v>1</v>
      </c>
      <c r="AI427" t="n">
        <v>0</v>
      </c>
      <c r="AJ427">
        <f>IF($AE427="","",IFERROR(VLOOKUP(TRIM($AE427),DECODE!$H$3:$I$60,2,FALSE),"Rest of India"))</f>
        <v/>
      </c>
      <c r="AK427">
        <f>IF($N427="","",UPPER(TRIM(LEFT($N427&amp;",",FIND(",",$N427&amp;",")-1))))</f>
        <v/>
      </c>
      <c r="AL427">
        <f>IF($AK427="","",MID($AK427,4,FIND("~",SUBSTITUTE($AK427,"-","~",2))-4))</f>
        <v/>
      </c>
      <c r="AM427">
        <f>IF($AK427="","",MID($AK427,FIND("~",SUBSTITUTE($AK427,"-","~",2))+1,FIND("~",SUBSTITUTE($AK427,"-","~",3))-FIND("~",SUBSTITUTE($AK427,"-","~",2))-1))</f>
        <v/>
      </c>
      <c r="AN427">
        <f>IF($AL427="","",IFERROR(VLOOKUP($AL427,DECODE!$A$3:$C$8,3,FALSE),"?"))</f>
        <v/>
      </c>
      <c r="AO427">
        <f>IF($AM427="","",IFERROR(VLOOKUP($AL427&amp;"-"&amp;$AM427,DECODE!$E$3:$F$21,2,FALSE),"?"))</f>
        <v/>
      </c>
      <c r="AP427">
        <f>IF($AK427="","",IFERROR(VALUE(RIGHT($AK427,3)),""))</f>
        <v/>
      </c>
      <c r="AQ427">
        <f>IF($T427="","",IFERROR(IF(ISNUMBER($T427),$T427,DATEVALUE(TRIM($T427))),""))</f>
        <v/>
      </c>
      <c r="AR427">
        <f>IF($AQ427="","",IF(MONTH($AQ427)&gt;=12,"Cold Winter",IF(MONTH($AQ427)&gt;=10,"Post-Monsoon",IF(MONTH($AQ427)&gt;=6,"Hot Humid",IF(MONTH($AQ427)&gt;=3,"Hot Dry","Cold Winter")))))</f>
        <v/>
      </c>
      <c r="AS427">
        <f>IF($AL427="","",IFERROR(VLOOKUP($AL427,DECODE!$A$3:$C$8,2,FALSE),"?"))</f>
        <v/>
      </c>
      <c r="AT427">
        <f>IF($O427="","",UPPER(TRIM(LEFT($O427&amp;",",FIND(",",$O427&amp;",")-1))))</f>
        <v/>
      </c>
      <c r="AU427">
        <f>IF($AT427="","",MID($AT427,4,FIND("~",SUBSTITUTE($AT427,"-","~",2))-4))</f>
        <v/>
      </c>
      <c r="AV427">
        <f>IF($AT427="","",MID($AT427,FIND("~",SUBSTITUTE($AT427,"-","~",2))+1,FIND("~",SUBSTITUTE($AT427,"-","~",3))-FIND("~",SUBSTITUTE($AT427,"-","~",2))-1))</f>
        <v/>
      </c>
      <c r="AW427">
        <f>IF($AU427="","",IFERROR(VLOOKUP($AU427,DECODE!$A$3:$C$8,3,FALSE),"?"))</f>
        <v/>
      </c>
      <c r="AX427">
        <f>IF($AV427="","",IFERROR(VLOOKUP($AU427&amp;"-"&amp;$AV427,DECODE!$E$3:$F$21,2,FALSE),"?"))</f>
        <v/>
      </c>
      <c r="AY427">
        <f>IF($AT427="","",IFERROR(VALUE(RIGHT($AT427,3)),""))</f>
        <v/>
      </c>
      <c r="AZ427">
        <f>IF($U427="","",IFERROR(IF(ISNUMBER($U427),$U427,DATEVALUE(TRIM($U427))),""))</f>
        <v/>
      </c>
      <c r="BA427">
        <f>IF($AZ427="","",IF(MONTH($AZ427)&gt;=12,"Cold Winter",IF(MONTH($AZ427)&gt;=10,"Post-Monsoon",IF(MONTH($AZ427)&gt;=6,"Hot Humid",IF(MONTH($AZ427)&gt;=3,"Hot Dry","Cold Winter")))))</f>
        <v/>
      </c>
      <c r="BB427">
        <f>IF($AU427="","",IFERROR(VLOOKUP($AU427,DECODE!$A$3:$C$8,2,FALSE),"?"))</f>
        <v/>
      </c>
      <c r="BC427">
        <f>IF($P427="","",UPPER(TRIM(LEFT($P427&amp;",",FIND(",",$P427&amp;",")-1))))</f>
        <v/>
      </c>
      <c r="BD427">
        <f>IF($BC427="","",MID($BC427,4,FIND("~",SUBSTITUTE($BC427,"-","~",2))-4))</f>
        <v/>
      </c>
      <c r="BE427">
        <f>IF($BC427="","",MID($BC427,FIND("~",SUBSTITUTE($BC427,"-","~",2))+1,FIND("~",SUBSTITUTE($BC427,"-","~",3))-FIND("~",SUBSTITUTE($BC427,"-","~",2))-1))</f>
        <v/>
      </c>
      <c r="BF427">
        <f>IF($BD427="","",IFERROR(VLOOKUP($BD427,DECODE!$A$3:$C$8,3,FALSE),"?"))</f>
        <v/>
      </c>
      <c r="BG427">
        <f>IF($BE427="","",IFERROR(VLOOKUP($BD427&amp;"-"&amp;$BE427,DECODE!$E$3:$F$21,2,FALSE),"?"))</f>
        <v/>
      </c>
      <c r="BH427">
        <f>IF($BC427="","",IFERROR(VALUE(RIGHT($BC427,3)),""))</f>
        <v/>
      </c>
      <c r="BI427">
        <f>IF($V427="","",IFERROR(IF(ISNUMBER($V427),$V427,DATEVALUE(TRIM($V427))),""))</f>
        <v/>
      </c>
      <c r="BJ427">
        <f>IF($BI427="","",IF(MONTH($BI427)&gt;=12,"Cold Winter",IF(MONTH($BI427)&gt;=10,"Post-Monsoon",IF(MONTH($BI427)&gt;=6,"Hot Humid",IF(MONTH($BI427)&gt;=3,"Hot Dry","Cold Winter")))))</f>
        <v/>
      </c>
      <c r="BK427">
        <f>IF($BD427="","",IFERROR(VLOOKUP($BD427,DECODE!$A$3:$C$8,2,FALSE),"?"))</f>
        <v/>
      </c>
      <c r="BL427">
        <f>IF($Q427="","",UPPER(TRIM(LEFT($Q427&amp;",",FIND(",",$Q427&amp;",")-1))))</f>
        <v/>
      </c>
      <c r="BM427">
        <f>IF($BL427="","",MID($BL427,4,FIND("~",SUBSTITUTE($BL427,"-","~",2))-4))</f>
        <v/>
      </c>
      <c r="BN427">
        <f>IF($BL427="","",MID($BL427,FIND("~",SUBSTITUTE($BL427,"-","~",2))+1,FIND("~",SUBSTITUTE($BL427,"-","~",3))-FIND("~",SUBSTITUTE($BL427,"-","~",2))-1))</f>
        <v/>
      </c>
      <c r="BO427">
        <f>IF($BM427="","",IFERROR(VLOOKUP($BM427,DECODE!$A$3:$C$8,3,FALSE),"?"))</f>
        <v/>
      </c>
      <c r="BP427">
        <f>IF($BN427="","",IFERROR(VLOOKUP($BM427&amp;"-"&amp;$BN427,DECODE!$E$3:$F$21,2,FALSE),"?"))</f>
        <v/>
      </c>
      <c r="BQ427">
        <f>IF($BL427="","",IFERROR(VALUE(RIGHT($BL427,3)),""))</f>
        <v/>
      </c>
      <c r="BR427">
        <f>IF($W427="","",IFERROR(IF(ISNUMBER($W427),$W427,DATEVALUE(TRIM($W427))),""))</f>
        <v/>
      </c>
      <c r="BS427">
        <f>IF($BR427="","",IF(MONTH($BR427)&gt;=12,"Cold Winter",IF(MONTH($BR427)&gt;=10,"Post-Monsoon",IF(MONTH($BR427)&gt;=6,"Hot Humid",IF(MONTH($BR427)&gt;=3,"Hot Dry","Cold Winter")))))</f>
        <v/>
      </c>
      <c r="BT427">
        <f>IF($BM427="","",IFERROR(VLOOKUP($BM427,DECODE!$A$3:$C$8,2,FALSE),"?"))</f>
        <v/>
      </c>
      <c r="BU427">
        <f>IF($R427="","",UPPER(TRIM(LEFT($R427&amp;",",FIND(",",$R427&amp;",")-1))))</f>
        <v/>
      </c>
      <c r="BV427">
        <f>IF($BU427="","",MID($BU427,4,FIND("~",SUBSTITUTE($BU427,"-","~",2))-4))</f>
        <v/>
      </c>
      <c r="BW427">
        <f>IF($BU427="","",MID($BU427,FIND("~",SUBSTITUTE($BU427,"-","~",2))+1,FIND("~",SUBSTITUTE($BU427,"-","~",3))-FIND("~",SUBSTITUTE($BU427,"-","~",2))-1))</f>
        <v/>
      </c>
      <c r="BX427">
        <f>IF($BV427="","",IFERROR(VLOOKUP($BV427,DECODE!$A$3:$C$8,3,FALSE),"?"))</f>
        <v/>
      </c>
      <c r="BY427">
        <f>IF($BW427="","",IFERROR(VLOOKUP($BV427&amp;"-"&amp;$BW427,DECODE!$E$3:$F$21,2,FALSE),"?"))</f>
        <v/>
      </c>
      <c r="BZ427">
        <f>IF($BU427="","",IFERROR(VALUE(RIGHT($BU427,3)),""))</f>
        <v/>
      </c>
      <c r="CA427">
        <f>IF($X427="","",IFERROR(IF(ISNUMBER($X427),$X427,DATEVALUE(TRIM($X427))),""))</f>
        <v/>
      </c>
      <c r="CB427">
        <f>IF($CA427="","",IF(MONTH($CA427)&gt;=12,"Cold Winter",IF(MONTH($CA427)&gt;=10,"Post-Monsoon",IF(MONTH($CA427)&gt;=6,"Hot Humid",IF(MONTH($CA427)&gt;=3,"Hot Dry","Cold Winter")))))</f>
        <v/>
      </c>
      <c r="CC427">
        <f>IF($BV427="","",IFERROR(VLOOKUP($BV427,DECODE!$A$3:$C$8,2,FALSE),"?"))</f>
        <v/>
      </c>
      <c r="CD427">
        <f>IF($S427="","",UPPER(TRIM(LEFT($S427&amp;",",FIND(",",$S427&amp;",")-1))))</f>
        <v/>
      </c>
      <c r="CE427">
        <f>IF($CD427="","",MID($CD427,4,FIND("~",SUBSTITUTE($CD427,"-","~",2))-4))</f>
        <v/>
      </c>
      <c r="CF427">
        <f>IF($CD427="","",MID($CD427,FIND("~",SUBSTITUTE($CD427,"-","~",2))+1,FIND("~",SUBSTITUTE($CD427,"-","~",3))-FIND("~",SUBSTITUTE($CD427,"-","~",2))-1))</f>
        <v/>
      </c>
      <c r="CG427">
        <f>IF($CE427="","",IFERROR(VLOOKUP($CE427,DECODE!$A$3:$C$8,3,FALSE),"?"))</f>
        <v/>
      </c>
      <c r="CH427">
        <f>IF($CF427="","",IFERROR(VLOOKUP($CE427&amp;"-"&amp;$CF427,DECODE!$E$3:$F$21,2,FALSE),"?"))</f>
        <v/>
      </c>
      <c r="CI427">
        <f>IF($CD427="","",IFERROR(VALUE(RIGHT($CD427,3)),""))</f>
        <v/>
      </c>
      <c r="CJ427">
        <f>IF($Y427="","",IFERROR(IF(ISNUMBER($Y427),$Y427,DATEVALUE(TRIM($Y427))),""))</f>
        <v/>
      </c>
      <c r="CK427">
        <f>IF($CJ427="","",IF(MONTH($CJ427)&gt;=12,"Cold Winter",IF(MONTH($CJ427)&gt;=10,"Post-Monsoon",IF(MONTH($CJ427)&gt;=6,"Hot Humid",IF(MONTH($CJ427)&gt;=3,"Hot Dry","Cold Winter")))))</f>
        <v/>
      </c>
      <c r="CL427">
        <f>IF($CE427="","",IFERROR(VLOOKUP($CE427,DECODE!$A$3:$C$8,2,FALSE),"?"))</f>
        <v/>
      </c>
      <c r="CM427">
        <f>IF($AN427="","",AN427)</f>
        <v/>
      </c>
      <c r="CN427">
        <f>IF($AO427="","",AO427)</f>
        <v/>
      </c>
      <c r="CO427">
        <f>IF($AP427="","",AP427)</f>
        <v/>
      </c>
      <c r="CP427">
        <f>IF($CM427="","",IF($CM427="Aloe Vera Gel","Aloe Vera Gel "&amp;$CO427&amp;"g",CN427&amp;" "&amp;$CO427&amp;"g"))</f>
        <v/>
      </c>
      <c r="CQ427">
        <f>IF($AT427="",0,1)</f>
        <v/>
      </c>
      <c r="CR427">
        <f>IF($CQ427=0,"",AW427)</f>
        <v/>
      </c>
      <c r="CS427">
        <f>IF($CQ427=0,"",AX427)</f>
        <v/>
      </c>
      <c r="CT427">
        <f>IF($CQ427=0,"",AY427)</f>
        <v/>
      </c>
      <c r="CU427">
        <f>IF($CR427="","",IF($CR427="Aloe Vera Gel","Aloe Vera Gel "&amp;$CT427&amp;"g",CS427&amp;" "&amp;$CT427&amp;"g"))</f>
        <v/>
      </c>
      <c r="CV427">
        <f>IF($CQ427=0,"",IF($CP427=$CU427,"Repeat Exact",IF($CT427&gt;$CO427,"Upsized",IF($CT427&lt;$CO427,"Downsized",IF($CM427&lt;&gt;$CR427,"Lateral","Same Size Diff Variant")))))</f>
        <v/>
      </c>
      <c r="CW427">
        <f>IF($CQ427=0,"",AZ427-AQ427)</f>
        <v/>
      </c>
      <c r="CX427">
        <f>IF($CQ427=0,0,IF(CS427=CN427,1,0))</f>
        <v/>
      </c>
      <c r="CY427">
        <f>IF($CQ427=0,0,IF(CR427=CM427,1,0))</f>
        <v/>
      </c>
      <c r="CZ427">
        <f>IF($A427="","",IF(AND(IF(DASHBOARD!$C$4="All",TRUE,$CM427=DASHBOARD!$C$4),IF(DASHBOARD!$C$6="All",TRUE,$CP427=DASHBOARD!$C$6),IF(DASHBOARD!$C$8="All",TRUE,$AF427&gt;=DASHBOARD!$C$8),IF(DASHBOARD!$C$10="All",TRUE,$AF427&lt;=DASHBOARD!$C$10),IF(DASHBOARD!$C$12="All",TRUE,$AH427=VALUE(DASHBOARD!$C$12)),IF(DASHBOARD!$C$14="All",TRUE,$AJ427=DASHBOARD!$C$14)),1,0))</f>
        <v/>
      </c>
    </row>
    <row r="428">
      <c r="A428" t="n">
        <v>205544</v>
      </c>
      <c r="B428" t="inlineStr">
        <is>
          <t>Face Malai</t>
        </is>
      </c>
      <c r="H428" t="inlineStr">
        <is>
          <t>Tomato Vetiver (Hot Humid) 20 - 35 Yrs Face Malai</t>
        </is>
      </c>
      <c r="N428" t="inlineStr">
        <is>
          <t>FC-HHDM-TV-030</t>
        </is>
      </c>
      <c r="T428" t="inlineStr">
        <is>
          <t>Aug 11, 2025</t>
        </is>
      </c>
      <c r="AE428" t="inlineStr">
        <is>
          <t>Mumbai</t>
        </is>
      </c>
      <c r="AF428" t="inlineStr">
        <is>
          <t>2025-08</t>
        </is>
      </c>
      <c r="AG428" t="n">
        <v>8</v>
      </c>
      <c r="AH428" t="n">
        <v>1</v>
      </c>
      <c r="AI428" t="n">
        <v>0</v>
      </c>
      <c r="AJ428">
        <f>IF($AE428="","",IFERROR(VLOOKUP(TRIM($AE428),DECODE!$H$3:$I$60,2,FALSE),"Rest of India"))</f>
        <v/>
      </c>
      <c r="AK428">
        <f>IF($N428="","",UPPER(TRIM(LEFT($N428&amp;",",FIND(",",$N428&amp;",")-1))))</f>
        <v/>
      </c>
      <c r="AL428">
        <f>IF($AK428="","",MID($AK428,4,FIND("~",SUBSTITUTE($AK428,"-","~",2))-4))</f>
        <v/>
      </c>
      <c r="AM428">
        <f>IF($AK428="","",MID($AK428,FIND("~",SUBSTITUTE($AK428,"-","~",2))+1,FIND("~",SUBSTITUTE($AK428,"-","~",3))-FIND("~",SUBSTITUTE($AK428,"-","~",2))-1))</f>
        <v/>
      </c>
      <c r="AN428">
        <f>IF($AL428="","",IFERROR(VLOOKUP($AL428,DECODE!$A$3:$C$8,3,FALSE),"?"))</f>
        <v/>
      </c>
      <c r="AO428">
        <f>IF($AM428="","",IFERROR(VLOOKUP($AL428&amp;"-"&amp;$AM428,DECODE!$E$3:$F$21,2,FALSE),"?"))</f>
        <v/>
      </c>
      <c r="AP428">
        <f>IF($AK428="","",IFERROR(VALUE(RIGHT($AK428,3)),""))</f>
        <v/>
      </c>
      <c r="AQ428">
        <f>IF($T428="","",IFERROR(IF(ISNUMBER($T428),$T428,DATEVALUE(TRIM($T428))),""))</f>
        <v/>
      </c>
      <c r="AR428">
        <f>IF($AQ428="","",IF(MONTH($AQ428)&gt;=12,"Cold Winter",IF(MONTH($AQ428)&gt;=10,"Post-Monsoon",IF(MONTH($AQ428)&gt;=6,"Hot Humid",IF(MONTH($AQ428)&gt;=3,"Hot Dry","Cold Winter")))))</f>
        <v/>
      </c>
      <c r="AS428">
        <f>IF($AL428="","",IFERROR(VLOOKUP($AL428,DECODE!$A$3:$C$8,2,FALSE),"?"))</f>
        <v/>
      </c>
      <c r="AT428">
        <f>IF($O428="","",UPPER(TRIM(LEFT($O428&amp;",",FIND(",",$O428&amp;",")-1))))</f>
        <v/>
      </c>
      <c r="AU428">
        <f>IF($AT428="","",MID($AT428,4,FIND("~",SUBSTITUTE($AT428,"-","~",2))-4))</f>
        <v/>
      </c>
      <c r="AV428">
        <f>IF($AT428="","",MID($AT428,FIND("~",SUBSTITUTE($AT428,"-","~",2))+1,FIND("~",SUBSTITUTE($AT428,"-","~",3))-FIND("~",SUBSTITUTE($AT428,"-","~",2))-1))</f>
        <v/>
      </c>
      <c r="AW428">
        <f>IF($AU428="","",IFERROR(VLOOKUP($AU428,DECODE!$A$3:$C$8,3,FALSE),"?"))</f>
        <v/>
      </c>
      <c r="AX428">
        <f>IF($AV428="","",IFERROR(VLOOKUP($AU428&amp;"-"&amp;$AV428,DECODE!$E$3:$F$21,2,FALSE),"?"))</f>
        <v/>
      </c>
      <c r="AY428">
        <f>IF($AT428="","",IFERROR(VALUE(RIGHT($AT428,3)),""))</f>
        <v/>
      </c>
      <c r="AZ428">
        <f>IF($U428="","",IFERROR(IF(ISNUMBER($U428),$U428,DATEVALUE(TRIM($U428))),""))</f>
        <v/>
      </c>
      <c r="BA428">
        <f>IF($AZ428="","",IF(MONTH($AZ428)&gt;=12,"Cold Winter",IF(MONTH($AZ428)&gt;=10,"Post-Monsoon",IF(MONTH($AZ428)&gt;=6,"Hot Humid",IF(MONTH($AZ428)&gt;=3,"Hot Dry","Cold Winter")))))</f>
        <v/>
      </c>
      <c r="BB428">
        <f>IF($AU428="","",IFERROR(VLOOKUP($AU428,DECODE!$A$3:$C$8,2,FALSE),"?"))</f>
        <v/>
      </c>
      <c r="BC428">
        <f>IF($P428="","",UPPER(TRIM(LEFT($P428&amp;",",FIND(",",$P428&amp;",")-1))))</f>
        <v/>
      </c>
      <c r="BD428">
        <f>IF($BC428="","",MID($BC428,4,FIND("~",SUBSTITUTE($BC428,"-","~",2))-4))</f>
        <v/>
      </c>
      <c r="BE428">
        <f>IF($BC428="","",MID($BC428,FIND("~",SUBSTITUTE($BC428,"-","~",2))+1,FIND("~",SUBSTITUTE($BC428,"-","~",3))-FIND("~",SUBSTITUTE($BC428,"-","~",2))-1))</f>
        <v/>
      </c>
      <c r="BF428">
        <f>IF($BD428="","",IFERROR(VLOOKUP($BD428,DECODE!$A$3:$C$8,3,FALSE),"?"))</f>
        <v/>
      </c>
      <c r="BG428">
        <f>IF($BE428="","",IFERROR(VLOOKUP($BD428&amp;"-"&amp;$BE428,DECODE!$E$3:$F$21,2,FALSE),"?"))</f>
        <v/>
      </c>
      <c r="BH428">
        <f>IF($BC428="","",IFERROR(VALUE(RIGHT($BC428,3)),""))</f>
        <v/>
      </c>
      <c r="BI428">
        <f>IF($V428="","",IFERROR(IF(ISNUMBER($V428),$V428,DATEVALUE(TRIM($V428))),""))</f>
        <v/>
      </c>
      <c r="BJ428">
        <f>IF($BI428="","",IF(MONTH($BI428)&gt;=12,"Cold Winter",IF(MONTH($BI428)&gt;=10,"Post-Monsoon",IF(MONTH($BI428)&gt;=6,"Hot Humid",IF(MONTH($BI428)&gt;=3,"Hot Dry","Cold Winter")))))</f>
        <v/>
      </c>
      <c r="BK428">
        <f>IF($BD428="","",IFERROR(VLOOKUP($BD428,DECODE!$A$3:$C$8,2,FALSE),"?"))</f>
        <v/>
      </c>
      <c r="BL428">
        <f>IF($Q428="","",UPPER(TRIM(LEFT($Q428&amp;",",FIND(",",$Q428&amp;",")-1))))</f>
        <v/>
      </c>
      <c r="BM428">
        <f>IF($BL428="","",MID($BL428,4,FIND("~",SUBSTITUTE($BL428,"-","~",2))-4))</f>
        <v/>
      </c>
      <c r="BN428">
        <f>IF($BL428="","",MID($BL428,FIND("~",SUBSTITUTE($BL428,"-","~",2))+1,FIND("~",SUBSTITUTE($BL428,"-","~",3))-FIND("~",SUBSTITUTE($BL428,"-","~",2))-1))</f>
        <v/>
      </c>
      <c r="BO428">
        <f>IF($BM428="","",IFERROR(VLOOKUP($BM428,DECODE!$A$3:$C$8,3,FALSE),"?"))</f>
        <v/>
      </c>
      <c r="BP428">
        <f>IF($BN428="","",IFERROR(VLOOKUP($BM428&amp;"-"&amp;$BN428,DECODE!$E$3:$F$21,2,FALSE),"?"))</f>
        <v/>
      </c>
      <c r="BQ428">
        <f>IF($BL428="","",IFERROR(VALUE(RIGHT($BL428,3)),""))</f>
        <v/>
      </c>
      <c r="BR428">
        <f>IF($W428="","",IFERROR(IF(ISNUMBER($W428),$W428,DATEVALUE(TRIM($W428))),""))</f>
        <v/>
      </c>
      <c r="BS428">
        <f>IF($BR428="","",IF(MONTH($BR428)&gt;=12,"Cold Winter",IF(MONTH($BR428)&gt;=10,"Post-Monsoon",IF(MONTH($BR428)&gt;=6,"Hot Humid",IF(MONTH($BR428)&gt;=3,"Hot Dry","Cold Winter")))))</f>
        <v/>
      </c>
      <c r="BT428">
        <f>IF($BM428="","",IFERROR(VLOOKUP($BM428,DECODE!$A$3:$C$8,2,FALSE),"?"))</f>
        <v/>
      </c>
      <c r="BU428">
        <f>IF($R428="","",UPPER(TRIM(LEFT($R428&amp;",",FIND(",",$R428&amp;",")-1))))</f>
        <v/>
      </c>
      <c r="BV428">
        <f>IF($BU428="","",MID($BU428,4,FIND("~",SUBSTITUTE($BU428,"-","~",2))-4))</f>
        <v/>
      </c>
      <c r="BW428">
        <f>IF($BU428="","",MID($BU428,FIND("~",SUBSTITUTE($BU428,"-","~",2))+1,FIND("~",SUBSTITUTE($BU428,"-","~",3))-FIND("~",SUBSTITUTE($BU428,"-","~",2))-1))</f>
        <v/>
      </c>
      <c r="BX428">
        <f>IF($BV428="","",IFERROR(VLOOKUP($BV428,DECODE!$A$3:$C$8,3,FALSE),"?"))</f>
        <v/>
      </c>
      <c r="BY428">
        <f>IF($BW428="","",IFERROR(VLOOKUP($BV428&amp;"-"&amp;$BW428,DECODE!$E$3:$F$21,2,FALSE),"?"))</f>
        <v/>
      </c>
      <c r="BZ428">
        <f>IF($BU428="","",IFERROR(VALUE(RIGHT($BU428,3)),""))</f>
        <v/>
      </c>
      <c r="CA428">
        <f>IF($X428="","",IFERROR(IF(ISNUMBER($X428),$X428,DATEVALUE(TRIM($X428))),""))</f>
        <v/>
      </c>
      <c r="CB428">
        <f>IF($CA428="","",IF(MONTH($CA428)&gt;=12,"Cold Winter",IF(MONTH($CA428)&gt;=10,"Post-Monsoon",IF(MONTH($CA428)&gt;=6,"Hot Humid",IF(MONTH($CA428)&gt;=3,"Hot Dry","Cold Winter")))))</f>
        <v/>
      </c>
      <c r="CC428">
        <f>IF($BV428="","",IFERROR(VLOOKUP($BV428,DECODE!$A$3:$C$8,2,FALSE),"?"))</f>
        <v/>
      </c>
      <c r="CD428">
        <f>IF($S428="","",UPPER(TRIM(LEFT($S428&amp;",",FIND(",",$S428&amp;",")-1))))</f>
        <v/>
      </c>
      <c r="CE428">
        <f>IF($CD428="","",MID($CD428,4,FIND("~",SUBSTITUTE($CD428,"-","~",2))-4))</f>
        <v/>
      </c>
      <c r="CF428">
        <f>IF($CD428="","",MID($CD428,FIND("~",SUBSTITUTE($CD428,"-","~",2))+1,FIND("~",SUBSTITUTE($CD428,"-","~",3))-FIND("~",SUBSTITUTE($CD428,"-","~",2))-1))</f>
        <v/>
      </c>
      <c r="CG428">
        <f>IF($CE428="","",IFERROR(VLOOKUP($CE428,DECODE!$A$3:$C$8,3,FALSE),"?"))</f>
        <v/>
      </c>
      <c r="CH428">
        <f>IF($CF428="","",IFERROR(VLOOKUP($CE428&amp;"-"&amp;$CF428,DECODE!$E$3:$F$21,2,FALSE),"?"))</f>
        <v/>
      </c>
      <c r="CI428">
        <f>IF($CD428="","",IFERROR(VALUE(RIGHT($CD428,3)),""))</f>
        <v/>
      </c>
      <c r="CJ428">
        <f>IF($Y428="","",IFERROR(IF(ISNUMBER($Y428),$Y428,DATEVALUE(TRIM($Y428))),""))</f>
        <v/>
      </c>
      <c r="CK428">
        <f>IF($CJ428="","",IF(MONTH($CJ428)&gt;=12,"Cold Winter",IF(MONTH($CJ428)&gt;=10,"Post-Monsoon",IF(MONTH($CJ428)&gt;=6,"Hot Humid",IF(MONTH($CJ428)&gt;=3,"Hot Dry","Cold Winter")))))</f>
        <v/>
      </c>
      <c r="CL428">
        <f>IF($CE428="","",IFERROR(VLOOKUP($CE428,DECODE!$A$3:$C$8,2,FALSE),"?"))</f>
        <v/>
      </c>
      <c r="CM428">
        <f>IF($AN428="","",AN428)</f>
        <v/>
      </c>
      <c r="CN428">
        <f>IF($AO428="","",AO428)</f>
        <v/>
      </c>
      <c r="CO428">
        <f>IF($AP428="","",AP428)</f>
        <v/>
      </c>
      <c r="CP428">
        <f>IF($CM428="","",IF($CM428="Aloe Vera Gel","Aloe Vera Gel "&amp;$CO428&amp;"g",CN428&amp;" "&amp;$CO428&amp;"g"))</f>
        <v/>
      </c>
      <c r="CQ428">
        <f>IF($AT428="",0,1)</f>
        <v/>
      </c>
      <c r="CR428">
        <f>IF($CQ428=0,"",AW428)</f>
        <v/>
      </c>
      <c r="CS428">
        <f>IF($CQ428=0,"",AX428)</f>
        <v/>
      </c>
      <c r="CT428">
        <f>IF($CQ428=0,"",AY428)</f>
        <v/>
      </c>
      <c r="CU428">
        <f>IF($CR428="","",IF($CR428="Aloe Vera Gel","Aloe Vera Gel "&amp;$CT428&amp;"g",CS428&amp;" "&amp;$CT428&amp;"g"))</f>
        <v/>
      </c>
      <c r="CV428">
        <f>IF($CQ428=0,"",IF($CP428=$CU428,"Repeat Exact",IF($CT428&gt;$CO428,"Upsized",IF($CT428&lt;$CO428,"Downsized",IF($CM428&lt;&gt;$CR428,"Lateral","Same Size Diff Variant")))))</f>
        <v/>
      </c>
      <c r="CW428">
        <f>IF($CQ428=0,"",AZ428-AQ428)</f>
        <v/>
      </c>
      <c r="CX428">
        <f>IF($CQ428=0,0,IF(CS428=CN428,1,0))</f>
        <v/>
      </c>
      <c r="CY428">
        <f>IF($CQ428=0,0,IF(CR428=CM428,1,0))</f>
        <v/>
      </c>
      <c r="CZ428">
        <f>IF($A428="","",IF(AND(IF(DASHBOARD!$C$4="All",TRUE,$CM428=DASHBOARD!$C$4),IF(DASHBOARD!$C$6="All",TRUE,$CP428=DASHBOARD!$C$6),IF(DASHBOARD!$C$8="All",TRUE,$AF428&gt;=DASHBOARD!$C$8),IF(DASHBOARD!$C$10="All",TRUE,$AF428&lt;=DASHBOARD!$C$10),IF(DASHBOARD!$C$12="All",TRUE,$AH428=VALUE(DASHBOARD!$C$12)),IF(DASHBOARD!$C$14="All",TRUE,$AJ428=DASHBOARD!$C$14)),1,0))</f>
        <v/>
      </c>
    </row>
    <row r="429">
      <c r="A429" t="n">
        <v>206501</v>
      </c>
      <c r="B429" t="inlineStr">
        <is>
          <t>Aloe Vera Gel</t>
        </is>
      </c>
      <c r="H429" t="inlineStr">
        <is>
          <t>Aloe Vera Gel - 40 gms</t>
        </is>
      </c>
      <c r="N429" t="inlineStr">
        <is>
          <t>FC-HG-PA-040</t>
        </is>
      </c>
      <c r="T429" t="inlineStr">
        <is>
          <t>Jun 30, 2024</t>
        </is>
      </c>
      <c r="AE429" t="inlineStr">
        <is>
          <t>New Delhi</t>
        </is>
      </c>
      <c r="AF429" t="inlineStr">
        <is>
          <t>2024-06</t>
        </is>
      </c>
      <c r="AG429" t="n">
        <v>6</v>
      </c>
      <c r="AH429" t="n">
        <v>1</v>
      </c>
      <c r="AI429" t="n">
        <v>0</v>
      </c>
      <c r="AJ429">
        <f>IF($AE429="","",IFERROR(VLOOKUP(TRIM($AE429),DECODE!$H$3:$I$60,2,FALSE),"Rest of India"))</f>
        <v/>
      </c>
      <c r="AK429">
        <f>IF($N429="","",UPPER(TRIM(LEFT($N429&amp;",",FIND(",",$N429&amp;",")-1))))</f>
        <v/>
      </c>
      <c r="AL429">
        <f>IF($AK429="","",MID($AK429,4,FIND("~",SUBSTITUTE($AK429,"-","~",2))-4))</f>
        <v/>
      </c>
      <c r="AM429">
        <f>IF($AK429="","",MID($AK429,FIND("~",SUBSTITUTE($AK429,"-","~",2))+1,FIND("~",SUBSTITUTE($AK429,"-","~",3))-FIND("~",SUBSTITUTE($AK429,"-","~",2))-1))</f>
        <v/>
      </c>
      <c r="AN429">
        <f>IF($AL429="","",IFERROR(VLOOKUP($AL429,DECODE!$A$3:$C$8,3,FALSE),"?"))</f>
        <v/>
      </c>
      <c r="AO429">
        <f>IF($AM429="","",IFERROR(VLOOKUP($AL429&amp;"-"&amp;$AM429,DECODE!$E$3:$F$21,2,FALSE),"?"))</f>
        <v/>
      </c>
      <c r="AP429">
        <f>IF($AK429="","",IFERROR(VALUE(RIGHT($AK429,3)),""))</f>
        <v/>
      </c>
      <c r="AQ429">
        <f>IF($T429="","",IFERROR(IF(ISNUMBER($T429),$T429,DATEVALUE(TRIM($T429))),""))</f>
        <v/>
      </c>
      <c r="AR429">
        <f>IF($AQ429="","",IF(MONTH($AQ429)&gt;=12,"Cold Winter",IF(MONTH($AQ429)&gt;=10,"Post-Monsoon",IF(MONTH($AQ429)&gt;=6,"Hot Humid",IF(MONTH($AQ429)&gt;=3,"Hot Dry","Cold Winter")))))</f>
        <v/>
      </c>
      <c r="AS429">
        <f>IF($AL429="","",IFERROR(VLOOKUP($AL429,DECODE!$A$3:$C$8,2,FALSE),"?"))</f>
        <v/>
      </c>
      <c r="AT429">
        <f>IF($O429="","",UPPER(TRIM(LEFT($O429&amp;",",FIND(",",$O429&amp;",")-1))))</f>
        <v/>
      </c>
      <c r="AU429">
        <f>IF($AT429="","",MID($AT429,4,FIND("~",SUBSTITUTE($AT429,"-","~",2))-4))</f>
        <v/>
      </c>
      <c r="AV429">
        <f>IF($AT429="","",MID($AT429,FIND("~",SUBSTITUTE($AT429,"-","~",2))+1,FIND("~",SUBSTITUTE($AT429,"-","~",3))-FIND("~",SUBSTITUTE($AT429,"-","~",2))-1))</f>
        <v/>
      </c>
      <c r="AW429">
        <f>IF($AU429="","",IFERROR(VLOOKUP($AU429,DECODE!$A$3:$C$8,3,FALSE),"?"))</f>
        <v/>
      </c>
      <c r="AX429">
        <f>IF($AV429="","",IFERROR(VLOOKUP($AU429&amp;"-"&amp;$AV429,DECODE!$E$3:$F$21,2,FALSE),"?"))</f>
        <v/>
      </c>
      <c r="AY429">
        <f>IF($AT429="","",IFERROR(VALUE(RIGHT($AT429,3)),""))</f>
        <v/>
      </c>
      <c r="AZ429">
        <f>IF($U429="","",IFERROR(IF(ISNUMBER($U429),$U429,DATEVALUE(TRIM($U429))),""))</f>
        <v/>
      </c>
      <c r="BA429">
        <f>IF($AZ429="","",IF(MONTH($AZ429)&gt;=12,"Cold Winter",IF(MONTH($AZ429)&gt;=10,"Post-Monsoon",IF(MONTH($AZ429)&gt;=6,"Hot Humid",IF(MONTH($AZ429)&gt;=3,"Hot Dry","Cold Winter")))))</f>
        <v/>
      </c>
      <c r="BB429">
        <f>IF($AU429="","",IFERROR(VLOOKUP($AU429,DECODE!$A$3:$C$8,2,FALSE),"?"))</f>
        <v/>
      </c>
      <c r="BC429">
        <f>IF($P429="","",UPPER(TRIM(LEFT($P429&amp;",",FIND(",",$P429&amp;",")-1))))</f>
        <v/>
      </c>
      <c r="BD429">
        <f>IF($BC429="","",MID($BC429,4,FIND("~",SUBSTITUTE($BC429,"-","~",2))-4))</f>
        <v/>
      </c>
      <c r="BE429">
        <f>IF($BC429="","",MID($BC429,FIND("~",SUBSTITUTE($BC429,"-","~",2))+1,FIND("~",SUBSTITUTE($BC429,"-","~",3))-FIND("~",SUBSTITUTE($BC429,"-","~",2))-1))</f>
        <v/>
      </c>
      <c r="BF429">
        <f>IF($BD429="","",IFERROR(VLOOKUP($BD429,DECODE!$A$3:$C$8,3,FALSE),"?"))</f>
        <v/>
      </c>
      <c r="BG429">
        <f>IF($BE429="","",IFERROR(VLOOKUP($BD429&amp;"-"&amp;$BE429,DECODE!$E$3:$F$21,2,FALSE),"?"))</f>
        <v/>
      </c>
      <c r="BH429">
        <f>IF($BC429="","",IFERROR(VALUE(RIGHT($BC429,3)),""))</f>
        <v/>
      </c>
      <c r="BI429">
        <f>IF($V429="","",IFERROR(IF(ISNUMBER($V429),$V429,DATEVALUE(TRIM($V429))),""))</f>
        <v/>
      </c>
      <c r="BJ429">
        <f>IF($BI429="","",IF(MONTH($BI429)&gt;=12,"Cold Winter",IF(MONTH($BI429)&gt;=10,"Post-Monsoon",IF(MONTH($BI429)&gt;=6,"Hot Humid",IF(MONTH($BI429)&gt;=3,"Hot Dry","Cold Winter")))))</f>
        <v/>
      </c>
      <c r="BK429">
        <f>IF($BD429="","",IFERROR(VLOOKUP($BD429,DECODE!$A$3:$C$8,2,FALSE),"?"))</f>
        <v/>
      </c>
      <c r="BL429">
        <f>IF($Q429="","",UPPER(TRIM(LEFT($Q429&amp;",",FIND(",",$Q429&amp;",")-1))))</f>
        <v/>
      </c>
      <c r="BM429">
        <f>IF($BL429="","",MID($BL429,4,FIND("~",SUBSTITUTE($BL429,"-","~",2))-4))</f>
        <v/>
      </c>
      <c r="BN429">
        <f>IF($BL429="","",MID($BL429,FIND("~",SUBSTITUTE($BL429,"-","~",2))+1,FIND("~",SUBSTITUTE($BL429,"-","~",3))-FIND("~",SUBSTITUTE($BL429,"-","~",2))-1))</f>
        <v/>
      </c>
      <c r="BO429">
        <f>IF($BM429="","",IFERROR(VLOOKUP($BM429,DECODE!$A$3:$C$8,3,FALSE),"?"))</f>
        <v/>
      </c>
      <c r="BP429">
        <f>IF($BN429="","",IFERROR(VLOOKUP($BM429&amp;"-"&amp;$BN429,DECODE!$E$3:$F$21,2,FALSE),"?"))</f>
        <v/>
      </c>
      <c r="BQ429">
        <f>IF($BL429="","",IFERROR(VALUE(RIGHT($BL429,3)),""))</f>
        <v/>
      </c>
      <c r="BR429">
        <f>IF($W429="","",IFERROR(IF(ISNUMBER($W429),$W429,DATEVALUE(TRIM($W429))),""))</f>
        <v/>
      </c>
      <c r="BS429">
        <f>IF($BR429="","",IF(MONTH($BR429)&gt;=12,"Cold Winter",IF(MONTH($BR429)&gt;=10,"Post-Monsoon",IF(MONTH($BR429)&gt;=6,"Hot Humid",IF(MONTH($BR429)&gt;=3,"Hot Dry","Cold Winter")))))</f>
        <v/>
      </c>
      <c r="BT429">
        <f>IF($BM429="","",IFERROR(VLOOKUP($BM429,DECODE!$A$3:$C$8,2,FALSE),"?"))</f>
        <v/>
      </c>
      <c r="BU429">
        <f>IF($R429="","",UPPER(TRIM(LEFT($R429&amp;",",FIND(",",$R429&amp;",")-1))))</f>
        <v/>
      </c>
      <c r="BV429">
        <f>IF($BU429="","",MID($BU429,4,FIND("~",SUBSTITUTE($BU429,"-","~",2))-4))</f>
        <v/>
      </c>
      <c r="BW429">
        <f>IF($BU429="","",MID($BU429,FIND("~",SUBSTITUTE($BU429,"-","~",2))+1,FIND("~",SUBSTITUTE($BU429,"-","~",3))-FIND("~",SUBSTITUTE($BU429,"-","~",2))-1))</f>
        <v/>
      </c>
      <c r="BX429">
        <f>IF($BV429="","",IFERROR(VLOOKUP($BV429,DECODE!$A$3:$C$8,3,FALSE),"?"))</f>
        <v/>
      </c>
      <c r="BY429">
        <f>IF($BW429="","",IFERROR(VLOOKUP($BV429&amp;"-"&amp;$BW429,DECODE!$E$3:$F$21,2,FALSE),"?"))</f>
        <v/>
      </c>
      <c r="BZ429">
        <f>IF($BU429="","",IFERROR(VALUE(RIGHT($BU429,3)),""))</f>
        <v/>
      </c>
      <c r="CA429">
        <f>IF($X429="","",IFERROR(IF(ISNUMBER($X429),$X429,DATEVALUE(TRIM($X429))),""))</f>
        <v/>
      </c>
      <c r="CB429">
        <f>IF($CA429="","",IF(MONTH($CA429)&gt;=12,"Cold Winter",IF(MONTH($CA429)&gt;=10,"Post-Monsoon",IF(MONTH($CA429)&gt;=6,"Hot Humid",IF(MONTH($CA429)&gt;=3,"Hot Dry","Cold Winter")))))</f>
        <v/>
      </c>
      <c r="CC429">
        <f>IF($BV429="","",IFERROR(VLOOKUP($BV429,DECODE!$A$3:$C$8,2,FALSE),"?"))</f>
        <v/>
      </c>
      <c r="CD429">
        <f>IF($S429="","",UPPER(TRIM(LEFT($S429&amp;",",FIND(",",$S429&amp;",")-1))))</f>
        <v/>
      </c>
      <c r="CE429">
        <f>IF($CD429="","",MID($CD429,4,FIND("~",SUBSTITUTE($CD429,"-","~",2))-4))</f>
        <v/>
      </c>
      <c r="CF429">
        <f>IF($CD429="","",MID($CD429,FIND("~",SUBSTITUTE($CD429,"-","~",2))+1,FIND("~",SUBSTITUTE($CD429,"-","~",3))-FIND("~",SUBSTITUTE($CD429,"-","~",2))-1))</f>
        <v/>
      </c>
      <c r="CG429">
        <f>IF($CE429="","",IFERROR(VLOOKUP($CE429,DECODE!$A$3:$C$8,3,FALSE),"?"))</f>
        <v/>
      </c>
      <c r="CH429">
        <f>IF($CF429="","",IFERROR(VLOOKUP($CE429&amp;"-"&amp;$CF429,DECODE!$E$3:$F$21,2,FALSE),"?"))</f>
        <v/>
      </c>
      <c r="CI429">
        <f>IF($CD429="","",IFERROR(VALUE(RIGHT($CD429,3)),""))</f>
        <v/>
      </c>
      <c r="CJ429">
        <f>IF($Y429="","",IFERROR(IF(ISNUMBER($Y429),$Y429,DATEVALUE(TRIM($Y429))),""))</f>
        <v/>
      </c>
      <c r="CK429">
        <f>IF($CJ429="","",IF(MONTH($CJ429)&gt;=12,"Cold Winter",IF(MONTH($CJ429)&gt;=10,"Post-Monsoon",IF(MONTH($CJ429)&gt;=6,"Hot Humid",IF(MONTH($CJ429)&gt;=3,"Hot Dry","Cold Winter")))))</f>
        <v/>
      </c>
      <c r="CL429">
        <f>IF($CE429="","",IFERROR(VLOOKUP($CE429,DECODE!$A$3:$C$8,2,FALSE),"?"))</f>
        <v/>
      </c>
      <c r="CM429">
        <f>IF($AN429="","",AN429)</f>
        <v/>
      </c>
      <c r="CN429">
        <f>IF($AO429="","",AO429)</f>
        <v/>
      </c>
      <c r="CO429">
        <f>IF($AP429="","",AP429)</f>
        <v/>
      </c>
      <c r="CP429">
        <f>IF($CM429="","",IF($CM429="Aloe Vera Gel","Aloe Vera Gel "&amp;$CO429&amp;"g",CN429&amp;" "&amp;$CO429&amp;"g"))</f>
        <v/>
      </c>
      <c r="CQ429">
        <f>IF($AT429="",0,1)</f>
        <v/>
      </c>
      <c r="CR429">
        <f>IF($CQ429=0,"",AW429)</f>
        <v/>
      </c>
      <c r="CS429">
        <f>IF($CQ429=0,"",AX429)</f>
        <v/>
      </c>
      <c r="CT429">
        <f>IF($CQ429=0,"",AY429)</f>
        <v/>
      </c>
      <c r="CU429">
        <f>IF($CR429="","",IF($CR429="Aloe Vera Gel","Aloe Vera Gel "&amp;$CT429&amp;"g",CS429&amp;" "&amp;$CT429&amp;"g"))</f>
        <v/>
      </c>
      <c r="CV429">
        <f>IF($CQ429=0,"",IF($CP429=$CU429,"Repeat Exact",IF($CT429&gt;$CO429,"Upsized",IF($CT429&lt;$CO429,"Downsized",IF($CM429&lt;&gt;$CR429,"Lateral","Same Size Diff Variant")))))</f>
        <v/>
      </c>
      <c r="CW429">
        <f>IF($CQ429=0,"",AZ429-AQ429)</f>
        <v/>
      </c>
      <c r="CX429">
        <f>IF($CQ429=0,0,IF(CS429=CN429,1,0))</f>
        <v/>
      </c>
      <c r="CY429">
        <f>IF($CQ429=0,0,IF(CR429=CM429,1,0))</f>
        <v/>
      </c>
      <c r="CZ429">
        <f>IF($A429="","",IF(AND(IF(DASHBOARD!$C$4="All",TRUE,$CM429=DASHBOARD!$C$4),IF(DASHBOARD!$C$6="All",TRUE,$CP429=DASHBOARD!$C$6),IF(DASHBOARD!$C$8="All",TRUE,$AF429&gt;=DASHBOARD!$C$8),IF(DASHBOARD!$C$10="All",TRUE,$AF429&lt;=DASHBOARD!$C$10),IF(DASHBOARD!$C$12="All",TRUE,$AH429=VALUE(DASHBOARD!$C$12)),IF(DASHBOARD!$C$14="All",TRUE,$AJ429=DASHBOARD!$C$14)),1,0))</f>
        <v/>
      </c>
    </row>
    <row r="430">
      <c r="A430" t="n">
        <v>206965</v>
      </c>
      <c r="B430" t="inlineStr">
        <is>
          <t>Aloe Vera Gel</t>
        </is>
      </c>
      <c r="H430" t="inlineStr">
        <is>
          <t>Aloe Vera Gel - 40 gms</t>
        </is>
      </c>
      <c r="N430" t="inlineStr">
        <is>
          <t>FC-HG-PA-040</t>
        </is>
      </c>
      <c r="T430" t="inlineStr">
        <is>
          <t>Aug 14, 2024</t>
        </is>
      </c>
      <c r="AE430" t="inlineStr">
        <is>
          <t>Coimbatore</t>
        </is>
      </c>
      <c r="AF430" t="inlineStr">
        <is>
          <t>2024-08</t>
        </is>
      </c>
      <c r="AG430" t="n">
        <v>8</v>
      </c>
      <c r="AH430" t="n">
        <v>1</v>
      </c>
      <c r="AI430" t="n">
        <v>0</v>
      </c>
      <c r="AJ430">
        <f>IF($AE430="","",IFERROR(VLOOKUP(TRIM($AE430),DECODE!$H$3:$I$60,2,FALSE),"Rest of India"))</f>
        <v/>
      </c>
      <c r="AK430">
        <f>IF($N430="","",UPPER(TRIM(LEFT($N430&amp;",",FIND(",",$N430&amp;",")-1))))</f>
        <v/>
      </c>
      <c r="AL430">
        <f>IF($AK430="","",MID($AK430,4,FIND("~",SUBSTITUTE($AK430,"-","~",2))-4))</f>
        <v/>
      </c>
      <c r="AM430">
        <f>IF($AK430="","",MID($AK430,FIND("~",SUBSTITUTE($AK430,"-","~",2))+1,FIND("~",SUBSTITUTE($AK430,"-","~",3))-FIND("~",SUBSTITUTE($AK430,"-","~",2))-1))</f>
        <v/>
      </c>
      <c r="AN430">
        <f>IF($AL430="","",IFERROR(VLOOKUP($AL430,DECODE!$A$3:$C$8,3,FALSE),"?"))</f>
        <v/>
      </c>
      <c r="AO430">
        <f>IF($AM430="","",IFERROR(VLOOKUP($AL430&amp;"-"&amp;$AM430,DECODE!$E$3:$F$21,2,FALSE),"?"))</f>
        <v/>
      </c>
      <c r="AP430">
        <f>IF($AK430="","",IFERROR(VALUE(RIGHT($AK430,3)),""))</f>
        <v/>
      </c>
      <c r="AQ430">
        <f>IF($T430="","",IFERROR(IF(ISNUMBER($T430),$T430,DATEVALUE(TRIM($T430))),""))</f>
        <v/>
      </c>
      <c r="AR430">
        <f>IF($AQ430="","",IF(MONTH($AQ430)&gt;=12,"Cold Winter",IF(MONTH($AQ430)&gt;=10,"Post-Monsoon",IF(MONTH($AQ430)&gt;=6,"Hot Humid",IF(MONTH($AQ430)&gt;=3,"Hot Dry","Cold Winter")))))</f>
        <v/>
      </c>
      <c r="AS430">
        <f>IF($AL430="","",IFERROR(VLOOKUP($AL430,DECODE!$A$3:$C$8,2,FALSE),"?"))</f>
        <v/>
      </c>
      <c r="AT430">
        <f>IF($O430="","",UPPER(TRIM(LEFT($O430&amp;",",FIND(",",$O430&amp;",")-1))))</f>
        <v/>
      </c>
      <c r="AU430">
        <f>IF($AT430="","",MID($AT430,4,FIND("~",SUBSTITUTE($AT430,"-","~",2))-4))</f>
        <v/>
      </c>
      <c r="AV430">
        <f>IF($AT430="","",MID($AT430,FIND("~",SUBSTITUTE($AT430,"-","~",2))+1,FIND("~",SUBSTITUTE($AT430,"-","~",3))-FIND("~",SUBSTITUTE($AT430,"-","~",2))-1))</f>
        <v/>
      </c>
      <c r="AW430">
        <f>IF($AU430="","",IFERROR(VLOOKUP($AU430,DECODE!$A$3:$C$8,3,FALSE),"?"))</f>
        <v/>
      </c>
      <c r="AX430">
        <f>IF($AV430="","",IFERROR(VLOOKUP($AU430&amp;"-"&amp;$AV430,DECODE!$E$3:$F$21,2,FALSE),"?"))</f>
        <v/>
      </c>
      <c r="AY430">
        <f>IF($AT430="","",IFERROR(VALUE(RIGHT($AT430,3)),""))</f>
        <v/>
      </c>
      <c r="AZ430">
        <f>IF($U430="","",IFERROR(IF(ISNUMBER($U430),$U430,DATEVALUE(TRIM($U430))),""))</f>
        <v/>
      </c>
      <c r="BA430">
        <f>IF($AZ430="","",IF(MONTH($AZ430)&gt;=12,"Cold Winter",IF(MONTH($AZ430)&gt;=10,"Post-Monsoon",IF(MONTH($AZ430)&gt;=6,"Hot Humid",IF(MONTH($AZ430)&gt;=3,"Hot Dry","Cold Winter")))))</f>
        <v/>
      </c>
      <c r="BB430">
        <f>IF($AU430="","",IFERROR(VLOOKUP($AU430,DECODE!$A$3:$C$8,2,FALSE),"?"))</f>
        <v/>
      </c>
      <c r="BC430">
        <f>IF($P430="","",UPPER(TRIM(LEFT($P430&amp;",",FIND(",",$P430&amp;",")-1))))</f>
        <v/>
      </c>
      <c r="BD430">
        <f>IF($BC430="","",MID($BC430,4,FIND("~",SUBSTITUTE($BC430,"-","~",2))-4))</f>
        <v/>
      </c>
      <c r="BE430">
        <f>IF($BC430="","",MID($BC430,FIND("~",SUBSTITUTE($BC430,"-","~",2))+1,FIND("~",SUBSTITUTE($BC430,"-","~",3))-FIND("~",SUBSTITUTE($BC430,"-","~",2))-1))</f>
        <v/>
      </c>
      <c r="BF430">
        <f>IF($BD430="","",IFERROR(VLOOKUP($BD430,DECODE!$A$3:$C$8,3,FALSE),"?"))</f>
        <v/>
      </c>
      <c r="BG430">
        <f>IF($BE430="","",IFERROR(VLOOKUP($BD430&amp;"-"&amp;$BE430,DECODE!$E$3:$F$21,2,FALSE),"?"))</f>
        <v/>
      </c>
      <c r="BH430">
        <f>IF($BC430="","",IFERROR(VALUE(RIGHT($BC430,3)),""))</f>
        <v/>
      </c>
      <c r="BI430">
        <f>IF($V430="","",IFERROR(IF(ISNUMBER($V430),$V430,DATEVALUE(TRIM($V430))),""))</f>
        <v/>
      </c>
      <c r="BJ430">
        <f>IF($BI430="","",IF(MONTH($BI430)&gt;=12,"Cold Winter",IF(MONTH($BI430)&gt;=10,"Post-Monsoon",IF(MONTH($BI430)&gt;=6,"Hot Humid",IF(MONTH($BI430)&gt;=3,"Hot Dry","Cold Winter")))))</f>
        <v/>
      </c>
      <c r="BK430">
        <f>IF($BD430="","",IFERROR(VLOOKUP($BD430,DECODE!$A$3:$C$8,2,FALSE),"?"))</f>
        <v/>
      </c>
      <c r="BL430">
        <f>IF($Q430="","",UPPER(TRIM(LEFT($Q430&amp;",",FIND(",",$Q430&amp;",")-1))))</f>
        <v/>
      </c>
      <c r="BM430">
        <f>IF($BL430="","",MID($BL430,4,FIND("~",SUBSTITUTE($BL430,"-","~",2))-4))</f>
        <v/>
      </c>
      <c r="BN430">
        <f>IF($BL430="","",MID($BL430,FIND("~",SUBSTITUTE($BL430,"-","~",2))+1,FIND("~",SUBSTITUTE($BL430,"-","~",3))-FIND("~",SUBSTITUTE($BL430,"-","~",2))-1))</f>
        <v/>
      </c>
      <c r="BO430">
        <f>IF($BM430="","",IFERROR(VLOOKUP($BM430,DECODE!$A$3:$C$8,3,FALSE),"?"))</f>
        <v/>
      </c>
      <c r="BP430">
        <f>IF($BN430="","",IFERROR(VLOOKUP($BM430&amp;"-"&amp;$BN430,DECODE!$E$3:$F$21,2,FALSE),"?"))</f>
        <v/>
      </c>
      <c r="BQ430">
        <f>IF($BL430="","",IFERROR(VALUE(RIGHT($BL430,3)),""))</f>
        <v/>
      </c>
      <c r="BR430">
        <f>IF($W430="","",IFERROR(IF(ISNUMBER($W430),$W430,DATEVALUE(TRIM($W430))),""))</f>
        <v/>
      </c>
      <c r="BS430">
        <f>IF($BR430="","",IF(MONTH($BR430)&gt;=12,"Cold Winter",IF(MONTH($BR430)&gt;=10,"Post-Monsoon",IF(MONTH($BR430)&gt;=6,"Hot Humid",IF(MONTH($BR430)&gt;=3,"Hot Dry","Cold Winter")))))</f>
        <v/>
      </c>
      <c r="BT430">
        <f>IF($BM430="","",IFERROR(VLOOKUP($BM430,DECODE!$A$3:$C$8,2,FALSE),"?"))</f>
        <v/>
      </c>
      <c r="BU430">
        <f>IF($R430="","",UPPER(TRIM(LEFT($R430&amp;",",FIND(",",$R430&amp;",")-1))))</f>
        <v/>
      </c>
      <c r="BV430">
        <f>IF($BU430="","",MID($BU430,4,FIND("~",SUBSTITUTE($BU430,"-","~",2))-4))</f>
        <v/>
      </c>
      <c r="BW430">
        <f>IF($BU430="","",MID($BU430,FIND("~",SUBSTITUTE($BU430,"-","~",2))+1,FIND("~",SUBSTITUTE($BU430,"-","~",3))-FIND("~",SUBSTITUTE($BU430,"-","~",2))-1))</f>
        <v/>
      </c>
      <c r="BX430">
        <f>IF($BV430="","",IFERROR(VLOOKUP($BV430,DECODE!$A$3:$C$8,3,FALSE),"?"))</f>
        <v/>
      </c>
      <c r="BY430">
        <f>IF($BW430="","",IFERROR(VLOOKUP($BV430&amp;"-"&amp;$BW430,DECODE!$E$3:$F$21,2,FALSE),"?"))</f>
        <v/>
      </c>
      <c r="BZ430">
        <f>IF($BU430="","",IFERROR(VALUE(RIGHT($BU430,3)),""))</f>
        <v/>
      </c>
      <c r="CA430">
        <f>IF($X430="","",IFERROR(IF(ISNUMBER($X430),$X430,DATEVALUE(TRIM($X430))),""))</f>
        <v/>
      </c>
      <c r="CB430">
        <f>IF($CA430="","",IF(MONTH($CA430)&gt;=12,"Cold Winter",IF(MONTH($CA430)&gt;=10,"Post-Monsoon",IF(MONTH($CA430)&gt;=6,"Hot Humid",IF(MONTH($CA430)&gt;=3,"Hot Dry","Cold Winter")))))</f>
        <v/>
      </c>
      <c r="CC430">
        <f>IF($BV430="","",IFERROR(VLOOKUP($BV430,DECODE!$A$3:$C$8,2,FALSE),"?"))</f>
        <v/>
      </c>
      <c r="CD430">
        <f>IF($S430="","",UPPER(TRIM(LEFT($S430&amp;",",FIND(",",$S430&amp;",")-1))))</f>
        <v/>
      </c>
      <c r="CE430">
        <f>IF($CD430="","",MID($CD430,4,FIND("~",SUBSTITUTE($CD430,"-","~",2))-4))</f>
        <v/>
      </c>
      <c r="CF430">
        <f>IF($CD430="","",MID($CD430,FIND("~",SUBSTITUTE($CD430,"-","~",2))+1,FIND("~",SUBSTITUTE($CD430,"-","~",3))-FIND("~",SUBSTITUTE($CD430,"-","~",2))-1))</f>
        <v/>
      </c>
      <c r="CG430">
        <f>IF($CE430="","",IFERROR(VLOOKUP($CE430,DECODE!$A$3:$C$8,3,FALSE),"?"))</f>
        <v/>
      </c>
      <c r="CH430">
        <f>IF($CF430="","",IFERROR(VLOOKUP($CE430&amp;"-"&amp;$CF430,DECODE!$E$3:$F$21,2,FALSE),"?"))</f>
        <v/>
      </c>
      <c r="CI430">
        <f>IF($CD430="","",IFERROR(VALUE(RIGHT($CD430,3)),""))</f>
        <v/>
      </c>
      <c r="CJ430">
        <f>IF($Y430="","",IFERROR(IF(ISNUMBER($Y430),$Y430,DATEVALUE(TRIM($Y430))),""))</f>
        <v/>
      </c>
      <c r="CK430">
        <f>IF($CJ430="","",IF(MONTH($CJ430)&gt;=12,"Cold Winter",IF(MONTH($CJ430)&gt;=10,"Post-Monsoon",IF(MONTH($CJ430)&gt;=6,"Hot Humid",IF(MONTH($CJ430)&gt;=3,"Hot Dry","Cold Winter")))))</f>
        <v/>
      </c>
      <c r="CL430">
        <f>IF($CE430="","",IFERROR(VLOOKUP($CE430,DECODE!$A$3:$C$8,2,FALSE),"?"))</f>
        <v/>
      </c>
      <c r="CM430">
        <f>IF($AN430="","",AN430)</f>
        <v/>
      </c>
      <c r="CN430">
        <f>IF($AO430="","",AO430)</f>
        <v/>
      </c>
      <c r="CO430">
        <f>IF($AP430="","",AP430)</f>
        <v/>
      </c>
      <c r="CP430">
        <f>IF($CM430="","",IF($CM430="Aloe Vera Gel","Aloe Vera Gel "&amp;$CO430&amp;"g",CN430&amp;" "&amp;$CO430&amp;"g"))</f>
        <v/>
      </c>
      <c r="CQ430">
        <f>IF($AT430="",0,1)</f>
        <v/>
      </c>
      <c r="CR430">
        <f>IF($CQ430=0,"",AW430)</f>
        <v/>
      </c>
      <c r="CS430">
        <f>IF($CQ430=0,"",AX430)</f>
        <v/>
      </c>
      <c r="CT430">
        <f>IF($CQ430=0,"",AY430)</f>
        <v/>
      </c>
      <c r="CU430">
        <f>IF($CR430="","",IF($CR430="Aloe Vera Gel","Aloe Vera Gel "&amp;$CT430&amp;"g",CS430&amp;" "&amp;$CT430&amp;"g"))</f>
        <v/>
      </c>
      <c r="CV430">
        <f>IF($CQ430=0,"",IF($CP430=$CU430,"Repeat Exact",IF($CT430&gt;$CO430,"Upsized",IF($CT430&lt;$CO430,"Downsized",IF($CM430&lt;&gt;$CR430,"Lateral","Same Size Diff Variant")))))</f>
        <v/>
      </c>
      <c r="CW430">
        <f>IF($CQ430=0,"",AZ430-AQ430)</f>
        <v/>
      </c>
      <c r="CX430">
        <f>IF($CQ430=0,0,IF(CS430=CN430,1,0))</f>
        <v/>
      </c>
      <c r="CY430">
        <f>IF($CQ430=0,0,IF(CR430=CM430,1,0))</f>
        <v/>
      </c>
      <c r="CZ430">
        <f>IF($A430="","",IF(AND(IF(DASHBOARD!$C$4="All",TRUE,$CM430=DASHBOARD!$C$4),IF(DASHBOARD!$C$6="All",TRUE,$CP430=DASHBOARD!$C$6),IF(DASHBOARD!$C$8="All",TRUE,$AF430&gt;=DASHBOARD!$C$8),IF(DASHBOARD!$C$10="All",TRUE,$AF430&lt;=DASHBOARD!$C$10),IF(DASHBOARD!$C$12="All",TRUE,$AH430=VALUE(DASHBOARD!$C$12)),IF(DASHBOARD!$C$14="All",TRUE,$AJ430=DASHBOARD!$C$14)),1,0))</f>
        <v/>
      </c>
    </row>
    <row r="431">
      <c r="A431" t="n">
        <v>207151</v>
      </c>
      <c r="B431" t="inlineStr">
        <is>
          <t>Active Gel</t>
        </is>
      </c>
      <c r="H431" t="inlineStr">
        <is>
          <t>Active Olive Vit-E Night Gel</t>
        </is>
      </c>
      <c r="N431" t="inlineStr">
        <is>
          <t>FC-AC-OV-050</t>
        </is>
      </c>
      <c r="T431" t="inlineStr">
        <is>
          <t>Aug 18, 2025</t>
        </is>
      </c>
      <c r="AE431" t="inlineStr">
        <is>
          <t>Ranchi</t>
        </is>
      </c>
      <c r="AF431" t="inlineStr">
        <is>
          <t>2025-08</t>
        </is>
      </c>
      <c r="AG431" t="n">
        <v>8</v>
      </c>
      <c r="AH431" t="n">
        <v>1</v>
      </c>
      <c r="AI431" t="n">
        <v>0</v>
      </c>
      <c r="AJ431">
        <f>IF($AE431="","",IFERROR(VLOOKUP(TRIM($AE431),DECODE!$H$3:$I$60,2,FALSE),"Rest of India"))</f>
        <v/>
      </c>
      <c r="AK431">
        <f>IF($N431="","",UPPER(TRIM(LEFT($N431&amp;",",FIND(",",$N431&amp;",")-1))))</f>
        <v/>
      </c>
      <c r="AL431">
        <f>IF($AK431="","",MID($AK431,4,FIND("~",SUBSTITUTE($AK431,"-","~",2))-4))</f>
        <v/>
      </c>
      <c r="AM431">
        <f>IF($AK431="","",MID($AK431,FIND("~",SUBSTITUTE($AK431,"-","~",2))+1,FIND("~",SUBSTITUTE($AK431,"-","~",3))-FIND("~",SUBSTITUTE($AK431,"-","~",2))-1))</f>
        <v/>
      </c>
      <c r="AN431">
        <f>IF($AL431="","",IFERROR(VLOOKUP($AL431,DECODE!$A$3:$C$8,3,FALSE),"?"))</f>
        <v/>
      </c>
      <c r="AO431">
        <f>IF($AM431="","",IFERROR(VLOOKUP($AL431&amp;"-"&amp;$AM431,DECODE!$E$3:$F$21,2,FALSE),"?"))</f>
        <v/>
      </c>
      <c r="AP431">
        <f>IF($AK431="","",IFERROR(VALUE(RIGHT($AK431,3)),""))</f>
        <v/>
      </c>
      <c r="AQ431">
        <f>IF($T431="","",IFERROR(IF(ISNUMBER($T431),$T431,DATEVALUE(TRIM($T431))),""))</f>
        <v/>
      </c>
      <c r="AR431">
        <f>IF($AQ431="","",IF(MONTH($AQ431)&gt;=12,"Cold Winter",IF(MONTH($AQ431)&gt;=10,"Post-Monsoon",IF(MONTH($AQ431)&gt;=6,"Hot Humid",IF(MONTH($AQ431)&gt;=3,"Hot Dry","Cold Winter")))))</f>
        <v/>
      </c>
      <c r="AS431">
        <f>IF($AL431="","",IFERROR(VLOOKUP($AL431,DECODE!$A$3:$C$8,2,FALSE),"?"))</f>
        <v/>
      </c>
      <c r="AT431">
        <f>IF($O431="","",UPPER(TRIM(LEFT($O431&amp;",",FIND(",",$O431&amp;",")-1))))</f>
        <v/>
      </c>
      <c r="AU431">
        <f>IF($AT431="","",MID($AT431,4,FIND("~",SUBSTITUTE($AT431,"-","~",2))-4))</f>
        <v/>
      </c>
      <c r="AV431">
        <f>IF($AT431="","",MID($AT431,FIND("~",SUBSTITUTE($AT431,"-","~",2))+1,FIND("~",SUBSTITUTE($AT431,"-","~",3))-FIND("~",SUBSTITUTE($AT431,"-","~",2))-1))</f>
        <v/>
      </c>
      <c r="AW431">
        <f>IF($AU431="","",IFERROR(VLOOKUP($AU431,DECODE!$A$3:$C$8,3,FALSE),"?"))</f>
        <v/>
      </c>
      <c r="AX431">
        <f>IF($AV431="","",IFERROR(VLOOKUP($AU431&amp;"-"&amp;$AV431,DECODE!$E$3:$F$21,2,FALSE),"?"))</f>
        <v/>
      </c>
      <c r="AY431">
        <f>IF($AT431="","",IFERROR(VALUE(RIGHT($AT431,3)),""))</f>
        <v/>
      </c>
      <c r="AZ431">
        <f>IF($U431="","",IFERROR(IF(ISNUMBER($U431),$U431,DATEVALUE(TRIM($U431))),""))</f>
        <v/>
      </c>
      <c r="BA431">
        <f>IF($AZ431="","",IF(MONTH($AZ431)&gt;=12,"Cold Winter",IF(MONTH($AZ431)&gt;=10,"Post-Monsoon",IF(MONTH($AZ431)&gt;=6,"Hot Humid",IF(MONTH($AZ431)&gt;=3,"Hot Dry","Cold Winter")))))</f>
        <v/>
      </c>
      <c r="BB431">
        <f>IF($AU431="","",IFERROR(VLOOKUP($AU431,DECODE!$A$3:$C$8,2,FALSE),"?"))</f>
        <v/>
      </c>
      <c r="BC431">
        <f>IF($P431="","",UPPER(TRIM(LEFT($P431&amp;",",FIND(",",$P431&amp;",")-1))))</f>
        <v/>
      </c>
      <c r="BD431">
        <f>IF($BC431="","",MID($BC431,4,FIND("~",SUBSTITUTE($BC431,"-","~",2))-4))</f>
        <v/>
      </c>
      <c r="BE431">
        <f>IF($BC431="","",MID($BC431,FIND("~",SUBSTITUTE($BC431,"-","~",2))+1,FIND("~",SUBSTITUTE($BC431,"-","~",3))-FIND("~",SUBSTITUTE($BC431,"-","~",2))-1))</f>
        <v/>
      </c>
      <c r="BF431">
        <f>IF($BD431="","",IFERROR(VLOOKUP($BD431,DECODE!$A$3:$C$8,3,FALSE),"?"))</f>
        <v/>
      </c>
      <c r="BG431">
        <f>IF($BE431="","",IFERROR(VLOOKUP($BD431&amp;"-"&amp;$BE431,DECODE!$E$3:$F$21,2,FALSE),"?"))</f>
        <v/>
      </c>
      <c r="BH431">
        <f>IF($BC431="","",IFERROR(VALUE(RIGHT($BC431,3)),""))</f>
        <v/>
      </c>
      <c r="BI431">
        <f>IF($V431="","",IFERROR(IF(ISNUMBER($V431),$V431,DATEVALUE(TRIM($V431))),""))</f>
        <v/>
      </c>
      <c r="BJ431">
        <f>IF($BI431="","",IF(MONTH($BI431)&gt;=12,"Cold Winter",IF(MONTH($BI431)&gt;=10,"Post-Monsoon",IF(MONTH($BI431)&gt;=6,"Hot Humid",IF(MONTH($BI431)&gt;=3,"Hot Dry","Cold Winter")))))</f>
        <v/>
      </c>
      <c r="BK431">
        <f>IF($BD431="","",IFERROR(VLOOKUP($BD431,DECODE!$A$3:$C$8,2,FALSE),"?"))</f>
        <v/>
      </c>
      <c r="BL431">
        <f>IF($Q431="","",UPPER(TRIM(LEFT($Q431&amp;",",FIND(",",$Q431&amp;",")-1))))</f>
        <v/>
      </c>
      <c r="BM431">
        <f>IF($BL431="","",MID($BL431,4,FIND("~",SUBSTITUTE($BL431,"-","~",2))-4))</f>
        <v/>
      </c>
      <c r="BN431">
        <f>IF($BL431="","",MID($BL431,FIND("~",SUBSTITUTE($BL431,"-","~",2))+1,FIND("~",SUBSTITUTE($BL431,"-","~",3))-FIND("~",SUBSTITUTE($BL431,"-","~",2))-1))</f>
        <v/>
      </c>
      <c r="BO431">
        <f>IF($BM431="","",IFERROR(VLOOKUP($BM431,DECODE!$A$3:$C$8,3,FALSE),"?"))</f>
        <v/>
      </c>
      <c r="BP431">
        <f>IF($BN431="","",IFERROR(VLOOKUP($BM431&amp;"-"&amp;$BN431,DECODE!$E$3:$F$21,2,FALSE),"?"))</f>
        <v/>
      </c>
      <c r="BQ431">
        <f>IF($BL431="","",IFERROR(VALUE(RIGHT($BL431,3)),""))</f>
        <v/>
      </c>
      <c r="BR431">
        <f>IF($W431="","",IFERROR(IF(ISNUMBER($W431),$W431,DATEVALUE(TRIM($W431))),""))</f>
        <v/>
      </c>
      <c r="BS431">
        <f>IF($BR431="","",IF(MONTH($BR431)&gt;=12,"Cold Winter",IF(MONTH($BR431)&gt;=10,"Post-Monsoon",IF(MONTH($BR431)&gt;=6,"Hot Humid",IF(MONTH($BR431)&gt;=3,"Hot Dry","Cold Winter")))))</f>
        <v/>
      </c>
      <c r="BT431">
        <f>IF($BM431="","",IFERROR(VLOOKUP($BM431,DECODE!$A$3:$C$8,2,FALSE),"?"))</f>
        <v/>
      </c>
      <c r="BU431">
        <f>IF($R431="","",UPPER(TRIM(LEFT($R431&amp;",",FIND(",",$R431&amp;",")-1))))</f>
        <v/>
      </c>
      <c r="BV431">
        <f>IF($BU431="","",MID($BU431,4,FIND("~",SUBSTITUTE($BU431,"-","~",2))-4))</f>
        <v/>
      </c>
      <c r="BW431">
        <f>IF($BU431="","",MID($BU431,FIND("~",SUBSTITUTE($BU431,"-","~",2))+1,FIND("~",SUBSTITUTE($BU431,"-","~",3))-FIND("~",SUBSTITUTE($BU431,"-","~",2))-1))</f>
        <v/>
      </c>
      <c r="BX431">
        <f>IF($BV431="","",IFERROR(VLOOKUP($BV431,DECODE!$A$3:$C$8,3,FALSE),"?"))</f>
        <v/>
      </c>
      <c r="BY431">
        <f>IF($BW431="","",IFERROR(VLOOKUP($BV431&amp;"-"&amp;$BW431,DECODE!$E$3:$F$21,2,FALSE),"?"))</f>
        <v/>
      </c>
      <c r="BZ431">
        <f>IF($BU431="","",IFERROR(VALUE(RIGHT($BU431,3)),""))</f>
        <v/>
      </c>
      <c r="CA431">
        <f>IF($X431="","",IFERROR(IF(ISNUMBER($X431),$X431,DATEVALUE(TRIM($X431))),""))</f>
        <v/>
      </c>
      <c r="CB431">
        <f>IF($CA431="","",IF(MONTH($CA431)&gt;=12,"Cold Winter",IF(MONTH($CA431)&gt;=10,"Post-Monsoon",IF(MONTH($CA431)&gt;=6,"Hot Humid",IF(MONTH($CA431)&gt;=3,"Hot Dry","Cold Winter")))))</f>
        <v/>
      </c>
      <c r="CC431">
        <f>IF($BV431="","",IFERROR(VLOOKUP($BV431,DECODE!$A$3:$C$8,2,FALSE),"?"))</f>
        <v/>
      </c>
      <c r="CD431">
        <f>IF($S431="","",UPPER(TRIM(LEFT($S431&amp;",",FIND(",",$S431&amp;",")-1))))</f>
        <v/>
      </c>
      <c r="CE431">
        <f>IF($CD431="","",MID($CD431,4,FIND("~",SUBSTITUTE($CD431,"-","~",2))-4))</f>
        <v/>
      </c>
      <c r="CF431">
        <f>IF($CD431="","",MID($CD431,FIND("~",SUBSTITUTE($CD431,"-","~",2))+1,FIND("~",SUBSTITUTE($CD431,"-","~",3))-FIND("~",SUBSTITUTE($CD431,"-","~",2))-1))</f>
        <v/>
      </c>
      <c r="CG431">
        <f>IF($CE431="","",IFERROR(VLOOKUP($CE431,DECODE!$A$3:$C$8,3,FALSE),"?"))</f>
        <v/>
      </c>
      <c r="CH431">
        <f>IF($CF431="","",IFERROR(VLOOKUP($CE431&amp;"-"&amp;$CF431,DECODE!$E$3:$F$21,2,FALSE),"?"))</f>
        <v/>
      </c>
      <c r="CI431">
        <f>IF($CD431="","",IFERROR(VALUE(RIGHT($CD431,3)),""))</f>
        <v/>
      </c>
      <c r="CJ431">
        <f>IF($Y431="","",IFERROR(IF(ISNUMBER($Y431),$Y431,DATEVALUE(TRIM($Y431))),""))</f>
        <v/>
      </c>
      <c r="CK431">
        <f>IF($CJ431="","",IF(MONTH($CJ431)&gt;=12,"Cold Winter",IF(MONTH($CJ431)&gt;=10,"Post-Monsoon",IF(MONTH($CJ431)&gt;=6,"Hot Humid",IF(MONTH($CJ431)&gt;=3,"Hot Dry","Cold Winter")))))</f>
        <v/>
      </c>
      <c r="CL431">
        <f>IF($CE431="","",IFERROR(VLOOKUP($CE431,DECODE!$A$3:$C$8,2,FALSE),"?"))</f>
        <v/>
      </c>
      <c r="CM431">
        <f>IF($AN431="","",AN431)</f>
        <v/>
      </c>
      <c r="CN431">
        <f>IF($AO431="","",AO431)</f>
        <v/>
      </c>
      <c r="CO431">
        <f>IF($AP431="","",AP431)</f>
        <v/>
      </c>
      <c r="CP431">
        <f>IF($CM431="","",IF($CM431="Aloe Vera Gel","Aloe Vera Gel "&amp;$CO431&amp;"g",CN431&amp;" "&amp;$CO431&amp;"g"))</f>
        <v/>
      </c>
      <c r="CQ431">
        <f>IF($AT431="",0,1)</f>
        <v/>
      </c>
      <c r="CR431">
        <f>IF($CQ431=0,"",AW431)</f>
        <v/>
      </c>
      <c r="CS431">
        <f>IF($CQ431=0,"",AX431)</f>
        <v/>
      </c>
      <c r="CT431">
        <f>IF($CQ431=0,"",AY431)</f>
        <v/>
      </c>
      <c r="CU431">
        <f>IF($CR431="","",IF($CR431="Aloe Vera Gel","Aloe Vera Gel "&amp;$CT431&amp;"g",CS431&amp;" "&amp;$CT431&amp;"g"))</f>
        <v/>
      </c>
      <c r="CV431">
        <f>IF($CQ431=0,"",IF($CP431=$CU431,"Repeat Exact",IF($CT431&gt;$CO431,"Upsized",IF($CT431&lt;$CO431,"Downsized",IF($CM431&lt;&gt;$CR431,"Lateral","Same Size Diff Variant")))))</f>
        <v/>
      </c>
      <c r="CW431">
        <f>IF($CQ431=0,"",AZ431-AQ431)</f>
        <v/>
      </c>
      <c r="CX431">
        <f>IF($CQ431=0,0,IF(CS431=CN431,1,0))</f>
        <v/>
      </c>
      <c r="CY431">
        <f>IF($CQ431=0,0,IF(CR431=CM431,1,0))</f>
        <v/>
      </c>
      <c r="CZ431">
        <f>IF($A431="","",IF(AND(IF(DASHBOARD!$C$4="All",TRUE,$CM431=DASHBOARD!$C$4),IF(DASHBOARD!$C$6="All",TRUE,$CP431=DASHBOARD!$C$6),IF(DASHBOARD!$C$8="All",TRUE,$AF431&gt;=DASHBOARD!$C$8),IF(DASHBOARD!$C$10="All",TRUE,$AF431&lt;=DASHBOARD!$C$10),IF(DASHBOARD!$C$12="All",TRUE,$AH431=VALUE(DASHBOARD!$C$12)),IF(DASHBOARD!$C$14="All",TRUE,$AJ431=DASHBOARD!$C$14)),1,0))</f>
        <v/>
      </c>
    </row>
    <row r="432">
      <c r="A432" t="n">
        <v>207225</v>
      </c>
      <c r="B432" t="inlineStr">
        <is>
          <t>Face Malai</t>
        </is>
      </c>
      <c r="H432" t="inlineStr">
        <is>
          <t>Tomato Vetiver (Hot Humid) 20 - 35 Yrs Face Malai</t>
        </is>
      </c>
      <c r="N432" t="inlineStr">
        <is>
          <t>FC-HHDM-TV-030</t>
        </is>
      </c>
      <c r="T432" t="inlineStr">
        <is>
          <t>Aug 29, 2024</t>
        </is>
      </c>
      <c r="AE432" t="inlineStr">
        <is>
          <t>Baruipur</t>
        </is>
      </c>
      <c r="AF432" t="inlineStr">
        <is>
          <t>2024-08</t>
        </is>
      </c>
      <c r="AG432" t="n">
        <v>8</v>
      </c>
      <c r="AH432" t="n">
        <v>1</v>
      </c>
      <c r="AI432" t="n">
        <v>0</v>
      </c>
      <c r="AJ432">
        <f>IF($AE432="","",IFERROR(VLOOKUP(TRIM($AE432),DECODE!$H$3:$I$60,2,FALSE),"Rest of India"))</f>
        <v/>
      </c>
      <c r="AK432">
        <f>IF($N432="","",UPPER(TRIM(LEFT($N432&amp;",",FIND(",",$N432&amp;",")-1))))</f>
        <v/>
      </c>
      <c r="AL432">
        <f>IF($AK432="","",MID($AK432,4,FIND("~",SUBSTITUTE($AK432,"-","~",2))-4))</f>
        <v/>
      </c>
      <c r="AM432">
        <f>IF($AK432="","",MID($AK432,FIND("~",SUBSTITUTE($AK432,"-","~",2))+1,FIND("~",SUBSTITUTE($AK432,"-","~",3))-FIND("~",SUBSTITUTE($AK432,"-","~",2))-1))</f>
        <v/>
      </c>
      <c r="AN432">
        <f>IF($AL432="","",IFERROR(VLOOKUP($AL432,DECODE!$A$3:$C$8,3,FALSE),"?"))</f>
        <v/>
      </c>
      <c r="AO432">
        <f>IF($AM432="","",IFERROR(VLOOKUP($AL432&amp;"-"&amp;$AM432,DECODE!$E$3:$F$21,2,FALSE),"?"))</f>
        <v/>
      </c>
      <c r="AP432">
        <f>IF($AK432="","",IFERROR(VALUE(RIGHT($AK432,3)),""))</f>
        <v/>
      </c>
      <c r="AQ432">
        <f>IF($T432="","",IFERROR(IF(ISNUMBER($T432),$T432,DATEVALUE(TRIM($T432))),""))</f>
        <v/>
      </c>
      <c r="AR432">
        <f>IF($AQ432="","",IF(MONTH($AQ432)&gt;=12,"Cold Winter",IF(MONTH($AQ432)&gt;=10,"Post-Monsoon",IF(MONTH($AQ432)&gt;=6,"Hot Humid",IF(MONTH($AQ432)&gt;=3,"Hot Dry","Cold Winter")))))</f>
        <v/>
      </c>
      <c r="AS432">
        <f>IF($AL432="","",IFERROR(VLOOKUP($AL432,DECODE!$A$3:$C$8,2,FALSE),"?"))</f>
        <v/>
      </c>
      <c r="AT432">
        <f>IF($O432="","",UPPER(TRIM(LEFT($O432&amp;",",FIND(",",$O432&amp;",")-1))))</f>
        <v/>
      </c>
      <c r="AU432">
        <f>IF($AT432="","",MID($AT432,4,FIND("~",SUBSTITUTE($AT432,"-","~",2))-4))</f>
        <v/>
      </c>
      <c r="AV432">
        <f>IF($AT432="","",MID($AT432,FIND("~",SUBSTITUTE($AT432,"-","~",2))+1,FIND("~",SUBSTITUTE($AT432,"-","~",3))-FIND("~",SUBSTITUTE($AT432,"-","~",2))-1))</f>
        <v/>
      </c>
      <c r="AW432">
        <f>IF($AU432="","",IFERROR(VLOOKUP($AU432,DECODE!$A$3:$C$8,3,FALSE),"?"))</f>
        <v/>
      </c>
      <c r="AX432">
        <f>IF($AV432="","",IFERROR(VLOOKUP($AU432&amp;"-"&amp;$AV432,DECODE!$E$3:$F$21,2,FALSE),"?"))</f>
        <v/>
      </c>
      <c r="AY432">
        <f>IF($AT432="","",IFERROR(VALUE(RIGHT($AT432,3)),""))</f>
        <v/>
      </c>
      <c r="AZ432">
        <f>IF($U432="","",IFERROR(IF(ISNUMBER($U432),$U432,DATEVALUE(TRIM($U432))),""))</f>
        <v/>
      </c>
      <c r="BA432">
        <f>IF($AZ432="","",IF(MONTH($AZ432)&gt;=12,"Cold Winter",IF(MONTH($AZ432)&gt;=10,"Post-Monsoon",IF(MONTH($AZ432)&gt;=6,"Hot Humid",IF(MONTH($AZ432)&gt;=3,"Hot Dry","Cold Winter")))))</f>
        <v/>
      </c>
      <c r="BB432">
        <f>IF($AU432="","",IFERROR(VLOOKUP($AU432,DECODE!$A$3:$C$8,2,FALSE),"?"))</f>
        <v/>
      </c>
      <c r="BC432">
        <f>IF($P432="","",UPPER(TRIM(LEFT($P432&amp;",",FIND(",",$P432&amp;",")-1))))</f>
        <v/>
      </c>
      <c r="BD432">
        <f>IF($BC432="","",MID($BC432,4,FIND("~",SUBSTITUTE($BC432,"-","~",2))-4))</f>
        <v/>
      </c>
      <c r="BE432">
        <f>IF($BC432="","",MID($BC432,FIND("~",SUBSTITUTE($BC432,"-","~",2))+1,FIND("~",SUBSTITUTE($BC432,"-","~",3))-FIND("~",SUBSTITUTE($BC432,"-","~",2))-1))</f>
        <v/>
      </c>
      <c r="BF432">
        <f>IF($BD432="","",IFERROR(VLOOKUP($BD432,DECODE!$A$3:$C$8,3,FALSE),"?"))</f>
        <v/>
      </c>
      <c r="BG432">
        <f>IF($BE432="","",IFERROR(VLOOKUP($BD432&amp;"-"&amp;$BE432,DECODE!$E$3:$F$21,2,FALSE),"?"))</f>
        <v/>
      </c>
      <c r="BH432">
        <f>IF($BC432="","",IFERROR(VALUE(RIGHT($BC432,3)),""))</f>
        <v/>
      </c>
      <c r="BI432">
        <f>IF($V432="","",IFERROR(IF(ISNUMBER($V432),$V432,DATEVALUE(TRIM($V432))),""))</f>
        <v/>
      </c>
      <c r="BJ432">
        <f>IF($BI432="","",IF(MONTH($BI432)&gt;=12,"Cold Winter",IF(MONTH($BI432)&gt;=10,"Post-Monsoon",IF(MONTH($BI432)&gt;=6,"Hot Humid",IF(MONTH($BI432)&gt;=3,"Hot Dry","Cold Winter")))))</f>
        <v/>
      </c>
      <c r="BK432">
        <f>IF($BD432="","",IFERROR(VLOOKUP($BD432,DECODE!$A$3:$C$8,2,FALSE),"?"))</f>
        <v/>
      </c>
      <c r="BL432">
        <f>IF($Q432="","",UPPER(TRIM(LEFT($Q432&amp;",",FIND(",",$Q432&amp;",")-1))))</f>
        <v/>
      </c>
      <c r="BM432">
        <f>IF($BL432="","",MID($BL432,4,FIND("~",SUBSTITUTE($BL432,"-","~",2))-4))</f>
        <v/>
      </c>
      <c r="BN432">
        <f>IF($BL432="","",MID($BL432,FIND("~",SUBSTITUTE($BL432,"-","~",2))+1,FIND("~",SUBSTITUTE($BL432,"-","~",3))-FIND("~",SUBSTITUTE($BL432,"-","~",2))-1))</f>
        <v/>
      </c>
      <c r="BO432">
        <f>IF($BM432="","",IFERROR(VLOOKUP($BM432,DECODE!$A$3:$C$8,3,FALSE),"?"))</f>
        <v/>
      </c>
      <c r="BP432">
        <f>IF($BN432="","",IFERROR(VLOOKUP($BM432&amp;"-"&amp;$BN432,DECODE!$E$3:$F$21,2,FALSE),"?"))</f>
        <v/>
      </c>
      <c r="BQ432">
        <f>IF($BL432="","",IFERROR(VALUE(RIGHT($BL432,3)),""))</f>
        <v/>
      </c>
      <c r="BR432">
        <f>IF($W432="","",IFERROR(IF(ISNUMBER($W432),$W432,DATEVALUE(TRIM($W432))),""))</f>
        <v/>
      </c>
      <c r="BS432">
        <f>IF($BR432="","",IF(MONTH($BR432)&gt;=12,"Cold Winter",IF(MONTH($BR432)&gt;=10,"Post-Monsoon",IF(MONTH($BR432)&gt;=6,"Hot Humid",IF(MONTH($BR432)&gt;=3,"Hot Dry","Cold Winter")))))</f>
        <v/>
      </c>
      <c r="BT432">
        <f>IF($BM432="","",IFERROR(VLOOKUP($BM432,DECODE!$A$3:$C$8,2,FALSE),"?"))</f>
        <v/>
      </c>
      <c r="BU432">
        <f>IF($R432="","",UPPER(TRIM(LEFT($R432&amp;",",FIND(",",$R432&amp;",")-1))))</f>
        <v/>
      </c>
      <c r="BV432">
        <f>IF($BU432="","",MID($BU432,4,FIND("~",SUBSTITUTE($BU432,"-","~",2))-4))</f>
        <v/>
      </c>
      <c r="BW432">
        <f>IF($BU432="","",MID($BU432,FIND("~",SUBSTITUTE($BU432,"-","~",2))+1,FIND("~",SUBSTITUTE($BU432,"-","~",3))-FIND("~",SUBSTITUTE($BU432,"-","~",2))-1))</f>
        <v/>
      </c>
      <c r="BX432">
        <f>IF($BV432="","",IFERROR(VLOOKUP($BV432,DECODE!$A$3:$C$8,3,FALSE),"?"))</f>
        <v/>
      </c>
      <c r="BY432">
        <f>IF($BW432="","",IFERROR(VLOOKUP($BV432&amp;"-"&amp;$BW432,DECODE!$E$3:$F$21,2,FALSE),"?"))</f>
        <v/>
      </c>
      <c r="BZ432">
        <f>IF($BU432="","",IFERROR(VALUE(RIGHT($BU432,3)),""))</f>
        <v/>
      </c>
      <c r="CA432">
        <f>IF($X432="","",IFERROR(IF(ISNUMBER($X432),$X432,DATEVALUE(TRIM($X432))),""))</f>
        <v/>
      </c>
      <c r="CB432">
        <f>IF($CA432="","",IF(MONTH($CA432)&gt;=12,"Cold Winter",IF(MONTH($CA432)&gt;=10,"Post-Monsoon",IF(MONTH($CA432)&gt;=6,"Hot Humid",IF(MONTH($CA432)&gt;=3,"Hot Dry","Cold Winter")))))</f>
        <v/>
      </c>
      <c r="CC432">
        <f>IF($BV432="","",IFERROR(VLOOKUP($BV432,DECODE!$A$3:$C$8,2,FALSE),"?"))</f>
        <v/>
      </c>
      <c r="CD432">
        <f>IF($S432="","",UPPER(TRIM(LEFT($S432&amp;",",FIND(",",$S432&amp;",")-1))))</f>
        <v/>
      </c>
      <c r="CE432">
        <f>IF($CD432="","",MID($CD432,4,FIND("~",SUBSTITUTE($CD432,"-","~",2))-4))</f>
        <v/>
      </c>
      <c r="CF432">
        <f>IF($CD432="","",MID($CD432,FIND("~",SUBSTITUTE($CD432,"-","~",2))+1,FIND("~",SUBSTITUTE($CD432,"-","~",3))-FIND("~",SUBSTITUTE($CD432,"-","~",2))-1))</f>
        <v/>
      </c>
      <c r="CG432">
        <f>IF($CE432="","",IFERROR(VLOOKUP($CE432,DECODE!$A$3:$C$8,3,FALSE),"?"))</f>
        <v/>
      </c>
      <c r="CH432">
        <f>IF($CF432="","",IFERROR(VLOOKUP($CE432&amp;"-"&amp;$CF432,DECODE!$E$3:$F$21,2,FALSE),"?"))</f>
        <v/>
      </c>
      <c r="CI432">
        <f>IF($CD432="","",IFERROR(VALUE(RIGHT($CD432,3)),""))</f>
        <v/>
      </c>
      <c r="CJ432">
        <f>IF($Y432="","",IFERROR(IF(ISNUMBER($Y432),$Y432,DATEVALUE(TRIM($Y432))),""))</f>
        <v/>
      </c>
      <c r="CK432">
        <f>IF($CJ432="","",IF(MONTH($CJ432)&gt;=12,"Cold Winter",IF(MONTH($CJ432)&gt;=10,"Post-Monsoon",IF(MONTH($CJ432)&gt;=6,"Hot Humid",IF(MONTH($CJ432)&gt;=3,"Hot Dry","Cold Winter")))))</f>
        <v/>
      </c>
      <c r="CL432">
        <f>IF($CE432="","",IFERROR(VLOOKUP($CE432,DECODE!$A$3:$C$8,2,FALSE),"?"))</f>
        <v/>
      </c>
      <c r="CM432">
        <f>IF($AN432="","",AN432)</f>
        <v/>
      </c>
      <c r="CN432">
        <f>IF($AO432="","",AO432)</f>
        <v/>
      </c>
      <c r="CO432">
        <f>IF($AP432="","",AP432)</f>
        <v/>
      </c>
      <c r="CP432">
        <f>IF($CM432="","",IF($CM432="Aloe Vera Gel","Aloe Vera Gel "&amp;$CO432&amp;"g",CN432&amp;" "&amp;$CO432&amp;"g"))</f>
        <v/>
      </c>
      <c r="CQ432">
        <f>IF($AT432="",0,1)</f>
        <v/>
      </c>
      <c r="CR432">
        <f>IF($CQ432=0,"",AW432)</f>
        <v/>
      </c>
      <c r="CS432">
        <f>IF($CQ432=0,"",AX432)</f>
        <v/>
      </c>
      <c r="CT432">
        <f>IF($CQ432=0,"",AY432)</f>
        <v/>
      </c>
      <c r="CU432">
        <f>IF($CR432="","",IF($CR432="Aloe Vera Gel","Aloe Vera Gel "&amp;$CT432&amp;"g",CS432&amp;" "&amp;$CT432&amp;"g"))</f>
        <v/>
      </c>
      <c r="CV432">
        <f>IF($CQ432=0,"",IF($CP432=$CU432,"Repeat Exact",IF($CT432&gt;$CO432,"Upsized",IF($CT432&lt;$CO432,"Downsized",IF($CM432&lt;&gt;$CR432,"Lateral","Same Size Diff Variant")))))</f>
        <v/>
      </c>
      <c r="CW432">
        <f>IF($CQ432=0,"",AZ432-AQ432)</f>
        <v/>
      </c>
      <c r="CX432">
        <f>IF($CQ432=0,0,IF(CS432=CN432,1,0))</f>
        <v/>
      </c>
      <c r="CY432">
        <f>IF($CQ432=0,0,IF(CR432=CM432,1,0))</f>
        <v/>
      </c>
      <c r="CZ432">
        <f>IF($A432="","",IF(AND(IF(DASHBOARD!$C$4="All",TRUE,$CM432=DASHBOARD!$C$4),IF(DASHBOARD!$C$6="All",TRUE,$CP432=DASHBOARD!$C$6),IF(DASHBOARD!$C$8="All",TRUE,$AF432&gt;=DASHBOARD!$C$8),IF(DASHBOARD!$C$10="All",TRUE,$AF432&lt;=DASHBOARD!$C$10),IF(DASHBOARD!$C$12="All",TRUE,$AH432=VALUE(DASHBOARD!$C$12)),IF(DASHBOARD!$C$14="All",TRUE,$AJ432=DASHBOARD!$C$14)),1,0))</f>
        <v/>
      </c>
    </row>
    <row r="433">
      <c r="A433" t="n">
        <v>207863</v>
      </c>
      <c r="B433" t="inlineStr">
        <is>
          <t>Aloe Vera Gel</t>
        </is>
      </c>
      <c r="H433" t="inlineStr">
        <is>
          <t>Aloe Vera Gel - 40 gms</t>
        </is>
      </c>
      <c r="N433" t="inlineStr">
        <is>
          <t>FC-HG-PA-040</t>
        </is>
      </c>
      <c r="T433" t="inlineStr">
        <is>
          <t>Jan 24, 2024</t>
        </is>
      </c>
      <c r="AE433" t="inlineStr">
        <is>
          <t>Ghaziabad</t>
        </is>
      </c>
      <c r="AF433" t="inlineStr">
        <is>
          <t>2024-01</t>
        </is>
      </c>
      <c r="AG433" t="n">
        <v>1</v>
      </c>
      <c r="AH433" t="n">
        <v>1</v>
      </c>
      <c r="AI433" t="n">
        <v>0</v>
      </c>
      <c r="AJ433">
        <f>IF($AE433="","",IFERROR(VLOOKUP(TRIM($AE433),DECODE!$H$3:$I$60,2,FALSE),"Rest of India"))</f>
        <v/>
      </c>
      <c r="AK433">
        <f>IF($N433="","",UPPER(TRIM(LEFT($N433&amp;",",FIND(",",$N433&amp;",")-1))))</f>
        <v/>
      </c>
      <c r="AL433">
        <f>IF($AK433="","",MID($AK433,4,FIND("~",SUBSTITUTE($AK433,"-","~",2))-4))</f>
        <v/>
      </c>
      <c r="AM433">
        <f>IF($AK433="","",MID($AK433,FIND("~",SUBSTITUTE($AK433,"-","~",2))+1,FIND("~",SUBSTITUTE($AK433,"-","~",3))-FIND("~",SUBSTITUTE($AK433,"-","~",2))-1))</f>
        <v/>
      </c>
      <c r="AN433">
        <f>IF($AL433="","",IFERROR(VLOOKUP($AL433,DECODE!$A$3:$C$8,3,FALSE),"?"))</f>
        <v/>
      </c>
      <c r="AO433">
        <f>IF($AM433="","",IFERROR(VLOOKUP($AL433&amp;"-"&amp;$AM433,DECODE!$E$3:$F$21,2,FALSE),"?"))</f>
        <v/>
      </c>
      <c r="AP433">
        <f>IF($AK433="","",IFERROR(VALUE(RIGHT($AK433,3)),""))</f>
        <v/>
      </c>
      <c r="AQ433">
        <f>IF($T433="","",IFERROR(IF(ISNUMBER($T433),$T433,DATEVALUE(TRIM($T433))),""))</f>
        <v/>
      </c>
      <c r="AR433">
        <f>IF($AQ433="","",IF(MONTH($AQ433)&gt;=12,"Cold Winter",IF(MONTH($AQ433)&gt;=10,"Post-Monsoon",IF(MONTH($AQ433)&gt;=6,"Hot Humid",IF(MONTH($AQ433)&gt;=3,"Hot Dry","Cold Winter")))))</f>
        <v/>
      </c>
      <c r="AS433">
        <f>IF($AL433="","",IFERROR(VLOOKUP($AL433,DECODE!$A$3:$C$8,2,FALSE),"?"))</f>
        <v/>
      </c>
      <c r="AT433">
        <f>IF($O433="","",UPPER(TRIM(LEFT($O433&amp;",",FIND(",",$O433&amp;",")-1))))</f>
        <v/>
      </c>
      <c r="AU433">
        <f>IF($AT433="","",MID($AT433,4,FIND("~",SUBSTITUTE($AT433,"-","~",2))-4))</f>
        <v/>
      </c>
      <c r="AV433">
        <f>IF($AT433="","",MID($AT433,FIND("~",SUBSTITUTE($AT433,"-","~",2))+1,FIND("~",SUBSTITUTE($AT433,"-","~",3))-FIND("~",SUBSTITUTE($AT433,"-","~",2))-1))</f>
        <v/>
      </c>
      <c r="AW433">
        <f>IF($AU433="","",IFERROR(VLOOKUP($AU433,DECODE!$A$3:$C$8,3,FALSE),"?"))</f>
        <v/>
      </c>
      <c r="AX433">
        <f>IF($AV433="","",IFERROR(VLOOKUP($AU433&amp;"-"&amp;$AV433,DECODE!$E$3:$F$21,2,FALSE),"?"))</f>
        <v/>
      </c>
      <c r="AY433">
        <f>IF($AT433="","",IFERROR(VALUE(RIGHT($AT433,3)),""))</f>
        <v/>
      </c>
      <c r="AZ433">
        <f>IF($U433="","",IFERROR(IF(ISNUMBER($U433),$U433,DATEVALUE(TRIM($U433))),""))</f>
        <v/>
      </c>
      <c r="BA433">
        <f>IF($AZ433="","",IF(MONTH($AZ433)&gt;=12,"Cold Winter",IF(MONTH($AZ433)&gt;=10,"Post-Monsoon",IF(MONTH($AZ433)&gt;=6,"Hot Humid",IF(MONTH($AZ433)&gt;=3,"Hot Dry","Cold Winter")))))</f>
        <v/>
      </c>
      <c r="BB433">
        <f>IF($AU433="","",IFERROR(VLOOKUP($AU433,DECODE!$A$3:$C$8,2,FALSE),"?"))</f>
        <v/>
      </c>
      <c r="BC433">
        <f>IF($P433="","",UPPER(TRIM(LEFT($P433&amp;",",FIND(",",$P433&amp;",")-1))))</f>
        <v/>
      </c>
      <c r="BD433">
        <f>IF($BC433="","",MID($BC433,4,FIND("~",SUBSTITUTE($BC433,"-","~",2))-4))</f>
        <v/>
      </c>
      <c r="BE433">
        <f>IF($BC433="","",MID($BC433,FIND("~",SUBSTITUTE($BC433,"-","~",2))+1,FIND("~",SUBSTITUTE($BC433,"-","~",3))-FIND("~",SUBSTITUTE($BC433,"-","~",2))-1))</f>
        <v/>
      </c>
      <c r="BF433">
        <f>IF($BD433="","",IFERROR(VLOOKUP($BD433,DECODE!$A$3:$C$8,3,FALSE),"?"))</f>
        <v/>
      </c>
      <c r="BG433">
        <f>IF($BE433="","",IFERROR(VLOOKUP($BD433&amp;"-"&amp;$BE433,DECODE!$E$3:$F$21,2,FALSE),"?"))</f>
        <v/>
      </c>
      <c r="BH433">
        <f>IF($BC433="","",IFERROR(VALUE(RIGHT($BC433,3)),""))</f>
        <v/>
      </c>
      <c r="BI433">
        <f>IF($V433="","",IFERROR(IF(ISNUMBER($V433),$V433,DATEVALUE(TRIM($V433))),""))</f>
        <v/>
      </c>
      <c r="BJ433">
        <f>IF($BI433="","",IF(MONTH($BI433)&gt;=12,"Cold Winter",IF(MONTH($BI433)&gt;=10,"Post-Monsoon",IF(MONTH($BI433)&gt;=6,"Hot Humid",IF(MONTH($BI433)&gt;=3,"Hot Dry","Cold Winter")))))</f>
        <v/>
      </c>
      <c r="BK433">
        <f>IF($BD433="","",IFERROR(VLOOKUP($BD433,DECODE!$A$3:$C$8,2,FALSE),"?"))</f>
        <v/>
      </c>
      <c r="BL433">
        <f>IF($Q433="","",UPPER(TRIM(LEFT($Q433&amp;",",FIND(",",$Q433&amp;",")-1))))</f>
        <v/>
      </c>
      <c r="BM433">
        <f>IF($BL433="","",MID($BL433,4,FIND("~",SUBSTITUTE($BL433,"-","~",2))-4))</f>
        <v/>
      </c>
      <c r="BN433">
        <f>IF($BL433="","",MID($BL433,FIND("~",SUBSTITUTE($BL433,"-","~",2))+1,FIND("~",SUBSTITUTE($BL433,"-","~",3))-FIND("~",SUBSTITUTE($BL433,"-","~",2))-1))</f>
        <v/>
      </c>
      <c r="BO433">
        <f>IF($BM433="","",IFERROR(VLOOKUP($BM433,DECODE!$A$3:$C$8,3,FALSE),"?"))</f>
        <v/>
      </c>
      <c r="BP433">
        <f>IF($BN433="","",IFERROR(VLOOKUP($BM433&amp;"-"&amp;$BN433,DECODE!$E$3:$F$21,2,FALSE),"?"))</f>
        <v/>
      </c>
      <c r="BQ433">
        <f>IF($BL433="","",IFERROR(VALUE(RIGHT($BL433,3)),""))</f>
        <v/>
      </c>
      <c r="BR433">
        <f>IF($W433="","",IFERROR(IF(ISNUMBER($W433),$W433,DATEVALUE(TRIM($W433))),""))</f>
        <v/>
      </c>
      <c r="BS433">
        <f>IF($BR433="","",IF(MONTH($BR433)&gt;=12,"Cold Winter",IF(MONTH($BR433)&gt;=10,"Post-Monsoon",IF(MONTH($BR433)&gt;=6,"Hot Humid",IF(MONTH($BR433)&gt;=3,"Hot Dry","Cold Winter")))))</f>
        <v/>
      </c>
      <c r="BT433">
        <f>IF($BM433="","",IFERROR(VLOOKUP($BM433,DECODE!$A$3:$C$8,2,FALSE),"?"))</f>
        <v/>
      </c>
      <c r="BU433">
        <f>IF($R433="","",UPPER(TRIM(LEFT($R433&amp;",",FIND(",",$R433&amp;",")-1))))</f>
        <v/>
      </c>
      <c r="BV433">
        <f>IF($BU433="","",MID($BU433,4,FIND("~",SUBSTITUTE($BU433,"-","~",2))-4))</f>
        <v/>
      </c>
      <c r="BW433">
        <f>IF($BU433="","",MID($BU433,FIND("~",SUBSTITUTE($BU433,"-","~",2))+1,FIND("~",SUBSTITUTE($BU433,"-","~",3))-FIND("~",SUBSTITUTE($BU433,"-","~",2))-1))</f>
        <v/>
      </c>
      <c r="BX433">
        <f>IF($BV433="","",IFERROR(VLOOKUP($BV433,DECODE!$A$3:$C$8,3,FALSE),"?"))</f>
        <v/>
      </c>
      <c r="BY433">
        <f>IF($BW433="","",IFERROR(VLOOKUP($BV433&amp;"-"&amp;$BW433,DECODE!$E$3:$F$21,2,FALSE),"?"))</f>
        <v/>
      </c>
      <c r="BZ433">
        <f>IF($BU433="","",IFERROR(VALUE(RIGHT($BU433,3)),""))</f>
        <v/>
      </c>
      <c r="CA433">
        <f>IF($X433="","",IFERROR(IF(ISNUMBER($X433),$X433,DATEVALUE(TRIM($X433))),""))</f>
        <v/>
      </c>
      <c r="CB433">
        <f>IF($CA433="","",IF(MONTH($CA433)&gt;=12,"Cold Winter",IF(MONTH($CA433)&gt;=10,"Post-Monsoon",IF(MONTH($CA433)&gt;=6,"Hot Humid",IF(MONTH($CA433)&gt;=3,"Hot Dry","Cold Winter")))))</f>
        <v/>
      </c>
      <c r="CC433">
        <f>IF($BV433="","",IFERROR(VLOOKUP($BV433,DECODE!$A$3:$C$8,2,FALSE),"?"))</f>
        <v/>
      </c>
      <c r="CD433">
        <f>IF($S433="","",UPPER(TRIM(LEFT($S433&amp;",",FIND(",",$S433&amp;",")-1))))</f>
        <v/>
      </c>
      <c r="CE433">
        <f>IF($CD433="","",MID($CD433,4,FIND("~",SUBSTITUTE($CD433,"-","~",2))-4))</f>
        <v/>
      </c>
      <c r="CF433">
        <f>IF($CD433="","",MID($CD433,FIND("~",SUBSTITUTE($CD433,"-","~",2))+1,FIND("~",SUBSTITUTE($CD433,"-","~",3))-FIND("~",SUBSTITUTE($CD433,"-","~",2))-1))</f>
        <v/>
      </c>
      <c r="CG433">
        <f>IF($CE433="","",IFERROR(VLOOKUP($CE433,DECODE!$A$3:$C$8,3,FALSE),"?"))</f>
        <v/>
      </c>
      <c r="CH433">
        <f>IF($CF433="","",IFERROR(VLOOKUP($CE433&amp;"-"&amp;$CF433,DECODE!$E$3:$F$21,2,FALSE),"?"))</f>
        <v/>
      </c>
      <c r="CI433">
        <f>IF($CD433="","",IFERROR(VALUE(RIGHT($CD433,3)),""))</f>
        <v/>
      </c>
      <c r="CJ433">
        <f>IF($Y433="","",IFERROR(IF(ISNUMBER($Y433),$Y433,DATEVALUE(TRIM($Y433))),""))</f>
        <v/>
      </c>
      <c r="CK433">
        <f>IF($CJ433="","",IF(MONTH($CJ433)&gt;=12,"Cold Winter",IF(MONTH($CJ433)&gt;=10,"Post-Monsoon",IF(MONTH($CJ433)&gt;=6,"Hot Humid",IF(MONTH($CJ433)&gt;=3,"Hot Dry","Cold Winter")))))</f>
        <v/>
      </c>
      <c r="CL433">
        <f>IF($CE433="","",IFERROR(VLOOKUP($CE433,DECODE!$A$3:$C$8,2,FALSE),"?"))</f>
        <v/>
      </c>
      <c r="CM433">
        <f>IF($AN433="","",AN433)</f>
        <v/>
      </c>
      <c r="CN433">
        <f>IF($AO433="","",AO433)</f>
        <v/>
      </c>
      <c r="CO433">
        <f>IF($AP433="","",AP433)</f>
        <v/>
      </c>
      <c r="CP433">
        <f>IF($CM433="","",IF($CM433="Aloe Vera Gel","Aloe Vera Gel "&amp;$CO433&amp;"g",CN433&amp;" "&amp;$CO433&amp;"g"))</f>
        <v/>
      </c>
      <c r="CQ433">
        <f>IF($AT433="",0,1)</f>
        <v/>
      </c>
      <c r="CR433">
        <f>IF($CQ433=0,"",AW433)</f>
        <v/>
      </c>
      <c r="CS433">
        <f>IF($CQ433=0,"",AX433)</f>
        <v/>
      </c>
      <c r="CT433">
        <f>IF($CQ433=0,"",AY433)</f>
        <v/>
      </c>
      <c r="CU433">
        <f>IF($CR433="","",IF($CR433="Aloe Vera Gel","Aloe Vera Gel "&amp;$CT433&amp;"g",CS433&amp;" "&amp;$CT433&amp;"g"))</f>
        <v/>
      </c>
      <c r="CV433">
        <f>IF($CQ433=0,"",IF($CP433=$CU433,"Repeat Exact",IF($CT433&gt;$CO433,"Upsized",IF($CT433&lt;$CO433,"Downsized",IF($CM433&lt;&gt;$CR433,"Lateral","Same Size Diff Variant")))))</f>
        <v/>
      </c>
      <c r="CW433">
        <f>IF($CQ433=0,"",AZ433-AQ433)</f>
        <v/>
      </c>
      <c r="CX433">
        <f>IF($CQ433=0,0,IF(CS433=CN433,1,0))</f>
        <v/>
      </c>
      <c r="CY433">
        <f>IF($CQ433=0,0,IF(CR433=CM433,1,0))</f>
        <v/>
      </c>
      <c r="CZ433">
        <f>IF($A433="","",IF(AND(IF(DASHBOARD!$C$4="All",TRUE,$CM433=DASHBOARD!$C$4),IF(DASHBOARD!$C$6="All",TRUE,$CP433=DASHBOARD!$C$6),IF(DASHBOARD!$C$8="All",TRUE,$AF433&gt;=DASHBOARD!$C$8),IF(DASHBOARD!$C$10="All",TRUE,$AF433&lt;=DASHBOARD!$C$10),IF(DASHBOARD!$C$12="All",TRUE,$AH433=VALUE(DASHBOARD!$C$12)),IF(DASHBOARD!$C$14="All",TRUE,$AJ433=DASHBOARD!$C$14)),1,0))</f>
        <v/>
      </c>
    </row>
    <row r="434">
      <c r="A434" t="n">
        <v>207953</v>
      </c>
      <c r="B434" t="inlineStr">
        <is>
          <t>Face Malai</t>
        </is>
      </c>
      <c r="H434" t="inlineStr">
        <is>
          <t>Tomato Vetiver (Hot Humid) 20 - 35 Yrs Face Malai, Cocoa Mogra (Overnight) Face Malai - 30g</t>
        </is>
      </c>
      <c r="N434" t="inlineStr">
        <is>
          <t>FC-HHDM-TV-030, FC-DM-NR-030</t>
        </is>
      </c>
      <c r="T434" t="inlineStr">
        <is>
          <t>Jul 4, 2025</t>
        </is>
      </c>
      <c r="AE434" t="inlineStr">
        <is>
          <t>Chennai</t>
        </is>
      </c>
      <c r="AF434" t="inlineStr">
        <is>
          <t>2025-07</t>
        </is>
      </c>
      <c r="AG434" t="n">
        <v>7</v>
      </c>
      <c r="AH434" t="n">
        <v>1</v>
      </c>
      <c r="AI434" t="n">
        <v>0</v>
      </c>
      <c r="AJ434">
        <f>IF($AE434="","",IFERROR(VLOOKUP(TRIM($AE434),DECODE!$H$3:$I$60,2,FALSE),"Rest of India"))</f>
        <v/>
      </c>
      <c r="AK434">
        <f>IF($N434="","",UPPER(TRIM(LEFT($N434&amp;",",FIND(",",$N434&amp;",")-1))))</f>
        <v/>
      </c>
      <c r="AL434">
        <f>IF($AK434="","",MID($AK434,4,FIND("~",SUBSTITUTE($AK434,"-","~",2))-4))</f>
        <v/>
      </c>
      <c r="AM434">
        <f>IF($AK434="","",MID($AK434,FIND("~",SUBSTITUTE($AK434,"-","~",2))+1,FIND("~",SUBSTITUTE($AK434,"-","~",3))-FIND("~",SUBSTITUTE($AK434,"-","~",2))-1))</f>
        <v/>
      </c>
      <c r="AN434">
        <f>IF($AL434="","",IFERROR(VLOOKUP($AL434,DECODE!$A$3:$C$8,3,FALSE),"?"))</f>
        <v/>
      </c>
      <c r="AO434">
        <f>IF($AM434="","",IFERROR(VLOOKUP($AL434&amp;"-"&amp;$AM434,DECODE!$E$3:$F$21,2,FALSE),"?"))</f>
        <v/>
      </c>
      <c r="AP434">
        <f>IF($AK434="","",IFERROR(VALUE(RIGHT($AK434,3)),""))</f>
        <v/>
      </c>
      <c r="AQ434">
        <f>IF($T434="","",IFERROR(IF(ISNUMBER($T434),$T434,DATEVALUE(TRIM($T434))),""))</f>
        <v/>
      </c>
      <c r="AR434">
        <f>IF($AQ434="","",IF(MONTH($AQ434)&gt;=12,"Cold Winter",IF(MONTH($AQ434)&gt;=10,"Post-Monsoon",IF(MONTH($AQ434)&gt;=6,"Hot Humid",IF(MONTH($AQ434)&gt;=3,"Hot Dry","Cold Winter")))))</f>
        <v/>
      </c>
      <c r="AS434">
        <f>IF($AL434="","",IFERROR(VLOOKUP($AL434,DECODE!$A$3:$C$8,2,FALSE),"?"))</f>
        <v/>
      </c>
      <c r="AT434">
        <f>IF($O434="","",UPPER(TRIM(LEFT($O434&amp;",",FIND(",",$O434&amp;",")-1))))</f>
        <v/>
      </c>
      <c r="AU434">
        <f>IF($AT434="","",MID($AT434,4,FIND("~",SUBSTITUTE($AT434,"-","~",2))-4))</f>
        <v/>
      </c>
      <c r="AV434">
        <f>IF($AT434="","",MID($AT434,FIND("~",SUBSTITUTE($AT434,"-","~",2))+1,FIND("~",SUBSTITUTE($AT434,"-","~",3))-FIND("~",SUBSTITUTE($AT434,"-","~",2))-1))</f>
        <v/>
      </c>
      <c r="AW434">
        <f>IF($AU434="","",IFERROR(VLOOKUP($AU434,DECODE!$A$3:$C$8,3,FALSE),"?"))</f>
        <v/>
      </c>
      <c r="AX434">
        <f>IF($AV434="","",IFERROR(VLOOKUP($AU434&amp;"-"&amp;$AV434,DECODE!$E$3:$F$21,2,FALSE),"?"))</f>
        <v/>
      </c>
      <c r="AY434">
        <f>IF($AT434="","",IFERROR(VALUE(RIGHT($AT434,3)),""))</f>
        <v/>
      </c>
      <c r="AZ434">
        <f>IF($U434="","",IFERROR(IF(ISNUMBER($U434),$U434,DATEVALUE(TRIM($U434))),""))</f>
        <v/>
      </c>
      <c r="BA434">
        <f>IF($AZ434="","",IF(MONTH($AZ434)&gt;=12,"Cold Winter",IF(MONTH($AZ434)&gt;=10,"Post-Monsoon",IF(MONTH($AZ434)&gt;=6,"Hot Humid",IF(MONTH($AZ434)&gt;=3,"Hot Dry","Cold Winter")))))</f>
        <v/>
      </c>
      <c r="BB434">
        <f>IF($AU434="","",IFERROR(VLOOKUP($AU434,DECODE!$A$3:$C$8,2,FALSE),"?"))</f>
        <v/>
      </c>
      <c r="BC434">
        <f>IF($P434="","",UPPER(TRIM(LEFT($P434&amp;",",FIND(",",$P434&amp;",")-1))))</f>
        <v/>
      </c>
      <c r="BD434">
        <f>IF($BC434="","",MID($BC434,4,FIND("~",SUBSTITUTE($BC434,"-","~",2))-4))</f>
        <v/>
      </c>
      <c r="BE434">
        <f>IF($BC434="","",MID($BC434,FIND("~",SUBSTITUTE($BC434,"-","~",2))+1,FIND("~",SUBSTITUTE($BC434,"-","~",3))-FIND("~",SUBSTITUTE($BC434,"-","~",2))-1))</f>
        <v/>
      </c>
      <c r="BF434">
        <f>IF($BD434="","",IFERROR(VLOOKUP($BD434,DECODE!$A$3:$C$8,3,FALSE),"?"))</f>
        <v/>
      </c>
      <c r="BG434">
        <f>IF($BE434="","",IFERROR(VLOOKUP($BD434&amp;"-"&amp;$BE434,DECODE!$E$3:$F$21,2,FALSE),"?"))</f>
        <v/>
      </c>
      <c r="BH434">
        <f>IF($BC434="","",IFERROR(VALUE(RIGHT($BC434,3)),""))</f>
        <v/>
      </c>
      <c r="BI434">
        <f>IF($V434="","",IFERROR(IF(ISNUMBER($V434),$V434,DATEVALUE(TRIM($V434))),""))</f>
        <v/>
      </c>
      <c r="BJ434">
        <f>IF($BI434="","",IF(MONTH($BI434)&gt;=12,"Cold Winter",IF(MONTH($BI434)&gt;=10,"Post-Monsoon",IF(MONTH($BI434)&gt;=6,"Hot Humid",IF(MONTH($BI434)&gt;=3,"Hot Dry","Cold Winter")))))</f>
        <v/>
      </c>
      <c r="BK434">
        <f>IF($BD434="","",IFERROR(VLOOKUP($BD434,DECODE!$A$3:$C$8,2,FALSE),"?"))</f>
        <v/>
      </c>
      <c r="BL434">
        <f>IF($Q434="","",UPPER(TRIM(LEFT($Q434&amp;",",FIND(",",$Q434&amp;",")-1))))</f>
        <v/>
      </c>
      <c r="BM434">
        <f>IF($BL434="","",MID($BL434,4,FIND("~",SUBSTITUTE($BL434,"-","~",2))-4))</f>
        <v/>
      </c>
      <c r="BN434">
        <f>IF($BL434="","",MID($BL434,FIND("~",SUBSTITUTE($BL434,"-","~",2))+1,FIND("~",SUBSTITUTE($BL434,"-","~",3))-FIND("~",SUBSTITUTE($BL434,"-","~",2))-1))</f>
        <v/>
      </c>
      <c r="BO434">
        <f>IF($BM434="","",IFERROR(VLOOKUP($BM434,DECODE!$A$3:$C$8,3,FALSE),"?"))</f>
        <v/>
      </c>
      <c r="BP434">
        <f>IF($BN434="","",IFERROR(VLOOKUP($BM434&amp;"-"&amp;$BN434,DECODE!$E$3:$F$21,2,FALSE),"?"))</f>
        <v/>
      </c>
      <c r="BQ434">
        <f>IF($BL434="","",IFERROR(VALUE(RIGHT($BL434,3)),""))</f>
        <v/>
      </c>
      <c r="BR434">
        <f>IF($W434="","",IFERROR(IF(ISNUMBER($W434),$W434,DATEVALUE(TRIM($W434))),""))</f>
        <v/>
      </c>
      <c r="BS434">
        <f>IF($BR434="","",IF(MONTH($BR434)&gt;=12,"Cold Winter",IF(MONTH($BR434)&gt;=10,"Post-Monsoon",IF(MONTH($BR434)&gt;=6,"Hot Humid",IF(MONTH($BR434)&gt;=3,"Hot Dry","Cold Winter")))))</f>
        <v/>
      </c>
      <c r="BT434">
        <f>IF($BM434="","",IFERROR(VLOOKUP($BM434,DECODE!$A$3:$C$8,2,FALSE),"?"))</f>
        <v/>
      </c>
      <c r="BU434">
        <f>IF($R434="","",UPPER(TRIM(LEFT($R434&amp;",",FIND(",",$R434&amp;",")-1))))</f>
        <v/>
      </c>
      <c r="BV434">
        <f>IF($BU434="","",MID($BU434,4,FIND("~",SUBSTITUTE($BU434,"-","~",2))-4))</f>
        <v/>
      </c>
      <c r="BW434">
        <f>IF($BU434="","",MID($BU434,FIND("~",SUBSTITUTE($BU434,"-","~",2))+1,FIND("~",SUBSTITUTE($BU434,"-","~",3))-FIND("~",SUBSTITUTE($BU434,"-","~",2))-1))</f>
        <v/>
      </c>
      <c r="BX434">
        <f>IF($BV434="","",IFERROR(VLOOKUP($BV434,DECODE!$A$3:$C$8,3,FALSE),"?"))</f>
        <v/>
      </c>
      <c r="BY434">
        <f>IF($BW434="","",IFERROR(VLOOKUP($BV434&amp;"-"&amp;$BW434,DECODE!$E$3:$F$21,2,FALSE),"?"))</f>
        <v/>
      </c>
      <c r="BZ434">
        <f>IF($BU434="","",IFERROR(VALUE(RIGHT($BU434,3)),""))</f>
        <v/>
      </c>
      <c r="CA434">
        <f>IF($X434="","",IFERROR(IF(ISNUMBER($X434),$X434,DATEVALUE(TRIM($X434))),""))</f>
        <v/>
      </c>
      <c r="CB434">
        <f>IF($CA434="","",IF(MONTH($CA434)&gt;=12,"Cold Winter",IF(MONTH($CA434)&gt;=10,"Post-Monsoon",IF(MONTH($CA434)&gt;=6,"Hot Humid",IF(MONTH($CA434)&gt;=3,"Hot Dry","Cold Winter")))))</f>
        <v/>
      </c>
      <c r="CC434">
        <f>IF($BV434="","",IFERROR(VLOOKUP($BV434,DECODE!$A$3:$C$8,2,FALSE),"?"))</f>
        <v/>
      </c>
      <c r="CD434">
        <f>IF($S434="","",UPPER(TRIM(LEFT($S434&amp;",",FIND(",",$S434&amp;",")-1))))</f>
        <v/>
      </c>
      <c r="CE434">
        <f>IF($CD434="","",MID($CD434,4,FIND("~",SUBSTITUTE($CD434,"-","~",2))-4))</f>
        <v/>
      </c>
      <c r="CF434">
        <f>IF($CD434="","",MID($CD434,FIND("~",SUBSTITUTE($CD434,"-","~",2))+1,FIND("~",SUBSTITUTE($CD434,"-","~",3))-FIND("~",SUBSTITUTE($CD434,"-","~",2))-1))</f>
        <v/>
      </c>
      <c r="CG434">
        <f>IF($CE434="","",IFERROR(VLOOKUP($CE434,DECODE!$A$3:$C$8,3,FALSE),"?"))</f>
        <v/>
      </c>
      <c r="CH434">
        <f>IF($CF434="","",IFERROR(VLOOKUP($CE434&amp;"-"&amp;$CF434,DECODE!$E$3:$F$21,2,FALSE),"?"))</f>
        <v/>
      </c>
      <c r="CI434">
        <f>IF($CD434="","",IFERROR(VALUE(RIGHT($CD434,3)),""))</f>
        <v/>
      </c>
      <c r="CJ434">
        <f>IF($Y434="","",IFERROR(IF(ISNUMBER($Y434),$Y434,DATEVALUE(TRIM($Y434))),""))</f>
        <v/>
      </c>
      <c r="CK434">
        <f>IF($CJ434="","",IF(MONTH($CJ434)&gt;=12,"Cold Winter",IF(MONTH($CJ434)&gt;=10,"Post-Monsoon",IF(MONTH($CJ434)&gt;=6,"Hot Humid",IF(MONTH($CJ434)&gt;=3,"Hot Dry","Cold Winter")))))</f>
        <v/>
      </c>
      <c r="CL434">
        <f>IF($CE434="","",IFERROR(VLOOKUP($CE434,DECODE!$A$3:$C$8,2,FALSE),"?"))</f>
        <v/>
      </c>
      <c r="CM434">
        <f>IF($AN434="","",AN434)</f>
        <v/>
      </c>
      <c r="CN434">
        <f>IF($AO434="","",AO434)</f>
        <v/>
      </c>
      <c r="CO434">
        <f>IF($AP434="","",AP434)</f>
        <v/>
      </c>
      <c r="CP434">
        <f>IF($CM434="","",IF($CM434="Aloe Vera Gel","Aloe Vera Gel "&amp;$CO434&amp;"g",CN434&amp;" "&amp;$CO434&amp;"g"))</f>
        <v/>
      </c>
      <c r="CQ434">
        <f>IF($AT434="",0,1)</f>
        <v/>
      </c>
      <c r="CR434">
        <f>IF($CQ434=0,"",AW434)</f>
        <v/>
      </c>
      <c r="CS434">
        <f>IF($CQ434=0,"",AX434)</f>
        <v/>
      </c>
      <c r="CT434">
        <f>IF($CQ434=0,"",AY434)</f>
        <v/>
      </c>
      <c r="CU434">
        <f>IF($CR434="","",IF($CR434="Aloe Vera Gel","Aloe Vera Gel "&amp;$CT434&amp;"g",CS434&amp;" "&amp;$CT434&amp;"g"))</f>
        <v/>
      </c>
      <c r="CV434">
        <f>IF($CQ434=0,"",IF($CP434=$CU434,"Repeat Exact",IF($CT434&gt;$CO434,"Upsized",IF($CT434&lt;$CO434,"Downsized",IF($CM434&lt;&gt;$CR434,"Lateral","Same Size Diff Variant")))))</f>
        <v/>
      </c>
      <c r="CW434">
        <f>IF($CQ434=0,"",AZ434-AQ434)</f>
        <v/>
      </c>
      <c r="CX434">
        <f>IF($CQ434=0,0,IF(CS434=CN434,1,0))</f>
        <v/>
      </c>
      <c r="CY434">
        <f>IF($CQ434=0,0,IF(CR434=CM434,1,0))</f>
        <v/>
      </c>
      <c r="CZ434">
        <f>IF($A434="","",IF(AND(IF(DASHBOARD!$C$4="All",TRUE,$CM434=DASHBOARD!$C$4),IF(DASHBOARD!$C$6="All",TRUE,$CP434=DASHBOARD!$C$6),IF(DASHBOARD!$C$8="All",TRUE,$AF434&gt;=DASHBOARD!$C$8),IF(DASHBOARD!$C$10="All",TRUE,$AF434&lt;=DASHBOARD!$C$10),IF(DASHBOARD!$C$12="All",TRUE,$AH434=VALUE(DASHBOARD!$C$12)),IF(DASHBOARD!$C$14="All",TRUE,$AJ434=DASHBOARD!$C$14)),1,0))</f>
        <v/>
      </c>
    </row>
    <row r="435">
      <c r="A435" t="n">
        <v>208177</v>
      </c>
      <c r="B435" t="inlineStr">
        <is>
          <t>Face Malai</t>
        </is>
      </c>
      <c r="C435" t="inlineStr">
        <is>
          <t>Aloe Vera Gel</t>
        </is>
      </c>
      <c r="D435" t="inlineStr">
        <is>
          <t>Active Gel</t>
        </is>
      </c>
      <c r="H435" t="inlineStr">
        <is>
          <t>Clove Tea-Tree (Anti-Acne) Face Malai</t>
        </is>
      </c>
      <c r="I435" t="inlineStr">
        <is>
          <t>Aloe Vera Gel - 40 gms</t>
        </is>
      </c>
      <c r="J435" t="inlineStr">
        <is>
          <t>Active Orange Kiwi Vit-C Gel</t>
        </is>
      </c>
      <c r="N435" t="inlineStr">
        <is>
          <t>FC-DM-AA-030</t>
        </is>
      </c>
      <c r="O435" t="inlineStr">
        <is>
          <t>FC-HG-PA-040</t>
        </is>
      </c>
      <c r="P435" t="inlineStr">
        <is>
          <t>FC-AC-OK-050</t>
        </is>
      </c>
      <c r="T435" t="inlineStr">
        <is>
          <t>Aug 7, 2024</t>
        </is>
      </c>
      <c r="U435" t="inlineStr">
        <is>
          <t>Sep 6, 2024</t>
        </is>
      </c>
      <c r="V435" t="inlineStr">
        <is>
          <t>Nov 14, 2025</t>
        </is>
      </c>
      <c r="Z435" t="n">
        <v>30</v>
      </c>
      <c r="AA435" t="n">
        <v>434</v>
      </c>
      <c r="AE435" t="inlineStr">
        <is>
          <t>Vijayawada</t>
        </is>
      </c>
      <c r="AF435" t="inlineStr">
        <is>
          <t>2024-08</t>
        </is>
      </c>
      <c r="AG435" t="n">
        <v>8</v>
      </c>
      <c r="AH435" t="n">
        <v>3</v>
      </c>
      <c r="AI435" t="n">
        <v>1</v>
      </c>
      <c r="AJ435">
        <f>IF($AE435="","",IFERROR(VLOOKUP(TRIM($AE435),DECODE!$H$3:$I$60,2,FALSE),"Rest of India"))</f>
        <v/>
      </c>
      <c r="AK435">
        <f>IF($N435="","",UPPER(TRIM(LEFT($N435&amp;",",FIND(",",$N435&amp;",")-1))))</f>
        <v/>
      </c>
      <c r="AL435">
        <f>IF($AK435="","",MID($AK435,4,FIND("~",SUBSTITUTE($AK435,"-","~",2))-4))</f>
        <v/>
      </c>
      <c r="AM435">
        <f>IF($AK435="","",MID($AK435,FIND("~",SUBSTITUTE($AK435,"-","~",2))+1,FIND("~",SUBSTITUTE($AK435,"-","~",3))-FIND("~",SUBSTITUTE($AK435,"-","~",2))-1))</f>
        <v/>
      </c>
      <c r="AN435">
        <f>IF($AL435="","",IFERROR(VLOOKUP($AL435,DECODE!$A$3:$C$8,3,FALSE),"?"))</f>
        <v/>
      </c>
      <c r="AO435">
        <f>IF($AM435="","",IFERROR(VLOOKUP($AL435&amp;"-"&amp;$AM435,DECODE!$E$3:$F$21,2,FALSE),"?"))</f>
        <v/>
      </c>
      <c r="AP435">
        <f>IF($AK435="","",IFERROR(VALUE(RIGHT($AK435,3)),""))</f>
        <v/>
      </c>
      <c r="AQ435">
        <f>IF($T435="","",IFERROR(IF(ISNUMBER($T435),$T435,DATEVALUE(TRIM($T435))),""))</f>
        <v/>
      </c>
      <c r="AR435">
        <f>IF($AQ435="","",IF(MONTH($AQ435)&gt;=12,"Cold Winter",IF(MONTH($AQ435)&gt;=10,"Post-Monsoon",IF(MONTH($AQ435)&gt;=6,"Hot Humid",IF(MONTH($AQ435)&gt;=3,"Hot Dry","Cold Winter")))))</f>
        <v/>
      </c>
      <c r="AS435">
        <f>IF($AL435="","",IFERROR(VLOOKUP($AL435,DECODE!$A$3:$C$8,2,FALSE),"?"))</f>
        <v/>
      </c>
      <c r="AT435">
        <f>IF($O435="","",UPPER(TRIM(LEFT($O435&amp;",",FIND(",",$O435&amp;",")-1))))</f>
        <v/>
      </c>
      <c r="AU435">
        <f>IF($AT435="","",MID($AT435,4,FIND("~",SUBSTITUTE($AT435,"-","~",2))-4))</f>
        <v/>
      </c>
      <c r="AV435">
        <f>IF($AT435="","",MID($AT435,FIND("~",SUBSTITUTE($AT435,"-","~",2))+1,FIND("~",SUBSTITUTE($AT435,"-","~",3))-FIND("~",SUBSTITUTE($AT435,"-","~",2))-1))</f>
        <v/>
      </c>
      <c r="AW435">
        <f>IF($AU435="","",IFERROR(VLOOKUP($AU435,DECODE!$A$3:$C$8,3,FALSE),"?"))</f>
        <v/>
      </c>
      <c r="AX435">
        <f>IF($AV435="","",IFERROR(VLOOKUP($AU435&amp;"-"&amp;$AV435,DECODE!$E$3:$F$21,2,FALSE),"?"))</f>
        <v/>
      </c>
      <c r="AY435">
        <f>IF($AT435="","",IFERROR(VALUE(RIGHT($AT435,3)),""))</f>
        <v/>
      </c>
      <c r="AZ435">
        <f>IF($U435="","",IFERROR(IF(ISNUMBER($U435),$U435,DATEVALUE(TRIM($U435))),""))</f>
        <v/>
      </c>
      <c r="BA435">
        <f>IF($AZ435="","",IF(MONTH($AZ435)&gt;=12,"Cold Winter",IF(MONTH($AZ435)&gt;=10,"Post-Monsoon",IF(MONTH($AZ435)&gt;=6,"Hot Humid",IF(MONTH($AZ435)&gt;=3,"Hot Dry","Cold Winter")))))</f>
        <v/>
      </c>
      <c r="BB435">
        <f>IF($AU435="","",IFERROR(VLOOKUP($AU435,DECODE!$A$3:$C$8,2,FALSE),"?"))</f>
        <v/>
      </c>
      <c r="BC435">
        <f>IF($P435="","",UPPER(TRIM(LEFT($P435&amp;",",FIND(",",$P435&amp;",")-1))))</f>
        <v/>
      </c>
      <c r="BD435">
        <f>IF($BC435="","",MID($BC435,4,FIND("~",SUBSTITUTE($BC435,"-","~",2))-4))</f>
        <v/>
      </c>
      <c r="BE435">
        <f>IF($BC435="","",MID($BC435,FIND("~",SUBSTITUTE($BC435,"-","~",2))+1,FIND("~",SUBSTITUTE($BC435,"-","~",3))-FIND("~",SUBSTITUTE($BC435,"-","~",2))-1))</f>
        <v/>
      </c>
      <c r="BF435">
        <f>IF($BD435="","",IFERROR(VLOOKUP($BD435,DECODE!$A$3:$C$8,3,FALSE),"?"))</f>
        <v/>
      </c>
      <c r="BG435">
        <f>IF($BE435="","",IFERROR(VLOOKUP($BD435&amp;"-"&amp;$BE435,DECODE!$E$3:$F$21,2,FALSE),"?"))</f>
        <v/>
      </c>
      <c r="BH435">
        <f>IF($BC435="","",IFERROR(VALUE(RIGHT($BC435,3)),""))</f>
        <v/>
      </c>
      <c r="BI435">
        <f>IF($V435="","",IFERROR(IF(ISNUMBER($V435),$V435,DATEVALUE(TRIM($V435))),""))</f>
        <v/>
      </c>
      <c r="BJ435">
        <f>IF($BI435="","",IF(MONTH($BI435)&gt;=12,"Cold Winter",IF(MONTH($BI435)&gt;=10,"Post-Monsoon",IF(MONTH($BI435)&gt;=6,"Hot Humid",IF(MONTH($BI435)&gt;=3,"Hot Dry","Cold Winter")))))</f>
        <v/>
      </c>
      <c r="BK435">
        <f>IF($BD435="","",IFERROR(VLOOKUP($BD435,DECODE!$A$3:$C$8,2,FALSE),"?"))</f>
        <v/>
      </c>
      <c r="BL435">
        <f>IF($Q435="","",UPPER(TRIM(LEFT($Q435&amp;",",FIND(",",$Q435&amp;",")-1))))</f>
        <v/>
      </c>
      <c r="BM435">
        <f>IF($BL435="","",MID($BL435,4,FIND("~",SUBSTITUTE($BL435,"-","~",2))-4))</f>
        <v/>
      </c>
      <c r="BN435">
        <f>IF($BL435="","",MID($BL435,FIND("~",SUBSTITUTE($BL435,"-","~",2))+1,FIND("~",SUBSTITUTE($BL435,"-","~",3))-FIND("~",SUBSTITUTE($BL435,"-","~",2))-1))</f>
        <v/>
      </c>
      <c r="BO435">
        <f>IF($BM435="","",IFERROR(VLOOKUP($BM435,DECODE!$A$3:$C$8,3,FALSE),"?"))</f>
        <v/>
      </c>
      <c r="BP435">
        <f>IF($BN435="","",IFERROR(VLOOKUP($BM435&amp;"-"&amp;$BN435,DECODE!$E$3:$F$21,2,FALSE),"?"))</f>
        <v/>
      </c>
      <c r="BQ435">
        <f>IF($BL435="","",IFERROR(VALUE(RIGHT($BL435,3)),""))</f>
        <v/>
      </c>
      <c r="BR435">
        <f>IF($W435="","",IFERROR(IF(ISNUMBER($W435),$W435,DATEVALUE(TRIM($W435))),""))</f>
        <v/>
      </c>
      <c r="BS435">
        <f>IF($BR435="","",IF(MONTH($BR435)&gt;=12,"Cold Winter",IF(MONTH($BR435)&gt;=10,"Post-Monsoon",IF(MONTH($BR435)&gt;=6,"Hot Humid",IF(MONTH($BR435)&gt;=3,"Hot Dry","Cold Winter")))))</f>
        <v/>
      </c>
      <c r="BT435">
        <f>IF($BM435="","",IFERROR(VLOOKUP($BM435,DECODE!$A$3:$C$8,2,FALSE),"?"))</f>
        <v/>
      </c>
      <c r="BU435">
        <f>IF($R435="","",UPPER(TRIM(LEFT($R435&amp;",",FIND(",",$R435&amp;",")-1))))</f>
        <v/>
      </c>
      <c r="BV435">
        <f>IF($BU435="","",MID($BU435,4,FIND("~",SUBSTITUTE($BU435,"-","~",2))-4))</f>
        <v/>
      </c>
      <c r="BW435">
        <f>IF($BU435="","",MID($BU435,FIND("~",SUBSTITUTE($BU435,"-","~",2))+1,FIND("~",SUBSTITUTE($BU435,"-","~",3))-FIND("~",SUBSTITUTE($BU435,"-","~",2))-1))</f>
        <v/>
      </c>
      <c r="BX435">
        <f>IF($BV435="","",IFERROR(VLOOKUP($BV435,DECODE!$A$3:$C$8,3,FALSE),"?"))</f>
        <v/>
      </c>
      <c r="BY435">
        <f>IF($BW435="","",IFERROR(VLOOKUP($BV435&amp;"-"&amp;$BW435,DECODE!$E$3:$F$21,2,FALSE),"?"))</f>
        <v/>
      </c>
      <c r="BZ435">
        <f>IF($BU435="","",IFERROR(VALUE(RIGHT($BU435,3)),""))</f>
        <v/>
      </c>
      <c r="CA435">
        <f>IF($X435="","",IFERROR(IF(ISNUMBER($X435),$X435,DATEVALUE(TRIM($X435))),""))</f>
        <v/>
      </c>
      <c r="CB435">
        <f>IF($CA435="","",IF(MONTH($CA435)&gt;=12,"Cold Winter",IF(MONTH($CA435)&gt;=10,"Post-Monsoon",IF(MONTH($CA435)&gt;=6,"Hot Humid",IF(MONTH($CA435)&gt;=3,"Hot Dry","Cold Winter")))))</f>
        <v/>
      </c>
      <c r="CC435">
        <f>IF($BV435="","",IFERROR(VLOOKUP($BV435,DECODE!$A$3:$C$8,2,FALSE),"?"))</f>
        <v/>
      </c>
      <c r="CD435">
        <f>IF($S435="","",UPPER(TRIM(LEFT($S435&amp;",",FIND(",",$S435&amp;",")-1))))</f>
        <v/>
      </c>
      <c r="CE435">
        <f>IF($CD435="","",MID($CD435,4,FIND("~",SUBSTITUTE($CD435,"-","~",2))-4))</f>
        <v/>
      </c>
      <c r="CF435">
        <f>IF($CD435="","",MID($CD435,FIND("~",SUBSTITUTE($CD435,"-","~",2))+1,FIND("~",SUBSTITUTE($CD435,"-","~",3))-FIND("~",SUBSTITUTE($CD435,"-","~",2))-1))</f>
        <v/>
      </c>
      <c r="CG435">
        <f>IF($CE435="","",IFERROR(VLOOKUP($CE435,DECODE!$A$3:$C$8,3,FALSE),"?"))</f>
        <v/>
      </c>
      <c r="CH435">
        <f>IF($CF435="","",IFERROR(VLOOKUP($CE435&amp;"-"&amp;$CF435,DECODE!$E$3:$F$21,2,FALSE),"?"))</f>
        <v/>
      </c>
      <c r="CI435">
        <f>IF($CD435="","",IFERROR(VALUE(RIGHT($CD435,3)),""))</f>
        <v/>
      </c>
      <c r="CJ435">
        <f>IF($Y435="","",IFERROR(IF(ISNUMBER($Y435),$Y435,DATEVALUE(TRIM($Y435))),""))</f>
        <v/>
      </c>
      <c r="CK435">
        <f>IF($CJ435="","",IF(MONTH($CJ435)&gt;=12,"Cold Winter",IF(MONTH($CJ435)&gt;=10,"Post-Monsoon",IF(MONTH($CJ435)&gt;=6,"Hot Humid",IF(MONTH($CJ435)&gt;=3,"Hot Dry","Cold Winter")))))</f>
        <v/>
      </c>
      <c r="CL435">
        <f>IF($CE435="","",IFERROR(VLOOKUP($CE435,DECODE!$A$3:$C$8,2,FALSE),"?"))</f>
        <v/>
      </c>
      <c r="CM435">
        <f>IF($AN435="","",AN435)</f>
        <v/>
      </c>
      <c r="CN435">
        <f>IF($AO435="","",AO435)</f>
        <v/>
      </c>
      <c r="CO435">
        <f>IF($AP435="","",AP435)</f>
        <v/>
      </c>
      <c r="CP435">
        <f>IF($CM435="","",IF($CM435="Aloe Vera Gel","Aloe Vera Gel "&amp;$CO435&amp;"g",CN435&amp;" "&amp;$CO435&amp;"g"))</f>
        <v/>
      </c>
      <c r="CQ435">
        <f>IF($AT435="",0,1)</f>
        <v/>
      </c>
      <c r="CR435">
        <f>IF($CQ435=0,"",AW435)</f>
        <v/>
      </c>
      <c r="CS435">
        <f>IF($CQ435=0,"",AX435)</f>
        <v/>
      </c>
      <c r="CT435">
        <f>IF($CQ435=0,"",AY435)</f>
        <v/>
      </c>
      <c r="CU435">
        <f>IF($CR435="","",IF($CR435="Aloe Vera Gel","Aloe Vera Gel "&amp;$CT435&amp;"g",CS435&amp;" "&amp;$CT435&amp;"g"))</f>
        <v/>
      </c>
      <c r="CV435">
        <f>IF($CQ435=0,"",IF($CP435=$CU435,"Repeat Exact",IF($CT435&gt;$CO435,"Upsized",IF($CT435&lt;$CO435,"Downsized",IF($CM435&lt;&gt;$CR435,"Lateral","Same Size Diff Variant")))))</f>
        <v/>
      </c>
      <c r="CW435">
        <f>IF($CQ435=0,"",AZ435-AQ435)</f>
        <v/>
      </c>
      <c r="CX435">
        <f>IF($CQ435=0,0,IF(CS435=CN435,1,0))</f>
        <v/>
      </c>
      <c r="CY435">
        <f>IF($CQ435=0,0,IF(CR435=CM435,1,0))</f>
        <v/>
      </c>
      <c r="CZ435">
        <f>IF($A435="","",IF(AND(IF(DASHBOARD!$C$4="All",TRUE,$CM435=DASHBOARD!$C$4),IF(DASHBOARD!$C$6="All",TRUE,$CP435=DASHBOARD!$C$6),IF(DASHBOARD!$C$8="All",TRUE,$AF435&gt;=DASHBOARD!$C$8),IF(DASHBOARD!$C$10="All",TRUE,$AF435&lt;=DASHBOARD!$C$10),IF(DASHBOARD!$C$12="All",TRUE,$AH435=VALUE(DASHBOARD!$C$12)),IF(DASHBOARD!$C$14="All",TRUE,$AJ435=DASHBOARD!$C$14)),1,0))</f>
        <v/>
      </c>
    </row>
    <row r="436">
      <c r="A436" t="n">
        <v>209197</v>
      </c>
      <c r="B436" t="inlineStr">
        <is>
          <t>Aloe Vera Gel</t>
        </is>
      </c>
      <c r="H436" t="inlineStr">
        <is>
          <t>Aloe Vera Gel - 40 gms</t>
        </is>
      </c>
      <c r="N436" t="inlineStr">
        <is>
          <t>FC-HG-PA-040</t>
        </is>
      </c>
      <c r="T436" t="inlineStr">
        <is>
          <t>Jun 1, 2024</t>
        </is>
      </c>
      <c r="AE436" t="inlineStr">
        <is>
          <t>Bengaluru</t>
        </is>
      </c>
      <c r="AF436" t="inlineStr">
        <is>
          <t>2024-06</t>
        </is>
      </c>
      <c r="AG436" t="n">
        <v>6</v>
      </c>
      <c r="AH436" t="n">
        <v>1</v>
      </c>
      <c r="AI436" t="n">
        <v>0</v>
      </c>
      <c r="AJ436">
        <f>IF($AE436="","",IFERROR(VLOOKUP(TRIM($AE436),DECODE!$H$3:$I$60,2,FALSE),"Rest of India"))</f>
        <v/>
      </c>
      <c r="AK436">
        <f>IF($N436="","",UPPER(TRIM(LEFT($N436&amp;",",FIND(",",$N436&amp;",")-1))))</f>
        <v/>
      </c>
      <c r="AL436">
        <f>IF($AK436="","",MID($AK436,4,FIND("~",SUBSTITUTE($AK436,"-","~",2))-4))</f>
        <v/>
      </c>
      <c r="AM436">
        <f>IF($AK436="","",MID($AK436,FIND("~",SUBSTITUTE($AK436,"-","~",2))+1,FIND("~",SUBSTITUTE($AK436,"-","~",3))-FIND("~",SUBSTITUTE($AK436,"-","~",2))-1))</f>
        <v/>
      </c>
      <c r="AN436">
        <f>IF($AL436="","",IFERROR(VLOOKUP($AL436,DECODE!$A$3:$C$8,3,FALSE),"?"))</f>
        <v/>
      </c>
      <c r="AO436">
        <f>IF($AM436="","",IFERROR(VLOOKUP($AL436&amp;"-"&amp;$AM436,DECODE!$E$3:$F$21,2,FALSE),"?"))</f>
        <v/>
      </c>
      <c r="AP436">
        <f>IF($AK436="","",IFERROR(VALUE(RIGHT($AK436,3)),""))</f>
        <v/>
      </c>
      <c r="AQ436">
        <f>IF($T436="","",IFERROR(IF(ISNUMBER($T436),$T436,DATEVALUE(TRIM($T436))),""))</f>
        <v/>
      </c>
      <c r="AR436">
        <f>IF($AQ436="","",IF(MONTH($AQ436)&gt;=12,"Cold Winter",IF(MONTH($AQ436)&gt;=10,"Post-Monsoon",IF(MONTH($AQ436)&gt;=6,"Hot Humid",IF(MONTH($AQ436)&gt;=3,"Hot Dry","Cold Winter")))))</f>
        <v/>
      </c>
      <c r="AS436">
        <f>IF($AL436="","",IFERROR(VLOOKUP($AL436,DECODE!$A$3:$C$8,2,FALSE),"?"))</f>
        <v/>
      </c>
      <c r="AT436">
        <f>IF($O436="","",UPPER(TRIM(LEFT($O436&amp;",",FIND(",",$O436&amp;",")-1))))</f>
        <v/>
      </c>
      <c r="AU436">
        <f>IF($AT436="","",MID($AT436,4,FIND("~",SUBSTITUTE($AT436,"-","~",2))-4))</f>
        <v/>
      </c>
      <c r="AV436">
        <f>IF($AT436="","",MID($AT436,FIND("~",SUBSTITUTE($AT436,"-","~",2))+1,FIND("~",SUBSTITUTE($AT436,"-","~",3))-FIND("~",SUBSTITUTE($AT436,"-","~",2))-1))</f>
        <v/>
      </c>
      <c r="AW436">
        <f>IF($AU436="","",IFERROR(VLOOKUP($AU436,DECODE!$A$3:$C$8,3,FALSE),"?"))</f>
        <v/>
      </c>
      <c r="AX436">
        <f>IF($AV436="","",IFERROR(VLOOKUP($AU436&amp;"-"&amp;$AV436,DECODE!$E$3:$F$21,2,FALSE),"?"))</f>
        <v/>
      </c>
      <c r="AY436">
        <f>IF($AT436="","",IFERROR(VALUE(RIGHT($AT436,3)),""))</f>
        <v/>
      </c>
      <c r="AZ436">
        <f>IF($U436="","",IFERROR(IF(ISNUMBER($U436),$U436,DATEVALUE(TRIM($U436))),""))</f>
        <v/>
      </c>
      <c r="BA436">
        <f>IF($AZ436="","",IF(MONTH($AZ436)&gt;=12,"Cold Winter",IF(MONTH($AZ436)&gt;=10,"Post-Monsoon",IF(MONTH($AZ436)&gt;=6,"Hot Humid",IF(MONTH($AZ436)&gt;=3,"Hot Dry","Cold Winter")))))</f>
        <v/>
      </c>
      <c r="BB436">
        <f>IF($AU436="","",IFERROR(VLOOKUP($AU436,DECODE!$A$3:$C$8,2,FALSE),"?"))</f>
        <v/>
      </c>
      <c r="BC436">
        <f>IF($P436="","",UPPER(TRIM(LEFT($P436&amp;",",FIND(",",$P436&amp;",")-1))))</f>
        <v/>
      </c>
      <c r="BD436">
        <f>IF($BC436="","",MID($BC436,4,FIND("~",SUBSTITUTE($BC436,"-","~",2))-4))</f>
        <v/>
      </c>
      <c r="BE436">
        <f>IF($BC436="","",MID($BC436,FIND("~",SUBSTITUTE($BC436,"-","~",2))+1,FIND("~",SUBSTITUTE($BC436,"-","~",3))-FIND("~",SUBSTITUTE($BC436,"-","~",2))-1))</f>
        <v/>
      </c>
      <c r="BF436">
        <f>IF($BD436="","",IFERROR(VLOOKUP($BD436,DECODE!$A$3:$C$8,3,FALSE),"?"))</f>
        <v/>
      </c>
      <c r="BG436">
        <f>IF($BE436="","",IFERROR(VLOOKUP($BD436&amp;"-"&amp;$BE436,DECODE!$E$3:$F$21,2,FALSE),"?"))</f>
        <v/>
      </c>
      <c r="BH436">
        <f>IF($BC436="","",IFERROR(VALUE(RIGHT($BC436,3)),""))</f>
        <v/>
      </c>
      <c r="BI436">
        <f>IF($V436="","",IFERROR(IF(ISNUMBER($V436),$V436,DATEVALUE(TRIM($V436))),""))</f>
        <v/>
      </c>
      <c r="BJ436">
        <f>IF($BI436="","",IF(MONTH($BI436)&gt;=12,"Cold Winter",IF(MONTH($BI436)&gt;=10,"Post-Monsoon",IF(MONTH($BI436)&gt;=6,"Hot Humid",IF(MONTH($BI436)&gt;=3,"Hot Dry","Cold Winter")))))</f>
        <v/>
      </c>
      <c r="BK436">
        <f>IF($BD436="","",IFERROR(VLOOKUP($BD436,DECODE!$A$3:$C$8,2,FALSE),"?"))</f>
        <v/>
      </c>
      <c r="BL436">
        <f>IF($Q436="","",UPPER(TRIM(LEFT($Q436&amp;",",FIND(",",$Q436&amp;",")-1))))</f>
        <v/>
      </c>
      <c r="BM436">
        <f>IF($BL436="","",MID($BL436,4,FIND("~",SUBSTITUTE($BL436,"-","~",2))-4))</f>
        <v/>
      </c>
      <c r="BN436">
        <f>IF($BL436="","",MID($BL436,FIND("~",SUBSTITUTE($BL436,"-","~",2))+1,FIND("~",SUBSTITUTE($BL436,"-","~",3))-FIND("~",SUBSTITUTE($BL436,"-","~",2))-1))</f>
        <v/>
      </c>
      <c r="BO436">
        <f>IF($BM436="","",IFERROR(VLOOKUP($BM436,DECODE!$A$3:$C$8,3,FALSE),"?"))</f>
        <v/>
      </c>
      <c r="BP436">
        <f>IF($BN436="","",IFERROR(VLOOKUP($BM436&amp;"-"&amp;$BN436,DECODE!$E$3:$F$21,2,FALSE),"?"))</f>
        <v/>
      </c>
      <c r="BQ436">
        <f>IF($BL436="","",IFERROR(VALUE(RIGHT($BL436,3)),""))</f>
        <v/>
      </c>
      <c r="BR436">
        <f>IF($W436="","",IFERROR(IF(ISNUMBER($W436),$W436,DATEVALUE(TRIM($W436))),""))</f>
        <v/>
      </c>
      <c r="BS436">
        <f>IF($BR436="","",IF(MONTH($BR436)&gt;=12,"Cold Winter",IF(MONTH($BR436)&gt;=10,"Post-Monsoon",IF(MONTH($BR436)&gt;=6,"Hot Humid",IF(MONTH($BR436)&gt;=3,"Hot Dry","Cold Winter")))))</f>
        <v/>
      </c>
      <c r="BT436">
        <f>IF($BM436="","",IFERROR(VLOOKUP($BM436,DECODE!$A$3:$C$8,2,FALSE),"?"))</f>
        <v/>
      </c>
      <c r="BU436">
        <f>IF($R436="","",UPPER(TRIM(LEFT($R436&amp;",",FIND(",",$R436&amp;",")-1))))</f>
        <v/>
      </c>
      <c r="BV436">
        <f>IF($BU436="","",MID($BU436,4,FIND("~",SUBSTITUTE($BU436,"-","~",2))-4))</f>
        <v/>
      </c>
      <c r="BW436">
        <f>IF($BU436="","",MID($BU436,FIND("~",SUBSTITUTE($BU436,"-","~",2))+1,FIND("~",SUBSTITUTE($BU436,"-","~",3))-FIND("~",SUBSTITUTE($BU436,"-","~",2))-1))</f>
        <v/>
      </c>
      <c r="BX436">
        <f>IF($BV436="","",IFERROR(VLOOKUP($BV436,DECODE!$A$3:$C$8,3,FALSE),"?"))</f>
        <v/>
      </c>
      <c r="BY436">
        <f>IF($BW436="","",IFERROR(VLOOKUP($BV436&amp;"-"&amp;$BW436,DECODE!$E$3:$F$21,2,FALSE),"?"))</f>
        <v/>
      </c>
      <c r="BZ436">
        <f>IF($BU436="","",IFERROR(VALUE(RIGHT($BU436,3)),""))</f>
        <v/>
      </c>
      <c r="CA436">
        <f>IF($X436="","",IFERROR(IF(ISNUMBER($X436),$X436,DATEVALUE(TRIM($X436))),""))</f>
        <v/>
      </c>
      <c r="CB436">
        <f>IF($CA436="","",IF(MONTH($CA436)&gt;=12,"Cold Winter",IF(MONTH($CA436)&gt;=10,"Post-Monsoon",IF(MONTH($CA436)&gt;=6,"Hot Humid",IF(MONTH($CA436)&gt;=3,"Hot Dry","Cold Winter")))))</f>
        <v/>
      </c>
      <c r="CC436">
        <f>IF($BV436="","",IFERROR(VLOOKUP($BV436,DECODE!$A$3:$C$8,2,FALSE),"?"))</f>
        <v/>
      </c>
      <c r="CD436">
        <f>IF($S436="","",UPPER(TRIM(LEFT($S436&amp;",",FIND(",",$S436&amp;",")-1))))</f>
        <v/>
      </c>
      <c r="CE436">
        <f>IF($CD436="","",MID($CD436,4,FIND("~",SUBSTITUTE($CD436,"-","~",2))-4))</f>
        <v/>
      </c>
      <c r="CF436">
        <f>IF($CD436="","",MID($CD436,FIND("~",SUBSTITUTE($CD436,"-","~",2))+1,FIND("~",SUBSTITUTE($CD436,"-","~",3))-FIND("~",SUBSTITUTE($CD436,"-","~",2))-1))</f>
        <v/>
      </c>
      <c r="CG436">
        <f>IF($CE436="","",IFERROR(VLOOKUP($CE436,DECODE!$A$3:$C$8,3,FALSE),"?"))</f>
        <v/>
      </c>
      <c r="CH436">
        <f>IF($CF436="","",IFERROR(VLOOKUP($CE436&amp;"-"&amp;$CF436,DECODE!$E$3:$F$21,2,FALSE),"?"))</f>
        <v/>
      </c>
      <c r="CI436">
        <f>IF($CD436="","",IFERROR(VALUE(RIGHT($CD436,3)),""))</f>
        <v/>
      </c>
      <c r="CJ436">
        <f>IF($Y436="","",IFERROR(IF(ISNUMBER($Y436),$Y436,DATEVALUE(TRIM($Y436))),""))</f>
        <v/>
      </c>
      <c r="CK436">
        <f>IF($CJ436="","",IF(MONTH($CJ436)&gt;=12,"Cold Winter",IF(MONTH($CJ436)&gt;=10,"Post-Monsoon",IF(MONTH($CJ436)&gt;=6,"Hot Humid",IF(MONTH($CJ436)&gt;=3,"Hot Dry","Cold Winter")))))</f>
        <v/>
      </c>
      <c r="CL436">
        <f>IF($CE436="","",IFERROR(VLOOKUP($CE436,DECODE!$A$3:$C$8,2,FALSE),"?"))</f>
        <v/>
      </c>
      <c r="CM436">
        <f>IF($AN436="","",AN436)</f>
        <v/>
      </c>
      <c r="CN436">
        <f>IF($AO436="","",AO436)</f>
        <v/>
      </c>
      <c r="CO436">
        <f>IF($AP436="","",AP436)</f>
        <v/>
      </c>
      <c r="CP436">
        <f>IF($CM436="","",IF($CM436="Aloe Vera Gel","Aloe Vera Gel "&amp;$CO436&amp;"g",CN436&amp;" "&amp;$CO436&amp;"g"))</f>
        <v/>
      </c>
      <c r="CQ436">
        <f>IF($AT436="",0,1)</f>
        <v/>
      </c>
      <c r="CR436">
        <f>IF($CQ436=0,"",AW436)</f>
        <v/>
      </c>
      <c r="CS436">
        <f>IF($CQ436=0,"",AX436)</f>
        <v/>
      </c>
      <c r="CT436">
        <f>IF($CQ436=0,"",AY436)</f>
        <v/>
      </c>
      <c r="CU436">
        <f>IF($CR436="","",IF($CR436="Aloe Vera Gel","Aloe Vera Gel "&amp;$CT436&amp;"g",CS436&amp;" "&amp;$CT436&amp;"g"))</f>
        <v/>
      </c>
      <c r="CV436">
        <f>IF($CQ436=0,"",IF($CP436=$CU436,"Repeat Exact",IF($CT436&gt;$CO436,"Upsized",IF($CT436&lt;$CO436,"Downsized",IF($CM436&lt;&gt;$CR436,"Lateral","Same Size Diff Variant")))))</f>
        <v/>
      </c>
      <c r="CW436">
        <f>IF($CQ436=0,"",AZ436-AQ436)</f>
        <v/>
      </c>
      <c r="CX436">
        <f>IF($CQ436=0,0,IF(CS436=CN436,1,0))</f>
        <v/>
      </c>
      <c r="CY436">
        <f>IF($CQ436=0,0,IF(CR436=CM436,1,0))</f>
        <v/>
      </c>
      <c r="CZ436">
        <f>IF($A436="","",IF(AND(IF(DASHBOARD!$C$4="All",TRUE,$CM436=DASHBOARD!$C$4),IF(DASHBOARD!$C$6="All",TRUE,$CP436=DASHBOARD!$C$6),IF(DASHBOARD!$C$8="All",TRUE,$AF436&gt;=DASHBOARD!$C$8),IF(DASHBOARD!$C$10="All",TRUE,$AF436&lt;=DASHBOARD!$C$10),IF(DASHBOARD!$C$12="All",TRUE,$AH436=VALUE(DASHBOARD!$C$12)),IF(DASHBOARD!$C$14="All",TRUE,$AJ436=DASHBOARD!$C$14)),1,0))</f>
        <v/>
      </c>
    </row>
    <row r="437">
      <c r="A437" t="n">
        <v>209247</v>
      </c>
      <c r="B437" t="inlineStr">
        <is>
          <t>Face Malai</t>
        </is>
      </c>
      <c r="H437" t="inlineStr">
        <is>
          <t>Tomato Patchouli (Cold) 20 - 35 Yrs Face Malai</t>
        </is>
      </c>
      <c r="N437" t="inlineStr">
        <is>
          <t>FC-CWDM-TP-030</t>
        </is>
      </c>
      <c r="T437" t="inlineStr">
        <is>
          <t>Jan 4, 2024</t>
        </is>
      </c>
      <c r="AE437" t="inlineStr">
        <is>
          <t>Guwahati</t>
        </is>
      </c>
      <c r="AF437" t="inlineStr">
        <is>
          <t>2024-01</t>
        </is>
      </c>
      <c r="AG437" t="n">
        <v>1</v>
      </c>
      <c r="AH437" t="n">
        <v>1</v>
      </c>
      <c r="AI437" t="n">
        <v>0</v>
      </c>
      <c r="AJ437">
        <f>IF($AE437="","",IFERROR(VLOOKUP(TRIM($AE437),DECODE!$H$3:$I$60,2,FALSE),"Rest of India"))</f>
        <v/>
      </c>
      <c r="AK437">
        <f>IF($N437="","",UPPER(TRIM(LEFT($N437&amp;",",FIND(",",$N437&amp;",")-1))))</f>
        <v/>
      </c>
      <c r="AL437">
        <f>IF($AK437="","",MID($AK437,4,FIND("~",SUBSTITUTE($AK437,"-","~",2))-4))</f>
        <v/>
      </c>
      <c r="AM437">
        <f>IF($AK437="","",MID($AK437,FIND("~",SUBSTITUTE($AK437,"-","~",2))+1,FIND("~",SUBSTITUTE($AK437,"-","~",3))-FIND("~",SUBSTITUTE($AK437,"-","~",2))-1))</f>
        <v/>
      </c>
      <c r="AN437">
        <f>IF($AL437="","",IFERROR(VLOOKUP($AL437,DECODE!$A$3:$C$8,3,FALSE),"?"))</f>
        <v/>
      </c>
      <c r="AO437">
        <f>IF($AM437="","",IFERROR(VLOOKUP($AL437&amp;"-"&amp;$AM437,DECODE!$E$3:$F$21,2,FALSE),"?"))</f>
        <v/>
      </c>
      <c r="AP437">
        <f>IF($AK437="","",IFERROR(VALUE(RIGHT($AK437,3)),""))</f>
        <v/>
      </c>
      <c r="AQ437">
        <f>IF($T437="","",IFERROR(IF(ISNUMBER($T437),$T437,DATEVALUE(TRIM($T437))),""))</f>
        <v/>
      </c>
      <c r="AR437">
        <f>IF($AQ437="","",IF(MONTH($AQ437)&gt;=12,"Cold Winter",IF(MONTH($AQ437)&gt;=10,"Post-Monsoon",IF(MONTH($AQ437)&gt;=6,"Hot Humid",IF(MONTH($AQ437)&gt;=3,"Hot Dry","Cold Winter")))))</f>
        <v/>
      </c>
      <c r="AS437">
        <f>IF($AL437="","",IFERROR(VLOOKUP($AL437,DECODE!$A$3:$C$8,2,FALSE),"?"))</f>
        <v/>
      </c>
      <c r="AT437">
        <f>IF($O437="","",UPPER(TRIM(LEFT($O437&amp;",",FIND(",",$O437&amp;",")-1))))</f>
        <v/>
      </c>
      <c r="AU437">
        <f>IF($AT437="","",MID($AT437,4,FIND("~",SUBSTITUTE($AT437,"-","~",2))-4))</f>
        <v/>
      </c>
      <c r="AV437">
        <f>IF($AT437="","",MID($AT437,FIND("~",SUBSTITUTE($AT437,"-","~",2))+1,FIND("~",SUBSTITUTE($AT437,"-","~",3))-FIND("~",SUBSTITUTE($AT437,"-","~",2))-1))</f>
        <v/>
      </c>
      <c r="AW437">
        <f>IF($AU437="","",IFERROR(VLOOKUP($AU437,DECODE!$A$3:$C$8,3,FALSE),"?"))</f>
        <v/>
      </c>
      <c r="AX437">
        <f>IF($AV437="","",IFERROR(VLOOKUP($AU437&amp;"-"&amp;$AV437,DECODE!$E$3:$F$21,2,FALSE),"?"))</f>
        <v/>
      </c>
      <c r="AY437">
        <f>IF($AT437="","",IFERROR(VALUE(RIGHT($AT437,3)),""))</f>
        <v/>
      </c>
      <c r="AZ437">
        <f>IF($U437="","",IFERROR(IF(ISNUMBER($U437),$U437,DATEVALUE(TRIM($U437))),""))</f>
        <v/>
      </c>
      <c r="BA437">
        <f>IF($AZ437="","",IF(MONTH($AZ437)&gt;=12,"Cold Winter",IF(MONTH($AZ437)&gt;=10,"Post-Monsoon",IF(MONTH($AZ437)&gt;=6,"Hot Humid",IF(MONTH($AZ437)&gt;=3,"Hot Dry","Cold Winter")))))</f>
        <v/>
      </c>
      <c r="BB437">
        <f>IF($AU437="","",IFERROR(VLOOKUP($AU437,DECODE!$A$3:$C$8,2,FALSE),"?"))</f>
        <v/>
      </c>
      <c r="BC437">
        <f>IF($P437="","",UPPER(TRIM(LEFT($P437&amp;",",FIND(",",$P437&amp;",")-1))))</f>
        <v/>
      </c>
      <c r="BD437">
        <f>IF($BC437="","",MID($BC437,4,FIND("~",SUBSTITUTE($BC437,"-","~",2))-4))</f>
        <v/>
      </c>
      <c r="BE437">
        <f>IF($BC437="","",MID($BC437,FIND("~",SUBSTITUTE($BC437,"-","~",2))+1,FIND("~",SUBSTITUTE($BC437,"-","~",3))-FIND("~",SUBSTITUTE($BC437,"-","~",2))-1))</f>
        <v/>
      </c>
      <c r="BF437">
        <f>IF($BD437="","",IFERROR(VLOOKUP($BD437,DECODE!$A$3:$C$8,3,FALSE),"?"))</f>
        <v/>
      </c>
      <c r="BG437">
        <f>IF($BE437="","",IFERROR(VLOOKUP($BD437&amp;"-"&amp;$BE437,DECODE!$E$3:$F$21,2,FALSE),"?"))</f>
        <v/>
      </c>
      <c r="BH437">
        <f>IF($BC437="","",IFERROR(VALUE(RIGHT($BC437,3)),""))</f>
        <v/>
      </c>
      <c r="BI437">
        <f>IF($V437="","",IFERROR(IF(ISNUMBER($V437),$V437,DATEVALUE(TRIM($V437))),""))</f>
        <v/>
      </c>
      <c r="BJ437">
        <f>IF($BI437="","",IF(MONTH($BI437)&gt;=12,"Cold Winter",IF(MONTH($BI437)&gt;=10,"Post-Monsoon",IF(MONTH($BI437)&gt;=6,"Hot Humid",IF(MONTH($BI437)&gt;=3,"Hot Dry","Cold Winter")))))</f>
        <v/>
      </c>
      <c r="BK437">
        <f>IF($BD437="","",IFERROR(VLOOKUP($BD437,DECODE!$A$3:$C$8,2,FALSE),"?"))</f>
        <v/>
      </c>
      <c r="BL437">
        <f>IF($Q437="","",UPPER(TRIM(LEFT($Q437&amp;",",FIND(",",$Q437&amp;",")-1))))</f>
        <v/>
      </c>
      <c r="BM437">
        <f>IF($BL437="","",MID($BL437,4,FIND("~",SUBSTITUTE($BL437,"-","~",2))-4))</f>
        <v/>
      </c>
      <c r="BN437">
        <f>IF($BL437="","",MID($BL437,FIND("~",SUBSTITUTE($BL437,"-","~",2))+1,FIND("~",SUBSTITUTE($BL437,"-","~",3))-FIND("~",SUBSTITUTE($BL437,"-","~",2))-1))</f>
        <v/>
      </c>
      <c r="BO437">
        <f>IF($BM437="","",IFERROR(VLOOKUP($BM437,DECODE!$A$3:$C$8,3,FALSE),"?"))</f>
        <v/>
      </c>
      <c r="BP437">
        <f>IF($BN437="","",IFERROR(VLOOKUP($BM437&amp;"-"&amp;$BN437,DECODE!$E$3:$F$21,2,FALSE),"?"))</f>
        <v/>
      </c>
      <c r="BQ437">
        <f>IF($BL437="","",IFERROR(VALUE(RIGHT($BL437,3)),""))</f>
        <v/>
      </c>
      <c r="BR437">
        <f>IF($W437="","",IFERROR(IF(ISNUMBER($W437),$W437,DATEVALUE(TRIM($W437))),""))</f>
        <v/>
      </c>
      <c r="BS437">
        <f>IF($BR437="","",IF(MONTH($BR437)&gt;=12,"Cold Winter",IF(MONTH($BR437)&gt;=10,"Post-Monsoon",IF(MONTH($BR437)&gt;=6,"Hot Humid",IF(MONTH($BR437)&gt;=3,"Hot Dry","Cold Winter")))))</f>
        <v/>
      </c>
      <c r="BT437">
        <f>IF($BM437="","",IFERROR(VLOOKUP($BM437,DECODE!$A$3:$C$8,2,FALSE),"?"))</f>
        <v/>
      </c>
      <c r="BU437">
        <f>IF($R437="","",UPPER(TRIM(LEFT($R437&amp;",",FIND(",",$R437&amp;",")-1))))</f>
        <v/>
      </c>
      <c r="BV437">
        <f>IF($BU437="","",MID($BU437,4,FIND("~",SUBSTITUTE($BU437,"-","~",2))-4))</f>
        <v/>
      </c>
      <c r="BW437">
        <f>IF($BU437="","",MID($BU437,FIND("~",SUBSTITUTE($BU437,"-","~",2))+1,FIND("~",SUBSTITUTE($BU437,"-","~",3))-FIND("~",SUBSTITUTE($BU437,"-","~",2))-1))</f>
        <v/>
      </c>
      <c r="BX437">
        <f>IF($BV437="","",IFERROR(VLOOKUP($BV437,DECODE!$A$3:$C$8,3,FALSE),"?"))</f>
        <v/>
      </c>
      <c r="BY437">
        <f>IF($BW437="","",IFERROR(VLOOKUP($BV437&amp;"-"&amp;$BW437,DECODE!$E$3:$F$21,2,FALSE),"?"))</f>
        <v/>
      </c>
      <c r="BZ437">
        <f>IF($BU437="","",IFERROR(VALUE(RIGHT($BU437,3)),""))</f>
        <v/>
      </c>
      <c r="CA437">
        <f>IF($X437="","",IFERROR(IF(ISNUMBER($X437),$X437,DATEVALUE(TRIM($X437))),""))</f>
        <v/>
      </c>
      <c r="CB437">
        <f>IF($CA437="","",IF(MONTH($CA437)&gt;=12,"Cold Winter",IF(MONTH($CA437)&gt;=10,"Post-Monsoon",IF(MONTH($CA437)&gt;=6,"Hot Humid",IF(MONTH($CA437)&gt;=3,"Hot Dry","Cold Winter")))))</f>
        <v/>
      </c>
      <c r="CC437">
        <f>IF($BV437="","",IFERROR(VLOOKUP($BV437,DECODE!$A$3:$C$8,2,FALSE),"?"))</f>
        <v/>
      </c>
      <c r="CD437">
        <f>IF($S437="","",UPPER(TRIM(LEFT($S437&amp;",",FIND(",",$S437&amp;",")-1))))</f>
        <v/>
      </c>
      <c r="CE437">
        <f>IF($CD437="","",MID($CD437,4,FIND("~",SUBSTITUTE($CD437,"-","~",2))-4))</f>
        <v/>
      </c>
      <c r="CF437">
        <f>IF($CD437="","",MID($CD437,FIND("~",SUBSTITUTE($CD437,"-","~",2))+1,FIND("~",SUBSTITUTE($CD437,"-","~",3))-FIND("~",SUBSTITUTE($CD437,"-","~",2))-1))</f>
        <v/>
      </c>
      <c r="CG437">
        <f>IF($CE437="","",IFERROR(VLOOKUP($CE437,DECODE!$A$3:$C$8,3,FALSE),"?"))</f>
        <v/>
      </c>
      <c r="CH437">
        <f>IF($CF437="","",IFERROR(VLOOKUP($CE437&amp;"-"&amp;$CF437,DECODE!$E$3:$F$21,2,FALSE),"?"))</f>
        <v/>
      </c>
      <c r="CI437">
        <f>IF($CD437="","",IFERROR(VALUE(RIGHT($CD437,3)),""))</f>
        <v/>
      </c>
      <c r="CJ437">
        <f>IF($Y437="","",IFERROR(IF(ISNUMBER($Y437),$Y437,DATEVALUE(TRIM($Y437))),""))</f>
        <v/>
      </c>
      <c r="CK437">
        <f>IF($CJ437="","",IF(MONTH($CJ437)&gt;=12,"Cold Winter",IF(MONTH($CJ437)&gt;=10,"Post-Monsoon",IF(MONTH($CJ437)&gt;=6,"Hot Humid",IF(MONTH($CJ437)&gt;=3,"Hot Dry","Cold Winter")))))</f>
        <v/>
      </c>
      <c r="CL437">
        <f>IF($CE437="","",IFERROR(VLOOKUP($CE437,DECODE!$A$3:$C$8,2,FALSE),"?"))</f>
        <v/>
      </c>
      <c r="CM437">
        <f>IF($AN437="","",AN437)</f>
        <v/>
      </c>
      <c r="CN437">
        <f>IF($AO437="","",AO437)</f>
        <v/>
      </c>
      <c r="CO437">
        <f>IF($AP437="","",AP437)</f>
        <v/>
      </c>
      <c r="CP437">
        <f>IF($CM437="","",IF($CM437="Aloe Vera Gel","Aloe Vera Gel "&amp;$CO437&amp;"g",CN437&amp;" "&amp;$CO437&amp;"g"))</f>
        <v/>
      </c>
      <c r="CQ437">
        <f>IF($AT437="",0,1)</f>
        <v/>
      </c>
      <c r="CR437">
        <f>IF($CQ437=0,"",AW437)</f>
        <v/>
      </c>
      <c r="CS437">
        <f>IF($CQ437=0,"",AX437)</f>
        <v/>
      </c>
      <c r="CT437">
        <f>IF($CQ437=0,"",AY437)</f>
        <v/>
      </c>
      <c r="CU437">
        <f>IF($CR437="","",IF($CR437="Aloe Vera Gel","Aloe Vera Gel "&amp;$CT437&amp;"g",CS437&amp;" "&amp;$CT437&amp;"g"))</f>
        <v/>
      </c>
      <c r="CV437">
        <f>IF($CQ437=0,"",IF($CP437=$CU437,"Repeat Exact",IF($CT437&gt;$CO437,"Upsized",IF($CT437&lt;$CO437,"Downsized",IF($CM437&lt;&gt;$CR437,"Lateral","Same Size Diff Variant")))))</f>
        <v/>
      </c>
      <c r="CW437">
        <f>IF($CQ437=0,"",AZ437-AQ437)</f>
        <v/>
      </c>
      <c r="CX437">
        <f>IF($CQ437=0,0,IF(CS437=CN437,1,0))</f>
        <v/>
      </c>
      <c r="CY437">
        <f>IF($CQ437=0,0,IF(CR437=CM437,1,0))</f>
        <v/>
      </c>
      <c r="CZ437">
        <f>IF($A437="","",IF(AND(IF(DASHBOARD!$C$4="All",TRUE,$CM437=DASHBOARD!$C$4),IF(DASHBOARD!$C$6="All",TRUE,$CP437=DASHBOARD!$C$6),IF(DASHBOARD!$C$8="All",TRUE,$AF437&gt;=DASHBOARD!$C$8),IF(DASHBOARD!$C$10="All",TRUE,$AF437&lt;=DASHBOARD!$C$10),IF(DASHBOARD!$C$12="All",TRUE,$AH437=VALUE(DASHBOARD!$C$12)),IF(DASHBOARD!$C$14="All",TRUE,$AJ437=DASHBOARD!$C$14)),1,0))</f>
        <v/>
      </c>
    </row>
    <row r="438">
      <c r="A438" t="n">
        <v>209295</v>
      </c>
      <c r="B438" t="inlineStr">
        <is>
          <t>Aloe Vera Gel</t>
        </is>
      </c>
      <c r="H438" t="inlineStr">
        <is>
          <t>Aloe Vera Gel - 80 gms</t>
        </is>
      </c>
      <c r="N438" t="inlineStr">
        <is>
          <t>FC-HG-PA-080</t>
        </is>
      </c>
      <c r="T438" t="inlineStr">
        <is>
          <t>Apr 7, 2025</t>
        </is>
      </c>
      <c r="AE438" t="inlineStr">
        <is>
          <t>Vadodara</t>
        </is>
      </c>
      <c r="AF438" t="inlineStr">
        <is>
          <t>2025-04</t>
        </is>
      </c>
      <c r="AG438" t="n">
        <v>4</v>
      </c>
      <c r="AH438" t="n">
        <v>1</v>
      </c>
      <c r="AI438" t="n">
        <v>0</v>
      </c>
      <c r="AJ438">
        <f>IF($AE438="","",IFERROR(VLOOKUP(TRIM($AE438),DECODE!$H$3:$I$60,2,FALSE),"Rest of India"))</f>
        <v/>
      </c>
      <c r="AK438">
        <f>IF($N438="","",UPPER(TRIM(LEFT($N438&amp;",",FIND(",",$N438&amp;",")-1))))</f>
        <v/>
      </c>
      <c r="AL438">
        <f>IF($AK438="","",MID($AK438,4,FIND("~",SUBSTITUTE($AK438,"-","~",2))-4))</f>
        <v/>
      </c>
      <c r="AM438">
        <f>IF($AK438="","",MID($AK438,FIND("~",SUBSTITUTE($AK438,"-","~",2))+1,FIND("~",SUBSTITUTE($AK438,"-","~",3))-FIND("~",SUBSTITUTE($AK438,"-","~",2))-1))</f>
        <v/>
      </c>
      <c r="AN438">
        <f>IF($AL438="","",IFERROR(VLOOKUP($AL438,DECODE!$A$3:$C$8,3,FALSE),"?"))</f>
        <v/>
      </c>
      <c r="AO438">
        <f>IF($AM438="","",IFERROR(VLOOKUP($AL438&amp;"-"&amp;$AM438,DECODE!$E$3:$F$21,2,FALSE),"?"))</f>
        <v/>
      </c>
      <c r="AP438">
        <f>IF($AK438="","",IFERROR(VALUE(RIGHT($AK438,3)),""))</f>
        <v/>
      </c>
      <c r="AQ438">
        <f>IF($T438="","",IFERROR(IF(ISNUMBER($T438),$T438,DATEVALUE(TRIM($T438))),""))</f>
        <v/>
      </c>
      <c r="AR438">
        <f>IF($AQ438="","",IF(MONTH($AQ438)&gt;=12,"Cold Winter",IF(MONTH($AQ438)&gt;=10,"Post-Monsoon",IF(MONTH($AQ438)&gt;=6,"Hot Humid",IF(MONTH($AQ438)&gt;=3,"Hot Dry","Cold Winter")))))</f>
        <v/>
      </c>
      <c r="AS438">
        <f>IF($AL438="","",IFERROR(VLOOKUP($AL438,DECODE!$A$3:$C$8,2,FALSE),"?"))</f>
        <v/>
      </c>
      <c r="AT438">
        <f>IF($O438="","",UPPER(TRIM(LEFT($O438&amp;",",FIND(",",$O438&amp;",")-1))))</f>
        <v/>
      </c>
      <c r="AU438">
        <f>IF($AT438="","",MID($AT438,4,FIND("~",SUBSTITUTE($AT438,"-","~",2))-4))</f>
        <v/>
      </c>
      <c r="AV438">
        <f>IF($AT438="","",MID($AT438,FIND("~",SUBSTITUTE($AT438,"-","~",2))+1,FIND("~",SUBSTITUTE($AT438,"-","~",3))-FIND("~",SUBSTITUTE($AT438,"-","~",2))-1))</f>
        <v/>
      </c>
      <c r="AW438">
        <f>IF($AU438="","",IFERROR(VLOOKUP($AU438,DECODE!$A$3:$C$8,3,FALSE),"?"))</f>
        <v/>
      </c>
      <c r="AX438">
        <f>IF($AV438="","",IFERROR(VLOOKUP($AU438&amp;"-"&amp;$AV438,DECODE!$E$3:$F$21,2,FALSE),"?"))</f>
        <v/>
      </c>
      <c r="AY438">
        <f>IF($AT438="","",IFERROR(VALUE(RIGHT($AT438,3)),""))</f>
        <v/>
      </c>
      <c r="AZ438">
        <f>IF($U438="","",IFERROR(IF(ISNUMBER($U438),$U438,DATEVALUE(TRIM($U438))),""))</f>
        <v/>
      </c>
      <c r="BA438">
        <f>IF($AZ438="","",IF(MONTH($AZ438)&gt;=12,"Cold Winter",IF(MONTH($AZ438)&gt;=10,"Post-Monsoon",IF(MONTH($AZ438)&gt;=6,"Hot Humid",IF(MONTH($AZ438)&gt;=3,"Hot Dry","Cold Winter")))))</f>
        <v/>
      </c>
      <c r="BB438">
        <f>IF($AU438="","",IFERROR(VLOOKUP($AU438,DECODE!$A$3:$C$8,2,FALSE),"?"))</f>
        <v/>
      </c>
      <c r="BC438">
        <f>IF($P438="","",UPPER(TRIM(LEFT($P438&amp;",",FIND(",",$P438&amp;",")-1))))</f>
        <v/>
      </c>
      <c r="BD438">
        <f>IF($BC438="","",MID($BC438,4,FIND("~",SUBSTITUTE($BC438,"-","~",2))-4))</f>
        <v/>
      </c>
      <c r="BE438">
        <f>IF($BC438="","",MID($BC438,FIND("~",SUBSTITUTE($BC438,"-","~",2))+1,FIND("~",SUBSTITUTE($BC438,"-","~",3))-FIND("~",SUBSTITUTE($BC438,"-","~",2))-1))</f>
        <v/>
      </c>
      <c r="BF438">
        <f>IF($BD438="","",IFERROR(VLOOKUP($BD438,DECODE!$A$3:$C$8,3,FALSE),"?"))</f>
        <v/>
      </c>
      <c r="BG438">
        <f>IF($BE438="","",IFERROR(VLOOKUP($BD438&amp;"-"&amp;$BE438,DECODE!$E$3:$F$21,2,FALSE),"?"))</f>
        <v/>
      </c>
      <c r="BH438">
        <f>IF($BC438="","",IFERROR(VALUE(RIGHT($BC438,3)),""))</f>
        <v/>
      </c>
      <c r="BI438">
        <f>IF($V438="","",IFERROR(IF(ISNUMBER($V438),$V438,DATEVALUE(TRIM($V438))),""))</f>
        <v/>
      </c>
      <c r="BJ438">
        <f>IF($BI438="","",IF(MONTH($BI438)&gt;=12,"Cold Winter",IF(MONTH($BI438)&gt;=10,"Post-Monsoon",IF(MONTH($BI438)&gt;=6,"Hot Humid",IF(MONTH($BI438)&gt;=3,"Hot Dry","Cold Winter")))))</f>
        <v/>
      </c>
      <c r="BK438">
        <f>IF($BD438="","",IFERROR(VLOOKUP($BD438,DECODE!$A$3:$C$8,2,FALSE),"?"))</f>
        <v/>
      </c>
      <c r="BL438">
        <f>IF($Q438="","",UPPER(TRIM(LEFT($Q438&amp;",",FIND(",",$Q438&amp;",")-1))))</f>
        <v/>
      </c>
      <c r="BM438">
        <f>IF($BL438="","",MID($BL438,4,FIND("~",SUBSTITUTE($BL438,"-","~",2))-4))</f>
        <v/>
      </c>
      <c r="BN438">
        <f>IF($BL438="","",MID($BL438,FIND("~",SUBSTITUTE($BL438,"-","~",2))+1,FIND("~",SUBSTITUTE($BL438,"-","~",3))-FIND("~",SUBSTITUTE($BL438,"-","~",2))-1))</f>
        <v/>
      </c>
      <c r="BO438">
        <f>IF($BM438="","",IFERROR(VLOOKUP($BM438,DECODE!$A$3:$C$8,3,FALSE),"?"))</f>
        <v/>
      </c>
      <c r="BP438">
        <f>IF($BN438="","",IFERROR(VLOOKUP($BM438&amp;"-"&amp;$BN438,DECODE!$E$3:$F$21,2,FALSE),"?"))</f>
        <v/>
      </c>
      <c r="BQ438">
        <f>IF($BL438="","",IFERROR(VALUE(RIGHT($BL438,3)),""))</f>
        <v/>
      </c>
      <c r="BR438">
        <f>IF($W438="","",IFERROR(IF(ISNUMBER($W438),$W438,DATEVALUE(TRIM($W438))),""))</f>
        <v/>
      </c>
      <c r="BS438">
        <f>IF($BR438="","",IF(MONTH($BR438)&gt;=12,"Cold Winter",IF(MONTH($BR438)&gt;=10,"Post-Monsoon",IF(MONTH($BR438)&gt;=6,"Hot Humid",IF(MONTH($BR438)&gt;=3,"Hot Dry","Cold Winter")))))</f>
        <v/>
      </c>
      <c r="BT438">
        <f>IF($BM438="","",IFERROR(VLOOKUP($BM438,DECODE!$A$3:$C$8,2,FALSE),"?"))</f>
        <v/>
      </c>
      <c r="BU438">
        <f>IF($R438="","",UPPER(TRIM(LEFT($R438&amp;",",FIND(",",$R438&amp;",")-1))))</f>
        <v/>
      </c>
      <c r="BV438">
        <f>IF($BU438="","",MID($BU438,4,FIND("~",SUBSTITUTE($BU438,"-","~",2))-4))</f>
        <v/>
      </c>
      <c r="BW438">
        <f>IF($BU438="","",MID($BU438,FIND("~",SUBSTITUTE($BU438,"-","~",2))+1,FIND("~",SUBSTITUTE($BU438,"-","~",3))-FIND("~",SUBSTITUTE($BU438,"-","~",2))-1))</f>
        <v/>
      </c>
      <c r="BX438">
        <f>IF($BV438="","",IFERROR(VLOOKUP($BV438,DECODE!$A$3:$C$8,3,FALSE),"?"))</f>
        <v/>
      </c>
      <c r="BY438">
        <f>IF($BW438="","",IFERROR(VLOOKUP($BV438&amp;"-"&amp;$BW438,DECODE!$E$3:$F$21,2,FALSE),"?"))</f>
        <v/>
      </c>
      <c r="BZ438">
        <f>IF($BU438="","",IFERROR(VALUE(RIGHT($BU438,3)),""))</f>
        <v/>
      </c>
      <c r="CA438">
        <f>IF($X438="","",IFERROR(IF(ISNUMBER($X438),$X438,DATEVALUE(TRIM($X438))),""))</f>
        <v/>
      </c>
      <c r="CB438">
        <f>IF($CA438="","",IF(MONTH($CA438)&gt;=12,"Cold Winter",IF(MONTH($CA438)&gt;=10,"Post-Monsoon",IF(MONTH($CA438)&gt;=6,"Hot Humid",IF(MONTH($CA438)&gt;=3,"Hot Dry","Cold Winter")))))</f>
        <v/>
      </c>
      <c r="CC438">
        <f>IF($BV438="","",IFERROR(VLOOKUP($BV438,DECODE!$A$3:$C$8,2,FALSE),"?"))</f>
        <v/>
      </c>
      <c r="CD438">
        <f>IF($S438="","",UPPER(TRIM(LEFT($S438&amp;",",FIND(",",$S438&amp;",")-1))))</f>
        <v/>
      </c>
      <c r="CE438">
        <f>IF($CD438="","",MID($CD438,4,FIND("~",SUBSTITUTE($CD438,"-","~",2))-4))</f>
        <v/>
      </c>
      <c r="CF438">
        <f>IF($CD438="","",MID($CD438,FIND("~",SUBSTITUTE($CD438,"-","~",2))+1,FIND("~",SUBSTITUTE($CD438,"-","~",3))-FIND("~",SUBSTITUTE($CD438,"-","~",2))-1))</f>
        <v/>
      </c>
      <c r="CG438">
        <f>IF($CE438="","",IFERROR(VLOOKUP($CE438,DECODE!$A$3:$C$8,3,FALSE),"?"))</f>
        <v/>
      </c>
      <c r="CH438">
        <f>IF($CF438="","",IFERROR(VLOOKUP($CE438&amp;"-"&amp;$CF438,DECODE!$E$3:$F$21,2,FALSE),"?"))</f>
        <v/>
      </c>
      <c r="CI438">
        <f>IF($CD438="","",IFERROR(VALUE(RIGHT($CD438,3)),""))</f>
        <v/>
      </c>
      <c r="CJ438">
        <f>IF($Y438="","",IFERROR(IF(ISNUMBER($Y438),$Y438,DATEVALUE(TRIM($Y438))),""))</f>
        <v/>
      </c>
      <c r="CK438">
        <f>IF($CJ438="","",IF(MONTH($CJ438)&gt;=12,"Cold Winter",IF(MONTH($CJ438)&gt;=10,"Post-Monsoon",IF(MONTH($CJ438)&gt;=6,"Hot Humid",IF(MONTH($CJ438)&gt;=3,"Hot Dry","Cold Winter")))))</f>
        <v/>
      </c>
      <c r="CL438">
        <f>IF($CE438="","",IFERROR(VLOOKUP($CE438,DECODE!$A$3:$C$8,2,FALSE),"?"))</f>
        <v/>
      </c>
      <c r="CM438">
        <f>IF($AN438="","",AN438)</f>
        <v/>
      </c>
      <c r="CN438">
        <f>IF($AO438="","",AO438)</f>
        <v/>
      </c>
      <c r="CO438">
        <f>IF($AP438="","",AP438)</f>
        <v/>
      </c>
      <c r="CP438">
        <f>IF($CM438="","",IF($CM438="Aloe Vera Gel","Aloe Vera Gel "&amp;$CO438&amp;"g",CN438&amp;" "&amp;$CO438&amp;"g"))</f>
        <v/>
      </c>
      <c r="CQ438">
        <f>IF($AT438="",0,1)</f>
        <v/>
      </c>
      <c r="CR438">
        <f>IF($CQ438=0,"",AW438)</f>
        <v/>
      </c>
      <c r="CS438">
        <f>IF($CQ438=0,"",AX438)</f>
        <v/>
      </c>
      <c r="CT438">
        <f>IF($CQ438=0,"",AY438)</f>
        <v/>
      </c>
      <c r="CU438">
        <f>IF($CR438="","",IF($CR438="Aloe Vera Gel","Aloe Vera Gel "&amp;$CT438&amp;"g",CS438&amp;" "&amp;$CT438&amp;"g"))</f>
        <v/>
      </c>
      <c r="CV438">
        <f>IF($CQ438=0,"",IF($CP438=$CU438,"Repeat Exact",IF($CT438&gt;$CO438,"Upsized",IF($CT438&lt;$CO438,"Downsized",IF($CM438&lt;&gt;$CR438,"Lateral","Same Size Diff Variant")))))</f>
        <v/>
      </c>
      <c r="CW438">
        <f>IF($CQ438=0,"",AZ438-AQ438)</f>
        <v/>
      </c>
      <c r="CX438">
        <f>IF($CQ438=0,0,IF(CS438=CN438,1,0))</f>
        <v/>
      </c>
      <c r="CY438">
        <f>IF($CQ438=0,0,IF(CR438=CM438,1,0))</f>
        <v/>
      </c>
      <c r="CZ438">
        <f>IF($A438="","",IF(AND(IF(DASHBOARD!$C$4="All",TRUE,$CM438=DASHBOARD!$C$4),IF(DASHBOARD!$C$6="All",TRUE,$CP438=DASHBOARD!$C$6),IF(DASHBOARD!$C$8="All",TRUE,$AF438&gt;=DASHBOARD!$C$8),IF(DASHBOARD!$C$10="All",TRUE,$AF438&lt;=DASHBOARD!$C$10),IF(DASHBOARD!$C$12="All",TRUE,$AH438=VALUE(DASHBOARD!$C$12)),IF(DASHBOARD!$C$14="All",TRUE,$AJ438=DASHBOARD!$C$14)),1,0))</f>
        <v/>
      </c>
    </row>
    <row r="439">
      <c r="A439" t="n">
        <v>210585</v>
      </c>
      <c r="B439" t="inlineStr">
        <is>
          <t>Aloe Vera Gel</t>
        </is>
      </c>
      <c r="H439" t="inlineStr">
        <is>
          <t>Aloe Vera Gel - 40 gms</t>
        </is>
      </c>
      <c r="N439" t="inlineStr">
        <is>
          <t>FC-HG-PA-040</t>
        </is>
      </c>
      <c r="T439" t="inlineStr">
        <is>
          <t>Aug 16, 2024</t>
        </is>
      </c>
      <c r="AE439" t="inlineStr">
        <is>
          <t>Secunderabad</t>
        </is>
      </c>
      <c r="AF439" t="inlineStr">
        <is>
          <t>2024-08</t>
        </is>
      </c>
      <c r="AG439" t="n">
        <v>8</v>
      </c>
      <c r="AH439" t="n">
        <v>1</v>
      </c>
      <c r="AI439" t="n">
        <v>0</v>
      </c>
      <c r="AJ439">
        <f>IF($AE439="","",IFERROR(VLOOKUP(TRIM($AE439),DECODE!$H$3:$I$60,2,FALSE),"Rest of India"))</f>
        <v/>
      </c>
      <c r="AK439">
        <f>IF($N439="","",UPPER(TRIM(LEFT($N439&amp;",",FIND(",",$N439&amp;",")-1))))</f>
        <v/>
      </c>
      <c r="AL439">
        <f>IF($AK439="","",MID($AK439,4,FIND("~",SUBSTITUTE($AK439,"-","~",2))-4))</f>
        <v/>
      </c>
      <c r="AM439">
        <f>IF($AK439="","",MID($AK439,FIND("~",SUBSTITUTE($AK439,"-","~",2))+1,FIND("~",SUBSTITUTE($AK439,"-","~",3))-FIND("~",SUBSTITUTE($AK439,"-","~",2))-1))</f>
        <v/>
      </c>
      <c r="AN439">
        <f>IF($AL439="","",IFERROR(VLOOKUP($AL439,DECODE!$A$3:$C$8,3,FALSE),"?"))</f>
        <v/>
      </c>
      <c r="AO439">
        <f>IF($AM439="","",IFERROR(VLOOKUP($AL439&amp;"-"&amp;$AM439,DECODE!$E$3:$F$21,2,FALSE),"?"))</f>
        <v/>
      </c>
      <c r="AP439">
        <f>IF($AK439="","",IFERROR(VALUE(RIGHT($AK439,3)),""))</f>
        <v/>
      </c>
      <c r="AQ439">
        <f>IF($T439="","",IFERROR(IF(ISNUMBER($T439),$T439,DATEVALUE(TRIM($T439))),""))</f>
        <v/>
      </c>
      <c r="AR439">
        <f>IF($AQ439="","",IF(MONTH($AQ439)&gt;=12,"Cold Winter",IF(MONTH($AQ439)&gt;=10,"Post-Monsoon",IF(MONTH($AQ439)&gt;=6,"Hot Humid",IF(MONTH($AQ439)&gt;=3,"Hot Dry","Cold Winter")))))</f>
        <v/>
      </c>
      <c r="AS439">
        <f>IF($AL439="","",IFERROR(VLOOKUP($AL439,DECODE!$A$3:$C$8,2,FALSE),"?"))</f>
        <v/>
      </c>
      <c r="AT439">
        <f>IF($O439="","",UPPER(TRIM(LEFT($O439&amp;",",FIND(",",$O439&amp;",")-1))))</f>
        <v/>
      </c>
      <c r="AU439">
        <f>IF($AT439="","",MID($AT439,4,FIND("~",SUBSTITUTE($AT439,"-","~",2))-4))</f>
        <v/>
      </c>
      <c r="AV439">
        <f>IF($AT439="","",MID($AT439,FIND("~",SUBSTITUTE($AT439,"-","~",2))+1,FIND("~",SUBSTITUTE($AT439,"-","~",3))-FIND("~",SUBSTITUTE($AT439,"-","~",2))-1))</f>
        <v/>
      </c>
      <c r="AW439">
        <f>IF($AU439="","",IFERROR(VLOOKUP($AU439,DECODE!$A$3:$C$8,3,FALSE),"?"))</f>
        <v/>
      </c>
      <c r="AX439">
        <f>IF($AV439="","",IFERROR(VLOOKUP($AU439&amp;"-"&amp;$AV439,DECODE!$E$3:$F$21,2,FALSE),"?"))</f>
        <v/>
      </c>
      <c r="AY439">
        <f>IF($AT439="","",IFERROR(VALUE(RIGHT($AT439,3)),""))</f>
        <v/>
      </c>
      <c r="AZ439">
        <f>IF($U439="","",IFERROR(IF(ISNUMBER($U439),$U439,DATEVALUE(TRIM($U439))),""))</f>
        <v/>
      </c>
      <c r="BA439">
        <f>IF($AZ439="","",IF(MONTH($AZ439)&gt;=12,"Cold Winter",IF(MONTH($AZ439)&gt;=10,"Post-Monsoon",IF(MONTH($AZ439)&gt;=6,"Hot Humid",IF(MONTH($AZ439)&gt;=3,"Hot Dry","Cold Winter")))))</f>
        <v/>
      </c>
      <c r="BB439">
        <f>IF($AU439="","",IFERROR(VLOOKUP($AU439,DECODE!$A$3:$C$8,2,FALSE),"?"))</f>
        <v/>
      </c>
      <c r="BC439">
        <f>IF($P439="","",UPPER(TRIM(LEFT($P439&amp;",",FIND(",",$P439&amp;",")-1))))</f>
        <v/>
      </c>
      <c r="BD439">
        <f>IF($BC439="","",MID($BC439,4,FIND("~",SUBSTITUTE($BC439,"-","~",2))-4))</f>
        <v/>
      </c>
      <c r="BE439">
        <f>IF($BC439="","",MID($BC439,FIND("~",SUBSTITUTE($BC439,"-","~",2))+1,FIND("~",SUBSTITUTE($BC439,"-","~",3))-FIND("~",SUBSTITUTE($BC439,"-","~",2))-1))</f>
        <v/>
      </c>
      <c r="BF439">
        <f>IF($BD439="","",IFERROR(VLOOKUP($BD439,DECODE!$A$3:$C$8,3,FALSE),"?"))</f>
        <v/>
      </c>
      <c r="BG439">
        <f>IF($BE439="","",IFERROR(VLOOKUP($BD439&amp;"-"&amp;$BE439,DECODE!$E$3:$F$21,2,FALSE),"?"))</f>
        <v/>
      </c>
      <c r="BH439">
        <f>IF($BC439="","",IFERROR(VALUE(RIGHT($BC439,3)),""))</f>
        <v/>
      </c>
      <c r="BI439">
        <f>IF($V439="","",IFERROR(IF(ISNUMBER($V439),$V439,DATEVALUE(TRIM($V439))),""))</f>
        <v/>
      </c>
      <c r="BJ439">
        <f>IF($BI439="","",IF(MONTH($BI439)&gt;=12,"Cold Winter",IF(MONTH($BI439)&gt;=10,"Post-Monsoon",IF(MONTH($BI439)&gt;=6,"Hot Humid",IF(MONTH($BI439)&gt;=3,"Hot Dry","Cold Winter")))))</f>
        <v/>
      </c>
      <c r="BK439">
        <f>IF($BD439="","",IFERROR(VLOOKUP($BD439,DECODE!$A$3:$C$8,2,FALSE),"?"))</f>
        <v/>
      </c>
      <c r="BL439">
        <f>IF($Q439="","",UPPER(TRIM(LEFT($Q439&amp;",",FIND(",",$Q439&amp;",")-1))))</f>
        <v/>
      </c>
      <c r="BM439">
        <f>IF($BL439="","",MID($BL439,4,FIND("~",SUBSTITUTE($BL439,"-","~",2))-4))</f>
        <v/>
      </c>
      <c r="BN439">
        <f>IF($BL439="","",MID($BL439,FIND("~",SUBSTITUTE($BL439,"-","~",2))+1,FIND("~",SUBSTITUTE($BL439,"-","~",3))-FIND("~",SUBSTITUTE($BL439,"-","~",2))-1))</f>
        <v/>
      </c>
      <c r="BO439">
        <f>IF($BM439="","",IFERROR(VLOOKUP($BM439,DECODE!$A$3:$C$8,3,FALSE),"?"))</f>
        <v/>
      </c>
      <c r="BP439">
        <f>IF($BN439="","",IFERROR(VLOOKUP($BM439&amp;"-"&amp;$BN439,DECODE!$E$3:$F$21,2,FALSE),"?"))</f>
        <v/>
      </c>
      <c r="BQ439">
        <f>IF($BL439="","",IFERROR(VALUE(RIGHT($BL439,3)),""))</f>
        <v/>
      </c>
      <c r="BR439">
        <f>IF($W439="","",IFERROR(IF(ISNUMBER($W439),$W439,DATEVALUE(TRIM($W439))),""))</f>
        <v/>
      </c>
      <c r="BS439">
        <f>IF($BR439="","",IF(MONTH($BR439)&gt;=12,"Cold Winter",IF(MONTH($BR439)&gt;=10,"Post-Monsoon",IF(MONTH($BR439)&gt;=6,"Hot Humid",IF(MONTH($BR439)&gt;=3,"Hot Dry","Cold Winter")))))</f>
        <v/>
      </c>
      <c r="BT439">
        <f>IF($BM439="","",IFERROR(VLOOKUP($BM439,DECODE!$A$3:$C$8,2,FALSE),"?"))</f>
        <v/>
      </c>
      <c r="BU439">
        <f>IF($R439="","",UPPER(TRIM(LEFT($R439&amp;",",FIND(",",$R439&amp;",")-1))))</f>
        <v/>
      </c>
      <c r="BV439">
        <f>IF($BU439="","",MID($BU439,4,FIND("~",SUBSTITUTE($BU439,"-","~",2))-4))</f>
        <v/>
      </c>
      <c r="BW439">
        <f>IF($BU439="","",MID($BU439,FIND("~",SUBSTITUTE($BU439,"-","~",2))+1,FIND("~",SUBSTITUTE($BU439,"-","~",3))-FIND("~",SUBSTITUTE($BU439,"-","~",2))-1))</f>
        <v/>
      </c>
      <c r="BX439">
        <f>IF($BV439="","",IFERROR(VLOOKUP($BV439,DECODE!$A$3:$C$8,3,FALSE),"?"))</f>
        <v/>
      </c>
      <c r="BY439">
        <f>IF($BW439="","",IFERROR(VLOOKUP($BV439&amp;"-"&amp;$BW439,DECODE!$E$3:$F$21,2,FALSE),"?"))</f>
        <v/>
      </c>
      <c r="BZ439">
        <f>IF($BU439="","",IFERROR(VALUE(RIGHT($BU439,3)),""))</f>
        <v/>
      </c>
      <c r="CA439">
        <f>IF($X439="","",IFERROR(IF(ISNUMBER($X439),$X439,DATEVALUE(TRIM($X439))),""))</f>
        <v/>
      </c>
      <c r="CB439">
        <f>IF($CA439="","",IF(MONTH($CA439)&gt;=12,"Cold Winter",IF(MONTH($CA439)&gt;=10,"Post-Monsoon",IF(MONTH($CA439)&gt;=6,"Hot Humid",IF(MONTH($CA439)&gt;=3,"Hot Dry","Cold Winter")))))</f>
        <v/>
      </c>
      <c r="CC439">
        <f>IF($BV439="","",IFERROR(VLOOKUP($BV439,DECODE!$A$3:$C$8,2,FALSE),"?"))</f>
        <v/>
      </c>
      <c r="CD439">
        <f>IF($S439="","",UPPER(TRIM(LEFT($S439&amp;",",FIND(",",$S439&amp;",")-1))))</f>
        <v/>
      </c>
      <c r="CE439">
        <f>IF($CD439="","",MID($CD439,4,FIND("~",SUBSTITUTE($CD439,"-","~",2))-4))</f>
        <v/>
      </c>
      <c r="CF439">
        <f>IF($CD439="","",MID($CD439,FIND("~",SUBSTITUTE($CD439,"-","~",2))+1,FIND("~",SUBSTITUTE($CD439,"-","~",3))-FIND("~",SUBSTITUTE($CD439,"-","~",2))-1))</f>
        <v/>
      </c>
      <c r="CG439">
        <f>IF($CE439="","",IFERROR(VLOOKUP($CE439,DECODE!$A$3:$C$8,3,FALSE),"?"))</f>
        <v/>
      </c>
      <c r="CH439">
        <f>IF($CF439="","",IFERROR(VLOOKUP($CE439&amp;"-"&amp;$CF439,DECODE!$E$3:$F$21,2,FALSE),"?"))</f>
        <v/>
      </c>
      <c r="CI439">
        <f>IF($CD439="","",IFERROR(VALUE(RIGHT($CD439,3)),""))</f>
        <v/>
      </c>
      <c r="CJ439">
        <f>IF($Y439="","",IFERROR(IF(ISNUMBER($Y439),$Y439,DATEVALUE(TRIM($Y439))),""))</f>
        <v/>
      </c>
      <c r="CK439">
        <f>IF($CJ439="","",IF(MONTH($CJ439)&gt;=12,"Cold Winter",IF(MONTH($CJ439)&gt;=10,"Post-Monsoon",IF(MONTH($CJ439)&gt;=6,"Hot Humid",IF(MONTH($CJ439)&gt;=3,"Hot Dry","Cold Winter")))))</f>
        <v/>
      </c>
      <c r="CL439">
        <f>IF($CE439="","",IFERROR(VLOOKUP($CE439,DECODE!$A$3:$C$8,2,FALSE),"?"))</f>
        <v/>
      </c>
      <c r="CM439">
        <f>IF($AN439="","",AN439)</f>
        <v/>
      </c>
      <c r="CN439">
        <f>IF($AO439="","",AO439)</f>
        <v/>
      </c>
      <c r="CO439">
        <f>IF($AP439="","",AP439)</f>
        <v/>
      </c>
      <c r="CP439">
        <f>IF($CM439="","",IF($CM439="Aloe Vera Gel","Aloe Vera Gel "&amp;$CO439&amp;"g",CN439&amp;" "&amp;$CO439&amp;"g"))</f>
        <v/>
      </c>
      <c r="CQ439">
        <f>IF($AT439="",0,1)</f>
        <v/>
      </c>
      <c r="CR439">
        <f>IF($CQ439=0,"",AW439)</f>
        <v/>
      </c>
      <c r="CS439">
        <f>IF($CQ439=0,"",AX439)</f>
        <v/>
      </c>
      <c r="CT439">
        <f>IF($CQ439=0,"",AY439)</f>
        <v/>
      </c>
      <c r="CU439">
        <f>IF($CR439="","",IF($CR439="Aloe Vera Gel","Aloe Vera Gel "&amp;$CT439&amp;"g",CS439&amp;" "&amp;$CT439&amp;"g"))</f>
        <v/>
      </c>
      <c r="CV439">
        <f>IF($CQ439=0,"",IF($CP439=$CU439,"Repeat Exact",IF($CT439&gt;$CO439,"Upsized",IF($CT439&lt;$CO439,"Downsized",IF($CM439&lt;&gt;$CR439,"Lateral","Same Size Diff Variant")))))</f>
        <v/>
      </c>
      <c r="CW439">
        <f>IF($CQ439=0,"",AZ439-AQ439)</f>
        <v/>
      </c>
      <c r="CX439">
        <f>IF($CQ439=0,0,IF(CS439=CN439,1,0))</f>
        <v/>
      </c>
      <c r="CY439">
        <f>IF($CQ439=0,0,IF(CR439=CM439,1,0))</f>
        <v/>
      </c>
      <c r="CZ439">
        <f>IF($A439="","",IF(AND(IF(DASHBOARD!$C$4="All",TRUE,$CM439=DASHBOARD!$C$4),IF(DASHBOARD!$C$6="All",TRUE,$CP439=DASHBOARD!$C$6),IF(DASHBOARD!$C$8="All",TRUE,$AF439&gt;=DASHBOARD!$C$8),IF(DASHBOARD!$C$10="All",TRUE,$AF439&lt;=DASHBOARD!$C$10),IF(DASHBOARD!$C$12="All",TRUE,$AH439=VALUE(DASHBOARD!$C$12)),IF(DASHBOARD!$C$14="All",TRUE,$AJ439=DASHBOARD!$C$14)),1,0))</f>
        <v/>
      </c>
    </row>
    <row r="440">
      <c r="A440" t="n">
        <v>211671</v>
      </c>
      <c r="B440" t="inlineStr">
        <is>
          <t>Aloe Vera Gel</t>
        </is>
      </c>
      <c r="H440" t="inlineStr">
        <is>
          <t>Aloe Vera Gel - 40 gms</t>
        </is>
      </c>
      <c r="N440" t="inlineStr">
        <is>
          <t>FC-HG-PA-040</t>
        </is>
      </c>
      <c r="T440" t="inlineStr">
        <is>
          <t>May 23, 2024</t>
        </is>
      </c>
      <c r="AE440" t="inlineStr">
        <is>
          <t>Bankura</t>
        </is>
      </c>
      <c r="AF440" t="inlineStr">
        <is>
          <t>2024-05</t>
        </is>
      </c>
      <c r="AG440" t="n">
        <v>5</v>
      </c>
      <c r="AH440" t="n">
        <v>1</v>
      </c>
      <c r="AI440" t="n">
        <v>0</v>
      </c>
      <c r="AJ440">
        <f>IF($AE440="","",IFERROR(VLOOKUP(TRIM($AE440),DECODE!$H$3:$I$60,2,FALSE),"Rest of India"))</f>
        <v/>
      </c>
      <c r="AK440">
        <f>IF($N440="","",UPPER(TRIM(LEFT($N440&amp;",",FIND(",",$N440&amp;",")-1))))</f>
        <v/>
      </c>
      <c r="AL440">
        <f>IF($AK440="","",MID($AK440,4,FIND("~",SUBSTITUTE($AK440,"-","~",2))-4))</f>
        <v/>
      </c>
      <c r="AM440">
        <f>IF($AK440="","",MID($AK440,FIND("~",SUBSTITUTE($AK440,"-","~",2))+1,FIND("~",SUBSTITUTE($AK440,"-","~",3))-FIND("~",SUBSTITUTE($AK440,"-","~",2))-1))</f>
        <v/>
      </c>
      <c r="AN440">
        <f>IF($AL440="","",IFERROR(VLOOKUP($AL440,DECODE!$A$3:$C$8,3,FALSE),"?"))</f>
        <v/>
      </c>
      <c r="AO440">
        <f>IF($AM440="","",IFERROR(VLOOKUP($AL440&amp;"-"&amp;$AM440,DECODE!$E$3:$F$21,2,FALSE),"?"))</f>
        <v/>
      </c>
      <c r="AP440">
        <f>IF($AK440="","",IFERROR(VALUE(RIGHT($AK440,3)),""))</f>
        <v/>
      </c>
      <c r="AQ440">
        <f>IF($T440="","",IFERROR(IF(ISNUMBER($T440),$T440,DATEVALUE(TRIM($T440))),""))</f>
        <v/>
      </c>
      <c r="AR440">
        <f>IF($AQ440="","",IF(MONTH($AQ440)&gt;=12,"Cold Winter",IF(MONTH($AQ440)&gt;=10,"Post-Monsoon",IF(MONTH($AQ440)&gt;=6,"Hot Humid",IF(MONTH($AQ440)&gt;=3,"Hot Dry","Cold Winter")))))</f>
        <v/>
      </c>
      <c r="AS440">
        <f>IF($AL440="","",IFERROR(VLOOKUP($AL440,DECODE!$A$3:$C$8,2,FALSE),"?"))</f>
        <v/>
      </c>
      <c r="AT440">
        <f>IF($O440="","",UPPER(TRIM(LEFT($O440&amp;",",FIND(",",$O440&amp;",")-1))))</f>
        <v/>
      </c>
      <c r="AU440">
        <f>IF($AT440="","",MID($AT440,4,FIND("~",SUBSTITUTE($AT440,"-","~",2))-4))</f>
        <v/>
      </c>
      <c r="AV440">
        <f>IF($AT440="","",MID($AT440,FIND("~",SUBSTITUTE($AT440,"-","~",2))+1,FIND("~",SUBSTITUTE($AT440,"-","~",3))-FIND("~",SUBSTITUTE($AT440,"-","~",2))-1))</f>
        <v/>
      </c>
      <c r="AW440">
        <f>IF($AU440="","",IFERROR(VLOOKUP($AU440,DECODE!$A$3:$C$8,3,FALSE),"?"))</f>
        <v/>
      </c>
      <c r="AX440">
        <f>IF($AV440="","",IFERROR(VLOOKUP($AU440&amp;"-"&amp;$AV440,DECODE!$E$3:$F$21,2,FALSE),"?"))</f>
        <v/>
      </c>
      <c r="AY440">
        <f>IF($AT440="","",IFERROR(VALUE(RIGHT($AT440,3)),""))</f>
        <v/>
      </c>
      <c r="AZ440">
        <f>IF($U440="","",IFERROR(IF(ISNUMBER($U440),$U440,DATEVALUE(TRIM($U440))),""))</f>
        <v/>
      </c>
      <c r="BA440">
        <f>IF($AZ440="","",IF(MONTH($AZ440)&gt;=12,"Cold Winter",IF(MONTH($AZ440)&gt;=10,"Post-Monsoon",IF(MONTH($AZ440)&gt;=6,"Hot Humid",IF(MONTH($AZ440)&gt;=3,"Hot Dry","Cold Winter")))))</f>
        <v/>
      </c>
      <c r="BB440">
        <f>IF($AU440="","",IFERROR(VLOOKUP($AU440,DECODE!$A$3:$C$8,2,FALSE),"?"))</f>
        <v/>
      </c>
      <c r="BC440">
        <f>IF($P440="","",UPPER(TRIM(LEFT($P440&amp;",",FIND(",",$P440&amp;",")-1))))</f>
        <v/>
      </c>
      <c r="BD440">
        <f>IF($BC440="","",MID($BC440,4,FIND("~",SUBSTITUTE($BC440,"-","~",2))-4))</f>
        <v/>
      </c>
      <c r="BE440">
        <f>IF($BC440="","",MID($BC440,FIND("~",SUBSTITUTE($BC440,"-","~",2))+1,FIND("~",SUBSTITUTE($BC440,"-","~",3))-FIND("~",SUBSTITUTE($BC440,"-","~",2))-1))</f>
        <v/>
      </c>
      <c r="BF440">
        <f>IF($BD440="","",IFERROR(VLOOKUP($BD440,DECODE!$A$3:$C$8,3,FALSE),"?"))</f>
        <v/>
      </c>
      <c r="BG440">
        <f>IF($BE440="","",IFERROR(VLOOKUP($BD440&amp;"-"&amp;$BE440,DECODE!$E$3:$F$21,2,FALSE),"?"))</f>
        <v/>
      </c>
      <c r="BH440">
        <f>IF($BC440="","",IFERROR(VALUE(RIGHT($BC440,3)),""))</f>
        <v/>
      </c>
      <c r="BI440">
        <f>IF($V440="","",IFERROR(IF(ISNUMBER($V440),$V440,DATEVALUE(TRIM($V440))),""))</f>
        <v/>
      </c>
      <c r="BJ440">
        <f>IF($BI440="","",IF(MONTH($BI440)&gt;=12,"Cold Winter",IF(MONTH($BI440)&gt;=10,"Post-Monsoon",IF(MONTH($BI440)&gt;=6,"Hot Humid",IF(MONTH($BI440)&gt;=3,"Hot Dry","Cold Winter")))))</f>
        <v/>
      </c>
      <c r="BK440">
        <f>IF($BD440="","",IFERROR(VLOOKUP($BD440,DECODE!$A$3:$C$8,2,FALSE),"?"))</f>
        <v/>
      </c>
      <c r="BL440">
        <f>IF($Q440="","",UPPER(TRIM(LEFT($Q440&amp;",",FIND(",",$Q440&amp;",")-1))))</f>
        <v/>
      </c>
      <c r="BM440">
        <f>IF($BL440="","",MID($BL440,4,FIND("~",SUBSTITUTE($BL440,"-","~",2))-4))</f>
        <v/>
      </c>
      <c r="BN440">
        <f>IF($BL440="","",MID($BL440,FIND("~",SUBSTITUTE($BL440,"-","~",2))+1,FIND("~",SUBSTITUTE($BL440,"-","~",3))-FIND("~",SUBSTITUTE($BL440,"-","~",2))-1))</f>
        <v/>
      </c>
      <c r="BO440">
        <f>IF($BM440="","",IFERROR(VLOOKUP($BM440,DECODE!$A$3:$C$8,3,FALSE),"?"))</f>
        <v/>
      </c>
      <c r="BP440">
        <f>IF($BN440="","",IFERROR(VLOOKUP($BM440&amp;"-"&amp;$BN440,DECODE!$E$3:$F$21,2,FALSE),"?"))</f>
        <v/>
      </c>
      <c r="BQ440">
        <f>IF($BL440="","",IFERROR(VALUE(RIGHT($BL440,3)),""))</f>
        <v/>
      </c>
      <c r="BR440">
        <f>IF($W440="","",IFERROR(IF(ISNUMBER($W440),$W440,DATEVALUE(TRIM($W440))),""))</f>
        <v/>
      </c>
      <c r="BS440">
        <f>IF($BR440="","",IF(MONTH($BR440)&gt;=12,"Cold Winter",IF(MONTH($BR440)&gt;=10,"Post-Monsoon",IF(MONTH($BR440)&gt;=6,"Hot Humid",IF(MONTH($BR440)&gt;=3,"Hot Dry","Cold Winter")))))</f>
        <v/>
      </c>
      <c r="BT440">
        <f>IF($BM440="","",IFERROR(VLOOKUP($BM440,DECODE!$A$3:$C$8,2,FALSE),"?"))</f>
        <v/>
      </c>
      <c r="BU440">
        <f>IF($R440="","",UPPER(TRIM(LEFT($R440&amp;",",FIND(",",$R440&amp;",")-1))))</f>
        <v/>
      </c>
      <c r="BV440">
        <f>IF($BU440="","",MID($BU440,4,FIND("~",SUBSTITUTE($BU440,"-","~",2))-4))</f>
        <v/>
      </c>
      <c r="BW440">
        <f>IF($BU440="","",MID($BU440,FIND("~",SUBSTITUTE($BU440,"-","~",2))+1,FIND("~",SUBSTITUTE($BU440,"-","~",3))-FIND("~",SUBSTITUTE($BU440,"-","~",2))-1))</f>
        <v/>
      </c>
      <c r="BX440">
        <f>IF($BV440="","",IFERROR(VLOOKUP($BV440,DECODE!$A$3:$C$8,3,FALSE),"?"))</f>
        <v/>
      </c>
      <c r="BY440">
        <f>IF($BW440="","",IFERROR(VLOOKUP($BV440&amp;"-"&amp;$BW440,DECODE!$E$3:$F$21,2,FALSE),"?"))</f>
        <v/>
      </c>
      <c r="BZ440">
        <f>IF($BU440="","",IFERROR(VALUE(RIGHT($BU440,3)),""))</f>
        <v/>
      </c>
      <c r="CA440">
        <f>IF($X440="","",IFERROR(IF(ISNUMBER($X440),$X440,DATEVALUE(TRIM($X440))),""))</f>
        <v/>
      </c>
      <c r="CB440">
        <f>IF($CA440="","",IF(MONTH($CA440)&gt;=12,"Cold Winter",IF(MONTH($CA440)&gt;=10,"Post-Monsoon",IF(MONTH($CA440)&gt;=6,"Hot Humid",IF(MONTH($CA440)&gt;=3,"Hot Dry","Cold Winter")))))</f>
        <v/>
      </c>
      <c r="CC440">
        <f>IF($BV440="","",IFERROR(VLOOKUP($BV440,DECODE!$A$3:$C$8,2,FALSE),"?"))</f>
        <v/>
      </c>
      <c r="CD440">
        <f>IF($S440="","",UPPER(TRIM(LEFT($S440&amp;",",FIND(",",$S440&amp;",")-1))))</f>
        <v/>
      </c>
      <c r="CE440">
        <f>IF($CD440="","",MID($CD440,4,FIND("~",SUBSTITUTE($CD440,"-","~",2))-4))</f>
        <v/>
      </c>
      <c r="CF440">
        <f>IF($CD440="","",MID($CD440,FIND("~",SUBSTITUTE($CD440,"-","~",2))+1,FIND("~",SUBSTITUTE($CD440,"-","~",3))-FIND("~",SUBSTITUTE($CD440,"-","~",2))-1))</f>
        <v/>
      </c>
      <c r="CG440">
        <f>IF($CE440="","",IFERROR(VLOOKUP($CE440,DECODE!$A$3:$C$8,3,FALSE),"?"))</f>
        <v/>
      </c>
      <c r="CH440">
        <f>IF($CF440="","",IFERROR(VLOOKUP($CE440&amp;"-"&amp;$CF440,DECODE!$E$3:$F$21,2,FALSE),"?"))</f>
        <v/>
      </c>
      <c r="CI440">
        <f>IF($CD440="","",IFERROR(VALUE(RIGHT($CD440,3)),""))</f>
        <v/>
      </c>
      <c r="CJ440">
        <f>IF($Y440="","",IFERROR(IF(ISNUMBER($Y440),$Y440,DATEVALUE(TRIM($Y440))),""))</f>
        <v/>
      </c>
      <c r="CK440">
        <f>IF($CJ440="","",IF(MONTH($CJ440)&gt;=12,"Cold Winter",IF(MONTH($CJ440)&gt;=10,"Post-Monsoon",IF(MONTH($CJ440)&gt;=6,"Hot Humid",IF(MONTH($CJ440)&gt;=3,"Hot Dry","Cold Winter")))))</f>
        <v/>
      </c>
      <c r="CL440">
        <f>IF($CE440="","",IFERROR(VLOOKUP($CE440,DECODE!$A$3:$C$8,2,FALSE),"?"))</f>
        <v/>
      </c>
      <c r="CM440">
        <f>IF($AN440="","",AN440)</f>
        <v/>
      </c>
      <c r="CN440">
        <f>IF($AO440="","",AO440)</f>
        <v/>
      </c>
      <c r="CO440">
        <f>IF($AP440="","",AP440)</f>
        <v/>
      </c>
      <c r="CP440">
        <f>IF($CM440="","",IF($CM440="Aloe Vera Gel","Aloe Vera Gel "&amp;$CO440&amp;"g",CN440&amp;" "&amp;$CO440&amp;"g"))</f>
        <v/>
      </c>
      <c r="CQ440">
        <f>IF($AT440="",0,1)</f>
        <v/>
      </c>
      <c r="CR440">
        <f>IF($CQ440=0,"",AW440)</f>
        <v/>
      </c>
      <c r="CS440">
        <f>IF($CQ440=0,"",AX440)</f>
        <v/>
      </c>
      <c r="CT440">
        <f>IF($CQ440=0,"",AY440)</f>
        <v/>
      </c>
      <c r="CU440">
        <f>IF($CR440="","",IF($CR440="Aloe Vera Gel","Aloe Vera Gel "&amp;$CT440&amp;"g",CS440&amp;" "&amp;$CT440&amp;"g"))</f>
        <v/>
      </c>
      <c r="CV440">
        <f>IF($CQ440=0,"",IF($CP440=$CU440,"Repeat Exact",IF($CT440&gt;$CO440,"Upsized",IF($CT440&lt;$CO440,"Downsized",IF($CM440&lt;&gt;$CR440,"Lateral","Same Size Diff Variant")))))</f>
        <v/>
      </c>
      <c r="CW440">
        <f>IF($CQ440=0,"",AZ440-AQ440)</f>
        <v/>
      </c>
      <c r="CX440">
        <f>IF($CQ440=0,0,IF(CS440=CN440,1,0))</f>
        <v/>
      </c>
      <c r="CY440">
        <f>IF($CQ440=0,0,IF(CR440=CM440,1,0))</f>
        <v/>
      </c>
      <c r="CZ440">
        <f>IF($A440="","",IF(AND(IF(DASHBOARD!$C$4="All",TRUE,$CM440=DASHBOARD!$C$4),IF(DASHBOARD!$C$6="All",TRUE,$CP440=DASHBOARD!$C$6),IF(DASHBOARD!$C$8="All",TRUE,$AF440&gt;=DASHBOARD!$C$8),IF(DASHBOARD!$C$10="All",TRUE,$AF440&lt;=DASHBOARD!$C$10),IF(DASHBOARD!$C$12="All",TRUE,$AH440=VALUE(DASHBOARD!$C$12)),IF(DASHBOARD!$C$14="All",TRUE,$AJ440=DASHBOARD!$C$14)),1,0))</f>
        <v/>
      </c>
    </row>
    <row r="441">
      <c r="A441" t="n">
        <v>211797</v>
      </c>
      <c r="B441" t="inlineStr">
        <is>
          <t>Active Gel, Aloe Vera Gel</t>
        </is>
      </c>
      <c r="H441" t="inlineStr">
        <is>
          <t>Aloe Vera Gel - 40 gms, Active Orange Kiwi Vit-C Gel</t>
        </is>
      </c>
      <c r="N441" t="inlineStr">
        <is>
          <t>FC-HG-PA-040, FC-AC-OK-050</t>
        </is>
      </c>
      <c r="T441" t="inlineStr">
        <is>
          <t>Apr 27, 2024</t>
        </is>
      </c>
      <c r="AE441" t="inlineStr">
        <is>
          <t>Bengaluru</t>
        </is>
      </c>
      <c r="AF441" t="inlineStr">
        <is>
          <t>2024-04</t>
        </is>
      </c>
      <c r="AG441" t="n">
        <v>4</v>
      </c>
      <c r="AH441" t="n">
        <v>1</v>
      </c>
      <c r="AI441" t="n">
        <v>0</v>
      </c>
      <c r="AJ441">
        <f>IF($AE441="","",IFERROR(VLOOKUP(TRIM($AE441),DECODE!$H$3:$I$60,2,FALSE),"Rest of India"))</f>
        <v/>
      </c>
      <c r="AK441">
        <f>IF($N441="","",UPPER(TRIM(LEFT($N441&amp;",",FIND(",",$N441&amp;",")-1))))</f>
        <v/>
      </c>
      <c r="AL441">
        <f>IF($AK441="","",MID($AK441,4,FIND("~",SUBSTITUTE($AK441,"-","~",2))-4))</f>
        <v/>
      </c>
      <c r="AM441">
        <f>IF($AK441="","",MID($AK441,FIND("~",SUBSTITUTE($AK441,"-","~",2))+1,FIND("~",SUBSTITUTE($AK441,"-","~",3))-FIND("~",SUBSTITUTE($AK441,"-","~",2))-1))</f>
        <v/>
      </c>
      <c r="AN441">
        <f>IF($AL441="","",IFERROR(VLOOKUP($AL441,DECODE!$A$3:$C$8,3,FALSE),"?"))</f>
        <v/>
      </c>
      <c r="AO441">
        <f>IF($AM441="","",IFERROR(VLOOKUP($AL441&amp;"-"&amp;$AM441,DECODE!$E$3:$F$21,2,FALSE),"?"))</f>
        <v/>
      </c>
      <c r="AP441">
        <f>IF($AK441="","",IFERROR(VALUE(RIGHT($AK441,3)),""))</f>
        <v/>
      </c>
      <c r="AQ441">
        <f>IF($T441="","",IFERROR(IF(ISNUMBER($T441),$T441,DATEVALUE(TRIM($T441))),""))</f>
        <v/>
      </c>
      <c r="AR441">
        <f>IF($AQ441="","",IF(MONTH($AQ441)&gt;=12,"Cold Winter",IF(MONTH($AQ441)&gt;=10,"Post-Monsoon",IF(MONTH($AQ441)&gt;=6,"Hot Humid",IF(MONTH($AQ441)&gt;=3,"Hot Dry","Cold Winter")))))</f>
        <v/>
      </c>
      <c r="AS441">
        <f>IF($AL441="","",IFERROR(VLOOKUP($AL441,DECODE!$A$3:$C$8,2,FALSE),"?"))</f>
        <v/>
      </c>
      <c r="AT441">
        <f>IF($O441="","",UPPER(TRIM(LEFT($O441&amp;",",FIND(",",$O441&amp;",")-1))))</f>
        <v/>
      </c>
      <c r="AU441">
        <f>IF($AT441="","",MID($AT441,4,FIND("~",SUBSTITUTE($AT441,"-","~",2))-4))</f>
        <v/>
      </c>
      <c r="AV441">
        <f>IF($AT441="","",MID($AT441,FIND("~",SUBSTITUTE($AT441,"-","~",2))+1,FIND("~",SUBSTITUTE($AT441,"-","~",3))-FIND("~",SUBSTITUTE($AT441,"-","~",2))-1))</f>
        <v/>
      </c>
      <c r="AW441">
        <f>IF($AU441="","",IFERROR(VLOOKUP($AU441,DECODE!$A$3:$C$8,3,FALSE),"?"))</f>
        <v/>
      </c>
      <c r="AX441">
        <f>IF($AV441="","",IFERROR(VLOOKUP($AU441&amp;"-"&amp;$AV441,DECODE!$E$3:$F$21,2,FALSE),"?"))</f>
        <v/>
      </c>
      <c r="AY441">
        <f>IF($AT441="","",IFERROR(VALUE(RIGHT($AT441,3)),""))</f>
        <v/>
      </c>
      <c r="AZ441">
        <f>IF($U441="","",IFERROR(IF(ISNUMBER($U441),$U441,DATEVALUE(TRIM($U441))),""))</f>
        <v/>
      </c>
      <c r="BA441">
        <f>IF($AZ441="","",IF(MONTH($AZ441)&gt;=12,"Cold Winter",IF(MONTH($AZ441)&gt;=10,"Post-Monsoon",IF(MONTH($AZ441)&gt;=6,"Hot Humid",IF(MONTH($AZ441)&gt;=3,"Hot Dry","Cold Winter")))))</f>
        <v/>
      </c>
      <c r="BB441">
        <f>IF($AU441="","",IFERROR(VLOOKUP($AU441,DECODE!$A$3:$C$8,2,FALSE),"?"))</f>
        <v/>
      </c>
      <c r="BC441">
        <f>IF($P441="","",UPPER(TRIM(LEFT($P441&amp;",",FIND(",",$P441&amp;",")-1))))</f>
        <v/>
      </c>
      <c r="BD441">
        <f>IF($BC441="","",MID($BC441,4,FIND("~",SUBSTITUTE($BC441,"-","~",2))-4))</f>
        <v/>
      </c>
      <c r="BE441">
        <f>IF($BC441="","",MID($BC441,FIND("~",SUBSTITUTE($BC441,"-","~",2))+1,FIND("~",SUBSTITUTE($BC441,"-","~",3))-FIND("~",SUBSTITUTE($BC441,"-","~",2))-1))</f>
        <v/>
      </c>
      <c r="BF441">
        <f>IF($BD441="","",IFERROR(VLOOKUP($BD441,DECODE!$A$3:$C$8,3,FALSE),"?"))</f>
        <v/>
      </c>
      <c r="BG441">
        <f>IF($BE441="","",IFERROR(VLOOKUP($BD441&amp;"-"&amp;$BE441,DECODE!$E$3:$F$21,2,FALSE),"?"))</f>
        <v/>
      </c>
      <c r="BH441">
        <f>IF($BC441="","",IFERROR(VALUE(RIGHT($BC441,3)),""))</f>
        <v/>
      </c>
      <c r="BI441">
        <f>IF($V441="","",IFERROR(IF(ISNUMBER($V441),$V441,DATEVALUE(TRIM($V441))),""))</f>
        <v/>
      </c>
      <c r="BJ441">
        <f>IF($BI441="","",IF(MONTH($BI441)&gt;=12,"Cold Winter",IF(MONTH($BI441)&gt;=10,"Post-Monsoon",IF(MONTH($BI441)&gt;=6,"Hot Humid",IF(MONTH($BI441)&gt;=3,"Hot Dry","Cold Winter")))))</f>
        <v/>
      </c>
      <c r="BK441">
        <f>IF($BD441="","",IFERROR(VLOOKUP($BD441,DECODE!$A$3:$C$8,2,FALSE),"?"))</f>
        <v/>
      </c>
      <c r="BL441">
        <f>IF($Q441="","",UPPER(TRIM(LEFT($Q441&amp;",",FIND(",",$Q441&amp;",")-1))))</f>
        <v/>
      </c>
      <c r="BM441">
        <f>IF($BL441="","",MID($BL441,4,FIND("~",SUBSTITUTE($BL441,"-","~",2))-4))</f>
        <v/>
      </c>
      <c r="BN441">
        <f>IF($BL441="","",MID($BL441,FIND("~",SUBSTITUTE($BL441,"-","~",2))+1,FIND("~",SUBSTITUTE($BL441,"-","~",3))-FIND("~",SUBSTITUTE($BL441,"-","~",2))-1))</f>
        <v/>
      </c>
      <c r="BO441">
        <f>IF($BM441="","",IFERROR(VLOOKUP($BM441,DECODE!$A$3:$C$8,3,FALSE),"?"))</f>
        <v/>
      </c>
      <c r="BP441">
        <f>IF($BN441="","",IFERROR(VLOOKUP($BM441&amp;"-"&amp;$BN441,DECODE!$E$3:$F$21,2,FALSE),"?"))</f>
        <v/>
      </c>
      <c r="BQ441">
        <f>IF($BL441="","",IFERROR(VALUE(RIGHT($BL441,3)),""))</f>
        <v/>
      </c>
      <c r="BR441">
        <f>IF($W441="","",IFERROR(IF(ISNUMBER($W441),$W441,DATEVALUE(TRIM($W441))),""))</f>
        <v/>
      </c>
      <c r="BS441">
        <f>IF($BR441="","",IF(MONTH($BR441)&gt;=12,"Cold Winter",IF(MONTH($BR441)&gt;=10,"Post-Monsoon",IF(MONTH($BR441)&gt;=6,"Hot Humid",IF(MONTH($BR441)&gt;=3,"Hot Dry","Cold Winter")))))</f>
        <v/>
      </c>
      <c r="BT441">
        <f>IF($BM441="","",IFERROR(VLOOKUP($BM441,DECODE!$A$3:$C$8,2,FALSE),"?"))</f>
        <v/>
      </c>
      <c r="BU441">
        <f>IF($R441="","",UPPER(TRIM(LEFT($R441&amp;",",FIND(",",$R441&amp;",")-1))))</f>
        <v/>
      </c>
      <c r="BV441">
        <f>IF($BU441="","",MID($BU441,4,FIND("~",SUBSTITUTE($BU441,"-","~",2))-4))</f>
        <v/>
      </c>
      <c r="BW441">
        <f>IF($BU441="","",MID($BU441,FIND("~",SUBSTITUTE($BU441,"-","~",2))+1,FIND("~",SUBSTITUTE($BU441,"-","~",3))-FIND("~",SUBSTITUTE($BU441,"-","~",2))-1))</f>
        <v/>
      </c>
      <c r="BX441">
        <f>IF($BV441="","",IFERROR(VLOOKUP($BV441,DECODE!$A$3:$C$8,3,FALSE),"?"))</f>
        <v/>
      </c>
      <c r="BY441">
        <f>IF($BW441="","",IFERROR(VLOOKUP($BV441&amp;"-"&amp;$BW441,DECODE!$E$3:$F$21,2,FALSE),"?"))</f>
        <v/>
      </c>
      <c r="BZ441">
        <f>IF($BU441="","",IFERROR(VALUE(RIGHT($BU441,3)),""))</f>
        <v/>
      </c>
      <c r="CA441">
        <f>IF($X441="","",IFERROR(IF(ISNUMBER($X441),$X441,DATEVALUE(TRIM($X441))),""))</f>
        <v/>
      </c>
      <c r="CB441">
        <f>IF($CA441="","",IF(MONTH($CA441)&gt;=12,"Cold Winter",IF(MONTH($CA441)&gt;=10,"Post-Monsoon",IF(MONTH($CA441)&gt;=6,"Hot Humid",IF(MONTH($CA441)&gt;=3,"Hot Dry","Cold Winter")))))</f>
        <v/>
      </c>
      <c r="CC441">
        <f>IF($BV441="","",IFERROR(VLOOKUP($BV441,DECODE!$A$3:$C$8,2,FALSE),"?"))</f>
        <v/>
      </c>
      <c r="CD441">
        <f>IF($S441="","",UPPER(TRIM(LEFT($S441&amp;",",FIND(",",$S441&amp;",")-1))))</f>
        <v/>
      </c>
      <c r="CE441">
        <f>IF($CD441="","",MID($CD441,4,FIND("~",SUBSTITUTE($CD441,"-","~",2))-4))</f>
        <v/>
      </c>
      <c r="CF441">
        <f>IF($CD441="","",MID($CD441,FIND("~",SUBSTITUTE($CD441,"-","~",2))+1,FIND("~",SUBSTITUTE($CD441,"-","~",3))-FIND("~",SUBSTITUTE($CD441,"-","~",2))-1))</f>
        <v/>
      </c>
      <c r="CG441">
        <f>IF($CE441="","",IFERROR(VLOOKUP($CE441,DECODE!$A$3:$C$8,3,FALSE),"?"))</f>
        <v/>
      </c>
      <c r="CH441">
        <f>IF($CF441="","",IFERROR(VLOOKUP($CE441&amp;"-"&amp;$CF441,DECODE!$E$3:$F$21,2,FALSE),"?"))</f>
        <v/>
      </c>
      <c r="CI441">
        <f>IF($CD441="","",IFERROR(VALUE(RIGHT($CD441,3)),""))</f>
        <v/>
      </c>
      <c r="CJ441">
        <f>IF($Y441="","",IFERROR(IF(ISNUMBER($Y441),$Y441,DATEVALUE(TRIM($Y441))),""))</f>
        <v/>
      </c>
      <c r="CK441">
        <f>IF($CJ441="","",IF(MONTH($CJ441)&gt;=12,"Cold Winter",IF(MONTH($CJ441)&gt;=10,"Post-Monsoon",IF(MONTH($CJ441)&gt;=6,"Hot Humid",IF(MONTH($CJ441)&gt;=3,"Hot Dry","Cold Winter")))))</f>
        <v/>
      </c>
      <c r="CL441">
        <f>IF($CE441="","",IFERROR(VLOOKUP($CE441,DECODE!$A$3:$C$8,2,FALSE),"?"))</f>
        <v/>
      </c>
      <c r="CM441">
        <f>IF($AN441="","",AN441)</f>
        <v/>
      </c>
      <c r="CN441">
        <f>IF($AO441="","",AO441)</f>
        <v/>
      </c>
      <c r="CO441">
        <f>IF($AP441="","",AP441)</f>
        <v/>
      </c>
      <c r="CP441">
        <f>IF($CM441="","",IF($CM441="Aloe Vera Gel","Aloe Vera Gel "&amp;$CO441&amp;"g",CN441&amp;" "&amp;$CO441&amp;"g"))</f>
        <v/>
      </c>
      <c r="CQ441">
        <f>IF($AT441="",0,1)</f>
        <v/>
      </c>
      <c r="CR441">
        <f>IF($CQ441=0,"",AW441)</f>
        <v/>
      </c>
      <c r="CS441">
        <f>IF($CQ441=0,"",AX441)</f>
        <v/>
      </c>
      <c r="CT441">
        <f>IF($CQ441=0,"",AY441)</f>
        <v/>
      </c>
      <c r="CU441">
        <f>IF($CR441="","",IF($CR441="Aloe Vera Gel","Aloe Vera Gel "&amp;$CT441&amp;"g",CS441&amp;" "&amp;$CT441&amp;"g"))</f>
        <v/>
      </c>
      <c r="CV441">
        <f>IF($CQ441=0,"",IF($CP441=$CU441,"Repeat Exact",IF($CT441&gt;$CO441,"Upsized",IF($CT441&lt;$CO441,"Downsized",IF($CM441&lt;&gt;$CR441,"Lateral","Same Size Diff Variant")))))</f>
        <v/>
      </c>
      <c r="CW441">
        <f>IF($CQ441=0,"",AZ441-AQ441)</f>
        <v/>
      </c>
      <c r="CX441">
        <f>IF($CQ441=0,0,IF(CS441=CN441,1,0))</f>
        <v/>
      </c>
      <c r="CY441">
        <f>IF($CQ441=0,0,IF(CR441=CM441,1,0))</f>
        <v/>
      </c>
      <c r="CZ441">
        <f>IF($A441="","",IF(AND(IF(DASHBOARD!$C$4="All",TRUE,$CM441=DASHBOARD!$C$4),IF(DASHBOARD!$C$6="All",TRUE,$CP441=DASHBOARD!$C$6),IF(DASHBOARD!$C$8="All",TRUE,$AF441&gt;=DASHBOARD!$C$8),IF(DASHBOARD!$C$10="All",TRUE,$AF441&lt;=DASHBOARD!$C$10),IF(DASHBOARD!$C$12="All",TRUE,$AH441=VALUE(DASHBOARD!$C$12)),IF(DASHBOARD!$C$14="All",TRUE,$AJ441=DASHBOARD!$C$14)),1,0))</f>
        <v/>
      </c>
    </row>
    <row r="442">
      <c r="A442" t="n">
        <v>212312</v>
      </c>
      <c r="B442" t="inlineStr">
        <is>
          <t>Active Gel</t>
        </is>
      </c>
      <c r="C442" t="inlineStr">
        <is>
          <t>Active Gel</t>
        </is>
      </c>
      <c r="H442" t="inlineStr">
        <is>
          <t>Active Neem TeaTree Gel</t>
        </is>
      </c>
      <c r="I442" t="inlineStr">
        <is>
          <t>Active Neem TeaTree Gel</t>
        </is>
      </c>
      <c r="N442" t="inlineStr">
        <is>
          <t>FC-AC-NT-050</t>
        </is>
      </c>
      <c r="O442" t="inlineStr">
        <is>
          <t>FC-AC-NT-050</t>
        </is>
      </c>
      <c r="T442" t="inlineStr">
        <is>
          <t>Jun 13, 2024</t>
        </is>
      </c>
      <c r="U442" t="inlineStr">
        <is>
          <t>Nov 17, 2024</t>
        </is>
      </c>
      <c r="Z442" t="n">
        <v>157</v>
      </c>
      <c r="AE442" t="inlineStr">
        <is>
          <t>Bengaluru</t>
        </is>
      </c>
      <c r="AF442" t="inlineStr">
        <is>
          <t>2024-06</t>
        </is>
      </c>
      <c r="AG442" t="n">
        <v>6</v>
      </c>
      <c r="AH442" t="n">
        <v>2</v>
      </c>
      <c r="AI442" t="n">
        <v>1</v>
      </c>
      <c r="AJ442">
        <f>IF($AE442="","",IFERROR(VLOOKUP(TRIM($AE442),DECODE!$H$3:$I$60,2,FALSE),"Rest of India"))</f>
        <v/>
      </c>
      <c r="AK442">
        <f>IF($N442="","",UPPER(TRIM(LEFT($N442&amp;",",FIND(",",$N442&amp;",")-1))))</f>
        <v/>
      </c>
      <c r="AL442">
        <f>IF($AK442="","",MID($AK442,4,FIND("~",SUBSTITUTE($AK442,"-","~",2))-4))</f>
        <v/>
      </c>
      <c r="AM442">
        <f>IF($AK442="","",MID($AK442,FIND("~",SUBSTITUTE($AK442,"-","~",2))+1,FIND("~",SUBSTITUTE($AK442,"-","~",3))-FIND("~",SUBSTITUTE($AK442,"-","~",2))-1))</f>
        <v/>
      </c>
      <c r="AN442">
        <f>IF($AL442="","",IFERROR(VLOOKUP($AL442,DECODE!$A$3:$C$8,3,FALSE),"?"))</f>
        <v/>
      </c>
      <c r="AO442">
        <f>IF($AM442="","",IFERROR(VLOOKUP($AL442&amp;"-"&amp;$AM442,DECODE!$E$3:$F$21,2,FALSE),"?"))</f>
        <v/>
      </c>
      <c r="AP442">
        <f>IF($AK442="","",IFERROR(VALUE(RIGHT($AK442,3)),""))</f>
        <v/>
      </c>
      <c r="AQ442">
        <f>IF($T442="","",IFERROR(IF(ISNUMBER($T442),$T442,DATEVALUE(TRIM($T442))),""))</f>
        <v/>
      </c>
      <c r="AR442">
        <f>IF($AQ442="","",IF(MONTH($AQ442)&gt;=12,"Cold Winter",IF(MONTH($AQ442)&gt;=10,"Post-Monsoon",IF(MONTH($AQ442)&gt;=6,"Hot Humid",IF(MONTH($AQ442)&gt;=3,"Hot Dry","Cold Winter")))))</f>
        <v/>
      </c>
      <c r="AS442">
        <f>IF($AL442="","",IFERROR(VLOOKUP($AL442,DECODE!$A$3:$C$8,2,FALSE),"?"))</f>
        <v/>
      </c>
      <c r="AT442">
        <f>IF($O442="","",UPPER(TRIM(LEFT($O442&amp;",",FIND(",",$O442&amp;",")-1))))</f>
        <v/>
      </c>
      <c r="AU442">
        <f>IF($AT442="","",MID($AT442,4,FIND("~",SUBSTITUTE($AT442,"-","~",2))-4))</f>
        <v/>
      </c>
      <c r="AV442">
        <f>IF($AT442="","",MID($AT442,FIND("~",SUBSTITUTE($AT442,"-","~",2))+1,FIND("~",SUBSTITUTE($AT442,"-","~",3))-FIND("~",SUBSTITUTE($AT442,"-","~",2))-1))</f>
        <v/>
      </c>
      <c r="AW442">
        <f>IF($AU442="","",IFERROR(VLOOKUP($AU442,DECODE!$A$3:$C$8,3,FALSE),"?"))</f>
        <v/>
      </c>
      <c r="AX442">
        <f>IF($AV442="","",IFERROR(VLOOKUP($AU442&amp;"-"&amp;$AV442,DECODE!$E$3:$F$21,2,FALSE),"?"))</f>
        <v/>
      </c>
      <c r="AY442">
        <f>IF($AT442="","",IFERROR(VALUE(RIGHT($AT442,3)),""))</f>
        <v/>
      </c>
      <c r="AZ442">
        <f>IF($U442="","",IFERROR(IF(ISNUMBER($U442),$U442,DATEVALUE(TRIM($U442))),""))</f>
        <v/>
      </c>
      <c r="BA442">
        <f>IF($AZ442="","",IF(MONTH($AZ442)&gt;=12,"Cold Winter",IF(MONTH($AZ442)&gt;=10,"Post-Monsoon",IF(MONTH($AZ442)&gt;=6,"Hot Humid",IF(MONTH($AZ442)&gt;=3,"Hot Dry","Cold Winter")))))</f>
        <v/>
      </c>
      <c r="BB442">
        <f>IF($AU442="","",IFERROR(VLOOKUP($AU442,DECODE!$A$3:$C$8,2,FALSE),"?"))</f>
        <v/>
      </c>
      <c r="BC442">
        <f>IF($P442="","",UPPER(TRIM(LEFT($P442&amp;",",FIND(",",$P442&amp;",")-1))))</f>
        <v/>
      </c>
      <c r="BD442">
        <f>IF($BC442="","",MID($BC442,4,FIND("~",SUBSTITUTE($BC442,"-","~",2))-4))</f>
        <v/>
      </c>
      <c r="BE442">
        <f>IF($BC442="","",MID($BC442,FIND("~",SUBSTITUTE($BC442,"-","~",2))+1,FIND("~",SUBSTITUTE($BC442,"-","~",3))-FIND("~",SUBSTITUTE($BC442,"-","~",2))-1))</f>
        <v/>
      </c>
      <c r="BF442">
        <f>IF($BD442="","",IFERROR(VLOOKUP($BD442,DECODE!$A$3:$C$8,3,FALSE),"?"))</f>
        <v/>
      </c>
      <c r="BG442">
        <f>IF($BE442="","",IFERROR(VLOOKUP($BD442&amp;"-"&amp;$BE442,DECODE!$E$3:$F$21,2,FALSE),"?"))</f>
        <v/>
      </c>
      <c r="BH442">
        <f>IF($BC442="","",IFERROR(VALUE(RIGHT($BC442,3)),""))</f>
        <v/>
      </c>
      <c r="BI442">
        <f>IF($V442="","",IFERROR(IF(ISNUMBER($V442),$V442,DATEVALUE(TRIM($V442))),""))</f>
        <v/>
      </c>
      <c r="BJ442">
        <f>IF($BI442="","",IF(MONTH($BI442)&gt;=12,"Cold Winter",IF(MONTH($BI442)&gt;=10,"Post-Monsoon",IF(MONTH($BI442)&gt;=6,"Hot Humid",IF(MONTH($BI442)&gt;=3,"Hot Dry","Cold Winter")))))</f>
        <v/>
      </c>
      <c r="BK442">
        <f>IF($BD442="","",IFERROR(VLOOKUP($BD442,DECODE!$A$3:$C$8,2,FALSE),"?"))</f>
        <v/>
      </c>
      <c r="BL442">
        <f>IF($Q442="","",UPPER(TRIM(LEFT($Q442&amp;",",FIND(",",$Q442&amp;",")-1))))</f>
        <v/>
      </c>
      <c r="BM442">
        <f>IF($BL442="","",MID($BL442,4,FIND("~",SUBSTITUTE($BL442,"-","~",2))-4))</f>
        <v/>
      </c>
      <c r="BN442">
        <f>IF($BL442="","",MID($BL442,FIND("~",SUBSTITUTE($BL442,"-","~",2))+1,FIND("~",SUBSTITUTE($BL442,"-","~",3))-FIND("~",SUBSTITUTE($BL442,"-","~",2))-1))</f>
        <v/>
      </c>
      <c r="BO442">
        <f>IF($BM442="","",IFERROR(VLOOKUP($BM442,DECODE!$A$3:$C$8,3,FALSE),"?"))</f>
        <v/>
      </c>
      <c r="BP442">
        <f>IF($BN442="","",IFERROR(VLOOKUP($BM442&amp;"-"&amp;$BN442,DECODE!$E$3:$F$21,2,FALSE),"?"))</f>
        <v/>
      </c>
      <c r="BQ442">
        <f>IF($BL442="","",IFERROR(VALUE(RIGHT($BL442,3)),""))</f>
        <v/>
      </c>
      <c r="BR442">
        <f>IF($W442="","",IFERROR(IF(ISNUMBER($W442),$W442,DATEVALUE(TRIM($W442))),""))</f>
        <v/>
      </c>
      <c r="BS442">
        <f>IF($BR442="","",IF(MONTH($BR442)&gt;=12,"Cold Winter",IF(MONTH($BR442)&gt;=10,"Post-Monsoon",IF(MONTH($BR442)&gt;=6,"Hot Humid",IF(MONTH($BR442)&gt;=3,"Hot Dry","Cold Winter")))))</f>
        <v/>
      </c>
      <c r="BT442">
        <f>IF($BM442="","",IFERROR(VLOOKUP($BM442,DECODE!$A$3:$C$8,2,FALSE),"?"))</f>
        <v/>
      </c>
      <c r="BU442">
        <f>IF($R442="","",UPPER(TRIM(LEFT($R442&amp;",",FIND(",",$R442&amp;",")-1))))</f>
        <v/>
      </c>
      <c r="BV442">
        <f>IF($BU442="","",MID($BU442,4,FIND("~",SUBSTITUTE($BU442,"-","~",2))-4))</f>
        <v/>
      </c>
      <c r="BW442">
        <f>IF($BU442="","",MID($BU442,FIND("~",SUBSTITUTE($BU442,"-","~",2))+1,FIND("~",SUBSTITUTE($BU442,"-","~",3))-FIND("~",SUBSTITUTE($BU442,"-","~",2))-1))</f>
        <v/>
      </c>
      <c r="BX442">
        <f>IF($BV442="","",IFERROR(VLOOKUP($BV442,DECODE!$A$3:$C$8,3,FALSE),"?"))</f>
        <v/>
      </c>
      <c r="BY442">
        <f>IF($BW442="","",IFERROR(VLOOKUP($BV442&amp;"-"&amp;$BW442,DECODE!$E$3:$F$21,2,FALSE),"?"))</f>
        <v/>
      </c>
      <c r="BZ442">
        <f>IF($BU442="","",IFERROR(VALUE(RIGHT($BU442,3)),""))</f>
        <v/>
      </c>
      <c r="CA442">
        <f>IF($X442="","",IFERROR(IF(ISNUMBER($X442),$X442,DATEVALUE(TRIM($X442))),""))</f>
        <v/>
      </c>
      <c r="CB442">
        <f>IF($CA442="","",IF(MONTH($CA442)&gt;=12,"Cold Winter",IF(MONTH($CA442)&gt;=10,"Post-Monsoon",IF(MONTH($CA442)&gt;=6,"Hot Humid",IF(MONTH($CA442)&gt;=3,"Hot Dry","Cold Winter")))))</f>
        <v/>
      </c>
      <c r="CC442">
        <f>IF($BV442="","",IFERROR(VLOOKUP($BV442,DECODE!$A$3:$C$8,2,FALSE),"?"))</f>
        <v/>
      </c>
      <c r="CD442">
        <f>IF($S442="","",UPPER(TRIM(LEFT($S442&amp;",",FIND(",",$S442&amp;",")-1))))</f>
        <v/>
      </c>
      <c r="CE442">
        <f>IF($CD442="","",MID($CD442,4,FIND("~",SUBSTITUTE($CD442,"-","~",2))-4))</f>
        <v/>
      </c>
      <c r="CF442">
        <f>IF($CD442="","",MID($CD442,FIND("~",SUBSTITUTE($CD442,"-","~",2))+1,FIND("~",SUBSTITUTE($CD442,"-","~",3))-FIND("~",SUBSTITUTE($CD442,"-","~",2))-1))</f>
        <v/>
      </c>
      <c r="CG442">
        <f>IF($CE442="","",IFERROR(VLOOKUP($CE442,DECODE!$A$3:$C$8,3,FALSE),"?"))</f>
        <v/>
      </c>
      <c r="CH442">
        <f>IF($CF442="","",IFERROR(VLOOKUP($CE442&amp;"-"&amp;$CF442,DECODE!$E$3:$F$21,2,FALSE),"?"))</f>
        <v/>
      </c>
      <c r="CI442">
        <f>IF($CD442="","",IFERROR(VALUE(RIGHT($CD442,3)),""))</f>
        <v/>
      </c>
      <c r="CJ442">
        <f>IF($Y442="","",IFERROR(IF(ISNUMBER($Y442),$Y442,DATEVALUE(TRIM($Y442))),""))</f>
        <v/>
      </c>
      <c r="CK442">
        <f>IF($CJ442="","",IF(MONTH($CJ442)&gt;=12,"Cold Winter",IF(MONTH($CJ442)&gt;=10,"Post-Monsoon",IF(MONTH($CJ442)&gt;=6,"Hot Humid",IF(MONTH($CJ442)&gt;=3,"Hot Dry","Cold Winter")))))</f>
        <v/>
      </c>
      <c r="CL442">
        <f>IF($CE442="","",IFERROR(VLOOKUP($CE442,DECODE!$A$3:$C$8,2,FALSE),"?"))</f>
        <v/>
      </c>
      <c r="CM442">
        <f>IF($AN442="","",AN442)</f>
        <v/>
      </c>
      <c r="CN442">
        <f>IF($AO442="","",AO442)</f>
        <v/>
      </c>
      <c r="CO442">
        <f>IF($AP442="","",AP442)</f>
        <v/>
      </c>
      <c r="CP442">
        <f>IF($CM442="","",IF($CM442="Aloe Vera Gel","Aloe Vera Gel "&amp;$CO442&amp;"g",CN442&amp;" "&amp;$CO442&amp;"g"))</f>
        <v/>
      </c>
      <c r="CQ442">
        <f>IF($AT442="",0,1)</f>
        <v/>
      </c>
      <c r="CR442">
        <f>IF($CQ442=0,"",AW442)</f>
        <v/>
      </c>
      <c r="CS442">
        <f>IF($CQ442=0,"",AX442)</f>
        <v/>
      </c>
      <c r="CT442">
        <f>IF($CQ442=0,"",AY442)</f>
        <v/>
      </c>
      <c r="CU442">
        <f>IF($CR442="","",IF($CR442="Aloe Vera Gel","Aloe Vera Gel "&amp;$CT442&amp;"g",CS442&amp;" "&amp;$CT442&amp;"g"))</f>
        <v/>
      </c>
      <c r="CV442">
        <f>IF($CQ442=0,"",IF($CP442=$CU442,"Repeat Exact",IF($CT442&gt;$CO442,"Upsized",IF($CT442&lt;$CO442,"Downsized",IF($CM442&lt;&gt;$CR442,"Lateral","Same Size Diff Variant")))))</f>
        <v/>
      </c>
      <c r="CW442">
        <f>IF($CQ442=0,"",AZ442-AQ442)</f>
        <v/>
      </c>
      <c r="CX442">
        <f>IF($CQ442=0,0,IF(CS442=CN442,1,0))</f>
        <v/>
      </c>
      <c r="CY442">
        <f>IF($CQ442=0,0,IF(CR442=CM442,1,0))</f>
        <v/>
      </c>
      <c r="CZ442">
        <f>IF($A442="","",IF(AND(IF(DASHBOARD!$C$4="All",TRUE,$CM442=DASHBOARD!$C$4),IF(DASHBOARD!$C$6="All",TRUE,$CP442=DASHBOARD!$C$6),IF(DASHBOARD!$C$8="All",TRUE,$AF442&gt;=DASHBOARD!$C$8),IF(DASHBOARD!$C$10="All",TRUE,$AF442&lt;=DASHBOARD!$C$10),IF(DASHBOARD!$C$12="All",TRUE,$AH442=VALUE(DASHBOARD!$C$12)),IF(DASHBOARD!$C$14="All",TRUE,$AJ442=DASHBOARD!$C$14)),1,0))</f>
        <v/>
      </c>
    </row>
    <row r="443">
      <c r="A443" t="n">
        <v>213379</v>
      </c>
      <c r="B443" t="inlineStr">
        <is>
          <t>Face Malai</t>
        </is>
      </c>
      <c r="H443" t="inlineStr">
        <is>
          <t>Winter Blackseed Tulsi (Cold) 13 - 19 Yrs Face Malai</t>
        </is>
      </c>
      <c r="N443" t="inlineStr">
        <is>
          <t>FC-CWDM-BT-030</t>
        </is>
      </c>
      <c r="T443" t="inlineStr">
        <is>
          <t>Jan 3, 2024</t>
        </is>
      </c>
      <c r="AE443" t="inlineStr">
        <is>
          <t>Gurdaspur</t>
        </is>
      </c>
      <c r="AF443" t="inlineStr">
        <is>
          <t>2024-01</t>
        </is>
      </c>
      <c r="AG443" t="n">
        <v>1</v>
      </c>
      <c r="AH443" t="n">
        <v>1</v>
      </c>
      <c r="AI443" t="n">
        <v>0</v>
      </c>
      <c r="AJ443">
        <f>IF($AE443="","",IFERROR(VLOOKUP(TRIM($AE443),DECODE!$H$3:$I$60,2,FALSE),"Rest of India"))</f>
        <v/>
      </c>
      <c r="AK443">
        <f>IF($N443="","",UPPER(TRIM(LEFT($N443&amp;",",FIND(",",$N443&amp;",")-1))))</f>
        <v/>
      </c>
      <c r="AL443">
        <f>IF($AK443="","",MID($AK443,4,FIND("~",SUBSTITUTE($AK443,"-","~",2))-4))</f>
        <v/>
      </c>
      <c r="AM443">
        <f>IF($AK443="","",MID($AK443,FIND("~",SUBSTITUTE($AK443,"-","~",2))+1,FIND("~",SUBSTITUTE($AK443,"-","~",3))-FIND("~",SUBSTITUTE($AK443,"-","~",2))-1))</f>
        <v/>
      </c>
      <c r="AN443">
        <f>IF($AL443="","",IFERROR(VLOOKUP($AL443,DECODE!$A$3:$C$8,3,FALSE),"?"))</f>
        <v/>
      </c>
      <c r="AO443">
        <f>IF($AM443="","",IFERROR(VLOOKUP($AL443&amp;"-"&amp;$AM443,DECODE!$E$3:$F$21,2,FALSE),"?"))</f>
        <v/>
      </c>
      <c r="AP443">
        <f>IF($AK443="","",IFERROR(VALUE(RIGHT($AK443,3)),""))</f>
        <v/>
      </c>
      <c r="AQ443">
        <f>IF($T443="","",IFERROR(IF(ISNUMBER($T443),$T443,DATEVALUE(TRIM($T443))),""))</f>
        <v/>
      </c>
      <c r="AR443">
        <f>IF($AQ443="","",IF(MONTH($AQ443)&gt;=12,"Cold Winter",IF(MONTH($AQ443)&gt;=10,"Post-Monsoon",IF(MONTH($AQ443)&gt;=6,"Hot Humid",IF(MONTH($AQ443)&gt;=3,"Hot Dry","Cold Winter")))))</f>
        <v/>
      </c>
      <c r="AS443">
        <f>IF($AL443="","",IFERROR(VLOOKUP($AL443,DECODE!$A$3:$C$8,2,FALSE),"?"))</f>
        <v/>
      </c>
      <c r="AT443">
        <f>IF($O443="","",UPPER(TRIM(LEFT($O443&amp;",",FIND(",",$O443&amp;",")-1))))</f>
        <v/>
      </c>
      <c r="AU443">
        <f>IF($AT443="","",MID($AT443,4,FIND("~",SUBSTITUTE($AT443,"-","~",2))-4))</f>
        <v/>
      </c>
      <c r="AV443">
        <f>IF($AT443="","",MID($AT443,FIND("~",SUBSTITUTE($AT443,"-","~",2))+1,FIND("~",SUBSTITUTE($AT443,"-","~",3))-FIND("~",SUBSTITUTE($AT443,"-","~",2))-1))</f>
        <v/>
      </c>
      <c r="AW443">
        <f>IF($AU443="","",IFERROR(VLOOKUP($AU443,DECODE!$A$3:$C$8,3,FALSE),"?"))</f>
        <v/>
      </c>
      <c r="AX443">
        <f>IF($AV443="","",IFERROR(VLOOKUP($AU443&amp;"-"&amp;$AV443,DECODE!$E$3:$F$21,2,FALSE),"?"))</f>
        <v/>
      </c>
      <c r="AY443">
        <f>IF($AT443="","",IFERROR(VALUE(RIGHT($AT443,3)),""))</f>
        <v/>
      </c>
      <c r="AZ443">
        <f>IF($U443="","",IFERROR(IF(ISNUMBER($U443),$U443,DATEVALUE(TRIM($U443))),""))</f>
        <v/>
      </c>
      <c r="BA443">
        <f>IF($AZ443="","",IF(MONTH($AZ443)&gt;=12,"Cold Winter",IF(MONTH($AZ443)&gt;=10,"Post-Monsoon",IF(MONTH($AZ443)&gt;=6,"Hot Humid",IF(MONTH($AZ443)&gt;=3,"Hot Dry","Cold Winter")))))</f>
        <v/>
      </c>
      <c r="BB443">
        <f>IF($AU443="","",IFERROR(VLOOKUP($AU443,DECODE!$A$3:$C$8,2,FALSE),"?"))</f>
        <v/>
      </c>
      <c r="BC443">
        <f>IF($P443="","",UPPER(TRIM(LEFT($P443&amp;",",FIND(",",$P443&amp;",")-1))))</f>
        <v/>
      </c>
      <c r="BD443">
        <f>IF($BC443="","",MID($BC443,4,FIND("~",SUBSTITUTE($BC443,"-","~",2))-4))</f>
        <v/>
      </c>
      <c r="BE443">
        <f>IF($BC443="","",MID($BC443,FIND("~",SUBSTITUTE($BC443,"-","~",2))+1,FIND("~",SUBSTITUTE($BC443,"-","~",3))-FIND("~",SUBSTITUTE($BC443,"-","~",2))-1))</f>
        <v/>
      </c>
      <c r="BF443">
        <f>IF($BD443="","",IFERROR(VLOOKUP($BD443,DECODE!$A$3:$C$8,3,FALSE),"?"))</f>
        <v/>
      </c>
      <c r="BG443">
        <f>IF($BE443="","",IFERROR(VLOOKUP($BD443&amp;"-"&amp;$BE443,DECODE!$E$3:$F$21,2,FALSE),"?"))</f>
        <v/>
      </c>
      <c r="BH443">
        <f>IF($BC443="","",IFERROR(VALUE(RIGHT($BC443,3)),""))</f>
        <v/>
      </c>
      <c r="BI443">
        <f>IF($V443="","",IFERROR(IF(ISNUMBER($V443),$V443,DATEVALUE(TRIM($V443))),""))</f>
        <v/>
      </c>
      <c r="BJ443">
        <f>IF($BI443="","",IF(MONTH($BI443)&gt;=12,"Cold Winter",IF(MONTH($BI443)&gt;=10,"Post-Monsoon",IF(MONTH($BI443)&gt;=6,"Hot Humid",IF(MONTH($BI443)&gt;=3,"Hot Dry","Cold Winter")))))</f>
        <v/>
      </c>
      <c r="BK443">
        <f>IF($BD443="","",IFERROR(VLOOKUP($BD443,DECODE!$A$3:$C$8,2,FALSE),"?"))</f>
        <v/>
      </c>
      <c r="BL443">
        <f>IF($Q443="","",UPPER(TRIM(LEFT($Q443&amp;",",FIND(",",$Q443&amp;",")-1))))</f>
        <v/>
      </c>
      <c r="BM443">
        <f>IF($BL443="","",MID($BL443,4,FIND("~",SUBSTITUTE($BL443,"-","~",2))-4))</f>
        <v/>
      </c>
      <c r="BN443">
        <f>IF($BL443="","",MID($BL443,FIND("~",SUBSTITUTE($BL443,"-","~",2))+1,FIND("~",SUBSTITUTE($BL443,"-","~",3))-FIND("~",SUBSTITUTE($BL443,"-","~",2))-1))</f>
        <v/>
      </c>
      <c r="BO443">
        <f>IF($BM443="","",IFERROR(VLOOKUP($BM443,DECODE!$A$3:$C$8,3,FALSE),"?"))</f>
        <v/>
      </c>
      <c r="BP443">
        <f>IF($BN443="","",IFERROR(VLOOKUP($BM443&amp;"-"&amp;$BN443,DECODE!$E$3:$F$21,2,FALSE),"?"))</f>
        <v/>
      </c>
      <c r="BQ443">
        <f>IF($BL443="","",IFERROR(VALUE(RIGHT($BL443,3)),""))</f>
        <v/>
      </c>
      <c r="BR443">
        <f>IF($W443="","",IFERROR(IF(ISNUMBER($W443),$W443,DATEVALUE(TRIM($W443))),""))</f>
        <v/>
      </c>
      <c r="BS443">
        <f>IF($BR443="","",IF(MONTH($BR443)&gt;=12,"Cold Winter",IF(MONTH($BR443)&gt;=10,"Post-Monsoon",IF(MONTH($BR443)&gt;=6,"Hot Humid",IF(MONTH($BR443)&gt;=3,"Hot Dry","Cold Winter")))))</f>
        <v/>
      </c>
      <c r="BT443">
        <f>IF($BM443="","",IFERROR(VLOOKUP($BM443,DECODE!$A$3:$C$8,2,FALSE),"?"))</f>
        <v/>
      </c>
      <c r="BU443">
        <f>IF($R443="","",UPPER(TRIM(LEFT($R443&amp;",",FIND(",",$R443&amp;",")-1))))</f>
        <v/>
      </c>
      <c r="BV443">
        <f>IF($BU443="","",MID($BU443,4,FIND("~",SUBSTITUTE($BU443,"-","~",2))-4))</f>
        <v/>
      </c>
      <c r="BW443">
        <f>IF($BU443="","",MID($BU443,FIND("~",SUBSTITUTE($BU443,"-","~",2))+1,FIND("~",SUBSTITUTE($BU443,"-","~",3))-FIND("~",SUBSTITUTE($BU443,"-","~",2))-1))</f>
        <v/>
      </c>
      <c r="BX443">
        <f>IF($BV443="","",IFERROR(VLOOKUP($BV443,DECODE!$A$3:$C$8,3,FALSE),"?"))</f>
        <v/>
      </c>
      <c r="BY443">
        <f>IF($BW443="","",IFERROR(VLOOKUP($BV443&amp;"-"&amp;$BW443,DECODE!$E$3:$F$21,2,FALSE),"?"))</f>
        <v/>
      </c>
      <c r="BZ443">
        <f>IF($BU443="","",IFERROR(VALUE(RIGHT($BU443,3)),""))</f>
        <v/>
      </c>
      <c r="CA443">
        <f>IF($X443="","",IFERROR(IF(ISNUMBER($X443),$X443,DATEVALUE(TRIM($X443))),""))</f>
        <v/>
      </c>
      <c r="CB443">
        <f>IF($CA443="","",IF(MONTH($CA443)&gt;=12,"Cold Winter",IF(MONTH($CA443)&gt;=10,"Post-Monsoon",IF(MONTH($CA443)&gt;=6,"Hot Humid",IF(MONTH($CA443)&gt;=3,"Hot Dry","Cold Winter")))))</f>
        <v/>
      </c>
      <c r="CC443">
        <f>IF($BV443="","",IFERROR(VLOOKUP($BV443,DECODE!$A$3:$C$8,2,FALSE),"?"))</f>
        <v/>
      </c>
      <c r="CD443">
        <f>IF($S443="","",UPPER(TRIM(LEFT($S443&amp;",",FIND(",",$S443&amp;",")-1))))</f>
        <v/>
      </c>
      <c r="CE443">
        <f>IF($CD443="","",MID($CD443,4,FIND("~",SUBSTITUTE($CD443,"-","~",2))-4))</f>
        <v/>
      </c>
      <c r="CF443">
        <f>IF($CD443="","",MID($CD443,FIND("~",SUBSTITUTE($CD443,"-","~",2))+1,FIND("~",SUBSTITUTE($CD443,"-","~",3))-FIND("~",SUBSTITUTE($CD443,"-","~",2))-1))</f>
        <v/>
      </c>
      <c r="CG443">
        <f>IF($CE443="","",IFERROR(VLOOKUP($CE443,DECODE!$A$3:$C$8,3,FALSE),"?"))</f>
        <v/>
      </c>
      <c r="CH443">
        <f>IF($CF443="","",IFERROR(VLOOKUP($CE443&amp;"-"&amp;$CF443,DECODE!$E$3:$F$21,2,FALSE),"?"))</f>
        <v/>
      </c>
      <c r="CI443">
        <f>IF($CD443="","",IFERROR(VALUE(RIGHT($CD443,3)),""))</f>
        <v/>
      </c>
      <c r="CJ443">
        <f>IF($Y443="","",IFERROR(IF(ISNUMBER($Y443),$Y443,DATEVALUE(TRIM($Y443))),""))</f>
        <v/>
      </c>
      <c r="CK443">
        <f>IF($CJ443="","",IF(MONTH($CJ443)&gt;=12,"Cold Winter",IF(MONTH($CJ443)&gt;=10,"Post-Monsoon",IF(MONTH($CJ443)&gt;=6,"Hot Humid",IF(MONTH($CJ443)&gt;=3,"Hot Dry","Cold Winter")))))</f>
        <v/>
      </c>
      <c r="CL443">
        <f>IF($CE443="","",IFERROR(VLOOKUP($CE443,DECODE!$A$3:$C$8,2,FALSE),"?"))</f>
        <v/>
      </c>
      <c r="CM443">
        <f>IF($AN443="","",AN443)</f>
        <v/>
      </c>
      <c r="CN443">
        <f>IF($AO443="","",AO443)</f>
        <v/>
      </c>
      <c r="CO443">
        <f>IF($AP443="","",AP443)</f>
        <v/>
      </c>
      <c r="CP443">
        <f>IF($CM443="","",IF($CM443="Aloe Vera Gel","Aloe Vera Gel "&amp;$CO443&amp;"g",CN443&amp;" "&amp;$CO443&amp;"g"))</f>
        <v/>
      </c>
      <c r="CQ443">
        <f>IF($AT443="",0,1)</f>
        <v/>
      </c>
      <c r="CR443">
        <f>IF($CQ443=0,"",AW443)</f>
        <v/>
      </c>
      <c r="CS443">
        <f>IF($CQ443=0,"",AX443)</f>
        <v/>
      </c>
      <c r="CT443">
        <f>IF($CQ443=0,"",AY443)</f>
        <v/>
      </c>
      <c r="CU443">
        <f>IF($CR443="","",IF($CR443="Aloe Vera Gel","Aloe Vera Gel "&amp;$CT443&amp;"g",CS443&amp;" "&amp;$CT443&amp;"g"))</f>
        <v/>
      </c>
      <c r="CV443">
        <f>IF($CQ443=0,"",IF($CP443=$CU443,"Repeat Exact",IF($CT443&gt;$CO443,"Upsized",IF($CT443&lt;$CO443,"Downsized",IF($CM443&lt;&gt;$CR443,"Lateral","Same Size Diff Variant")))))</f>
        <v/>
      </c>
      <c r="CW443">
        <f>IF($CQ443=0,"",AZ443-AQ443)</f>
        <v/>
      </c>
      <c r="CX443">
        <f>IF($CQ443=0,0,IF(CS443=CN443,1,0))</f>
        <v/>
      </c>
      <c r="CY443">
        <f>IF($CQ443=0,0,IF(CR443=CM443,1,0))</f>
        <v/>
      </c>
      <c r="CZ443">
        <f>IF($A443="","",IF(AND(IF(DASHBOARD!$C$4="All",TRUE,$CM443=DASHBOARD!$C$4),IF(DASHBOARD!$C$6="All",TRUE,$CP443=DASHBOARD!$C$6),IF(DASHBOARD!$C$8="All",TRUE,$AF443&gt;=DASHBOARD!$C$8),IF(DASHBOARD!$C$10="All",TRUE,$AF443&lt;=DASHBOARD!$C$10),IF(DASHBOARD!$C$12="All",TRUE,$AH443=VALUE(DASHBOARD!$C$12)),IF(DASHBOARD!$C$14="All",TRUE,$AJ443=DASHBOARD!$C$14)),1,0))</f>
        <v/>
      </c>
    </row>
    <row r="444">
      <c r="A444" t="n">
        <v>213441</v>
      </c>
      <c r="B444" t="inlineStr">
        <is>
          <t>Face Malai</t>
        </is>
      </c>
      <c r="H444" t="inlineStr">
        <is>
          <t>Turmeric Nutmeg (Pigmentation)  Face Malai - 30g</t>
        </is>
      </c>
      <c r="N444" t="inlineStr">
        <is>
          <t>FC-DM-PG-030</t>
        </is>
      </c>
      <c r="T444" t="inlineStr">
        <is>
          <t>Nov 12, 2024</t>
        </is>
      </c>
      <c r="AE444" t="inlineStr">
        <is>
          <t>Navi Mumbai</t>
        </is>
      </c>
      <c r="AF444" t="inlineStr">
        <is>
          <t>2024-11</t>
        </is>
      </c>
      <c r="AG444" t="n">
        <v>11</v>
      </c>
      <c r="AH444" t="n">
        <v>1</v>
      </c>
      <c r="AI444" t="n">
        <v>0</v>
      </c>
      <c r="AJ444">
        <f>IF($AE444="","",IFERROR(VLOOKUP(TRIM($AE444),DECODE!$H$3:$I$60,2,FALSE),"Rest of India"))</f>
        <v/>
      </c>
      <c r="AK444">
        <f>IF($N444="","",UPPER(TRIM(LEFT($N444&amp;",",FIND(",",$N444&amp;",")-1))))</f>
        <v/>
      </c>
      <c r="AL444">
        <f>IF($AK444="","",MID($AK444,4,FIND("~",SUBSTITUTE($AK444,"-","~",2))-4))</f>
        <v/>
      </c>
      <c r="AM444">
        <f>IF($AK444="","",MID($AK444,FIND("~",SUBSTITUTE($AK444,"-","~",2))+1,FIND("~",SUBSTITUTE($AK444,"-","~",3))-FIND("~",SUBSTITUTE($AK444,"-","~",2))-1))</f>
        <v/>
      </c>
      <c r="AN444">
        <f>IF($AL444="","",IFERROR(VLOOKUP($AL444,DECODE!$A$3:$C$8,3,FALSE),"?"))</f>
        <v/>
      </c>
      <c r="AO444">
        <f>IF($AM444="","",IFERROR(VLOOKUP($AL444&amp;"-"&amp;$AM444,DECODE!$E$3:$F$21,2,FALSE),"?"))</f>
        <v/>
      </c>
      <c r="AP444">
        <f>IF($AK444="","",IFERROR(VALUE(RIGHT($AK444,3)),""))</f>
        <v/>
      </c>
      <c r="AQ444">
        <f>IF($T444="","",IFERROR(IF(ISNUMBER($T444),$T444,DATEVALUE(TRIM($T444))),""))</f>
        <v/>
      </c>
      <c r="AR444">
        <f>IF($AQ444="","",IF(MONTH($AQ444)&gt;=12,"Cold Winter",IF(MONTH($AQ444)&gt;=10,"Post-Monsoon",IF(MONTH($AQ444)&gt;=6,"Hot Humid",IF(MONTH($AQ444)&gt;=3,"Hot Dry","Cold Winter")))))</f>
        <v/>
      </c>
      <c r="AS444">
        <f>IF($AL444="","",IFERROR(VLOOKUP($AL444,DECODE!$A$3:$C$8,2,FALSE),"?"))</f>
        <v/>
      </c>
      <c r="AT444">
        <f>IF($O444="","",UPPER(TRIM(LEFT($O444&amp;",",FIND(",",$O444&amp;",")-1))))</f>
        <v/>
      </c>
      <c r="AU444">
        <f>IF($AT444="","",MID($AT444,4,FIND("~",SUBSTITUTE($AT444,"-","~",2))-4))</f>
        <v/>
      </c>
      <c r="AV444">
        <f>IF($AT444="","",MID($AT444,FIND("~",SUBSTITUTE($AT444,"-","~",2))+1,FIND("~",SUBSTITUTE($AT444,"-","~",3))-FIND("~",SUBSTITUTE($AT444,"-","~",2))-1))</f>
        <v/>
      </c>
      <c r="AW444">
        <f>IF($AU444="","",IFERROR(VLOOKUP($AU444,DECODE!$A$3:$C$8,3,FALSE),"?"))</f>
        <v/>
      </c>
      <c r="AX444">
        <f>IF($AV444="","",IFERROR(VLOOKUP($AU444&amp;"-"&amp;$AV444,DECODE!$E$3:$F$21,2,FALSE),"?"))</f>
        <v/>
      </c>
      <c r="AY444">
        <f>IF($AT444="","",IFERROR(VALUE(RIGHT($AT444,3)),""))</f>
        <v/>
      </c>
      <c r="AZ444">
        <f>IF($U444="","",IFERROR(IF(ISNUMBER($U444),$U444,DATEVALUE(TRIM($U444))),""))</f>
        <v/>
      </c>
      <c r="BA444">
        <f>IF($AZ444="","",IF(MONTH($AZ444)&gt;=12,"Cold Winter",IF(MONTH($AZ444)&gt;=10,"Post-Monsoon",IF(MONTH($AZ444)&gt;=6,"Hot Humid",IF(MONTH($AZ444)&gt;=3,"Hot Dry","Cold Winter")))))</f>
        <v/>
      </c>
      <c r="BB444">
        <f>IF($AU444="","",IFERROR(VLOOKUP($AU444,DECODE!$A$3:$C$8,2,FALSE),"?"))</f>
        <v/>
      </c>
      <c r="BC444">
        <f>IF($P444="","",UPPER(TRIM(LEFT($P444&amp;",",FIND(",",$P444&amp;",")-1))))</f>
        <v/>
      </c>
      <c r="BD444">
        <f>IF($BC444="","",MID($BC444,4,FIND("~",SUBSTITUTE($BC444,"-","~",2))-4))</f>
        <v/>
      </c>
      <c r="BE444">
        <f>IF($BC444="","",MID($BC444,FIND("~",SUBSTITUTE($BC444,"-","~",2))+1,FIND("~",SUBSTITUTE($BC444,"-","~",3))-FIND("~",SUBSTITUTE($BC444,"-","~",2))-1))</f>
        <v/>
      </c>
      <c r="BF444">
        <f>IF($BD444="","",IFERROR(VLOOKUP($BD444,DECODE!$A$3:$C$8,3,FALSE),"?"))</f>
        <v/>
      </c>
      <c r="BG444">
        <f>IF($BE444="","",IFERROR(VLOOKUP($BD444&amp;"-"&amp;$BE444,DECODE!$E$3:$F$21,2,FALSE),"?"))</f>
        <v/>
      </c>
      <c r="BH444">
        <f>IF($BC444="","",IFERROR(VALUE(RIGHT($BC444,3)),""))</f>
        <v/>
      </c>
      <c r="BI444">
        <f>IF($V444="","",IFERROR(IF(ISNUMBER($V444),$V444,DATEVALUE(TRIM($V444))),""))</f>
        <v/>
      </c>
      <c r="BJ444">
        <f>IF($BI444="","",IF(MONTH($BI444)&gt;=12,"Cold Winter",IF(MONTH($BI444)&gt;=10,"Post-Monsoon",IF(MONTH($BI444)&gt;=6,"Hot Humid",IF(MONTH($BI444)&gt;=3,"Hot Dry","Cold Winter")))))</f>
        <v/>
      </c>
      <c r="BK444">
        <f>IF($BD444="","",IFERROR(VLOOKUP($BD444,DECODE!$A$3:$C$8,2,FALSE),"?"))</f>
        <v/>
      </c>
      <c r="BL444">
        <f>IF($Q444="","",UPPER(TRIM(LEFT($Q444&amp;",",FIND(",",$Q444&amp;",")-1))))</f>
        <v/>
      </c>
      <c r="BM444">
        <f>IF($BL444="","",MID($BL444,4,FIND("~",SUBSTITUTE($BL444,"-","~",2))-4))</f>
        <v/>
      </c>
      <c r="BN444">
        <f>IF($BL444="","",MID($BL444,FIND("~",SUBSTITUTE($BL444,"-","~",2))+1,FIND("~",SUBSTITUTE($BL444,"-","~",3))-FIND("~",SUBSTITUTE($BL444,"-","~",2))-1))</f>
        <v/>
      </c>
      <c r="BO444">
        <f>IF($BM444="","",IFERROR(VLOOKUP($BM444,DECODE!$A$3:$C$8,3,FALSE),"?"))</f>
        <v/>
      </c>
      <c r="BP444">
        <f>IF($BN444="","",IFERROR(VLOOKUP($BM444&amp;"-"&amp;$BN444,DECODE!$E$3:$F$21,2,FALSE),"?"))</f>
        <v/>
      </c>
      <c r="BQ444">
        <f>IF($BL444="","",IFERROR(VALUE(RIGHT($BL444,3)),""))</f>
        <v/>
      </c>
      <c r="BR444">
        <f>IF($W444="","",IFERROR(IF(ISNUMBER($W444),$W444,DATEVALUE(TRIM($W444))),""))</f>
        <v/>
      </c>
      <c r="BS444">
        <f>IF($BR444="","",IF(MONTH($BR444)&gt;=12,"Cold Winter",IF(MONTH($BR444)&gt;=10,"Post-Monsoon",IF(MONTH($BR444)&gt;=6,"Hot Humid",IF(MONTH($BR444)&gt;=3,"Hot Dry","Cold Winter")))))</f>
        <v/>
      </c>
      <c r="BT444">
        <f>IF($BM444="","",IFERROR(VLOOKUP($BM444,DECODE!$A$3:$C$8,2,FALSE),"?"))</f>
        <v/>
      </c>
      <c r="BU444">
        <f>IF($R444="","",UPPER(TRIM(LEFT($R444&amp;",",FIND(",",$R444&amp;",")-1))))</f>
        <v/>
      </c>
      <c r="BV444">
        <f>IF($BU444="","",MID($BU444,4,FIND("~",SUBSTITUTE($BU444,"-","~",2))-4))</f>
        <v/>
      </c>
      <c r="BW444">
        <f>IF($BU444="","",MID($BU444,FIND("~",SUBSTITUTE($BU444,"-","~",2))+1,FIND("~",SUBSTITUTE($BU444,"-","~",3))-FIND("~",SUBSTITUTE($BU444,"-","~",2))-1))</f>
        <v/>
      </c>
      <c r="BX444">
        <f>IF($BV444="","",IFERROR(VLOOKUP($BV444,DECODE!$A$3:$C$8,3,FALSE),"?"))</f>
        <v/>
      </c>
      <c r="BY444">
        <f>IF($BW444="","",IFERROR(VLOOKUP($BV444&amp;"-"&amp;$BW444,DECODE!$E$3:$F$21,2,FALSE),"?"))</f>
        <v/>
      </c>
      <c r="BZ444">
        <f>IF($BU444="","",IFERROR(VALUE(RIGHT($BU444,3)),""))</f>
        <v/>
      </c>
      <c r="CA444">
        <f>IF($X444="","",IFERROR(IF(ISNUMBER($X444),$X444,DATEVALUE(TRIM($X444))),""))</f>
        <v/>
      </c>
      <c r="CB444">
        <f>IF($CA444="","",IF(MONTH($CA444)&gt;=12,"Cold Winter",IF(MONTH($CA444)&gt;=10,"Post-Monsoon",IF(MONTH($CA444)&gt;=6,"Hot Humid",IF(MONTH($CA444)&gt;=3,"Hot Dry","Cold Winter")))))</f>
        <v/>
      </c>
      <c r="CC444">
        <f>IF($BV444="","",IFERROR(VLOOKUP($BV444,DECODE!$A$3:$C$8,2,FALSE),"?"))</f>
        <v/>
      </c>
      <c r="CD444">
        <f>IF($S444="","",UPPER(TRIM(LEFT($S444&amp;",",FIND(",",$S444&amp;",")-1))))</f>
        <v/>
      </c>
      <c r="CE444">
        <f>IF($CD444="","",MID($CD444,4,FIND("~",SUBSTITUTE($CD444,"-","~",2))-4))</f>
        <v/>
      </c>
      <c r="CF444">
        <f>IF($CD444="","",MID($CD444,FIND("~",SUBSTITUTE($CD444,"-","~",2))+1,FIND("~",SUBSTITUTE($CD444,"-","~",3))-FIND("~",SUBSTITUTE($CD444,"-","~",2))-1))</f>
        <v/>
      </c>
      <c r="CG444">
        <f>IF($CE444="","",IFERROR(VLOOKUP($CE444,DECODE!$A$3:$C$8,3,FALSE),"?"))</f>
        <v/>
      </c>
      <c r="CH444">
        <f>IF($CF444="","",IFERROR(VLOOKUP($CE444&amp;"-"&amp;$CF444,DECODE!$E$3:$F$21,2,FALSE),"?"))</f>
        <v/>
      </c>
      <c r="CI444">
        <f>IF($CD444="","",IFERROR(VALUE(RIGHT($CD444,3)),""))</f>
        <v/>
      </c>
      <c r="CJ444">
        <f>IF($Y444="","",IFERROR(IF(ISNUMBER($Y444),$Y444,DATEVALUE(TRIM($Y444))),""))</f>
        <v/>
      </c>
      <c r="CK444">
        <f>IF($CJ444="","",IF(MONTH($CJ444)&gt;=12,"Cold Winter",IF(MONTH($CJ444)&gt;=10,"Post-Monsoon",IF(MONTH($CJ444)&gt;=6,"Hot Humid",IF(MONTH($CJ444)&gt;=3,"Hot Dry","Cold Winter")))))</f>
        <v/>
      </c>
      <c r="CL444">
        <f>IF($CE444="","",IFERROR(VLOOKUP($CE444,DECODE!$A$3:$C$8,2,FALSE),"?"))</f>
        <v/>
      </c>
      <c r="CM444">
        <f>IF($AN444="","",AN444)</f>
        <v/>
      </c>
      <c r="CN444">
        <f>IF($AO444="","",AO444)</f>
        <v/>
      </c>
      <c r="CO444">
        <f>IF($AP444="","",AP444)</f>
        <v/>
      </c>
      <c r="CP444">
        <f>IF($CM444="","",IF($CM444="Aloe Vera Gel","Aloe Vera Gel "&amp;$CO444&amp;"g",CN444&amp;" "&amp;$CO444&amp;"g"))</f>
        <v/>
      </c>
      <c r="CQ444">
        <f>IF($AT444="",0,1)</f>
        <v/>
      </c>
      <c r="CR444">
        <f>IF($CQ444=0,"",AW444)</f>
        <v/>
      </c>
      <c r="CS444">
        <f>IF($CQ444=0,"",AX444)</f>
        <v/>
      </c>
      <c r="CT444">
        <f>IF($CQ444=0,"",AY444)</f>
        <v/>
      </c>
      <c r="CU444">
        <f>IF($CR444="","",IF($CR444="Aloe Vera Gel","Aloe Vera Gel "&amp;$CT444&amp;"g",CS444&amp;" "&amp;$CT444&amp;"g"))</f>
        <v/>
      </c>
      <c r="CV444">
        <f>IF($CQ444=0,"",IF($CP444=$CU444,"Repeat Exact",IF($CT444&gt;$CO444,"Upsized",IF($CT444&lt;$CO444,"Downsized",IF($CM444&lt;&gt;$CR444,"Lateral","Same Size Diff Variant")))))</f>
        <v/>
      </c>
      <c r="CW444">
        <f>IF($CQ444=0,"",AZ444-AQ444)</f>
        <v/>
      </c>
      <c r="CX444">
        <f>IF($CQ444=0,0,IF(CS444=CN444,1,0))</f>
        <v/>
      </c>
      <c r="CY444">
        <f>IF($CQ444=0,0,IF(CR444=CM444,1,0))</f>
        <v/>
      </c>
      <c r="CZ444">
        <f>IF($A444="","",IF(AND(IF(DASHBOARD!$C$4="All",TRUE,$CM444=DASHBOARD!$C$4),IF(DASHBOARD!$C$6="All",TRUE,$CP444=DASHBOARD!$C$6),IF(DASHBOARD!$C$8="All",TRUE,$AF444&gt;=DASHBOARD!$C$8),IF(DASHBOARD!$C$10="All",TRUE,$AF444&lt;=DASHBOARD!$C$10),IF(DASHBOARD!$C$12="All",TRUE,$AH444=VALUE(DASHBOARD!$C$12)),IF(DASHBOARD!$C$14="All",TRUE,$AJ444=DASHBOARD!$C$14)),1,0))</f>
        <v/>
      </c>
    </row>
    <row r="445">
      <c r="A445" t="n">
        <v>213472</v>
      </c>
      <c r="B445" t="inlineStr">
        <is>
          <t>Active Gel</t>
        </is>
      </c>
      <c r="H445" t="inlineStr">
        <is>
          <t>Active Orange Kiwi Vit-C Gel</t>
        </is>
      </c>
      <c r="N445" t="inlineStr">
        <is>
          <t>FC-AC-OK-050</t>
        </is>
      </c>
      <c r="T445" t="inlineStr">
        <is>
          <t>Jul 1, 2026</t>
        </is>
      </c>
      <c r="AE445" t="inlineStr">
        <is>
          <t>Mumbai</t>
        </is>
      </c>
      <c r="AF445" t="inlineStr">
        <is>
          <t>2026-07</t>
        </is>
      </c>
      <c r="AG445" t="n">
        <v>7</v>
      </c>
      <c r="AH445" t="n">
        <v>1</v>
      </c>
      <c r="AI445" t="n">
        <v>0</v>
      </c>
      <c r="AJ445">
        <f>IF($AE445="","",IFERROR(VLOOKUP(TRIM($AE445),DECODE!$H$3:$I$60,2,FALSE),"Rest of India"))</f>
        <v/>
      </c>
      <c r="AK445">
        <f>IF($N445="","",UPPER(TRIM(LEFT($N445&amp;",",FIND(",",$N445&amp;",")-1))))</f>
        <v/>
      </c>
      <c r="AL445">
        <f>IF($AK445="","",MID($AK445,4,FIND("~",SUBSTITUTE($AK445,"-","~",2))-4))</f>
        <v/>
      </c>
      <c r="AM445">
        <f>IF($AK445="","",MID($AK445,FIND("~",SUBSTITUTE($AK445,"-","~",2))+1,FIND("~",SUBSTITUTE($AK445,"-","~",3))-FIND("~",SUBSTITUTE($AK445,"-","~",2))-1))</f>
        <v/>
      </c>
      <c r="AN445">
        <f>IF($AL445="","",IFERROR(VLOOKUP($AL445,DECODE!$A$3:$C$8,3,FALSE),"?"))</f>
        <v/>
      </c>
      <c r="AO445">
        <f>IF($AM445="","",IFERROR(VLOOKUP($AL445&amp;"-"&amp;$AM445,DECODE!$E$3:$F$21,2,FALSE),"?"))</f>
        <v/>
      </c>
      <c r="AP445">
        <f>IF($AK445="","",IFERROR(VALUE(RIGHT($AK445,3)),""))</f>
        <v/>
      </c>
      <c r="AQ445">
        <f>IF($T445="","",IFERROR(IF(ISNUMBER($T445),$T445,DATEVALUE(TRIM($T445))),""))</f>
        <v/>
      </c>
      <c r="AR445">
        <f>IF($AQ445="","",IF(MONTH($AQ445)&gt;=12,"Cold Winter",IF(MONTH($AQ445)&gt;=10,"Post-Monsoon",IF(MONTH($AQ445)&gt;=6,"Hot Humid",IF(MONTH($AQ445)&gt;=3,"Hot Dry","Cold Winter")))))</f>
        <v/>
      </c>
      <c r="AS445">
        <f>IF($AL445="","",IFERROR(VLOOKUP($AL445,DECODE!$A$3:$C$8,2,FALSE),"?"))</f>
        <v/>
      </c>
      <c r="AT445">
        <f>IF($O445="","",UPPER(TRIM(LEFT($O445&amp;",",FIND(",",$O445&amp;",")-1))))</f>
        <v/>
      </c>
      <c r="AU445">
        <f>IF($AT445="","",MID($AT445,4,FIND("~",SUBSTITUTE($AT445,"-","~",2))-4))</f>
        <v/>
      </c>
      <c r="AV445">
        <f>IF($AT445="","",MID($AT445,FIND("~",SUBSTITUTE($AT445,"-","~",2))+1,FIND("~",SUBSTITUTE($AT445,"-","~",3))-FIND("~",SUBSTITUTE($AT445,"-","~",2))-1))</f>
        <v/>
      </c>
      <c r="AW445">
        <f>IF($AU445="","",IFERROR(VLOOKUP($AU445,DECODE!$A$3:$C$8,3,FALSE),"?"))</f>
        <v/>
      </c>
      <c r="AX445">
        <f>IF($AV445="","",IFERROR(VLOOKUP($AU445&amp;"-"&amp;$AV445,DECODE!$E$3:$F$21,2,FALSE),"?"))</f>
        <v/>
      </c>
      <c r="AY445">
        <f>IF($AT445="","",IFERROR(VALUE(RIGHT($AT445,3)),""))</f>
        <v/>
      </c>
      <c r="AZ445">
        <f>IF($U445="","",IFERROR(IF(ISNUMBER($U445),$U445,DATEVALUE(TRIM($U445))),""))</f>
        <v/>
      </c>
      <c r="BA445">
        <f>IF($AZ445="","",IF(MONTH($AZ445)&gt;=12,"Cold Winter",IF(MONTH($AZ445)&gt;=10,"Post-Monsoon",IF(MONTH($AZ445)&gt;=6,"Hot Humid",IF(MONTH($AZ445)&gt;=3,"Hot Dry","Cold Winter")))))</f>
        <v/>
      </c>
      <c r="BB445">
        <f>IF($AU445="","",IFERROR(VLOOKUP($AU445,DECODE!$A$3:$C$8,2,FALSE),"?"))</f>
        <v/>
      </c>
      <c r="BC445">
        <f>IF($P445="","",UPPER(TRIM(LEFT($P445&amp;",",FIND(",",$P445&amp;",")-1))))</f>
        <v/>
      </c>
      <c r="BD445">
        <f>IF($BC445="","",MID($BC445,4,FIND("~",SUBSTITUTE($BC445,"-","~",2))-4))</f>
        <v/>
      </c>
      <c r="BE445">
        <f>IF($BC445="","",MID($BC445,FIND("~",SUBSTITUTE($BC445,"-","~",2))+1,FIND("~",SUBSTITUTE($BC445,"-","~",3))-FIND("~",SUBSTITUTE($BC445,"-","~",2))-1))</f>
        <v/>
      </c>
      <c r="BF445">
        <f>IF($BD445="","",IFERROR(VLOOKUP($BD445,DECODE!$A$3:$C$8,3,FALSE),"?"))</f>
        <v/>
      </c>
      <c r="BG445">
        <f>IF($BE445="","",IFERROR(VLOOKUP($BD445&amp;"-"&amp;$BE445,DECODE!$E$3:$F$21,2,FALSE),"?"))</f>
        <v/>
      </c>
      <c r="BH445">
        <f>IF($BC445="","",IFERROR(VALUE(RIGHT($BC445,3)),""))</f>
        <v/>
      </c>
      <c r="BI445">
        <f>IF($V445="","",IFERROR(IF(ISNUMBER($V445),$V445,DATEVALUE(TRIM($V445))),""))</f>
        <v/>
      </c>
      <c r="BJ445">
        <f>IF($BI445="","",IF(MONTH($BI445)&gt;=12,"Cold Winter",IF(MONTH($BI445)&gt;=10,"Post-Monsoon",IF(MONTH($BI445)&gt;=6,"Hot Humid",IF(MONTH($BI445)&gt;=3,"Hot Dry","Cold Winter")))))</f>
        <v/>
      </c>
      <c r="BK445">
        <f>IF($BD445="","",IFERROR(VLOOKUP($BD445,DECODE!$A$3:$C$8,2,FALSE),"?"))</f>
        <v/>
      </c>
      <c r="BL445">
        <f>IF($Q445="","",UPPER(TRIM(LEFT($Q445&amp;",",FIND(",",$Q445&amp;",")-1))))</f>
        <v/>
      </c>
      <c r="BM445">
        <f>IF($BL445="","",MID($BL445,4,FIND("~",SUBSTITUTE($BL445,"-","~",2))-4))</f>
        <v/>
      </c>
      <c r="BN445">
        <f>IF($BL445="","",MID($BL445,FIND("~",SUBSTITUTE($BL445,"-","~",2))+1,FIND("~",SUBSTITUTE($BL445,"-","~",3))-FIND("~",SUBSTITUTE($BL445,"-","~",2))-1))</f>
        <v/>
      </c>
      <c r="BO445">
        <f>IF($BM445="","",IFERROR(VLOOKUP($BM445,DECODE!$A$3:$C$8,3,FALSE),"?"))</f>
        <v/>
      </c>
      <c r="BP445">
        <f>IF($BN445="","",IFERROR(VLOOKUP($BM445&amp;"-"&amp;$BN445,DECODE!$E$3:$F$21,2,FALSE),"?"))</f>
        <v/>
      </c>
      <c r="BQ445">
        <f>IF($BL445="","",IFERROR(VALUE(RIGHT($BL445,3)),""))</f>
        <v/>
      </c>
      <c r="BR445">
        <f>IF($W445="","",IFERROR(IF(ISNUMBER($W445),$W445,DATEVALUE(TRIM($W445))),""))</f>
        <v/>
      </c>
      <c r="BS445">
        <f>IF($BR445="","",IF(MONTH($BR445)&gt;=12,"Cold Winter",IF(MONTH($BR445)&gt;=10,"Post-Monsoon",IF(MONTH($BR445)&gt;=6,"Hot Humid",IF(MONTH($BR445)&gt;=3,"Hot Dry","Cold Winter")))))</f>
        <v/>
      </c>
      <c r="BT445">
        <f>IF($BM445="","",IFERROR(VLOOKUP($BM445,DECODE!$A$3:$C$8,2,FALSE),"?"))</f>
        <v/>
      </c>
      <c r="BU445">
        <f>IF($R445="","",UPPER(TRIM(LEFT($R445&amp;",",FIND(",",$R445&amp;",")-1))))</f>
        <v/>
      </c>
      <c r="BV445">
        <f>IF($BU445="","",MID($BU445,4,FIND("~",SUBSTITUTE($BU445,"-","~",2))-4))</f>
        <v/>
      </c>
      <c r="BW445">
        <f>IF($BU445="","",MID($BU445,FIND("~",SUBSTITUTE($BU445,"-","~",2))+1,FIND("~",SUBSTITUTE($BU445,"-","~",3))-FIND("~",SUBSTITUTE($BU445,"-","~",2))-1))</f>
        <v/>
      </c>
      <c r="BX445">
        <f>IF($BV445="","",IFERROR(VLOOKUP($BV445,DECODE!$A$3:$C$8,3,FALSE),"?"))</f>
        <v/>
      </c>
      <c r="BY445">
        <f>IF($BW445="","",IFERROR(VLOOKUP($BV445&amp;"-"&amp;$BW445,DECODE!$E$3:$F$21,2,FALSE),"?"))</f>
        <v/>
      </c>
      <c r="BZ445">
        <f>IF($BU445="","",IFERROR(VALUE(RIGHT($BU445,3)),""))</f>
        <v/>
      </c>
      <c r="CA445">
        <f>IF($X445="","",IFERROR(IF(ISNUMBER($X445),$X445,DATEVALUE(TRIM($X445))),""))</f>
        <v/>
      </c>
      <c r="CB445">
        <f>IF($CA445="","",IF(MONTH($CA445)&gt;=12,"Cold Winter",IF(MONTH($CA445)&gt;=10,"Post-Monsoon",IF(MONTH($CA445)&gt;=6,"Hot Humid",IF(MONTH($CA445)&gt;=3,"Hot Dry","Cold Winter")))))</f>
        <v/>
      </c>
      <c r="CC445">
        <f>IF($BV445="","",IFERROR(VLOOKUP($BV445,DECODE!$A$3:$C$8,2,FALSE),"?"))</f>
        <v/>
      </c>
      <c r="CD445">
        <f>IF($S445="","",UPPER(TRIM(LEFT($S445&amp;",",FIND(",",$S445&amp;",")-1))))</f>
        <v/>
      </c>
      <c r="CE445">
        <f>IF($CD445="","",MID($CD445,4,FIND("~",SUBSTITUTE($CD445,"-","~",2))-4))</f>
        <v/>
      </c>
      <c r="CF445">
        <f>IF($CD445="","",MID($CD445,FIND("~",SUBSTITUTE($CD445,"-","~",2))+1,FIND("~",SUBSTITUTE($CD445,"-","~",3))-FIND("~",SUBSTITUTE($CD445,"-","~",2))-1))</f>
        <v/>
      </c>
      <c r="CG445">
        <f>IF($CE445="","",IFERROR(VLOOKUP($CE445,DECODE!$A$3:$C$8,3,FALSE),"?"))</f>
        <v/>
      </c>
      <c r="CH445">
        <f>IF($CF445="","",IFERROR(VLOOKUP($CE445&amp;"-"&amp;$CF445,DECODE!$E$3:$F$21,2,FALSE),"?"))</f>
        <v/>
      </c>
      <c r="CI445">
        <f>IF($CD445="","",IFERROR(VALUE(RIGHT($CD445,3)),""))</f>
        <v/>
      </c>
      <c r="CJ445">
        <f>IF($Y445="","",IFERROR(IF(ISNUMBER($Y445),$Y445,DATEVALUE(TRIM($Y445))),""))</f>
        <v/>
      </c>
      <c r="CK445">
        <f>IF($CJ445="","",IF(MONTH($CJ445)&gt;=12,"Cold Winter",IF(MONTH($CJ445)&gt;=10,"Post-Monsoon",IF(MONTH($CJ445)&gt;=6,"Hot Humid",IF(MONTH($CJ445)&gt;=3,"Hot Dry","Cold Winter")))))</f>
        <v/>
      </c>
      <c r="CL445">
        <f>IF($CE445="","",IFERROR(VLOOKUP($CE445,DECODE!$A$3:$C$8,2,FALSE),"?"))</f>
        <v/>
      </c>
      <c r="CM445">
        <f>IF($AN445="","",AN445)</f>
        <v/>
      </c>
      <c r="CN445">
        <f>IF($AO445="","",AO445)</f>
        <v/>
      </c>
      <c r="CO445">
        <f>IF($AP445="","",AP445)</f>
        <v/>
      </c>
      <c r="CP445">
        <f>IF($CM445="","",IF($CM445="Aloe Vera Gel","Aloe Vera Gel "&amp;$CO445&amp;"g",CN445&amp;" "&amp;$CO445&amp;"g"))</f>
        <v/>
      </c>
      <c r="CQ445">
        <f>IF($AT445="",0,1)</f>
        <v/>
      </c>
      <c r="CR445">
        <f>IF($CQ445=0,"",AW445)</f>
        <v/>
      </c>
      <c r="CS445">
        <f>IF($CQ445=0,"",AX445)</f>
        <v/>
      </c>
      <c r="CT445">
        <f>IF($CQ445=0,"",AY445)</f>
        <v/>
      </c>
      <c r="CU445">
        <f>IF($CR445="","",IF($CR445="Aloe Vera Gel","Aloe Vera Gel "&amp;$CT445&amp;"g",CS445&amp;" "&amp;$CT445&amp;"g"))</f>
        <v/>
      </c>
      <c r="CV445">
        <f>IF($CQ445=0,"",IF($CP445=$CU445,"Repeat Exact",IF($CT445&gt;$CO445,"Upsized",IF($CT445&lt;$CO445,"Downsized",IF($CM445&lt;&gt;$CR445,"Lateral","Same Size Diff Variant")))))</f>
        <v/>
      </c>
      <c r="CW445">
        <f>IF($CQ445=0,"",AZ445-AQ445)</f>
        <v/>
      </c>
      <c r="CX445">
        <f>IF($CQ445=0,0,IF(CS445=CN445,1,0))</f>
        <v/>
      </c>
      <c r="CY445">
        <f>IF($CQ445=0,0,IF(CR445=CM445,1,0))</f>
        <v/>
      </c>
      <c r="CZ445">
        <f>IF($A445="","",IF(AND(IF(DASHBOARD!$C$4="All",TRUE,$CM445=DASHBOARD!$C$4),IF(DASHBOARD!$C$6="All",TRUE,$CP445=DASHBOARD!$C$6),IF(DASHBOARD!$C$8="All",TRUE,$AF445&gt;=DASHBOARD!$C$8),IF(DASHBOARD!$C$10="All",TRUE,$AF445&lt;=DASHBOARD!$C$10),IF(DASHBOARD!$C$12="All",TRUE,$AH445=VALUE(DASHBOARD!$C$12)),IF(DASHBOARD!$C$14="All",TRUE,$AJ445=DASHBOARD!$C$14)),1,0))</f>
        <v/>
      </c>
    </row>
    <row r="446">
      <c r="A446" t="n">
        <v>213698</v>
      </c>
      <c r="B446" t="inlineStr">
        <is>
          <t>Active Gel</t>
        </is>
      </c>
      <c r="H446" t="inlineStr">
        <is>
          <t>Active Neem TeaTree Gel</t>
        </is>
      </c>
      <c r="N446" t="inlineStr">
        <is>
          <t>FC-AC-NT-050</t>
        </is>
      </c>
      <c r="T446" t="inlineStr">
        <is>
          <t>Jan 22, 2025</t>
        </is>
      </c>
      <c r="AE446" t="inlineStr">
        <is>
          <t>Bengaluru</t>
        </is>
      </c>
      <c r="AF446" t="inlineStr">
        <is>
          <t>2025-01</t>
        </is>
      </c>
      <c r="AG446" t="n">
        <v>1</v>
      </c>
      <c r="AH446" t="n">
        <v>1</v>
      </c>
      <c r="AI446" t="n">
        <v>0</v>
      </c>
      <c r="AJ446">
        <f>IF($AE446="","",IFERROR(VLOOKUP(TRIM($AE446),DECODE!$H$3:$I$60,2,FALSE),"Rest of India"))</f>
        <v/>
      </c>
      <c r="AK446">
        <f>IF($N446="","",UPPER(TRIM(LEFT($N446&amp;",",FIND(",",$N446&amp;",")-1))))</f>
        <v/>
      </c>
      <c r="AL446">
        <f>IF($AK446="","",MID($AK446,4,FIND("~",SUBSTITUTE($AK446,"-","~",2))-4))</f>
        <v/>
      </c>
      <c r="AM446">
        <f>IF($AK446="","",MID($AK446,FIND("~",SUBSTITUTE($AK446,"-","~",2))+1,FIND("~",SUBSTITUTE($AK446,"-","~",3))-FIND("~",SUBSTITUTE($AK446,"-","~",2))-1))</f>
        <v/>
      </c>
      <c r="AN446">
        <f>IF($AL446="","",IFERROR(VLOOKUP($AL446,DECODE!$A$3:$C$8,3,FALSE),"?"))</f>
        <v/>
      </c>
      <c r="AO446">
        <f>IF($AM446="","",IFERROR(VLOOKUP($AL446&amp;"-"&amp;$AM446,DECODE!$E$3:$F$21,2,FALSE),"?"))</f>
        <v/>
      </c>
      <c r="AP446">
        <f>IF($AK446="","",IFERROR(VALUE(RIGHT($AK446,3)),""))</f>
        <v/>
      </c>
      <c r="AQ446">
        <f>IF($T446="","",IFERROR(IF(ISNUMBER($T446),$T446,DATEVALUE(TRIM($T446))),""))</f>
        <v/>
      </c>
      <c r="AR446">
        <f>IF($AQ446="","",IF(MONTH($AQ446)&gt;=12,"Cold Winter",IF(MONTH($AQ446)&gt;=10,"Post-Monsoon",IF(MONTH($AQ446)&gt;=6,"Hot Humid",IF(MONTH($AQ446)&gt;=3,"Hot Dry","Cold Winter")))))</f>
        <v/>
      </c>
      <c r="AS446">
        <f>IF($AL446="","",IFERROR(VLOOKUP($AL446,DECODE!$A$3:$C$8,2,FALSE),"?"))</f>
        <v/>
      </c>
      <c r="AT446">
        <f>IF($O446="","",UPPER(TRIM(LEFT($O446&amp;",",FIND(",",$O446&amp;",")-1))))</f>
        <v/>
      </c>
      <c r="AU446">
        <f>IF($AT446="","",MID($AT446,4,FIND("~",SUBSTITUTE($AT446,"-","~",2))-4))</f>
        <v/>
      </c>
      <c r="AV446">
        <f>IF($AT446="","",MID($AT446,FIND("~",SUBSTITUTE($AT446,"-","~",2))+1,FIND("~",SUBSTITUTE($AT446,"-","~",3))-FIND("~",SUBSTITUTE($AT446,"-","~",2))-1))</f>
        <v/>
      </c>
      <c r="AW446">
        <f>IF($AU446="","",IFERROR(VLOOKUP($AU446,DECODE!$A$3:$C$8,3,FALSE),"?"))</f>
        <v/>
      </c>
      <c r="AX446">
        <f>IF($AV446="","",IFERROR(VLOOKUP($AU446&amp;"-"&amp;$AV446,DECODE!$E$3:$F$21,2,FALSE),"?"))</f>
        <v/>
      </c>
      <c r="AY446">
        <f>IF($AT446="","",IFERROR(VALUE(RIGHT($AT446,3)),""))</f>
        <v/>
      </c>
      <c r="AZ446">
        <f>IF($U446="","",IFERROR(IF(ISNUMBER($U446),$U446,DATEVALUE(TRIM($U446))),""))</f>
        <v/>
      </c>
      <c r="BA446">
        <f>IF($AZ446="","",IF(MONTH($AZ446)&gt;=12,"Cold Winter",IF(MONTH($AZ446)&gt;=10,"Post-Monsoon",IF(MONTH($AZ446)&gt;=6,"Hot Humid",IF(MONTH($AZ446)&gt;=3,"Hot Dry","Cold Winter")))))</f>
        <v/>
      </c>
      <c r="BB446">
        <f>IF($AU446="","",IFERROR(VLOOKUP($AU446,DECODE!$A$3:$C$8,2,FALSE),"?"))</f>
        <v/>
      </c>
      <c r="BC446">
        <f>IF($P446="","",UPPER(TRIM(LEFT($P446&amp;",",FIND(",",$P446&amp;",")-1))))</f>
        <v/>
      </c>
      <c r="BD446">
        <f>IF($BC446="","",MID($BC446,4,FIND("~",SUBSTITUTE($BC446,"-","~",2))-4))</f>
        <v/>
      </c>
      <c r="BE446">
        <f>IF($BC446="","",MID($BC446,FIND("~",SUBSTITUTE($BC446,"-","~",2))+1,FIND("~",SUBSTITUTE($BC446,"-","~",3))-FIND("~",SUBSTITUTE($BC446,"-","~",2))-1))</f>
        <v/>
      </c>
      <c r="BF446">
        <f>IF($BD446="","",IFERROR(VLOOKUP($BD446,DECODE!$A$3:$C$8,3,FALSE),"?"))</f>
        <v/>
      </c>
      <c r="BG446">
        <f>IF($BE446="","",IFERROR(VLOOKUP($BD446&amp;"-"&amp;$BE446,DECODE!$E$3:$F$21,2,FALSE),"?"))</f>
        <v/>
      </c>
      <c r="BH446">
        <f>IF($BC446="","",IFERROR(VALUE(RIGHT($BC446,3)),""))</f>
        <v/>
      </c>
      <c r="BI446">
        <f>IF($V446="","",IFERROR(IF(ISNUMBER($V446),$V446,DATEVALUE(TRIM($V446))),""))</f>
        <v/>
      </c>
      <c r="BJ446">
        <f>IF($BI446="","",IF(MONTH($BI446)&gt;=12,"Cold Winter",IF(MONTH($BI446)&gt;=10,"Post-Monsoon",IF(MONTH($BI446)&gt;=6,"Hot Humid",IF(MONTH($BI446)&gt;=3,"Hot Dry","Cold Winter")))))</f>
        <v/>
      </c>
      <c r="BK446">
        <f>IF($BD446="","",IFERROR(VLOOKUP($BD446,DECODE!$A$3:$C$8,2,FALSE),"?"))</f>
        <v/>
      </c>
      <c r="BL446">
        <f>IF($Q446="","",UPPER(TRIM(LEFT($Q446&amp;",",FIND(",",$Q446&amp;",")-1))))</f>
        <v/>
      </c>
      <c r="BM446">
        <f>IF($BL446="","",MID($BL446,4,FIND("~",SUBSTITUTE($BL446,"-","~",2))-4))</f>
        <v/>
      </c>
      <c r="BN446">
        <f>IF($BL446="","",MID($BL446,FIND("~",SUBSTITUTE($BL446,"-","~",2))+1,FIND("~",SUBSTITUTE($BL446,"-","~",3))-FIND("~",SUBSTITUTE($BL446,"-","~",2))-1))</f>
        <v/>
      </c>
      <c r="BO446">
        <f>IF($BM446="","",IFERROR(VLOOKUP($BM446,DECODE!$A$3:$C$8,3,FALSE),"?"))</f>
        <v/>
      </c>
      <c r="BP446">
        <f>IF($BN446="","",IFERROR(VLOOKUP($BM446&amp;"-"&amp;$BN446,DECODE!$E$3:$F$21,2,FALSE),"?"))</f>
        <v/>
      </c>
      <c r="BQ446">
        <f>IF($BL446="","",IFERROR(VALUE(RIGHT($BL446,3)),""))</f>
        <v/>
      </c>
      <c r="BR446">
        <f>IF($W446="","",IFERROR(IF(ISNUMBER($W446),$W446,DATEVALUE(TRIM($W446))),""))</f>
        <v/>
      </c>
      <c r="BS446">
        <f>IF($BR446="","",IF(MONTH($BR446)&gt;=12,"Cold Winter",IF(MONTH($BR446)&gt;=10,"Post-Monsoon",IF(MONTH($BR446)&gt;=6,"Hot Humid",IF(MONTH($BR446)&gt;=3,"Hot Dry","Cold Winter")))))</f>
        <v/>
      </c>
      <c r="BT446">
        <f>IF($BM446="","",IFERROR(VLOOKUP($BM446,DECODE!$A$3:$C$8,2,FALSE),"?"))</f>
        <v/>
      </c>
      <c r="BU446">
        <f>IF($R446="","",UPPER(TRIM(LEFT($R446&amp;",",FIND(",",$R446&amp;",")-1))))</f>
        <v/>
      </c>
      <c r="BV446">
        <f>IF($BU446="","",MID($BU446,4,FIND("~",SUBSTITUTE($BU446,"-","~",2))-4))</f>
        <v/>
      </c>
      <c r="BW446">
        <f>IF($BU446="","",MID($BU446,FIND("~",SUBSTITUTE($BU446,"-","~",2))+1,FIND("~",SUBSTITUTE($BU446,"-","~",3))-FIND("~",SUBSTITUTE($BU446,"-","~",2))-1))</f>
        <v/>
      </c>
      <c r="BX446">
        <f>IF($BV446="","",IFERROR(VLOOKUP($BV446,DECODE!$A$3:$C$8,3,FALSE),"?"))</f>
        <v/>
      </c>
      <c r="BY446">
        <f>IF($BW446="","",IFERROR(VLOOKUP($BV446&amp;"-"&amp;$BW446,DECODE!$E$3:$F$21,2,FALSE),"?"))</f>
        <v/>
      </c>
      <c r="BZ446">
        <f>IF($BU446="","",IFERROR(VALUE(RIGHT($BU446,3)),""))</f>
        <v/>
      </c>
      <c r="CA446">
        <f>IF($X446="","",IFERROR(IF(ISNUMBER($X446),$X446,DATEVALUE(TRIM($X446))),""))</f>
        <v/>
      </c>
      <c r="CB446">
        <f>IF($CA446="","",IF(MONTH($CA446)&gt;=12,"Cold Winter",IF(MONTH($CA446)&gt;=10,"Post-Monsoon",IF(MONTH($CA446)&gt;=6,"Hot Humid",IF(MONTH($CA446)&gt;=3,"Hot Dry","Cold Winter")))))</f>
        <v/>
      </c>
      <c r="CC446">
        <f>IF($BV446="","",IFERROR(VLOOKUP($BV446,DECODE!$A$3:$C$8,2,FALSE),"?"))</f>
        <v/>
      </c>
      <c r="CD446">
        <f>IF($S446="","",UPPER(TRIM(LEFT($S446&amp;",",FIND(",",$S446&amp;",")-1))))</f>
        <v/>
      </c>
      <c r="CE446">
        <f>IF($CD446="","",MID($CD446,4,FIND("~",SUBSTITUTE($CD446,"-","~",2))-4))</f>
        <v/>
      </c>
      <c r="CF446">
        <f>IF($CD446="","",MID($CD446,FIND("~",SUBSTITUTE($CD446,"-","~",2))+1,FIND("~",SUBSTITUTE($CD446,"-","~",3))-FIND("~",SUBSTITUTE($CD446,"-","~",2))-1))</f>
        <v/>
      </c>
      <c r="CG446">
        <f>IF($CE446="","",IFERROR(VLOOKUP($CE446,DECODE!$A$3:$C$8,3,FALSE),"?"))</f>
        <v/>
      </c>
      <c r="CH446">
        <f>IF($CF446="","",IFERROR(VLOOKUP($CE446&amp;"-"&amp;$CF446,DECODE!$E$3:$F$21,2,FALSE),"?"))</f>
        <v/>
      </c>
      <c r="CI446">
        <f>IF($CD446="","",IFERROR(VALUE(RIGHT($CD446,3)),""))</f>
        <v/>
      </c>
      <c r="CJ446">
        <f>IF($Y446="","",IFERROR(IF(ISNUMBER($Y446),$Y446,DATEVALUE(TRIM($Y446))),""))</f>
        <v/>
      </c>
      <c r="CK446">
        <f>IF($CJ446="","",IF(MONTH($CJ446)&gt;=12,"Cold Winter",IF(MONTH($CJ446)&gt;=10,"Post-Monsoon",IF(MONTH($CJ446)&gt;=6,"Hot Humid",IF(MONTH($CJ446)&gt;=3,"Hot Dry","Cold Winter")))))</f>
        <v/>
      </c>
      <c r="CL446">
        <f>IF($CE446="","",IFERROR(VLOOKUP($CE446,DECODE!$A$3:$C$8,2,FALSE),"?"))</f>
        <v/>
      </c>
      <c r="CM446">
        <f>IF($AN446="","",AN446)</f>
        <v/>
      </c>
      <c r="CN446">
        <f>IF($AO446="","",AO446)</f>
        <v/>
      </c>
      <c r="CO446">
        <f>IF($AP446="","",AP446)</f>
        <v/>
      </c>
      <c r="CP446">
        <f>IF($CM446="","",IF($CM446="Aloe Vera Gel","Aloe Vera Gel "&amp;$CO446&amp;"g",CN446&amp;" "&amp;$CO446&amp;"g"))</f>
        <v/>
      </c>
      <c r="CQ446">
        <f>IF($AT446="",0,1)</f>
        <v/>
      </c>
      <c r="CR446">
        <f>IF($CQ446=0,"",AW446)</f>
        <v/>
      </c>
      <c r="CS446">
        <f>IF($CQ446=0,"",AX446)</f>
        <v/>
      </c>
      <c r="CT446">
        <f>IF($CQ446=0,"",AY446)</f>
        <v/>
      </c>
      <c r="CU446">
        <f>IF($CR446="","",IF($CR446="Aloe Vera Gel","Aloe Vera Gel "&amp;$CT446&amp;"g",CS446&amp;" "&amp;$CT446&amp;"g"))</f>
        <v/>
      </c>
      <c r="CV446">
        <f>IF($CQ446=0,"",IF($CP446=$CU446,"Repeat Exact",IF($CT446&gt;$CO446,"Upsized",IF($CT446&lt;$CO446,"Downsized",IF($CM446&lt;&gt;$CR446,"Lateral","Same Size Diff Variant")))))</f>
        <v/>
      </c>
      <c r="CW446">
        <f>IF($CQ446=0,"",AZ446-AQ446)</f>
        <v/>
      </c>
      <c r="CX446">
        <f>IF($CQ446=0,0,IF(CS446=CN446,1,0))</f>
        <v/>
      </c>
      <c r="CY446">
        <f>IF($CQ446=0,0,IF(CR446=CM446,1,0))</f>
        <v/>
      </c>
      <c r="CZ446">
        <f>IF($A446="","",IF(AND(IF(DASHBOARD!$C$4="All",TRUE,$CM446=DASHBOARD!$C$4),IF(DASHBOARD!$C$6="All",TRUE,$CP446=DASHBOARD!$C$6),IF(DASHBOARD!$C$8="All",TRUE,$AF446&gt;=DASHBOARD!$C$8),IF(DASHBOARD!$C$10="All",TRUE,$AF446&lt;=DASHBOARD!$C$10),IF(DASHBOARD!$C$12="All",TRUE,$AH446=VALUE(DASHBOARD!$C$12)),IF(DASHBOARD!$C$14="All",TRUE,$AJ446=DASHBOARD!$C$14)),1,0))</f>
        <v/>
      </c>
    </row>
    <row r="447">
      <c r="A447" t="n">
        <v>213778</v>
      </c>
      <c r="B447" t="inlineStr">
        <is>
          <t>Face Malai</t>
        </is>
      </c>
      <c r="H447" t="inlineStr">
        <is>
          <t>Flax Bakuchi (Hot Dry) 35+ Face Malai - 30g</t>
        </is>
      </c>
      <c r="N447" t="inlineStr">
        <is>
          <t>FC-HDDM-FB-030</t>
        </is>
      </c>
      <c r="T447" t="inlineStr">
        <is>
          <t>May 1, 2024</t>
        </is>
      </c>
      <c r="AE447" t="inlineStr">
        <is>
          <t>New Delhi</t>
        </is>
      </c>
      <c r="AF447" t="inlineStr">
        <is>
          <t>2024-05</t>
        </is>
      </c>
      <c r="AG447" t="n">
        <v>5</v>
      </c>
      <c r="AH447" t="n">
        <v>1</v>
      </c>
      <c r="AI447" t="n">
        <v>0</v>
      </c>
      <c r="AJ447">
        <f>IF($AE447="","",IFERROR(VLOOKUP(TRIM($AE447),DECODE!$H$3:$I$60,2,FALSE),"Rest of India"))</f>
        <v/>
      </c>
      <c r="AK447">
        <f>IF($N447="","",UPPER(TRIM(LEFT($N447&amp;",",FIND(",",$N447&amp;",")-1))))</f>
        <v/>
      </c>
      <c r="AL447">
        <f>IF($AK447="","",MID($AK447,4,FIND("~",SUBSTITUTE($AK447,"-","~",2))-4))</f>
        <v/>
      </c>
      <c r="AM447">
        <f>IF($AK447="","",MID($AK447,FIND("~",SUBSTITUTE($AK447,"-","~",2))+1,FIND("~",SUBSTITUTE($AK447,"-","~",3))-FIND("~",SUBSTITUTE($AK447,"-","~",2))-1))</f>
        <v/>
      </c>
      <c r="AN447">
        <f>IF($AL447="","",IFERROR(VLOOKUP($AL447,DECODE!$A$3:$C$8,3,FALSE),"?"))</f>
        <v/>
      </c>
      <c r="AO447">
        <f>IF($AM447="","",IFERROR(VLOOKUP($AL447&amp;"-"&amp;$AM447,DECODE!$E$3:$F$21,2,FALSE),"?"))</f>
        <v/>
      </c>
      <c r="AP447">
        <f>IF($AK447="","",IFERROR(VALUE(RIGHT($AK447,3)),""))</f>
        <v/>
      </c>
      <c r="AQ447">
        <f>IF($T447="","",IFERROR(IF(ISNUMBER($T447),$T447,DATEVALUE(TRIM($T447))),""))</f>
        <v/>
      </c>
      <c r="AR447">
        <f>IF($AQ447="","",IF(MONTH($AQ447)&gt;=12,"Cold Winter",IF(MONTH($AQ447)&gt;=10,"Post-Monsoon",IF(MONTH($AQ447)&gt;=6,"Hot Humid",IF(MONTH($AQ447)&gt;=3,"Hot Dry","Cold Winter")))))</f>
        <v/>
      </c>
      <c r="AS447">
        <f>IF($AL447="","",IFERROR(VLOOKUP($AL447,DECODE!$A$3:$C$8,2,FALSE),"?"))</f>
        <v/>
      </c>
      <c r="AT447">
        <f>IF($O447="","",UPPER(TRIM(LEFT($O447&amp;",",FIND(",",$O447&amp;",")-1))))</f>
        <v/>
      </c>
      <c r="AU447">
        <f>IF($AT447="","",MID($AT447,4,FIND("~",SUBSTITUTE($AT447,"-","~",2))-4))</f>
        <v/>
      </c>
      <c r="AV447">
        <f>IF($AT447="","",MID($AT447,FIND("~",SUBSTITUTE($AT447,"-","~",2))+1,FIND("~",SUBSTITUTE($AT447,"-","~",3))-FIND("~",SUBSTITUTE($AT447,"-","~",2))-1))</f>
        <v/>
      </c>
      <c r="AW447">
        <f>IF($AU447="","",IFERROR(VLOOKUP($AU447,DECODE!$A$3:$C$8,3,FALSE),"?"))</f>
        <v/>
      </c>
      <c r="AX447">
        <f>IF($AV447="","",IFERROR(VLOOKUP($AU447&amp;"-"&amp;$AV447,DECODE!$E$3:$F$21,2,FALSE),"?"))</f>
        <v/>
      </c>
      <c r="AY447">
        <f>IF($AT447="","",IFERROR(VALUE(RIGHT($AT447,3)),""))</f>
        <v/>
      </c>
      <c r="AZ447">
        <f>IF($U447="","",IFERROR(IF(ISNUMBER($U447),$U447,DATEVALUE(TRIM($U447))),""))</f>
        <v/>
      </c>
      <c r="BA447">
        <f>IF($AZ447="","",IF(MONTH($AZ447)&gt;=12,"Cold Winter",IF(MONTH($AZ447)&gt;=10,"Post-Monsoon",IF(MONTH($AZ447)&gt;=6,"Hot Humid",IF(MONTH($AZ447)&gt;=3,"Hot Dry","Cold Winter")))))</f>
        <v/>
      </c>
      <c r="BB447">
        <f>IF($AU447="","",IFERROR(VLOOKUP($AU447,DECODE!$A$3:$C$8,2,FALSE),"?"))</f>
        <v/>
      </c>
      <c r="BC447">
        <f>IF($P447="","",UPPER(TRIM(LEFT($P447&amp;",",FIND(",",$P447&amp;",")-1))))</f>
        <v/>
      </c>
      <c r="BD447">
        <f>IF($BC447="","",MID($BC447,4,FIND("~",SUBSTITUTE($BC447,"-","~",2))-4))</f>
        <v/>
      </c>
      <c r="BE447">
        <f>IF($BC447="","",MID($BC447,FIND("~",SUBSTITUTE($BC447,"-","~",2))+1,FIND("~",SUBSTITUTE($BC447,"-","~",3))-FIND("~",SUBSTITUTE($BC447,"-","~",2))-1))</f>
        <v/>
      </c>
      <c r="BF447">
        <f>IF($BD447="","",IFERROR(VLOOKUP($BD447,DECODE!$A$3:$C$8,3,FALSE),"?"))</f>
        <v/>
      </c>
      <c r="BG447">
        <f>IF($BE447="","",IFERROR(VLOOKUP($BD447&amp;"-"&amp;$BE447,DECODE!$E$3:$F$21,2,FALSE),"?"))</f>
        <v/>
      </c>
      <c r="BH447">
        <f>IF($BC447="","",IFERROR(VALUE(RIGHT($BC447,3)),""))</f>
        <v/>
      </c>
      <c r="BI447">
        <f>IF($V447="","",IFERROR(IF(ISNUMBER($V447),$V447,DATEVALUE(TRIM($V447))),""))</f>
        <v/>
      </c>
      <c r="BJ447">
        <f>IF($BI447="","",IF(MONTH($BI447)&gt;=12,"Cold Winter",IF(MONTH($BI447)&gt;=10,"Post-Monsoon",IF(MONTH($BI447)&gt;=6,"Hot Humid",IF(MONTH($BI447)&gt;=3,"Hot Dry","Cold Winter")))))</f>
        <v/>
      </c>
      <c r="BK447">
        <f>IF($BD447="","",IFERROR(VLOOKUP($BD447,DECODE!$A$3:$C$8,2,FALSE),"?"))</f>
        <v/>
      </c>
      <c r="BL447">
        <f>IF($Q447="","",UPPER(TRIM(LEFT($Q447&amp;",",FIND(",",$Q447&amp;",")-1))))</f>
        <v/>
      </c>
      <c r="BM447">
        <f>IF($BL447="","",MID($BL447,4,FIND("~",SUBSTITUTE($BL447,"-","~",2))-4))</f>
        <v/>
      </c>
      <c r="BN447">
        <f>IF($BL447="","",MID($BL447,FIND("~",SUBSTITUTE($BL447,"-","~",2))+1,FIND("~",SUBSTITUTE($BL447,"-","~",3))-FIND("~",SUBSTITUTE($BL447,"-","~",2))-1))</f>
        <v/>
      </c>
      <c r="BO447">
        <f>IF($BM447="","",IFERROR(VLOOKUP($BM447,DECODE!$A$3:$C$8,3,FALSE),"?"))</f>
        <v/>
      </c>
      <c r="BP447">
        <f>IF($BN447="","",IFERROR(VLOOKUP($BM447&amp;"-"&amp;$BN447,DECODE!$E$3:$F$21,2,FALSE),"?"))</f>
        <v/>
      </c>
      <c r="BQ447">
        <f>IF($BL447="","",IFERROR(VALUE(RIGHT($BL447,3)),""))</f>
        <v/>
      </c>
      <c r="BR447">
        <f>IF($W447="","",IFERROR(IF(ISNUMBER($W447),$W447,DATEVALUE(TRIM($W447))),""))</f>
        <v/>
      </c>
      <c r="BS447">
        <f>IF($BR447="","",IF(MONTH($BR447)&gt;=12,"Cold Winter",IF(MONTH($BR447)&gt;=10,"Post-Monsoon",IF(MONTH($BR447)&gt;=6,"Hot Humid",IF(MONTH($BR447)&gt;=3,"Hot Dry","Cold Winter")))))</f>
        <v/>
      </c>
      <c r="BT447">
        <f>IF($BM447="","",IFERROR(VLOOKUP($BM447,DECODE!$A$3:$C$8,2,FALSE),"?"))</f>
        <v/>
      </c>
      <c r="BU447">
        <f>IF($R447="","",UPPER(TRIM(LEFT($R447&amp;",",FIND(",",$R447&amp;",")-1))))</f>
        <v/>
      </c>
      <c r="BV447">
        <f>IF($BU447="","",MID($BU447,4,FIND("~",SUBSTITUTE($BU447,"-","~",2))-4))</f>
        <v/>
      </c>
      <c r="BW447">
        <f>IF($BU447="","",MID($BU447,FIND("~",SUBSTITUTE($BU447,"-","~",2))+1,FIND("~",SUBSTITUTE($BU447,"-","~",3))-FIND("~",SUBSTITUTE($BU447,"-","~",2))-1))</f>
        <v/>
      </c>
      <c r="BX447">
        <f>IF($BV447="","",IFERROR(VLOOKUP($BV447,DECODE!$A$3:$C$8,3,FALSE),"?"))</f>
        <v/>
      </c>
      <c r="BY447">
        <f>IF($BW447="","",IFERROR(VLOOKUP($BV447&amp;"-"&amp;$BW447,DECODE!$E$3:$F$21,2,FALSE),"?"))</f>
        <v/>
      </c>
      <c r="BZ447">
        <f>IF($BU447="","",IFERROR(VALUE(RIGHT($BU447,3)),""))</f>
        <v/>
      </c>
      <c r="CA447">
        <f>IF($X447="","",IFERROR(IF(ISNUMBER($X447),$X447,DATEVALUE(TRIM($X447))),""))</f>
        <v/>
      </c>
      <c r="CB447">
        <f>IF($CA447="","",IF(MONTH($CA447)&gt;=12,"Cold Winter",IF(MONTH($CA447)&gt;=10,"Post-Monsoon",IF(MONTH($CA447)&gt;=6,"Hot Humid",IF(MONTH($CA447)&gt;=3,"Hot Dry","Cold Winter")))))</f>
        <v/>
      </c>
      <c r="CC447">
        <f>IF($BV447="","",IFERROR(VLOOKUP($BV447,DECODE!$A$3:$C$8,2,FALSE),"?"))</f>
        <v/>
      </c>
      <c r="CD447">
        <f>IF($S447="","",UPPER(TRIM(LEFT($S447&amp;",",FIND(",",$S447&amp;",")-1))))</f>
        <v/>
      </c>
      <c r="CE447">
        <f>IF($CD447="","",MID($CD447,4,FIND("~",SUBSTITUTE($CD447,"-","~",2))-4))</f>
        <v/>
      </c>
      <c r="CF447">
        <f>IF($CD447="","",MID($CD447,FIND("~",SUBSTITUTE($CD447,"-","~",2))+1,FIND("~",SUBSTITUTE($CD447,"-","~",3))-FIND("~",SUBSTITUTE($CD447,"-","~",2))-1))</f>
        <v/>
      </c>
      <c r="CG447">
        <f>IF($CE447="","",IFERROR(VLOOKUP($CE447,DECODE!$A$3:$C$8,3,FALSE),"?"))</f>
        <v/>
      </c>
      <c r="CH447">
        <f>IF($CF447="","",IFERROR(VLOOKUP($CE447&amp;"-"&amp;$CF447,DECODE!$E$3:$F$21,2,FALSE),"?"))</f>
        <v/>
      </c>
      <c r="CI447">
        <f>IF($CD447="","",IFERROR(VALUE(RIGHT($CD447,3)),""))</f>
        <v/>
      </c>
      <c r="CJ447">
        <f>IF($Y447="","",IFERROR(IF(ISNUMBER($Y447),$Y447,DATEVALUE(TRIM($Y447))),""))</f>
        <v/>
      </c>
      <c r="CK447">
        <f>IF($CJ447="","",IF(MONTH($CJ447)&gt;=12,"Cold Winter",IF(MONTH($CJ447)&gt;=10,"Post-Monsoon",IF(MONTH($CJ447)&gt;=6,"Hot Humid",IF(MONTH($CJ447)&gt;=3,"Hot Dry","Cold Winter")))))</f>
        <v/>
      </c>
      <c r="CL447">
        <f>IF($CE447="","",IFERROR(VLOOKUP($CE447,DECODE!$A$3:$C$8,2,FALSE),"?"))</f>
        <v/>
      </c>
      <c r="CM447">
        <f>IF($AN447="","",AN447)</f>
        <v/>
      </c>
      <c r="CN447">
        <f>IF($AO447="","",AO447)</f>
        <v/>
      </c>
      <c r="CO447">
        <f>IF($AP447="","",AP447)</f>
        <v/>
      </c>
      <c r="CP447">
        <f>IF($CM447="","",IF($CM447="Aloe Vera Gel","Aloe Vera Gel "&amp;$CO447&amp;"g",CN447&amp;" "&amp;$CO447&amp;"g"))</f>
        <v/>
      </c>
      <c r="CQ447">
        <f>IF($AT447="",0,1)</f>
        <v/>
      </c>
      <c r="CR447">
        <f>IF($CQ447=0,"",AW447)</f>
        <v/>
      </c>
      <c r="CS447">
        <f>IF($CQ447=0,"",AX447)</f>
        <v/>
      </c>
      <c r="CT447">
        <f>IF($CQ447=0,"",AY447)</f>
        <v/>
      </c>
      <c r="CU447">
        <f>IF($CR447="","",IF($CR447="Aloe Vera Gel","Aloe Vera Gel "&amp;$CT447&amp;"g",CS447&amp;" "&amp;$CT447&amp;"g"))</f>
        <v/>
      </c>
      <c r="CV447">
        <f>IF($CQ447=0,"",IF($CP447=$CU447,"Repeat Exact",IF($CT447&gt;$CO447,"Upsized",IF($CT447&lt;$CO447,"Downsized",IF($CM447&lt;&gt;$CR447,"Lateral","Same Size Diff Variant")))))</f>
        <v/>
      </c>
      <c r="CW447">
        <f>IF($CQ447=0,"",AZ447-AQ447)</f>
        <v/>
      </c>
      <c r="CX447">
        <f>IF($CQ447=0,0,IF(CS447=CN447,1,0))</f>
        <v/>
      </c>
      <c r="CY447">
        <f>IF($CQ447=0,0,IF(CR447=CM447,1,0))</f>
        <v/>
      </c>
      <c r="CZ447">
        <f>IF($A447="","",IF(AND(IF(DASHBOARD!$C$4="All",TRUE,$CM447=DASHBOARD!$C$4),IF(DASHBOARD!$C$6="All",TRUE,$CP447=DASHBOARD!$C$6),IF(DASHBOARD!$C$8="All",TRUE,$AF447&gt;=DASHBOARD!$C$8),IF(DASHBOARD!$C$10="All",TRUE,$AF447&lt;=DASHBOARD!$C$10),IF(DASHBOARD!$C$12="All",TRUE,$AH447=VALUE(DASHBOARD!$C$12)),IF(DASHBOARD!$C$14="All",TRUE,$AJ447=DASHBOARD!$C$14)),1,0))</f>
        <v/>
      </c>
    </row>
    <row r="448">
      <c r="A448" t="n">
        <v>213781</v>
      </c>
      <c r="B448" t="inlineStr">
        <is>
          <t>Aloe Vera Gel</t>
        </is>
      </c>
      <c r="H448" t="inlineStr">
        <is>
          <t>Aloe Vera Gel - 80 gms</t>
        </is>
      </c>
      <c r="N448" t="inlineStr">
        <is>
          <t>FC-HG-PA-080</t>
        </is>
      </c>
      <c r="T448" t="inlineStr">
        <is>
          <t>May 22, 2026</t>
        </is>
      </c>
      <c r="AE448" t="inlineStr">
        <is>
          <t>Sonipat</t>
        </is>
      </c>
      <c r="AF448" t="inlineStr">
        <is>
          <t>2026-05</t>
        </is>
      </c>
      <c r="AG448" t="n">
        <v>5</v>
      </c>
      <c r="AH448" t="n">
        <v>1</v>
      </c>
      <c r="AI448" t="n">
        <v>0</v>
      </c>
      <c r="AJ448">
        <f>IF($AE448="","",IFERROR(VLOOKUP(TRIM($AE448),DECODE!$H$3:$I$60,2,FALSE),"Rest of India"))</f>
        <v/>
      </c>
      <c r="AK448">
        <f>IF($N448="","",UPPER(TRIM(LEFT($N448&amp;",",FIND(",",$N448&amp;",")-1))))</f>
        <v/>
      </c>
      <c r="AL448">
        <f>IF($AK448="","",MID($AK448,4,FIND("~",SUBSTITUTE($AK448,"-","~",2))-4))</f>
        <v/>
      </c>
      <c r="AM448">
        <f>IF($AK448="","",MID($AK448,FIND("~",SUBSTITUTE($AK448,"-","~",2))+1,FIND("~",SUBSTITUTE($AK448,"-","~",3))-FIND("~",SUBSTITUTE($AK448,"-","~",2))-1))</f>
        <v/>
      </c>
      <c r="AN448">
        <f>IF($AL448="","",IFERROR(VLOOKUP($AL448,DECODE!$A$3:$C$8,3,FALSE),"?"))</f>
        <v/>
      </c>
      <c r="AO448">
        <f>IF($AM448="","",IFERROR(VLOOKUP($AL448&amp;"-"&amp;$AM448,DECODE!$E$3:$F$21,2,FALSE),"?"))</f>
        <v/>
      </c>
      <c r="AP448">
        <f>IF($AK448="","",IFERROR(VALUE(RIGHT($AK448,3)),""))</f>
        <v/>
      </c>
      <c r="AQ448">
        <f>IF($T448="","",IFERROR(IF(ISNUMBER($T448),$T448,DATEVALUE(TRIM($T448))),""))</f>
        <v/>
      </c>
      <c r="AR448">
        <f>IF($AQ448="","",IF(MONTH($AQ448)&gt;=12,"Cold Winter",IF(MONTH($AQ448)&gt;=10,"Post-Monsoon",IF(MONTH($AQ448)&gt;=6,"Hot Humid",IF(MONTH($AQ448)&gt;=3,"Hot Dry","Cold Winter")))))</f>
        <v/>
      </c>
      <c r="AS448">
        <f>IF($AL448="","",IFERROR(VLOOKUP($AL448,DECODE!$A$3:$C$8,2,FALSE),"?"))</f>
        <v/>
      </c>
      <c r="AT448">
        <f>IF($O448="","",UPPER(TRIM(LEFT($O448&amp;",",FIND(",",$O448&amp;",")-1))))</f>
        <v/>
      </c>
      <c r="AU448">
        <f>IF($AT448="","",MID($AT448,4,FIND("~",SUBSTITUTE($AT448,"-","~",2))-4))</f>
        <v/>
      </c>
      <c r="AV448">
        <f>IF($AT448="","",MID($AT448,FIND("~",SUBSTITUTE($AT448,"-","~",2))+1,FIND("~",SUBSTITUTE($AT448,"-","~",3))-FIND("~",SUBSTITUTE($AT448,"-","~",2))-1))</f>
        <v/>
      </c>
      <c r="AW448">
        <f>IF($AU448="","",IFERROR(VLOOKUP($AU448,DECODE!$A$3:$C$8,3,FALSE),"?"))</f>
        <v/>
      </c>
      <c r="AX448">
        <f>IF($AV448="","",IFERROR(VLOOKUP($AU448&amp;"-"&amp;$AV448,DECODE!$E$3:$F$21,2,FALSE),"?"))</f>
        <v/>
      </c>
      <c r="AY448">
        <f>IF($AT448="","",IFERROR(VALUE(RIGHT($AT448,3)),""))</f>
        <v/>
      </c>
      <c r="AZ448">
        <f>IF($U448="","",IFERROR(IF(ISNUMBER($U448),$U448,DATEVALUE(TRIM($U448))),""))</f>
        <v/>
      </c>
      <c r="BA448">
        <f>IF($AZ448="","",IF(MONTH($AZ448)&gt;=12,"Cold Winter",IF(MONTH($AZ448)&gt;=10,"Post-Monsoon",IF(MONTH($AZ448)&gt;=6,"Hot Humid",IF(MONTH($AZ448)&gt;=3,"Hot Dry","Cold Winter")))))</f>
        <v/>
      </c>
      <c r="BB448">
        <f>IF($AU448="","",IFERROR(VLOOKUP($AU448,DECODE!$A$3:$C$8,2,FALSE),"?"))</f>
        <v/>
      </c>
      <c r="BC448">
        <f>IF($P448="","",UPPER(TRIM(LEFT($P448&amp;",",FIND(",",$P448&amp;",")-1))))</f>
        <v/>
      </c>
      <c r="BD448">
        <f>IF($BC448="","",MID($BC448,4,FIND("~",SUBSTITUTE($BC448,"-","~",2))-4))</f>
        <v/>
      </c>
      <c r="BE448">
        <f>IF($BC448="","",MID($BC448,FIND("~",SUBSTITUTE($BC448,"-","~",2))+1,FIND("~",SUBSTITUTE($BC448,"-","~",3))-FIND("~",SUBSTITUTE($BC448,"-","~",2))-1))</f>
        <v/>
      </c>
      <c r="BF448">
        <f>IF($BD448="","",IFERROR(VLOOKUP($BD448,DECODE!$A$3:$C$8,3,FALSE),"?"))</f>
        <v/>
      </c>
      <c r="BG448">
        <f>IF($BE448="","",IFERROR(VLOOKUP($BD448&amp;"-"&amp;$BE448,DECODE!$E$3:$F$21,2,FALSE),"?"))</f>
        <v/>
      </c>
      <c r="BH448">
        <f>IF($BC448="","",IFERROR(VALUE(RIGHT($BC448,3)),""))</f>
        <v/>
      </c>
      <c r="BI448">
        <f>IF($V448="","",IFERROR(IF(ISNUMBER($V448),$V448,DATEVALUE(TRIM($V448))),""))</f>
        <v/>
      </c>
      <c r="BJ448">
        <f>IF($BI448="","",IF(MONTH($BI448)&gt;=12,"Cold Winter",IF(MONTH($BI448)&gt;=10,"Post-Monsoon",IF(MONTH($BI448)&gt;=6,"Hot Humid",IF(MONTH($BI448)&gt;=3,"Hot Dry","Cold Winter")))))</f>
        <v/>
      </c>
      <c r="BK448">
        <f>IF($BD448="","",IFERROR(VLOOKUP($BD448,DECODE!$A$3:$C$8,2,FALSE),"?"))</f>
        <v/>
      </c>
      <c r="BL448">
        <f>IF($Q448="","",UPPER(TRIM(LEFT($Q448&amp;",",FIND(",",$Q448&amp;",")-1))))</f>
        <v/>
      </c>
      <c r="BM448">
        <f>IF($BL448="","",MID($BL448,4,FIND("~",SUBSTITUTE($BL448,"-","~",2))-4))</f>
        <v/>
      </c>
      <c r="BN448">
        <f>IF($BL448="","",MID($BL448,FIND("~",SUBSTITUTE($BL448,"-","~",2))+1,FIND("~",SUBSTITUTE($BL448,"-","~",3))-FIND("~",SUBSTITUTE($BL448,"-","~",2))-1))</f>
        <v/>
      </c>
      <c r="BO448">
        <f>IF($BM448="","",IFERROR(VLOOKUP($BM448,DECODE!$A$3:$C$8,3,FALSE),"?"))</f>
        <v/>
      </c>
      <c r="BP448">
        <f>IF($BN448="","",IFERROR(VLOOKUP($BM448&amp;"-"&amp;$BN448,DECODE!$E$3:$F$21,2,FALSE),"?"))</f>
        <v/>
      </c>
      <c r="BQ448">
        <f>IF($BL448="","",IFERROR(VALUE(RIGHT($BL448,3)),""))</f>
        <v/>
      </c>
      <c r="BR448">
        <f>IF($W448="","",IFERROR(IF(ISNUMBER($W448),$W448,DATEVALUE(TRIM($W448))),""))</f>
        <v/>
      </c>
      <c r="BS448">
        <f>IF($BR448="","",IF(MONTH($BR448)&gt;=12,"Cold Winter",IF(MONTH($BR448)&gt;=10,"Post-Monsoon",IF(MONTH($BR448)&gt;=6,"Hot Humid",IF(MONTH($BR448)&gt;=3,"Hot Dry","Cold Winter")))))</f>
        <v/>
      </c>
      <c r="BT448">
        <f>IF($BM448="","",IFERROR(VLOOKUP($BM448,DECODE!$A$3:$C$8,2,FALSE),"?"))</f>
        <v/>
      </c>
      <c r="BU448">
        <f>IF($R448="","",UPPER(TRIM(LEFT($R448&amp;",",FIND(",",$R448&amp;",")-1))))</f>
        <v/>
      </c>
      <c r="BV448">
        <f>IF($BU448="","",MID($BU448,4,FIND("~",SUBSTITUTE($BU448,"-","~",2))-4))</f>
        <v/>
      </c>
      <c r="BW448">
        <f>IF($BU448="","",MID($BU448,FIND("~",SUBSTITUTE($BU448,"-","~",2))+1,FIND("~",SUBSTITUTE($BU448,"-","~",3))-FIND("~",SUBSTITUTE($BU448,"-","~",2))-1))</f>
        <v/>
      </c>
      <c r="BX448">
        <f>IF($BV448="","",IFERROR(VLOOKUP($BV448,DECODE!$A$3:$C$8,3,FALSE),"?"))</f>
        <v/>
      </c>
      <c r="BY448">
        <f>IF($BW448="","",IFERROR(VLOOKUP($BV448&amp;"-"&amp;$BW448,DECODE!$E$3:$F$21,2,FALSE),"?"))</f>
        <v/>
      </c>
      <c r="BZ448">
        <f>IF($BU448="","",IFERROR(VALUE(RIGHT($BU448,3)),""))</f>
        <v/>
      </c>
      <c r="CA448">
        <f>IF($X448="","",IFERROR(IF(ISNUMBER($X448),$X448,DATEVALUE(TRIM($X448))),""))</f>
        <v/>
      </c>
      <c r="CB448">
        <f>IF($CA448="","",IF(MONTH($CA448)&gt;=12,"Cold Winter",IF(MONTH($CA448)&gt;=10,"Post-Monsoon",IF(MONTH($CA448)&gt;=6,"Hot Humid",IF(MONTH($CA448)&gt;=3,"Hot Dry","Cold Winter")))))</f>
        <v/>
      </c>
      <c r="CC448">
        <f>IF($BV448="","",IFERROR(VLOOKUP($BV448,DECODE!$A$3:$C$8,2,FALSE),"?"))</f>
        <v/>
      </c>
      <c r="CD448">
        <f>IF($S448="","",UPPER(TRIM(LEFT($S448&amp;",",FIND(",",$S448&amp;",")-1))))</f>
        <v/>
      </c>
      <c r="CE448">
        <f>IF($CD448="","",MID($CD448,4,FIND("~",SUBSTITUTE($CD448,"-","~",2))-4))</f>
        <v/>
      </c>
      <c r="CF448">
        <f>IF($CD448="","",MID($CD448,FIND("~",SUBSTITUTE($CD448,"-","~",2))+1,FIND("~",SUBSTITUTE($CD448,"-","~",3))-FIND("~",SUBSTITUTE($CD448,"-","~",2))-1))</f>
        <v/>
      </c>
      <c r="CG448">
        <f>IF($CE448="","",IFERROR(VLOOKUP($CE448,DECODE!$A$3:$C$8,3,FALSE),"?"))</f>
        <v/>
      </c>
      <c r="CH448">
        <f>IF($CF448="","",IFERROR(VLOOKUP($CE448&amp;"-"&amp;$CF448,DECODE!$E$3:$F$21,2,FALSE),"?"))</f>
        <v/>
      </c>
      <c r="CI448">
        <f>IF($CD448="","",IFERROR(VALUE(RIGHT($CD448,3)),""))</f>
        <v/>
      </c>
      <c r="CJ448">
        <f>IF($Y448="","",IFERROR(IF(ISNUMBER($Y448),$Y448,DATEVALUE(TRIM($Y448))),""))</f>
        <v/>
      </c>
      <c r="CK448">
        <f>IF($CJ448="","",IF(MONTH($CJ448)&gt;=12,"Cold Winter",IF(MONTH($CJ448)&gt;=10,"Post-Monsoon",IF(MONTH($CJ448)&gt;=6,"Hot Humid",IF(MONTH($CJ448)&gt;=3,"Hot Dry","Cold Winter")))))</f>
        <v/>
      </c>
      <c r="CL448">
        <f>IF($CE448="","",IFERROR(VLOOKUP($CE448,DECODE!$A$3:$C$8,2,FALSE),"?"))</f>
        <v/>
      </c>
      <c r="CM448">
        <f>IF($AN448="","",AN448)</f>
        <v/>
      </c>
      <c r="CN448">
        <f>IF($AO448="","",AO448)</f>
        <v/>
      </c>
      <c r="CO448">
        <f>IF($AP448="","",AP448)</f>
        <v/>
      </c>
      <c r="CP448">
        <f>IF($CM448="","",IF($CM448="Aloe Vera Gel","Aloe Vera Gel "&amp;$CO448&amp;"g",CN448&amp;" "&amp;$CO448&amp;"g"))</f>
        <v/>
      </c>
      <c r="CQ448">
        <f>IF($AT448="",0,1)</f>
        <v/>
      </c>
      <c r="CR448">
        <f>IF($CQ448=0,"",AW448)</f>
        <v/>
      </c>
      <c r="CS448">
        <f>IF($CQ448=0,"",AX448)</f>
        <v/>
      </c>
      <c r="CT448">
        <f>IF($CQ448=0,"",AY448)</f>
        <v/>
      </c>
      <c r="CU448">
        <f>IF($CR448="","",IF($CR448="Aloe Vera Gel","Aloe Vera Gel "&amp;$CT448&amp;"g",CS448&amp;" "&amp;$CT448&amp;"g"))</f>
        <v/>
      </c>
      <c r="CV448">
        <f>IF($CQ448=0,"",IF($CP448=$CU448,"Repeat Exact",IF($CT448&gt;$CO448,"Upsized",IF($CT448&lt;$CO448,"Downsized",IF($CM448&lt;&gt;$CR448,"Lateral","Same Size Diff Variant")))))</f>
        <v/>
      </c>
      <c r="CW448">
        <f>IF($CQ448=0,"",AZ448-AQ448)</f>
        <v/>
      </c>
      <c r="CX448">
        <f>IF($CQ448=0,0,IF(CS448=CN448,1,0))</f>
        <v/>
      </c>
      <c r="CY448">
        <f>IF($CQ448=0,0,IF(CR448=CM448,1,0))</f>
        <v/>
      </c>
      <c r="CZ448">
        <f>IF($A448="","",IF(AND(IF(DASHBOARD!$C$4="All",TRUE,$CM448=DASHBOARD!$C$4),IF(DASHBOARD!$C$6="All",TRUE,$CP448=DASHBOARD!$C$6),IF(DASHBOARD!$C$8="All",TRUE,$AF448&gt;=DASHBOARD!$C$8),IF(DASHBOARD!$C$10="All",TRUE,$AF448&lt;=DASHBOARD!$C$10),IF(DASHBOARD!$C$12="All",TRUE,$AH448=VALUE(DASHBOARD!$C$12)),IF(DASHBOARD!$C$14="All",TRUE,$AJ448=DASHBOARD!$C$14)),1,0))</f>
        <v/>
      </c>
    </row>
    <row r="449">
      <c r="A449" t="n">
        <v>214080</v>
      </c>
      <c r="B449" t="inlineStr">
        <is>
          <t>Face Malai</t>
        </is>
      </c>
      <c r="H449" t="inlineStr">
        <is>
          <t>Flax Bakuchi (Hot Dry) 35+ Face Malai - 30g</t>
        </is>
      </c>
      <c r="N449" t="inlineStr">
        <is>
          <t>FC-HDDM-FB-030</t>
        </is>
      </c>
      <c r="T449" t="inlineStr">
        <is>
          <t>Oct 5, 2024</t>
        </is>
      </c>
      <c r="AE449" t="inlineStr">
        <is>
          <t>Thane</t>
        </is>
      </c>
      <c r="AF449" t="inlineStr">
        <is>
          <t>2024-10</t>
        </is>
      </c>
      <c r="AG449" t="n">
        <v>10</v>
      </c>
      <c r="AH449" t="n">
        <v>1</v>
      </c>
      <c r="AI449" t="n">
        <v>0</v>
      </c>
      <c r="AJ449">
        <f>IF($AE449="","",IFERROR(VLOOKUP(TRIM($AE449),DECODE!$H$3:$I$60,2,FALSE),"Rest of India"))</f>
        <v/>
      </c>
      <c r="AK449">
        <f>IF($N449="","",UPPER(TRIM(LEFT($N449&amp;",",FIND(",",$N449&amp;",")-1))))</f>
        <v/>
      </c>
      <c r="AL449">
        <f>IF($AK449="","",MID($AK449,4,FIND("~",SUBSTITUTE($AK449,"-","~",2))-4))</f>
        <v/>
      </c>
      <c r="AM449">
        <f>IF($AK449="","",MID($AK449,FIND("~",SUBSTITUTE($AK449,"-","~",2))+1,FIND("~",SUBSTITUTE($AK449,"-","~",3))-FIND("~",SUBSTITUTE($AK449,"-","~",2))-1))</f>
        <v/>
      </c>
      <c r="AN449">
        <f>IF($AL449="","",IFERROR(VLOOKUP($AL449,DECODE!$A$3:$C$8,3,FALSE),"?"))</f>
        <v/>
      </c>
      <c r="AO449">
        <f>IF($AM449="","",IFERROR(VLOOKUP($AL449&amp;"-"&amp;$AM449,DECODE!$E$3:$F$21,2,FALSE),"?"))</f>
        <v/>
      </c>
      <c r="AP449">
        <f>IF($AK449="","",IFERROR(VALUE(RIGHT($AK449,3)),""))</f>
        <v/>
      </c>
      <c r="AQ449">
        <f>IF($T449="","",IFERROR(IF(ISNUMBER($T449),$T449,DATEVALUE(TRIM($T449))),""))</f>
        <v/>
      </c>
      <c r="AR449">
        <f>IF($AQ449="","",IF(MONTH($AQ449)&gt;=12,"Cold Winter",IF(MONTH($AQ449)&gt;=10,"Post-Monsoon",IF(MONTH($AQ449)&gt;=6,"Hot Humid",IF(MONTH($AQ449)&gt;=3,"Hot Dry","Cold Winter")))))</f>
        <v/>
      </c>
      <c r="AS449">
        <f>IF($AL449="","",IFERROR(VLOOKUP($AL449,DECODE!$A$3:$C$8,2,FALSE),"?"))</f>
        <v/>
      </c>
      <c r="AT449">
        <f>IF($O449="","",UPPER(TRIM(LEFT($O449&amp;",",FIND(",",$O449&amp;",")-1))))</f>
        <v/>
      </c>
      <c r="AU449">
        <f>IF($AT449="","",MID($AT449,4,FIND("~",SUBSTITUTE($AT449,"-","~",2))-4))</f>
        <v/>
      </c>
      <c r="AV449">
        <f>IF($AT449="","",MID($AT449,FIND("~",SUBSTITUTE($AT449,"-","~",2))+1,FIND("~",SUBSTITUTE($AT449,"-","~",3))-FIND("~",SUBSTITUTE($AT449,"-","~",2))-1))</f>
        <v/>
      </c>
      <c r="AW449">
        <f>IF($AU449="","",IFERROR(VLOOKUP($AU449,DECODE!$A$3:$C$8,3,FALSE),"?"))</f>
        <v/>
      </c>
      <c r="AX449">
        <f>IF($AV449="","",IFERROR(VLOOKUP($AU449&amp;"-"&amp;$AV449,DECODE!$E$3:$F$21,2,FALSE),"?"))</f>
        <v/>
      </c>
      <c r="AY449">
        <f>IF($AT449="","",IFERROR(VALUE(RIGHT($AT449,3)),""))</f>
        <v/>
      </c>
      <c r="AZ449">
        <f>IF($U449="","",IFERROR(IF(ISNUMBER($U449),$U449,DATEVALUE(TRIM($U449))),""))</f>
        <v/>
      </c>
      <c r="BA449">
        <f>IF($AZ449="","",IF(MONTH($AZ449)&gt;=12,"Cold Winter",IF(MONTH($AZ449)&gt;=10,"Post-Monsoon",IF(MONTH($AZ449)&gt;=6,"Hot Humid",IF(MONTH($AZ449)&gt;=3,"Hot Dry","Cold Winter")))))</f>
        <v/>
      </c>
      <c r="BB449">
        <f>IF($AU449="","",IFERROR(VLOOKUP($AU449,DECODE!$A$3:$C$8,2,FALSE),"?"))</f>
        <v/>
      </c>
      <c r="BC449">
        <f>IF($P449="","",UPPER(TRIM(LEFT($P449&amp;",",FIND(",",$P449&amp;",")-1))))</f>
        <v/>
      </c>
      <c r="BD449">
        <f>IF($BC449="","",MID($BC449,4,FIND("~",SUBSTITUTE($BC449,"-","~",2))-4))</f>
        <v/>
      </c>
      <c r="BE449">
        <f>IF($BC449="","",MID($BC449,FIND("~",SUBSTITUTE($BC449,"-","~",2))+1,FIND("~",SUBSTITUTE($BC449,"-","~",3))-FIND("~",SUBSTITUTE($BC449,"-","~",2))-1))</f>
        <v/>
      </c>
      <c r="BF449">
        <f>IF($BD449="","",IFERROR(VLOOKUP($BD449,DECODE!$A$3:$C$8,3,FALSE),"?"))</f>
        <v/>
      </c>
      <c r="BG449">
        <f>IF($BE449="","",IFERROR(VLOOKUP($BD449&amp;"-"&amp;$BE449,DECODE!$E$3:$F$21,2,FALSE),"?"))</f>
        <v/>
      </c>
      <c r="BH449">
        <f>IF($BC449="","",IFERROR(VALUE(RIGHT($BC449,3)),""))</f>
        <v/>
      </c>
      <c r="BI449">
        <f>IF($V449="","",IFERROR(IF(ISNUMBER($V449),$V449,DATEVALUE(TRIM($V449))),""))</f>
        <v/>
      </c>
      <c r="BJ449">
        <f>IF($BI449="","",IF(MONTH($BI449)&gt;=12,"Cold Winter",IF(MONTH($BI449)&gt;=10,"Post-Monsoon",IF(MONTH($BI449)&gt;=6,"Hot Humid",IF(MONTH($BI449)&gt;=3,"Hot Dry","Cold Winter")))))</f>
        <v/>
      </c>
      <c r="BK449">
        <f>IF($BD449="","",IFERROR(VLOOKUP($BD449,DECODE!$A$3:$C$8,2,FALSE),"?"))</f>
        <v/>
      </c>
      <c r="BL449">
        <f>IF($Q449="","",UPPER(TRIM(LEFT($Q449&amp;",",FIND(",",$Q449&amp;",")-1))))</f>
        <v/>
      </c>
      <c r="BM449">
        <f>IF($BL449="","",MID($BL449,4,FIND("~",SUBSTITUTE($BL449,"-","~",2))-4))</f>
        <v/>
      </c>
      <c r="BN449">
        <f>IF($BL449="","",MID($BL449,FIND("~",SUBSTITUTE($BL449,"-","~",2))+1,FIND("~",SUBSTITUTE($BL449,"-","~",3))-FIND("~",SUBSTITUTE($BL449,"-","~",2))-1))</f>
        <v/>
      </c>
      <c r="BO449">
        <f>IF($BM449="","",IFERROR(VLOOKUP($BM449,DECODE!$A$3:$C$8,3,FALSE),"?"))</f>
        <v/>
      </c>
      <c r="BP449">
        <f>IF($BN449="","",IFERROR(VLOOKUP($BM449&amp;"-"&amp;$BN449,DECODE!$E$3:$F$21,2,FALSE),"?"))</f>
        <v/>
      </c>
      <c r="BQ449">
        <f>IF($BL449="","",IFERROR(VALUE(RIGHT($BL449,3)),""))</f>
        <v/>
      </c>
      <c r="BR449">
        <f>IF($W449="","",IFERROR(IF(ISNUMBER($W449),$W449,DATEVALUE(TRIM($W449))),""))</f>
        <v/>
      </c>
      <c r="BS449">
        <f>IF($BR449="","",IF(MONTH($BR449)&gt;=12,"Cold Winter",IF(MONTH($BR449)&gt;=10,"Post-Monsoon",IF(MONTH($BR449)&gt;=6,"Hot Humid",IF(MONTH($BR449)&gt;=3,"Hot Dry","Cold Winter")))))</f>
        <v/>
      </c>
      <c r="BT449">
        <f>IF($BM449="","",IFERROR(VLOOKUP($BM449,DECODE!$A$3:$C$8,2,FALSE),"?"))</f>
        <v/>
      </c>
      <c r="BU449">
        <f>IF($R449="","",UPPER(TRIM(LEFT($R449&amp;",",FIND(",",$R449&amp;",")-1))))</f>
        <v/>
      </c>
      <c r="BV449">
        <f>IF($BU449="","",MID($BU449,4,FIND("~",SUBSTITUTE($BU449,"-","~",2))-4))</f>
        <v/>
      </c>
      <c r="BW449">
        <f>IF($BU449="","",MID($BU449,FIND("~",SUBSTITUTE($BU449,"-","~",2))+1,FIND("~",SUBSTITUTE($BU449,"-","~",3))-FIND("~",SUBSTITUTE($BU449,"-","~",2))-1))</f>
        <v/>
      </c>
      <c r="BX449">
        <f>IF($BV449="","",IFERROR(VLOOKUP($BV449,DECODE!$A$3:$C$8,3,FALSE),"?"))</f>
        <v/>
      </c>
      <c r="BY449">
        <f>IF($BW449="","",IFERROR(VLOOKUP($BV449&amp;"-"&amp;$BW449,DECODE!$E$3:$F$21,2,FALSE),"?"))</f>
        <v/>
      </c>
      <c r="BZ449">
        <f>IF($BU449="","",IFERROR(VALUE(RIGHT($BU449,3)),""))</f>
        <v/>
      </c>
      <c r="CA449">
        <f>IF($X449="","",IFERROR(IF(ISNUMBER($X449),$X449,DATEVALUE(TRIM($X449))),""))</f>
        <v/>
      </c>
      <c r="CB449">
        <f>IF($CA449="","",IF(MONTH($CA449)&gt;=12,"Cold Winter",IF(MONTH($CA449)&gt;=10,"Post-Monsoon",IF(MONTH($CA449)&gt;=6,"Hot Humid",IF(MONTH($CA449)&gt;=3,"Hot Dry","Cold Winter")))))</f>
        <v/>
      </c>
      <c r="CC449">
        <f>IF($BV449="","",IFERROR(VLOOKUP($BV449,DECODE!$A$3:$C$8,2,FALSE),"?"))</f>
        <v/>
      </c>
      <c r="CD449">
        <f>IF($S449="","",UPPER(TRIM(LEFT($S449&amp;",",FIND(",",$S449&amp;",")-1))))</f>
        <v/>
      </c>
      <c r="CE449">
        <f>IF($CD449="","",MID($CD449,4,FIND("~",SUBSTITUTE($CD449,"-","~",2))-4))</f>
        <v/>
      </c>
      <c r="CF449">
        <f>IF($CD449="","",MID($CD449,FIND("~",SUBSTITUTE($CD449,"-","~",2))+1,FIND("~",SUBSTITUTE($CD449,"-","~",3))-FIND("~",SUBSTITUTE($CD449,"-","~",2))-1))</f>
        <v/>
      </c>
      <c r="CG449">
        <f>IF($CE449="","",IFERROR(VLOOKUP($CE449,DECODE!$A$3:$C$8,3,FALSE),"?"))</f>
        <v/>
      </c>
      <c r="CH449">
        <f>IF($CF449="","",IFERROR(VLOOKUP($CE449&amp;"-"&amp;$CF449,DECODE!$E$3:$F$21,2,FALSE),"?"))</f>
        <v/>
      </c>
      <c r="CI449">
        <f>IF($CD449="","",IFERROR(VALUE(RIGHT($CD449,3)),""))</f>
        <v/>
      </c>
      <c r="CJ449">
        <f>IF($Y449="","",IFERROR(IF(ISNUMBER($Y449),$Y449,DATEVALUE(TRIM($Y449))),""))</f>
        <v/>
      </c>
      <c r="CK449">
        <f>IF($CJ449="","",IF(MONTH($CJ449)&gt;=12,"Cold Winter",IF(MONTH($CJ449)&gt;=10,"Post-Monsoon",IF(MONTH($CJ449)&gt;=6,"Hot Humid",IF(MONTH($CJ449)&gt;=3,"Hot Dry","Cold Winter")))))</f>
        <v/>
      </c>
      <c r="CL449">
        <f>IF($CE449="","",IFERROR(VLOOKUP($CE449,DECODE!$A$3:$C$8,2,FALSE),"?"))</f>
        <v/>
      </c>
      <c r="CM449">
        <f>IF($AN449="","",AN449)</f>
        <v/>
      </c>
      <c r="CN449">
        <f>IF($AO449="","",AO449)</f>
        <v/>
      </c>
      <c r="CO449">
        <f>IF($AP449="","",AP449)</f>
        <v/>
      </c>
      <c r="CP449">
        <f>IF($CM449="","",IF($CM449="Aloe Vera Gel","Aloe Vera Gel "&amp;$CO449&amp;"g",CN449&amp;" "&amp;$CO449&amp;"g"))</f>
        <v/>
      </c>
      <c r="CQ449">
        <f>IF($AT449="",0,1)</f>
        <v/>
      </c>
      <c r="CR449">
        <f>IF($CQ449=0,"",AW449)</f>
        <v/>
      </c>
      <c r="CS449">
        <f>IF($CQ449=0,"",AX449)</f>
        <v/>
      </c>
      <c r="CT449">
        <f>IF($CQ449=0,"",AY449)</f>
        <v/>
      </c>
      <c r="CU449">
        <f>IF($CR449="","",IF($CR449="Aloe Vera Gel","Aloe Vera Gel "&amp;$CT449&amp;"g",CS449&amp;" "&amp;$CT449&amp;"g"))</f>
        <v/>
      </c>
      <c r="CV449">
        <f>IF($CQ449=0,"",IF($CP449=$CU449,"Repeat Exact",IF($CT449&gt;$CO449,"Upsized",IF($CT449&lt;$CO449,"Downsized",IF($CM449&lt;&gt;$CR449,"Lateral","Same Size Diff Variant")))))</f>
        <v/>
      </c>
      <c r="CW449">
        <f>IF($CQ449=0,"",AZ449-AQ449)</f>
        <v/>
      </c>
      <c r="CX449">
        <f>IF($CQ449=0,0,IF(CS449=CN449,1,0))</f>
        <v/>
      </c>
      <c r="CY449">
        <f>IF($CQ449=0,0,IF(CR449=CM449,1,0))</f>
        <v/>
      </c>
      <c r="CZ449">
        <f>IF($A449="","",IF(AND(IF(DASHBOARD!$C$4="All",TRUE,$CM449=DASHBOARD!$C$4),IF(DASHBOARD!$C$6="All",TRUE,$CP449=DASHBOARD!$C$6),IF(DASHBOARD!$C$8="All",TRUE,$AF449&gt;=DASHBOARD!$C$8),IF(DASHBOARD!$C$10="All",TRUE,$AF449&lt;=DASHBOARD!$C$10),IF(DASHBOARD!$C$12="All",TRUE,$AH449=VALUE(DASHBOARD!$C$12)),IF(DASHBOARD!$C$14="All",TRUE,$AJ449=DASHBOARD!$C$14)),1,0))</f>
        <v/>
      </c>
    </row>
    <row r="450">
      <c r="A450" t="n">
        <v>214195</v>
      </c>
      <c r="B450" t="inlineStr">
        <is>
          <t>Face Malai</t>
        </is>
      </c>
      <c r="C450" t="inlineStr">
        <is>
          <t>Face Malai</t>
        </is>
      </c>
      <c r="D450" t="inlineStr">
        <is>
          <t>Face Malai</t>
        </is>
      </c>
      <c r="E450" t="inlineStr">
        <is>
          <t>Face Malai</t>
        </is>
      </c>
      <c r="H450" t="inlineStr">
        <is>
          <t>Flax Bakuchi (Hot Dry) 35+ Face Malai - 30g</t>
        </is>
      </c>
      <c r="I450" t="inlineStr">
        <is>
          <t>Winter Blackseed Tulsi (Cold) 13 - 19 Yrs Face Malai, Turmeric Nutmeg (Pigmentation)  Face Malai - 50g , Flax Walnut (Cold) 35+ Face Malai</t>
        </is>
      </c>
      <c r="J450" t="inlineStr">
        <is>
          <t>Turmeric Nutmeg (Pigmentation)  Face Malai - 50g</t>
        </is>
      </c>
      <c r="K450" t="inlineStr">
        <is>
          <t>Turmeric Nutmeg (Pigmentation)  Face Malai - 50g</t>
        </is>
      </c>
      <c r="N450" t="inlineStr">
        <is>
          <t>FC-HDDM-FB-030</t>
        </is>
      </c>
      <c r="O450" t="inlineStr">
        <is>
          <t>FC-CWDM-FW-030, FC-CWDM-BT-030, FC-DM-PG-050</t>
        </is>
      </c>
      <c r="P450" t="inlineStr">
        <is>
          <t>FC-DM-PG-050</t>
        </is>
      </c>
      <c r="Q450" t="inlineStr">
        <is>
          <t>FC-DM-PG-050</t>
        </is>
      </c>
      <c r="T450" t="inlineStr">
        <is>
          <t>May 7, 2024</t>
        </is>
      </c>
      <c r="U450" t="inlineStr">
        <is>
          <t>Aug 21, 2024</t>
        </is>
      </c>
      <c r="V450" t="inlineStr">
        <is>
          <t>Jun 25, 2025</t>
        </is>
      </c>
      <c r="W450" t="inlineStr">
        <is>
          <t>Jun 6, 2026</t>
        </is>
      </c>
      <c r="Z450" t="n">
        <v>106</v>
      </c>
      <c r="AA450" t="n">
        <v>308</v>
      </c>
      <c r="AB450" t="n">
        <v>346</v>
      </c>
      <c r="AE450" t="inlineStr">
        <is>
          <t>Ghaziabad</t>
        </is>
      </c>
      <c r="AF450" t="inlineStr">
        <is>
          <t>2024-05</t>
        </is>
      </c>
      <c r="AG450" t="n">
        <v>5</v>
      </c>
      <c r="AH450" t="n">
        <v>4</v>
      </c>
      <c r="AI450" t="n">
        <v>1</v>
      </c>
      <c r="AJ450">
        <f>IF($AE450="","",IFERROR(VLOOKUP(TRIM($AE450),DECODE!$H$3:$I$60,2,FALSE),"Rest of India"))</f>
        <v/>
      </c>
      <c r="AK450">
        <f>IF($N450="","",UPPER(TRIM(LEFT($N450&amp;",",FIND(",",$N450&amp;",")-1))))</f>
        <v/>
      </c>
      <c r="AL450">
        <f>IF($AK450="","",MID($AK450,4,FIND("~",SUBSTITUTE($AK450,"-","~",2))-4))</f>
        <v/>
      </c>
      <c r="AM450">
        <f>IF($AK450="","",MID($AK450,FIND("~",SUBSTITUTE($AK450,"-","~",2))+1,FIND("~",SUBSTITUTE($AK450,"-","~",3))-FIND("~",SUBSTITUTE($AK450,"-","~",2))-1))</f>
        <v/>
      </c>
      <c r="AN450">
        <f>IF($AL450="","",IFERROR(VLOOKUP($AL450,DECODE!$A$3:$C$8,3,FALSE),"?"))</f>
        <v/>
      </c>
      <c r="AO450">
        <f>IF($AM450="","",IFERROR(VLOOKUP($AL450&amp;"-"&amp;$AM450,DECODE!$E$3:$F$21,2,FALSE),"?"))</f>
        <v/>
      </c>
      <c r="AP450">
        <f>IF($AK450="","",IFERROR(VALUE(RIGHT($AK450,3)),""))</f>
        <v/>
      </c>
      <c r="AQ450">
        <f>IF($T450="","",IFERROR(IF(ISNUMBER($T450),$T450,DATEVALUE(TRIM($T450))),""))</f>
        <v/>
      </c>
      <c r="AR450">
        <f>IF($AQ450="","",IF(MONTH($AQ450)&gt;=12,"Cold Winter",IF(MONTH($AQ450)&gt;=10,"Post-Monsoon",IF(MONTH($AQ450)&gt;=6,"Hot Humid",IF(MONTH($AQ450)&gt;=3,"Hot Dry","Cold Winter")))))</f>
        <v/>
      </c>
      <c r="AS450">
        <f>IF($AL450="","",IFERROR(VLOOKUP($AL450,DECODE!$A$3:$C$8,2,FALSE),"?"))</f>
        <v/>
      </c>
      <c r="AT450">
        <f>IF($O450="","",UPPER(TRIM(LEFT($O450&amp;",",FIND(",",$O450&amp;",")-1))))</f>
        <v/>
      </c>
      <c r="AU450">
        <f>IF($AT450="","",MID($AT450,4,FIND("~",SUBSTITUTE($AT450,"-","~",2))-4))</f>
        <v/>
      </c>
      <c r="AV450">
        <f>IF($AT450="","",MID($AT450,FIND("~",SUBSTITUTE($AT450,"-","~",2))+1,FIND("~",SUBSTITUTE($AT450,"-","~",3))-FIND("~",SUBSTITUTE($AT450,"-","~",2))-1))</f>
        <v/>
      </c>
      <c r="AW450">
        <f>IF($AU450="","",IFERROR(VLOOKUP($AU450,DECODE!$A$3:$C$8,3,FALSE),"?"))</f>
        <v/>
      </c>
      <c r="AX450">
        <f>IF($AV450="","",IFERROR(VLOOKUP($AU450&amp;"-"&amp;$AV450,DECODE!$E$3:$F$21,2,FALSE),"?"))</f>
        <v/>
      </c>
      <c r="AY450">
        <f>IF($AT450="","",IFERROR(VALUE(RIGHT($AT450,3)),""))</f>
        <v/>
      </c>
      <c r="AZ450">
        <f>IF($U450="","",IFERROR(IF(ISNUMBER($U450),$U450,DATEVALUE(TRIM($U450))),""))</f>
        <v/>
      </c>
      <c r="BA450">
        <f>IF($AZ450="","",IF(MONTH($AZ450)&gt;=12,"Cold Winter",IF(MONTH($AZ450)&gt;=10,"Post-Monsoon",IF(MONTH($AZ450)&gt;=6,"Hot Humid",IF(MONTH($AZ450)&gt;=3,"Hot Dry","Cold Winter")))))</f>
        <v/>
      </c>
      <c r="BB450">
        <f>IF($AU450="","",IFERROR(VLOOKUP($AU450,DECODE!$A$3:$C$8,2,FALSE),"?"))</f>
        <v/>
      </c>
      <c r="BC450">
        <f>IF($P450="","",UPPER(TRIM(LEFT($P450&amp;",",FIND(",",$P450&amp;",")-1))))</f>
        <v/>
      </c>
      <c r="BD450">
        <f>IF($BC450="","",MID($BC450,4,FIND("~",SUBSTITUTE($BC450,"-","~",2))-4))</f>
        <v/>
      </c>
      <c r="BE450">
        <f>IF($BC450="","",MID($BC450,FIND("~",SUBSTITUTE($BC450,"-","~",2))+1,FIND("~",SUBSTITUTE($BC450,"-","~",3))-FIND("~",SUBSTITUTE($BC450,"-","~",2))-1))</f>
        <v/>
      </c>
      <c r="BF450">
        <f>IF($BD450="","",IFERROR(VLOOKUP($BD450,DECODE!$A$3:$C$8,3,FALSE),"?"))</f>
        <v/>
      </c>
      <c r="BG450">
        <f>IF($BE450="","",IFERROR(VLOOKUP($BD450&amp;"-"&amp;$BE450,DECODE!$E$3:$F$21,2,FALSE),"?"))</f>
        <v/>
      </c>
      <c r="BH450">
        <f>IF($BC450="","",IFERROR(VALUE(RIGHT($BC450,3)),""))</f>
        <v/>
      </c>
      <c r="BI450">
        <f>IF($V450="","",IFERROR(IF(ISNUMBER($V450),$V450,DATEVALUE(TRIM($V450))),""))</f>
        <v/>
      </c>
      <c r="BJ450">
        <f>IF($BI450="","",IF(MONTH($BI450)&gt;=12,"Cold Winter",IF(MONTH($BI450)&gt;=10,"Post-Monsoon",IF(MONTH($BI450)&gt;=6,"Hot Humid",IF(MONTH($BI450)&gt;=3,"Hot Dry","Cold Winter")))))</f>
        <v/>
      </c>
      <c r="BK450">
        <f>IF($BD450="","",IFERROR(VLOOKUP($BD450,DECODE!$A$3:$C$8,2,FALSE),"?"))</f>
        <v/>
      </c>
      <c r="BL450">
        <f>IF($Q450="","",UPPER(TRIM(LEFT($Q450&amp;",",FIND(",",$Q450&amp;",")-1))))</f>
        <v/>
      </c>
      <c r="BM450">
        <f>IF($BL450="","",MID($BL450,4,FIND("~",SUBSTITUTE($BL450,"-","~",2))-4))</f>
        <v/>
      </c>
      <c r="BN450">
        <f>IF($BL450="","",MID($BL450,FIND("~",SUBSTITUTE($BL450,"-","~",2))+1,FIND("~",SUBSTITUTE($BL450,"-","~",3))-FIND("~",SUBSTITUTE($BL450,"-","~",2))-1))</f>
        <v/>
      </c>
      <c r="BO450">
        <f>IF($BM450="","",IFERROR(VLOOKUP($BM450,DECODE!$A$3:$C$8,3,FALSE),"?"))</f>
        <v/>
      </c>
      <c r="BP450">
        <f>IF($BN450="","",IFERROR(VLOOKUP($BM450&amp;"-"&amp;$BN450,DECODE!$E$3:$F$21,2,FALSE),"?"))</f>
        <v/>
      </c>
      <c r="BQ450">
        <f>IF($BL450="","",IFERROR(VALUE(RIGHT($BL450,3)),""))</f>
        <v/>
      </c>
      <c r="BR450">
        <f>IF($W450="","",IFERROR(IF(ISNUMBER($W450),$W450,DATEVALUE(TRIM($W450))),""))</f>
        <v/>
      </c>
      <c r="BS450">
        <f>IF($BR450="","",IF(MONTH($BR450)&gt;=12,"Cold Winter",IF(MONTH($BR450)&gt;=10,"Post-Monsoon",IF(MONTH($BR450)&gt;=6,"Hot Humid",IF(MONTH($BR450)&gt;=3,"Hot Dry","Cold Winter")))))</f>
        <v/>
      </c>
      <c r="BT450">
        <f>IF($BM450="","",IFERROR(VLOOKUP($BM450,DECODE!$A$3:$C$8,2,FALSE),"?"))</f>
        <v/>
      </c>
      <c r="BU450">
        <f>IF($R450="","",UPPER(TRIM(LEFT($R450&amp;",",FIND(",",$R450&amp;",")-1))))</f>
        <v/>
      </c>
      <c r="BV450">
        <f>IF($BU450="","",MID($BU450,4,FIND("~",SUBSTITUTE($BU450,"-","~",2))-4))</f>
        <v/>
      </c>
      <c r="BW450">
        <f>IF($BU450="","",MID($BU450,FIND("~",SUBSTITUTE($BU450,"-","~",2))+1,FIND("~",SUBSTITUTE($BU450,"-","~",3))-FIND("~",SUBSTITUTE($BU450,"-","~",2))-1))</f>
        <v/>
      </c>
      <c r="BX450">
        <f>IF($BV450="","",IFERROR(VLOOKUP($BV450,DECODE!$A$3:$C$8,3,FALSE),"?"))</f>
        <v/>
      </c>
      <c r="BY450">
        <f>IF($BW450="","",IFERROR(VLOOKUP($BV450&amp;"-"&amp;$BW450,DECODE!$E$3:$F$21,2,FALSE),"?"))</f>
        <v/>
      </c>
      <c r="BZ450">
        <f>IF($BU450="","",IFERROR(VALUE(RIGHT($BU450,3)),""))</f>
        <v/>
      </c>
      <c r="CA450">
        <f>IF($X450="","",IFERROR(IF(ISNUMBER($X450),$X450,DATEVALUE(TRIM($X450))),""))</f>
        <v/>
      </c>
      <c r="CB450">
        <f>IF($CA450="","",IF(MONTH($CA450)&gt;=12,"Cold Winter",IF(MONTH($CA450)&gt;=10,"Post-Monsoon",IF(MONTH($CA450)&gt;=6,"Hot Humid",IF(MONTH($CA450)&gt;=3,"Hot Dry","Cold Winter")))))</f>
        <v/>
      </c>
      <c r="CC450">
        <f>IF($BV450="","",IFERROR(VLOOKUP($BV450,DECODE!$A$3:$C$8,2,FALSE),"?"))</f>
        <v/>
      </c>
      <c r="CD450">
        <f>IF($S450="","",UPPER(TRIM(LEFT($S450&amp;",",FIND(",",$S450&amp;",")-1))))</f>
        <v/>
      </c>
      <c r="CE450">
        <f>IF($CD450="","",MID($CD450,4,FIND("~",SUBSTITUTE($CD450,"-","~",2))-4))</f>
        <v/>
      </c>
      <c r="CF450">
        <f>IF($CD450="","",MID($CD450,FIND("~",SUBSTITUTE($CD450,"-","~",2))+1,FIND("~",SUBSTITUTE($CD450,"-","~",3))-FIND("~",SUBSTITUTE($CD450,"-","~",2))-1))</f>
        <v/>
      </c>
      <c r="CG450">
        <f>IF($CE450="","",IFERROR(VLOOKUP($CE450,DECODE!$A$3:$C$8,3,FALSE),"?"))</f>
        <v/>
      </c>
      <c r="CH450">
        <f>IF($CF450="","",IFERROR(VLOOKUP($CE450&amp;"-"&amp;$CF450,DECODE!$E$3:$F$21,2,FALSE),"?"))</f>
        <v/>
      </c>
      <c r="CI450">
        <f>IF($CD450="","",IFERROR(VALUE(RIGHT($CD450,3)),""))</f>
        <v/>
      </c>
      <c r="CJ450">
        <f>IF($Y450="","",IFERROR(IF(ISNUMBER($Y450),$Y450,DATEVALUE(TRIM($Y450))),""))</f>
        <v/>
      </c>
      <c r="CK450">
        <f>IF($CJ450="","",IF(MONTH($CJ450)&gt;=12,"Cold Winter",IF(MONTH($CJ450)&gt;=10,"Post-Monsoon",IF(MONTH($CJ450)&gt;=6,"Hot Humid",IF(MONTH($CJ450)&gt;=3,"Hot Dry","Cold Winter")))))</f>
        <v/>
      </c>
      <c r="CL450">
        <f>IF($CE450="","",IFERROR(VLOOKUP($CE450,DECODE!$A$3:$C$8,2,FALSE),"?"))</f>
        <v/>
      </c>
      <c r="CM450">
        <f>IF($AN450="","",AN450)</f>
        <v/>
      </c>
      <c r="CN450">
        <f>IF($AO450="","",AO450)</f>
        <v/>
      </c>
      <c r="CO450">
        <f>IF($AP450="","",AP450)</f>
        <v/>
      </c>
      <c r="CP450">
        <f>IF($CM450="","",IF($CM450="Aloe Vera Gel","Aloe Vera Gel "&amp;$CO450&amp;"g",CN450&amp;" "&amp;$CO450&amp;"g"))</f>
        <v/>
      </c>
      <c r="CQ450">
        <f>IF($AT450="",0,1)</f>
        <v/>
      </c>
      <c r="CR450">
        <f>IF($CQ450=0,"",AW450)</f>
        <v/>
      </c>
      <c r="CS450">
        <f>IF($CQ450=0,"",AX450)</f>
        <v/>
      </c>
      <c r="CT450">
        <f>IF($CQ450=0,"",AY450)</f>
        <v/>
      </c>
      <c r="CU450">
        <f>IF($CR450="","",IF($CR450="Aloe Vera Gel","Aloe Vera Gel "&amp;$CT450&amp;"g",CS450&amp;" "&amp;$CT450&amp;"g"))</f>
        <v/>
      </c>
      <c r="CV450">
        <f>IF($CQ450=0,"",IF($CP450=$CU450,"Repeat Exact",IF($CT450&gt;$CO450,"Upsized",IF($CT450&lt;$CO450,"Downsized",IF($CM450&lt;&gt;$CR450,"Lateral","Same Size Diff Variant")))))</f>
        <v/>
      </c>
      <c r="CW450">
        <f>IF($CQ450=0,"",AZ450-AQ450)</f>
        <v/>
      </c>
      <c r="CX450">
        <f>IF($CQ450=0,0,IF(CS450=CN450,1,0))</f>
        <v/>
      </c>
      <c r="CY450">
        <f>IF($CQ450=0,0,IF(CR450=CM450,1,0))</f>
        <v/>
      </c>
      <c r="CZ450">
        <f>IF($A450="","",IF(AND(IF(DASHBOARD!$C$4="All",TRUE,$CM450=DASHBOARD!$C$4),IF(DASHBOARD!$C$6="All",TRUE,$CP450=DASHBOARD!$C$6),IF(DASHBOARD!$C$8="All",TRUE,$AF450&gt;=DASHBOARD!$C$8),IF(DASHBOARD!$C$10="All",TRUE,$AF450&lt;=DASHBOARD!$C$10),IF(DASHBOARD!$C$12="All",TRUE,$AH450=VALUE(DASHBOARD!$C$12)),IF(DASHBOARD!$C$14="All",TRUE,$AJ450=DASHBOARD!$C$14)),1,0))</f>
        <v/>
      </c>
    </row>
    <row r="451">
      <c r="A451" t="n">
        <v>215209</v>
      </c>
      <c r="B451" t="inlineStr">
        <is>
          <t>Face Malai</t>
        </is>
      </c>
      <c r="H451" t="inlineStr">
        <is>
          <t>Turmeric Nutmeg (Pigmentation)  Face Malai - 30g</t>
        </is>
      </c>
      <c r="N451" t="inlineStr">
        <is>
          <t>FC-DM-PG-030</t>
        </is>
      </c>
      <c r="T451" t="inlineStr">
        <is>
          <t>Aug 16, 2025</t>
        </is>
      </c>
      <c r="AE451" t="inlineStr">
        <is>
          <t>Gurgaon</t>
        </is>
      </c>
      <c r="AF451" t="inlineStr">
        <is>
          <t>2025-08</t>
        </is>
      </c>
      <c r="AG451" t="n">
        <v>8</v>
      </c>
      <c r="AH451" t="n">
        <v>1</v>
      </c>
      <c r="AI451" t="n">
        <v>0</v>
      </c>
      <c r="AJ451">
        <f>IF($AE451="","",IFERROR(VLOOKUP(TRIM($AE451),DECODE!$H$3:$I$60,2,FALSE),"Rest of India"))</f>
        <v/>
      </c>
      <c r="AK451">
        <f>IF($N451="","",UPPER(TRIM(LEFT($N451&amp;",",FIND(",",$N451&amp;",")-1))))</f>
        <v/>
      </c>
      <c r="AL451">
        <f>IF($AK451="","",MID($AK451,4,FIND("~",SUBSTITUTE($AK451,"-","~",2))-4))</f>
        <v/>
      </c>
      <c r="AM451">
        <f>IF($AK451="","",MID($AK451,FIND("~",SUBSTITUTE($AK451,"-","~",2))+1,FIND("~",SUBSTITUTE($AK451,"-","~",3))-FIND("~",SUBSTITUTE($AK451,"-","~",2))-1))</f>
        <v/>
      </c>
      <c r="AN451">
        <f>IF($AL451="","",IFERROR(VLOOKUP($AL451,DECODE!$A$3:$C$8,3,FALSE),"?"))</f>
        <v/>
      </c>
      <c r="AO451">
        <f>IF($AM451="","",IFERROR(VLOOKUP($AL451&amp;"-"&amp;$AM451,DECODE!$E$3:$F$21,2,FALSE),"?"))</f>
        <v/>
      </c>
      <c r="AP451">
        <f>IF($AK451="","",IFERROR(VALUE(RIGHT($AK451,3)),""))</f>
        <v/>
      </c>
      <c r="AQ451">
        <f>IF($T451="","",IFERROR(IF(ISNUMBER($T451),$T451,DATEVALUE(TRIM($T451))),""))</f>
        <v/>
      </c>
      <c r="AR451">
        <f>IF($AQ451="","",IF(MONTH($AQ451)&gt;=12,"Cold Winter",IF(MONTH($AQ451)&gt;=10,"Post-Monsoon",IF(MONTH($AQ451)&gt;=6,"Hot Humid",IF(MONTH($AQ451)&gt;=3,"Hot Dry","Cold Winter")))))</f>
        <v/>
      </c>
      <c r="AS451">
        <f>IF($AL451="","",IFERROR(VLOOKUP($AL451,DECODE!$A$3:$C$8,2,FALSE),"?"))</f>
        <v/>
      </c>
      <c r="AT451">
        <f>IF($O451="","",UPPER(TRIM(LEFT($O451&amp;",",FIND(",",$O451&amp;",")-1))))</f>
        <v/>
      </c>
      <c r="AU451">
        <f>IF($AT451="","",MID($AT451,4,FIND("~",SUBSTITUTE($AT451,"-","~",2))-4))</f>
        <v/>
      </c>
      <c r="AV451">
        <f>IF($AT451="","",MID($AT451,FIND("~",SUBSTITUTE($AT451,"-","~",2))+1,FIND("~",SUBSTITUTE($AT451,"-","~",3))-FIND("~",SUBSTITUTE($AT451,"-","~",2))-1))</f>
        <v/>
      </c>
      <c r="AW451">
        <f>IF($AU451="","",IFERROR(VLOOKUP($AU451,DECODE!$A$3:$C$8,3,FALSE),"?"))</f>
        <v/>
      </c>
      <c r="AX451">
        <f>IF($AV451="","",IFERROR(VLOOKUP($AU451&amp;"-"&amp;$AV451,DECODE!$E$3:$F$21,2,FALSE),"?"))</f>
        <v/>
      </c>
      <c r="AY451">
        <f>IF($AT451="","",IFERROR(VALUE(RIGHT($AT451,3)),""))</f>
        <v/>
      </c>
      <c r="AZ451">
        <f>IF($U451="","",IFERROR(IF(ISNUMBER($U451),$U451,DATEVALUE(TRIM($U451))),""))</f>
        <v/>
      </c>
      <c r="BA451">
        <f>IF($AZ451="","",IF(MONTH($AZ451)&gt;=12,"Cold Winter",IF(MONTH($AZ451)&gt;=10,"Post-Monsoon",IF(MONTH($AZ451)&gt;=6,"Hot Humid",IF(MONTH($AZ451)&gt;=3,"Hot Dry","Cold Winter")))))</f>
        <v/>
      </c>
      <c r="BB451">
        <f>IF($AU451="","",IFERROR(VLOOKUP($AU451,DECODE!$A$3:$C$8,2,FALSE),"?"))</f>
        <v/>
      </c>
      <c r="BC451">
        <f>IF($P451="","",UPPER(TRIM(LEFT($P451&amp;",",FIND(",",$P451&amp;",")-1))))</f>
        <v/>
      </c>
      <c r="BD451">
        <f>IF($BC451="","",MID($BC451,4,FIND("~",SUBSTITUTE($BC451,"-","~",2))-4))</f>
        <v/>
      </c>
      <c r="BE451">
        <f>IF($BC451="","",MID($BC451,FIND("~",SUBSTITUTE($BC451,"-","~",2))+1,FIND("~",SUBSTITUTE($BC451,"-","~",3))-FIND("~",SUBSTITUTE($BC451,"-","~",2))-1))</f>
        <v/>
      </c>
      <c r="BF451">
        <f>IF($BD451="","",IFERROR(VLOOKUP($BD451,DECODE!$A$3:$C$8,3,FALSE),"?"))</f>
        <v/>
      </c>
      <c r="BG451">
        <f>IF($BE451="","",IFERROR(VLOOKUP($BD451&amp;"-"&amp;$BE451,DECODE!$E$3:$F$21,2,FALSE),"?"))</f>
        <v/>
      </c>
      <c r="BH451">
        <f>IF($BC451="","",IFERROR(VALUE(RIGHT($BC451,3)),""))</f>
        <v/>
      </c>
      <c r="BI451">
        <f>IF($V451="","",IFERROR(IF(ISNUMBER($V451),$V451,DATEVALUE(TRIM($V451))),""))</f>
        <v/>
      </c>
      <c r="BJ451">
        <f>IF($BI451="","",IF(MONTH($BI451)&gt;=12,"Cold Winter",IF(MONTH($BI451)&gt;=10,"Post-Monsoon",IF(MONTH($BI451)&gt;=6,"Hot Humid",IF(MONTH($BI451)&gt;=3,"Hot Dry","Cold Winter")))))</f>
        <v/>
      </c>
      <c r="BK451">
        <f>IF($BD451="","",IFERROR(VLOOKUP($BD451,DECODE!$A$3:$C$8,2,FALSE),"?"))</f>
        <v/>
      </c>
      <c r="BL451">
        <f>IF($Q451="","",UPPER(TRIM(LEFT($Q451&amp;",",FIND(",",$Q451&amp;",")-1))))</f>
        <v/>
      </c>
      <c r="BM451">
        <f>IF($BL451="","",MID($BL451,4,FIND("~",SUBSTITUTE($BL451,"-","~",2))-4))</f>
        <v/>
      </c>
      <c r="BN451">
        <f>IF($BL451="","",MID($BL451,FIND("~",SUBSTITUTE($BL451,"-","~",2))+1,FIND("~",SUBSTITUTE($BL451,"-","~",3))-FIND("~",SUBSTITUTE($BL451,"-","~",2))-1))</f>
        <v/>
      </c>
      <c r="BO451">
        <f>IF($BM451="","",IFERROR(VLOOKUP($BM451,DECODE!$A$3:$C$8,3,FALSE),"?"))</f>
        <v/>
      </c>
      <c r="BP451">
        <f>IF($BN451="","",IFERROR(VLOOKUP($BM451&amp;"-"&amp;$BN451,DECODE!$E$3:$F$21,2,FALSE),"?"))</f>
        <v/>
      </c>
      <c r="BQ451">
        <f>IF($BL451="","",IFERROR(VALUE(RIGHT($BL451,3)),""))</f>
        <v/>
      </c>
      <c r="BR451">
        <f>IF($W451="","",IFERROR(IF(ISNUMBER($W451),$W451,DATEVALUE(TRIM($W451))),""))</f>
        <v/>
      </c>
      <c r="BS451">
        <f>IF($BR451="","",IF(MONTH($BR451)&gt;=12,"Cold Winter",IF(MONTH($BR451)&gt;=10,"Post-Monsoon",IF(MONTH($BR451)&gt;=6,"Hot Humid",IF(MONTH($BR451)&gt;=3,"Hot Dry","Cold Winter")))))</f>
        <v/>
      </c>
      <c r="BT451">
        <f>IF($BM451="","",IFERROR(VLOOKUP($BM451,DECODE!$A$3:$C$8,2,FALSE),"?"))</f>
        <v/>
      </c>
      <c r="BU451">
        <f>IF($R451="","",UPPER(TRIM(LEFT($R451&amp;",",FIND(",",$R451&amp;",")-1))))</f>
        <v/>
      </c>
      <c r="BV451">
        <f>IF($BU451="","",MID($BU451,4,FIND("~",SUBSTITUTE($BU451,"-","~",2))-4))</f>
        <v/>
      </c>
      <c r="BW451">
        <f>IF($BU451="","",MID($BU451,FIND("~",SUBSTITUTE($BU451,"-","~",2))+1,FIND("~",SUBSTITUTE($BU451,"-","~",3))-FIND("~",SUBSTITUTE($BU451,"-","~",2))-1))</f>
        <v/>
      </c>
      <c r="BX451">
        <f>IF($BV451="","",IFERROR(VLOOKUP($BV451,DECODE!$A$3:$C$8,3,FALSE),"?"))</f>
        <v/>
      </c>
      <c r="BY451">
        <f>IF($BW451="","",IFERROR(VLOOKUP($BV451&amp;"-"&amp;$BW451,DECODE!$E$3:$F$21,2,FALSE),"?"))</f>
        <v/>
      </c>
      <c r="BZ451">
        <f>IF($BU451="","",IFERROR(VALUE(RIGHT($BU451,3)),""))</f>
        <v/>
      </c>
      <c r="CA451">
        <f>IF($X451="","",IFERROR(IF(ISNUMBER($X451),$X451,DATEVALUE(TRIM($X451))),""))</f>
        <v/>
      </c>
      <c r="CB451">
        <f>IF($CA451="","",IF(MONTH($CA451)&gt;=12,"Cold Winter",IF(MONTH($CA451)&gt;=10,"Post-Monsoon",IF(MONTH($CA451)&gt;=6,"Hot Humid",IF(MONTH($CA451)&gt;=3,"Hot Dry","Cold Winter")))))</f>
        <v/>
      </c>
      <c r="CC451">
        <f>IF($BV451="","",IFERROR(VLOOKUP($BV451,DECODE!$A$3:$C$8,2,FALSE),"?"))</f>
        <v/>
      </c>
      <c r="CD451">
        <f>IF($S451="","",UPPER(TRIM(LEFT($S451&amp;",",FIND(",",$S451&amp;",")-1))))</f>
        <v/>
      </c>
      <c r="CE451">
        <f>IF($CD451="","",MID($CD451,4,FIND("~",SUBSTITUTE($CD451,"-","~",2))-4))</f>
        <v/>
      </c>
      <c r="CF451">
        <f>IF($CD451="","",MID($CD451,FIND("~",SUBSTITUTE($CD451,"-","~",2))+1,FIND("~",SUBSTITUTE($CD451,"-","~",3))-FIND("~",SUBSTITUTE($CD451,"-","~",2))-1))</f>
        <v/>
      </c>
      <c r="CG451">
        <f>IF($CE451="","",IFERROR(VLOOKUP($CE451,DECODE!$A$3:$C$8,3,FALSE),"?"))</f>
        <v/>
      </c>
      <c r="CH451">
        <f>IF($CF451="","",IFERROR(VLOOKUP($CE451&amp;"-"&amp;$CF451,DECODE!$E$3:$F$21,2,FALSE),"?"))</f>
        <v/>
      </c>
      <c r="CI451">
        <f>IF($CD451="","",IFERROR(VALUE(RIGHT($CD451,3)),""))</f>
        <v/>
      </c>
      <c r="CJ451">
        <f>IF($Y451="","",IFERROR(IF(ISNUMBER($Y451),$Y451,DATEVALUE(TRIM($Y451))),""))</f>
        <v/>
      </c>
      <c r="CK451">
        <f>IF($CJ451="","",IF(MONTH($CJ451)&gt;=12,"Cold Winter",IF(MONTH($CJ451)&gt;=10,"Post-Monsoon",IF(MONTH($CJ451)&gt;=6,"Hot Humid",IF(MONTH($CJ451)&gt;=3,"Hot Dry","Cold Winter")))))</f>
        <v/>
      </c>
      <c r="CL451">
        <f>IF($CE451="","",IFERROR(VLOOKUP($CE451,DECODE!$A$3:$C$8,2,FALSE),"?"))</f>
        <v/>
      </c>
      <c r="CM451">
        <f>IF($AN451="","",AN451)</f>
        <v/>
      </c>
      <c r="CN451">
        <f>IF($AO451="","",AO451)</f>
        <v/>
      </c>
      <c r="CO451">
        <f>IF($AP451="","",AP451)</f>
        <v/>
      </c>
      <c r="CP451">
        <f>IF($CM451="","",IF($CM451="Aloe Vera Gel","Aloe Vera Gel "&amp;$CO451&amp;"g",CN451&amp;" "&amp;$CO451&amp;"g"))</f>
        <v/>
      </c>
      <c r="CQ451">
        <f>IF($AT451="",0,1)</f>
        <v/>
      </c>
      <c r="CR451">
        <f>IF($CQ451=0,"",AW451)</f>
        <v/>
      </c>
      <c r="CS451">
        <f>IF($CQ451=0,"",AX451)</f>
        <v/>
      </c>
      <c r="CT451">
        <f>IF($CQ451=0,"",AY451)</f>
        <v/>
      </c>
      <c r="CU451">
        <f>IF($CR451="","",IF($CR451="Aloe Vera Gel","Aloe Vera Gel "&amp;$CT451&amp;"g",CS451&amp;" "&amp;$CT451&amp;"g"))</f>
        <v/>
      </c>
      <c r="CV451">
        <f>IF($CQ451=0,"",IF($CP451=$CU451,"Repeat Exact",IF($CT451&gt;$CO451,"Upsized",IF($CT451&lt;$CO451,"Downsized",IF($CM451&lt;&gt;$CR451,"Lateral","Same Size Diff Variant")))))</f>
        <v/>
      </c>
      <c r="CW451">
        <f>IF($CQ451=0,"",AZ451-AQ451)</f>
        <v/>
      </c>
      <c r="CX451">
        <f>IF($CQ451=0,0,IF(CS451=CN451,1,0))</f>
        <v/>
      </c>
      <c r="CY451">
        <f>IF($CQ451=0,0,IF(CR451=CM451,1,0))</f>
        <v/>
      </c>
      <c r="CZ451">
        <f>IF($A451="","",IF(AND(IF(DASHBOARD!$C$4="All",TRUE,$CM451=DASHBOARD!$C$4),IF(DASHBOARD!$C$6="All",TRUE,$CP451=DASHBOARD!$C$6),IF(DASHBOARD!$C$8="All",TRUE,$AF451&gt;=DASHBOARD!$C$8),IF(DASHBOARD!$C$10="All",TRUE,$AF451&lt;=DASHBOARD!$C$10),IF(DASHBOARD!$C$12="All",TRUE,$AH451=VALUE(DASHBOARD!$C$12)),IF(DASHBOARD!$C$14="All",TRUE,$AJ451=DASHBOARD!$C$14)),1,0))</f>
        <v/>
      </c>
    </row>
    <row r="452">
      <c r="A452" t="n">
        <v>215701</v>
      </c>
      <c r="B452" t="inlineStr">
        <is>
          <t>Face Malai</t>
        </is>
      </c>
      <c r="H452" t="inlineStr">
        <is>
          <t>Turmeric Nutmeg (Pigmentation)  Face Malai - 30g</t>
        </is>
      </c>
      <c r="N452" t="inlineStr">
        <is>
          <t>FC-DM-PG-030</t>
        </is>
      </c>
      <c r="T452" t="inlineStr">
        <is>
          <t>Feb 12, 2024</t>
        </is>
      </c>
      <c r="AE452" t="inlineStr">
        <is>
          <t>Cuttack</t>
        </is>
      </c>
      <c r="AF452" t="inlineStr">
        <is>
          <t>2024-02</t>
        </is>
      </c>
      <c r="AG452" t="n">
        <v>2</v>
      </c>
      <c r="AH452" t="n">
        <v>1</v>
      </c>
      <c r="AI452" t="n">
        <v>0</v>
      </c>
      <c r="AJ452">
        <f>IF($AE452="","",IFERROR(VLOOKUP(TRIM($AE452),DECODE!$H$3:$I$60,2,FALSE),"Rest of India"))</f>
        <v/>
      </c>
      <c r="AK452">
        <f>IF($N452="","",UPPER(TRIM(LEFT($N452&amp;",",FIND(",",$N452&amp;",")-1))))</f>
        <v/>
      </c>
      <c r="AL452">
        <f>IF($AK452="","",MID($AK452,4,FIND("~",SUBSTITUTE($AK452,"-","~",2))-4))</f>
        <v/>
      </c>
      <c r="AM452">
        <f>IF($AK452="","",MID($AK452,FIND("~",SUBSTITUTE($AK452,"-","~",2))+1,FIND("~",SUBSTITUTE($AK452,"-","~",3))-FIND("~",SUBSTITUTE($AK452,"-","~",2))-1))</f>
        <v/>
      </c>
      <c r="AN452">
        <f>IF($AL452="","",IFERROR(VLOOKUP($AL452,DECODE!$A$3:$C$8,3,FALSE),"?"))</f>
        <v/>
      </c>
      <c r="AO452">
        <f>IF($AM452="","",IFERROR(VLOOKUP($AL452&amp;"-"&amp;$AM452,DECODE!$E$3:$F$21,2,FALSE),"?"))</f>
        <v/>
      </c>
      <c r="AP452">
        <f>IF($AK452="","",IFERROR(VALUE(RIGHT($AK452,3)),""))</f>
        <v/>
      </c>
      <c r="AQ452">
        <f>IF($T452="","",IFERROR(IF(ISNUMBER($T452),$T452,DATEVALUE(TRIM($T452))),""))</f>
        <v/>
      </c>
      <c r="AR452">
        <f>IF($AQ452="","",IF(MONTH($AQ452)&gt;=12,"Cold Winter",IF(MONTH($AQ452)&gt;=10,"Post-Monsoon",IF(MONTH($AQ452)&gt;=6,"Hot Humid",IF(MONTH($AQ452)&gt;=3,"Hot Dry","Cold Winter")))))</f>
        <v/>
      </c>
      <c r="AS452">
        <f>IF($AL452="","",IFERROR(VLOOKUP($AL452,DECODE!$A$3:$C$8,2,FALSE),"?"))</f>
        <v/>
      </c>
      <c r="AT452">
        <f>IF($O452="","",UPPER(TRIM(LEFT($O452&amp;",",FIND(",",$O452&amp;",")-1))))</f>
        <v/>
      </c>
      <c r="AU452">
        <f>IF($AT452="","",MID($AT452,4,FIND("~",SUBSTITUTE($AT452,"-","~",2))-4))</f>
        <v/>
      </c>
      <c r="AV452">
        <f>IF($AT452="","",MID($AT452,FIND("~",SUBSTITUTE($AT452,"-","~",2))+1,FIND("~",SUBSTITUTE($AT452,"-","~",3))-FIND("~",SUBSTITUTE($AT452,"-","~",2))-1))</f>
        <v/>
      </c>
      <c r="AW452">
        <f>IF($AU452="","",IFERROR(VLOOKUP($AU452,DECODE!$A$3:$C$8,3,FALSE),"?"))</f>
        <v/>
      </c>
      <c r="AX452">
        <f>IF($AV452="","",IFERROR(VLOOKUP($AU452&amp;"-"&amp;$AV452,DECODE!$E$3:$F$21,2,FALSE),"?"))</f>
        <v/>
      </c>
      <c r="AY452">
        <f>IF($AT452="","",IFERROR(VALUE(RIGHT($AT452,3)),""))</f>
        <v/>
      </c>
      <c r="AZ452">
        <f>IF($U452="","",IFERROR(IF(ISNUMBER($U452),$U452,DATEVALUE(TRIM($U452))),""))</f>
        <v/>
      </c>
      <c r="BA452">
        <f>IF($AZ452="","",IF(MONTH($AZ452)&gt;=12,"Cold Winter",IF(MONTH($AZ452)&gt;=10,"Post-Monsoon",IF(MONTH($AZ452)&gt;=6,"Hot Humid",IF(MONTH($AZ452)&gt;=3,"Hot Dry","Cold Winter")))))</f>
        <v/>
      </c>
      <c r="BB452">
        <f>IF($AU452="","",IFERROR(VLOOKUP($AU452,DECODE!$A$3:$C$8,2,FALSE),"?"))</f>
        <v/>
      </c>
      <c r="BC452">
        <f>IF($P452="","",UPPER(TRIM(LEFT($P452&amp;",",FIND(",",$P452&amp;",")-1))))</f>
        <v/>
      </c>
      <c r="BD452">
        <f>IF($BC452="","",MID($BC452,4,FIND("~",SUBSTITUTE($BC452,"-","~",2))-4))</f>
        <v/>
      </c>
      <c r="BE452">
        <f>IF($BC452="","",MID($BC452,FIND("~",SUBSTITUTE($BC452,"-","~",2))+1,FIND("~",SUBSTITUTE($BC452,"-","~",3))-FIND("~",SUBSTITUTE($BC452,"-","~",2))-1))</f>
        <v/>
      </c>
      <c r="BF452">
        <f>IF($BD452="","",IFERROR(VLOOKUP($BD452,DECODE!$A$3:$C$8,3,FALSE),"?"))</f>
        <v/>
      </c>
      <c r="BG452">
        <f>IF($BE452="","",IFERROR(VLOOKUP($BD452&amp;"-"&amp;$BE452,DECODE!$E$3:$F$21,2,FALSE),"?"))</f>
        <v/>
      </c>
      <c r="BH452">
        <f>IF($BC452="","",IFERROR(VALUE(RIGHT($BC452,3)),""))</f>
        <v/>
      </c>
      <c r="BI452">
        <f>IF($V452="","",IFERROR(IF(ISNUMBER($V452),$V452,DATEVALUE(TRIM($V452))),""))</f>
        <v/>
      </c>
      <c r="BJ452">
        <f>IF($BI452="","",IF(MONTH($BI452)&gt;=12,"Cold Winter",IF(MONTH($BI452)&gt;=10,"Post-Monsoon",IF(MONTH($BI452)&gt;=6,"Hot Humid",IF(MONTH($BI452)&gt;=3,"Hot Dry","Cold Winter")))))</f>
        <v/>
      </c>
      <c r="BK452">
        <f>IF($BD452="","",IFERROR(VLOOKUP($BD452,DECODE!$A$3:$C$8,2,FALSE),"?"))</f>
        <v/>
      </c>
      <c r="BL452">
        <f>IF($Q452="","",UPPER(TRIM(LEFT($Q452&amp;",",FIND(",",$Q452&amp;",")-1))))</f>
        <v/>
      </c>
      <c r="BM452">
        <f>IF($BL452="","",MID($BL452,4,FIND("~",SUBSTITUTE($BL452,"-","~",2))-4))</f>
        <v/>
      </c>
      <c r="BN452">
        <f>IF($BL452="","",MID($BL452,FIND("~",SUBSTITUTE($BL452,"-","~",2))+1,FIND("~",SUBSTITUTE($BL452,"-","~",3))-FIND("~",SUBSTITUTE($BL452,"-","~",2))-1))</f>
        <v/>
      </c>
      <c r="BO452">
        <f>IF($BM452="","",IFERROR(VLOOKUP($BM452,DECODE!$A$3:$C$8,3,FALSE),"?"))</f>
        <v/>
      </c>
      <c r="BP452">
        <f>IF($BN452="","",IFERROR(VLOOKUP($BM452&amp;"-"&amp;$BN452,DECODE!$E$3:$F$21,2,FALSE),"?"))</f>
        <v/>
      </c>
      <c r="BQ452">
        <f>IF($BL452="","",IFERROR(VALUE(RIGHT($BL452,3)),""))</f>
        <v/>
      </c>
      <c r="BR452">
        <f>IF($W452="","",IFERROR(IF(ISNUMBER($W452),$W452,DATEVALUE(TRIM($W452))),""))</f>
        <v/>
      </c>
      <c r="BS452">
        <f>IF($BR452="","",IF(MONTH($BR452)&gt;=12,"Cold Winter",IF(MONTH($BR452)&gt;=10,"Post-Monsoon",IF(MONTH($BR452)&gt;=6,"Hot Humid",IF(MONTH($BR452)&gt;=3,"Hot Dry","Cold Winter")))))</f>
        <v/>
      </c>
      <c r="BT452">
        <f>IF($BM452="","",IFERROR(VLOOKUP($BM452,DECODE!$A$3:$C$8,2,FALSE),"?"))</f>
        <v/>
      </c>
      <c r="BU452">
        <f>IF($R452="","",UPPER(TRIM(LEFT($R452&amp;",",FIND(",",$R452&amp;",")-1))))</f>
        <v/>
      </c>
      <c r="BV452">
        <f>IF($BU452="","",MID($BU452,4,FIND("~",SUBSTITUTE($BU452,"-","~",2))-4))</f>
        <v/>
      </c>
      <c r="BW452">
        <f>IF($BU452="","",MID($BU452,FIND("~",SUBSTITUTE($BU452,"-","~",2))+1,FIND("~",SUBSTITUTE($BU452,"-","~",3))-FIND("~",SUBSTITUTE($BU452,"-","~",2))-1))</f>
        <v/>
      </c>
      <c r="BX452">
        <f>IF($BV452="","",IFERROR(VLOOKUP($BV452,DECODE!$A$3:$C$8,3,FALSE),"?"))</f>
        <v/>
      </c>
      <c r="BY452">
        <f>IF($BW452="","",IFERROR(VLOOKUP($BV452&amp;"-"&amp;$BW452,DECODE!$E$3:$F$21,2,FALSE),"?"))</f>
        <v/>
      </c>
      <c r="BZ452">
        <f>IF($BU452="","",IFERROR(VALUE(RIGHT($BU452,3)),""))</f>
        <v/>
      </c>
      <c r="CA452">
        <f>IF($X452="","",IFERROR(IF(ISNUMBER($X452),$X452,DATEVALUE(TRIM($X452))),""))</f>
        <v/>
      </c>
      <c r="CB452">
        <f>IF($CA452="","",IF(MONTH($CA452)&gt;=12,"Cold Winter",IF(MONTH($CA452)&gt;=10,"Post-Monsoon",IF(MONTH($CA452)&gt;=6,"Hot Humid",IF(MONTH($CA452)&gt;=3,"Hot Dry","Cold Winter")))))</f>
        <v/>
      </c>
      <c r="CC452">
        <f>IF($BV452="","",IFERROR(VLOOKUP($BV452,DECODE!$A$3:$C$8,2,FALSE),"?"))</f>
        <v/>
      </c>
      <c r="CD452">
        <f>IF($S452="","",UPPER(TRIM(LEFT($S452&amp;",",FIND(",",$S452&amp;",")-1))))</f>
        <v/>
      </c>
      <c r="CE452">
        <f>IF($CD452="","",MID($CD452,4,FIND("~",SUBSTITUTE($CD452,"-","~",2))-4))</f>
        <v/>
      </c>
      <c r="CF452">
        <f>IF($CD452="","",MID($CD452,FIND("~",SUBSTITUTE($CD452,"-","~",2))+1,FIND("~",SUBSTITUTE($CD452,"-","~",3))-FIND("~",SUBSTITUTE($CD452,"-","~",2))-1))</f>
        <v/>
      </c>
      <c r="CG452">
        <f>IF($CE452="","",IFERROR(VLOOKUP($CE452,DECODE!$A$3:$C$8,3,FALSE),"?"))</f>
        <v/>
      </c>
      <c r="CH452">
        <f>IF($CF452="","",IFERROR(VLOOKUP($CE452&amp;"-"&amp;$CF452,DECODE!$E$3:$F$21,2,FALSE),"?"))</f>
        <v/>
      </c>
      <c r="CI452">
        <f>IF($CD452="","",IFERROR(VALUE(RIGHT($CD452,3)),""))</f>
        <v/>
      </c>
      <c r="CJ452">
        <f>IF($Y452="","",IFERROR(IF(ISNUMBER($Y452),$Y452,DATEVALUE(TRIM($Y452))),""))</f>
        <v/>
      </c>
      <c r="CK452">
        <f>IF($CJ452="","",IF(MONTH($CJ452)&gt;=12,"Cold Winter",IF(MONTH($CJ452)&gt;=10,"Post-Monsoon",IF(MONTH($CJ452)&gt;=6,"Hot Humid",IF(MONTH($CJ452)&gt;=3,"Hot Dry","Cold Winter")))))</f>
        <v/>
      </c>
      <c r="CL452">
        <f>IF($CE452="","",IFERROR(VLOOKUP($CE452,DECODE!$A$3:$C$8,2,FALSE),"?"))</f>
        <v/>
      </c>
      <c r="CM452">
        <f>IF($AN452="","",AN452)</f>
        <v/>
      </c>
      <c r="CN452">
        <f>IF($AO452="","",AO452)</f>
        <v/>
      </c>
      <c r="CO452">
        <f>IF($AP452="","",AP452)</f>
        <v/>
      </c>
      <c r="CP452">
        <f>IF($CM452="","",IF($CM452="Aloe Vera Gel","Aloe Vera Gel "&amp;$CO452&amp;"g",CN452&amp;" "&amp;$CO452&amp;"g"))</f>
        <v/>
      </c>
      <c r="CQ452">
        <f>IF($AT452="",0,1)</f>
        <v/>
      </c>
      <c r="CR452">
        <f>IF($CQ452=0,"",AW452)</f>
        <v/>
      </c>
      <c r="CS452">
        <f>IF($CQ452=0,"",AX452)</f>
        <v/>
      </c>
      <c r="CT452">
        <f>IF($CQ452=0,"",AY452)</f>
        <v/>
      </c>
      <c r="CU452">
        <f>IF($CR452="","",IF($CR452="Aloe Vera Gel","Aloe Vera Gel "&amp;$CT452&amp;"g",CS452&amp;" "&amp;$CT452&amp;"g"))</f>
        <v/>
      </c>
      <c r="CV452">
        <f>IF($CQ452=0,"",IF($CP452=$CU452,"Repeat Exact",IF($CT452&gt;$CO452,"Upsized",IF($CT452&lt;$CO452,"Downsized",IF($CM452&lt;&gt;$CR452,"Lateral","Same Size Diff Variant")))))</f>
        <v/>
      </c>
      <c r="CW452">
        <f>IF($CQ452=0,"",AZ452-AQ452)</f>
        <v/>
      </c>
      <c r="CX452">
        <f>IF($CQ452=0,0,IF(CS452=CN452,1,0))</f>
        <v/>
      </c>
      <c r="CY452">
        <f>IF($CQ452=0,0,IF(CR452=CM452,1,0))</f>
        <v/>
      </c>
      <c r="CZ452">
        <f>IF($A452="","",IF(AND(IF(DASHBOARD!$C$4="All",TRUE,$CM452=DASHBOARD!$C$4),IF(DASHBOARD!$C$6="All",TRUE,$CP452=DASHBOARD!$C$6),IF(DASHBOARD!$C$8="All",TRUE,$AF452&gt;=DASHBOARD!$C$8),IF(DASHBOARD!$C$10="All",TRUE,$AF452&lt;=DASHBOARD!$C$10),IF(DASHBOARD!$C$12="All",TRUE,$AH452=VALUE(DASHBOARD!$C$12)),IF(DASHBOARD!$C$14="All",TRUE,$AJ452=DASHBOARD!$C$14)),1,0))</f>
        <v/>
      </c>
    </row>
    <row r="453">
      <c r="A453" t="n">
        <v>216326</v>
      </c>
      <c r="B453" t="inlineStr">
        <is>
          <t>Face Malai</t>
        </is>
      </c>
      <c r="C453" t="inlineStr">
        <is>
          <t>Face Malai</t>
        </is>
      </c>
      <c r="H453" t="inlineStr">
        <is>
          <t>Turmeric Nutmeg (Pigmentation)  Face Malai - 30g</t>
        </is>
      </c>
      <c r="I453" t="inlineStr">
        <is>
          <t>Tomato Rosehip (Hot Dry) 20 - 35 Yrs Face Malai - 50g</t>
        </is>
      </c>
      <c r="N453" t="inlineStr">
        <is>
          <t>FC-DM-PG-030</t>
        </is>
      </c>
      <c r="O453" t="inlineStr">
        <is>
          <t>FC-HDDM-TR-050</t>
        </is>
      </c>
      <c r="T453" t="inlineStr">
        <is>
          <t>Oct 18, 2024</t>
        </is>
      </c>
      <c r="U453" t="inlineStr">
        <is>
          <t>Apr 12, 2026</t>
        </is>
      </c>
      <c r="Z453" t="n">
        <v>541</v>
      </c>
      <c r="AE453" t="inlineStr">
        <is>
          <t>New Delhi</t>
        </is>
      </c>
      <c r="AF453" t="inlineStr">
        <is>
          <t>2024-10</t>
        </is>
      </c>
      <c r="AG453" t="n">
        <v>10</v>
      </c>
      <c r="AH453" t="n">
        <v>2</v>
      </c>
      <c r="AI453" t="n">
        <v>1</v>
      </c>
      <c r="AJ453">
        <f>IF($AE453="","",IFERROR(VLOOKUP(TRIM($AE453),DECODE!$H$3:$I$60,2,FALSE),"Rest of India"))</f>
        <v/>
      </c>
      <c r="AK453">
        <f>IF($N453="","",UPPER(TRIM(LEFT($N453&amp;",",FIND(",",$N453&amp;",")-1))))</f>
        <v/>
      </c>
      <c r="AL453">
        <f>IF($AK453="","",MID($AK453,4,FIND("~",SUBSTITUTE($AK453,"-","~",2))-4))</f>
        <v/>
      </c>
      <c r="AM453">
        <f>IF($AK453="","",MID($AK453,FIND("~",SUBSTITUTE($AK453,"-","~",2))+1,FIND("~",SUBSTITUTE($AK453,"-","~",3))-FIND("~",SUBSTITUTE($AK453,"-","~",2))-1))</f>
        <v/>
      </c>
      <c r="AN453">
        <f>IF($AL453="","",IFERROR(VLOOKUP($AL453,DECODE!$A$3:$C$8,3,FALSE),"?"))</f>
        <v/>
      </c>
      <c r="AO453">
        <f>IF($AM453="","",IFERROR(VLOOKUP($AL453&amp;"-"&amp;$AM453,DECODE!$E$3:$F$21,2,FALSE),"?"))</f>
        <v/>
      </c>
      <c r="AP453">
        <f>IF($AK453="","",IFERROR(VALUE(RIGHT($AK453,3)),""))</f>
        <v/>
      </c>
      <c r="AQ453">
        <f>IF($T453="","",IFERROR(IF(ISNUMBER($T453),$T453,DATEVALUE(TRIM($T453))),""))</f>
        <v/>
      </c>
      <c r="AR453">
        <f>IF($AQ453="","",IF(MONTH($AQ453)&gt;=12,"Cold Winter",IF(MONTH($AQ453)&gt;=10,"Post-Monsoon",IF(MONTH($AQ453)&gt;=6,"Hot Humid",IF(MONTH($AQ453)&gt;=3,"Hot Dry","Cold Winter")))))</f>
        <v/>
      </c>
      <c r="AS453">
        <f>IF($AL453="","",IFERROR(VLOOKUP($AL453,DECODE!$A$3:$C$8,2,FALSE),"?"))</f>
        <v/>
      </c>
      <c r="AT453">
        <f>IF($O453="","",UPPER(TRIM(LEFT($O453&amp;",",FIND(",",$O453&amp;",")-1))))</f>
        <v/>
      </c>
      <c r="AU453">
        <f>IF($AT453="","",MID($AT453,4,FIND("~",SUBSTITUTE($AT453,"-","~",2))-4))</f>
        <v/>
      </c>
      <c r="AV453">
        <f>IF($AT453="","",MID($AT453,FIND("~",SUBSTITUTE($AT453,"-","~",2))+1,FIND("~",SUBSTITUTE($AT453,"-","~",3))-FIND("~",SUBSTITUTE($AT453,"-","~",2))-1))</f>
        <v/>
      </c>
      <c r="AW453">
        <f>IF($AU453="","",IFERROR(VLOOKUP($AU453,DECODE!$A$3:$C$8,3,FALSE),"?"))</f>
        <v/>
      </c>
      <c r="AX453">
        <f>IF($AV453="","",IFERROR(VLOOKUP($AU453&amp;"-"&amp;$AV453,DECODE!$E$3:$F$21,2,FALSE),"?"))</f>
        <v/>
      </c>
      <c r="AY453">
        <f>IF($AT453="","",IFERROR(VALUE(RIGHT($AT453,3)),""))</f>
        <v/>
      </c>
      <c r="AZ453">
        <f>IF($U453="","",IFERROR(IF(ISNUMBER($U453),$U453,DATEVALUE(TRIM($U453))),""))</f>
        <v/>
      </c>
      <c r="BA453">
        <f>IF($AZ453="","",IF(MONTH($AZ453)&gt;=12,"Cold Winter",IF(MONTH($AZ453)&gt;=10,"Post-Monsoon",IF(MONTH($AZ453)&gt;=6,"Hot Humid",IF(MONTH($AZ453)&gt;=3,"Hot Dry","Cold Winter")))))</f>
        <v/>
      </c>
      <c r="BB453">
        <f>IF($AU453="","",IFERROR(VLOOKUP($AU453,DECODE!$A$3:$C$8,2,FALSE),"?"))</f>
        <v/>
      </c>
      <c r="BC453">
        <f>IF($P453="","",UPPER(TRIM(LEFT($P453&amp;",",FIND(",",$P453&amp;",")-1))))</f>
        <v/>
      </c>
      <c r="BD453">
        <f>IF($BC453="","",MID($BC453,4,FIND("~",SUBSTITUTE($BC453,"-","~",2))-4))</f>
        <v/>
      </c>
      <c r="BE453">
        <f>IF($BC453="","",MID($BC453,FIND("~",SUBSTITUTE($BC453,"-","~",2))+1,FIND("~",SUBSTITUTE($BC453,"-","~",3))-FIND("~",SUBSTITUTE($BC453,"-","~",2))-1))</f>
        <v/>
      </c>
      <c r="BF453">
        <f>IF($BD453="","",IFERROR(VLOOKUP($BD453,DECODE!$A$3:$C$8,3,FALSE),"?"))</f>
        <v/>
      </c>
      <c r="BG453">
        <f>IF($BE453="","",IFERROR(VLOOKUP($BD453&amp;"-"&amp;$BE453,DECODE!$E$3:$F$21,2,FALSE),"?"))</f>
        <v/>
      </c>
      <c r="BH453">
        <f>IF($BC453="","",IFERROR(VALUE(RIGHT($BC453,3)),""))</f>
        <v/>
      </c>
      <c r="BI453">
        <f>IF($V453="","",IFERROR(IF(ISNUMBER($V453),$V453,DATEVALUE(TRIM($V453))),""))</f>
        <v/>
      </c>
      <c r="BJ453">
        <f>IF($BI453="","",IF(MONTH($BI453)&gt;=12,"Cold Winter",IF(MONTH($BI453)&gt;=10,"Post-Monsoon",IF(MONTH($BI453)&gt;=6,"Hot Humid",IF(MONTH($BI453)&gt;=3,"Hot Dry","Cold Winter")))))</f>
        <v/>
      </c>
      <c r="BK453">
        <f>IF($BD453="","",IFERROR(VLOOKUP($BD453,DECODE!$A$3:$C$8,2,FALSE),"?"))</f>
        <v/>
      </c>
      <c r="BL453">
        <f>IF($Q453="","",UPPER(TRIM(LEFT($Q453&amp;",",FIND(",",$Q453&amp;",")-1))))</f>
        <v/>
      </c>
      <c r="BM453">
        <f>IF($BL453="","",MID($BL453,4,FIND("~",SUBSTITUTE($BL453,"-","~",2))-4))</f>
        <v/>
      </c>
      <c r="BN453">
        <f>IF($BL453="","",MID($BL453,FIND("~",SUBSTITUTE($BL453,"-","~",2))+1,FIND("~",SUBSTITUTE($BL453,"-","~",3))-FIND("~",SUBSTITUTE($BL453,"-","~",2))-1))</f>
        <v/>
      </c>
      <c r="BO453">
        <f>IF($BM453="","",IFERROR(VLOOKUP($BM453,DECODE!$A$3:$C$8,3,FALSE),"?"))</f>
        <v/>
      </c>
      <c r="BP453">
        <f>IF($BN453="","",IFERROR(VLOOKUP($BM453&amp;"-"&amp;$BN453,DECODE!$E$3:$F$21,2,FALSE),"?"))</f>
        <v/>
      </c>
      <c r="BQ453">
        <f>IF($BL453="","",IFERROR(VALUE(RIGHT($BL453,3)),""))</f>
        <v/>
      </c>
      <c r="BR453">
        <f>IF($W453="","",IFERROR(IF(ISNUMBER($W453),$W453,DATEVALUE(TRIM($W453))),""))</f>
        <v/>
      </c>
      <c r="BS453">
        <f>IF($BR453="","",IF(MONTH($BR453)&gt;=12,"Cold Winter",IF(MONTH($BR453)&gt;=10,"Post-Monsoon",IF(MONTH($BR453)&gt;=6,"Hot Humid",IF(MONTH($BR453)&gt;=3,"Hot Dry","Cold Winter")))))</f>
        <v/>
      </c>
      <c r="BT453">
        <f>IF($BM453="","",IFERROR(VLOOKUP($BM453,DECODE!$A$3:$C$8,2,FALSE),"?"))</f>
        <v/>
      </c>
      <c r="BU453">
        <f>IF($R453="","",UPPER(TRIM(LEFT($R453&amp;",",FIND(",",$R453&amp;",")-1))))</f>
        <v/>
      </c>
      <c r="BV453">
        <f>IF($BU453="","",MID($BU453,4,FIND("~",SUBSTITUTE($BU453,"-","~",2))-4))</f>
        <v/>
      </c>
      <c r="BW453">
        <f>IF($BU453="","",MID($BU453,FIND("~",SUBSTITUTE($BU453,"-","~",2))+1,FIND("~",SUBSTITUTE($BU453,"-","~",3))-FIND("~",SUBSTITUTE($BU453,"-","~",2))-1))</f>
        <v/>
      </c>
      <c r="BX453">
        <f>IF($BV453="","",IFERROR(VLOOKUP($BV453,DECODE!$A$3:$C$8,3,FALSE),"?"))</f>
        <v/>
      </c>
      <c r="BY453">
        <f>IF($BW453="","",IFERROR(VLOOKUP($BV453&amp;"-"&amp;$BW453,DECODE!$E$3:$F$21,2,FALSE),"?"))</f>
        <v/>
      </c>
      <c r="BZ453">
        <f>IF($BU453="","",IFERROR(VALUE(RIGHT($BU453,3)),""))</f>
        <v/>
      </c>
      <c r="CA453">
        <f>IF($X453="","",IFERROR(IF(ISNUMBER($X453),$X453,DATEVALUE(TRIM($X453))),""))</f>
        <v/>
      </c>
      <c r="CB453">
        <f>IF($CA453="","",IF(MONTH($CA453)&gt;=12,"Cold Winter",IF(MONTH($CA453)&gt;=10,"Post-Monsoon",IF(MONTH($CA453)&gt;=6,"Hot Humid",IF(MONTH($CA453)&gt;=3,"Hot Dry","Cold Winter")))))</f>
        <v/>
      </c>
      <c r="CC453">
        <f>IF($BV453="","",IFERROR(VLOOKUP($BV453,DECODE!$A$3:$C$8,2,FALSE),"?"))</f>
        <v/>
      </c>
      <c r="CD453">
        <f>IF($S453="","",UPPER(TRIM(LEFT($S453&amp;",",FIND(",",$S453&amp;",")-1))))</f>
        <v/>
      </c>
      <c r="CE453">
        <f>IF($CD453="","",MID($CD453,4,FIND("~",SUBSTITUTE($CD453,"-","~",2))-4))</f>
        <v/>
      </c>
      <c r="CF453">
        <f>IF($CD453="","",MID($CD453,FIND("~",SUBSTITUTE($CD453,"-","~",2))+1,FIND("~",SUBSTITUTE($CD453,"-","~",3))-FIND("~",SUBSTITUTE($CD453,"-","~",2))-1))</f>
        <v/>
      </c>
      <c r="CG453">
        <f>IF($CE453="","",IFERROR(VLOOKUP($CE453,DECODE!$A$3:$C$8,3,FALSE),"?"))</f>
        <v/>
      </c>
      <c r="CH453">
        <f>IF($CF453="","",IFERROR(VLOOKUP($CE453&amp;"-"&amp;$CF453,DECODE!$E$3:$F$21,2,FALSE),"?"))</f>
        <v/>
      </c>
      <c r="CI453">
        <f>IF($CD453="","",IFERROR(VALUE(RIGHT($CD453,3)),""))</f>
        <v/>
      </c>
      <c r="CJ453">
        <f>IF($Y453="","",IFERROR(IF(ISNUMBER($Y453),$Y453,DATEVALUE(TRIM($Y453))),""))</f>
        <v/>
      </c>
      <c r="CK453">
        <f>IF($CJ453="","",IF(MONTH($CJ453)&gt;=12,"Cold Winter",IF(MONTH($CJ453)&gt;=10,"Post-Monsoon",IF(MONTH($CJ453)&gt;=6,"Hot Humid",IF(MONTH($CJ453)&gt;=3,"Hot Dry","Cold Winter")))))</f>
        <v/>
      </c>
      <c r="CL453">
        <f>IF($CE453="","",IFERROR(VLOOKUP($CE453,DECODE!$A$3:$C$8,2,FALSE),"?"))</f>
        <v/>
      </c>
      <c r="CM453">
        <f>IF($AN453="","",AN453)</f>
        <v/>
      </c>
      <c r="CN453">
        <f>IF($AO453="","",AO453)</f>
        <v/>
      </c>
      <c r="CO453">
        <f>IF($AP453="","",AP453)</f>
        <v/>
      </c>
      <c r="CP453">
        <f>IF($CM453="","",IF($CM453="Aloe Vera Gel","Aloe Vera Gel "&amp;$CO453&amp;"g",CN453&amp;" "&amp;$CO453&amp;"g"))</f>
        <v/>
      </c>
      <c r="CQ453">
        <f>IF($AT453="",0,1)</f>
        <v/>
      </c>
      <c r="CR453">
        <f>IF($CQ453=0,"",AW453)</f>
        <v/>
      </c>
      <c r="CS453">
        <f>IF($CQ453=0,"",AX453)</f>
        <v/>
      </c>
      <c r="CT453">
        <f>IF($CQ453=0,"",AY453)</f>
        <v/>
      </c>
      <c r="CU453">
        <f>IF($CR453="","",IF($CR453="Aloe Vera Gel","Aloe Vera Gel "&amp;$CT453&amp;"g",CS453&amp;" "&amp;$CT453&amp;"g"))</f>
        <v/>
      </c>
      <c r="CV453">
        <f>IF($CQ453=0,"",IF($CP453=$CU453,"Repeat Exact",IF($CT453&gt;$CO453,"Upsized",IF($CT453&lt;$CO453,"Downsized",IF($CM453&lt;&gt;$CR453,"Lateral","Same Size Diff Variant")))))</f>
        <v/>
      </c>
      <c r="CW453">
        <f>IF($CQ453=0,"",AZ453-AQ453)</f>
        <v/>
      </c>
      <c r="CX453">
        <f>IF($CQ453=0,0,IF(CS453=CN453,1,0))</f>
        <v/>
      </c>
      <c r="CY453">
        <f>IF($CQ453=0,0,IF(CR453=CM453,1,0))</f>
        <v/>
      </c>
      <c r="CZ453">
        <f>IF($A453="","",IF(AND(IF(DASHBOARD!$C$4="All",TRUE,$CM453=DASHBOARD!$C$4),IF(DASHBOARD!$C$6="All",TRUE,$CP453=DASHBOARD!$C$6),IF(DASHBOARD!$C$8="All",TRUE,$AF453&gt;=DASHBOARD!$C$8),IF(DASHBOARD!$C$10="All",TRUE,$AF453&lt;=DASHBOARD!$C$10),IF(DASHBOARD!$C$12="All",TRUE,$AH453=VALUE(DASHBOARD!$C$12)),IF(DASHBOARD!$C$14="All",TRUE,$AJ453=DASHBOARD!$C$14)),1,0))</f>
        <v/>
      </c>
    </row>
    <row r="454">
      <c r="A454" t="n">
        <v>216810</v>
      </c>
      <c r="B454" t="inlineStr">
        <is>
          <t>Face Malai</t>
        </is>
      </c>
      <c r="H454" t="inlineStr">
        <is>
          <t>Turmeric Nutmeg (Pigmentation)  Face Malai - 30g</t>
        </is>
      </c>
      <c r="N454" t="inlineStr">
        <is>
          <t>FC-DM-PG-030</t>
        </is>
      </c>
      <c r="T454" t="inlineStr">
        <is>
          <t>Jan 30, 2025</t>
        </is>
      </c>
      <c r="AE454" t="inlineStr">
        <is>
          <t>Trivandrum</t>
        </is>
      </c>
      <c r="AF454" t="inlineStr">
        <is>
          <t>2025-01</t>
        </is>
      </c>
      <c r="AG454" t="n">
        <v>1</v>
      </c>
      <c r="AH454" t="n">
        <v>1</v>
      </c>
      <c r="AI454" t="n">
        <v>0</v>
      </c>
      <c r="AJ454">
        <f>IF($AE454="","",IFERROR(VLOOKUP(TRIM($AE454),DECODE!$H$3:$I$60,2,FALSE),"Rest of India"))</f>
        <v/>
      </c>
      <c r="AK454">
        <f>IF($N454="","",UPPER(TRIM(LEFT($N454&amp;",",FIND(",",$N454&amp;",")-1))))</f>
        <v/>
      </c>
      <c r="AL454">
        <f>IF($AK454="","",MID($AK454,4,FIND("~",SUBSTITUTE($AK454,"-","~",2))-4))</f>
        <v/>
      </c>
      <c r="AM454">
        <f>IF($AK454="","",MID($AK454,FIND("~",SUBSTITUTE($AK454,"-","~",2))+1,FIND("~",SUBSTITUTE($AK454,"-","~",3))-FIND("~",SUBSTITUTE($AK454,"-","~",2))-1))</f>
        <v/>
      </c>
      <c r="AN454">
        <f>IF($AL454="","",IFERROR(VLOOKUP($AL454,DECODE!$A$3:$C$8,3,FALSE),"?"))</f>
        <v/>
      </c>
      <c r="AO454">
        <f>IF($AM454="","",IFERROR(VLOOKUP($AL454&amp;"-"&amp;$AM454,DECODE!$E$3:$F$21,2,FALSE),"?"))</f>
        <v/>
      </c>
      <c r="AP454">
        <f>IF($AK454="","",IFERROR(VALUE(RIGHT($AK454,3)),""))</f>
        <v/>
      </c>
      <c r="AQ454">
        <f>IF($T454="","",IFERROR(IF(ISNUMBER($T454),$T454,DATEVALUE(TRIM($T454))),""))</f>
        <v/>
      </c>
      <c r="AR454">
        <f>IF($AQ454="","",IF(MONTH($AQ454)&gt;=12,"Cold Winter",IF(MONTH($AQ454)&gt;=10,"Post-Monsoon",IF(MONTH($AQ454)&gt;=6,"Hot Humid",IF(MONTH($AQ454)&gt;=3,"Hot Dry","Cold Winter")))))</f>
        <v/>
      </c>
      <c r="AS454">
        <f>IF($AL454="","",IFERROR(VLOOKUP($AL454,DECODE!$A$3:$C$8,2,FALSE),"?"))</f>
        <v/>
      </c>
      <c r="AT454">
        <f>IF($O454="","",UPPER(TRIM(LEFT($O454&amp;",",FIND(",",$O454&amp;",")-1))))</f>
        <v/>
      </c>
      <c r="AU454">
        <f>IF($AT454="","",MID($AT454,4,FIND("~",SUBSTITUTE($AT454,"-","~",2))-4))</f>
        <v/>
      </c>
      <c r="AV454">
        <f>IF($AT454="","",MID($AT454,FIND("~",SUBSTITUTE($AT454,"-","~",2))+1,FIND("~",SUBSTITUTE($AT454,"-","~",3))-FIND("~",SUBSTITUTE($AT454,"-","~",2))-1))</f>
        <v/>
      </c>
      <c r="AW454">
        <f>IF($AU454="","",IFERROR(VLOOKUP($AU454,DECODE!$A$3:$C$8,3,FALSE),"?"))</f>
        <v/>
      </c>
      <c r="AX454">
        <f>IF($AV454="","",IFERROR(VLOOKUP($AU454&amp;"-"&amp;$AV454,DECODE!$E$3:$F$21,2,FALSE),"?"))</f>
        <v/>
      </c>
      <c r="AY454">
        <f>IF($AT454="","",IFERROR(VALUE(RIGHT($AT454,3)),""))</f>
        <v/>
      </c>
      <c r="AZ454">
        <f>IF($U454="","",IFERROR(IF(ISNUMBER($U454),$U454,DATEVALUE(TRIM($U454))),""))</f>
        <v/>
      </c>
      <c r="BA454">
        <f>IF($AZ454="","",IF(MONTH($AZ454)&gt;=12,"Cold Winter",IF(MONTH($AZ454)&gt;=10,"Post-Monsoon",IF(MONTH($AZ454)&gt;=6,"Hot Humid",IF(MONTH($AZ454)&gt;=3,"Hot Dry","Cold Winter")))))</f>
        <v/>
      </c>
      <c r="BB454">
        <f>IF($AU454="","",IFERROR(VLOOKUP($AU454,DECODE!$A$3:$C$8,2,FALSE),"?"))</f>
        <v/>
      </c>
      <c r="BC454">
        <f>IF($P454="","",UPPER(TRIM(LEFT($P454&amp;",",FIND(",",$P454&amp;",")-1))))</f>
        <v/>
      </c>
      <c r="BD454">
        <f>IF($BC454="","",MID($BC454,4,FIND("~",SUBSTITUTE($BC454,"-","~",2))-4))</f>
        <v/>
      </c>
      <c r="BE454">
        <f>IF($BC454="","",MID($BC454,FIND("~",SUBSTITUTE($BC454,"-","~",2))+1,FIND("~",SUBSTITUTE($BC454,"-","~",3))-FIND("~",SUBSTITUTE($BC454,"-","~",2))-1))</f>
        <v/>
      </c>
      <c r="BF454">
        <f>IF($BD454="","",IFERROR(VLOOKUP($BD454,DECODE!$A$3:$C$8,3,FALSE),"?"))</f>
        <v/>
      </c>
      <c r="BG454">
        <f>IF($BE454="","",IFERROR(VLOOKUP($BD454&amp;"-"&amp;$BE454,DECODE!$E$3:$F$21,2,FALSE),"?"))</f>
        <v/>
      </c>
      <c r="BH454">
        <f>IF($BC454="","",IFERROR(VALUE(RIGHT($BC454,3)),""))</f>
        <v/>
      </c>
      <c r="BI454">
        <f>IF($V454="","",IFERROR(IF(ISNUMBER($V454),$V454,DATEVALUE(TRIM($V454))),""))</f>
        <v/>
      </c>
      <c r="BJ454">
        <f>IF($BI454="","",IF(MONTH($BI454)&gt;=12,"Cold Winter",IF(MONTH($BI454)&gt;=10,"Post-Monsoon",IF(MONTH($BI454)&gt;=6,"Hot Humid",IF(MONTH($BI454)&gt;=3,"Hot Dry","Cold Winter")))))</f>
        <v/>
      </c>
      <c r="BK454">
        <f>IF($BD454="","",IFERROR(VLOOKUP($BD454,DECODE!$A$3:$C$8,2,FALSE),"?"))</f>
        <v/>
      </c>
      <c r="BL454">
        <f>IF($Q454="","",UPPER(TRIM(LEFT($Q454&amp;",",FIND(",",$Q454&amp;",")-1))))</f>
        <v/>
      </c>
      <c r="BM454">
        <f>IF($BL454="","",MID($BL454,4,FIND("~",SUBSTITUTE($BL454,"-","~",2))-4))</f>
        <v/>
      </c>
      <c r="BN454">
        <f>IF($BL454="","",MID($BL454,FIND("~",SUBSTITUTE($BL454,"-","~",2))+1,FIND("~",SUBSTITUTE($BL454,"-","~",3))-FIND("~",SUBSTITUTE($BL454,"-","~",2))-1))</f>
        <v/>
      </c>
      <c r="BO454">
        <f>IF($BM454="","",IFERROR(VLOOKUP($BM454,DECODE!$A$3:$C$8,3,FALSE),"?"))</f>
        <v/>
      </c>
      <c r="BP454">
        <f>IF($BN454="","",IFERROR(VLOOKUP($BM454&amp;"-"&amp;$BN454,DECODE!$E$3:$F$21,2,FALSE),"?"))</f>
        <v/>
      </c>
      <c r="BQ454">
        <f>IF($BL454="","",IFERROR(VALUE(RIGHT($BL454,3)),""))</f>
        <v/>
      </c>
      <c r="BR454">
        <f>IF($W454="","",IFERROR(IF(ISNUMBER($W454),$W454,DATEVALUE(TRIM($W454))),""))</f>
        <v/>
      </c>
      <c r="BS454">
        <f>IF($BR454="","",IF(MONTH($BR454)&gt;=12,"Cold Winter",IF(MONTH($BR454)&gt;=10,"Post-Monsoon",IF(MONTH($BR454)&gt;=6,"Hot Humid",IF(MONTH($BR454)&gt;=3,"Hot Dry","Cold Winter")))))</f>
        <v/>
      </c>
      <c r="BT454">
        <f>IF($BM454="","",IFERROR(VLOOKUP($BM454,DECODE!$A$3:$C$8,2,FALSE),"?"))</f>
        <v/>
      </c>
      <c r="BU454">
        <f>IF($R454="","",UPPER(TRIM(LEFT($R454&amp;",",FIND(",",$R454&amp;",")-1))))</f>
        <v/>
      </c>
      <c r="BV454">
        <f>IF($BU454="","",MID($BU454,4,FIND("~",SUBSTITUTE($BU454,"-","~",2))-4))</f>
        <v/>
      </c>
      <c r="BW454">
        <f>IF($BU454="","",MID($BU454,FIND("~",SUBSTITUTE($BU454,"-","~",2))+1,FIND("~",SUBSTITUTE($BU454,"-","~",3))-FIND("~",SUBSTITUTE($BU454,"-","~",2))-1))</f>
        <v/>
      </c>
      <c r="BX454">
        <f>IF($BV454="","",IFERROR(VLOOKUP($BV454,DECODE!$A$3:$C$8,3,FALSE),"?"))</f>
        <v/>
      </c>
      <c r="BY454">
        <f>IF($BW454="","",IFERROR(VLOOKUP($BV454&amp;"-"&amp;$BW454,DECODE!$E$3:$F$21,2,FALSE),"?"))</f>
        <v/>
      </c>
      <c r="BZ454">
        <f>IF($BU454="","",IFERROR(VALUE(RIGHT($BU454,3)),""))</f>
        <v/>
      </c>
      <c r="CA454">
        <f>IF($X454="","",IFERROR(IF(ISNUMBER($X454),$X454,DATEVALUE(TRIM($X454))),""))</f>
        <v/>
      </c>
      <c r="CB454">
        <f>IF($CA454="","",IF(MONTH($CA454)&gt;=12,"Cold Winter",IF(MONTH($CA454)&gt;=10,"Post-Monsoon",IF(MONTH($CA454)&gt;=6,"Hot Humid",IF(MONTH($CA454)&gt;=3,"Hot Dry","Cold Winter")))))</f>
        <v/>
      </c>
      <c r="CC454">
        <f>IF($BV454="","",IFERROR(VLOOKUP($BV454,DECODE!$A$3:$C$8,2,FALSE),"?"))</f>
        <v/>
      </c>
      <c r="CD454">
        <f>IF($S454="","",UPPER(TRIM(LEFT($S454&amp;",",FIND(",",$S454&amp;",")-1))))</f>
        <v/>
      </c>
      <c r="CE454">
        <f>IF($CD454="","",MID($CD454,4,FIND("~",SUBSTITUTE($CD454,"-","~",2))-4))</f>
        <v/>
      </c>
      <c r="CF454">
        <f>IF($CD454="","",MID($CD454,FIND("~",SUBSTITUTE($CD454,"-","~",2))+1,FIND("~",SUBSTITUTE($CD454,"-","~",3))-FIND("~",SUBSTITUTE($CD454,"-","~",2))-1))</f>
        <v/>
      </c>
      <c r="CG454">
        <f>IF($CE454="","",IFERROR(VLOOKUP($CE454,DECODE!$A$3:$C$8,3,FALSE),"?"))</f>
        <v/>
      </c>
      <c r="CH454">
        <f>IF($CF454="","",IFERROR(VLOOKUP($CE454&amp;"-"&amp;$CF454,DECODE!$E$3:$F$21,2,FALSE),"?"))</f>
        <v/>
      </c>
      <c r="CI454">
        <f>IF($CD454="","",IFERROR(VALUE(RIGHT($CD454,3)),""))</f>
        <v/>
      </c>
      <c r="CJ454">
        <f>IF($Y454="","",IFERROR(IF(ISNUMBER($Y454),$Y454,DATEVALUE(TRIM($Y454))),""))</f>
        <v/>
      </c>
      <c r="CK454">
        <f>IF($CJ454="","",IF(MONTH($CJ454)&gt;=12,"Cold Winter",IF(MONTH($CJ454)&gt;=10,"Post-Monsoon",IF(MONTH($CJ454)&gt;=6,"Hot Humid",IF(MONTH($CJ454)&gt;=3,"Hot Dry","Cold Winter")))))</f>
        <v/>
      </c>
      <c r="CL454">
        <f>IF($CE454="","",IFERROR(VLOOKUP($CE454,DECODE!$A$3:$C$8,2,FALSE),"?"))</f>
        <v/>
      </c>
      <c r="CM454">
        <f>IF($AN454="","",AN454)</f>
        <v/>
      </c>
      <c r="CN454">
        <f>IF($AO454="","",AO454)</f>
        <v/>
      </c>
      <c r="CO454">
        <f>IF($AP454="","",AP454)</f>
        <v/>
      </c>
      <c r="CP454">
        <f>IF($CM454="","",IF($CM454="Aloe Vera Gel","Aloe Vera Gel "&amp;$CO454&amp;"g",CN454&amp;" "&amp;$CO454&amp;"g"))</f>
        <v/>
      </c>
      <c r="CQ454">
        <f>IF($AT454="",0,1)</f>
        <v/>
      </c>
      <c r="CR454">
        <f>IF($CQ454=0,"",AW454)</f>
        <v/>
      </c>
      <c r="CS454">
        <f>IF($CQ454=0,"",AX454)</f>
        <v/>
      </c>
      <c r="CT454">
        <f>IF($CQ454=0,"",AY454)</f>
        <v/>
      </c>
      <c r="CU454">
        <f>IF($CR454="","",IF($CR454="Aloe Vera Gel","Aloe Vera Gel "&amp;$CT454&amp;"g",CS454&amp;" "&amp;$CT454&amp;"g"))</f>
        <v/>
      </c>
      <c r="CV454">
        <f>IF($CQ454=0,"",IF($CP454=$CU454,"Repeat Exact",IF($CT454&gt;$CO454,"Upsized",IF($CT454&lt;$CO454,"Downsized",IF($CM454&lt;&gt;$CR454,"Lateral","Same Size Diff Variant")))))</f>
        <v/>
      </c>
      <c r="CW454">
        <f>IF($CQ454=0,"",AZ454-AQ454)</f>
        <v/>
      </c>
      <c r="CX454">
        <f>IF($CQ454=0,0,IF(CS454=CN454,1,0))</f>
        <v/>
      </c>
      <c r="CY454">
        <f>IF($CQ454=0,0,IF(CR454=CM454,1,0))</f>
        <v/>
      </c>
      <c r="CZ454">
        <f>IF($A454="","",IF(AND(IF(DASHBOARD!$C$4="All",TRUE,$CM454=DASHBOARD!$C$4),IF(DASHBOARD!$C$6="All",TRUE,$CP454=DASHBOARD!$C$6),IF(DASHBOARD!$C$8="All",TRUE,$AF454&gt;=DASHBOARD!$C$8),IF(DASHBOARD!$C$10="All",TRUE,$AF454&lt;=DASHBOARD!$C$10),IF(DASHBOARD!$C$12="All",TRUE,$AH454=VALUE(DASHBOARD!$C$12)),IF(DASHBOARD!$C$14="All",TRUE,$AJ454=DASHBOARD!$C$14)),1,0))</f>
        <v/>
      </c>
    </row>
    <row r="455">
      <c r="A455" t="n">
        <v>217035</v>
      </c>
      <c r="B455" t="inlineStr">
        <is>
          <t>Face Malai</t>
        </is>
      </c>
      <c r="H455" t="inlineStr">
        <is>
          <t>Flax Bakuchi (Hot Dry) 35+ Face Malai - 30g</t>
        </is>
      </c>
      <c r="N455" t="inlineStr">
        <is>
          <t>FC-HDDM-FB-030</t>
        </is>
      </c>
      <c r="T455" t="inlineStr">
        <is>
          <t>Jun 16, 2024</t>
        </is>
      </c>
      <c r="AE455" t="inlineStr">
        <is>
          <t>Gurgaon</t>
        </is>
      </c>
      <c r="AF455" t="inlineStr">
        <is>
          <t>2024-06</t>
        </is>
      </c>
      <c r="AG455" t="n">
        <v>6</v>
      </c>
      <c r="AH455" t="n">
        <v>1</v>
      </c>
      <c r="AI455" t="n">
        <v>0</v>
      </c>
      <c r="AJ455">
        <f>IF($AE455="","",IFERROR(VLOOKUP(TRIM($AE455),DECODE!$H$3:$I$60,2,FALSE),"Rest of India"))</f>
        <v/>
      </c>
      <c r="AK455">
        <f>IF($N455="","",UPPER(TRIM(LEFT($N455&amp;",",FIND(",",$N455&amp;",")-1))))</f>
        <v/>
      </c>
      <c r="AL455">
        <f>IF($AK455="","",MID($AK455,4,FIND("~",SUBSTITUTE($AK455,"-","~",2))-4))</f>
        <v/>
      </c>
      <c r="AM455">
        <f>IF($AK455="","",MID($AK455,FIND("~",SUBSTITUTE($AK455,"-","~",2))+1,FIND("~",SUBSTITUTE($AK455,"-","~",3))-FIND("~",SUBSTITUTE($AK455,"-","~",2))-1))</f>
        <v/>
      </c>
      <c r="AN455">
        <f>IF($AL455="","",IFERROR(VLOOKUP($AL455,DECODE!$A$3:$C$8,3,FALSE),"?"))</f>
        <v/>
      </c>
      <c r="AO455">
        <f>IF($AM455="","",IFERROR(VLOOKUP($AL455&amp;"-"&amp;$AM455,DECODE!$E$3:$F$21,2,FALSE),"?"))</f>
        <v/>
      </c>
      <c r="AP455">
        <f>IF($AK455="","",IFERROR(VALUE(RIGHT($AK455,3)),""))</f>
        <v/>
      </c>
      <c r="AQ455">
        <f>IF($T455="","",IFERROR(IF(ISNUMBER($T455),$T455,DATEVALUE(TRIM($T455))),""))</f>
        <v/>
      </c>
      <c r="AR455">
        <f>IF($AQ455="","",IF(MONTH($AQ455)&gt;=12,"Cold Winter",IF(MONTH($AQ455)&gt;=10,"Post-Monsoon",IF(MONTH($AQ455)&gt;=6,"Hot Humid",IF(MONTH($AQ455)&gt;=3,"Hot Dry","Cold Winter")))))</f>
        <v/>
      </c>
      <c r="AS455">
        <f>IF($AL455="","",IFERROR(VLOOKUP($AL455,DECODE!$A$3:$C$8,2,FALSE),"?"))</f>
        <v/>
      </c>
      <c r="AT455">
        <f>IF($O455="","",UPPER(TRIM(LEFT($O455&amp;",",FIND(",",$O455&amp;",")-1))))</f>
        <v/>
      </c>
      <c r="AU455">
        <f>IF($AT455="","",MID($AT455,4,FIND("~",SUBSTITUTE($AT455,"-","~",2))-4))</f>
        <v/>
      </c>
      <c r="AV455">
        <f>IF($AT455="","",MID($AT455,FIND("~",SUBSTITUTE($AT455,"-","~",2))+1,FIND("~",SUBSTITUTE($AT455,"-","~",3))-FIND("~",SUBSTITUTE($AT455,"-","~",2))-1))</f>
        <v/>
      </c>
      <c r="AW455">
        <f>IF($AU455="","",IFERROR(VLOOKUP($AU455,DECODE!$A$3:$C$8,3,FALSE),"?"))</f>
        <v/>
      </c>
      <c r="AX455">
        <f>IF($AV455="","",IFERROR(VLOOKUP($AU455&amp;"-"&amp;$AV455,DECODE!$E$3:$F$21,2,FALSE),"?"))</f>
        <v/>
      </c>
      <c r="AY455">
        <f>IF($AT455="","",IFERROR(VALUE(RIGHT($AT455,3)),""))</f>
        <v/>
      </c>
      <c r="AZ455">
        <f>IF($U455="","",IFERROR(IF(ISNUMBER($U455),$U455,DATEVALUE(TRIM($U455))),""))</f>
        <v/>
      </c>
      <c r="BA455">
        <f>IF($AZ455="","",IF(MONTH($AZ455)&gt;=12,"Cold Winter",IF(MONTH($AZ455)&gt;=10,"Post-Monsoon",IF(MONTH($AZ455)&gt;=6,"Hot Humid",IF(MONTH($AZ455)&gt;=3,"Hot Dry","Cold Winter")))))</f>
        <v/>
      </c>
      <c r="BB455">
        <f>IF($AU455="","",IFERROR(VLOOKUP($AU455,DECODE!$A$3:$C$8,2,FALSE),"?"))</f>
        <v/>
      </c>
      <c r="BC455">
        <f>IF($P455="","",UPPER(TRIM(LEFT($P455&amp;",",FIND(",",$P455&amp;",")-1))))</f>
        <v/>
      </c>
      <c r="BD455">
        <f>IF($BC455="","",MID($BC455,4,FIND("~",SUBSTITUTE($BC455,"-","~",2))-4))</f>
        <v/>
      </c>
      <c r="BE455">
        <f>IF($BC455="","",MID($BC455,FIND("~",SUBSTITUTE($BC455,"-","~",2))+1,FIND("~",SUBSTITUTE($BC455,"-","~",3))-FIND("~",SUBSTITUTE($BC455,"-","~",2))-1))</f>
        <v/>
      </c>
      <c r="BF455">
        <f>IF($BD455="","",IFERROR(VLOOKUP($BD455,DECODE!$A$3:$C$8,3,FALSE),"?"))</f>
        <v/>
      </c>
      <c r="BG455">
        <f>IF($BE455="","",IFERROR(VLOOKUP($BD455&amp;"-"&amp;$BE455,DECODE!$E$3:$F$21,2,FALSE),"?"))</f>
        <v/>
      </c>
      <c r="BH455">
        <f>IF($BC455="","",IFERROR(VALUE(RIGHT($BC455,3)),""))</f>
        <v/>
      </c>
      <c r="BI455">
        <f>IF($V455="","",IFERROR(IF(ISNUMBER($V455),$V455,DATEVALUE(TRIM($V455))),""))</f>
        <v/>
      </c>
      <c r="BJ455">
        <f>IF($BI455="","",IF(MONTH($BI455)&gt;=12,"Cold Winter",IF(MONTH($BI455)&gt;=10,"Post-Monsoon",IF(MONTH($BI455)&gt;=6,"Hot Humid",IF(MONTH($BI455)&gt;=3,"Hot Dry","Cold Winter")))))</f>
        <v/>
      </c>
      <c r="BK455">
        <f>IF($BD455="","",IFERROR(VLOOKUP($BD455,DECODE!$A$3:$C$8,2,FALSE),"?"))</f>
        <v/>
      </c>
      <c r="BL455">
        <f>IF($Q455="","",UPPER(TRIM(LEFT($Q455&amp;",",FIND(",",$Q455&amp;",")-1))))</f>
        <v/>
      </c>
      <c r="BM455">
        <f>IF($BL455="","",MID($BL455,4,FIND("~",SUBSTITUTE($BL455,"-","~",2))-4))</f>
        <v/>
      </c>
      <c r="BN455">
        <f>IF($BL455="","",MID($BL455,FIND("~",SUBSTITUTE($BL455,"-","~",2))+1,FIND("~",SUBSTITUTE($BL455,"-","~",3))-FIND("~",SUBSTITUTE($BL455,"-","~",2))-1))</f>
        <v/>
      </c>
      <c r="BO455">
        <f>IF($BM455="","",IFERROR(VLOOKUP($BM455,DECODE!$A$3:$C$8,3,FALSE),"?"))</f>
        <v/>
      </c>
      <c r="BP455">
        <f>IF($BN455="","",IFERROR(VLOOKUP($BM455&amp;"-"&amp;$BN455,DECODE!$E$3:$F$21,2,FALSE),"?"))</f>
        <v/>
      </c>
      <c r="BQ455">
        <f>IF($BL455="","",IFERROR(VALUE(RIGHT($BL455,3)),""))</f>
        <v/>
      </c>
      <c r="BR455">
        <f>IF($W455="","",IFERROR(IF(ISNUMBER($W455),$W455,DATEVALUE(TRIM($W455))),""))</f>
        <v/>
      </c>
      <c r="BS455">
        <f>IF($BR455="","",IF(MONTH($BR455)&gt;=12,"Cold Winter",IF(MONTH($BR455)&gt;=10,"Post-Monsoon",IF(MONTH($BR455)&gt;=6,"Hot Humid",IF(MONTH($BR455)&gt;=3,"Hot Dry","Cold Winter")))))</f>
        <v/>
      </c>
      <c r="BT455">
        <f>IF($BM455="","",IFERROR(VLOOKUP($BM455,DECODE!$A$3:$C$8,2,FALSE),"?"))</f>
        <v/>
      </c>
      <c r="BU455">
        <f>IF($R455="","",UPPER(TRIM(LEFT($R455&amp;",",FIND(",",$R455&amp;",")-1))))</f>
        <v/>
      </c>
      <c r="BV455">
        <f>IF($BU455="","",MID($BU455,4,FIND("~",SUBSTITUTE($BU455,"-","~",2))-4))</f>
        <v/>
      </c>
      <c r="BW455">
        <f>IF($BU455="","",MID($BU455,FIND("~",SUBSTITUTE($BU455,"-","~",2))+1,FIND("~",SUBSTITUTE($BU455,"-","~",3))-FIND("~",SUBSTITUTE($BU455,"-","~",2))-1))</f>
        <v/>
      </c>
      <c r="BX455">
        <f>IF($BV455="","",IFERROR(VLOOKUP($BV455,DECODE!$A$3:$C$8,3,FALSE),"?"))</f>
        <v/>
      </c>
      <c r="BY455">
        <f>IF($BW455="","",IFERROR(VLOOKUP($BV455&amp;"-"&amp;$BW455,DECODE!$E$3:$F$21,2,FALSE),"?"))</f>
        <v/>
      </c>
      <c r="BZ455">
        <f>IF($BU455="","",IFERROR(VALUE(RIGHT($BU455,3)),""))</f>
        <v/>
      </c>
      <c r="CA455">
        <f>IF($X455="","",IFERROR(IF(ISNUMBER($X455),$X455,DATEVALUE(TRIM($X455))),""))</f>
        <v/>
      </c>
      <c r="CB455">
        <f>IF($CA455="","",IF(MONTH($CA455)&gt;=12,"Cold Winter",IF(MONTH($CA455)&gt;=10,"Post-Monsoon",IF(MONTH($CA455)&gt;=6,"Hot Humid",IF(MONTH($CA455)&gt;=3,"Hot Dry","Cold Winter")))))</f>
        <v/>
      </c>
      <c r="CC455">
        <f>IF($BV455="","",IFERROR(VLOOKUP($BV455,DECODE!$A$3:$C$8,2,FALSE),"?"))</f>
        <v/>
      </c>
      <c r="CD455">
        <f>IF($S455="","",UPPER(TRIM(LEFT($S455&amp;",",FIND(",",$S455&amp;",")-1))))</f>
        <v/>
      </c>
      <c r="CE455">
        <f>IF($CD455="","",MID($CD455,4,FIND("~",SUBSTITUTE($CD455,"-","~",2))-4))</f>
        <v/>
      </c>
      <c r="CF455">
        <f>IF($CD455="","",MID($CD455,FIND("~",SUBSTITUTE($CD455,"-","~",2))+1,FIND("~",SUBSTITUTE($CD455,"-","~",3))-FIND("~",SUBSTITUTE($CD455,"-","~",2))-1))</f>
        <v/>
      </c>
      <c r="CG455">
        <f>IF($CE455="","",IFERROR(VLOOKUP($CE455,DECODE!$A$3:$C$8,3,FALSE),"?"))</f>
        <v/>
      </c>
      <c r="CH455">
        <f>IF($CF455="","",IFERROR(VLOOKUP($CE455&amp;"-"&amp;$CF455,DECODE!$E$3:$F$21,2,FALSE),"?"))</f>
        <v/>
      </c>
      <c r="CI455">
        <f>IF($CD455="","",IFERROR(VALUE(RIGHT($CD455,3)),""))</f>
        <v/>
      </c>
      <c r="CJ455">
        <f>IF($Y455="","",IFERROR(IF(ISNUMBER($Y455),$Y455,DATEVALUE(TRIM($Y455))),""))</f>
        <v/>
      </c>
      <c r="CK455">
        <f>IF($CJ455="","",IF(MONTH($CJ455)&gt;=12,"Cold Winter",IF(MONTH($CJ455)&gt;=10,"Post-Monsoon",IF(MONTH($CJ455)&gt;=6,"Hot Humid",IF(MONTH($CJ455)&gt;=3,"Hot Dry","Cold Winter")))))</f>
        <v/>
      </c>
      <c r="CL455">
        <f>IF($CE455="","",IFERROR(VLOOKUP($CE455,DECODE!$A$3:$C$8,2,FALSE),"?"))</f>
        <v/>
      </c>
      <c r="CM455">
        <f>IF($AN455="","",AN455)</f>
        <v/>
      </c>
      <c r="CN455">
        <f>IF($AO455="","",AO455)</f>
        <v/>
      </c>
      <c r="CO455">
        <f>IF($AP455="","",AP455)</f>
        <v/>
      </c>
      <c r="CP455">
        <f>IF($CM455="","",IF($CM455="Aloe Vera Gel","Aloe Vera Gel "&amp;$CO455&amp;"g",CN455&amp;" "&amp;$CO455&amp;"g"))</f>
        <v/>
      </c>
      <c r="CQ455">
        <f>IF($AT455="",0,1)</f>
        <v/>
      </c>
      <c r="CR455">
        <f>IF($CQ455=0,"",AW455)</f>
        <v/>
      </c>
      <c r="CS455">
        <f>IF($CQ455=0,"",AX455)</f>
        <v/>
      </c>
      <c r="CT455">
        <f>IF($CQ455=0,"",AY455)</f>
        <v/>
      </c>
      <c r="CU455">
        <f>IF($CR455="","",IF($CR455="Aloe Vera Gel","Aloe Vera Gel "&amp;$CT455&amp;"g",CS455&amp;" "&amp;$CT455&amp;"g"))</f>
        <v/>
      </c>
      <c r="CV455">
        <f>IF($CQ455=0,"",IF($CP455=$CU455,"Repeat Exact",IF($CT455&gt;$CO455,"Upsized",IF($CT455&lt;$CO455,"Downsized",IF($CM455&lt;&gt;$CR455,"Lateral","Same Size Diff Variant")))))</f>
        <v/>
      </c>
      <c r="CW455">
        <f>IF($CQ455=0,"",AZ455-AQ455)</f>
        <v/>
      </c>
      <c r="CX455">
        <f>IF($CQ455=0,0,IF(CS455=CN455,1,0))</f>
        <v/>
      </c>
      <c r="CY455">
        <f>IF($CQ455=0,0,IF(CR455=CM455,1,0))</f>
        <v/>
      </c>
      <c r="CZ455">
        <f>IF($A455="","",IF(AND(IF(DASHBOARD!$C$4="All",TRUE,$CM455=DASHBOARD!$C$4),IF(DASHBOARD!$C$6="All",TRUE,$CP455=DASHBOARD!$C$6),IF(DASHBOARD!$C$8="All",TRUE,$AF455&gt;=DASHBOARD!$C$8),IF(DASHBOARD!$C$10="All",TRUE,$AF455&lt;=DASHBOARD!$C$10),IF(DASHBOARD!$C$12="All",TRUE,$AH455=VALUE(DASHBOARD!$C$12)),IF(DASHBOARD!$C$14="All",TRUE,$AJ455=DASHBOARD!$C$14)),1,0))</f>
        <v/>
      </c>
    </row>
    <row r="456">
      <c r="A456" t="n">
        <v>217054</v>
      </c>
      <c r="B456" t="inlineStr">
        <is>
          <t>Face Malai</t>
        </is>
      </c>
      <c r="C456" t="inlineStr">
        <is>
          <t>Face Malai</t>
        </is>
      </c>
      <c r="D456" t="inlineStr">
        <is>
          <t>Active Gel</t>
        </is>
      </c>
      <c r="H456" t="inlineStr">
        <is>
          <t>Flax Carrot (Hot Humid) 35+ Face Malai - 30g</t>
        </is>
      </c>
      <c r="I456" t="inlineStr">
        <is>
          <t>Tomato Rosehip (Hot Dry) 20 - 35 Yrs Face Malai - 30g</t>
        </is>
      </c>
      <c r="J456" t="inlineStr">
        <is>
          <t>Active Olive Vit-E Night Gel, Active Orange Kiwi Vit-C Gel</t>
        </is>
      </c>
      <c r="N456" t="inlineStr">
        <is>
          <t>FC-HHDM-FC-030</t>
        </is>
      </c>
      <c r="O456" t="inlineStr">
        <is>
          <t>FC-HDDM-TR-030</t>
        </is>
      </c>
      <c r="P456" t="inlineStr">
        <is>
          <t>FC-AC-OV-050, FC-AC-OK-050</t>
        </is>
      </c>
      <c r="T456" t="inlineStr">
        <is>
          <t>Mar 3, 2025</t>
        </is>
      </c>
      <c r="U456" t="inlineStr">
        <is>
          <t>Mar 3, 2025</t>
        </is>
      </c>
      <c r="V456" t="inlineStr">
        <is>
          <t>May 21, 2026</t>
        </is>
      </c>
      <c r="Z456" t="n">
        <v>0</v>
      </c>
      <c r="AA456" t="n">
        <v>444</v>
      </c>
      <c r="AE456" t="inlineStr">
        <is>
          <t>Hyderabad</t>
        </is>
      </c>
      <c r="AF456" t="inlineStr">
        <is>
          <t>2025-03</t>
        </is>
      </c>
      <c r="AG456" t="n">
        <v>3</v>
      </c>
      <c r="AH456" t="n">
        <v>3</v>
      </c>
      <c r="AI456" t="n">
        <v>1</v>
      </c>
      <c r="AJ456">
        <f>IF($AE456="","",IFERROR(VLOOKUP(TRIM($AE456),DECODE!$H$3:$I$60,2,FALSE),"Rest of India"))</f>
        <v/>
      </c>
      <c r="AK456">
        <f>IF($N456="","",UPPER(TRIM(LEFT($N456&amp;",",FIND(",",$N456&amp;",")-1))))</f>
        <v/>
      </c>
      <c r="AL456">
        <f>IF($AK456="","",MID($AK456,4,FIND("~",SUBSTITUTE($AK456,"-","~",2))-4))</f>
        <v/>
      </c>
      <c r="AM456">
        <f>IF($AK456="","",MID($AK456,FIND("~",SUBSTITUTE($AK456,"-","~",2))+1,FIND("~",SUBSTITUTE($AK456,"-","~",3))-FIND("~",SUBSTITUTE($AK456,"-","~",2))-1))</f>
        <v/>
      </c>
      <c r="AN456">
        <f>IF($AL456="","",IFERROR(VLOOKUP($AL456,DECODE!$A$3:$C$8,3,FALSE),"?"))</f>
        <v/>
      </c>
      <c r="AO456">
        <f>IF($AM456="","",IFERROR(VLOOKUP($AL456&amp;"-"&amp;$AM456,DECODE!$E$3:$F$21,2,FALSE),"?"))</f>
        <v/>
      </c>
      <c r="AP456">
        <f>IF($AK456="","",IFERROR(VALUE(RIGHT($AK456,3)),""))</f>
        <v/>
      </c>
      <c r="AQ456">
        <f>IF($T456="","",IFERROR(IF(ISNUMBER($T456),$T456,DATEVALUE(TRIM($T456))),""))</f>
        <v/>
      </c>
      <c r="AR456">
        <f>IF($AQ456="","",IF(MONTH($AQ456)&gt;=12,"Cold Winter",IF(MONTH($AQ456)&gt;=10,"Post-Monsoon",IF(MONTH($AQ456)&gt;=6,"Hot Humid",IF(MONTH($AQ456)&gt;=3,"Hot Dry","Cold Winter")))))</f>
        <v/>
      </c>
      <c r="AS456">
        <f>IF($AL456="","",IFERROR(VLOOKUP($AL456,DECODE!$A$3:$C$8,2,FALSE),"?"))</f>
        <v/>
      </c>
      <c r="AT456">
        <f>IF($O456="","",UPPER(TRIM(LEFT($O456&amp;",",FIND(",",$O456&amp;",")-1))))</f>
        <v/>
      </c>
      <c r="AU456">
        <f>IF($AT456="","",MID($AT456,4,FIND("~",SUBSTITUTE($AT456,"-","~",2))-4))</f>
        <v/>
      </c>
      <c r="AV456">
        <f>IF($AT456="","",MID($AT456,FIND("~",SUBSTITUTE($AT456,"-","~",2))+1,FIND("~",SUBSTITUTE($AT456,"-","~",3))-FIND("~",SUBSTITUTE($AT456,"-","~",2))-1))</f>
        <v/>
      </c>
      <c r="AW456">
        <f>IF($AU456="","",IFERROR(VLOOKUP($AU456,DECODE!$A$3:$C$8,3,FALSE),"?"))</f>
        <v/>
      </c>
      <c r="AX456">
        <f>IF($AV456="","",IFERROR(VLOOKUP($AU456&amp;"-"&amp;$AV456,DECODE!$E$3:$F$21,2,FALSE),"?"))</f>
        <v/>
      </c>
      <c r="AY456">
        <f>IF($AT456="","",IFERROR(VALUE(RIGHT($AT456,3)),""))</f>
        <v/>
      </c>
      <c r="AZ456">
        <f>IF($U456="","",IFERROR(IF(ISNUMBER($U456),$U456,DATEVALUE(TRIM($U456))),""))</f>
        <v/>
      </c>
      <c r="BA456">
        <f>IF($AZ456="","",IF(MONTH($AZ456)&gt;=12,"Cold Winter",IF(MONTH($AZ456)&gt;=10,"Post-Monsoon",IF(MONTH($AZ456)&gt;=6,"Hot Humid",IF(MONTH($AZ456)&gt;=3,"Hot Dry","Cold Winter")))))</f>
        <v/>
      </c>
      <c r="BB456">
        <f>IF($AU456="","",IFERROR(VLOOKUP($AU456,DECODE!$A$3:$C$8,2,FALSE),"?"))</f>
        <v/>
      </c>
      <c r="BC456">
        <f>IF($P456="","",UPPER(TRIM(LEFT($P456&amp;",",FIND(",",$P456&amp;",")-1))))</f>
        <v/>
      </c>
      <c r="BD456">
        <f>IF($BC456="","",MID($BC456,4,FIND("~",SUBSTITUTE($BC456,"-","~",2))-4))</f>
        <v/>
      </c>
      <c r="BE456">
        <f>IF($BC456="","",MID($BC456,FIND("~",SUBSTITUTE($BC456,"-","~",2))+1,FIND("~",SUBSTITUTE($BC456,"-","~",3))-FIND("~",SUBSTITUTE($BC456,"-","~",2))-1))</f>
        <v/>
      </c>
      <c r="BF456">
        <f>IF($BD456="","",IFERROR(VLOOKUP($BD456,DECODE!$A$3:$C$8,3,FALSE),"?"))</f>
        <v/>
      </c>
      <c r="BG456">
        <f>IF($BE456="","",IFERROR(VLOOKUP($BD456&amp;"-"&amp;$BE456,DECODE!$E$3:$F$21,2,FALSE),"?"))</f>
        <v/>
      </c>
      <c r="BH456">
        <f>IF($BC456="","",IFERROR(VALUE(RIGHT($BC456,3)),""))</f>
        <v/>
      </c>
      <c r="BI456">
        <f>IF($V456="","",IFERROR(IF(ISNUMBER($V456),$V456,DATEVALUE(TRIM($V456))),""))</f>
        <v/>
      </c>
      <c r="BJ456">
        <f>IF($BI456="","",IF(MONTH($BI456)&gt;=12,"Cold Winter",IF(MONTH($BI456)&gt;=10,"Post-Monsoon",IF(MONTH($BI456)&gt;=6,"Hot Humid",IF(MONTH($BI456)&gt;=3,"Hot Dry","Cold Winter")))))</f>
        <v/>
      </c>
      <c r="BK456">
        <f>IF($BD456="","",IFERROR(VLOOKUP($BD456,DECODE!$A$3:$C$8,2,FALSE),"?"))</f>
        <v/>
      </c>
      <c r="BL456">
        <f>IF($Q456="","",UPPER(TRIM(LEFT($Q456&amp;",",FIND(",",$Q456&amp;",")-1))))</f>
        <v/>
      </c>
      <c r="BM456">
        <f>IF($BL456="","",MID($BL456,4,FIND("~",SUBSTITUTE($BL456,"-","~",2))-4))</f>
        <v/>
      </c>
      <c r="BN456">
        <f>IF($BL456="","",MID($BL456,FIND("~",SUBSTITUTE($BL456,"-","~",2))+1,FIND("~",SUBSTITUTE($BL456,"-","~",3))-FIND("~",SUBSTITUTE($BL456,"-","~",2))-1))</f>
        <v/>
      </c>
      <c r="BO456">
        <f>IF($BM456="","",IFERROR(VLOOKUP($BM456,DECODE!$A$3:$C$8,3,FALSE),"?"))</f>
        <v/>
      </c>
      <c r="BP456">
        <f>IF($BN456="","",IFERROR(VLOOKUP($BM456&amp;"-"&amp;$BN456,DECODE!$E$3:$F$21,2,FALSE),"?"))</f>
        <v/>
      </c>
      <c r="BQ456">
        <f>IF($BL456="","",IFERROR(VALUE(RIGHT($BL456,3)),""))</f>
        <v/>
      </c>
      <c r="BR456">
        <f>IF($W456="","",IFERROR(IF(ISNUMBER($W456),$W456,DATEVALUE(TRIM($W456))),""))</f>
        <v/>
      </c>
      <c r="BS456">
        <f>IF($BR456="","",IF(MONTH($BR456)&gt;=12,"Cold Winter",IF(MONTH($BR456)&gt;=10,"Post-Monsoon",IF(MONTH($BR456)&gt;=6,"Hot Humid",IF(MONTH($BR456)&gt;=3,"Hot Dry","Cold Winter")))))</f>
        <v/>
      </c>
      <c r="BT456">
        <f>IF($BM456="","",IFERROR(VLOOKUP($BM456,DECODE!$A$3:$C$8,2,FALSE),"?"))</f>
        <v/>
      </c>
      <c r="BU456">
        <f>IF($R456="","",UPPER(TRIM(LEFT($R456&amp;",",FIND(",",$R456&amp;",")-1))))</f>
        <v/>
      </c>
      <c r="BV456">
        <f>IF($BU456="","",MID($BU456,4,FIND("~",SUBSTITUTE($BU456,"-","~",2))-4))</f>
        <v/>
      </c>
      <c r="BW456">
        <f>IF($BU456="","",MID($BU456,FIND("~",SUBSTITUTE($BU456,"-","~",2))+1,FIND("~",SUBSTITUTE($BU456,"-","~",3))-FIND("~",SUBSTITUTE($BU456,"-","~",2))-1))</f>
        <v/>
      </c>
      <c r="BX456">
        <f>IF($BV456="","",IFERROR(VLOOKUP($BV456,DECODE!$A$3:$C$8,3,FALSE),"?"))</f>
        <v/>
      </c>
      <c r="BY456">
        <f>IF($BW456="","",IFERROR(VLOOKUP($BV456&amp;"-"&amp;$BW456,DECODE!$E$3:$F$21,2,FALSE),"?"))</f>
        <v/>
      </c>
      <c r="BZ456">
        <f>IF($BU456="","",IFERROR(VALUE(RIGHT($BU456,3)),""))</f>
        <v/>
      </c>
      <c r="CA456">
        <f>IF($X456="","",IFERROR(IF(ISNUMBER($X456),$X456,DATEVALUE(TRIM($X456))),""))</f>
        <v/>
      </c>
      <c r="CB456">
        <f>IF($CA456="","",IF(MONTH($CA456)&gt;=12,"Cold Winter",IF(MONTH($CA456)&gt;=10,"Post-Monsoon",IF(MONTH($CA456)&gt;=6,"Hot Humid",IF(MONTH($CA456)&gt;=3,"Hot Dry","Cold Winter")))))</f>
        <v/>
      </c>
      <c r="CC456">
        <f>IF($BV456="","",IFERROR(VLOOKUP($BV456,DECODE!$A$3:$C$8,2,FALSE),"?"))</f>
        <v/>
      </c>
      <c r="CD456">
        <f>IF($S456="","",UPPER(TRIM(LEFT($S456&amp;",",FIND(",",$S456&amp;",")-1))))</f>
        <v/>
      </c>
      <c r="CE456">
        <f>IF($CD456="","",MID($CD456,4,FIND("~",SUBSTITUTE($CD456,"-","~",2))-4))</f>
        <v/>
      </c>
      <c r="CF456">
        <f>IF($CD456="","",MID($CD456,FIND("~",SUBSTITUTE($CD456,"-","~",2))+1,FIND("~",SUBSTITUTE($CD456,"-","~",3))-FIND("~",SUBSTITUTE($CD456,"-","~",2))-1))</f>
        <v/>
      </c>
      <c r="CG456">
        <f>IF($CE456="","",IFERROR(VLOOKUP($CE456,DECODE!$A$3:$C$8,3,FALSE),"?"))</f>
        <v/>
      </c>
      <c r="CH456">
        <f>IF($CF456="","",IFERROR(VLOOKUP($CE456&amp;"-"&amp;$CF456,DECODE!$E$3:$F$21,2,FALSE),"?"))</f>
        <v/>
      </c>
      <c r="CI456">
        <f>IF($CD456="","",IFERROR(VALUE(RIGHT($CD456,3)),""))</f>
        <v/>
      </c>
      <c r="CJ456">
        <f>IF($Y456="","",IFERROR(IF(ISNUMBER($Y456),$Y456,DATEVALUE(TRIM($Y456))),""))</f>
        <v/>
      </c>
      <c r="CK456">
        <f>IF($CJ456="","",IF(MONTH($CJ456)&gt;=12,"Cold Winter",IF(MONTH($CJ456)&gt;=10,"Post-Monsoon",IF(MONTH($CJ456)&gt;=6,"Hot Humid",IF(MONTH($CJ456)&gt;=3,"Hot Dry","Cold Winter")))))</f>
        <v/>
      </c>
      <c r="CL456">
        <f>IF($CE456="","",IFERROR(VLOOKUP($CE456,DECODE!$A$3:$C$8,2,FALSE),"?"))</f>
        <v/>
      </c>
      <c r="CM456">
        <f>IF($AN456="","",AN456)</f>
        <v/>
      </c>
      <c r="CN456">
        <f>IF($AO456="","",AO456)</f>
        <v/>
      </c>
      <c r="CO456">
        <f>IF($AP456="","",AP456)</f>
        <v/>
      </c>
      <c r="CP456">
        <f>IF($CM456="","",IF($CM456="Aloe Vera Gel","Aloe Vera Gel "&amp;$CO456&amp;"g",CN456&amp;" "&amp;$CO456&amp;"g"))</f>
        <v/>
      </c>
      <c r="CQ456">
        <f>IF($AT456="",0,1)</f>
        <v/>
      </c>
      <c r="CR456">
        <f>IF($CQ456=0,"",AW456)</f>
        <v/>
      </c>
      <c r="CS456">
        <f>IF($CQ456=0,"",AX456)</f>
        <v/>
      </c>
      <c r="CT456">
        <f>IF($CQ456=0,"",AY456)</f>
        <v/>
      </c>
      <c r="CU456">
        <f>IF($CR456="","",IF($CR456="Aloe Vera Gel","Aloe Vera Gel "&amp;$CT456&amp;"g",CS456&amp;" "&amp;$CT456&amp;"g"))</f>
        <v/>
      </c>
      <c r="CV456">
        <f>IF($CQ456=0,"",IF($CP456=$CU456,"Repeat Exact",IF($CT456&gt;$CO456,"Upsized",IF($CT456&lt;$CO456,"Downsized",IF($CM456&lt;&gt;$CR456,"Lateral","Same Size Diff Variant")))))</f>
        <v/>
      </c>
      <c r="CW456">
        <f>IF($CQ456=0,"",AZ456-AQ456)</f>
        <v/>
      </c>
      <c r="CX456">
        <f>IF($CQ456=0,0,IF(CS456=CN456,1,0))</f>
        <v/>
      </c>
      <c r="CY456">
        <f>IF($CQ456=0,0,IF(CR456=CM456,1,0))</f>
        <v/>
      </c>
      <c r="CZ456">
        <f>IF($A456="","",IF(AND(IF(DASHBOARD!$C$4="All",TRUE,$CM456=DASHBOARD!$C$4),IF(DASHBOARD!$C$6="All",TRUE,$CP456=DASHBOARD!$C$6),IF(DASHBOARD!$C$8="All",TRUE,$AF456&gt;=DASHBOARD!$C$8),IF(DASHBOARD!$C$10="All",TRUE,$AF456&lt;=DASHBOARD!$C$10),IF(DASHBOARD!$C$12="All",TRUE,$AH456=VALUE(DASHBOARD!$C$12)),IF(DASHBOARD!$C$14="All",TRUE,$AJ456=DASHBOARD!$C$14)),1,0))</f>
        <v/>
      </c>
    </row>
    <row r="457">
      <c r="A457" t="n">
        <v>217359</v>
      </c>
      <c r="B457" t="inlineStr">
        <is>
          <t>Face Malai</t>
        </is>
      </c>
      <c r="C457" t="inlineStr">
        <is>
          <t>Face Malai</t>
        </is>
      </c>
      <c r="H457" t="inlineStr">
        <is>
          <t>Turmeric Nutmeg (Pigmentation)  Face Malai - 30g</t>
        </is>
      </c>
      <c r="I457" t="inlineStr">
        <is>
          <t>Turmeric Nutmeg (Pigmentation)  Face Malai - 30g</t>
        </is>
      </c>
      <c r="N457" t="inlineStr">
        <is>
          <t>FC-DM-PG-030</t>
        </is>
      </c>
      <c r="O457" t="inlineStr">
        <is>
          <t>FC-DM-PG-030</t>
        </is>
      </c>
      <c r="T457" t="inlineStr">
        <is>
          <t>Oct 3, 2025</t>
        </is>
      </c>
      <c r="U457" t="inlineStr">
        <is>
          <t>Jan 5, 2026</t>
        </is>
      </c>
      <c r="Z457" t="n">
        <v>94</v>
      </c>
      <c r="AE457" t="inlineStr">
        <is>
          <t>Dehradun</t>
        </is>
      </c>
      <c r="AF457" t="inlineStr">
        <is>
          <t>2025-10</t>
        </is>
      </c>
      <c r="AG457" t="n">
        <v>10</v>
      </c>
      <c r="AH457" t="n">
        <v>2</v>
      </c>
      <c r="AI457" t="n">
        <v>1</v>
      </c>
      <c r="AJ457">
        <f>IF($AE457="","",IFERROR(VLOOKUP(TRIM($AE457),DECODE!$H$3:$I$60,2,FALSE),"Rest of India"))</f>
        <v/>
      </c>
      <c r="AK457">
        <f>IF($N457="","",UPPER(TRIM(LEFT($N457&amp;",",FIND(",",$N457&amp;",")-1))))</f>
        <v/>
      </c>
      <c r="AL457">
        <f>IF($AK457="","",MID($AK457,4,FIND("~",SUBSTITUTE($AK457,"-","~",2))-4))</f>
        <v/>
      </c>
      <c r="AM457">
        <f>IF($AK457="","",MID($AK457,FIND("~",SUBSTITUTE($AK457,"-","~",2))+1,FIND("~",SUBSTITUTE($AK457,"-","~",3))-FIND("~",SUBSTITUTE($AK457,"-","~",2))-1))</f>
        <v/>
      </c>
      <c r="AN457">
        <f>IF($AL457="","",IFERROR(VLOOKUP($AL457,DECODE!$A$3:$C$8,3,FALSE),"?"))</f>
        <v/>
      </c>
      <c r="AO457">
        <f>IF($AM457="","",IFERROR(VLOOKUP($AL457&amp;"-"&amp;$AM457,DECODE!$E$3:$F$21,2,FALSE),"?"))</f>
        <v/>
      </c>
      <c r="AP457">
        <f>IF($AK457="","",IFERROR(VALUE(RIGHT($AK457,3)),""))</f>
        <v/>
      </c>
      <c r="AQ457">
        <f>IF($T457="","",IFERROR(IF(ISNUMBER($T457),$T457,DATEVALUE(TRIM($T457))),""))</f>
        <v/>
      </c>
      <c r="AR457">
        <f>IF($AQ457="","",IF(MONTH($AQ457)&gt;=12,"Cold Winter",IF(MONTH($AQ457)&gt;=10,"Post-Monsoon",IF(MONTH($AQ457)&gt;=6,"Hot Humid",IF(MONTH($AQ457)&gt;=3,"Hot Dry","Cold Winter")))))</f>
        <v/>
      </c>
      <c r="AS457">
        <f>IF($AL457="","",IFERROR(VLOOKUP($AL457,DECODE!$A$3:$C$8,2,FALSE),"?"))</f>
        <v/>
      </c>
      <c r="AT457">
        <f>IF($O457="","",UPPER(TRIM(LEFT($O457&amp;",",FIND(",",$O457&amp;",")-1))))</f>
        <v/>
      </c>
      <c r="AU457">
        <f>IF($AT457="","",MID($AT457,4,FIND("~",SUBSTITUTE($AT457,"-","~",2))-4))</f>
        <v/>
      </c>
      <c r="AV457">
        <f>IF($AT457="","",MID($AT457,FIND("~",SUBSTITUTE($AT457,"-","~",2))+1,FIND("~",SUBSTITUTE($AT457,"-","~",3))-FIND("~",SUBSTITUTE($AT457,"-","~",2))-1))</f>
        <v/>
      </c>
      <c r="AW457">
        <f>IF($AU457="","",IFERROR(VLOOKUP($AU457,DECODE!$A$3:$C$8,3,FALSE),"?"))</f>
        <v/>
      </c>
      <c r="AX457">
        <f>IF($AV457="","",IFERROR(VLOOKUP($AU457&amp;"-"&amp;$AV457,DECODE!$E$3:$F$21,2,FALSE),"?"))</f>
        <v/>
      </c>
      <c r="AY457">
        <f>IF($AT457="","",IFERROR(VALUE(RIGHT($AT457,3)),""))</f>
        <v/>
      </c>
      <c r="AZ457">
        <f>IF($U457="","",IFERROR(IF(ISNUMBER($U457),$U457,DATEVALUE(TRIM($U457))),""))</f>
        <v/>
      </c>
      <c r="BA457">
        <f>IF($AZ457="","",IF(MONTH($AZ457)&gt;=12,"Cold Winter",IF(MONTH($AZ457)&gt;=10,"Post-Monsoon",IF(MONTH($AZ457)&gt;=6,"Hot Humid",IF(MONTH($AZ457)&gt;=3,"Hot Dry","Cold Winter")))))</f>
        <v/>
      </c>
      <c r="BB457">
        <f>IF($AU457="","",IFERROR(VLOOKUP($AU457,DECODE!$A$3:$C$8,2,FALSE),"?"))</f>
        <v/>
      </c>
      <c r="BC457">
        <f>IF($P457="","",UPPER(TRIM(LEFT($P457&amp;",",FIND(",",$P457&amp;",")-1))))</f>
        <v/>
      </c>
      <c r="BD457">
        <f>IF($BC457="","",MID($BC457,4,FIND("~",SUBSTITUTE($BC457,"-","~",2))-4))</f>
        <v/>
      </c>
      <c r="BE457">
        <f>IF($BC457="","",MID($BC457,FIND("~",SUBSTITUTE($BC457,"-","~",2))+1,FIND("~",SUBSTITUTE($BC457,"-","~",3))-FIND("~",SUBSTITUTE($BC457,"-","~",2))-1))</f>
        <v/>
      </c>
      <c r="BF457">
        <f>IF($BD457="","",IFERROR(VLOOKUP($BD457,DECODE!$A$3:$C$8,3,FALSE),"?"))</f>
        <v/>
      </c>
      <c r="BG457">
        <f>IF($BE457="","",IFERROR(VLOOKUP($BD457&amp;"-"&amp;$BE457,DECODE!$E$3:$F$21,2,FALSE),"?"))</f>
        <v/>
      </c>
      <c r="BH457">
        <f>IF($BC457="","",IFERROR(VALUE(RIGHT($BC457,3)),""))</f>
        <v/>
      </c>
      <c r="BI457">
        <f>IF($V457="","",IFERROR(IF(ISNUMBER($V457),$V457,DATEVALUE(TRIM($V457))),""))</f>
        <v/>
      </c>
      <c r="BJ457">
        <f>IF($BI457="","",IF(MONTH($BI457)&gt;=12,"Cold Winter",IF(MONTH($BI457)&gt;=10,"Post-Monsoon",IF(MONTH($BI457)&gt;=6,"Hot Humid",IF(MONTH($BI457)&gt;=3,"Hot Dry","Cold Winter")))))</f>
        <v/>
      </c>
      <c r="BK457">
        <f>IF($BD457="","",IFERROR(VLOOKUP($BD457,DECODE!$A$3:$C$8,2,FALSE),"?"))</f>
        <v/>
      </c>
      <c r="BL457">
        <f>IF($Q457="","",UPPER(TRIM(LEFT($Q457&amp;",",FIND(",",$Q457&amp;",")-1))))</f>
        <v/>
      </c>
      <c r="BM457">
        <f>IF($BL457="","",MID($BL457,4,FIND("~",SUBSTITUTE($BL457,"-","~",2))-4))</f>
        <v/>
      </c>
      <c r="BN457">
        <f>IF($BL457="","",MID($BL457,FIND("~",SUBSTITUTE($BL457,"-","~",2))+1,FIND("~",SUBSTITUTE($BL457,"-","~",3))-FIND("~",SUBSTITUTE($BL457,"-","~",2))-1))</f>
        <v/>
      </c>
      <c r="BO457">
        <f>IF($BM457="","",IFERROR(VLOOKUP($BM457,DECODE!$A$3:$C$8,3,FALSE),"?"))</f>
        <v/>
      </c>
      <c r="BP457">
        <f>IF($BN457="","",IFERROR(VLOOKUP($BM457&amp;"-"&amp;$BN457,DECODE!$E$3:$F$21,2,FALSE),"?"))</f>
        <v/>
      </c>
      <c r="BQ457">
        <f>IF($BL457="","",IFERROR(VALUE(RIGHT($BL457,3)),""))</f>
        <v/>
      </c>
      <c r="BR457">
        <f>IF($W457="","",IFERROR(IF(ISNUMBER($W457),$W457,DATEVALUE(TRIM($W457))),""))</f>
        <v/>
      </c>
      <c r="BS457">
        <f>IF($BR457="","",IF(MONTH($BR457)&gt;=12,"Cold Winter",IF(MONTH($BR457)&gt;=10,"Post-Monsoon",IF(MONTH($BR457)&gt;=6,"Hot Humid",IF(MONTH($BR457)&gt;=3,"Hot Dry","Cold Winter")))))</f>
        <v/>
      </c>
      <c r="BT457">
        <f>IF($BM457="","",IFERROR(VLOOKUP($BM457,DECODE!$A$3:$C$8,2,FALSE),"?"))</f>
        <v/>
      </c>
      <c r="BU457">
        <f>IF($R457="","",UPPER(TRIM(LEFT($R457&amp;",",FIND(",",$R457&amp;",")-1))))</f>
        <v/>
      </c>
      <c r="BV457">
        <f>IF($BU457="","",MID($BU457,4,FIND("~",SUBSTITUTE($BU457,"-","~",2))-4))</f>
        <v/>
      </c>
      <c r="BW457">
        <f>IF($BU457="","",MID($BU457,FIND("~",SUBSTITUTE($BU457,"-","~",2))+1,FIND("~",SUBSTITUTE($BU457,"-","~",3))-FIND("~",SUBSTITUTE($BU457,"-","~",2))-1))</f>
        <v/>
      </c>
      <c r="BX457">
        <f>IF($BV457="","",IFERROR(VLOOKUP($BV457,DECODE!$A$3:$C$8,3,FALSE),"?"))</f>
        <v/>
      </c>
      <c r="BY457">
        <f>IF($BW457="","",IFERROR(VLOOKUP($BV457&amp;"-"&amp;$BW457,DECODE!$E$3:$F$21,2,FALSE),"?"))</f>
        <v/>
      </c>
      <c r="BZ457">
        <f>IF($BU457="","",IFERROR(VALUE(RIGHT($BU457,3)),""))</f>
        <v/>
      </c>
      <c r="CA457">
        <f>IF($X457="","",IFERROR(IF(ISNUMBER($X457),$X457,DATEVALUE(TRIM($X457))),""))</f>
        <v/>
      </c>
      <c r="CB457">
        <f>IF($CA457="","",IF(MONTH($CA457)&gt;=12,"Cold Winter",IF(MONTH($CA457)&gt;=10,"Post-Monsoon",IF(MONTH($CA457)&gt;=6,"Hot Humid",IF(MONTH($CA457)&gt;=3,"Hot Dry","Cold Winter")))))</f>
        <v/>
      </c>
      <c r="CC457">
        <f>IF($BV457="","",IFERROR(VLOOKUP($BV457,DECODE!$A$3:$C$8,2,FALSE),"?"))</f>
        <v/>
      </c>
      <c r="CD457">
        <f>IF($S457="","",UPPER(TRIM(LEFT($S457&amp;",",FIND(",",$S457&amp;",")-1))))</f>
        <v/>
      </c>
      <c r="CE457">
        <f>IF($CD457="","",MID($CD457,4,FIND("~",SUBSTITUTE($CD457,"-","~",2))-4))</f>
        <v/>
      </c>
      <c r="CF457">
        <f>IF($CD457="","",MID($CD457,FIND("~",SUBSTITUTE($CD457,"-","~",2))+1,FIND("~",SUBSTITUTE($CD457,"-","~",3))-FIND("~",SUBSTITUTE($CD457,"-","~",2))-1))</f>
        <v/>
      </c>
      <c r="CG457">
        <f>IF($CE457="","",IFERROR(VLOOKUP($CE457,DECODE!$A$3:$C$8,3,FALSE),"?"))</f>
        <v/>
      </c>
      <c r="CH457">
        <f>IF($CF457="","",IFERROR(VLOOKUP($CE457&amp;"-"&amp;$CF457,DECODE!$E$3:$F$21,2,FALSE),"?"))</f>
        <v/>
      </c>
      <c r="CI457">
        <f>IF($CD457="","",IFERROR(VALUE(RIGHT($CD457,3)),""))</f>
        <v/>
      </c>
      <c r="CJ457">
        <f>IF($Y457="","",IFERROR(IF(ISNUMBER($Y457),$Y457,DATEVALUE(TRIM($Y457))),""))</f>
        <v/>
      </c>
      <c r="CK457">
        <f>IF($CJ457="","",IF(MONTH($CJ457)&gt;=12,"Cold Winter",IF(MONTH($CJ457)&gt;=10,"Post-Monsoon",IF(MONTH($CJ457)&gt;=6,"Hot Humid",IF(MONTH($CJ457)&gt;=3,"Hot Dry","Cold Winter")))))</f>
        <v/>
      </c>
      <c r="CL457">
        <f>IF($CE457="","",IFERROR(VLOOKUP($CE457,DECODE!$A$3:$C$8,2,FALSE),"?"))</f>
        <v/>
      </c>
      <c r="CM457">
        <f>IF($AN457="","",AN457)</f>
        <v/>
      </c>
      <c r="CN457">
        <f>IF($AO457="","",AO457)</f>
        <v/>
      </c>
      <c r="CO457">
        <f>IF($AP457="","",AP457)</f>
        <v/>
      </c>
      <c r="CP457">
        <f>IF($CM457="","",IF($CM457="Aloe Vera Gel","Aloe Vera Gel "&amp;$CO457&amp;"g",CN457&amp;" "&amp;$CO457&amp;"g"))</f>
        <v/>
      </c>
      <c r="CQ457">
        <f>IF($AT457="",0,1)</f>
        <v/>
      </c>
      <c r="CR457">
        <f>IF($CQ457=0,"",AW457)</f>
        <v/>
      </c>
      <c r="CS457">
        <f>IF($CQ457=0,"",AX457)</f>
        <v/>
      </c>
      <c r="CT457">
        <f>IF($CQ457=0,"",AY457)</f>
        <v/>
      </c>
      <c r="CU457">
        <f>IF($CR457="","",IF($CR457="Aloe Vera Gel","Aloe Vera Gel "&amp;$CT457&amp;"g",CS457&amp;" "&amp;$CT457&amp;"g"))</f>
        <v/>
      </c>
      <c r="CV457">
        <f>IF($CQ457=0,"",IF($CP457=$CU457,"Repeat Exact",IF($CT457&gt;$CO457,"Upsized",IF($CT457&lt;$CO457,"Downsized",IF($CM457&lt;&gt;$CR457,"Lateral","Same Size Diff Variant")))))</f>
        <v/>
      </c>
      <c r="CW457">
        <f>IF($CQ457=0,"",AZ457-AQ457)</f>
        <v/>
      </c>
      <c r="CX457">
        <f>IF($CQ457=0,0,IF(CS457=CN457,1,0))</f>
        <v/>
      </c>
      <c r="CY457">
        <f>IF($CQ457=0,0,IF(CR457=CM457,1,0))</f>
        <v/>
      </c>
      <c r="CZ457">
        <f>IF($A457="","",IF(AND(IF(DASHBOARD!$C$4="All",TRUE,$CM457=DASHBOARD!$C$4),IF(DASHBOARD!$C$6="All",TRUE,$CP457=DASHBOARD!$C$6),IF(DASHBOARD!$C$8="All",TRUE,$AF457&gt;=DASHBOARD!$C$8),IF(DASHBOARD!$C$10="All",TRUE,$AF457&lt;=DASHBOARD!$C$10),IF(DASHBOARD!$C$12="All",TRUE,$AH457=VALUE(DASHBOARD!$C$12)),IF(DASHBOARD!$C$14="All",TRUE,$AJ457=DASHBOARD!$C$14)),1,0))</f>
        <v/>
      </c>
    </row>
    <row r="458">
      <c r="A458" t="n">
        <v>217380</v>
      </c>
      <c r="B458" t="inlineStr">
        <is>
          <t>Face Malai</t>
        </is>
      </c>
      <c r="H458" t="inlineStr">
        <is>
          <t>Flax Carrot (Hot Humid) 35+ Face Malai - 30g</t>
        </is>
      </c>
      <c r="N458" t="inlineStr">
        <is>
          <t>FC-HHDM-FC-030</t>
        </is>
      </c>
      <c r="T458" t="inlineStr">
        <is>
          <t>May 24, 2025</t>
        </is>
      </c>
      <c r="AE458" t="inlineStr">
        <is>
          <t>Prayagraj</t>
        </is>
      </c>
      <c r="AF458" t="inlineStr">
        <is>
          <t>2025-05</t>
        </is>
      </c>
      <c r="AG458" t="n">
        <v>5</v>
      </c>
      <c r="AH458" t="n">
        <v>1</v>
      </c>
      <c r="AI458" t="n">
        <v>0</v>
      </c>
      <c r="AJ458">
        <f>IF($AE458="","",IFERROR(VLOOKUP(TRIM($AE458),DECODE!$H$3:$I$60,2,FALSE),"Rest of India"))</f>
        <v/>
      </c>
      <c r="AK458">
        <f>IF($N458="","",UPPER(TRIM(LEFT($N458&amp;",",FIND(",",$N458&amp;",")-1))))</f>
        <v/>
      </c>
      <c r="AL458">
        <f>IF($AK458="","",MID($AK458,4,FIND("~",SUBSTITUTE($AK458,"-","~",2))-4))</f>
        <v/>
      </c>
      <c r="AM458">
        <f>IF($AK458="","",MID($AK458,FIND("~",SUBSTITUTE($AK458,"-","~",2))+1,FIND("~",SUBSTITUTE($AK458,"-","~",3))-FIND("~",SUBSTITUTE($AK458,"-","~",2))-1))</f>
        <v/>
      </c>
      <c r="AN458">
        <f>IF($AL458="","",IFERROR(VLOOKUP($AL458,DECODE!$A$3:$C$8,3,FALSE),"?"))</f>
        <v/>
      </c>
      <c r="AO458">
        <f>IF($AM458="","",IFERROR(VLOOKUP($AL458&amp;"-"&amp;$AM458,DECODE!$E$3:$F$21,2,FALSE),"?"))</f>
        <v/>
      </c>
      <c r="AP458">
        <f>IF($AK458="","",IFERROR(VALUE(RIGHT($AK458,3)),""))</f>
        <v/>
      </c>
      <c r="AQ458">
        <f>IF($T458="","",IFERROR(IF(ISNUMBER($T458),$T458,DATEVALUE(TRIM($T458))),""))</f>
        <v/>
      </c>
      <c r="AR458">
        <f>IF($AQ458="","",IF(MONTH($AQ458)&gt;=12,"Cold Winter",IF(MONTH($AQ458)&gt;=10,"Post-Monsoon",IF(MONTH($AQ458)&gt;=6,"Hot Humid",IF(MONTH($AQ458)&gt;=3,"Hot Dry","Cold Winter")))))</f>
        <v/>
      </c>
      <c r="AS458">
        <f>IF($AL458="","",IFERROR(VLOOKUP($AL458,DECODE!$A$3:$C$8,2,FALSE),"?"))</f>
        <v/>
      </c>
      <c r="AT458">
        <f>IF($O458="","",UPPER(TRIM(LEFT($O458&amp;",",FIND(",",$O458&amp;",")-1))))</f>
        <v/>
      </c>
      <c r="AU458">
        <f>IF($AT458="","",MID($AT458,4,FIND("~",SUBSTITUTE($AT458,"-","~",2))-4))</f>
        <v/>
      </c>
      <c r="AV458">
        <f>IF($AT458="","",MID($AT458,FIND("~",SUBSTITUTE($AT458,"-","~",2))+1,FIND("~",SUBSTITUTE($AT458,"-","~",3))-FIND("~",SUBSTITUTE($AT458,"-","~",2))-1))</f>
        <v/>
      </c>
      <c r="AW458">
        <f>IF($AU458="","",IFERROR(VLOOKUP($AU458,DECODE!$A$3:$C$8,3,FALSE),"?"))</f>
        <v/>
      </c>
      <c r="AX458">
        <f>IF($AV458="","",IFERROR(VLOOKUP($AU458&amp;"-"&amp;$AV458,DECODE!$E$3:$F$21,2,FALSE),"?"))</f>
        <v/>
      </c>
      <c r="AY458">
        <f>IF($AT458="","",IFERROR(VALUE(RIGHT($AT458,3)),""))</f>
        <v/>
      </c>
      <c r="AZ458">
        <f>IF($U458="","",IFERROR(IF(ISNUMBER($U458),$U458,DATEVALUE(TRIM($U458))),""))</f>
        <v/>
      </c>
      <c r="BA458">
        <f>IF($AZ458="","",IF(MONTH($AZ458)&gt;=12,"Cold Winter",IF(MONTH($AZ458)&gt;=10,"Post-Monsoon",IF(MONTH($AZ458)&gt;=6,"Hot Humid",IF(MONTH($AZ458)&gt;=3,"Hot Dry","Cold Winter")))))</f>
        <v/>
      </c>
      <c r="BB458">
        <f>IF($AU458="","",IFERROR(VLOOKUP($AU458,DECODE!$A$3:$C$8,2,FALSE),"?"))</f>
        <v/>
      </c>
      <c r="BC458">
        <f>IF($P458="","",UPPER(TRIM(LEFT($P458&amp;",",FIND(",",$P458&amp;",")-1))))</f>
        <v/>
      </c>
      <c r="BD458">
        <f>IF($BC458="","",MID($BC458,4,FIND("~",SUBSTITUTE($BC458,"-","~",2))-4))</f>
        <v/>
      </c>
      <c r="BE458">
        <f>IF($BC458="","",MID($BC458,FIND("~",SUBSTITUTE($BC458,"-","~",2))+1,FIND("~",SUBSTITUTE($BC458,"-","~",3))-FIND("~",SUBSTITUTE($BC458,"-","~",2))-1))</f>
        <v/>
      </c>
      <c r="BF458">
        <f>IF($BD458="","",IFERROR(VLOOKUP($BD458,DECODE!$A$3:$C$8,3,FALSE),"?"))</f>
        <v/>
      </c>
      <c r="BG458">
        <f>IF($BE458="","",IFERROR(VLOOKUP($BD458&amp;"-"&amp;$BE458,DECODE!$E$3:$F$21,2,FALSE),"?"))</f>
        <v/>
      </c>
      <c r="BH458">
        <f>IF($BC458="","",IFERROR(VALUE(RIGHT($BC458,3)),""))</f>
        <v/>
      </c>
      <c r="BI458">
        <f>IF($V458="","",IFERROR(IF(ISNUMBER($V458),$V458,DATEVALUE(TRIM($V458))),""))</f>
        <v/>
      </c>
      <c r="BJ458">
        <f>IF($BI458="","",IF(MONTH($BI458)&gt;=12,"Cold Winter",IF(MONTH($BI458)&gt;=10,"Post-Monsoon",IF(MONTH($BI458)&gt;=6,"Hot Humid",IF(MONTH($BI458)&gt;=3,"Hot Dry","Cold Winter")))))</f>
        <v/>
      </c>
      <c r="BK458">
        <f>IF($BD458="","",IFERROR(VLOOKUP($BD458,DECODE!$A$3:$C$8,2,FALSE),"?"))</f>
        <v/>
      </c>
      <c r="BL458">
        <f>IF($Q458="","",UPPER(TRIM(LEFT($Q458&amp;",",FIND(",",$Q458&amp;",")-1))))</f>
        <v/>
      </c>
      <c r="BM458">
        <f>IF($BL458="","",MID($BL458,4,FIND("~",SUBSTITUTE($BL458,"-","~",2))-4))</f>
        <v/>
      </c>
      <c r="BN458">
        <f>IF($BL458="","",MID($BL458,FIND("~",SUBSTITUTE($BL458,"-","~",2))+1,FIND("~",SUBSTITUTE($BL458,"-","~",3))-FIND("~",SUBSTITUTE($BL458,"-","~",2))-1))</f>
        <v/>
      </c>
      <c r="BO458">
        <f>IF($BM458="","",IFERROR(VLOOKUP($BM458,DECODE!$A$3:$C$8,3,FALSE),"?"))</f>
        <v/>
      </c>
      <c r="BP458">
        <f>IF($BN458="","",IFERROR(VLOOKUP($BM458&amp;"-"&amp;$BN458,DECODE!$E$3:$F$21,2,FALSE),"?"))</f>
        <v/>
      </c>
      <c r="BQ458">
        <f>IF($BL458="","",IFERROR(VALUE(RIGHT($BL458,3)),""))</f>
        <v/>
      </c>
      <c r="BR458">
        <f>IF($W458="","",IFERROR(IF(ISNUMBER($W458),$W458,DATEVALUE(TRIM($W458))),""))</f>
        <v/>
      </c>
      <c r="BS458">
        <f>IF($BR458="","",IF(MONTH($BR458)&gt;=12,"Cold Winter",IF(MONTH($BR458)&gt;=10,"Post-Monsoon",IF(MONTH($BR458)&gt;=6,"Hot Humid",IF(MONTH($BR458)&gt;=3,"Hot Dry","Cold Winter")))))</f>
        <v/>
      </c>
      <c r="BT458">
        <f>IF($BM458="","",IFERROR(VLOOKUP($BM458,DECODE!$A$3:$C$8,2,FALSE),"?"))</f>
        <v/>
      </c>
      <c r="BU458">
        <f>IF($R458="","",UPPER(TRIM(LEFT($R458&amp;",",FIND(",",$R458&amp;",")-1))))</f>
        <v/>
      </c>
      <c r="BV458">
        <f>IF($BU458="","",MID($BU458,4,FIND("~",SUBSTITUTE($BU458,"-","~",2))-4))</f>
        <v/>
      </c>
      <c r="BW458">
        <f>IF($BU458="","",MID($BU458,FIND("~",SUBSTITUTE($BU458,"-","~",2))+1,FIND("~",SUBSTITUTE($BU458,"-","~",3))-FIND("~",SUBSTITUTE($BU458,"-","~",2))-1))</f>
        <v/>
      </c>
      <c r="BX458">
        <f>IF($BV458="","",IFERROR(VLOOKUP($BV458,DECODE!$A$3:$C$8,3,FALSE),"?"))</f>
        <v/>
      </c>
      <c r="BY458">
        <f>IF($BW458="","",IFERROR(VLOOKUP($BV458&amp;"-"&amp;$BW458,DECODE!$E$3:$F$21,2,FALSE),"?"))</f>
        <v/>
      </c>
      <c r="BZ458">
        <f>IF($BU458="","",IFERROR(VALUE(RIGHT($BU458,3)),""))</f>
        <v/>
      </c>
      <c r="CA458">
        <f>IF($X458="","",IFERROR(IF(ISNUMBER($X458),$X458,DATEVALUE(TRIM($X458))),""))</f>
        <v/>
      </c>
      <c r="CB458">
        <f>IF($CA458="","",IF(MONTH($CA458)&gt;=12,"Cold Winter",IF(MONTH($CA458)&gt;=10,"Post-Monsoon",IF(MONTH($CA458)&gt;=6,"Hot Humid",IF(MONTH($CA458)&gt;=3,"Hot Dry","Cold Winter")))))</f>
        <v/>
      </c>
      <c r="CC458">
        <f>IF($BV458="","",IFERROR(VLOOKUP($BV458,DECODE!$A$3:$C$8,2,FALSE),"?"))</f>
        <v/>
      </c>
      <c r="CD458">
        <f>IF($S458="","",UPPER(TRIM(LEFT($S458&amp;",",FIND(",",$S458&amp;",")-1))))</f>
        <v/>
      </c>
      <c r="CE458">
        <f>IF($CD458="","",MID($CD458,4,FIND("~",SUBSTITUTE($CD458,"-","~",2))-4))</f>
        <v/>
      </c>
      <c r="CF458">
        <f>IF($CD458="","",MID($CD458,FIND("~",SUBSTITUTE($CD458,"-","~",2))+1,FIND("~",SUBSTITUTE($CD458,"-","~",3))-FIND("~",SUBSTITUTE($CD458,"-","~",2))-1))</f>
        <v/>
      </c>
      <c r="CG458">
        <f>IF($CE458="","",IFERROR(VLOOKUP($CE458,DECODE!$A$3:$C$8,3,FALSE),"?"))</f>
        <v/>
      </c>
      <c r="CH458">
        <f>IF($CF458="","",IFERROR(VLOOKUP($CE458&amp;"-"&amp;$CF458,DECODE!$E$3:$F$21,2,FALSE),"?"))</f>
        <v/>
      </c>
      <c r="CI458">
        <f>IF($CD458="","",IFERROR(VALUE(RIGHT($CD458,3)),""))</f>
        <v/>
      </c>
      <c r="CJ458">
        <f>IF($Y458="","",IFERROR(IF(ISNUMBER($Y458),$Y458,DATEVALUE(TRIM($Y458))),""))</f>
        <v/>
      </c>
      <c r="CK458">
        <f>IF($CJ458="","",IF(MONTH($CJ458)&gt;=12,"Cold Winter",IF(MONTH($CJ458)&gt;=10,"Post-Monsoon",IF(MONTH($CJ458)&gt;=6,"Hot Humid",IF(MONTH($CJ458)&gt;=3,"Hot Dry","Cold Winter")))))</f>
        <v/>
      </c>
      <c r="CL458">
        <f>IF($CE458="","",IFERROR(VLOOKUP($CE458,DECODE!$A$3:$C$8,2,FALSE),"?"))</f>
        <v/>
      </c>
      <c r="CM458">
        <f>IF($AN458="","",AN458)</f>
        <v/>
      </c>
      <c r="CN458">
        <f>IF($AO458="","",AO458)</f>
        <v/>
      </c>
      <c r="CO458">
        <f>IF($AP458="","",AP458)</f>
        <v/>
      </c>
      <c r="CP458">
        <f>IF($CM458="","",IF($CM458="Aloe Vera Gel","Aloe Vera Gel "&amp;$CO458&amp;"g",CN458&amp;" "&amp;$CO458&amp;"g"))</f>
        <v/>
      </c>
      <c r="CQ458">
        <f>IF($AT458="",0,1)</f>
        <v/>
      </c>
      <c r="CR458">
        <f>IF($CQ458=0,"",AW458)</f>
        <v/>
      </c>
      <c r="CS458">
        <f>IF($CQ458=0,"",AX458)</f>
        <v/>
      </c>
      <c r="CT458">
        <f>IF($CQ458=0,"",AY458)</f>
        <v/>
      </c>
      <c r="CU458">
        <f>IF($CR458="","",IF($CR458="Aloe Vera Gel","Aloe Vera Gel "&amp;$CT458&amp;"g",CS458&amp;" "&amp;$CT458&amp;"g"))</f>
        <v/>
      </c>
      <c r="CV458">
        <f>IF($CQ458=0,"",IF($CP458=$CU458,"Repeat Exact",IF($CT458&gt;$CO458,"Upsized",IF($CT458&lt;$CO458,"Downsized",IF($CM458&lt;&gt;$CR458,"Lateral","Same Size Diff Variant")))))</f>
        <v/>
      </c>
      <c r="CW458">
        <f>IF($CQ458=0,"",AZ458-AQ458)</f>
        <v/>
      </c>
      <c r="CX458">
        <f>IF($CQ458=0,0,IF(CS458=CN458,1,0))</f>
        <v/>
      </c>
      <c r="CY458">
        <f>IF($CQ458=0,0,IF(CR458=CM458,1,0))</f>
        <v/>
      </c>
      <c r="CZ458">
        <f>IF($A458="","",IF(AND(IF(DASHBOARD!$C$4="All",TRUE,$CM458=DASHBOARD!$C$4),IF(DASHBOARD!$C$6="All",TRUE,$CP458=DASHBOARD!$C$6),IF(DASHBOARD!$C$8="All",TRUE,$AF458&gt;=DASHBOARD!$C$8),IF(DASHBOARD!$C$10="All",TRUE,$AF458&lt;=DASHBOARD!$C$10),IF(DASHBOARD!$C$12="All",TRUE,$AH458=VALUE(DASHBOARD!$C$12)),IF(DASHBOARD!$C$14="All",TRUE,$AJ458=DASHBOARD!$C$14)),1,0))</f>
        <v/>
      </c>
    </row>
    <row r="459">
      <c r="A459" t="n">
        <v>217424</v>
      </c>
      <c r="B459" t="inlineStr">
        <is>
          <t>Aloe Vera Gel, Face Malai</t>
        </is>
      </c>
      <c r="H459" t="inlineStr">
        <is>
          <t>Aloe Vera Gel - 80 gms, Flax Carrot (Hot Humid) 35+ Face Malai - 30g, Flax Walnut (Cold) 35+ Face Malai, Cocoa Mogra (Overnight) Face Malai - 30g</t>
        </is>
      </c>
      <c r="N459" t="inlineStr">
        <is>
          <t>FC-CWDM-FW-030, FC-HG-PA-080, FC-DM-NR-030, FC-HHDM-FC-030</t>
        </is>
      </c>
      <c r="T459" t="inlineStr">
        <is>
          <t>Jul 21, 2025</t>
        </is>
      </c>
      <c r="AE459" t="inlineStr">
        <is>
          <t>Nalgonda</t>
        </is>
      </c>
      <c r="AF459" t="inlineStr">
        <is>
          <t>2025-07</t>
        </is>
      </c>
      <c r="AG459" t="n">
        <v>7</v>
      </c>
      <c r="AH459" t="n">
        <v>1</v>
      </c>
      <c r="AI459" t="n">
        <v>0</v>
      </c>
      <c r="AJ459">
        <f>IF($AE459="","",IFERROR(VLOOKUP(TRIM($AE459),DECODE!$H$3:$I$60,2,FALSE),"Rest of India"))</f>
        <v/>
      </c>
      <c r="AK459">
        <f>IF($N459="","",UPPER(TRIM(LEFT($N459&amp;",",FIND(",",$N459&amp;",")-1))))</f>
        <v/>
      </c>
      <c r="AL459">
        <f>IF($AK459="","",MID($AK459,4,FIND("~",SUBSTITUTE($AK459,"-","~",2))-4))</f>
        <v/>
      </c>
      <c r="AM459">
        <f>IF($AK459="","",MID($AK459,FIND("~",SUBSTITUTE($AK459,"-","~",2))+1,FIND("~",SUBSTITUTE($AK459,"-","~",3))-FIND("~",SUBSTITUTE($AK459,"-","~",2))-1))</f>
        <v/>
      </c>
      <c r="AN459">
        <f>IF($AL459="","",IFERROR(VLOOKUP($AL459,DECODE!$A$3:$C$8,3,FALSE),"?"))</f>
        <v/>
      </c>
      <c r="AO459">
        <f>IF($AM459="","",IFERROR(VLOOKUP($AL459&amp;"-"&amp;$AM459,DECODE!$E$3:$F$21,2,FALSE),"?"))</f>
        <v/>
      </c>
      <c r="AP459">
        <f>IF($AK459="","",IFERROR(VALUE(RIGHT($AK459,3)),""))</f>
        <v/>
      </c>
      <c r="AQ459">
        <f>IF($T459="","",IFERROR(IF(ISNUMBER($T459),$T459,DATEVALUE(TRIM($T459))),""))</f>
        <v/>
      </c>
      <c r="AR459">
        <f>IF($AQ459="","",IF(MONTH($AQ459)&gt;=12,"Cold Winter",IF(MONTH($AQ459)&gt;=10,"Post-Monsoon",IF(MONTH($AQ459)&gt;=6,"Hot Humid",IF(MONTH($AQ459)&gt;=3,"Hot Dry","Cold Winter")))))</f>
        <v/>
      </c>
      <c r="AS459">
        <f>IF($AL459="","",IFERROR(VLOOKUP($AL459,DECODE!$A$3:$C$8,2,FALSE),"?"))</f>
        <v/>
      </c>
      <c r="AT459">
        <f>IF($O459="","",UPPER(TRIM(LEFT($O459&amp;",",FIND(",",$O459&amp;",")-1))))</f>
        <v/>
      </c>
      <c r="AU459">
        <f>IF($AT459="","",MID($AT459,4,FIND("~",SUBSTITUTE($AT459,"-","~",2))-4))</f>
        <v/>
      </c>
      <c r="AV459">
        <f>IF($AT459="","",MID($AT459,FIND("~",SUBSTITUTE($AT459,"-","~",2))+1,FIND("~",SUBSTITUTE($AT459,"-","~",3))-FIND("~",SUBSTITUTE($AT459,"-","~",2))-1))</f>
        <v/>
      </c>
      <c r="AW459">
        <f>IF($AU459="","",IFERROR(VLOOKUP($AU459,DECODE!$A$3:$C$8,3,FALSE),"?"))</f>
        <v/>
      </c>
      <c r="AX459">
        <f>IF($AV459="","",IFERROR(VLOOKUP($AU459&amp;"-"&amp;$AV459,DECODE!$E$3:$F$21,2,FALSE),"?"))</f>
        <v/>
      </c>
      <c r="AY459">
        <f>IF($AT459="","",IFERROR(VALUE(RIGHT($AT459,3)),""))</f>
        <v/>
      </c>
      <c r="AZ459">
        <f>IF($U459="","",IFERROR(IF(ISNUMBER($U459),$U459,DATEVALUE(TRIM($U459))),""))</f>
        <v/>
      </c>
      <c r="BA459">
        <f>IF($AZ459="","",IF(MONTH($AZ459)&gt;=12,"Cold Winter",IF(MONTH($AZ459)&gt;=10,"Post-Monsoon",IF(MONTH($AZ459)&gt;=6,"Hot Humid",IF(MONTH($AZ459)&gt;=3,"Hot Dry","Cold Winter")))))</f>
        <v/>
      </c>
      <c r="BB459">
        <f>IF($AU459="","",IFERROR(VLOOKUP($AU459,DECODE!$A$3:$C$8,2,FALSE),"?"))</f>
        <v/>
      </c>
      <c r="BC459">
        <f>IF($P459="","",UPPER(TRIM(LEFT($P459&amp;",",FIND(",",$P459&amp;",")-1))))</f>
        <v/>
      </c>
      <c r="BD459">
        <f>IF($BC459="","",MID($BC459,4,FIND("~",SUBSTITUTE($BC459,"-","~",2))-4))</f>
        <v/>
      </c>
      <c r="BE459">
        <f>IF($BC459="","",MID($BC459,FIND("~",SUBSTITUTE($BC459,"-","~",2))+1,FIND("~",SUBSTITUTE($BC459,"-","~",3))-FIND("~",SUBSTITUTE($BC459,"-","~",2))-1))</f>
        <v/>
      </c>
      <c r="BF459">
        <f>IF($BD459="","",IFERROR(VLOOKUP($BD459,DECODE!$A$3:$C$8,3,FALSE),"?"))</f>
        <v/>
      </c>
      <c r="BG459">
        <f>IF($BE459="","",IFERROR(VLOOKUP($BD459&amp;"-"&amp;$BE459,DECODE!$E$3:$F$21,2,FALSE),"?"))</f>
        <v/>
      </c>
      <c r="BH459">
        <f>IF($BC459="","",IFERROR(VALUE(RIGHT($BC459,3)),""))</f>
        <v/>
      </c>
      <c r="BI459">
        <f>IF($V459="","",IFERROR(IF(ISNUMBER($V459),$V459,DATEVALUE(TRIM($V459))),""))</f>
        <v/>
      </c>
      <c r="BJ459">
        <f>IF($BI459="","",IF(MONTH($BI459)&gt;=12,"Cold Winter",IF(MONTH($BI459)&gt;=10,"Post-Monsoon",IF(MONTH($BI459)&gt;=6,"Hot Humid",IF(MONTH($BI459)&gt;=3,"Hot Dry","Cold Winter")))))</f>
        <v/>
      </c>
      <c r="BK459">
        <f>IF($BD459="","",IFERROR(VLOOKUP($BD459,DECODE!$A$3:$C$8,2,FALSE),"?"))</f>
        <v/>
      </c>
      <c r="BL459">
        <f>IF($Q459="","",UPPER(TRIM(LEFT($Q459&amp;",",FIND(",",$Q459&amp;",")-1))))</f>
        <v/>
      </c>
      <c r="BM459">
        <f>IF($BL459="","",MID($BL459,4,FIND("~",SUBSTITUTE($BL459,"-","~",2))-4))</f>
        <v/>
      </c>
      <c r="BN459">
        <f>IF($BL459="","",MID($BL459,FIND("~",SUBSTITUTE($BL459,"-","~",2))+1,FIND("~",SUBSTITUTE($BL459,"-","~",3))-FIND("~",SUBSTITUTE($BL459,"-","~",2))-1))</f>
        <v/>
      </c>
      <c r="BO459">
        <f>IF($BM459="","",IFERROR(VLOOKUP($BM459,DECODE!$A$3:$C$8,3,FALSE),"?"))</f>
        <v/>
      </c>
      <c r="BP459">
        <f>IF($BN459="","",IFERROR(VLOOKUP($BM459&amp;"-"&amp;$BN459,DECODE!$E$3:$F$21,2,FALSE),"?"))</f>
        <v/>
      </c>
      <c r="BQ459">
        <f>IF($BL459="","",IFERROR(VALUE(RIGHT($BL459,3)),""))</f>
        <v/>
      </c>
      <c r="BR459">
        <f>IF($W459="","",IFERROR(IF(ISNUMBER($W459),$W459,DATEVALUE(TRIM($W459))),""))</f>
        <v/>
      </c>
      <c r="BS459">
        <f>IF($BR459="","",IF(MONTH($BR459)&gt;=12,"Cold Winter",IF(MONTH($BR459)&gt;=10,"Post-Monsoon",IF(MONTH($BR459)&gt;=6,"Hot Humid",IF(MONTH($BR459)&gt;=3,"Hot Dry","Cold Winter")))))</f>
        <v/>
      </c>
      <c r="BT459">
        <f>IF($BM459="","",IFERROR(VLOOKUP($BM459,DECODE!$A$3:$C$8,2,FALSE),"?"))</f>
        <v/>
      </c>
      <c r="BU459">
        <f>IF($R459="","",UPPER(TRIM(LEFT($R459&amp;",",FIND(",",$R459&amp;",")-1))))</f>
        <v/>
      </c>
      <c r="BV459">
        <f>IF($BU459="","",MID($BU459,4,FIND("~",SUBSTITUTE($BU459,"-","~",2))-4))</f>
        <v/>
      </c>
      <c r="BW459">
        <f>IF($BU459="","",MID($BU459,FIND("~",SUBSTITUTE($BU459,"-","~",2))+1,FIND("~",SUBSTITUTE($BU459,"-","~",3))-FIND("~",SUBSTITUTE($BU459,"-","~",2))-1))</f>
        <v/>
      </c>
      <c r="BX459">
        <f>IF($BV459="","",IFERROR(VLOOKUP($BV459,DECODE!$A$3:$C$8,3,FALSE),"?"))</f>
        <v/>
      </c>
      <c r="BY459">
        <f>IF($BW459="","",IFERROR(VLOOKUP($BV459&amp;"-"&amp;$BW459,DECODE!$E$3:$F$21,2,FALSE),"?"))</f>
        <v/>
      </c>
      <c r="BZ459">
        <f>IF($BU459="","",IFERROR(VALUE(RIGHT($BU459,3)),""))</f>
        <v/>
      </c>
      <c r="CA459">
        <f>IF($X459="","",IFERROR(IF(ISNUMBER($X459),$X459,DATEVALUE(TRIM($X459))),""))</f>
        <v/>
      </c>
      <c r="CB459">
        <f>IF($CA459="","",IF(MONTH($CA459)&gt;=12,"Cold Winter",IF(MONTH($CA459)&gt;=10,"Post-Monsoon",IF(MONTH($CA459)&gt;=6,"Hot Humid",IF(MONTH($CA459)&gt;=3,"Hot Dry","Cold Winter")))))</f>
        <v/>
      </c>
      <c r="CC459">
        <f>IF($BV459="","",IFERROR(VLOOKUP($BV459,DECODE!$A$3:$C$8,2,FALSE),"?"))</f>
        <v/>
      </c>
      <c r="CD459">
        <f>IF($S459="","",UPPER(TRIM(LEFT($S459&amp;",",FIND(",",$S459&amp;",")-1))))</f>
        <v/>
      </c>
      <c r="CE459">
        <f>IF($CD459="","",MID($CD459,4,FIND("~",SUBSTITUTE($CD459,"-","~",2))-4))</f>
        <v/>
      </c>
      <c r="CF459">
        <f>IF($CD459="","",MID($CD459,FIND("~",SUBSTITUTE($CD459,"-","~",2))+1,FIND("~",SUBSTITUTE($CD459,"-","~",3))-FIND("~",SUBSTITUTE($CD459,"-","~",2))-1))</f>
        <v/>
      </c>
      <c r="CG459">
        <f>IF($CE459="","",IFERROR(VLOOKUP($CE459,DECODE!$A$3:$C$8,3,FALSE),"?"))</f>
        <v/>
      </c>
      <c r="CH459">
        <f>IF($CF459="","",IFERROR(VLOOKUP($CE459&amp;"-"&amp;$CF459,DECODE!$E$3:$F$21,2,FALSE),"?"))</f>
        <v/>
      </c>
      <c r="CI459">
        <f>IF($CD459="","",IFERROR(VALUE(RIGHT($CD459,3)),""))</f>
        <v/>
      </c>
      <c r="CJ459">
        <f>IF($Y459="","",IFERROR(IF(ISNUMBER($Y459),$Y459,DATEVALUE(TRIM($Y459))),""))</f>
        <v/>
      </c>
      <c r="CK459">
        <f>IF($CJ459="","",IF(MONTH($CJ459)&gt;=12,"Cold Winter",IF(MONTH($CJ459)&gt;=10,"Post-Monsoon",IF(MONTH($CJ459)&gt;=6,"Hot Humid",IF(MONTH($CJ459)&gt;=3,"Hot Dry","Cold Winter")))))</f>
        <v/>
      </c>
      <c r="CL459">
        <f>IF($CE459="","",IFERROR(VLOOKUP($CE459,DECODE!$A$3:$C$8,2,FALSE),"?"))</f>
        <v/>
      </c>
      <c r="CM459">
        <f>IF($AN459="","",AN459)</f>
        <v/>
      </c>
      <c r="CN459">
        <f>IF($AO459="","",AO459)</f>
        <v/>
      </c>
      <c r="CO459">
        <f>IF($AP459="","",AP459)</f>
        <v/>
      </c>
      <c r="CP459">
        <f>IF($CM459="","",IF($CM459="Aloe Vera Gel","Aloe Vera Gel "&amp;$CO459&amp;"g",CN459&amp;" "&amp;$CO459&amp;"g"))</f>
        <v/>
      </c>
      <c r="CQ459">
        <f>IF($AT459="",0,1)</f>
        <v/>
      </c>
      <c r="CR459">
        <f>IF($CQ459=0,"",AW459)</f>
        <v/>
      </c>
      <c r="CS459">
        <f>IF($CQ459=0,"",AX459)</f>
        <v/>
      </c>
      <c r="CT459">
        <f>IF($CQ459=0,"",AY459)</f>
        <v/>
      </c>
      <c r="CU459">
        <f>IF($CR459="","",IF($CR459="Aloe Vera Gel","Aloe Vera Gel "&amp;$CT459&amp;"g",CS459&amp;" "&amp;$CT459&amp;"g"))</f>
        <v/>
      </c>
      <c r="CV459">
        <f>IF($CQ459=0,"",IF($CP459=$CU459,"Repeat Exact",IF($CT459&gt;$CO459,"Upsized",IF($CT459&lt;$CO459,"Downsized",IF($CM459&lt;&gt;$CR459,"Lateral","Same Size Diff Variant")))))</f>
        <v/>
      </c>
      <c r="CW459">
        <f>IF($CQ459=0,"",AZ459-AQ459)</f>
        <v/>
      </c>
      <c r="CX459">
        <f>IF($CQ459=0,0,IF(CS459=CN459,1,0))</f>
        <v/>
      </c>
      <c r="CY459">
        <f>IF($CQ459=0,0,IF(CR459=CM459,1,0))</f>
        <v/>
      </c>
      <c r="CZ459">
        <f>IF($A459="","",IF(AND(IF(DASHBOARD!$C$4="All",TRUE,$CM459=DASHBOARD!$C$4),IF(DASHBOARD!$C$6="All",TRUE,$CP459=DASHBOARD!$C$6),IF(DASHBOARD!$C$8="All",TRUE,$AF459&gt;=DASHBOARD!$C$8),IF(DASHBOARD!$C$10="All",TRUE,$AF459&lt;=DASHBOARD!$C$10),IF(DASHBOARD!$C$12="All",TRUE,$AH459=VALUE(DASHBOARD!$C$12)),IF(DASHBOARD!$C$14="All",TRUE,$AJ459=DASHBOARD!$C$14)),1,0))</f>
        <v/>
      </c>
    </row>
    <row r="460">
      <c r="A460" t="n">
        <v>217710</v>
      </c>
      <c r="B460" t="inlineStr">
        <is>
          <t>Face Malai</t>
        </is>
      </c>
      <c r="H460" t="inlineStr">
        <is>
          <t>Turmeric Nutmeg (Pigmentation)  Face Malai - 30g</t>
        </is>
      </c>
      <c r="N460" t="inlineStr">
        <is>
          <t>FC-DM-PG-030</t>
        </is>
      </c>
      <c r="T460" t="inlineStr">
        <is>
          <t>Feb 13, 2024</t>
        </is>
      </c>
      <c r="AE460" t="inlineStr">
        <is>
          <t>Thane</t>
        </is>
      </c>
      <c r="AF460" t="inlineStr">
        <is>
          <t>2024-02</t>
        </is>
      </c>
      <c r="AG460" t="n">
        <v>2</v>
      </c>
      <c r="AH460" t="n">
        <v>1</v>
      </c>
      <c r="AI460" t="n">
        <v>0</v>
      </c>
      <c r="AJ460">
        <f>IF($AE460="","",IFERROR(VLOOKUP(TRIM($AE460),DECODE!$H$3:$I$60,2,FALSE),"Rest of India"))</f>
        <v/>
      </c>
      <c r="AK460">
        <f>IF($N460="","",UPPER(TRIM(LEFT($N460&amp;",",FIND(",",$N460&amp;",")-1))))</f>
        <v/>
      </c>
      <c r="AL460">
        <f>IF($AK460="","",MID($AK460,4,FIND("~",SUBSTITUTE($AK460,"-","~",2))-4))</f>
        <v/>
      </c>
      <c r="AM460">
        <f>IF($AK460="","",MID($AK460,FIND("~",SUBSTITUTE($AK460,"-","~",2))+1,FIND("~",SUBSTITUTE($AK460,"-","~",3))-FIND("~",SUBSTITUTE($AK460,"-","~",2))-1))</f>
        <v/>
      </c>
      <c r="AN460">
        <f>IF($AL460="","",IFERROR(VLOOKUP($AL460,DECODE!$A$3:$C$8,3,FALSE),"?"))</f>
        <v/>
      </c>
      <c r="AO460">
        <f>IF($AM460="","",IFERROR(VLOOKUP($AL460&amp;"-"&amp;$AM460,DECODE!$E$3:$F$21,2,FALSE),"?"))</f>
        <v/>
      </c>
      <c r="AP460">
        <f>IF($AK460="","",IFERROR(VALUE(RIGHT($AK460,3)),""))</f>
        <v/>
      </c>
      <c r="AQ460">
        <f>IF($T460="","",IFERROR(IF(ISNUMBER($T460),$T460,DATEVALUE(TRIM($T460))),""))</f>
        <v/>
      </c>
      <c r="AR460">
        <f>IF($AQ460="","",IF(MONTH($AQ460)&gt;=12,"Cold Winter",IF(MONTH($AQ460)&gt;=10,"Post-Monsoon",IF(MONTH($AQ460)&gt;=6,"Hot Humid",IF(MONTH($AQ460)&gt;=3,"Hot Dry","Cold Winter")))))</f>
        <v/>
      </c>
      <c r="AS460">
        <f>IF($AL460="","",IFERROR(VLOOKUP($AL460,DECODE!$A$3:$C$8,2,FALSE),"?"))</f>
        <v/>
      </c>
      <c r="AT460">
        <f>IF($O460="","",UPPER(TRIM(LEFT($O460&amp;",",FIND(",",$O460&amp;",")-1))))</f>
        <v/>
      </c>
      <c r="AU460">
        <f>IF($AT460="","",MID($AT460,4,FIND("~",SUBSTITUTE($AT460,"-","~",2))-4))</f>
        <v/>
      </c>
      <c r="AV460">
        <f>IF($AT460="","",MID($AT460,FIND("~",SUBSTITUTE($AT460,"-","~",2))+1,FIND("~",SUBSTITUTE($AT460,"-","~",3))-FIND("~",SUBSTITUTE($AT460,"-","~",2))-1))</f>
        <v/>
      </c>
      <c r="AW460">
        <f>IF($AU460="","",IFERROR(VLOOKUP($AU460,DECODE!$A$3:$C$8,3,FALSE),"?"))</f>
        <v/>
      </c>
      <c r="AX460">
        <f>IF($AV460="","",IFERROR(VLOOKUP($AU460&amp;"-"&amp;$AV460,DECODE!$E$3:$F$21,2,FALSE),"?"))</f>
        <v/>
      </c>
      <c r="AY460">
        <f>IF($AT460="","",IFERROR(VALUE(RIGHT($AT460,3)),""))</f>
        <v/>
      </c>
      <c r="AZ460">
        <f>IF($U460="","",IFERROR(IF(ISNUMBER($U460),$U460,DATEVALUE(TRIM($U460))),""))</f>
        <v/>
      </c>
      <c r="BA460">
        <f>IF($AZ460="","",IF(MONTH($AZ460)&gt;=12,"Cold Winter",IF(MONTH($AZ460)&gt;=10,"Post-Monsoon",IF(MONTH($AZ460)&gt;=6,"Hot Humid",IF(MONTH($AZ460)&gt;=3,"Hot Dry","Cold Winter")))))</f>
        <v/>
      </c>
      <c r="BB460">
        <f>IF($AU460="","",IFERROR(VLOOKUP($AU460,DECODE!$A$3:$C$8,2,FALSE),"?"))</f>
        <v/>
      </c>
      <c r="BC460">
        <f>IF($P460="","",UPPER(TRIM(LEFT($P460&amp;",",FIND(",",$P460&amp;",")-1))))</f>
        <v/>
      </c>
      <c r="BD460">
        <f>IF($BC460="","",MID($BC460,4,FIND("~",SUBSTITUTE($BC460,"-","~",2))-4))</f>
        <v/>
      </c>
      <c r="BE460">
        <f>IF($BC460="","",MID($BC460,FIND("~",SUBSTITUTE($BC460,"-","~",2))+1,FIND("~",SUBSTITUTE($BC460,"-","~",3))-FIND("~",SUBSTITUTE($BC460,"-","~",2))-1))</f>
        <v/>
      </c>
      <c r="BF460">
        <f>IF($BD460="","",IFERROR(VLOOKUP($BD460,DECODE!$A$3:$C$8,3,FALSE),"?"))</f>
        <v/>
      </c>
      <c r="BG460">
        <f>IF($BE460="","",IFERROR(VLOOKUP($BD460&amp;"-"&amp;$BE460,DECODE!$E$3:$F$21,2,FALSE),"?"))</f>
        <v/>
      </c>
      <c r="BH460">
        <f>IF($BC460="","",IFERROR(VALUE(RIGHT($BC460,3)),""))</f>
        <v/>
      </c>
      <c r="BI460">
        <f>IF($V460="","",IFERROR(IF(ISNUMBER($V460),$V460,DATEVALUE(TRIM($V460))),""))</f>
        <v/>
      </c>
      <c r="BJ460">
        <f>IF($BI460="","",IF(MONTH($BI460)&gt;=12,"Cold Winter",IF(MONTH($BI460)&gt;=10,"Post-Monsoon",IF(MONTH($BI460)&gt;=6,"Hot Humid",IF(MONTH($BI460)&gt;=3,"Hot Dry","Cold Winter")))))</f>
        <v/>
      </c>
      <c r="BK460">
        <f>IF($BD460="","",IFERROR(VLOOKUP($BD460,DECODE!$A$3:$C$8,2,FALSE),"?"))</f>
        <v/>
      </c>
      <c r="BL460">
        <f>IF($Q460="","",UPPER(TRIM(LEFT($Q460&amp;",",FIND(",",$Q460&amp;",")-1))))</f>
        <v/>
      </c>
      <c r="BM460">
        <f>IF($BL460="","",MID($BL460,4,FIND("~",SUBSTITUTE($BL460,"-","~",2))-4))</f>
        <v/>
      </c>
      <c r="BN460">
        <f>IF($BL460="","",MID($BL460,FIND("~",SUBSTITUTE($BL460,"-","~",2))+1,FIND("~",SUBSTITUTE($BL460,"-","~",3))-FIND("~",SUBSTITUTE($BL460,"-","~",2))-1))</f>
        <v/>
      </c>
      <c r="BO460">
        <f>IF($BM460="","",IFERROR(VLOOKUP($BM460,DECODE!$A$3:$C$8,3,FALSE),"?"))</f>
        <v/>
      </c>
      <c r="BP460">
        <f>IF($BN460="","",IFERROR(VLOOKUP($BM460&amp;"-"&amp;$BN460,DECODE!$E$3:$F$21,2,FALSE),"?"))</f>
        <v/>
      </c>
      <c r="BQ460">
        <f>IF($BL460="","",IFERROR(VALUE(RIGHT($BL460,3)),""))</f>
        <v/>
      </c>
      <c r="BR460">
        <f>IF($W460="","",IFERROR(IF(ISNUMBER($W460),$W460,DATEVALUE(TRIM($W460))),""))</f>
        <v/>
      </c>
      <c r="BS460">
        <f>IF($BR460="","",IF(MONTH($BR460)&gt;=12,"Cold Winter",IF(MONTH($BR460)&gt;=10,"Post-Monsoon",IF(MONTH($BR460)&gt;=6,"Hot Humid",IF(MONTH($BR460)&gt;=3,"Hot Dry","Cold Winter")))))</f>
        <v/>
      </c>
      <c r="BT460">
        <f>IF($BM460="","",IFERROR(VLOOKUP($BM460,DECODE!$A$3:$C$8,2,FALSE),"?"))</f>
        <v/>
      </c>
      <c r="BU460">
        <f>IF($R460="","",UPPER(TRIM(LEFT($R460&amp;",",FIND(",",$R460&amp;",")-1))))</f>
        <v/>
      </c>
      <c r="BV460">
        <f>IF($BU460="","",MID($BU460,4,FIND("~",SUBSTITUTE($BU460,"-","~",2))-4))</f>
        <v/>
      </c>
      <c r="BW460">
        <f>IF($BU460="","",MID($BU460,FIND("~",SUBSTITUTE($BU460,"-","~",2))+1,FIND("~",SUBSTITUTE($BU460,"-","~",3))-FIND("~",SUBSTITUTE($BU460,"-","~",2))-1))</f>
        <v/>
      </c>
      <c r="BX460">
        <f>IF($BV460="","",IFERROR(VLOOKUP($BV460,DECODE!$A$3:$C$8,3,FALSE),"?"))</f>
        <v/>
      </c>
      <c r="BY460">
        <f>IF($BW460="","",IFERROR(VLOOKUP($BV460&amp;"-"&amp;$BW460,DECODE!$E$3:$F$21,2,FALSE),"?"))</f>
        <v/>
      </c>
      <c r="BZ460">
        <f>IF($BU460="","",IFERROR(VALUE(RIGHT($BU460,3)),""))</f>
        <v/>
      </c>
      <c r="CA460">
        <f>IF($X460="","",IFERROR(IF(ISNUMBER($X460),$X460,DATEVALUE(TRIM($X460))),""))</f>
        <v/>
      </c>
      <c r="CB460">
        <f>IF($CA460="","",IF(MONTH($CA460)&gt;=12,"Cold Winter",IF(MONTH($CA460)&gt;=10,"Post-Monsoon",IF(MONTH($CA460)&gt;=6,"Hot Humid",IF(MONTH($CA460)&gt;=3,"Hot Dry","Cold Winter")))))</f>
        <v/>
      </c>
      <c r="CC460">
        <f>IF($BV460="","",IFERROR(VLOOKUP($BV460,DECODE!$A$3:$C$8,2,FALSE),"?"))</f>
        <v/>
      </c>
      <c r="CD460">
        <f>IF($S460="","",UPPER(TRIM(LEFT($S460&amp;",",FIND(",",$S460&amp;",")-1))))</f>
        <v/>
      </c>
      <c r="CE460">
        <f>IF($CD460="","",MID($CD460,4,FIND("~",SUBSTITUTE($CD460,"-","~",2))-4))</f>
        <v/>
      </c>
      <c r="CF460">
        <f>IF($CD460="","",MID($CD460,FIND("~",SUBSTITUTE($CD460,"-","~",2))+1,FIND("~",SUBSTITUTE($CD460,"-","~",3))-FIND("~",SUBSTITUTE($CD460,"-","~",2))-1))</f>
        <v/>
      </c>
      <c r="CG460">
        <f>IF($CE460="","",IFERROR(VLOOKUP($CE460,DECODE!$A$3:$C$8,3,FALSE),"?"))</f>
        <v/>
      </c>
      <c r="CH460">
        <f>IF($CF460="","",IFERROR(VLOOKUP($CE460&amp;"-"&amp;$CF460,DECODE!$E$3:$F$21,2,FALSE),"?"))</f>
        <v/>
      </c>
      <c r="CI460">
        <f>IF($CD460="","",IFERROR(VALUE(RIGHT($CD460,3)),""))</f>
        <v/>
      </c>
      <c r="CJ460">
        <f>IF($Y460="","",IFERROR(IF(ISNUMBER($Y460),$Y460,DATEVALUE(TRIM($Y460))),""))</f>
        <v/>
      </c>
      <c r="CK460">
        <f>IF($CJ460="","",IF(MONTH($CJ460)&gt;=12,"Cold Winter",IF(MONTH($CJ460)&gt;=10,"Post-Monsoon",IF(MONTH($CJ460)&gt;=6,"Hot Humid",IF(MONTH($CJ460)&gt;=3,"Hot Dry","Cold Winter")))))</f>
        <v/>
      </c>
      <c r="CL460">
        <f>IF($CE460="","",IFERROR(VLOOKUP($CE460,DECODE!$A$3:$C$8,2,FALSE),"?"))</f>
        <v/>
      </c>
      <c r="CM460">
        <f>IF($AN460="","",AN460)</f>
        <v/>
      </c>
      <c r="CN460">
        <f>IF($AO460="","",AO460)</f>
        <v/>
      </c>
      <c r="CO460">
        <f>IF($AP460="","",AP460)</f>
        <v/>
      </c>
      <c r="CP460">
        <f>IF($CM460="","",IF($CM460="Aloe Vera Gel","Aloe Vera Gel "&amp;$CO460&amp;"g",CN460&amp;" "&amp;$CO460&amp;"g"))</f>
        <v/>
      </c>
      <c r="CQ460">
        <f>IF($AT460="",0,1)</f>
        <v/>
      </c>
      <c r="CR460">
        <f>IF($CQ460=0,"",AW460)</f>
        <v/>
      </c>
      <c r="CS460">
        <f>IF($CQ460=0,"",AX460)</f>
        <v/>
      </c>
      <c r="CT460">
        <f>IF($CQ460=0,"",AY460)</f>
        <v/>
      </c>
      <c r="CU460">
        <f>IF($CR460="","",IF($CR460="Aloe Vera Gel","Aloe Vera Gel "&amp;$CT460&amp;"g",CS460&amp;" "&amp;$CT460&amp;"g"))</f>
        <v/>
      </c>
      <c r="CV460">
        <f>IF($CQ460=0,"",IF($CP460=$CU460,"Repeat Exact",IF($CT460&gt;$CO460,"Upsized",IF($CT460&lt;$CO460,"Downsized",IF($CM460&lt;&gt;$CR460,"Lateral","Same Size Diff Variant")))))</f>
        <v/>
      </c>
      <c r="CW460">
        <f>IF($CQ460=0,"",AZ460-AQ460)</f>
        <v/>
      </c>
      <c r="CX460">
        <f>IF($CQ460=0,0,IF(CS460=CN460,1,0))</f>
        <v/>
      </c>
      <c r="CY460">
        <f>IF($CQ460=0,0,IF(CR460=CM460,1,0))</f>
        <v/>
      </c>
      <c r="CZ460">
        <f>IF($A460="","",IF(AND(IF(DASHBOARD!$C$4="All",TRUE,$CM460=DASHBOARD!$C$4),IF(DASHBOARD!$C$6="All",TRUE,$CP460=DASHBOARD!$C$6),IF(DASHBOARD!$C$8="All",TRUE,$AF460&gt;=DASHBOARD!$C$8),IF(DASHBOARD!$C$10="All",TRUE,$AF460&lt;=DASHBOARD!$C$10),IF(DASHBOARD!$C$12="All",TRUE,$AH460=VALUE(DASHBOARD!$C$12)),IF(DASHBOARD!$C$14="All",TRUE,$AJ460=DASHBOARD!$C$14)),1,0))</f>
        <v/>
      </c>
    </row>
    <row r="461">
      <c r="A461" t="n">
        <v>218016</v>
      </c>
      <c r="B461" t="inlineStr">
        <is>
          <t>Active Gel</t>
        </is>
      </c>
      <c r="H461" t="inlineStr">
        <is>
          <t>Active Olive Vit-E Night Gel, Active Neem TeaTree Gel, Active Orange Kiwi Vit-C Gel</t>
        </is>
      </c>
      <c r="N461" t="inlineStr">
        <is>
          <t>FC-AC-NT-050, FC-AC-OV-050, FC-AC-OK-050</t>
        </is>
      </c>
      <c r="T461" t="inlineStr">
        <is>
          <t>Oct 31, 2024</t>
        </is>
      </c>
      <c r="AE461" t="inlineStr">
        <is>
          <t>Sangareddy</t>
        </is>
      </c>
      <c r="AF461" t="inlineStr">
        <is>
          <t>2024-10</t>
        </is>
      </c>
      <c r="AG461" t="n">
        <v>10</v>
      </c>
      <c r="AH461" t="n">
        <v>1</v>
      </c>
      <c r="AI461" t="n">
        <v>0</v>
      </c>
      <c r="AJ461">
        <f>IF($AE461="","",IFERROR(VLOOKUP(TRIM($AE461),DECODE!$H$3:$I$60,2,FALSE),"Rest of India"))</f>
        <v/>
      </c>
      <c r="AK461">
        <f>IF($N461="","",UPPER(TRIM(LEFT($N461&amp;",",FIND(",",$N461&amp;",")-1))))</f>
        <v/>
      </c>
      <c r="AL461">
        <f>IF($AK461="","",MID($AK461,4,FIND("~",SUBSTITUTE($AK461,"-","~",2))-4))</f>
        <v/>
      </c>
      <c r="AM461">
        <f>IF($AK461="","",MID($AK461,FIND("~",SUBSTITUTE($AK461,"-","~",2))+1,FIND("~",SUBSTITUTE($AK461,"-","~",3))-FIND("~",SUBSTITUTE($AK461,"-","~",2))-1))</f>
        <v/>
      </c>
      <c r="AN461">
        <f>IF($AL461="","",IFERROR(VLOOKUP($AL461,DECODE!$A$3:$C$8,3,FALSE),"?"))</f>
        <v/>
      </c>
      <c r="AO461">
        <f>IF($AM461="","",IFERROR(VLOOKUP($AL461&amp;"-"&amp;$AM461,DECODE!$E$3:$F$21,2,FALSE),"?"))</f>
        <v/>
      </c>
      <c r="AP461">
        <f>IF($AK461="","",IFERROR(VALUE(RIGHT($AK461,3)),""))</f>
        <v/>
      </c>
      <c r="AQ461">
        <f>IF($T461="","",IFERROR(IF(ISNUMBER($T461),$T461,DATEVALUE(TRIM($T461))),""))</f>
        <v/>
      </c>
      <c r="AR461">
        <f>IF($AQ461="","",IF(MONTH($AQ461)&gt;=12,"Cold Winter",IF(MONTH($AQ461)&gt;=10,"Post-Monsoon",IF(MONTH($AQ461)&gt;=6,"Hot Humid",IF(MONTH($AQ461)&gt;=3,"Hot Dry","Cold Winter")))))</f>
        <v/>
      </c>
      <c r="AS461">
        <f>IF($AL461="","",IFERROR(VLOOKUP($AL461,DECODE!$A$3:$C$8,2,FALSE),"?"))</f>
        <v/>
      </c>
      <c r="AT461">
        <f>IF($O461="","",UPPER(TRIM(LEFT($O461&amp;",",FIND(",",$O461&amp;",")-1))))</f>
        <v/>
      </c>
      <c r="AU461">
        <f>IF($AT461="","",MID($AT461,4,FIND("~",SUBSTITUTE($AT461,"-","~",2))-4))</f>
        <v/>
      </c>
      <c r="AV461">
        <f>IF($AT461="","",MID($AT461,FIND("~",SUBSTITUTE($AT461,"-","~",2))+1,FIND("~",SUBSTITUTE($AT461,"-","~",3))-FIND("~",SUBSTITUTE($AT461,"-","~",2))-1))</f>
        <v/>
      </c>
      <c r="AW461">
        <f>IF($AU461="","",IFERROR(VLOOKUP($AU461,DECODE!$A$3:$C$8,3,FALSE),"?"))</f>
        <v/>
      </c>
      <c r="AX461">
        <f>IF($AV461="","",IFERROR(VLOOKUP($AU461&amp;"-"&amp;$AV461,DECODE!$E$3:$F$21,2,FALSE),"?"))</f>
        <v/>
      </c>
      <c r="AY461">
        <f>IF($AT461="","",IFERROR(VALUE(RIGHT($AT461,3)),""))</f>
        <v/>
      </c>
      <c r="AZ461">
        <f>IF($U461="","",IFERROR(IF(ISNUMBER($U461),$U461,DATEVALUE(TRIM($U461))),""))</f>
        <v/>
      </c>
      <c r="BA461">
        <f>IF($AZ461="","",IF(MONTH($AZ461)&gt;=12,"Cold Winter",IF(MONTH($AZ461)&gt;=10,"Post-Monsoon",IF(MONTH($AZ461)&gt;=6,"Hot Humid",IF(MONTH($AZ461)&gt;=3,"Hot Dry","Cold Winter")))))</f>
        <v/>
      </c>
      <c r="BB461">
        <f>IF($AU461="","",IFERROR(VLOOKUP($AU461,DECODE!$A$3:$C$8,2,FALSE),"?"))</f>
        <v/>
      </c>
      <c r="BC461">
        <f>IF($P461="","",UPPER(TRIM(LEFT($P461&amp;",",FIND(",",$P461&amp;",")-1))))</f>
        <v/>
      </c>
      <c r="BD461">
        <f>IF($BC461="","",MID($BC461,4,FIND("~",SUBSTITUTE($BC461,"-","~",2))-4))</f>
        <v/>
      </c>
      <c r="BE461">
        <f>IF($BC461="","",MID($BC461,FIND("~",SUBSTITUTE($BC461,"-","~",2))+1,FIND("~",SUBSTITUTE($BC461,"-","~",3))-FIND("~",SUBSTITUTE($BC461,"-","~",2))-1))</f>
        <v/>
      </c>
      <c r="BF461">
        <f>IF($BD461="","",IFERROR(VLOOKUP($BD461,DECODE!$A$3:$C$8,3,FALSE),"?"))</f>
        <v/>
      </c>
      <c r="BG461">
        <f>IF($BE461="","",IFERROR(VLOOKUP($BD461&amp;"-"&amp;$BE461,DECODE!$E$3:$F$21,2,FALSE),"?"))</f>
        <v/>
      </c>
      <c r="BH461">
        <f>IF($BC461="","",IFERROR(VALUE(RIGHT($BC461,3)),""))</f>
        <v/>
      </c>
      <c r="BI461">
        <f>IF($V461="","",IFERROR(IF(ISNUMBER($V461),$V461,DATEVALUE(TRIM($V461))),""))</f>
        <v/>
      </c>
      <c r="BJ461">
        <f>IF($BI461="","",IF(MONTH($BI461)&gt;=12,"Cold Winter",IF(MONTH($BI461)&gt;=10,"Post-Monsoon",IF(MONTH($BI461)&gt;=6,"Hot Humid",IF(MONTH($BI461)&gt;=3,"Hot Dry","Cold Winter")))))</f>
        <v/>
      </c>
      <c r="BK461">
        <f>IF($BD461="","",IFERROR(VLOOKUP($BD461,DECODE!$A$3:$C$8,2,FALSE),"?"))</f>
        <v/>
      </c>
      <c r="BL461">
        <f>IF($Q461="","",UPPER(TRIM(LEFT($Q461&amp;",",FIND(",",$Q461&amp;",")-1))))</f>
        <v/>
      </c>
      <c r="BM461">
        <f>IF($BL461="","",MID($BL461,4,FIND("~",SUBSTITUTE($BL461,"-","~",2))-4))</f>
        <v/>
      </c>
      <c r="BN461">
        <f>IF($BL461="","",MID($BL461,FIND("~",SUBSTITUTE($BL461,"-","~",2))+1,FIND("~",SUBSTITUTE($BL461,"-","~",3))-FIND("~",SUBSTITUTE($BL461,"-","~",2))-1))</f>
        <v/>
      </c>
      <c r="BO461">
        <f>IF($BM461="","",IFERROR(VLOOKUP($BM461,DECODE!$A$3:$C$8,3,FALSE),"?"))</f>
        <v/>
      </c>
      <c r="BP461">
        <f>IF($BN461="","",IFERROR(VLOOKUP($BM461&amp;"-"&amp;$BN461,DECODE!$E$3:$F$21,2,FALSE),"?"))</f>
        <v/>
      </c>
      <c r="BQ461">
        <f>IF($BL461="","",IFERROR(VALUE(RIGHT($BL461,3)),""))</f>
        <v/>
      </c>
      <c r="BR461">
        <f>IF($W461="","",IFERROR(IF(ISNUMBER($W461),$W461,DATEVALUE(TRIM($W461))),""))</f>
        <v/>
      </c>
      <c r="BS461">
        <f>IF($BR461="","",IF(MONTH($BR461)&gt;=12,"Cold Winter",IF(MONTH($BR461)&gt;=10,"Post-Monsoon",IF(MONTH($BR461)&gt;=6,"Hot Humid",IF(MONTH($BR461)&gt;=3,"Hot Dry","Cold Winter")))))</f>
        <v/>
      </c>
      <c r="BT461">
        <f>IF($BM461="","",IFERROR(VLOOKUP($BM461,DECODE!$A$3:$C$8,2,FALSE),"?"))</f>
        <v/>
      </c>
      <c r="BU461">
        <f>IF($R461="","",UPPER(TRIM(LEFT($R461&amp;",",FIND(",",$R461&amp;",")-1))))</f>
        <v/>
      </c>
      <c r="BV461">
        <f>IF($BU461="","",MID($BU461,4,FIND("~",SUBSTITUTE($BU461,"-","~",2))-4))</f>
        <v/>
      </c>
      <c r="BW461">
        <f>IF($BU461="","",MID($BU461,FIND("~",SUBSTITUTE($BU461,"-","~",2))+1,FIND("~",SUBSTITUTE($BU461,"-","~",3))-FIND("~",SUBSTITUTE($BU461,"-","~",2))-1))</f>
        <v/>
      </c>
      <c r="BX461">
        <f>IF($BV461="","",IFERROR(VLOOKUP($BV461,DECODE!$A$3:$C$8,3,FALSE),"?"))</f>
        <v/>
      </c>
      <c r="BY461">
        <f>IF($BW461="","",IFERROR(VLOOKUP($BV461&amp;"-"&amp;$BW461,DECODE!$E$3:$F$21,2,FALSE),"?"))</f>
        <v/>
      </c>
      <c r="BZ461">
        <f>IF($BU461="","",IFERROR(VALUE(RIGHT($BU461,3)),""))</f>
        <v/>
      </c>
      <c r="CA461">
        <f>IF($X461="","",IFERROR(IF(ISNUMBER($X461),$X461,DATEVALUE(TRIM($X461))),""))</f>
        <v/>
      </c>
      <c r="CB461">
        <f>IF($CA461="","",IF(MONTH($CA461)&gt;=12,"Cold Winter",IF(MONTH($CA461)&gt;=10,"Post-Monsoon",IF(MONTH($CA461)&gt;=6,"Hot Humid",IF(MONTH($CA461)&gt;=3,"Hot Dry","Cold Winter")))))</f>
        <v/>
      </c>
      <c r="CC461">
        <f>IF($BV461="","",IFERROR(VLOOKUP($BV461,DECODE!$A$3:$C$8,2,FALSE),"?"))</f>
        <v/>
      </c>
      <c r="CD461">
        <f>IF($S461="","",UPPER(TRIM(LEFT($S461&amp;",",FIND(",",$S461&amp;",")-1))))</f>
        <v/>
      </c>
      <c r="CE461">
        <f>IF($CD461="","",MID($CD461,4,FIND("~",SUBSTITUTE($CD461,"-","~",2))-4))</f>
        <v/>
      </c>
      <c r="CF461">
        <f>IF($CD461="","",MID($CD461,FIND("~",SUBSTITUTE($CD461,"-","~",2))+1,FIND("~",SUBSTITUTE($CD461,"-","~",3))-FIND("~",SUBSTITUTE($CD461,"-","~",2))-1))</f>
        <v/>
      </c>
      <c r="CG461">
        <f>IF($CE461="","",IFERROR(VLOOKUP($CE461,DECODE!$A$3:$C$8,3,FALSE),"?"))</f>
        <v/>
      </c>
      <c r="CH461">
        <f>IF($CF461="","",IFERROR(VLOOKUP($CE461&amp;"-"&amp;$CF461,DECODE!$E$3:$F$21,2,FALSE),"?"))</f>
        <v/>
      </c>
      <c r="CI461">
        <f>IF($CD461="","",IFERROR(VALUE(RIGHT($CD461,3)),""))</f>
        <v/>
      </c>
      <c r="CJ461">
        <f>IF($Y461="","",IFERROR(IF(ISNUMBER($Y461),$Y461,DATEVALUE(TRIM($Y461))),""))</f>
        <v/>
      </c>
      <c r="CK461">
        <f>IF($CJ461="","",IF(MONTH($CJ461)&gt;=12,"Cold Winter",IF(MONTH($CJ461)&gt;=10,"Post-Monsoon",IF(MONTH($CJ461)&gt;=6,"Hot Humid",IF(MONTH($CJ461)&gt;=3,"Hot Dry","Cold Winter")))))</f>
        <v/>
      </c>
      <c r="CL461">
        <f>IF($CE461="","",IFERROR(VLOOKUP($CE461,DECODE!$A$3:$C$8,2,FALSE),"?"))</f>
        <v/>
      </c>
      <c r="CM461">
        <f>IF($AN461="","",AN461)</f>
        <v/>
      </c>
      <c r="CN461">
        <f>IF($AO461="","",AO461)</f>
        <v/>
      </c>
      <c r="CO461">
        <f>IF($AP461="","",AP461)</f>
        <v/>
      </c>
      <c r="CP461">
        <f>IF($CM461="","",IF($CM461="Aloe Vera Gel","Aloe Vera Gel "&amp;$CO461&amp;"g",CN461&amp;" "&amp;$CO461&amp;"g"))</f>
        <v/>
      </c>
      <c r="CQ461">
        <f>IF($AT461="",0,1)</f>
        <v/>
      </c>
      <c r="CR461">
        <f>IF($CQ461=0,"",AW461)</f>
        <v/>
      </c>
      <c r="CS461">
        <f>IF($CQ461=0,"",AX461)</f>
        <v/>
      </c>
      <c r="CT461">
        <f>IF($CQ461=0,"",AY461)</f>
        <v/>
      </c>
      <c r="CU461">
        <f>IF($CR461="","",IF($CR461="Aloe Vera Gel","Aloe Vera Gel "&amp;$CT461&amp;"g",CS461&amp;" "&amp;$CT461&amp;"g"))</f>
        <v/>
      </c>
      <c r="CV461">
        <f>IF($CQ461=0,"",IF($CP461=$CU461,"Repeat Exact",IF($CT461&gt;$CO461,"Upsized",IF($CT461&lt;$CO461,"Downsized",IF($CM461&lt;&gt;$CR461,"Lateral","Same Size Diff Variant")))))</f>
        <v/>
      </c>
      <c r="CW461">
        <f>IF($CQ461=0,"",AZ461-AQ461)</f>
        <v/>
      </c>
      <c r="CX461">
        <f>IF($CQ461=0,0,IF(CS461=CN461,1,0))</f>
        <v/>
      </c>
      <c r="CY461">
        <f>IF($CQ461=0,0,IF(CR461=CM461,1,0))</f>
        <v/>
      </c>
      <c r="CZ461">
        <f>IF($A461="","",IF(AND(IF(DASHBOARD!$C$4="All",TRUE,$CM461=DASHBOARD!$C$4),IF(DASHBOARD!$C$6="All",TRUE,$CP461=DASHBOARD!$C$6),IF(DASHBOARD!$C$8="All",TRUE,$AF461&gt;=DASHBOARD!$C$8),IF(DASHBOARD!$C$10="All",TRUE,$AF461&lt;=DASHBOARD!$C$10),IF(DASHBOARD!$C$12="All",TRUE,$AH461=VALUE(DASHBOARD!$C$12)),IF(DASHBOARD!$C$14="All",TRUE,$AJ461=DASHBOARD!$C$14)),1,0))</f>
        <v/>
      </c>
    </row>
    <row r="462">
      <c r="A462" t="n">
        <v>218138</v>
      </c>
      <c r="B462" t="inlineStr">
        <is>
          <t>Active Gel</t>
        </is>
      </c>
      <c r="H462" t="inlineStr">
        <is>
          <t>Active Neem TeaTree Gel</t>
        </is>
      </c>
      <c r="N462" t="inlineStr">
        <is>
          <t>FC-AC-NT-050</t>
        </is>
      </c>
      <c r="T462" t="inlineStr">
        <is>
          <t>Mar 21, 2026</t>
        </is>
      </c>
      <c r="AE462" t="inlineStr">
        <is>
          <t>Hissar</t>
        </is>
      </c>
      <c r="AF462" t="inlineStr">
        <is>
          <t>2026-03</t>
        </is>
      </c>
      <c r="AG462" t="n">
        <v>3</v>
      </c>
      <c r="AH462" t="n">
        <v>1</v>
      </c>
      <c r="AI462" t="n">
        <v>0</v>
      </c>
      <c r="AJ462">
        <f>IF($AE462="","",IFERROR(VLOOKUP(TRIM($AE462),DECODE!$H$3:$I$60,2,FALSE),"Rest of India"))</f>
        <v/>
      </c>
      <c r="AK462">
        <f>IF($N462="","",UPPER(TRIM(LEFT($N462&amp;",",FIND(",",$N462&amp;",")-1))))</f>
        <v/>
      </c>
      <c r="AL462">
        <f>IF($AK462="","",MID($AK462,4,FIND("~",SUBSTITUTE($AK462,"-","~",2))-4))</f>
        <v/>
      </c>
      <c r="AM462">
        <f>IF($AK462="","",MID($AK462,FIND("~",SUBSTITUTE($AK462,"-","~",2))+1,FIND("~",SUBSTITUTE($AK462,"-","~",3))-FIND("~",SUBSTITUTE($AK462,"-","~",2))-1))</f>
        <v/>
      </c>
      <c r="AN462">
        <f>IF($AL462="","",IFERROR(VLOOKUP($AL462,DECODE!$A$3:$C$8,3,FALSE),"?"))</f>
        <v/>
      </c>
      <c r="AO462">
        <f>IF($AM462="","",IFERROR(VLOOKUP($AL462&amp;"-"&amp;$AM462,DECODE!$E$3:$F$21,2,FALSE),"?"))</f>
        <v/>
      </c>
      <c r="AP462">
        <f>IF($AK462="","",IFERROR(VALUE(RIGHT($AK462,3)),""))</f>
        <v/>
      </c>
      <c r="AQ462">
        <f>IF($T462="","",IFERROR(IF(ISNUMBER($T462),$T462,DATEVALUE(TRIM($T462))),""))</f>
        <v/>
      </c>
      <c r="AR462">
        <f>IF($AQ462="","",IF(MONTH($AQ462)&gt;=12,"Cold Winter",IF(MONTH($AQ462)&gt;=10,"Post-Monsoon",IF(MONTH($AQ462)&gt;=6,"Hot Humid",IF(MONTH($AQ462)&gt;=3,"Hot Dry","Cold Winter")))))</f>
        <v/>
      </c>
      <c r="AS462">
        <f>IF($AL462="","",IFERROR(VLOOKUP($AL462,DECODE!$A$3:$C$8,2,FALSE),"?"))</f>
        <v/>
      </c>
      <c r="AT462">
        <f>IF($O462="","",UPPER(TRIM(LEFT($O462&amp;",",FIND(",",$O462&amp;",")-1))))</f>
        <v/>
      </c>
      <c r="AU462">
        <f>IF($AT462="","",MID($AT462,4,FIND("~",SUBSTITUTE($AT462,"-","~",2))-4))</f>
        <v/>
      </c>
      <c r="AV462">
        <f>IF($AT462="","",MID($AT462,FIND("~",SUBSTITUTE($AT462,"-","~",2))+1,FIND("~",SUBSTITUTE($AT462,"-","~",3))-FIND("~",SUBSTITUTE($AT462,"-","~",2))-1))</f>
        <v/>
      </c>
      <c r="AW462">
        <f>IF($AU462="","",IFERROR(VLOOKUP($AU462,DECODE!$A$3:$C$8,3,FALSE),"?"))</f>
        <v/>
      </c>
      <c r="AX462">
        <f>IF($AV462="","",IFERROR(VLOOKUP($AU462&amp;"-"&amp;$AV462,DECODE!$E$3:$F$21,2,FALSE),"?"))</f>
        <v/>
      </c>
      <c r="AY462">
        <f>IF($AT462="","",IFERROR(VALUE(RIGHT($AT462,3)),""))</f>
        <v/>
      </c>
      <c r="AZ462">
        <f>IF($U462="","",IFERROR(IF(ISNUMBER($U462),$U462,DATEVALUE(TRIM($U462))),""))</f>
        <v/>
      </c>
      <c r="BA462">
        <f>IF($AZ462="","",IF(MONTH($AZ462)&gt;=12,"Cold Winter",IF(MONTH($AZ462)&gt;=10,"Post-Monsoon",IF(MONTH($AZ462)&gt;=6,"Hot Humid",IF(MONTH($AZ462)&gt;=3,"Hot Dry","Cold Winter")))))</f>
        <v/>
      </c>
      <c r="BB462">
        <f>IF($AU462="","",IFERROR(VLOOKUP($AU462,DECODE!$A$3:$C$8,2,FALSE),"?"))</f>
        <v/>
      </c>
      <c r="BC462">
        <f>IF($P462="","",UPPER(TRIM(LEFT($P462&amp;",",FIND(",",$P462&amp;",")-1))))</f>
        <v/>
      </c>
      <c r="BD462">
        <f>IF($BC462="","",MID($BC462,4,FIND("~",SUBSTITUTE($BC462,"-","~",2))-4))</f>
        <v/>
      </c>
      <c r="BE462">
        <f>IF($BC462="","",MID($BC462,FIND("~",SUBSTITUTE($BC462,"-","~",2))+1,FIND("~",SUBSTITUTE($BC462,"-","~",3))-FIND("~",SUBSTITUTE($BC462,"-","~",2))-1))</f>
        <v/>
      </c>
      <c r="BF462">
        <f>IF($BD462="","",IFERROR(VLOOKUP($BD462,DECODE!$A$3:$C$8,3,FALSE),"?"))</f>
        <v/>
      </c>
      <c r="BG462">
        <f>IF($BE462="","",IFERROR(VLOOKUP($BD462&amp;"-"&amp;$BE462,DECODE!$E$3:$F$21,2,FALSE),"?"))</f>
        <v/>
      </c>
      <c r="BH462">
        <f>IF($BC462="","",IFERROR(VALUE(RIGHT($BC462,3)),""))</f>
        <v/>
      </c>
      <c r="BI462">
        <f>IF($V462="","",IFERROR(IF(ISNUMBER($V462),$V462,DATEVALUE(TRIM($V462))),""))</f>
        <v/>
      </c>
      <c r="BJ462">
        <f>IF($BI462="","",IF(MONTH($BI462)&gt;=12,"Cold Winter",IF(MONTH($BI462)&gt;=10,"Post-Monsoon",IF(MONTH($BI462)&gt;=6,"Hot Humid",IF(MONTH($BI462)&gt;=3,"Hot Dry","Cold Winter")))))</f>
        <v/>
      </c>
      <c r="BK462">
        <f>IF($BD462="","",IFERROR(VLOOKUP($BD462,DECODE!$A$3:$C$8,2,FALSE),"?"))</f>
        <v/>
      </c>
      <c r="BL462">
        <f>IF($Q462="","",UPPER(TRIM(LEFT($Q462&amp;",",FIND(",",$Q462&amp;",")-1))))</f>
        <v/>
      </c>
      <c r="BM462">
        <f>IF($BL462="","",MID($BL462,4,FIND("~",SUBSTITUTE($BL462,"-","~",2))-4))</f>
        <v/>
      </c>
      <c r="BN462">
        <f>IF($BL462="","",MID($BL462,FIND("~",SUBSTITUTE($BL462,"-","~",2))+1,FIND("~",SUBSTITUTE($BL462,"-","~",3))-FIND("~",SUBSTITUTE($BL462,"-","~",2))-1))</f>
        <v/>
      </c>
      <c r="BO462">
        <f>IF($BM462="","",IFERROR(VLOOKUP($BM462,DECODE!$A$3:$C$8,3,FALSE),"?"))</f>
        <v/>
      </c>
      <c r="BP462">
        <f>IF($BN462="","",IFERROR(VLOOKUP($BM462&amp;"-"&amp;$BN462,DECODE!$E$3:$F$21,2,FALSE),"?"))</f>
        <v/>
      </c>
      <c r="BQ462">
        <f>IF($BL462="","",IFERROR(VALUE(RIGHT($BL462,3)),""))</f>
        <v/>
      </c>
      <c r="BR462">
        <f>IF($W462="","",IFERROR(IF(ISNUMBER($W462),$W462,DATEVALUE(TRIM($W462))),""))</f>
        <v/>
      </c>
      <c r="BS462">
        <f>IF($BR462="","",IF(MONTH($BR462)&gt;=12,"Cold Winter",IF(MONTH($BR462)&gt;=10,"Post-Monsoon",IF(MONTH($BR462)&gt;=6,"Hot Humid",IF(MONTH($BR462)&gt;=3,"Hot Dry","Cold Winter")))))</f>
        <v/>
      </c>
      <c r="BT462">
        <f>IF($BM462="","",IFERROR(VLOOKUP($BM462,DECODE!$A$3:$C$8,2,FALSE),"?"))</f>
        <v/>
      </c>
      <c r="BU462">
        <f>IF($R462="","",UPPER(TRIM(LEFT($R462&amp;",",FIND(",",$R462&amp;",")-1))))</f>
        <v/>
      </c>
      <c r="BV462">
        <f>IF($BU462="","",MID($BU462,4,FIND("~",SUBSTITUTE($BU462,"-","~",2))-4))</f>
        <v/>
      </c>
      <c r="BW462">
        <f>IF($BU462="","",MID($BU462,FIND("~",SUBSTITUTE($BU462,"-","~",2))+1,FIND("~",SUBSTITUTE($BU462,"-","~",3))-FIND("~",SUBSTITUTE($BU462,"-","~",2))-1))</f>
        <v/>
      </c>
      <c r="BX462">
        <f>IF($BV462="","",IFERROR(VLOOKUP($BV462,DECODE!$A$3:$C$8,3,FALSE),"?"))</f>
        <v/>
      </c>
      <c r="BY462">
        <f>IF($BW462="","",IFERROR(VLOOKUP($BV462&amp;"-"&amp;$BW462,DECODE!$E$3:$F$21,2,FALSE),"?"))</f>
        <v/>
      </c>
      <c r="BZ462">
        <f>IF($BU462="","",IFERROR(VALUE(RIGHT($BU462,3)),""))</f>
        <v/>
      </c>
      <c r="CA462">
        <f>IF($X462="","",IFERROR(IF(ISNUMBER($X462),$X462,DATEVALUE(TRIM($X462))),""))</f>
        <v/>
      </c>
      <c r="CB462">
        <f>IF($CA462="","",IF(MONTH($CA462)&gt;=12,"Cold Winter",IF(MONTH($CA462)&gt;=10,"Post-Monsoon",IF(MONTH($CA462)&gt;=6,"Hot Humid",IF(MONTH($CA462)&gt;=3,"Hot Dry","Cold Winter")))))</f>
        <v/>
      </c>
      <c r="CC462">
        <f>IF($BV462="","",IFERROR(VLOOKUP($BV462,DECODE!$A$3:$C$8,2,FALSE),"?"))</f>
        <v/>
      </c>
      <c r="CD462">
        <f>IF($S462="","",UPPER(TRIM(LEFT($S462&amp;",",FIND(",",$S462&amp;",")-1))))</f>
        <v/>
      </c>
      <c r="CE462">
        <f>IF($CD462="","",MID($CD462,4,FIND("~",SUBSTITUTE($CD462,"-","~",2))-4))</f>
        <v/>
      </c>
      <c r="CF462">
        <f>IF($CD462="","",MID($CD462,FIND("~",SUBSTITUTE($CD462,"-","~",2))+1,FIND("~",SUBSTITUTE($CD462,"-","~",3))-FIND("~",SUBSTITUTE($CD462,"-","~",2))-1))</f>
        <v/>
      </c>
      <c r="CG462">
        <f>IF($CE462="","",IFERROR(VLOOKUP($CE462,DECODE!$A$3:$C$8,3,FALSE),"?"))</f>
        <v/>
      </c>
      <c r="CH462">
        <f>IF($CF462="","",IFERROR(VLOOKUP($CE462&amp;"-"&amp;$CF462,DECODE!$E$3:$F$21,2,FALSE),"?"))</f>
        <v/>
      </c>
      <c r="CI462">
        <f>IF($CD462="","",IFERROR(VALUE(RIGHT($CD462,3)),""))</f>
        <v/>
      </c>
      <c r="CJ462">
        <f>IF($Y462="","",IFERROR(IF(ISNUMBER($Y462),$Y462,DATEVALUE(TRIM($Y462))),""))</f>
        <v/>
      </c>
      <c r="CK462">
        <f>IF($CJ462="","",IF(MONTH($CJ462)&gt;=12,"Cold Winter",IF(MONTH($CJ462)&gt;=10,"Post-Monsoon",IF(MONTH($CJ462)&gt;=6,"Hot Humid",IF(MONTH($CJ462)&gt;=3,"Hot Dry","Cold Winter")))))</f>
        <v/>
      </c>
      <c r="CL462">
        <f>IF($CE462="","",IFERROR(VLOOKUP($CE462,DECODE!$A$3:$C$8,2,FALSE),"?"))</f>
        <v/>
      </c>
      <c r="CM462">
        <f>IF($AN462="","",AN462)</f>
        <v/>
      </c>
      <c r="CN462">
        <f>IF($AO462="","",AO462)</f>
        <v/>
      </c>
      <c r="CO462">
        <f>IF($AP462="","",AP462)</f>
        <v/>
      </c>
      <c r="CP462">
        <f>IF($CM462="","",IF($CM462="Aloe Vera Gel","Aloe Vera Gel "&amp;$CO462&amp;"g",CN462&amp;" "&amp;$CO462&amp;"g"))</f>
        <v/>
      </c>
      <c r="CQ462">
        <f>IF($AT462="",0,1)</f>
        <v/>
      </c>
      <c r="CR462">
        <f>IF($CQ462=0,"",AW462)</f>
        <v/>
      </c>
      <c r="CS462">
        <f>IF($CQ462=0,"",AX462)</f>
        <v/>
      </c>
      <c r="CT462">
        <f>IF($CQ462=0,"",AY462)</f>
        <v/>
      </c>
      <c r="CU462">
        <f>IF($CR462="","",IF($CR462="Aloe Vera Gel","Aloe Vera Gel "&amp;$CT462&amp;"g",CS462&amp;" "&amp;$CT462&amp;"g"))</f>
        <v/>
      </c>
      <c r="CV462">
        <f>IF($CQ462=0,"",IF($CP462=$CU462,"Repeat Exact",IF($CT462&gt;$CO462,"Upsized",IF($CT462&lt;$CO462,"Downsized",IF($CM462&lt;&gt;$CR462,"Lateral","Same Size Diff Variant")))))</f>
        <v/>
      </c>
      <c r="CW462">
        <f>IF($CQ462=0,"",AZ462-AQ462)</f>
        <v/>
      </c>
      <c r="CX462">
        <f>IF($CQ462=0,0,IF(CS462=CN462,1,0))</f>
        <v/>
      </c>
      <c r="CY462">
        <f>IF($CQ462=0,0,IF(CR462=CM462,1,0))</f>
        <v/>
      </c>
      <c r="CZ462">
        <f>IF($A462="","",IF(AND(IF(DASHBOARD!$C$4="All",TRUE,$CM462=DASHBOARD!$C$4),IF(DASHBOARD!$C$6="All",TRUE,$CP462=DASHBOARD!$C$6),IF(DASHBOARD!$C$8="All",TRUE,$AF462&gt;=DASHBOARD!$C$8),IF(DASHBOARD!$C$10="All",TRUE,$AF462&lt;=DASHBOARD!$C$10),IF(DASHBOARD!$C$12="All",TRUE,$AH462=VALUE(DASHBOARD!$C$12)),IF(DASHBOARD!$C$14="All",TRUE,$AJ462=DASHBOARD!$C$14)),1,0))</f>
        <v/>
      </c>
    </row>
    <row r="463">
      <c r="A463" t="n">
        <v>218748</v>
      </c>
      <c r="B463" t="inlineStr">
        <is>
          <t>Face Malai</t>
        </is>
      </c>
      <c r="H463" t="inlineStr">
        <is>
          <t>Tomato Vetiver (Hot Humid) 20 - 35 Yrs Face Malai</t>
        </is>
      </c>
      <c r="N463" t="inlineStr">
        <is>
          <t>FC-HHDM-TV-030</t>
        </is>
      </c>
      <c r="T463" t="inlineStr">
        <is>
          <t>Sep 4, 2024</t>
        </is>
      </c>
      <c r="AE463" t="inlineStr">
        <is>
          <t>Bengaluru</t>
        </is>
      </c>
      <c r="AF463" t="inlineStr">
        <is>
          <t>2024-09</t>
        </is>
      </c>
      <c r="AG463" t="n">
        <v>9</v>
      </c>
      <c r="AH463" t="n">
        <v>1</v>
      </c>
      <c r="AI463" t="n">
        <v>0</v>
      </c>
      <c r="AJ463">
        <f>IF($AE463="","",IFERROR(VLOOKUP(TRIM($AE463),DECODE!$H$3:$I$60,2,FALSE),"Rest of India"))</f>
        <v/>
      </c>
      <c r="AK463">
        <f>IF($N463="","",UPPER(TRIM(LEFT($N463&amp;",",FIND(",",$N463&amp;",")-1))))</f>
        <v/>
      </c>
      <c r="AL463">
        <f>IF($AK463="","",MID($AK463,4,FIND("~",SUBSTITUTE($AK463,"-","~",2))-4))</f>
        <v/>
      </c>
      <c r="AM463">
        <f>IF($AK463="","",MID($AK463,FIND("~",SUBSTITUTE($AK463,"-","~",2))+1,FIND("~",SUBSTITUTE($AK463,"-","~",3))-FIND("~",SUBSTITUTE($AK463,"-","~",2))-1))</f>
        <v/>
      </c>
      <c r="AN463">
        <f>IF($AL463="","",IFERROR(VLOOKUP($AL463,DECODE!$A$3:$C$8,3,FALSE),"?"))</f>
        <v/>
      </c>
      <c r="AO463">
        <f>IF($AM463="","",IFERROR(VLOOKUP($AL463&amp;"-"&amp;$AM463,DECODE!$E$3:$F$21,2,FALSE),"?"))</f>
        <v/>
      </c>
      <c r="AP463">
        <f>IF($AK463="","",IFERROR(VALUE(RIGHT($AK463,3)),""))</f>
        <v/>
      </c>
      <c r="AQ463">
        <f>IF($T463="","",IFERROR(IF(ISNUMBER($T463),$T463,DATEVALUE(TRIM($T463))),""))</f>
        <v/>
      </c>
      <c r="AR463">
        <f>IF($AQ463="","",IF(MONTH($AQ463)&gt;=12,"Cold Winter",IF(MONTH($AQ463)&gt;=10,"Post-Monsoon",IF(MONTH($AQ463)&gt;=6,"Hot Humid",IF(MONTH($AQ463)&gt;=3,"Hot Dry","Cold Winter")))))</f>
        <v/>
      </c>
      <c r="AS463">
        <f>IF($AL463="","",IFERROR(VLOOKUP($AL463,DECODE!$A$3:$C$8,2,FALSE),"?"))</f>
        <v/>
      </c>
      <c r="AT463">
        <f>IF($O463="","",UPPER(TRIM(LEFT($O463&amp;",",FIND(",",$O463&amp;",")-1))))</f>
        <v/>
      </c>
      <c r="AU463">
        <f>IF($AT463="","",MID($AT463,4,FIND("~",SUBSTITUTE($AT463,"-","~",2))-4))</f>
        <v/>
      </c>
      <c r="AV463">
        <f>IF($AT463="","",MID($AT463,FIND("~",SUBSTITUTE($AT463,"-","~",2))+1,FIND("~",SUBSTITUTE($AT463,"-","~",3))-FIND("~",SUBSTITUTE($AT463,"-","~",2))-1))</f>
        <v/>
      </c>
      <c r="AW463">
        <f>IF($AU463="","",IFERROR(VLOOKUP($AU463,DECODE!$A$3:$C$8,3,FALSE),"?"))</f>
        <v/>
      </c>
      <c r="AX463">
        <f>IF($AV463="","",IFERROR(VLOOKUP($AU463&amp;"-"&amp;$AV463,DECODE!$E$3:$F$21,2,FALSE),"?"))</f>
        <v/>
      </c>
      <c r="AY463">
        <f>IF($AT463="","",IFERROR(VALUE(RIGHT($AT463,3)),""))</f>
        <v/>
      </c>
      <c r="AZ463">
        <f>IF($U463="","",IFERROR(IF(ISNUMBER($U463),$U463,DATEVALUE(TRIM($U463))),""))</f>
        <v/>
      </c>
      <c r="BA463">
        <f>IF($AZ463="","",IF(MONTH($AZ463)&gt;=12,"Cold Winter",IF(MONTH($AZ463)&gt;=10,"Post-Monsoon",IF(MONTH($AZ463)&gt;=6,"Hot Humid",IF(MONTH($AZ463)&gt;=3,"Hot Dry","Cold Winter")))))</f>
        <v/>
      </c>
      <c r="BB463">
        <f>IF($AU463="","",IFERROR(VLOOKUP($AU463,DECODE!$A$3:$C$8,2,FALSE),"?"))</f>
        <v/>
      </c>
      <c r="BC463">
        <f>IF($P463="","",UPPER(TRIM(LEFT($P463&amp;",",FIND(",",$P463&amp;",")-1))))</f>
        <v/>
      </c>
      <c r="BD463">
        <f>IF($BC463="","",MID($BC463,4,FIND("~",SUBSTITUTE($BC463,"-","~",2))-4))</f>
        <v/>
      </c>
      <c r="BE463">
        <f>IF($BC463="","",MID($BC463,FIND("~",SUBSTITUTE($BC463,"-","~",2))+1,FIND("~",SUBSTITUTE($BC463,"-","~",3))-FIND("~",SUBSTITUTE($BC463,"-","~",2))-1))</f>
        <v/>
      </c>
      <c r="BF463">
        <f>IF($BD463="","",IFERROR(VLOOKUP($BD463,DECODE!$A$3:$C$8,3,FALSE),"?"))</f>
        <v/>
      </c>
      <c r="BG463">
        <f>IF($BE463="","",IFERROR(VLOOKUP($BD463&amp;"-"&amp;$BE463,DECODE!$E$3:$F$21,2,FALSE),"?"))</f>
        <v/>
      </c>
      <c r="BH463">
        <f>IF($BC463="","",IFERROR(VALUE(RIGHT($BC463,3)),""))</f>
        <v/>
      </c>
      <c r="BI463">
        <f>IF($V463="","",IFERROR(IF(ISNUMBER($V463),$V463,DATEVALUE(TRIM($V463))),""))</f>
        <v/>
      </c>
      <c r="BJ463">
        <f>IF($BI463="","",IF(MONTH($BI463)&gt;=12,"Cold Winter",IF(MONTH($BI463)&gt;=10,"Post-Monsoon",IF(MONTH($BI463)&gt;=6,"Hot Humid",IF(MONTH($BI463)&gt;=3,"Hot Dry","Cold Winter")))))</f>
        <v/>
      </c>
      <c r="BK463">
        <f>IF($BD463="","",IFERROR(VLOOKUP($BD463,DECODE!$A$3:$C$8,2,FALSE),"?"))</f>
        <v/>
      </c>
      <c r="BL463">
        <f>IF($Q463="","",UPPER(TRIM(LEFT($Q463&amp;",",FIND(",",$Q463&amp;",")-1))))</f>
        <v/>
      </c>
      <c r="BM463">
        <f>IF($BL463="","",MID($BL463,4,FIND("~",SUBSTITUTE($BL463,"-","~",2))-4))</f>
        <v/>
      </c>
      <c r="BN463">
        <f>IF($BL463="","",MID($BL463,FIND("~",SUBSTITUTE($BL463,"-","~",2))+1,FIND("~",SUBSTITUTE($BL463,"-","~",3))-FIND("~",SUBSTITUTE($BL463,"-","~",2))-1))</f>
        <v/>
      </c>
      <c r="BO463">
        <f>IF($BM463="","",IFERROR(VLOOKUP($BM463,DECODE!$A$3:$C$8,3,FALSE),"?"))</f>
        <v/>
      </c>
      <c r="BP463">
        <f>IF($BN463="","",IFERROR(VLOOKUP($BM463&amp;"-"&amp;$BN463,DECODE!$E$3:$F$21,2,FALSE),"?"))</f>
        <v/>
      </c>
      <c r="BQ463">
        <f>IF($BL463="","",IFERROR(VALUE(RIGHT($BL463,3)),""))</f>
        <v/>
      </c>
      <c r="BR463">
        <f>IF($W463="","",IFERROR(IF(ISNUMBER($W463),$W463,DATEVALUE(TRIM($W463))),""))</f>
        <v/>
      </c>
      <c r="BS463">
        <f>IF($BR463="","",IF(MONTH($BR463)&gt;=12,"Cold Winter",IF(MONTH($BR463)&gt;=10,"Post-Monsoon",IF(MONTH($BR463)&gt;=6,"Hot Humid",IF(MONTH($BR463)&gt;=3,"Hot Dry","Cold Winter")))))</f>
        <v/>
      </c>
      <c r="BT463">
        <f>IF($BM463="","",IFERROR(VLOOKUP($BM463,DECODE!$A$3:$C$8,2,FALSE),"?"))</f>
        <v/>
      </c>
      <c r="BU463">
        <f>IF($R463="","",UPPER(TRIM(LEFT($R463&amp;",",FIND(",",$R463&amp;",")-1))))</f>
        <v/>
      </c>
      <c r="BV463">
        <f>IF($BU463="","",MID($BU463,4,FIND("~",SUBSTITUTE($BU463,"-","~",2))-4))</f>
        <v/>
      </c>
      <c r="BW463">
        <f>IF($BU463="","",MID($BU463,FIND("~",SUBSTITUTE($BU463,"-","~",2))+1,FIND("~",SUBSTITUTE($BU463,"-","~",3))-FIND("~",SUBSTITUTE($BU463,"-","~",2))-1))</f>
        <v/>
      </c>
      <c r="BX463">
        <f>IF($BV463="","",IFERROR(VLOOKUP($BV463,DECODE!$A$3:$C$8,3,FALSE),"?"))</f>
        <v/>
      </c>
      <c r="BY463">
        <f>IF($BW463="","",IFERROR(VLOOKUP($BV463&amp;"-"&amp;$BW463,DECODE!$E$3:$F$21,2,FALSE),"?"))</f>
        <v/>
      </c>
      <c r="BZ463">
        <f>IF($BU463="","",IFERROR(VALUE(RIGHT($BU463,3)),""))</f>
        <v/>
      </c>
      <c r="CA463">
        <f>IF($X463="","",IFERROR(IF(ISNUMBER($X463),$X463,DATEVALUE(TRIM($X463))),""))</f>
        <v/>
      </c>
      <c r="CB463">
        <f>IF($CA463="","",IF(MONTH($CA463)&gt;=12,"Cold Winter",IF(MONTH($CA463)&gt;=10,"Post-Monsoon",IF(MONTH($CA463)&gt;=6,"Hot Humid",IF(MONTH($CA463)&gt;=3,"Hot Dry","Cold Winter")))))</f>
        <v/>
      </c>
      <c r="CC463">
        <f>IF($BV463="","",IFERROR(VLOOKUP($BV463,DECODE!$A$3:$C$8,2,FALSE),"?"))</f>
        <v/>
      </c>
      <c r="CD463">
        <f>IF($S463="","",UPPER(TRIM(LEFT($S463&amp;",",FIND(",",$S463&amp;",")-1))))</f>
        <v/>
      </c>
      <c r="CE463">
        <f>IF($CD463="","",MID($CD463,4,FIND("~",SUBSTITUTE($CD463,"-","~",2))-4))</f>
        <v/>
      </c>
      <c r="CF463">
        <f>IF($CD463="","",MID($CD463,FIND("~",SUBSTITUTE($CD463,"-","~",2))+1,FIND("~",SUBSTITUTE($CD463,"-","~",3))-FIND("~",SUBSTITUTE($CD463,"-","~",2))-1))</f>
        <v/>
      </c>
      <c r="CG463">
        <f>IF($CE463="","",IFERROR(VLOOKUP($CE463,DECODE!$A$3:$C$8,3,FALSE),"?"))</f>
        <v/>
      </c>
      <c r="CH463">
        <f>IF($CF463="","",IFERROR(VLOOKUP($CE463&amp;"-"&amp;$CF463,DECODE!$E$3:$F$21,2,FALSE),"?"))</f>
        <v/>
      </c>
      <c r="CI463">
        <f>IF($CD463="","",IFERROR(VALUE(RIGHT($CD463,3)),""))</f>
        <v/>
      </c>
      <c r="CJ463">
        <f>IF($Y463="","",IFERROR(IF(ISNUMBER($Y463),$Y463,DATEVALUE(TRIM($Y463))),""))</f>
        <v/>
      </c>
      <c r="CK463">
        <f>IF($CJ463="","",IF(MONTH($CJ463)&gt;=12,"Cold Winter",IF(MONTH($CJ463)&gt;=10,"Post-Monsoon",IF(MONTH($CJ463)&gt;=6,"Hot Humid",IF(MONTH($CJ463)&gt;=3,"Hot Dry","Cold Winter")))))</f>
        <v/>
      </c>
      <c r="CL463">
        <f>IF($CE463="","",IFERROR(VLOOKUP($CE463,DECODE!$A$3:$C$8,2,FALSE),"?"))</f>
        <v/>
      </c>
      <c r="CM463">
        <f>IF($AN463="","",AN463)</f>
        <v/>
      </c>
      <c r="CN463">
        <f>IF($AO463="","",AO463)</f>
        <v/>
      </c>
      <c r="CO463">
        <f>IF($AP463="","",AP463)</f>
        <v/>
      </c>
      <c r="CP463">
        <f>IF($CM463="","",IF($CM463="Aloe Vera Gel","Aloe Vera Gel "&amp;$CO463&amp;"g",CN463&amp;" "&amp;$CO463&amp;"g"))</f>
        <v/>
      </c>
      <c r="CQ463">
        <f>IF($AT463="",0,1)</f>
        <v/>
      </c>
      <c r="CR463">
        <f>IF($CQ463=0,"",AW463)</f>
        <v/>
      </c>
      <c r="CS463">
        <f>IF($CQ463=0,"",AX463)</f>
        <v/>
      </c>
      <c r="CT463">
        <f>IF($CQ463=0,"",AY463)</f>
        <v/>
      </c>
      <c r="CU463">
        <f>IF($CR463="","",IF($CR463="Aloe Vera Gel","Aloe Vera Gel "&amp;$CT463&amp;"g",CS463&amp;" "&amp;$CT463&amp;"g"))</f>
        <v/>
      </c>
      <c r="CV463">
        <f>IF($CQ463=0,"",IF($CP463=$CU463,"Repeat Exact",IF($CT463&gt;$CO463,"Upsized",IF($CT463&lt;$CO463,"Downsized",IF($CM463&lt;&gt;$CR463,"Lateral","Same Size Diff Variant")))))</f>
        <v/>
      </c>
      <c r="CW463">
        <f>IF($CQ463=0,"",AZ463-AQ463)</f>
        <v/>
      </c>
      <c r="CX463">
        <f>IF($CQ463=0,0,IF(CS463=CN463,1,0))</f>
        <v/>
      </c>
      <c r="CY463">
        <f>IF($CQ463=0,0,IF(CR463=CM463,1,0))</f>
        <v/>
      </c>
      <c r="CZ463">
        <f>IF($A463="","",IF(AND(IF(DASHBOARD!$C$4="All",TRUE,$CM463=DASHBOARD!$C$4),IF(DASHBOARD!$C$6="All",TRUE,$CP463=DASHBOARD!$C$6),IF(DASHBOARD!$C$8="All",TRUE,$AF463&gt;=DASHBOARD!$C$8),IF(DASHBOARD!$C$10="All",TRUE,$AF463&lt;=DASHBOARD!$C$10),IF(DASHBOARD!$C$12="All",TRUE,$AH463=VALUE(DASHBOARD!$C$12)),IF(DASHBOARD!$C$14="All",TRUE,$AJ463=DASHBOARD!$C$14)),1,0))</f>
        <v/>
      </c>
    </row>
    <row r="464">
      <c r="A464" t="n">
        <v>218938</v>
      </c>
      <c r="B464" t="inlineStr">
        <is>
          <t>Face Malai</t>
        </is>
      </c>
      <c r="H464" t="inlineStr">
        <is>
          <t>Flax Carrot (Hot Humid) 35+ Face Malai - 30g</t>
        </is>
      </c>
      <c r="N464" t="inlineStr">
        <is>
          <t>FC-HHDM-FC-030</t>
        </is>
      </c>
      <c r="T464" t="inlineStr">
        <is>
          <t>Dec 1, 2024</t>
        </is>
      </c>
      <c r="AE464" t="inlineStr">
        <is>
          <t>Ahmedabad</t>
        </is>
      </c>
      <c r="AF464" t="inlineStr">
        <is>
          <t>2024-12</t>
        </is>
      </c>
      <c r="AG464" t="n">
        <v>12</v>
      </c>
      <c r="AH464" t="n">
        <v>1</v>
      </c>
      <c r="AI464" t="n">
        <v>0</v>
      </c>
      <c r="AJ464">
        <f>IF($AE464="","",IFERROR(VLOOKUP(TRIM($AE464),DECODE!$H$3:$I$60,2,FALSE),"Rest of India"))</f>
        <v/>
      </c>
      <c r="AK464">
        <f>IF($N464="","",UPPER(TRIM(LEFT($N464&amp;",",FIND(",",$N464&amp;",")-1))))</f>
        <v/>
      </c>
      <c r="AL464">
        <f>IF($AK464="","",MID($AK464,4,FIND("~",SUBSTITUTE($AK464,"-","~",2))-4))</f>
        <v/>
      </c>
      <c r="AM464">
        <f>IF($AK464="","",MID($AK464,FIND("~",SUBSTITUTE($AK464,"-","~",2))+1,FIND("~",SUBSTITUTE($AK464,"-","~",3))-FIND("~",SUBSTITUTE($AK464,"-","~",2))-1))</f>
        <v/>
      </c>
      <c r="AN464">
        <f>IF($AL464="","",IFERROR(VLOOKUP($AL464,DECODE!$A$3:$C$8,3,FALSE),"?"))</f>
        <v/>
      </c>
      <c r="AO464">
        <f>IF($AM464="","",IFERROR(VLOOKUP($AL464&amp;"-"&amp;$AM464,DECODE!$E$3:$F$21,2,FALSE),"?"))</f>
        <v/>
      </c>
      <c r="AP464">
        <f>IF($AK464="","",IFERROR(VALUE(RIGHT($AK464,3)),""))</f>
        <v/>
      </c>
      <c r="AQ464">
        <f>IF($T464="","",IFERROR(IF(ISNUMBER($T464),$T464,DATEVALUE(TRIM($T464))),""))</f>
        <v/>
      </c>
      <c r="AR464">
        <f>IF($AQ464="","",IF(MONTH($AQ464)&gt;=12,"Cold Winter",IF(MONTH($AQ464)&gt;=10,"Post-Monsoon",IF(MONTH($AQ464)&gt;=6,"Hot Humid",IF(MONTH($AQ464)&gt;=3,"Hot Dry","Cold Winter")))))</f>
        <v/>
      </c>
      <c r="AS464">
        <f>IF($AL464="","",IFERROR(VLOOKUP($AL464,DECODE!$A$3:$C$8,2,FALSE),"?"))</f>
        <v/>
      </c>
      <c r="AT464">
        <f>IF($O464="","",UPPER(TRIM(LEFT($O464&amp;",",FIND(",",$O464&amp;",")-1))))</f>
        <v/>
      </c>
      <c r="AU464">
        <f>IF($AT464="","",MID($AT464,4,FIND("~",SUBSTITUTE($AT464,"-","~",2))-4))</f>
        <v/>
      </c>
      <c r="AV464">
        <f>IF($AT464="","",MID($AT464,FIND("~",SUBSTITUTE($AT464,"-","~",2))+1,FIND("~",SUBSTITUTE($AT464,"-","~",3))-FIND("~",SUBSTITUTE($AT464,"-","~",2))-1))</f>
        <v/>
      </c>
      <c r="AW464">
        <f>IF($AU464="","",IFERROR(VLOOKUP($AU464,DECODE!$A$3:$C$8,3,FALSE),"?"))</f>
        <v/>
      </c>
      <c r="AX464">
        <f>IF($AV464="","",IFERROR(VLOOKUP($AU464&amp;"-"&amp;$AV464,DECODE!$E$3:$F$21,2,FALSE),"?"))</f>
        <v/>
      </c>
      <c r="AY464">
        <f>IF($AT464="","",IFERROR(VALUE(RIGHT($AT464,3)),""))</f>
        <v/>
      </c>
      <c r="AZ464">
        <f>IF($U464="","",IFERROR(IF(ISNUMBER($U464),$U464,DATEVALUE(TRIM($U464))),""))</f>
        <v/>
      </c>
      <c r="BA464">
        <f>IF($AZ464="","",IF(MONTH($AZ464)&gt;=12,"Cold Winter",IF(MONTH($AZ464)&gt;=10,"Post-Monsoon",IF(MONTH($AZ464)&gt;=6,"Hot Humid",IF(MONTH($AZ464)&gt;=3,"Hot Dry","Cold Winter")))))</f>
        <v/>
      </c>
      <c r="BB464">
        <f>IF($AU464="","",IFERROR(VLOOKUP($AU464,DECODE!$A$3:$C$8,2,FALSE),"?"))</f>
        <v/>
      </c>
      <c r="BC464">
        <f>IF($P464="","",UPPER(TRIM(LEFT($P464&amp;",",FIND(",",$P464&amp;",")-1))))</f>
        <v/>
      </c>
      <c r="BD464">
        <f>IF($BC464="","",MID($BC464,4,FIND("~",SUBSTITUTE($BC464,"-","~",2))-4))</f>
        <v/>
      </c>
      <c r="BE464">
        <f>IF($BC464="","",MID($BC464,FIND("~",SUBSTITUTE($BC464,"-","~",2))+1,FIND("~",SUBSTITUTE($BC464,"-","~",3))-FIND("~",SUBSTITUTE($BC464,"-","~",2))-1))</f>
        <v/>
      </c>
      <c r="BF464">
        <f>IF($BD464="","",IFERROR(VLOOKUP($BD464,DECODE!$A$3:$C$8,3,FALSE),"?"))</f>
        <v/>
      </c>
      <c r="BG464">
        <f>IF($BE464="","",IFERROR(VLOOKUP($BD464&amp;"-"&amp;$BE464,DECODE!$E$3:$F$21,2,FALSE),"?"))</f>
        <v/>
      </c>
      <c r="BH464">
        <f>IF($BC464="","",IFERROR(VALUE(RIGHT($BC464,3)),""))</f>
        <v/>
      </c>
      <c r="BI464">
        <f>IF($V464="","",IFERROR(IF(ISNUMBER($V464),$V464,DATEVALUE(TRIM($V464))),""))</f>
        <v/>
      </c>
      <c r="BJ464">
        <f>IF($BI464="","",IF(MONTH($BI464)&gt;=12,"Cold Winter",IF(MONTH($BI464)&gt;=10,"Post-Monsoon",IF(MONTH($BI464)&gt;=6,"Hot Humid",IF(MONTH($BI464)&gt;=3,"Hot Dry","Cold Winter")))))</f>
        <v/>
      </c>
      <c r="BK464">
        <f>IF($BD464="","",IFERROR(VLOOKUP($BD464,DECODE!$A$3:$C$8,2,FALSE),"?"))</f>
        <v/>
      </c>
      <c r="BL464">
        <f>IF($Q464="","",UPPER(TRIM(LEFT($Q464&amp;",",FIND(",",$Q464&amp;",")-1))))</f>
        <v/>
      </c>
      <c r="BM464">
        <f>IF($BL464="","",MID($BL464,4,FIND("~",SUBSTITUTE($BL464,"-","~",2))-4))</f>
        <v/>
      </c>
      <c r="BN464">
        <f>IF($BL464="","",MID($BL464,FIND("~",SUBSTITUTE($BL464,"-","~",2))+1,FIND("~",SUBSTITUTE($BL464,"-","~",3))-FIND("~",SUBSTITUTE($BL464,"-","~",2))-1))</f>
        <v/>
      </c>
      <c r="BO464">
        <f>IF($BM464="","",IFERROR(VLOOKUP($BM464,DECODE!$A$3:$C$8,3,FALSE),"?"))</f>
        <v/>
      </c>
      <c r="BP464">
        <f>IF($BN464="","",IFERROR(VLOOKUP($BM464&amp;"-"&amp;$BN464,DECODE!$E$3:$F$21,2,FALSE),"?"))</f>
        <v/>
      </c>
      <c r="BQ464">
        <f>IF($BL464="","",IFERROR(VALUE(RIGHT($BL464,3)),""))</f>
        <v/>
      </c>
      <c r="BR464">
        <f>IF($W464="","",IFERROR(IF(ISNUMBER($W464),$W464,DATEVALUE(TRIM($W464))),""))</f>
        <v/>
      </c>
      <c r="BS464">
        <f>IF($BR464="","",IF(MONTH($BR464)&gt;=12,"Cold Winter",IF(MONTH($BR464)&gt;=10,"Post-Monsoon",IF(MONTH($BR464)&gt;=6,"Hot Humid",IF(MONTH($BR464)&gt;=3,"Hot Dry","Cold Winter")))))</f>
        <v/>
      </c>
      <c r="BT464">
        <f>IF($BM464="","",IFERROR(VLOOKUP($BM464,DECODE!$A$3:$C$8,2,FALSE),"?"))</f>
        <v/>
      </c>
      <c r="BU464">
        <f>IF($R464="","",UPPER(TRIM(LEFT($R464&amp;",",FIND(",",$R464&amp;",")-1))))</f>
        <v/>
      </c>
      <c r="BV464">
        <f>IF($BU464="","",MID($BU464,4,FIND("~",SUBSTITUTE($BU464,"-","~",2))-4))</f>
        <v/>
      </c>
      <c r="BW464">
        <f>IF($BU464="","",MID($BU464,FIND("~",SUBSTITUTE($BU464,"-","~",2))+1,FIND("~",SUBSTITUTE($BU464,"-","~",3))-FIND("~",SUBSTITUTE($BU464,"-","~",2))-1))</f>
        <v/>
      </c>
      <c r="BX464">
        <f>IF($BV464="","",IFERROR(VLOOKUP($BV464,DECODE!$A$3:$C$8,3,FALSE),"?"))</f>
        <v/>
      </c>
      <c r="BY464">
        <f>IF($BW464="","",IFERROR(VLOOKUP($BV464&amp;"-"&amp;$BW464,DECODE!$E$3:$F$21,2,FALSE),"?"))</f>
        <v/>
      </c>
      <c r="BZ464">
        <f>IF($BU464="","",IFERROR(VALUE(RIGHT($BU464,3)),""))</f>
        <v/>
      </c>
      <c r="CA464">
        <f>IF($X464="","",IFERROR(IF(ISNUMBER($X464),$X464,DATEVALUE(TRIM($X464))),""))</f>
        <v/>
      </c>
      <c r="CB464">
        <f>IF($CA464="","",IF(MONTH($CA464)&gt;=12,"Cold Winter",IF(MONTH($CA464)&gt;=10,"Post-Monsoon",IF(MONTH($CA464)&gt;=6,"Hot Humid",IF(MONTH($CA464)&gt;=3,"Hot Dry","Cold Winter")))))</f>
        <v/>
      </c>
      <c r="CC464">
        <f>IF($BV464="","",IFERROR(VLOOKUP($BV464,DECODE!$A$3:$C$8,2,FALSE),"?"))</f>
        <v/>
      </c>
      <c r="CD464">
        <f>IF($S464="","",UPPER(TRIM(LEFT($S464&amp;",",FIND(",",$S464&amp;",")-1))))</f>
        <v/>
      </c>
      <c r="CE464">
        <f>IF($CD464="","",MID($CD464,4,FIND("~",SUBSTITUTE($CD464,"-","~",2))-4))</f>
        <v/>
      </c>
      <c r="CF464">
        <f>IF($CD464="","",MID($CD464,FIND("~",SUBSTITUTE($CD464,"-","~",2))+1,FIND("~",SUBSTITUTE($CD464,"-","~",3))-FIND("~",SUBSTITUTE($CD464,"-","~",2))-1))</f>
        <v/>
      </c>
      <c r="CG464">
        <f>IF($CE464="","",IFERROR(VLOOKUP($CE464,DECODE!$A$3:$C$8,3,FALSE),"?"))</f>
        <v/>
      </c>
      <c r="CH464">
        <f>IF($CF464="","",IFERROR(VLOOKUP($CE464&amp;"-"&amp;$CF464,DECODE!$E$3:$F$21,2,FALSE),"?"))</f>
        <v/>
      </c>
      <c r="CI464">
        <f>IF($CD464="","",IFERROR(VALUE(RIGHT($CD464,3)),""))</f>
        <v/>
      </c>
      <c r="CJ464">
        <f>IF($Y464="","",IFERROR(IF(ISNUMBER($Y464),$Y464,DATEVALUE(TRIM($Y464))),""))</f>
        <v/>
      </c>
      <c r="CK464">
        <f>IF($CJ464="","",IF(MONTH($CJ464)&gt;=12,"Cold Winter",IF(MONTH($CJ464)&gt;=10,"Post-Monsoon",IF(MONTH($CJ464)&gt;=6,"Hot Humid",IF(MONTH($CJ464)&gt;=3,"Hot Dry","Cold Winter")))))</f>
        <v/>
      </c>
      <c r="CL464">
        <f>IF($CE464="","",IFERROR(VLOOKUP($CE464,DECODE!$A$3:$C$8,2,FALSE),"?"))</f>
        <v/>
      </c>
      <c r="CM464">
        <f>IF($AN464="","",AN464)</f>
        <v/>
      </c>
      <c r="CN464">
        <f>IF($AO464="","",AO464)</f>
        <v/>
      </c>
      <c r="CO464">
        <f>IF($AP464="","",AP464)</f>
        <v/>
      </c>
      <c r="CP464">
        <f>IF($CM464="","",IF($CM464="Aloe Vera Gel","Aloe Vera Gel "&amp;$CO464&amp;"g",CN464&amp;" "&amp;$CO464&amp;"g"))</f>
        <v/>
      </c>
      <c r="CQ464">
        <f>IF($AT464="",0,1)</f>
        <v/>
      </c>
      <c r="CR464">
        <f>IF($CQ464=0,"",AW464)</f>
        <v/>
      </c>
      <c r="CS464">
        <f>IF($CQ464=0,"",AX464)</f>
        <v/>
      </c>
      <c r="CT464">
        <f>IF($CQ464=0,"",AY464)</f>
        <v/>
      </c>
      <c r="CU464">
        <f>IF($CR464="","",IF($CR464="Aloe Vera Gel","Aloe Vera Gel "&amp;$CT464&amp;"g",CS464&amp;" "&amp;$CT464&amp;"g"))</f>
        <v/>
      </c>
      <c r="CV464">
        <f>IF($CQ464=0,"",IF($CP464=$CU464,"Repeat Exact",IF($CT464&gt;$CO464,"Upsized",IF($CT464&lt;$CO464,"Downsized",IF($CM464&lt;&gt;$CR464,"Lateral","Same Size Diff Variant")))))</f>
        <v/>
      </c>
      <c r="CW464">
        <f>IF($CQ464=0,"",AZ464-AQ464)</f>
        <v/>
      </c>
      <c r="CX464">
        <f>IF($CQ464=0,0,IF(CS464=CN464,1,0))</f>
        <v/>
      </c>
      <c r="CY464">
        <f>IF($CQ464=0,0,IF(CR464=CM464,1,0))</f>
        <v/>
      </c>
      <c r="CZ464">
        <f>IF($A464="","",IF(AND(IF(DASHBOARD!$C$4="All",TRUE,$CM464=DASHBOARD!$C$4),IF(DASHBOARD!$C$6="All",TRUE,$CP464=DASHBOARD!$C$6),IF(DASHBOARD!$C$8="All",TRUE,$AF464&gt;=DASHBOARD!$C$8),IF(DASHBOARD!$C$10="All",TRUE,$AF464&lt;=DASHBOARD!$C$10),IF(DASHBOARD!$C$12="All",TRUE,$AH464=VALUE(DASHBOARD!$C$12)),IF(DASHBOARD!$C$14="All",TRUE,$AJ464=DASHBOARD!$C$14)),1,0))</f>
        <v/>
      </c>
    </row>
    <row r="465">
      <c r="A465" t="n">
        <v>219059</v>
      </c>
      <c r="B465" t="inlineStr">
        <is>
          <t>Active Gel</t>
        </is>
      </c>
      <c r="H465" t="inlineStr">
        <is>
          <t>Active Aloe Cactus Hydra Lift Gel</t>
        </is>
      </c>
      <c r="N465" t="inlineStr">
        <is>
          <t>FC-AC-AC-050</t>
        </is>
      </c>
      <c r="T465" t="inlineStr">
        <is>
          <t>Mar 24, 2024</t>
        </is>
      </c>
      <c r="AE465" t="inlineStr">
        <is>
          <t>Indore</t>
        </is>
      </c>
      <c r="AF465" t="inlineStr">
        <is>
          <t>2024-03</t>
        </is>
      </c>
      <c r="AG465" t="n">
        <v>3</v>
      </c>
      <c r="AH465" t="n">
        <v>1</v>
      </c>
      <c r="AI465" t="n">
        <v>0</v>
      </c>
      <c r="AJ465">
        <f>IF($AE465="","",IFERROR(VLOOKUP(TRIM($AE465),DECODE!$H$3:$I$60,2,FALSE),"Rest of India"))</f>
        <v/>
      </c>
      <c r="AK465">
        <f>IF($N465="","",UPPER(TRIM(LEFT($N465&amp;",",FIND(",",$N465&amp;",")-1))))</f>
        <v/>
      </c>
      <c r="AL465">
        <f>IF($AK465="","",MID($AK465,4,FIND("~",SUBSTITUTE($AK465,"-","~",2))-4))</f>
        <v/>
      </c>
      <c r="AM465">
        <f>IF($AK465="","",MID($AK465,FIND("~",SUBSTITUTE($AK465,"-","~",2))+1,FIND("~",SUBSTITUTE($AK465,"-","~",3))-FIND("~",SUBSTITUTE($AK465,"-","~",2))-1))</f>
        <v/>
      </c>
      <c r="AN465">
        <f>IF($AL465="","",IFERROR(VLOOKUP($AL465,DECODE!$A$3:$C$8,3,FALSE),"?"))</f>
        <v/>
      </c>
      <c r="AO465">
        <f>IF($AM465="","",IFERROR(VLOOKUP($AL465&amp;"-"&amp;$AM465,DECODE!$E$3:$F$21,2,FALSE),"?"))</f>
        <v/>
      </c>
      <c r="AP465">
        <f>IF($AK465="","",IFERROR(VALUE(RIGHT($AK465,3)),""))</f>
        <v/>
      </c>
      <c r="AQ465">
        <f>IF($T465="","",IFERROR(IF(ISNUMBER($T465),$T465,DATEVALUE(TRIM($T465))),""))</f>
        <v/>
      </c>
      <c r="AR465">
        <f>IF($AQ465="","",IF(MONTH($AQ465)&gt;=12,"Cold Winter",IF(MONTH($AQ465)&gt;=10,"Post-Monsoon",IF(MONTH($AQ465)&gt;=6,"Hot Humid",IF(MONTH($AQ465)&gt;=3,"Hot Dry","Cold Winter")))))</f>
        <v/>
      </c>
      <c r="AS465">
        <f>IF($AL465="","",IFERROR(VLOOKUP($AL465,DECODE!$A$3:$C$8,2,FALSE),"?"))</f>
        <v/>
      </c>
      <c r="AT465">
        <f>IF($O465="","",UPPER(TRIM(LEFT($O465&amp;",",FIND(",",$O465&amp;",")-1))))</f>
        <v/>
      </c>
      <c r="AU465">
        <f>IF($AT465="","",MID($AT465,4,FIND("~",SUBSTITUTE($AT465,"-","~",2))-4))</f>
        <v/>
      </c>
      <c r="AV465">
        <f>IF($AT465="","",MID($AT465,FIND("~",SUBSTITUTE($AT465,"-","~",2))+1,FIND("~",SUBSTITUTE($AT465,"-","~",3))-FIND("~",SUBSTITUTE($AT465,"-","~",2))-1))</f>
        <v/>
      </c>
      <c r="AW465">
        <f>IF($AU465="","",IFERROR(VLOOKUP($AU465,DECODE!$A$3:$C$8,3,FALSE),"?"))</f>
        <v/>
      </c>
      <c r="AX465">
        <f>IF($AV465="","",IFERROR(VLOOKUP($AU465&amp;"-"&amp;$AV465,DECODE!$E$3:$F$21,2,FALSE),"?"))</f>
        <v/>
      </c>
      <c r="AY465">
        <f>IF($AT465="","",IFERROR(VALUE(RIGHT($AT465,3)),""))</f>
        <v/>
      </c>
      <c r="AZ465">
        <f>IF($U465="","",IFERROR(IF(ISNUMBER($U465),$U465,DATEVALUE(TRIM($U465))),""))</f>
        <v/>
      </c>
      <c r="BA465">
        <f>IF($AZ465="","",IF(MONTH($AZ465)&gt;=12,"Cold Winter",IF(MONTH($AZ465)&gt;=10,"Post-Monsoon",IF(MONTH($AZ465)&gt;=6,"Hot Humid",IF(MONTH($AZ465)&gt;=3,"Hot Dry","Cold Winter")))))</f>
        <v/>
      </c>
      <c r="BB465">
        <f>IF($AU465="","",IFERROR(VLOOKUP($AU465,DECODE!$A$3:$C$8,2,FALSE),"?"))</f>
        <v/>
      </c>
      <c r="BC465">
        <f>IF($P465="","",UPPER(TRIM(LEFT($P465&amp;",",FIND(",",$P465&amp;",")-1))))</f>
        <v/>
      </c>
      <c r="BD465">
        <f>IF($BC465="","",MID($BC465,4,FIND("~",SUBSTITUTE($BC465,"-","~",2))-4))</f>
        <v/>
      </c>
      <c r="BE465">
        <f>IF($BC465="","",MID($BC465,FIND("~",SUBSTITUTE($BC465,"-","~",2))+1,FIND("~",SUBSTITUTE($BC465,"-","~",3))-FIND("~",SUBSTITUTE($BC465,"-","~",2))-1))</f>
        <v/>
      </c>
      <c r="BF465">
        <f>IF($BD465="","",IFERROR(VLOOKUP($BD465,DECODE!$A$3:$C$8,3,FALSE),"?"))</f>
        <v/>
      </c>
      <c r="BG465">
        <f>IF($BE465="","",IFERROR(VLOOKUP($BD465&amp;"-"&amp;$BE465,DECODE!$E$3:$F$21,2,FALSE),"?"))</f>
        <v/>
      </c>
      <c r="BH465">
        <f>IF($BC465="","",IFERROR(VALUE(RIGHT($BC465,3)),""))</f>
        <v/>
      </c>
      <c r="BI465">
        <f>IF($V465="","",IFERROR(IF(ISNUMBER($V465),$V465,DATEVALUE(TRIM($V465))),""))</f>
        <v/>
      </c>
      <c r="BJ465">
        <f>IF($BI465="","",IF(MONTH($BI465)&gt;=12,"Cold Winter",IF(MONTH($BI465)&gt;=10,"Post-Monsoon",IF(MONTH($BI465)&gt;=6,"Hot Humid",IF(MONTH($BI465)&gt;=3,"Hot Dry","Cold Winter")))))</f>
        <v/>
      </c>
      <c r="BK465">
        <f>IF($BD465="","",IFERROR(VLOOKUP($BD465,DECODE!$A$3:$C$8,2,FALSE),"?"))</f>
        <v/>
      </c>
      <c r="BL465">
        <f>IF($Q465="","",UPPER(TRIM(LEFT($Q465&amp;",",FIND(",",$Q465&amp;",")-1))))</f>
        <v/>
      </c>
      <c r="BM465">
        <f>IF($BL465="","",MID($BL465,4,FIND("~",SUBSTITUTE($BL465,"-","~",2))-4))</f>
        <v/>
      </c>
      <c r="BN465">
        <f>IF($BL465="","",MID($BL465,FIND("~",SUBSTITUTE($BL465,"-","~",2))+1,FIND("~",SUBSTITUTE($BL465,"-","~",3))-FIND("~",SUBSTITUTE($BL465,"-","~",2))-1))</f>
        <v/>
      </c>
      <c r="BO465">
        <f>IF($BM465="","",IFERROR(VLOOKUP($BM465,DECODE!$A$3:$C$8,3,FALSE),"?"))</f>
        <v/>
      </c>
      <c r="BP465">
        <f>IF($BN465="","",IFERROR(VLOOKUP($BM465&amp;"-"&amp;$BN465,DECODE!$E$3:$F$21,2,FALSE),"?"))</f>
        <v/>
      </c>
      <c r="BQ465">
        <f>IF($BL465="","",IFERROR(VALUE(RIGHT($BL465,3)),""))</f>
        <v/>
      </c>
      <c r="BR465">
        <f>IF($W465="","",IFERROR(IF(ISNUMBER($W465),$W465,DATEVALUE(TRIM($W465))),""))</f>
        <v/>
      </c>
      <c r="BS465">
        <f>IF($BR465="","",IF(MONTH($BR465)&gt;=12,"Cold Winter",IF(MONTH($BR465)&gt;=10,"Post-Monsoon",IF(MONTH($BR465)&gt;=6,"Hot Humid",IF(MONTH($BR465)&gt;=3,"Hot Dry","Cold Winter")))))</f>
        <v/>
      </c>
      <c r="BT465">
        <f>IF($BM465="","",IFERROR(VLOOKUP($BM465,DECODE!$A$3:$C$8,2,FALSE),"?"))</f>
        <v/>
      </c>
      <c r="BU465">
        <f>IF($R465="","",UPPER(TRIM(LEFT($R465&amp;",",FIND(",",$R465&amp;",")-1))))</f>
        <v/>
      </c>
      <c r="BV465">
        <f>IF($BU465="","",MID($BU465,4,FIND("~",SUBSTITUTE($BU465,"-","~",2))-4))</f>
        <v/>
      </c>
      <c r="BW465">
        <f>IF($BU465="","",MID($BU465,FIND("~",SUBSTITUTE($BU465,"-","~",2))+1,FIND("~",SUBSTITUTE($BU465,"-","~",3))-FIND("~",SUBSTITUTE($BU465,"-","~",2))-1))</f>
        <v/>
      </c>
      <c r="BX465">
        <f>IF($BV465="","",IFERROR(VLOOKUP($BV465,DECODE!$A$3:$C$8,3,FALSE),"?"))</f>
        <v/>
      </c>
      <c r="BY465">
        <f>IF($BW465="","",IFERROR(VLOOKUP($BV465&amp;"-"&amp;$BW465,DECODE!$E$3:$F$21,2,FALSE),"?"))</f>
        <v/>
      </c>
      <c r="BZ465">
        <f>IF($BU465="","",IFERROR(VALUE(RIGHT($BU465,3)),""))</f>
        <v/>
      </c>
      <c r="CA465">
        <f>IF($X465="","",IFERROR(IF(ISNUMBER($X465),$X465,DATEVALUE(TRIM($X465))),""))</f>
        <v/>
      </c>
      <c r="CB465">
        <f>IF($CA465="","",IF(MONTH($CA465)&gt;=12,"Cold Winter",IF(MONTH($CA465)&gt;=10,"Post-Monsoon",IF(MONTH($CA465)&gt;=6,"Hot Humid",IF(MONTH($CA465)&gt;=3,"Hot Dry","Cold Winter")))))</f>
        <v/>
      </c>
      <c r="CC465">
        <f>IF($BV465="","",IFERROR(VLOOKUP($BV465,DECODE!$A$3:$C$8,2,FALSE),"?"))</f>
        <v/>
      </c>
      <c r="CD465">
        <f>IF($S465="","",UPPER(TRIM(LEFT($S465&amp;",",FIND(",",$S465&amp;",")-1))))</f>
        <v/>
      </c>
      <c r="CE465">
        <f>IF($CD465="","",MID($CD465,4,FIND("~",SUBSTITUTE($CD465,"-","~",2))-4))</f>
        <v/>
      </c>
      <c r="CF465">
        <f>IF($CD465="","",MID($CD465,FIND("~",SUBSTITUTE($CD465,"-","~",2))+1,FIND("~",SUBSTITUTE($CD465,"-","~",3))-FIND("~",SUBSTITUTE($CD465,"-","~",2))-1))</f>
        <v/>
      </c>
      <c r="CG465">
        <f>IF($CE465="","",IFERROR(VLOOKUP($CE465,DECODE!$A$3:$C$8,3,FALSE),"?"))</f>
        <v/>
      </c>
      <c r="CH465">
        <f>IF($CF465="","",IFERROR(VLOOKUP($CE465&amp;"-"&amp;$CF465,DECODE!$E$3:$F$21,2,FALSE),"?"))</f>
        <v/>
      </c>
      <c r="CI465">
        <f>IF($CD465="","",IFERROR(VALUE(RIGHT($CD465,3)),""))</f>
        <v/>
      </c>
      <c r="CJ465">
        <f>IF($Y465="","",IFERROR(IF(ISNUMBER($Y465),$Y465,DATEVALUE(TRIM($Y465))),""))</f>
        <v/>
      </c>
      <c r="CK465">
        <f>IF($CJ465="","",IF(MONTH($CJ465)&gt;=12,"Cold Winter",IF(MONTH($CJ465)&gt;=10,"Post-Monsoon",IF(MONTH($CJ465)&gt;=6,"Hot Humid",IF(MONTH($CJ465)&gt;=3,"Hot Dry","Cold Winter")))))</f>
        <v/>
      </c>
      <c r="CL465">
        <f>IF($CE465="","",IFERROR(VLOOKUP($CE465,DECODE!$A$3:$C$8,2,FALSE),"?"))</f>
        <v/>
      </c>
      <c r="CM465">
        <f>IF($AN465="","",AN465)</f>
        <v/>
      </c>
      <c r="CN465">
        <f>IF($AO465="","",AO465)</f>
        <v/>
      </c>
      <c r="CO465">
        <f>IF($AP465="","",AP465)</f>
        <v/>
      </c>
      <c r="CP465">
        <f>IF($CM465="","",IF($CM465="Aloe Vera Gel","Aloe Vera Gel "&amp;$CO465&amp;"g",CN465&amp;" "&amp;$CO465&amp;"g"))</f>
        <v/>
      </c>
      <c r="CQ465">
        <f>IF($AT465="",0,1)</f>
        <v/>
      </c>
      <c r="CR465">
        <f>IF($CQ465=0,"",AW465)</f>
        <v/>
      </c>
      <c r="CS465">
        <f>IF($CQ465=0,"",AX465)</f>
        <v/>
      </c>
      <c r="CT465">
        <f>IF($CQ465=0,"",AY465)</f>
        <v/>
      </c>
      <c r="CU465">
        <f>IF($CR465="","",IF($CR465="Aloe Vera Gel","Aloe Vera Gel "&amp;$CT465&amp;"g",CS465&amp;" "&amp;$CT465&amp;"g"))</f>
        <v/>
      </c>
      <c r="CV465">
        <f>IF($CQ465=0,"",IF($CP465=$CU465,"Repeat Exact",IF($CT465&gt;$CO465,"Upsized",IF($CT465&lt;$CO465,"Downsized",IF($CM465&lt;&gt;$CR465,"Lateral","Same Size Diff Variant")))))</f>
        <v/>
      </c>
      <c r="CW465">
        <f>IF($CQ465=0,"",AZ465-AQ465)</f>
        <v/>
      </c>
      <c r="CX465">
        <f>IF($CQ465=0,0,IF(CS465=CN465,1,0))</f>
        <v/>
      </c>
      <c r="CY465">
        <f>IF($CQ465=0,0,IF(CR465=CM465,1,0))</f>
        <v/>
      </c>
      <c r="CZ465">
        <f>IF($A465="","",IF(AND(IF(DASHBOARD!$C$4="All",TRUE,$CM465=DASHBOARD!$C$4),IF(DASHBOARD!$C$6="All",TRUE,$CP465=DASHBOARD!$C$6),IF(DASHBOARD!$C$8="All",TRUE,$AF465&gt;=DASHBOARD!$C$8),IF(DASHBOARD!$C$10="All",TRUE,$AF465&lt;=DASHBOARD!$C$10),IF(DASHBOARD!$C$12="All",TRUE,$AH465=VALUE(DASHBOARD!$C$12)),IF(DASHBOARD!$C$14="All",TRUE,$AJ465=DASHBOARD!$C$14)),1,0))</f>
        <v/>
      </c>
    </row>
    <row r="466">
      <c r="A466" t="n">
        <v>219070</v>
      </c>
      <c r="B466" t="inlineStr">
        <is>
          <t>Aloe Vera Gel</t>
        </is>
      </c>
      <c r="H466" t="inlineStr">
        <is>
          <t>Aloe Vera Gel - 40 gms</t>
        </is>
      </c>
      <c r="N466" t="inlineStr">
        <is>
          <t>FC-HG-PA-040</t>
        </is>
      </c>
      <c r="T466" t="inlineStr">
        <is>
          <t>Feb 9, 2024</t>
        </is>
      </c>
      <c r="AE466" t="inlineStr">
        <is>
          <t>Bengaluru</t>
        </is>
      </c>
      <c r="AF466" t="inlineStr">
        <is>
          <t>2024-02</t>
        </is>
      </c>
      <c r="AG466" t="n">
        <v>2</v>
      </c>
      <c r="AH466" t="n">
        <v>1</v>
      </c>
      <c r="AI466" t="n">
        <v>0</v>
      </c>
      <c r="AJ466">
        <f>IF($AE466="","",IFERROR(VLOOKUP(TRIM($AE466),DECODE!$H$3:$I$60,2,FALSE),"Rest of India"))</f>
        <v/>
      </c>
      <c r="AK466">
        <f>IF($N466="","",UPPER(TRIM(LEFT($N466&amp;",",FIND(",",$N466&amp;",")-1))))</f>
        <v/>
      </c>
      <c r="AL466">
        <f>IF($AK466="","",MID($AK466,4,FIND("~",SUBSTITUTE($AK466,"-","~",2))-4))</f>
        <v/>
      </c>
      <c r="AM466">
        <f>IF($AK466="","",MID($AK466,FIND("~",SUBSTITUTE($AK466,"-","~",2))+1,FIND("~",SUBSTITUTE($AK466,"-","~",3))-FIND("~",SUBSTITUTE($AK466,"-","~",2))-1))</f>
        <v/>
      </c>
      <c r="AN466">
        <f>IF($AL466="","",IFERROR(VLOOKUP($AL466,DECODE!$A$3:$C$8,3,FALSE),"?"))</f>
        <v/>
      </c>
      <c r="AO466">
        <f>IF($AM466="","",IFERROR(VLOOKUP($AL466&amp;"-"&amp;$AM466,DECODE!$E$3:$F$21,2,FALSE),"?"))</f>
        <v/>
      </c>
      <c r="AP466">
        <f>IF($AK466="","",IFERROR(VALUE(RIGHT($AK466,3)),""))</f>
        <v/>
      </c>
      <c r="AQ466">
        <f>IF($T466="","",IFERROR(IF(ISNUMBER($T466),$T466,DATEVALUE(TRIM($T466))),""))</f>
        <v/>
      </c>
      <c r="AR466">
        <f>IF($AQ466="","",IF(MONTH($AQ466)&gt;=12,"Cold Winter",IF(MONTH($AQ466)&gt;=10,"Post-Monsoon",IF(MONTH($AQ466)&gt;=6,"Hot Humid",IF(MONTH($AQ466)&gt;=3,"Hot Dry","Cold Winter")))))</f>
        <v/>
      </c>
      <c r="AS466">
        <f>IF($AL466="","",IFERROR(VLOOKUP($AL466,DECODE!$A$3:$C$8,2,FALSE),"?"))</f>
        <v/>
      </c>
      <c r="AT466">
        <f>IF($O466="","",UPPER(TRIM(LEFT($O466&amp;",",FIND(",",$O466&amp;",")-1))))</f>
        <v/>
      </c>
      <c r="AU466">
        <f>IF($AT466="","",MID($AT466,4,FIND("~",SUBSTITUTE($AT466,"-","~",2))-4))</f>
        <v/>
      </c>
      <c r="AV466">
        <f>IF($AT466="","",MID($AT466,FIND("~",SUBSTITUTE($AT466,"-","~",2))+1,FIND("~",SUBSTITUTE($AT466,"-","~",3))-FIND("~",SUBSTITUTE($AT466,"-","~",2))-1))</f>
        <v/>
      </c>
      <c r="AW466">
        <f>IF($AU466="","",IFERROR(VLOOKUP($AU466,DECODE!$A$3:$C$8,3,FALSE),"?"))</f>
        <v/>
      </c>
      <c r="AX466">
        <f>IF($AV466="","",IFERROR(VLOOKUP($AU466&amp;"-"&amp;$AV466,DECODE!$E$3:$F$21,2,FALSE),"?"))</f>
        <v/>
      </c>
      <c r="AY466">
        <f>IF($AT466="","",IFERROR(VALUE(RIGHT($AT466,3)),""))</f>
        <v/>
      </c>
      <c r="AZ466">
        <f>IF($U466="","",IFERROR(IF(ISNUMBER($U466),$U466,DATEVALUE(TRIM($U466))),""))</f>
        <v/>
      </c>
      <c r="BA466">
        <f>IF($AZ466="","",IF(MONTH($AZ466)&gt;=12,"Cold Winter",IF(MONTH($AZ466)&gt;=10,"Post-Monsoon",IF(MONTH($AZ466)&gt;=6,"Hot Humid",IF(MONTH($AZ466)&gt;=3,"Hot Dry","Cold Winter")))))</f>
        <v/>
      </c>
      <c r="BB466">
        <f>IF($AU466="","",IFERROR(VLOOKUP($AU466,DECODE!$A$3:$C$8,2,FALSE),"?"))</f>
        <v/>
      </c>
      <c r="BC466">
        <f>IF($P466="","",UPPER(TRIM(LEFT($P466&amp;",",FIND(",",$P466&amp;",")-1))))</f>
        <v/>
      </c>
      <c r="BD466">
        <f>IF($BC466="","",MID($BC466,4,FIND("~",SUBSTITUTE($BC466,"-","~",2))-4))</f>
        <v/>
      </c>
      <c r="BE466">
        <f>IF($BC466="","",MID($BC466,FIND("~",SUBSTITUTE($BC466,"-","~",2))+1,FIND("~",SUBSTITUTE($BC466,"-","~",3))-FIND("~",SUBSTITUTE($BC466,"-","~",2))-1))</f>
        <v/>
      </c>
      <c r="BF466">
        <f>IF($BD466="","",IFERROR(VLOOKUP($BD466,DECODE!$A$3:$C$8,3,FALSE),"?"))</f>
        <v/>
      </c>
      <c r="BG466">
        <f>IF($BE466="","",IFERROR(VLOOKUP($BD466&amp;"-"&amp;$BE466,DECODE!$E$3:$F$21,2,FALSE),"?"))</f>
        <v/>
      </c>
      <c r="BH466">
        <f>IF($BC466="","",IFERROR(VALUE(RIGHT($BC466,3)),""))</f>
        <v/>
      </c>
      <c r="BI466">
        <f>IF($V466="","",IFERROR(IF(ISNUMBER($V466),$V466,DATEVALUE(TRIM($V466))),""))</f>
        <v/>
      </c>
      <c r="BJ466">
        <f>IF($BI466="","",IF(MONTH($BI466)&gt;=12,"Cold Winter",IF(MONTH($BI466)&gt;=10,"Post-Monsoon",IF(MONTH($BI466)&gt;=6,"Hot Humid",IF(MONTH($BI466)&gt;=3,"Hot Dry","Cold Winter")))))</f>
        <v/>
      </c>
      <c r="BK466">
        <f>IF($BD466="","",IFERROR(VLOOKUP($BD466,DECODE!$A$3:$C$8,2,FALSE),"?"))</f>
        <v/>
      </c>
      <c r="BL466">
        <f>IF($Q466="","",UPPER(TRIM(LEFT($Q466&amp;",",FIND(",",$Q466&amp;",")-1))))</f>
        <v/>
      </c>
      <c r="BM466">
        <f>IF($BL466="","",MID($BL466,4,FIND("~",SUBSTITUTE($BL466,"-","~",2))-4))</f>
        <v/>
      </c>
      <c r="BN466">
        <f>IF($BL466="","",MID($BL466,FIND("~",SUBSTITUTE($BL466,"-","~",2))+1,FIND("~",SUBSTITUTE($BL466,"-","~",3))-FIND("~",SUBSTITUTE($BL466,"-","~",2))-1))</f>
        <v/>
      </c>
      <c r="BO466">
        <f>IF($BM466="","",IFERROR(VLOOKUP($BM466,DECODE!$A$3:$C$8,3,FALSE),"?"))</f>
        <v/>
      </c>
      <c r="BP466">
        <f>IF($BN466="","",IFERROR(VLOOKUP($BM466&amp;"-"&amp;$BN466,DECODE!$E$3:$F$21,2,FALSE),"?"))</f>
        <v/>
      </c>
      <c r="BQ466">
        <f>IF($BL466="","",IFERROR(VALUE(RIGHT($BL466,3)),""))</f>
        <v/>
      </c>
      <c r="BR466">
        <f>IF($W466="","",IFERROR(IF(ISNUMBER($W466),$W466,DATEVALUE(TRIM($W466))),""))</f>
        <v/>
      </c>
      <c r="BS466">
        <f>IF($BR466="","",IF(MONTH($BR466)&gt;=12,"Cold Winter",IF(MONTH($BR466)&gt;=10,"Post-Monsoon",IF(MONTH($BR466)&gt;=6,"Hot Humid",IF(MONTH($BR466)&gt;=3,"Hot Dry","Cold Winter")))))</f>
        <v/>
      </c>
      <c r="BT466">
        <f>IF($BM466="","",IFERROR(VLOOKUP($BM466,DECODE!$A$3:$C$8,2,FALSE),"?"))</f>
        <v/>
      </c>
      <c r="BU466">
        <f>IF($R466="","",UPPER(TRIM(LEFT($R466&amp;",",FIND(",",$R466&amp;",")-1))))</f>
        <v/>
      </c>
      <c r="BV466">
        <f>IF($BU466="","",MID($BU466,4,FIND("~",SUBSTITUTE($BU466,"-","~",2))-4))</f>
        <v/>
      </c>
      <c r="BW466">
        <f>IF($BU466="","",MID($BU466,FIND("~",SUBSTITUTE($BU466,"-","~",2))+1,FIND("~",SUBSTITUTE($BU466,"-","~",3))-FIND("~",SUBSTITUTE($BU466,"-","~",2))-1))</f>
        <v/>
      </c>
      <c r="BX466">
        <f>IF($BV466="","",IFERROR(VLOOKUP($BV466,DECODE!$A$3:$C$8,3,FALSE),"?"))</f>
        <v/>
      </c>
      <c r="BY466">
        <f>IF($BW466="","",IFERROR(VLOOKUP($BV466&amp;"-"&amp;$BW466,DECODE!$E$3:$F$21,2,FALSE),"?"))</f>
        <v/>
      </c>
      <c r="BZ466">
        <f>IF($BU466="","",IFERROR(VALUE(RIGHT($BU466,3)),""))</f>
        <v/>
      </c>
      <c r="CA466">
        <f>IF($X466="","",IFERROR(IF(ISNUMBER($X466),$X466,DATEVALUE(TRIM($X466))),""))</f>
        <v/>
      </c>
      <c r="CB466">
        <f>IF($CA466="","",IF(MONTH($CA466)&gt;=12,"Cold Winter",IF(MONTH($CA466)&gt;=10,"Post-Monsoon",IF(MONTH($CA466)&gt;=6,"Hot Humid",IF(MONTH($CA466)&gt;=3,"Hot Dry","Cold Winter")))))</f>
        <v/>
      </c>
      <c r="CC466">
        <f>IF($BV466="","",IFERROR(VLOOKUP($BV466,DECODE!$A$3:$C$8,2,FALSE),"?"))</f>
        <v/>
      </c>
      <c r="CD466">
        <f>IF($S466="","",UPPER(TRIM(LEFT($S466&amp;",",FIND(",",$S466&amp;",")-1))))</f>
        <v/>
      </c>
      <c r="CE466">
        <f>IF($CD466="","",MID($CD466,4,FIND("~",SUBSTITUTE($CD466,"-","~",2))-4))</f>
        <v/>
      </c>
      <c r="CF466">
        <f>IF($CD466="","",MID($CD466,FIND("~",SUBSTITUTE($CD466,"-","~",2))+1,FIND("~",SUBSTITUTE($CD466,"-","~",3))-FIND("~",SUBSTITUTE($CD466,"-","~",2))-1))</f>
        <v/>
      </c>
      <c r="CG466">
        <f>IF($CE466="","",IFERROR(VLOOKUP($CE466,DECODE!$A$3:$C$8,3,FALSE),"?"))</f>
        <v/>
      </c>
      <c r="CH466">
        <f>IF($CF466="","",IFERROR(VLOOKUP($CE466&amp;"-"&amp;$CF466,DECODE!$E$3:$F$21,2,FALSE),"?"))</f>
        <v/>
      </c>
      <c r="CI466">
        <f>IF($CD466="","",IFERROR(VALUE(RIGHT($CD466,3)),""))</f>
        <v/>
      </c>
      <c r="CJ466">
        <f>IF($Y466="","",IFERROR(IF(ISNUMBER($Y466),$Y466,DATEVALUE(TRIM($Y466))),""))</f>
        <v/>
      </c>
      <c r="CK466">
        <f>IF($CJ466="","",IF(MONTH($CJ466)&gt;=12,"Cold Winter",IF(MONTH($CJ466)&gt;=10,"Post-Monsoon",IF(MONTH($CJ466)&gt;=6,"Hot Humid",IF(MONTH($CJ466)&gt;=3,"Hot Dry","Cold Winter")))))</f>
        <v/>
      </c>
      <c r="CL466">
        <f>IF($CE466="","",IFERROR(VLOOKUP($CE466,DECODE!$A$3:$C$8,2,FALSE),"?"))</f>
        <v/>
      </c>
      <c r="CM466">
        <f>IF($AN466="","",AN466)</f>
        <v/>
      </c>
      <c r="CN466">
        <f>IF($AO466="","",AO466)</f>
        <v/>
      </c>
      <c r="CO466">
        <f>IF($AP466="","",AP466)</f>
        <v/>
      </c>
      <c r="CP466">
        <f>IF($CM466="","",IF($CM466="Aloe Vera Gel","Aloe Vera Gel "&amp;$CO466&amp;"g",CN466&amp;" "&amp;$CO466&amp;"g"))</f>
        <v/>
      </c>
      <c r="CQ466">
        <f>IF($AT466="",0,1)</f>
        <v/>
      </c>
      <c r="CR466">
        <f>IF($CQ466=0,"",AW466)</f>
        <v/>
      </c>
      <c r="CS466">
        <f>IF($CQ466=0,"",AX466)</f>
        <v/>
      </c>
      <c r="CT466">
        <f>IF($CQ466=0,"",AY466)</f>
        <v/>
      </c>
      <c r="CU466">
        <f>IF($CR466="","",IF($CR466="Aloe Vera Gel","Aloe Vera Gel "&amp;$CT466&amp;"g",CS466&amp;" "&amp;$CT466&amp;"g"))</f>
        <v/>
      </c>
      <c r="CV466">
        <f>IF($CQ466=0,"",IF($CP466=$CU466,"Repeat Exact",IF($CT466&gt;$CO466,"Upsized",IF($CT466&lt;$CO466,"Downsized",IF($CM466&lt;&gt;$CR466,"Lateral","Same Size Diff Variant")))))</f>
        <v/>
      </c>
      <c r="CW466">
        <f>IF($CQ466=0,"",AZ466-AQ466)</f>
        <v/>
      </c>
      <c r="CX466">
        <f>IF($CQ466=0,0,IF(CS466=CN466,1,0))</f>
        <v/>
      </c>
      <c r="CY466">
        <f>IF($CQ466=0,0,IF(CR466=CM466,1,0))</f>
        <v/>
      </c>
      <c r="CZ466">
        <f>IF($A466="","",IF(AND(IF(DASHBOARD!$C$4="All",TRUE,$CM466=DASHBOARD!$C$4),IF(DASHBOARD!$C$6="All",TRUE,$CP466=DASHBOARD!$C$6),IF(DASHBOARD!$C$8="All",TRUE,$AF466&gt;=DASHBOARD!$C$8),IF(DASHBOARD!$C$10="All",TRUE,$AF466&lt;=DASHBOARD!$C$10),IF(DASHBOARD!$C$12="All",TRUE,$AH466=VALUE(DASHBOARD!$C$12)),IF(DASHBOARD!$C$14="All",TRUE,$AJ466=DASHBOARD!$C$14)),1,0))</f>
        <v/>
      </c>
    </row>
    <row r="467">
      <c r="A467" t="n">
        <v>219416</v>
      </c>
      <c r="B467" t="inlineStr">
        <is>
          <t>Face Malai</t>
        </is>
      </c>
      <c r="H467" t="inlineStr">
        <is>
          <t>Clove Tea-Tree (Anti-Acne) Face Malai</t>
        </is>
      </c>
      <c r="N467" t="inlineStr">
        <is>
          <t>FC-DM-AA-030</t>
        </is>
      </c>
      <c r="T467" t="inlineStr">
        <is>
          <t>Jan 17, 2024</t>
        </is>
      </c>
      <c r="AE467" t="inlineStr">
        <is>
          <t>Ghaziabad</t>
        </is>
      </c>
      <c r="AF467" t="inlineStr">
        <is>
          <t>2024-01</t>
        </is>
      </c>
      <c r="AG467" t="n">
        <v>1</v>
      </c>
      <c r="AH467" t="n">
        <v>1</v>
      </c>
      <c r="AI467" t="n">
        <v>0</v>
      </c>
      <c r="AJ467">
        <f>IF($AE467="","",IFERROR(VLOOKUP(TRIM($AE467),DECODE!$H$3:$I$60,2,FALSE),"Rest of India"))</f>
        <v/>
      </c>
      <c r="AK467">
        <f>IF($N467="","",UPPER(TRIM(LEFT($N467&amp;",",FIND(",",$N467&amp;",")-1))))</f>
        <v/>
      </c>
      <c r="AL467">
        <f>IF($AK467="","",MID($AK467,4,FIND("~",SUBSTITUTE($AK467,"-","~",2))-4))</f>
        <v/>
      </c>
      <c r="AM467">
        <f>IF($AK467="","",MID($AK467,FIND("~",SUBSTITUTE($AK467,"-","~",2))+1,FIND("~",SUBSTITUTE($AK467,"-","~",3))-FIND("~",SUBSTITUTE($AK467,"-","~",2))-1))</f>
        <v/>
      </c>
      <c r="AN467">
        <f>IF($AL467="","",IFERROR(VLOOKUP($AL467,DECODE!$A$3:$C$8,3,FALSE),"?"))</f>
        <v/>
      </c>
      <c r="AO467">
        <f>IF($AM467="","",IFERROR(VLOOKUP($AL467&amp;"-"&amp;$AM467,DECODE!$E$3:$F$21,2,FALSE),"?"))</f>
        <v/>
      </c>
      <c r="AP467">
        <f>IF($AK467="","",IFERROR(VALUE(RIGHT($AK467,3)),""))</f>
        <v/>
      </c>
      <c r="AQ467">
        <f>IF($T467="","",IFERROR(IF(ISNUMBER($T467),$T467,DATEVALUE(TRIM($T467))),""))</f>
        <v/>
      </c>
      <c r="AR467">
        <f>IF($AQ467="","",IF(MONTH($AQ467)&gt;=12,"Cold Winter",IF(MONTH($AQ467)&gt;=10,"Post-Monsoon",IF(MONTH($AQ467)&gt;=6,"Hot Humid",IF(MONTH($AQ467)&gt;=3,"Hot Dry","Cold Winter")))))</f>
        <v/>
      </c>
      <c r="AS467">
        <f>IF($AL467="","",IFERROR(VLOOKUP($AL467,DECODE!$A$3:$C$8,2,FALSE),"?"))</f>
        <v/>
      </c>
      <c r="AT467">
        <f>IF($O467="","",UPPER(TRIM(LEFT($O467&amp;",",FIND(",",$O467&amp;",")-1))))</f>
        <v/>
      </c>
      <c r="AU467">
        <f>IF($AT467="","",MID($AT467,4,FIND("~",SUBSTITUTE($AT467,"-","~",2))-4))</f>
        <v/>
      </c>
      <c r="AV467">
        <f>IF($AT467="","",MID($AT467,FIND("~",SUBSTITUTE($AT467,"-","~",2))+1,FIND("~",SUBSTITUTE($AT467,"-","~",3))-FIND("~",SUBSTITUTE($AT467,"-","~",2))-1))</f>
        <v/>
      </c>
      <c r="AW467">
        <f>IF($AU467="","",IFERROR(VLOOKUP($AU467,DECODE!$A$3:$C$8,3,FALSE),"?"))</f>
        <v/>
      </c>
      <c r="AX467">
        <f>IF($AV467="","",IFERROR(VLOOKUP($AU467&amp;"-"&amp;$AV467,DECODE!$E$3:$F$21,2,FALSE),"?"))</f>
        <v/>
      </c>
      <c r="AY467">
        <f>IF($AT467="","",IFERROR(VALUE(RIGHT($AT467,3)),""))</f>
        <v/>
      </c>
      <c r="AZ467">
        <f>IF($U467="","",IFERROR(IF(ISNUMBER($U467),$U467,DATEVALUE(TRIM($U467))),""))</f>
        <v/>
      </c>
      <c r="BA467">
        <f>IF($AZ467="","",IF(MONTH($AZ467)&gt;=12,"Cold Winter",IF(MONTH($AZ467)&gt;=10,"Post-Monsoon",IF(MONTH($AZ467)&gt;=6,"Hot Humid",IF(MONTH($AZ467)&gt;=3,"Hot Dry","Cold Winter")))))</f>
        <v/>
      </c>
      <c r="BB467">
        <f>IF($AU467="","",IFERROR(VLOOKUP($AU467,DECODE!$A$3:$C$8,2,FALSE),"?"))</f>
        <v/>
      </c>
      <c r="BC467">
        <f>IF($P467="","",UPPER(TRIM(LEFT($P467&amp;",",FIND(",",$P467&amp;",")-1))))</f>
        <v/>
      </c>
      <c r="BD467">
        <f>IF($BC467="","",MID($BC467,4,FIND("~",SUBSTITUTE($BC467,"-","~",2))-4))</f>
        <v/>
      </c>
      <c r="BE467">
        <f>IF($BC467="","",MID($BC467,FIND("~",SUBSTITUTE($BC467,"-","~",2))+1,FIND("~",SUBSTITUTE($BC467,"-","~",3))-FIND("~",SUBSTITUTE($BC467,"-","~",2))-1))</f>
        <v/>
      </c>
      <c r="BF467">
        <f>IF($BD467="","",IFERROR(VLOOKUP($BD467,DECODE!$A$3:$C$8,3,FALSE),"?"))</f>
        <v/>
      </c>
      <c r="BG467">
        <f>IF($BE467="","",IFERROR(VLOOKUP($BD467&amp;"-"&amp;$BE467,DECODE!$E$3:$F$21,2,FALSE),"?"))</f>
        <v/>
      </c>
      <c r="BH467">
        <f>IF($BC467="","",IFERROR(VALUE(RIGHT($BC467,3)),""))</f>
        <v/>
      </c>
      <c r="BI467">
        <f>IF($V467="","",IFERROR(IF(ISNUMBER($V467),$V467,DATEVALUE(TRIM($V467))),""))</f>
        <v/>
      </c>
      <c r="BJ467">
        <f>IF($BI467="","",IF(MONTH($BI467)&gt;=12,"Cold Winter",IF(MONTH($BI467)&gt;=10,"Post-Monsoon",IF(MONTH($BI467)&gt;=6,"Hot Humid",IF(MONTH($BI467)&gt;=3,"Hot Dry","Cold Winter")))))</f>
        <v/>
      </c>
      <c r="BK467">
        <f>IF($BD467="","",IFERROR(VLOOKUP($BD467,DECODE!$A$3:$C$8,2,FALSE),"?"))</f>
        <v/>
      </c>
      <c r="BL467">
        <f>IF($Q467="","",UPPER(TRIM(LEFT($Q467&amp;",",FIND(",",$Q467&amp;",")-1))))</f>
        <v/>
      </c>
      <c r="BM467">
        <f>IF($BL467="","",MID($BL467,4,FIND("~",SUBSTITUTE($BL467,"-","~",2))-4))</f>
        <v/>
      </c>
      <c r="BN467">
        <f>IF($BL467="","",MID($BL467,FIND("~",SUBSTITUTE($BL467,"-","~",2))+1,FIND("~",SUBSTITUTE($BL467,"-","~",3))-FIND("~",SUBSTITUTE($BL467,"-","~",2))-1))</f>
        <v/>
      </c>
      <c r="BO467">
        <f>IF($BM467="","",IFERROR(VLOOKUP($BM467,DECODE!$A$3:$C$8,3,FALSE),"?"))</f>
        <v/>
      </c>
      <c r="BP467">
        <f>IF($BN467="","",IFERROR(VLOOKUP($BM467&amp;"-"&amp;$BN467,DECODE!$E$3:$F$21,2,FALSE),"?"))</f>
        <v/>
      </c>
      <c r="BQ467">
        <f>IF($BL467="","",IFERROR(VALUE(RIGHT($BL467,3)),""))</f>
        <v/>
      </c>
      <c r="BR467">
        <f>IF($W467="","",IFERROR(IF(ISNUMBER($W467),$W467,DATEVALUE(TRIM($W467))),""))</f>
        <v/>
      </c>
      <c r="BS467">
        <f>IF($BR467="","",IF(MONTH($BR467)&gt;=12,"Cold Winter",IF(MONTH($BR467)&gt;=10,"Post-Monsoon",IF(MONTH($BR467)&gt;=6,"Hot Humid",IF(MONTH($BR467)&gt;=3,"Hot Dry","Cold Winter")))))</f>
        <v/>
      </c>
      <c r="BT467">
        <f>IF($BM467="","",IFERROR(VLOOKUP($BM467,DECODE!$A$3:$C$8,2,FALSE),"?"))</f>
        <v/>
      </c>
      <c r="BU467">
        <f>IF($R467="","",UPPER(TRIM(LEFT($R467&amp;",",FIND(",",$R467&amp;",")-1))))</f>
        <v/>
      </c>
      <c r="BV467">
        <f>IF($BU467="","",MID($BU467,4,FIND("~",SUBSTITUTE($BU467,"-","~",2))-4))</f>
        <v/>
      </c>
      <c r="BW467">
        <f>IF($BU467="","",MID($BU467,FIND("~",SUBSTITUTE($BU467,"-","~",2))+1,FIND("~",SUBSTITUTE($BU467,"-","~",3))-FIND("~",SUBSTITUTE($BU467,"-","~",2))-1))</f>
        <v/>
      </c>
      <c r="BX467">
        <f>IF($BV467="","",IFERROR(VLOOKUP($BV467,DECODE!$A$3:$C$8,3,FALSE),"?"))</f>
        <v/>
      </c>
      <c r="BY467">
        <f>IF($BW467="","",IFERROR(VLOOKUP($BV467&amp;"-"&amp;$BW467,DECODE!$E$3:$F$21,2,FALSE),"?"))</f>
        <v/>
      </c>
      <c r="BZ467">
        <f>IF($BU467="","",IFERROR(VALUE(RIGHT($BU467,3)),""))</f>
        <v/>
      </c>
      <c r="CA467">
        <f>IF($X467="","",IFERROR(IF(ISNUMBER($X467),$X467,DATEVALUE(TRIM($X467))),""))</f>
        <v/>
      </c>
      <c r="CB467">
        <f>IF($CA467="","",IF(MONTH($CA467)&gt;=12,"Cold Winter",IF(MONTH($CA467)&gt;=10,"Post-Monsoon",IF(MONTH($CA467)&gt;=6,"Hot Humid",IF(MONTH($CA467)&gt;=3,"Hot Dry","Cold Winter")))))</f>
        <v/>
      </c>
      <c r="CC467">
        <f>IF($BV467="","",IFERROR(VLOOKUP($BV467,DECODE!$A$3:$C$8,2,FALSE),"?"))</f>
        <v/>
      </c>
      <c r="CD467">
        <f>IF($S467="","",UPPER(TRIM(LEFT($S467&amp;",",FIND(",",$S467&amp;",")-1))))</f>
        <v/>
      </c>
      <c r="CE467">
        <f>IF($CD467="","",MID($CD467,4,FIND("~",SUBSTITUTE($CD467,"-","~",2))-4))</f>
        <v/>
      </c>
      <c r="CF467">
        <f>IF($CD467="","",MID($CD467,FIND("~",SUBSTITUTE($CD467,"-","~",2))+1,FIND("~",SUBSTITUTE($CD467,"-","~",3))-FIND("~",SUBSTITUTE($CD467,"-","~",2))-1))</f>
        <v/>
      </c>
      <c r="CG467">
        <f>IF($CE467="","",IFERROR(VLOOKUP($CE467,DECODE!$A$3:$C$8,3,FALSE),"?"))</f>
        <v/>
      </c>
      <c r="CH467">
        <f>IF($CF467="","",IFERROR(VLOOKUP($CE467&amp;"-"&amp;$CF467,DECODE!$E$3:$F$21,2,FALSE),"?"))</f>
        <v/>
      </c>
      <c r="CI467">
        <f>IF($CD467="","",IFERROR(VALUE(RIGHT($CD467,3)),""))</f>
        <v/>
      </c>
      <c r="CJ467">
        <f>IF($Y467="","",IFERROR(IF(ISNUMBER($Y467),$Y467,DATEVALUE(TRIM($Y467))),""))</f>
        <v/>
      </c>
      <c r="CK467">
        <f>IF($CJ467="","",IF(MONTH($CJ467)&gt;=12,"Cold Winter",IF(MONTH($CJ467)&gt;=10,"Post-Monsoon",IF(MONTH($CJ467)&gt;=6,"Hot Humid",IF(MONTH($CJ467)&gt;=3,"Hot Dry","Cold Winter")))))</f>
        <v/>
      </c>
      <c r="CL467">
        <f>IF($CE467="","",IFERROR(VLOOKUP($CE467,DECODE!$A$3:$C$8,2,FALSE),"?"))</f>
        <v/>
      </c>
      <c r="CM467">
        <f>IF($AN467="","",AN467)</f>
        <v/>
      </c>
      <c r="CN467">
        <f>IF($AO467="","",AO467)</f>
        <v/>
      </c>
      <c r="CO467">
        <f>IF($AP467="","",AP467)</f>
        <v/>
      </c>
      <c r="CP467">
        <f>IF($CM467="","",IF($CM467="Aloe Vera Gel","Aloe Vera Gel "&amp;$CO467&amp;"g",CN467&amp;" "&amp;$CO467&amp;"g"))</f>
        <v/>
      </c>
      <c r="CQ467">
        <f>IF($AT467="",0,1)</f>
        <v/>
      </c>
      <c r="CR467">
        <f>IF($CQ467=0,"",AW467)</f>
        <v/>
      </c>
      <c r="CS467">
        <f>IF($CQ467=0,"",AX467)</f>
        <v/>
      </c>
      <c r="CT467">
        <f>IF($CQ467=0,"",AY467)</f>
        <v/>
      </c>
      <c r="CU467">
        <f>IF($CR467="","",IF($CR467="Aloe Vera Gel","Aloe Vera Gel "&amp;$CT467&amp;"g",CS467&amp;" "&amp;$CT467&amp;"g"))</f>
        <v/>
      </c>
      <c r="CV467">
        <f>IF($CQ467=0,"",IF($CP467=$CU467,"Repeat Exact",IF($CT467&gt;$CO467,"Upsized",IF($CT467&lt;$CO467,"Downsized",IF($CM467&lt;&gt;$CR467,"Lateral","Same Size Diff Variant")))))</f>
        <v/>
      </c>
      <c r="CW467">
        <f>IF($CQ467=0,"",AZ467-AQ467)</f>
        <v/>
      </c>
      <c r="CX467">
        <f>IF($CQ467=0,0,IF(CS467=CN467,1,0))</f>
        <v/>
      </c>
      <c r="CY467">
        <f>IF($CQ467=0,0,IF(CR467=CM467,1,0))</f>
        <v/>
      </c>
      <c r="CZ467">
        <f>IF($A467="","",IF(AND(IF(DASHBOARD!$C$4="All",TRUE,$CM467=DASHBOARD!$C$4),IF(DASHBOARD!$C$6="All",TRUE,$CP467=DASHBOARD!$C$6),IF(DASHBOARD!$C$8="All",TRUE,$AF467&gt;=DASHBOARD!$C$8),IF(DASHBOARD!$C$10="All",TRUE,$AF467&lt;=DASHBOARD!$C$10),IF(DASHBOARD!$C$12="All",TRUE,$AH467=VALUE(DASHBOARD!$C$12)),IF(DASHBOARD!$C$14="All",TRUE,$AJ467=DASHBOARD!$C$14)),1,0))</f>
        <v/>
      </c>
    </row>
    <row r="468">
      <c r="A468" t="n">
        <v>219706</v>
      </c>
      <c r="B468" t="inlineStr">
        <is>
          <t>Aloe Vera Gel</t>
        </is>
      </c>
      <c r="H468" t="inlineStr">
        <is>
          <t>Aloe Vera Gel - 80 gms</t>
        </is>
      </c>
      <c r="N468" t="inlineStr">
        <is>
          <t>FC-HG-PA-080</t>
        </is>
      </c>
      <c r="T468" t="inlineStr">
        <is>
          <t>Sep 14, 2025</t>
        </is>
      </c>
      <c r="AE468" t="inlineStr">
        <is>
          <t>Tambaram</t>
        </is>
      </c>
      <c r="AF468" t="inlineStr">
        <is>
          <t>2025-09</t>
        </is>
      </c>
      <c r="AG468" t="n">
        <v>9</v>
      </c>
      <c r="AH468" t="n">
        <v>1</v>
      </c>
      <c r="AI468" t="n">
        <v>0</v>
      </c>
      <c r="AJ468">
        <f>IF($AE468="","",IFERROR(VLOOKUP(TRIM($AE468),DECODE!$H$3:$I$60,2,FALSE),"Rest of India"))</f>
        <v/>
      </c>
      <c r="AK468">
        <f>IF($N468="","",UPPER(TRIM(LEFT($N468&amp;",",FIND(",",$N468&amp;",")-1))))</f>
        <v/>
      </c>
      <c r="AL468">
        <f>IF($AK468="","",MID($AK468,4,FIND("~",SUBSTITUTE($AK468,"-","~",2))-4))</f>
        <v/>
      </c>
      <c r="AM468">
        <f>IF($AK468="","",MID($AK468,FIND("~",SUBSTITUTE($AK468,"-","~",2))+1,FIND("~",SUBSTITUTE($AK468,"-","~",3))-FIND("~",SUBSTITUTE($AK468,"-","~",2))-1))</f>
        <v/>
      </c>
      <c r="AN468">
        <f>IF($AL468="","",IFERROR(VLOOKUP($AL468,DECODE!$A$3:$C$8,3,FALSE),"?"))</f>
        <v/>
      </c>
      <c r="AO468">
        <f>IF($AM468="","",IFERROR(VLOOKUP($AL468&amp;"-"&amp;$AM468,DECODE!$E$3:$F$21,2,FALSE),"?"))</f>
        <v/>
      </c>
      <c r="AP468">
        <f>IF($AK468="","",IFERROR(VALUE(RIGHT($AK468,3)),""))</f>
        <v/>
      </c>
      <c r="AQ468">
        <f>IF($T468="","",IFERROR(IF(ISNUMBER($T468),$T468,DATEVALUE(TRIM($T468))),""))</f>
        <v/>
      </c>
      <c r="AR468">
        <f>IF($AQ468="","",IF(MONTH($AQ468)&gt;=12,"Cold Winter",IF(MONTH($AQ468)&gt;=10,"Post-Monsoon",IF(MONTH($AQ468)&gt;=6,"Hot Humid",IF(MONTH($AQ468)&gt;=3,"Hot Dry","Cold Winter")))))</f>
        <v/>
      </c>
      <c r="AS468">
        <f>IF($AL468="","",IFERROR(VLOOKUP($AL468,DECODE!$A$3:$C$8,2,FALSE),"?"))</f>
        <v/>
      </c>
      <c r="AT468">
        <f>IF($O468="","",UPPER(TRIM(LEFT($O468&amp;",",FIND(",",$O468&amp;",")-1))))</f>
        <v/>
      </c>
      <c r="AU468">
        <f>IF($AT468="","",MID($AT468,4,FIND("~",SUBSTITUTE($AT468,"-","~",2))-4))</f>
        <v/>
      </c>
      <c r="AV468">
        <f>IF($AT468="","",MID($AT468,FIND("~",SUBSTITUTE($AT468,"-","~",2))+1,FIND("~",SUBSTITUTE($AT468,"-","~",3))-FIND("~",SUBSTITUTE($AT468,"-","~",2))-1))</f>
        <v/>
      </c>
      <c r="AW468">
        <f>IF($AU468="","",IFERROR(VLOOKUP($AU468,DECODE!$A$3:$C$8,3,FALSE),"?"))</f>
        <v/>
      </c>
      <c r="AX468">
        <f>IF($AV468="","",IFERROR(VLOOKUP($AU468&amp;"-"&amp;$AV468,DECODE!$E$3:$F$21,2,FALSE),"?"))</f>
        <v/>
      </c>
      <c r="AY468">
        <f>IF($AT468="","",IFERROR(VALUE(RIGHT($AT468,3)),""))</f>
        <v/>
      </c>
      <c r="AZ468">
        <f>IF($U468="","",IFERROR(IF(ISNUMBER($U468),$U468,DATEVALUE(TRIM($U468))),""))</f>
        <v/>
      </c>
      <c r="BA468">
        <f>IF($AZ468="","",IF(MONTH($AZ468)&gt;=12,"Cold Winter",IF(MONTH($AZ468)&gt;=10,"Post-Monsoon",IF(MONTH($AZ468)&gt;=6,"Hot Humid",IF(MONTH($AZ468)&gt;=3,"Hot Dry","Cold Winter")))))</f>
        <v/>
      </c>
      <c r="BB468">
        <f>IF($AU468="","",IFERROR(VLOOKUP($AU468,DECODE!$A$3:$C$8,2,FALSE),"?"))</f>
        <v/>
      </c>
      <c r="BC468">
        <f>IF($P468="","",UPPER(TRIM(LEFT($P468&amp;",",FIND(",",$P468&amp;",")-1))))</f>
        <v/>
      </c>
      <c r="BD468">
        <f>IF($BC468="","",MID($BC468,4,FIND("~",SUBSTITUTE($BC468,"-","~",2))-4))</f>
        <v/>
      </c>
      <c r="BE468">
        <f>IF($BC468="","",MID($BC468,FIND("~",SUBSTITUTE($BC468,"-","~",2))+1,FIND("~",SUBSTITUTE($BC468,"-","~",3))-FIND("~",SUBSTITUTE($BC468,"-","~",2))-1))</f>
        <v/>
      </c>
      <c r="BF468">
        <f>IF($BD468="","",IFERROR(VLOOKUP($BD468,DECODE!$A$3:$C$8,3,FALSE),"?"))</f>
        <v/>
      </c>
      <c r="BG468">
        <f>IF($BE468="","",IFERROR(VLOOKUP($BD468&amp;"-"&amp;$BE468,DECODE!$E$3:$F$21,2,FALSE),"?"))</f>
        <v/>
      </c>
      <c r="BH468">
        <f>IF($BC468="","",IFERROR(VALUE(RIGHT($BC468,3)),""))</f>
        <v/>
      </c>
      <c r="BI468">
        <f>IF($V468="","",IFERROR(IF(ISNUMBER($V468),$V468,DATEVALUE(TRIM($V468))),""))</f>
        <v/>
      </c>
      <c r="BJ468">
        <f>IF($BI468="","",IF(MONTH($BI468)&gt;=12,"Cold Winter",IF(MONTH($BI468)&gt;=10,"Post-Monsoon",IF(MONTH($BI468)&gt;=6,"Hot Humid",IF(MONTH($BI468)&gt;=3,"Hot Dry","Cold Winter")))))</f>
        <v/>
      </c>
      <c r="BK468">
        <f>IF($BD468="","",IFERROR(VLOOKUP($BD468,DECODE!$A$3:$C$8,2,FALSE),"?"))</f>
        <v/>
      </c>
      <c r="BL468">
        <f>IF($Q468="","",UPPER(TRIM(LEFT($Q468&amp;",",FIND(",",$Q468&amp;",")-1))))</f>
        <v/>
      </c>
      <c r="BM468">
        <f>IF($BL468="","",MID($BL468,4,FIND("~",SUBSTITUTE($BL468,"-","~",2))-4))</f>
        <v/>
      </c>
      <c r="BN468">
        <f>IF($BL468="","",MID($BL468,FIND("~",SUBSTITUTE($BL468,"-","~",2))+1,FIND("~",SUBSTITUTE($BL468,"-","~",3))-FIND("~",SUBSTITUTE($BL468,"-","~",2))-1))</f>
        <v/>
      </c>
      <c r="BO468">
        <f>IF($BM468="","",IFERROR(VLOOKUP($BM468,DECODE!$A$3:$C$8,3,FALSE),"?"))</f>
        <v/>
      </c>
      <c r="BP468">
        <f>IF($BN468="","",IFERROR(VLOOKUP($BM468&amp;"-"&amp;$BN468,DECODE!$E$3:$F$21,2,FALSE),"?"))</f>
        <v/>
      </c>
      <c r="BQ468">
        <f>IF($BL468="","",IFERROR(VALUE(RIGHT($BL468,3)),""))</f>
        <v/>
      </c>
      <c r="BR468">
        <f>IF($W468="","",IFERROR(IF(ISNUMBER($W468),$W468,DATEVALUE(TRIM($W468))),""))</f>
        <v/>
      </c>
      <c r="BS468">
        <f>IF($BR468="","",IF(MONTH($BR468)&gt;=12,"Cold Winter",IF(MONTH($BR468)&gt;=10,"Post-Monsoon",IF(MONTH($BR468)&gt;=6,"Hot Humid",IF(MONTH($BR468)&gt;=3,"Hot Dry","Cold Winter")))))</f>
        <v/>
      </c>
      <c r="BT468">
        <f>IF($BM468="","",IFERROR(VLOOKUP($BM468,DECODE!$A$3:$C$8,2,FALSE),"?"))</f>
        <v/>
      </c>
      <c r="BU468">
        <f>IF($R468="","",UPPER(TRIM(LEFT($R468&amp;",",FIND(",",$R468&amp;",")-1))))</f>
        <v/>
      </c>
      <c r="BV468">
        <f>IF($BU468="","",MID($BU468,4,FIND("~",SUBSTITUTE($BU468,"-","~",2))-4))</f>
        <v/>
      </c>
      <c r="BW468">
        <f>IF($BU468="","",MID($BU468,FIND("~",SUBSTITUTE($BU468,"-","~",2))+1,FIND("~",SUBSTITUTE($BU468,"-","~",3))-FIND("~",SUBSTITUTE($BU468,"-","~",2))-1))</f>
        <v/>
      </c>
      <c r="BX468">
        <f>IF($BV468="","",IFERROR(VLOOKUP($BV468,DECODE!$A$3:$C$8,3,FALSE),"?"))</f>
        <v/>
      </c>
      <c r="BY468">
        <f>IF($BW468="","",IFERROR(VLOOKUP($BV468&amp;"-"&amp;$BW468,DECODE!$E$3:$F$21,2,FALSE),"?"))</f>
        <v/>
      </c>
      <c r="BZ468">
        <f>IF($BU468="","",IFERROR(VALUE(RIGHT($BU468,3)),""))</f>
        <v/>
      </c>
      <c r="CA468">
        <f>IF($X468="","",IFERROR(IF(ISNUMBER($X468),$X468,DATEVALUE(TRIM($X468))),""))</f>
        <v/>
      </c>
      <c r="CB468">
        <f>IF($CA468="","",IF(MONTH($CA468)&gt;=12,"Cold Winter",IF(MONTH($CA468)&gt;=10,"Post-Monsoon",IF(MONTH($CA468)&gt;=6,"Hot Humid",IF(MONTH($CA468)&gt;=3,"Hot Dry","Cold Winter")))))</f>
        <v/>
      </c>
      <c r="CC468">
        <f>IF($BV468="","",IFERROR(VLOOKUP($BV468,DECODE!$A$3:$C$8,2,FALSE),"?"))</f>
        <v/>
      </c>
      <c r="CD468">
        <f>IF($S468="","",UPPER(TRIM(LEFT($S468&amp;",",FIND(",",$S468&amp;",")-1))))</f>
        <v/>
      </c>
      <c r="CE468">
        <f>IF($CD468="","",MID($CD468,4,FIND("~",SUBSTITUTE($CD468,"-","~",2))-4))</f>
        <v/>
      </c>
      <c r="CF468">
        <f>IF($CD468="","",MID($CD468,FIND("~",SUBSTITUTE($CD468,"-","~",2))+1,FIND("~",SUBSTITUTE($CD468,"-","~",3))-FIND("~",SUBSTITUTE($CD468,"-","~",2))-1))</f>
        <v/>
      </c>
      <c r="CG468">
        <f>IF($CE468="","",IFERROR(VLOOKUP($CE468,DECODE!$A$3:$C$8,3,FALSE),"?"))</f>
        <v/>
      </c>
      <c r="CH468">
        <f>IF($CF468="","",IFERROR(VLOOKUP($CE468&amp;"-"&amp;$CF468,DECODE!$E$3:$F$21,2,FALSE),"?"))</f>
        <v/>
      </c>
      <c r="CI468">
        <f>IF($CD468="","",IFERROR(VALUE(RIGHT($CD468,3)),""))</f>
        <v/>
      </c>
      <c r="CJ468">
        <f>IF($Y468="","",IFERROR(IF(ISNUMBER($Y468),$Y468,DATEVALUE(TRIM($Y468))),""))</f>
        <v/>
      </c>
      <c r="CK468">
        <f>IF($CJ468="","",IF(MONTH($CJ468)&gt;=12,"Cold Winter",IF(MONTH($CJ468)&gt;=10,"Post-Monsoon",IF(MONTH($CJ468)&gt;=6,"Hot Humid",IF(MONTH($CJ468)&gt;=3,"Hot Dry","Cold Winter")))))</f>
        <v/>
      </c>
      <c r="CL468">
        <f>IF($CE468="","",IFERROR(VLOOKUP($CE468,DECODE!$A$3:$C$8,2,FALSE),"?"))</f>
        <v/>
      </c>
      <c r="CM468">
        <f>IF($AN468="","",AN468)</f>
        <v/>
      </c>
      <c r="CN468">
        <f>IF($AO468="","",AO468)</f>
        <v/>
      </c>
      <c r="CO468">
        <f>IF($AP468="","",AP468)</f>
        <v/>
      </c>
      <c r="CP468">
        <f>IF($CM468="","",IF($CM468="Aloe Vera Gel","Aloe Vera Gel "&amp;$CO468&amp;"g",CN468&amp;" "&amp;$CO468&amp;"g"))</f>
        <v/>
      </c>
      <c r="CQ468">
        <f>IF($AT468="",0,1)</f>
        <v/>
      </c>
      <c r="CR468">
        <f>IF($CQ468=0,"",AW468)</f>
        <v/>
      </c>
      <c r="CS468">
        <f>IF($CQ468=0,"",AX468)</f>
        <v/>
      </c>
      <c r="CT468">
        <f>IF($CQ468=0,"",AY468)</f>
        <v/>
      </c>
      <c r="CU468">
        <f>IF($CR468="","",IF($CR468="Aloe Vera Gel","Aloe Vera Gel "&amp;$CT468&amp;"g",CS468&amp;" "&amp;$CT468&amp;"g"))</f>
        <v/>
      </c>
      <c r="CV468">
        <f>IF($CQ468=0,"",IF($CP468=$CU468,"Repeat Exact",IF($CT468&gt;$CO468,"Upsized",IF($CT468&lt;$CO468,"Downsized",IF($CM468&lt;&gt;$CR468,"Lateral","Same Size Diff Variant")))))</f>
        <v/>
      </c>
      <c r="CW468">
        <f>IF($CQ468=0,"",AZ468-AQ468)</f>
        <v/>
      </c>
      <c r="CX468">
        <f>IF($CQ468=0,0,IF(CS468=CN468,1,0))</f>
        <v/>
      </c>
      <c r="CY468">
        <f>IF($CQ468=0,0,IF(CR468=CM468,1,0))</f>
        <v/>
      </c>
      <c r="CZ468">
        <f>IF($A468="","",IF(AND(IF(DASHBOARD!$C$4="All",TRUE,$CM468=DASHBOARD!$C$4),IF(DASHBOARD!$C$6="All",TRUE,$CP468=DASHBOARD!$C$6),IF(DASHBOARD!$C$8="All",TRUE,$AF468&gt;=DASHBOARD!$C$8),IF(DASHBOARD!$C$10="All",TRUE,$AF468&lt;=DASHBOARD!$C$10),IF(DASHBOARD!$C$12="All",TRUE,$AH468=VALUE(DASHBOARD!$C$12)),IF(DASHBOARD!$C$14="All",TRUE,$AJ468=DASHBOARD!$C$14)),1,0))</f>
        <v/>
      </c>
    </row>
    <row r="469">
      <c r="A469" t="n">
        <v>219724</v>
      </c>
      <c r="B469" t="inlineStr">
        <is>
          <t>Aloe Vera Gel</t>
        </is>
      </c>
      <c r="H469" t="inlineStr">
        <is>
          <t>Aloe Vera Gel - 40 gms</t>
        </is>
      </c>
      <c r="N469" t="inlineStr">
        <is>
          <t>FC-HG-PA-040</t>
        </is>
      </c>
      <c r="T469" t="inlineStr">
        <is>
          <t>Jul 19, 2024</t>
        </is>
      </c>
      <c r="AE469" t="inlineStr">
        <is>
          <t>Tiruchirapalli</t>
        </is>
      </c>
      <c r="AF469" t="inlineStr">
        <is>
          <t>2024-07</t>
        </is>
      </c>
      <c r="AG469" t="n">
        <v>7</v>
      </c>
      <c r="AH469" t="n">
        <v>1</v>
      </c>
      <c r="AI469" t="n">
        <v>0</v>
      </c>
      <c r="AJ469">
        <f>IF($AE469="","",IFERROR(VLOOKUP(TRIM($AE469),DECODE!$H$3:$I$60,2,FALSE),"Rest of India"))</f>
        <v/>
      </c>
      <c r="AK469">
        <f>IF($N469="","",UPPER(TRIM(LEFT($N469&amp;",",FIND(",",$N469&amp;",")-1))))</f>
        <v/>
      </c>
      <c r="AL469">
        <f>IF($AK469="","",MID($AK469,4,FIND("~",SUBSTITUTE($AK469,"-","~",2))-4))</f>
        <v/>
      </c>
      <c r="AM469">
        <f>IF($AK469="","",MID($AK469,FIND("~",SUBSTITUTE($AK469,"-","~",2))+1,FIND("~",SUBSTITUTE($AK469,"-","~",3))-FIND("~",SUBSTITUTE($AK469,"-","~",2))-1))</f>
        <v/>
      </c>
      <c r="AN469">
        <f>IF($AL469="","",IFERROR(VLOOKUP($AL469,DECODE!$A$3:$C$8,3,FALSE),"?"))</f>
        <v/>
      </c>
      <c r="AO469">
        <f>IF($AM469="","",IFERROR(VLOOKUP($AL469&amp;"-"&amp;$AM469,DECODE!$E$3:$F$21,2,FALSE),"?"))</f>
        <v/>
      </c>
      <c r="AP469">
        <f>IF($AK469="","",IFERROR(VALUE(RIGHT($AK469,3)),""))</f>
        <v/>
      </c>
      <c r="AQ469">
        <f>IF($T469="","",IFERROR(IF(ISNUMBER($T469),$T469,DATEVALUE(TRIM($T469))),""))</f>
        <v/>
      </c>
      <c r="AR469">
        <f>IF($AQ469="","",IF(MONTH($AQ469)&gt;=12,"Cold Winter",IF(MONTH($AQ469)&gt;=10,"Post-Monsoon",IF(MONTH($AQ469)&gt;=6,"Hot Humid",IF(MONTH($AQ469)&gt;=3,"Hot Dry","Cold Winter")))))</f>
        <v/>
      </c>
      <c r="AS469">
        <f>IF($AL469="","",IFERROR(VLOOKUP($AL469,DECODE!$A$3:$C$8,2,FALSE),"?"))</f>
        <v/>
      </c>
      <c r="AT469">
        <f>IF($O469="","",UPPER(TRIM(LEFT($O469&amp;",",FIND(",",$O469&amp;",")-1))))</f>
        <v/>
      </c>
      <c r="AU469">
        <f>IF($AT469="","",MID($AT469,4,FIND("~",SUBSTITUTE($AT469,"-","~",2))-4))</f>
        <v/>
      </c>
      <c r="AV469">
        <f>IF($AT469="","",MID($AT469,FIND("~",SUBSTITUTE($AT469,"-","~",2))+1,FIND("~",SUBSTITUTE($AT469,"-","~",3))-FIND("~",SUBSTITUTE($AT469,"-","~",2))-1))</f>
        <v/>
      </c>
      <c r="AW469">
        <f>IF($AU469="","",IFERROR(VLOOKUP($AU469,DECODE!$A$3:$C$8,3,FALSE),"?"))</f>
        <v/>
      </c>
      <c r="AX469">
        <f>IF($AV469="","",IFERROR(VLOOKUP($AU469&amp;"-"&amp;$AV469,DECODE!$E$3:$F$21,2,FALSE),"?"))</f>
        <v/>
      </c>
      <c r="AY469">
        <f>IF($AT469="","",IFERROR(VALUE(RIGHT($AT469,3)),""))</f>
        <v/>
      </c>
      <c r="AZ469">
        <f>IF($U469="","",IFERROR(IF(ISNUMBER($U469),$U469,DATEVALUE(TRIM($U469))),""))</f>
        <v/>
      </c>
      <c r="BA469">
        <f>IF($AZ469="","",IF(MONTH($AZ469)&gt;=12,"Cold Winter",IF(MONTH($AZ469)&gt;=10,"Post-Monsoon",IF(MONTH($AZ469)&gt;=6,"Hot Humid",IF(MONTH($AZ469)&gt;=3,"Hot Dry","Cold Winter")))))</f>
        <v/>
      </c>
      <c r="BB469">
        <f>IF($AU469="","",IFERROR(VLOOKUP($AU469,DECODE!$A$3:$C$8,2,FALSE),"?"))</f>
        <v/>
      </c>
      <c r="BC469">
        <f>IF($P469="","",UPPER(TRIM(LEFT($P469&amp;",",FIND(",",$P469&amp;",")-1))))</f>
        <v/>
      </c>
      <c r="BD469">
        <f>IF($BC469="","",MID($BC469,4,FIND("~",SUBSTITUTE($BC469,"-","~",2))-4))</f>
        <v/>
      </c>
      <c r="BE469">
        <f>IF($BC469="","",MID($BC469,FIND("~",SUBSTITUTE($BC469,"-","~",2))+1,FIND("~",SUBSTITUTE($BC469,"-","~",3))-FIND("~",SUBSTITUTE($BC469,"-","~",2))-1))</f>
        <v/>
      </c>
      <c r="BF469">
        <f>IF($BD469="","",IFERROR(VLOOKUP($BD469,DECODE!$A$3:$C$8,3,FALSE),"?"))</f>
        <v/>
      </c>
      <c r="BG469">
        <f>IF($BE469="","",IFERROR(VLOOKUP($BD469&amp;"-"&amp;$BE469,DECODE!$E$3:$F$21,2,FALSE),"?"))</f>
        <v/>
      </c>
      <c r="BH469">
        <f>IF($BC469="","",IFERROR(VALUE(RIGHT($BC469,3)),""))</f>
        <v/>
      </c>
      <c r="BI469">
        <f>IF($V469="","",IFERROR(IF(ISNUMBER($V469),$V469,DATEVALUE(TRIM($V469))),""))</f>
        <v/>
      </c>
      <c r="BJ469">
        <f>IF($BI469="","",IF(MONTH($BI469)&gt;=12,"Cold Winter",IF(MONTH($BI469)&gt;=10,"Post-Monsoon",IF(MONTH($BI469)&gt;=6,"Hot Humid",IF(MONTH($BI469)&gt;=3,"Hot Dry","Cold Winter")))))</f>
        <v/>
      </c>
      <c r="BK469">
        <f>IF($BD469="","",IFERROR(VLOOKUP($BD469,DECODE!$A$3:$C$8,2,FALSE),"?"))</f>
        <v/>
      </c>
      <c r="BL469">
        <f>IF($Q469="","",UPPER(TRIM(LEFT($Q469&amp;",",FIND(",",$Q469&amp;",")-1))))</f>
        <v/>
      </c>
      <c r="BM469">
        <f>IF($BL469="","",MID($BL469,4,FIND("~",SUBSTITUTE($BL469,"-","~",2))-4))</f>
        <v/>
      </c>
      <c r="BN469">
        <f>IF($BL469="","",MID($BL469,FIND("~",SUBSTITUTE($BL469,"-","~",2))+1,FIND("~",SUBSTITUTE($BL469,"-","~",3))-FIND("~",SUBSTITUTE($BL469,"-","~",2))-1))</f>
        <v/>
      </c>
      <c r="BO469">
        <f>IF($BM469="","",IFERROR(VLOOKUP($BM469,DECODE!$A$3:$C$8,3,FALSE),"?"))</f>
        <v/>
      </c>
      <c r="BP469">
        <f>IF($BN469="","",IFERROR(VLOOKUP($BM469&amp;"-"&amp;$BN469,DECODE!$E$3:$F$21,2,FALSE),"?"))</f>
        <v/>
      </c>
      <c r="BQ469">
        <f>IF($BL469="","",IFERROR(VALUE(RIGHT($BL469,3)),""))</f>
        <v/>
      </c>
      <c r="BR469">
        <f>IF($W469="","",IFERROR(IF(ISNUMBER($W469),$W469,DATEVALUE(TRIM($W469))),""))</f>
        <v/>
      </c>
      <c r="BS469">
        <f>IF($BR469="","",IF(MONTH($BR469)&gt;=12,"Cold Winter",IF(MONTH($BR469)&gt;=10,"Post-Monsoon",IF(MONTH($BR469)&gt;=6,"Hot Humid",IF(MONTH($BR469)&gt;=3,"Hot Dry","Cold Winter")))))</f>
        <v/>
      </c>
      <c r="BT469">
        <f>IF($BM469="","",IFERROR(VLOOKUP($BM469,DECODE!$A$3:$C$8,2,FALSE),"?"))</f>
        <v/>
      </c>
      <c r="BU469">
        <f>IF($R469="","",UPPER(TRIM(LEFT($R469&amp;",",FIND(",",$R469&amp;",")-1))))</f>
        <v/>
      </c>
      <c r="BV469">
        <f>IF($BU469="","",MID($BU469,4,FIND("~",SUBSTITUTE($BU469,"-","~",2))-4))</f>
        <v/>
      </c>
      <c r="BW469">
        <f>IF($BU469="","",MID($BU469,FIND("~",SUBSTITUTE($BU469,"-","~",2))+1,FIND("~",SUBSTITUTE($BU469,"-","~",3))-FIND("~",SUBSTITUTE($BU469,"-","~",2))-1))</f>
        <v/>
      </c>
      <c r="BX469">
        <f>IF($BV469="","",IFERROR(VLOOKUP($BV469,DECODE!$A$3:$C$8,3,FALSE),"?"))</f>
        <v/>
      </c>
      <c r="BY469">
        <f>IF($BW469="","",IFERROR(VLOOKUP($BV469&amp;"-"&amp;$BW469,DECODE!$E$3:$F$21,2,FALSE),"?"))</f>
        <v/>
      </c>
      <c r="BZ469">
        <f>IF($BU469="","",IFERROR(VALUE(RIGHT($BU469,3)),""))</f>
        <v/>
      </c>
      <c r="CA469">
        <f>IF($X469="","",IFERROR(IF(ISNUMBER($X469),$X469,DATEVALUE(TRIM($X469))),""))</f>
        <v/>
      </c>
      <c r="CB469">
        <f>IF($CA469="","",IF(MONTH($CA469)&gt;=12,"Cold Winter",IF(MONTH($CA469)&gt;=10,"Post-Monsoon",IF(MONTH($CA469)&gt;=6,"Hot Humid",IF(MONTH($CA469)&gt;=3,"Hot Dry","Cold Winter")))))</f>
        <v/>
      </c>
      <c r="CC469">
        <f>IF($BV469="","",IFERROR(VLOOKUP($BV469,DECODE!$A$3:$C$8,2,FALSE),"?"))</f>
        <v/>
      </c>
      <c r="CD469">
        <f>IF($S469="","",UPPER(TRIM(LEFT($S469&amp;",",FIND(",",$S469&amp;",")-1))))</f>
        <v/>
      </c>
      <c r="CE469">
        <f>IF($CD469="","",MID($CD469,4,FIND("~",SUBSTITUTE($CD469,"-","~",2))-4))</f>
        <v/>
      </c>
      <c r="CF469">
        <f>IF($CD469="","",MID($CD469,FIND("~",SUBSTITUTE($CD469,"-","~",2))+1,FIND("~",SUBSTITUTE($CD469,"-","~",3))-FIND("~",SUBSTITUTE($CD469,"-","~",2))-1))</f>
        <v/>
      </c>
      <c r="CG469">
        <f>IF($CE469="","",IFERROR(VLOOKUP($CE469,DECODE!$A$3:$C$8,3,FALSE),"?"))</f>
        <v/>
      </c>
      <c r="CH469">
        <f>IF($CF469="","",IFERROR(VLOOKUP($CE469&amp;"-"&amp;$CF469,DECODE!$E$3:$F$21,2,FALSE),"?"))</f>
        <v/>
      </c>
      <c r="CI469">
        <f>IF($CD469="","",IFERROR(VALUE(RIGHT($CD469,3)),""))</f>
        <v/>
      </c>
      <c r="CJ469">
        <f>IF($Y469="","",IFERROR(IF(ISNUMBER($Y469),$Y469,DATEVALUE(TRIM($Y469))),""))</f>
        <v/>
      </c>
      <c r="CK469">
        <f>IF($CJ469="","",IF(MONTH($CJ469)&gt;=12,"Cold Winter",IF(MONTH($CJ469)&gt;=10,"Post-Monsoon",IF(MONTH($CJ469)&gt;=6,"Hot Humid",IF(MONTH($CJ469)&gt;=3,"Hot Dry","Cold Winter")))))</f>
        <v/>
      </c>
      <c r="CL469">
        <f>IF($CE469="","",IFERROR(VLOOKUP($CE469,DECODE!$A$3:$C$8,2,FALSE),"?"))</f>
        <v/>
      </c>
      <c r="CM469">
        <f>IF($AN469="","",AN469)</f>
        <v/>
      </c>
      <c r="CN469">
        <f>IF($AO469="","",AO469)</f>
        <v/>
      </c>
      <c r="CO469">
        <f>IF($AP469="","",AP469)</f>
        <v/>
      </c>
      <c r="CP469">
        <f>IF($CM469="","",IF($CM469="Aloe Vera Gel","Aloe Vera Gel "&amp;$CO469&amp;"g",CN469&amp;" "&amp;$CO469&amp;"g"))</f>
        <v/>
      </c>
      <c r="CQ469">
        <f>IF($AT469="",0,1)</f>
        <v/>
      </c>
      <c r="CR469">
        <f>IF($CQ469=0,"",AW469)</f>
        <v/>
      </c>
      <c r="CS469">
        <f>IF($CQ469=0,"",AX469)</f>
        <v/>
      </c>
      <c r="CT469">
        <f>IF($CQ469=0,"",AY469)</f>
        <v/>
      </c>
      <c r="CU469">
        <f>IF($CR469="","",IF($CR469="Aloe Vera Gel","Aloe Vera Gel "&amp;$CT469&amp;"g",CS469&amp;" "&amp;$CT469&amp;"g"))</f>
        <v/>
      </c>
      <c r="CV469">
        <f>IF($CQ469=0,"",IF($CP469=$CU469,"Repeat Exact",IF($CT469&gt;$CO469,"Upsized",IF($CT469&lt;$CO469,"Downsized",IF($CM469&lt;&gt;$CR469,"Lateral","Same Size Diff Variant")))))</f>
        <v/>
      </c>
      <c r="CW469">
        <f>IF($CQ469=0,"",AZ469-AQ469)</f>
        <v/>
      </c>
      <c r="CX469">
        <f>IF($CQ469=0,0,IF(CS469=CN469,1,0))</f>
        <v/>
      </c>
      <c r="CY469">
        <f>IF($CQ469=0,0,IF(CR469=CM469,1,0))</f>
        <v/>
      </c>
      <c r="CZ469">
        <f>IF($A469="","",IF(AND(IF(DASHBOARD!$C$4="All",TRUE,$CM469=DASHBOARD!$C$4),IF(DASHBOARD!$C$6="All",TRUE,$CP469=DASHBOARD!$C$6),IF(DASHBOARD!$C$8="All",TRUE,$AF469&gt;=DASHBOARD!$C$8),IF(DASHBOARD!$C$10="All",TRUE,$AF469&lt;=DASHBOARD!$C$10),IF(DASHBOARD!$C$12="All",TRUE,$AH469=VALUE(DASHBOARD!$C$12)),IF(DASHBOARD!$C$14="All",TRUE,$AJ469=DASHBOARD!$C$14)),1,0))</f>
        <v/>
      </c>
    </row>
    <row r="470">
      <c r="A470" t="n">
        <v>220558</v>
      </c>
      <c r="B470" t="inlineStr">
        <is>
          <t>Face Malai</t>
        </is>
      </c>
      <c r="H470" t="inlineStr">
        <is>
          <t>Turmeric Nutmeg (Pigmentation)  Face Malai - 30g</t>
        </is>
      </c>
      <c r="N470" t="inlineStr">
        <is>
          <t>FC-DM-PG-030</t>
        </is>
      </c>
      <c r="T470" t="inlineStr">
        <is>
          <t>Jun 23, 2025</t>
        </is>
      </c>
      <c r="AE470" t="inlineStr">
        <is>
          <t>Hapur</t>
        </is>
      </c>
      <c r="AF470" t="inlineStr">
        <is>
          <t>2025-06</t>
        </is>
      </c>
      <c r="AG470" t="n">
        <v>6</v>
      </c>
      <c r="AH470" t="n">
        <v>1</v>
      </c>
      <c r="AI470" t="n">
        <v>0</v>
      </c>
      <c r="AJ470">
        <f>IF($AE470="","",IFERROR(VLOOKUP(TRIM($AE470),DECODE!$H$3:$I$60,2,FALSE),"Rest of India"))</f>
        <v/>
      </c>
      <c r="AK470">
        <f>IF($N470="","",UPPER(TRIM(LEFT($N470&amp;",",FIND(",",$N470&amp;",")-1))))</f>
        <v/>
      </c>
      <c r="AL470">
        <f>IF($AK470="","",MID($AK470,4,FIND("~",SUBSTITUTE($AK470,"-","~",2))-4))</f>
        <v/>
      </c>
      <c r="AM470">
        <f>IF($AK470="","",MID($AK470,FIND("~",SUBSTITUTE($AK470,"-","~",2))+1,FIND("~",SUBSTITUTE($AK470,"-","~",3))-FIND("~",SUBSTITUTE($AK470,"-","~",2))-1))</f>
        <v/>
      </c>
      <c r="AN470">
        <f>IF($AL470="","",IFERROR(VLOOKUP($AL470,DECODE!$A$3:$C$8,3,FALSE),"?"))</f>
        <v/>
      </c>
      <c r="AO470">
        <f>IF($AM470="","",IFERROR(VLOOKUP($AL470&amp;"-"&amp;$AM470,DECODE!$E$3:$F$21,2,FALSE),"?"))</f>
        <v/>
      </c>
      <c r="AP470">
        <f>IF($AK470="","",IFERROR(VALUE(RIGHT($AK470,3)),""))</f>
        <v/>
      </c>
      <c r="AQ470">
        <f>IF($T470="","",IFERROR(IF(ISNUMBER($T470),$T470,DATEVALUE(TRIM($T470))),""))</f>
        <v/>
      </c>
      <c r="AR470">
        <f>IF($AQ470="","",IF(MONTH($AQ470)&gt;=12,"Cold Winter",IF(MONTH($AQ470)&gt;=10,"Post-Monsoon",IF(MONTH($AQ470)&gt;=6,"Hot Humid",IF(MONTH($AQ470)&gt;=3,"Hot Dry","Cold Winter")))))</f>
        <v/>
      </c>
      <c r="AS470">
        <f>IF($AL470="","",IFERROR(VLOOKUP($AL470,DECODE!$A$3:$C$8,2,FALSE),"?"))</f>
        <v/>
      </c>
      <c r="AT470">
        <f>IF($O470="","",UPPER(TRIM(LEFT($O470&amp;",",FIND(",",$O470&amp;",")-1))))</f>
        <v/>
      </c>
      <c r="AU470">
        <f>IF($AT470="","",MID($AT470,4,FIND("~",SUBSTITUTE($AT470,"-","~",2))-4))</f>
        <v/>
      </c>
      <c r="AV470">
        <f>IF($AT470="","",MID($AT470,FIND("~",SUBSTITUTE($AT470,"-","~",2))+1,FIND("~",SUBSTITUTE($AT470,"-","~",3))-FIND("~",SUBSTITUTE($AT470,"-","~",2))-1))</f>
        <v/>
      </c>
      <c r="AW470">
        <f>IF($AU470="","",IFERROR(VLOOKUP($AU470,DECODE!$A$3:$C$8,3,FALSE),"?"))</f>
        <v/>
      </c>
      <c r="AX470">
        <f>IF($AV470="","",IFERROR(VLOOKUP($AU470&amp;"-"&amp;$AV470,DECODE!$E$3:$F$21,2,FALSE),"?"))</f>
        <v/>
      </c>
      <c r="AY470">
        <f>IF($AT470="","",IFERROR(VALUE(RIGHT($AT470,3)),""))</f>
        <v/>
      </c>
      <c r="AZ470">
        <f>IF($U470="","",IFERROR(IF(ISNUMBER($U470),$U470,DATEVALUE(TRIM($U470))),""))</f>
        <v/>
      </c>
      <c r="BA470">
        <f>IF($AZ470="","",IF(MONTH($AZ470)&gt;=12,"Cold Winter",IF(MONTH($AZ470)&gt;=10,"Post-Monsoon",IF(MONTH($AZ470)&gt;=6,"Hot Humid",IF(MONTH($AZ470)&gt;=3,"Hot Dry","Cold Winter")))))</f>
        <v/>
      </c>
      <c r="BB470">
        <f>IF($AU470="","",IFERROR(VLOOKUP($AU470,DECODE!$A$3:$C$8,2,FALSE),"?"))</f>
        <v/>
      </c>
      <c r="BC470">
        <f>IF($P470="","",UPPER(TRIM(LEFT($P470&amp;",",FIND(",",$P470&amp;",")-1))))</f>
        <v/>
      </c>
      <c r="BD470">
        <f>IF($BC470="","",MID($BC470,4,FIND("~",SUBSTITUTE($BC470,"-","~",2))-4))</f>
        <v/>
      </c>
      <c r="BE470">
        <f>IF($BC470="","",MID($BC470,FIND("~",SUBSTITUTE($BC470,"-","~",2))+1,FIND("~",SUBSTITUTE($BC470,"-","~",3))-FIND("~",SUBSTITUTE($BC470,"-","~",2))-1))</f>
        <v/>
      </c>
      <c r="BF470">
        <f>IF($BD470="","",IFERROR(VLOOKUP($BD470,DECODE!$A$3:$C$8,3,FALSE),"?"))</f>
        <v/>
      </c>
      <c r="BG470">
        <f>IF($BE470="","",IFERROR(VLOOKUP($BD470&amp;"-"&amp;$BE470,DECODE!$E$3:$F$21,2,FALSE),"?"))</f>
        <v/>
      </c>
      <c r="BH470">
        <f>IF($BC470="","",IFERROR(VALUE(RIGHT($BC470,3)),""))</f>
        <v/>
      </c>
      <c r="BI470">
        <f>IF($V470="","",IFERROR(IF(ISNUMBER($V470),$V470,DATEVALUE(TRIM($V470))),""))</f>
        <v/>
      </c>
      <c r="BJ470">
        <f>IF($BI470="","",IF(MONTH($BI470)&gt;=12,"Cold Winter",IF(MONTH($BI470)&gt;=10,"Post-Monsoon",IF(MONTH($BI470)&gt;=6,"Hot Humid",IF(MONTH($BI470)&gt;=3,"Hot Dry","Cold Winter")))))</f>
        <v/>
      </c>
      <c r="BK470">
        <f>IF($BD470="","",IFERROR(VLOOKUP($BD470,DECODE!$A$3:$C$8,2,FALSE),"?"))</f>
        <v/>
      </c>
      <c r="BL470">
        <f>IF($Q470="","",UPPER(TRIM(LEFT($Q470&amp;",",FIND(",",$Q470&amp;",")-1))))</f>
        <v/>
      </c>
      <c r="BM470">
        <f>IF($BL470="","",MID($BL470,4,FIND("~",SUBSTITUTE($BL470,"-","~",2))-4))</f>
        <v/>
      </c>
      <c r="BN470">
        <f>IF($BL470="","",MID($BL470,FIND("~",SUBSTITUTE($BL470,"-","~",2))+1,FIND("~",SUBSTITUTE($BL470,"-","~",3))-FIND("~",SUBSTITUTE($BL470,"-","~",2))-1))</f>
        <v/>
      </c>
      <c r="BO470">
        <f>IF($BM470="","",IFERROR(VLOOKUP($BM470,DECODE!$A$3:$C$8,3,FALSE),"?"))</f>
        <v/>
      </c>
      <c r="BP470">
        <f>IF($BN470="","",IFERROR(VLOOKUP($BM470&amp;"-"&amp;$BN470,DECODE!$E$3:$F$21,2,FALSE),"?"))</f>
        <v/>
      </c>
      <c r="BQ470">
        <f>IF($BL470="","",IFERROR(VALUE(RIGHT($BL470,3)),""))</f>
        <v/>
      </c>
      <c r="BR470">
        <f>IF($W470="","",IFERROR(IF(ISNUMBER($W470),$W470,DATEVALUE(TRIM($W470))),""))</f>
        <v/>
      </c>
      <c r="BS470">
        <f>IF($BR470="","",IF(MONTH($BR470)&gt;=12,"Cold Winter",IF(MONTH($BR470)&gt;=10,"Post-Monsoon",IF(MONTH($BR470)&gt;=6,"Hot Humid",IF(MONTH($BR470)&gt;=3,"Hot Dry","Cold Winter")))))</f>
        <v/>
      </c>
      <c r="BT470">
        <f>IF($BM470="","",IFERROR(VLOOKUP($BM470,DECODE!$A$3:$C$8,2,FALSE),"?"))</f>
        <v/>
      </c>
      <c r="BU470">
        <f>IF($R470="","",UPPER(TRIM(LEFT($R470&amp;",",FIND(",",$R470&amp;",")-1))))</f>
        <v/>
      </c>
      <c r="BV470">
        <f>IF($BU470="","",MID($BU470,4,FIND("~",SUBSTITUTE($BU470,"-","~",2))-4))</f>
        <v/>
      </c>
      <c r="BW470">
        <f>IF($BU470="","",MID($BU470,FIND("~",SUBSTITUTE($BU470,"-","~",2))+1,FIND("~",SUBSTITUTE($BU470,"-","~",3))-FIND("~",SUBSTITUTE($BU470,"-","~",2))-1))</f>
        <v/>
      </c>
      <c r="BX470">
        <f>IF($BV470="","",IFERROR(VLOOKUP($BV470,DECODE!$A$3:$C$8,3,FALSE),"?"))</f>
        <v/>
      </c>
      <c r="BY470">
        <f>IF($BW470="","",IFERROR(VLOOKUP($BV470&amp;"-"&amp;$BW470,DECODE!$E$3:$F$21,2,FALSE),"?"))</f>
        <v/>
      </c>
      <c r="BZ470">
        <f>IF($BU470="","",IFERROR(VALUE(RIGHT($BU470,3)),""))</f>
        <v/>
      </c>
      <c r="CA470">
        <f>IF($X470="","",IFERROR(IF(ISNUMBER($X470),$X470,DATEVALUE(TRIM($X470))),""))</f>
        <v/>
      </c>
      <c r="CB470">
        <f>IF($CA470="","",IF(MONTH($CA470)&gt;=12,"Cold Winter",IF(MONTH($CA470)&gt;=10,"Post-Monsoon",IF(MONTH($CA470)&gt;=6,"Hot Humid",IF(MONTH($CA470)&gt;=3,"Hot Dry","Cold Winter")))))</f>
        <v/>
      </c>
      <c r="CC470">
        <f>IF($BV470="","",IFERROR(VLOOKUP($BV470,DECODE!$A$3:$C$8,2,FALSE),"?"))</f>
        <v/>
      </c>
      <c r="CD470">
        <f>IF($S470="","",UPPER(TRIM(LEFT($S470&amp;",",FIND(",",$S470&amp;",")-1))))</f>
        <v/>
      </c>
      <c r="CE470">
        <f>IF($CD470="","",MID($CD470,4,FIND("~",SUBSTITUTE($CD470,"-","~",2))-4))</f>
        <v/>
      </c>
      <c r="CF470">
        <f>IF($CD470="","",MID($CD470,FIND("~",SUBSTITUTE($CD470,"-","~",2))+1,FIND("~",SUBSTITUTE($CD470,"-","~",3))-FIND("~",SUBSTITUTE($CD470,"-","~",2))-1))</f>
        <v/>
      </c>
      <c r="CG470">
        <f>IF($CE470="","",IFERROR(VLOOKUP($CE470,DECODE!$A$3:$C$8,3,FALSE),"?"))</f>
        <v/>
      </c>
      <c r="CH470">
        <f>IF($CF470="","",IFERROR(VLOOKUP($CE470&amp;"-"&amp;$CF470,DECODE!$E$3:$F$21,2,FALSE),"?"))</f>
        <v/>
      </c>
      <c r="CI470">
        <f>IF($CD470="","",IFERROR(VALUE(RIGHT($CD470,3)),""))</f>
        <v/>
      </c>
      <c r="CJ470">
        <f>IF($Y470="","",IFERROR(IF(ISNUMBER($Y470),$Y470,DATEVALUE(TRIM($Y470))),""))</f>
        <v/>
      </c>
      <c r="CK470">
        <f>IF($CJ470="","",IF(MONTH($CJ470)&gt;=12,"Cold Winter",IF(MONTH($CJ470)&gt;=10,"Post-Monsoon",IF(MONTH($CJ470)&gt;=6,"Hot Humid",IF(MONTH($CJ470)&gt;=3,"Hot Dry","Cold Winter")))))</f>
        <v/>
      </c>
      <c r="CL470">
        <f>IF($CE470="","",IFERROR(VLOOKUP($CE470,DECODE!$A$3:$C$8,2,FALSE),"?"))</f>
        <v/>
      </c>
      <c r="CM470">
        <f>IF($AN470="","",AN470)</f>
        <v/>
      </c>
      <c r="CN470">
        <f>IF($AO470="","",AO470)</f>
        <v/>
      </c>
      <c r="CO470">
        <f>IF($AP470="","",AP470)</f>
        <v/>
      </c>
      <c r="CP470">
        <f>IF($CM470="","",IF($CM470="Aloe Vera Gel","Aloe Vera Gel "&amp;$CO470&amp;"g",CN470&amp;" "&amp;$CO470&amp;"g"))</f>
        <v/>
      </c>
      <c r="CQ470">
        <f>IF($AT470="",0,1)</f>
        <v/>
      </c>
      <c r="CR470">
        <f>IF($CQ470=0,"",AW470)</f>
        <v/>
      </c>
      <c r="CS470">
        <f>IF($CQ470=0,"",AX470)</f>
        <v/>
      </c>
      <c r="CT470">
        <f>IF($CQ470=0,"",AY470)</f>
        <v/>
      </c>
      <c r="CU470">
        <f>IF($CR470="","",IF($CR470="Aloe Vera Gel","Aloe Vera Gel "&amp;$CT470&amp;"g",CS470&amp;" "&amp;$CT470&amp;"g"))</f>
        <v/>
      </c>
      <c r="CV470">
        <f>IF($CQ470=0,"",IF($CP470=$CU470,"Repeat Exact",IF($CT470&gt;$CO470,"Upsized",IF($CT470&lt;$CO470,"Downsized",IF($CM470&lt;&gt;$CR470,"Lateral","Same Size Diff Variant")))))</f>
        <v/>
      </c>
      <c r="CW470">
        <f>IF($CQ470=0,"",AZ470-AQ470)</f>
        <v/>
      </c>
      <c r="CX470">
        <f>IF($CQ470=0,0,IF(CS470=CN470,1,0))</f>
        <v/>
      </c>
      <c r="CY470">
        <f>IF($CQ470=0,0,IF(CR470=CM470,1,0))</f>
        <v/>
      </c>
      <c r="CZ470">
        <f>IF($A470="","",IF(AND(IF(DASHBOARD!$C$4="All",TRUE,$CM470=DASHBOARD!$C$4),IF(DASHBOARD!$C$6="All",TRUE,$CP470=DASHBOARD!$C$6),IF(DASHBOARD!$C$8="All",TRUE,$AF470&gt;=DASHBOARD!$C$8),IF(DASHBOARD!$C$10="All",TRUE,$AF470&lt;=DASHBOARD!$C$10),IF(DASHBOARD!$C$12="All",TRUE,$AH470=VALUE(DASHBOARD!$C$12)),IF(DASHBOARD!$C$14="All",TRUE,$AJ470=DASHBOARD!$C$14)),1,0))</f>
        <v/>
      </c>
    </row>
    <row r="471">
      <c r="A471" t="n">
        <v>220645</v>
      </c>
      <c r="B471" t="inlineStr">
        <is>
          <t>Face Malai</t>
        </is>
      </c>
      <c r="H471" t="inlineStr">
        <is>
          <t>Flax Bakuchi (Hot Dry) 35+ Face Malai - 30g</t>
        </is>
      </c>
      <c r="N471" t="inlineStr">
        <is>
          <t>FC-HDDM-FB-030</t>
        </is>
      </c>
      <c r="T471" t="inlineStr">
        <is>
          <t>Oct 2, 2024</t>
        </is>
      </c>
      <c r="AE471" t="inlineStr">
        <is>
          <t>Ernakulam</t>
        </is>
      </c>
      <c r="AF471" t="inlineStr">
        <is>
          <t>2024-10</t>
        </is>
      </c>
      <c r="AG471" t="n">
        <v>10</v>
      </c>
      <c r="AH471" t="n">
        <v>1</v>
      </c>
      <c r="AI471" t="n">
        <v>0</v>
      </c>
      <c r="AJ471">
        <f>IF($AE471="","",IFERROR(VLOOKUP(TRIM($AE471),DECODE!$H$3:$I$60,2,FALSE),"Rest of India"))</f>
        <v/>
      </c>
      <c r="AK471">
        <f>IF($N471="","",UPPER(TRIM(LEFT($N471&amp;",",FIND(",",$N471&amp;",")-1))))</f>
        <v/>
      </c>
      <c r="AL471">
        <f>IF($AK471="","",MID($AK471,4,FIND("~",SUBSTITUTE($AK471,"-","~",2))-4))</f>
        <v/>
      </c>
      <c r="AM471">
        <f>IF($AK471="","",MID($AK471,FIND("~",SUBSTITUTE($AK471,"-","~",2))+1,FIND("~",SUBSTITUTE($AK471,"-","~",3))-FIND("~",SUBSTITUTE($AK471,"-","~",2))-1))</f>
        <v/>
      </c>
      <c r="AN471">
        <f>IF($AL471="","",IFERROR(VLOOKUP($AL471,DECODE!$A$3:$C$8,3,FALSE),"?"))</f>
        <v/>
      </c>
      <c r="AO471">
        <f>IF($AM471="","",IFERROR(VLOOKUP($AL471&amp;"-"&amp;$AM471,DECODE!$E$3:$F$21,2,FALSE),"?"))</f>
        <v/>
      </c>
      <c r="AP471">
        <f>IF($AK471="","",IFERROR(VALUE(RIGHT($AK471,3)),""))</f>
        <v/>
      </c>
      <c r="AQ471">
        <f>IF($T471="","",IFERROR(IF(ISNUMBER($T471),$T471,DATEVALUE(TRIM($T471))),""))</f>
        <v/>
      </c>
      <c r="AR471">
        <f>IF($AQ471="","",IF(MONTH($AQ471)&gt;=12,"Cold Winter",IF(MONTH($AQ471)&gt;=10,"Post-Monsoon",IF(MONTH($AQ471)&gt;=6,"Hot Humid",IF(MONTH($AQ471)&gt;=3,"Hot Dry","Cold Winter")))))</f>
        <v/>
      </c>
      <c r="AS471">
        <f>IF($AL471="","",IFERROR(VLOOKUP($AL471,DECODE!$A$3:$C$8,2,FALSE),"?"))</f>
        <v/>
      </c>
      <c r="AT471">
        <f>IF($O471="","",UPPER(TRIM(LEFT($O471&amp;",",FIND(",",$O471&amp;",")-1))))</f>
        <v/>
      </c>
      <c r="AU471">
        <f>IF($AT471="","",MID($AT471,4,FIND("~",SUBSTITUTE($AT471,"-","~",2))-4))</f>
        <v/>
      </c>
      <c r="AV471">
        <f>IF($AT471="","",MID($AT471,FIND("~",SUBSTITUTE($AT471,"-","~",2))+1,FIND("~",SUBSTITUTE($AT471,"-","~",3))-FIND("~",SUBSTITUTE($AT471,"-","~",2))-1))</f>
        <v/>
      </c>
      <c r="AW471">
        <f>IF($AU471="","",IFERROR(VLOOKUP($AU471,DECODE!$A$3:$C$8,3,FALSE),"?"))</f>
        <v/>
      </c>
      <c r="AX471">
        <f>IF($AV471="","",IFERROR(VLOOKUP($AU471&amp;"-"&amp;$AV471,DECODE!$E$3:$F$21,2,FALSE),"?"))</f>
        <v/>
      </c>
      <c r="AY471">
        <f>IF($AT471="","",IFERROR(VALUE(RIGHT($AT471,3)),""))</f>
        <v/>
      </c>
      <c r="AZ471">
        <f>IF($U471="","",IFERROR(IF(ISNUMBER($U471),$U471,DATEVALUE(TRIM($U471))),""))</f>
        <v/>
      </c>
      <c r="BA471">
        <f>IF($AZ471="","",IF(MONTH($AZ471)&gt;=12,"Cold Winter",IF(MONTH($AZ471)&gt;=10,"Post-Monsoon",IF(MONTH($AZ471)&gt;=6,"Hot Humid",IF(MONTH($AZ471)&gt;=3,"Hot Dry","Cold Winter")))))</f>
        <v/>
      </c>
      <c r="BB471">
        <f>IF($AU471="","",IFERROR(VLOOKUP($AU471,DECODE!$A$3:$C$8,2,FALSE),"?"))</f>
        <v/>
      </c>
      <c r="BC471">
        <f>IF($P471="","",UPPER(TRIM(LEFT($P471&amp;",",FIND(",",$P471&amp;",")-1))))</f>
        <v/>
      </c>
      <c r="BD471">
        <f>IF($BC471="","",MID($BC471,4,FIND("~",SUBSTITUTE($BC471,"-","~",2))-4))</f>
        <v/>
      </c>
      <c r="BE471">
        <f>IF($BC471="","",MID($BC471,FIND("~",SUBSTITUTE($BC471,"-","~",2))+1,FIND("~",SUBSTITUTE($BC471,"-","~",3))-FIND("~",SUBSTITUTE($BC471,"-","~",2))-1))</f>
        <v/>
      </c>
      <c r="BF471">
        <f>IF($BD471="","",IFERROR(VLOOKUP($BD471,DECODE!$A$3:$C$8,3,FALSE),"?"))</f>
        <v/>
      </c>
      <c r="BG471">
        <f>IF($BE471="","",IFERROR(VLOOKUP($BD471&amp;"-"&amp;$BE471,DECODE!$E$3:$F$21,2,FALSE),"?"))</f>
        <v/>
      </c>
      <c r="BH471">
        <f>IF($BC471="","",IFERROR(VALUE(RIGHT($BC471,3)),""))</f>
        <v/>
      </c>
      <c r="BI471">
        <f>IF($V471="","",IFERROR(IF(ISNUMBER($V471),$V471,DATEVALUE(TRIM($V471))),""))</f>
        <v/>
      </c>
      <c r="BJ471">
        <f>IF($BI471="","",IF(MONTH($BI471)&gt;=12,"Cold Winter",IF(MONTH($BI471)&gt;=10,"Post-Monsoon",IF(MONTH($BI471)&gt;=6,"Hot Humid",IF(MONTH($BI471)&gt;=3,"Hot Dry","Cold Winter")))))</f>
        <v/>
      </c>
      <c r="BK471">
        <f>IF($BD471="","",IFERROR(VLOOKUP($BD471,DECODE!$A$3:$C$8,2,FALSE),"?"))</f>
        <v/>
      </c>
      <c r="BL471">
        <f>IF($Q471="","",UPPER(TRIM(LEFT($Q471&amp;",",FIND(",",$Q471&amp;",")-1))))</f>
        <v/>
      </c>
      <c r="BM471">
        <f>IF($BL471="","",MID($BL471,4,FIND("~",SUBSTITUTE($BL471,"-","~",2))-4))</f>
        <v/>
      </c>
      <c r="BN471">
        <f>IF($BL471="","",MID($BL471,FIND("~",SUBSTITUTE($BL471,"-","~",2))+1,FIND("~",SUBSTITUTE($BL471,"-","~",3))-FIND("~",SUBSTITUTE($BL471,"-","~",2))-1))</f>
        <v/>
      </c>
      <c r="BO471">
        <f>IF($BM471="","",IFERROR(VLOOKUP($BM471,DECODE!$A$3:$C$8,3,FALSE),"?"))</f>
        <v/>
      </c>
      <c r="BP471">
        <f>IF($BN471="","",IFERROR(VLOOKUP($BM471&amp;"-"&amp;$BN471,DECODE!$E$3:$F$21,2,FALSE),"?"))</f>
        <v/>
      </c>
      <c r="BQ471">
        <f>IF($BL471="","",IFERROR(VALUE(RIGHT($BL471,3)),""))</f>
        <v/>
      </c>
      <c r="BR471">
        <f>IF($W471="","",IFERROR(IF(ISNUMBER($W471),$W471,DATEVALUE(TRIM($W471))),""))</f>
        <v/>
      </c>
      <c r="BS471">
        <f>IF($BR471="","",IF(MONTH($BR471)&gt;=12,"Cold Winter",IF(MONTH($BR471)&gt;=10,"Post-Monsoon",IF(MONTH($BR471)&gt;=6,"Hot Humid",IF(MONTH($BR471)&gt;=3,"Hot Dry","Cold Winter")))))</f>
        <v/>
      </c>
      <c r="BT471">
        <f>IF($BM471="","",IFERROR(VLOOKUP($BM471,DECODE!$A$3:$C$8,2,FALSE),"?"))</f>
        <v/>
      </c>
      <c r="BU471">
        <f>IF($R471="","",UPPER(TRIM(LEFT($R471&amp;",",FIND(",",$R471&amp;",")-1))))</f>
        <v/>
      </c>
      <c r="BV471">
        <f>IF($BU471="","",MID($BU471,4,FIND("~",SUBSTITUTE($BU471,"-","~",2))-4))</f>
        <v/>
      </c>
      <c r="BW471">
        <f>IF($BU471="","",MID($BU471,FIND("~",SUBSTITUTE($BU471,"-","~",2))+1,FIND("~",SUBSTITUTE($BU471,"-","~",3))-FIND("~",SUBSTITUTE($BU471,"-","~",2))-1))</f>
        <v/>
      </c>
      <c r="BX471">
        <f>IF($BV471="","",IFERROR(VLOOKUP($BV471,DECODE!$A$3:$C$8,3,FALSE),"?"))</f>
        <v/>
      </c>
      <c r="BY471">
        <f>IF($BW471="","",IFERROR(VLOOKUP($BV471&amp;"-"&amp;$BW471,DECODE!$E$3:$F$21,2,FALSE),"?"))</f>
        <v/>
      </c>
      <c r="BZ471">
        <f>IF($BU471="","",IFERROR(VALUE(RIGHT($BU471,3)),""))</f>
        <v/>
      </c>
      <c r="CA471">
        <f>IF($X471="","",IFERROR(IF(ISNUMBER($X471),$X471,DATEVALUE(TRIM($X471))),""))</f>
        <v/>
      </c>
      <c r="CB471">
        <f>IF($CA471="","",IF(MONTH($CA471)&gt;=12,"Cold Winter",IF(MONTH($CA471)&gt;=10,"Post-Monsoon",IF(MONTH($CA471)&gt;=6,"Hot Humid",IF(MONTH($CA471)&gt;=3,"Hot Dry","Cold Winter")))))</f>
        <v/>
      </c>
      <c r="CC471">
        <f>IF($BV471="","",IFERROR(VLOOKUP($BV471,DECODE!$A$3:$C$8,2,FALSE),"?"))</f>
        <v/>
      </c>
      <c r="CD471">
        <f>IF($S471="","",UPPER(TRIM(LEFT($S471&amp;",",FIND(",",$S471&amp;",")-1))))</f>
        <v/>
      </c>
      <c r="CE471">
        <f>IF($CD471="","",MID($CD471,4,FIND("~",SUBSTITUTE($CD471,"-","~",2))-4))</f>
        <v/>
      </c>
      <c r="CF471">
        <f>IF($CD471="","",MID($CD471,FIND("~",SUBSTITUTE($CD471,"-","~",2))+1,FIND("~",SUBSTITUTE($CD471,"-","~",3))-FIND("~",SUBSTITUTE($CD471,"-","~",2))-1))</f>
        <v/>
      </c>
      <c r="CG471">
        <f>IF($CE471="","",IFERROR(VLOOKUP($CE471,DECODE!$A$3:$C$8,3,FALSE),"?"))</f>
        <v/>
      </c>
      <c r="CH471">
        <f>IF($CF471="","",IFERROR(VLOOKUP($CE471&amp;"-"&amp;$CF471,DECODE!$E$3:$F$21,2,FALSE),"?"))</f>
        <v/>
      </c>
      <c r="CI471">
        <f>IF($CD471="","",IFERROR(VALUE(RIGHT($CD471,3)),""))</f>
        <v/>
      </c>
      <c r="CJ471">
        <f>IF($Y471="","",IFERROR(IF(ISNUMBER($Y471),$Y471,DATEVALUE(TRIM($Y471))),""))</f>
        <v/>
      </c>
      <c r="CK471">
        <f>IF($CJ471="","",IF(MONTH($CJ471)&gt;=12,"Cold Winter",IF(MONTH($CJ471)&gt;=10,"Post-Monsoon",IF(MONTH($CJ471)&gt;=6,"Hot Humid",IF(MONTH($CJ471)&gt;=3,"Hot Dry","Cold Winter")))))</f>
        <v/>
      </c>
      <c r="CL471">
        <f>IF($CE471="","",IFERROR(VLOOKUP($CE471,DECODE!$A$3:$C$8,2,FALSE),"?"))</f>
        <v/>
      </c>
      <c r="CM471">
        <f>IF($AN471="","",AN471)</f>
        <v/>
      </c>
      <c r="CN471">
        <f>IF($AO471="","",AO471)</f>
        <v/>
      </c>
      <c r="CO471">
        <f>IF($AP471="","",AP471)</f>
        <v/>
      </c>
      <c r="CP471">
        <f>IF($CM471="","",IF($CM471="Aloe Vera Gel","Aloe Vera Gel "&amp;$CO471&amp;"g",CN471&amp;" "&amp;$CO471&amp;"g"))</f>
        <v/>
      </c>
      <c r="CQ471">
        <f>IF($AT471="",0,1)</f>
        <v/>
      </c>
      <c r="CR471">
        <f>IF($CQ471=0,"",AW471)</f>
        <v/>
      </c>
      <c r="CS471">
        <f>IF($CQ471=0,"",AX471)</f>
        <v/>
      </c>
      <c r="CT471">
        <f>IF($CQ471=0,"",AY471)</f>
        <v/>
      </c>
      <c r="CU471">
        <f>IF($CR471="","",IF($CR471="Aloe Vera Gel","Aloe Vera Gel "&amp;$CT471&amp;"g",CS471&amp;" "&amp;$CT471&amp;"g"))</f>
        <v/>
      </c>
      <c r="CV471">
        <f>IF($CQ471=0,"",IF($CP471=$CU471,"Repeat Exact",IF($CT471&gt;$CO471,"Upsized",IF($CT471&lt;$CO471,"Downsized",IF($CM471&lt;&gt;$CR471,"Lateral","Same Size Diff Variant")))))</f>
        <v/>
      </c>
      <c r="CW471">
        <f>IF($CQ471=0,"",AZ471-AQ471)</f>
        <v/>
      </c>
      <c r="CX471">
        <f>IF($CQ471=0,0,IF(CS471=CN471,1,0))</f>
        <v/>
      </c>
      <c r="CY471">
        <f>IF($CQ471=0,0,IF(CR471=CM471,1,0))</f>
        <v/>
      </c>
      <c r="CZ471">
        <f>IF($A471="","",IF(AND(IF(DASHBOARD!$C$4="All",TRUE,$CM471=DASHBOARD!$C$4),IF(DASHBOARD!$C$6="All",TRUE,$CP471=DASHBOARD!$C$6),IF(DASHBOARD!$C$8="All",TRUE,$AF471&gt;=DASHBOARD!$C$8),IF(DASHBOARD!$C$10="All",TRUE,$AF471&lt;=DASHBOARD!$C$10),IF(DASHBOARD!$C$12="All",TRUE,$AH471=VALUE(DASHBOARD!$C$12)),IF(DASHBOARD!$C$14="All",TRUE,$AJ471=DASHBOARD!$C$14)),1,0))</f>
        <v/>
      </c>
    </row>
    <row r="472">
      <c r="A472" t="n">
        <v>220697</v>
      </c>
      <c r="B472" t="inlineStr">
        <is>
          <t>Aloe Vera Gel</t>
        </is>
      </c>
      <c r="H472" t="inlineStr">
        <is>
          <t>Aloe Vera Gel - 40 gms</t>
        </is>
      </c>
      <c r="N472" t="inlineStr">
        <is>
          <t>FC-HG-PA-040</t>
        </is>
      </c>
      <c r="T472" t="inlineStr">
        <is>
          <t>Jun 11, 2025</t>
        </is>
      </c>
      <c r="AE472" t="inlineStr">
        <is>
          <t>Shivamogga</t>
        </is>
      </c>
      <c r="AF472" t="inlineStr">
        <is>
          <t>2025-06</t>
        </is>
      </c>
      <c r="AG472" t="n">
        <v>6</v>
      </c>
      <c r="AH472" t="n">
        <v>1</v>
      </c>
      <c r="AI472" t="n">
        <v>0</v>
      </c>
      <c r="AJ472">
        <f>IF($AE472="","",IFERROR(VLOOKUP(TRIM($AE472),DECODE!$H$3:$I$60,2,FALSE),"Rest of India"))</f>
        <v/>
      </c>
      <c r="AK472">
        <f>IF($N472="","",UPPER(TRIM(LEFT($N472&amp;",",FIND(",",$N472&amp;",")-1))))</f>
        <v/>
      </c>
      <c r="AL472">
        <f>IF($AK472="","",MID($AK472,4,FIND("~",SUBSTITUTE($AK472,"-","~",2))-4))</f>
        <v/>
      </c>
      <c r="AM472">
        <f>IF($AK472="","",MID($AK472,FIND("~",SUBSTITUTE($AK472,"-","~",2))+1,FIND("~",SUBSTITUTE($AK472,"-","~",3))-FIND("~",SUBSTITUTE($AK472,"-","~",2))-1))</f>
        <v/>
      </c>
      <c r="AN472">
        <f>IF($AL472="","",IFERROR(VLOOKUP($AL472,DECODE!$A$3:$C$8,3,FALSE),"?"))</f>
        <v/>
      </c>
      <c r="AO472">
        <f>IF($AM472="","",IFERROR(VLOOKUP($AL472&amp;"-"&amp;$AM472,DECODE!$E$3:$F$21,2,FALSE),"?"))</f>
        <v/>
      </c>
      <c r="AP472">
        <f>IF($AK472="","",IFERROR(VALUE(RIGHT($AK472,3)),""))</f>
        <v/>
      </c>
      <c r="AQ472">
        <f>IF($T472="","",IFERROR(IF(ISNUMBER($T472),$T472,DATEVALUE(TRIM($T472))),""))</f>
        <v/>
      </c>
      <c r="AR472">
        <f>IF($AQ472="","",IF(MONTH($AQ472)&gt;=12,"Cold Winter",IF(MONTH($AQ472)&gt;=10,"Post-Monsoon",IF(MONTH($AQ472)&gt;=6,"Hot Humid",IF(MONTH($AQ472)&gt;=3,"Hot Dry","Cold Winter")))))</f>
        <v/>
      </c>
      <c r="AS472">
        <f>IF($AL472="","",IFERROR(VLOOKUP($AL472,DECODE!$A$3:$C$8,2,FALSE),"?"))</f>
        <v/>
      </c>
      <c r="AT472">
        <f>IF($O472="","",UPPER(TRIM(LEFT($O472&amp;",",FIND(",",$O472&amp;",")-1))))</f>
        <v/>
      </c>
      <c r="AU472">
        <f>IF($AT472="","",MID($AT472,4,FIND("~",SUBSTITUTE($AT472,"-","~",2))-4))</f>
        <v/>
      </c>
      <c r="AV472">
        <f>IF($AT472="","",MID($AT472,FIND("~",SUBSTITUTE($AT472,"-","~",2))+1,FIND("~",SUBSTITUTE($AT472,"-","~",3))-FIND("~",SUBSTITUTE($AT472,"-","~",2))-1))</f>
        <v/>
      </c>
      <c r="AW472">
        <f>IF($AU472="","",IFERROR(VLOOKUP($AU472,DECODE!$A$3:$C$8,3,FALSE),"?"))</f>
        <v/>
      </c>
      <c r="AX472">
        <f>IF($AV472="","",IFERROR(VLOOKUP($AU472&amp;"-"&amp;$AV472,DECODE!$E$3:$F$21,2,FALSE),"?"))</f>
        <v/>
      </c>
      <c r="AY472">
        <f>IF($AT472="","",IFERROR(VALUE(RIGHT($AT472,3)),""))</f>
        <v/>
      </c>
      <c r="AZ472">
        <f>IF($U472="","",IFERROR(IF(ISNUMBER($U472),$U472,DATEVALUE(TRIM($U472))),""))</f>
        <v/>
      </c>
      <c r="BA472">
        <f>IF($AZ472="","",IF(MONTH($AZ472)&gt;=12,"Cold Winter",IF(MONTH($AZ472)&gt;=10,"Post-Monsoon",IF(MONTH($AZ472)&gt;=6,"Hot Humid",IF(MONTH($AZ472)&gt;=3,"Hot Dry","Cold Winter")))))</f>
        <v/>
      </c>
      <c r="BB472">
        <f>IF($AU472="","",IFERROR(VLOOKUP($AU472,DECODE!$A$3:$C$8,2,FALSE),"?"))</f>
        <v/>
      </c>
      <c r="BC472">
        <f>IF($P472="","",UPPER(TRIM(LEFT($P472&amp;",",FIND(",",$P472&amp;",")-1))))</f>
        <v/>
      </c>
      <c r="BD472">
        <f>IF($BC472="","",MID($BC472,4,FIND("~",SUBSTITUTE($BC472,"-","~",2))-4))</f>
        <v/>
      </c>
      <c r="BE472">
        <f>IF($BC472="","",MID($BC472,FIND("~",SUBSTITUTE($BC472,"-","~",2))+1,FIND("~",SUBSTITUTE($BC472,"-","~",3))-FIND("~",SUBSTITUTE($BC472,"-","~",2))-1))</f>
        <v/>
      </c>
      <c r="BF472">
        <f>IF($BD472="","",IFERROR(VLOOKUP($BD472,DECODE!$A$3:$C$8,3,FALSE),"?"))</f>
        <v/>
      </c>
      <c r="BG472">
        <f>IF($BE472="","",IFERROR(VLOOKUP($BD472&amp;"-"&amp;$BE472,DECODE!$E$3:$F$21,2,FALSE),"?"))</f>
        <v/>
      </c>
      <c r="BH472">
        <f>IF($BC472="","",IFERROR(VALUE(RIGHT($BC472,3)),""))</f>
        <v/>
      </c>
      <c r="BI472">
        <f>IF($V472="","",IFERROR(IF(ISNUMBER($V472),$V472,DATEVALUE(TRIM($V472))),""))</f>
        <v/>
      </c>
      <c r="BJ472">
        <f>IF($BI472="","",IF(MONTH($BI472)&gt;=12,"Cold Winter",IF(MONTH($BI472)&gt;=10,"Post-Monsoon",IF(MONTH($BI472)&gt;=6,"Hot Humid",IF(MONTH($BI472)&gt;=3,"Hot Dry","Cold Winter")))))</f>
        <v/>
      </c>
      <c r="BK472">
        <f>IF($BD472="","",IFERROR(VLOOKUP($BD472,DECODE!$A$3:$C$8,2,FALSE),"?"))</f>
        <v/>
      </c>
      <c r="BL472">
        <f>IF($Q472="","",UPPER(TRIM(LEFT($Q472&amp;",",FIND(",",$Q472&amp;",")-1))))</f>
        <v/>
      </c>
      <c r="BM472">
        <f>IF($BL472="","",MID($BL472,4,FIND("~",SUBSTITUTE($BL472,"-","~",2))-4))</f>
        <v/>
      </c>
      <c r="BN472">
        <f>IF($BL472="","",MID($BL472,FIND("~",SUBSTITUTE($BL472,"-","~",2))+1,FIND("~",SUBSTITUTE($BL472,"-","~",3))-FIND("~",SUBSTITUTE($BL472,"-","~",2))-1))</f>
        <v/>
      </c>
      <c r="BO472">
        <f>IF($BM472="","",IFERROR(VLOOKUP($BM472,DECODE!$A$3:$C$8,3,FALSE),"?"))</f>
        <v/>
      </c>
      <c r="BP472">
        <f>IF($BN472="","",IFERROR(VLOOKUP($BM472&amp;"-"&amp;$BN472,DECODE!$E$3:$F$21,2,FALSE),"?"))</f>
        <v/>
      </c>
      <c r="BQ472">
        <f>IF($BL472="","",IFERROR(VALUE(RIGHT($BL472,3)),""))</f>
        <v/>
      </c>
      <c r="BR472">
        <f>IF($W472="","",IFERROR(IF(ISNUMBER($W472),$W472,DATEVALUE(TRIM($W472))),""))</f>
        <v/>
      </c>
      <c r="BS472">
        <f>IF($BR472="","",IF(MONTH($BR472)&gt;=12,"Cold Winter",IF(MONTH($BR472)&gt;=10,"Post-Monsoon",IF(MONTH($BR472)&gt;=6,"Hot Humid",IF(MONTH($BR472)&gt;=3,"Hot Dry","Cold Winter")))))</f>
        <v/>
      </c>
      <c r="BT472">
        <f>IF($BM472="","",IFERROR(VLOOKUP($BM472,DECODE!$A$3:$C$8,2,FALSE),"?"))</f>
        <v/>
      </c>
      <c r="BU472">
        <f>IF($R472="","",UPPER(TRIM(LEFT($R472&amp;",",FIND(",",$R472&amp;",")-1))))</f>
        <v/>
      </c>
      <c r="BV472">
        <f>IF($BU472="","",MID($BU472,4,FIND("~",SUBSTITUTE($BU472,"-","~",2))-4))</f>
        <v/>
      </c>
      <c r="BW472">
        <f>IF($BU472="","",MID($BU472,FIND("~",SUBSTITUTE($BU472,"-","~",2))+1,FIND("~",SUBSTITUTE($BU472,"-","~",3))-FIND("~",SUBSTITUTE($BU472,"-","~",2))-1))</f>
        <v/>
      </c>
      <c r="BX472">
        <f>IF($BV472="","",IFERROR(VLOOKUP($BV472,DECODE!$A$3:$C$8,3,FALSE),"?"))</f>
        <v/>
      </c>
      <c r="BY472">
        <f>IF($BW472="","",IFERROR(VLOOKUP($BV472&amp;"-"&amp;$BW472,DECODE!$E$3:$F$21,2,FALSE),"?"))</f>
        <v/>
      </c>
      <c r="BZ472">
        <f>IF($BU472="","",IFERROR(VALUE(RIGHT($BU472,3)),""))</f>
        <v/>
      </c>
      <c r="CA472">
        <f>IF($X472="","",IFERROR(IF(ISNUMBER($X472),$X472,DATEVALUE(TRIM($X472))),""))</f>
        <v/>
      </c>
      <c r="CB472">
        <f>IF($CA472="","",IF(MONTH($CA472)&gt;=12,"Cold Winter",IF(MONTH($CA472)&gt;=10,"Post-Monsoon",IF(MONTH($CA472)&gt;=6,"Hot Humid",IF(MONTH($CA472)&gt;=3,"Hot Dry","Cold Winter")))))</f>
        <v/>
      </c>
      <c r="CC472">
        <f>IF($BV472="","",IFERROR(VLOOKUP($BV472,DECODE!$A$3:$C$8,2,FALSE),"?"))</f>
        <v/>
      </c>
      <c r="CD472">
        <f>IF($S472="","",UPPER(TRIM(LEFT($S472&amp;",",FIND(",",$S472&amp;",")-1))))</f>
        <v/>
      </c>
      <c r="CE472">
        <f>IF($CD472="","",MID($CD472,4,FIND("~",SUBSTITUTE($CD472,"-","~",2))-4))</f>
        <v/>
      </c>
      <c r="CF472">
        <f>IF($CD472="","",MID($CD472,FIND("~",SUBSTITUTE($CD472,"-","~",2))+1,FIND("~",SUBSTITUTE($CD472,"-","~",3))-FIND("~",SUBSTITUTE($CD472,"-","~",2))-1))</f>
        <v/>
      </c>
      <c r="CG472">
        <f>IF($CE472="","",IFERROR(VLOOKUP($CE472,DECODE!$A$3:$C$8,3,FALSE),"?"))</f>
        <v/>
      </c>
      <c r="CH472">
        <f>IF($CF472="","",IFERROR(VLOOKUP($CE472&amp;"-"&amp;$CF472,DECODE!$E$3:$F$21,2,FALSE),"?"))</f>
        <v/>
      </c>
      <c r="CI472">
        <f>IF($CD472="","",IFERROR(VALUE(RIGHT($CD472,3)),""))</f>
        <v/>
      </c>
      <c r="CJ472">
        <f>IF($Y472="","",IFERROR(IF(ISNUMBER($Y472),$Y472,DATEVALUE(TRIM($Y472))),""))</f>
        <v/>
      </c>
      <c r="CK472">
        <f>IF($CJ472="","",IF(MONTH($CJ472)&gt;=12,"Cold Winter",IF(MONTH($CJ472)&gt;=10,"Post-Monsoon",IF(MONTH($CJ472)&gt;=6,"Hot Humid",IF(MONTH($CJ472)&gt;=3,"Hot Dry","Cold Winter")))))</f>
        <v/>
      </c>
      <c r="CL472">
        <f>IF($CE472="","",IFERROR(VLOOKUP($CE472,DECODE!$A$3:$C$8,2,FALSE),"?"))</f>
        <v/>
      </c>
      <c r="CM472">
        <f>IF($AN472="","",AN472)</f>
        <v/>
      </c>
      <c r="CN472">
        <f>IF($AO472="","",AO472)</f>
        <v/>
      </c>
      <c r="CO472">
        <f>IF($AP472="","",AP472)</f>
        <v/>
      </c>
      <c r="CP472">
        <f>IF($CM472="","",IF($CM472="Aloe Vera Gel","Aloe Vera Gel "&amp;$CO472&amp;"g",CN472&amp;" "&amp;$CO472&amp;"g"))</f>
        <v/>
      </c>
      <c r="CQ472">
        <f>IF($AT472="",0,1)</f>
        <v/>
      </c>
      <c r="CR472">
        <f>IF($CQ472=0,"",AW472)</f>
        <v/>
      </c>
      <c r="CS472">
        <f>IF($CQ472=0,"",AX472)</f>
        <v/>
      </c>
      <c r="CT472">
        <f>IF($CQ472=0,"",AY472)</f>
        <v/>
      </c>
      <c r="CU472">
        <f>IF($CR472="","",IF($CR472="Aloe Vera Gel","Aloe Vera Gel "&amp;$CT472&amp;"g",CS472&amp;" "&amp;$CT472&amp;"g"))</f>
        <v/>
      </c>
      <c r="CV472">
        <f>IF($CQ472=0,"",IF($CP472=$CU472,"Repeat Exact",IF($CT472&gt;$CO472,"Upsized",IF($CT472&lt;$CO472,"Downsized",IF($CM472&lt;&gt;$CR472,"Lateral","Same Size Diff Variant")))))</f>
        <v/>
      </c>
      <c r="CW472">
        <f>IF($CQ472=0,"",AZ472-AQ472)</f>
        <v/>
      </c>
      <c r="CX472">
        <f>IF($CQ472=0,0,IF(CS472=CN472,1,0))</f>
        <v/>
      </c>
      <c r="CY472">
        <f>IF($CQ472=0,0,IF(CR472=CM472,1,0))</f>
        <v/>
      </c>
      <c r="CZ472">
        <f>IF($A472="","",IF(AND(IF(DASHBOARD!$C$4="All",TRUE,$CM472=DASHBOARD!$C$4),IF(DASHBOARD!$C$6="All",TRUE,$CP472=DASHBOARD!$C$6),IF(DASHBOARD!$C$8="All",TRUE,$AF472&gt;=DASHBOARD!$C$8),IF(DASHBOARD!$C$10="All",TRUE,$AF472&lt;=DASHBOARD!$C$10),IF(DASHBOARD!$C$12="All",TRUE,$AH472=VALUE(DASHBOARD!$C$12)),IF(DASHBOARD!$C$14="All",TRUE,$AJ472=DASHBOARD!$C$14)),1,0))</f>
        <v/>
      </c>
    </row>
    <row r="473">
      <c r="A473" t="n">
        <v>220813</v>
      </c>
      <c r="B473" t="inlineStr">
        <is>
          <t>Aloe Vera Gel</t>
        </is>
      </c>
      <c r="H473" t="inlineStr">
        <is>
          <t>Aloe Vera Gel - 40 gms</t>
        </is>
      </c>
      <c r="N473" t="inlineStr">
        <is>
          <t>FC-HG-PA-040</t>
        </is>
      </c>
      <c r="T473" t="inlineStr">
        <is>
          <t>Jul 23, 2024</t>
        </is>
      </c>
      <c r="AE473" t="inlineStr">
        <is>
          <t>Secunderabad</t>
        </is>
      </c>
      <c r="AF473" t="inlineStr">
        <is>
          <t>2024-07</t>
        </is>
      </c>
      <c r="AG473" t="n">
        <v>7</v>
      </c>
      <c r="AH473" t="n">
        <v>1</v>
      </c>
      <c r="AI473" t="n">
        <v>0</v>
      </c>
      <c r="AJ473">
        <f>IF($AE473="","",IFERROR(VLOOKUP(TRIM($AE473),DECODE!$H$3:$I$60,2,FALSE),"Rest of India"))</f>
        <v/>
      </c>
      <c r="AK473">
        <f>IF($N473="","",UPPER(TRIM(LEFT($N473&amp;",",FIND(",",$N473&amp;",")-1))))</f>
        <v/>
      </c>
      <c r="AL473">
        <f>IF($AK473="","",MID($AK473,4,FIND("~",SUBSTITUTE($AK473,"-","~",2))-4))</f>
        <v/>
      </c>
      <c r="AM473">
        <f>IF($AK473="","",MID($AK473,FIND("~",SUBSTITUTE($AK473,"-","~",2))+1,FIND("~",SUBSTITUTE($AK473,"-","~",3))-FIND("~",SUBSTITUTE($AK473,"-","~",2))-1))</f>
        <v/>
      </c>
      <c r="AN473">
        <f>IF($AL473="","",IFERROR(VLOOKUP($AL473,DECODE!$A$3:$C$8,3,FALSE),"?"))</f>
        <v/>
      </c>
      <c r="AO473">
        <f>IF($AM473="","",IFERROR(VLOOKUP($AL473&amp;"-"&amp;$AM473,DECODE!$E$3:$F$21,2,FALSE),"?"))</f>
        <v/>
      </c>
      <c r="AP473">
        <f>IF($AK473="","",IFERROR(VALUE(RIGHT($AK473,3)),""))</f>
        <v/>
      </c>
      <c r="AQ473">
        <f>IF($T473="","",IFERROR(IF(ISNUMBER($T473),$T473,DATEVALUE(TRIM($T473))),""))</f>
        <v/>
      </c>
      <c r="AR473">
        <f>IF($AQ473="","",IF(MONTH($AQ473)&gt;=12,"Cold Winter",IF(MONTH($AQ473)&gt;=10,"Post-Monsoon",IF(MONTH($AQ473)&gt;=6,"Hot Humid",IF(MONTH($AQ473)&gt;=3,"Hot Dry","Cold Winter")))))</f>
        <v/>
      </c>
      <c r="AS473">
        <f>IF($AL473="","",IFERROR(VLOOKUP($AL473,DECODE!$A$3:$C$8,2,FALSE),"?"))</f>
        <v/>
      </c>
      <c r="AT473">
        <f>IF($O473="","",UPPER(TRIM(LEFT($O473&amp;",",FIND(",",$O473&amp;",")-1))))</f>
        <v/>
      </c>
      <c r="AU473">
        <f>IF($AT473="","",MID($AT473,4,FIND("~",SUBSTITUTE($AT473,"-","~",2))-4))</f>
        <v/>
      </c>
      <c r="AV473">
        <f>IF($AT473="","",MID($AT473,FIND("~",SUBSTITUTE($AT473,"-","~",2))+1,FIND("~",SUBSTITUTE($AT473,"-","~",3))-FIND("~",SUBSTITUTE($AT473,"-","~",2))-1))</f>
        <v/>
      </c>
      <c r="AW473">
        <f>IF($AU473="","",IFERROR(VLOOKUP($AU473,DECODE!$A$3:$C$8,3,FALSE),"?"))</f>
        <v/>
      </c>
      <c r="AX473">
        <f>IF($AV473="","",IFERROR(VLOOKUP($AU473&amp;"-"&amp;$AV473,DECODE!$E$3:$F$21,2,FALSE),"?"))</f>
        <v/>
      </c>
      <c r="AY473">
        <f>IF($AT473="","",IFERROR(VALUE(RIGHT($AT473,3)),""))</f>
        <v/>
      </c>
      <c r="AZ473">
        <f>IF($U473="","",IFERROR(IF(ISNUMBER($U473),$U473,DATEVALUE(TRIM($U473))),""))</f>
        <v/>
      </c>
      <c r="BA473">
        <f>IF($AZ473="","",IF(MONTH($AZ473)&gt;=12,"Cold Winter",IF(MONTH($AZ473)&gt;=10,"Post-Monsoon",IF(MONTH($AZ473)&gt;=6,"Hot Humid",IF(MONTH($AZ473)&gt;=3,"Hot Dry","Cold Winter")))))</f>
        <v/>
      </c>
      <c r="BB473">
        <f>IF($AU473="","",IFERROR(VLOOKUP($AU473,DECODE!$A$3:$C$8,2,FALSE),"?"))</f>
        <v/>
      </c>
      <c r="BC473">
        <f>IF($P473="","",UPPER(TRIM(LEFT($P473&amp;",",FIND(",",$P473&amp;",")-1))))</f>
        <v/>
      </c>
      <c r="BD473">
        <f>IF($BC473="","",MID($BC473,4,FIND("~",SUBSTITUTE($BC473,"-","~",2))-4))</f>
        <v/>
      </c>
      <c r="BE473">
        <f>IF($BC473="","",MID($BC473,FIND("~",SUBSTITUTE($BC473,"-","~",2))+1,FIND("~",SUBSTITUTE($BC473,"-","~",3))-FIND("~",SUBSTITUTE($BC473,"-","~",2))-1))</f>
        <v/>
      </c>
      <c r="BF473">
        <f>IF($BD473="","",IFERROR(VLOOKUP($BD473,DECODE!$A$3:$C$8,3,FALSE),"?"))</f>
        <v/>
      </c>
      <c r="BG473">
        <f>IF($BE473="","",IFERROR(VLOOKUP($BD473&amp;"-"&amp;$BE473,DECODE!$E$3:$F$21,2,FALSE),"?"))</f>
        <v/>
      </c>
      <c r="BH473">
        <f>IF($BC473="","",IFERROR(VALUE(RIGHT($BC473,3)),""))</f>
        <v/>
      </c>
      <c r="BI473">
        <f>IF($V473="","",IFERROR(IF(ISNUMBER($V473),$V473,DATEVALUE(TRIM($V473))),""))</f>
        <v/>
      </c>
      <c r="BJ473">
        <f>IF($BI473="","",IF(MONTH($BI473)&gt;=12,"Cold Winter",IF(MONTH($BI473)&gt;=10,"Post-Monsoon",IF(MONTH($BI473)&gt;=6,"Hot Humid",IF(MONTH($BI473)&gt;=3,"Hot Dry","Cold Winter")))))</f>
        <v/>
      </c>
      <c r="BK473">
        <f>IF($BD473="","",IFERROR(VLOOKUP($BD473,DECODE!$A$3:$C$8,2,FALSE),"?"))</f>
        <v/>
      </c>
      <c r="BL473">
        <f>IF($Q473="","",UPPER(TRIM(LEFT($Q473&amp;",",FIND(",",$Q473&amp;",")-1))))</f>
        <v/>
      </c>
      <c r="BM473">
        <f>IF($BL473="","",MID($BL473,4,FIND("~",SUBSTITUTE($BL473,"-","~",2))-4))</f>
        <v/>
      </c>
      <c r="BN473">
        <f>IF($BL473="","",MID($BL473,FIND("~",SUBSTITUTE($BL473,"-","~",2))+1,FIND("~",SUBSTITUTE($BL473,"-","~",3))-FIND("~",SUBSTITUTE($BL473,"-","~",2))-1))</f>
        <v/>
      </c>
      <c r="BO473">
        <f>IF($BM473="","",IFERROR(VLOOKUP($BM473,DECODE!$A$3:$C$8,3,FALSE),"?"))</f>
        <v/>
      </c>
      <c r="BP473">
        <f>IF($BN473="","",IFERROR(VLOOKUP($BM473&amp;"-"&amp;$BN473,DECODE!$E$3:$F$21,2,FALSE),"?"))</f>
        <v/>
      </c>
      <c r="BQ473">
        <f>IF($BL473="","",IFERROR(VALUE(RIGHT($BL473,3)),""))</f>
        <v/>
      </c>
      <c r="BR473">
        <f>IF($W473="","",IFERROR(IF(ISNUMBER($W473),$W473,DATEVALUE(TRIM($W473))),""))</f>
        <v/>
      </c>
      <c r="BS473">
        <f>IF($BR473="","",IF(MONTH($BR473)&gt;=12,"Cold Winter",IF(MONTH($BR473)&gt;=10,"Post-Monsoon",IF(MONTH($BR473)&gt;=6,"Hot Humid",IF(MONTH($BR473)&gt;=3,"Hot Dry","Cold Winter")))))</f>
        <v/>
      </c>
      <c r="BT473">
        <f>IF($BM473="","",IFERROR(VLOOKUP($BM473,DECODE!$A$3:$C$8,2,FALSE),"?"))</f>
        <v/>
      </c>
      <c r="BU473">
        <f>IF($R473="","",UPPER(TRIM(LEFT($R473&amp;",",FIND(",",$R473&amp;",")-1))))</f>
        <v/>
      </c>
      <c r="BV473">
        <f>IF($BU473="","",MID($BU473,4,FIND("~",SUBSTITUTE($BU473,"-","~",2))-4))</f>
        <v/>
      </c>
      <c r="BW473">
        <f>IF($BU473="","",MID($BU473,FIND("~",SUBSTITUTE($BU473,"-","~",2))+1,FIND("~",SUBSTITUTE($BU473,"-","~",3))-FIND("~",SUBSTITUTE($BU473,"-","~",2))-1))</f>
        <v/>
      </c>
      <c r="BX473">
        <f>IF($BV473="","",IFERROR(VLOOKUP($BV473,DECODE!$A$3:$C$8,3,FALSE),"?"))</f>
        <v/>
      </c>
      <c r="BY473">
        <f>IF($BW473="","",IFERROR(VLOOKUP($BV473&amp;"-"&amp;$BW473,DECODE!$E$3:$F$21,2,FALSE),"?"))</f>
        <v/>
      </c>
      <c r="BZ473">
        <f>IF($BU473="","",IFERROR(VALUE(RIGHT($BU473,3)),""))</f>
        <v/>
      </c>
      <c r="CA473">
        <f>IF($X473="","",IFERROR(IF(ISNUMBER($X473),$X473,DATEVALUE(TRIM($X473))),""))</f>
        <v/>
      </c>
      <c r="CB473">
        <f>IF($CA473="","",IF(MONTH($CA473)&gt;=12,"Cold Winter",IF(MONTH($CA473)&gt;=10,"Post-Monsoon",IF(MONTH($CA473)&gt;=6,"Hot Humid",IF(MONTH($CA473)&gt;=3,"Hot Dry","Cold Winter")))))</f>
        <v/>
      </c>
      <c r="CC473">
        <f>IF($BV473="","",IFERROR(VLOOKUP($BV473,DECODE!$A$3:$C$8,2,FALSE),"?"))</f>
        <v/>
      </c>
      <c r="CD473">
        <f>IF($S473="","",UPPER(TRIM(LEFT($S473&amp;",",FIND(",",$S473&amp;",")-1))))</f>
        <v/>
      </c>
      <c r="CE473">
        <f>IF($CD473="","",MID($CD473,4,FIND("~",SUBSTITUTE($CD473,"-","~",2))-4))</f>
        <v/>
      </c>
      <c r="CF473">
        <f>IF($CD473="","",MID($CD473,FIND("~",SUBSTITUTE($CD473,"-","~",2))+1,FIND("~",SUBSTITUTE($CD473,"-","~",3))-FIND("~",SUBSTITUTE($CD473,"-","~",2))-1))</f>
        <v/>
      </c>
      <c r="CG473">
        <f>IF($CE473="","",IFERROR(VLOOKUP($CE473,DECODE!$A$3:$C$8,3,FALSE),"?"))</f>
        <v/>
      </c>
      <c r="CH473">
        <f>IF($CF473="","",IFERROR(VLOOKUP($CE473&amp;"-"&amp;$CF473,DECODE!$E$3:$F$21,2,FALSE),"?"))</f>
        <v/>
      </c>
      <c r="CI473">
        <f>IF($CD473="","",IFERROR(VALUE(RIGHT($CD473,3)),""))</f>
        <v/>
      </c>
      <c r="CJ473">
        <f>IF($Y473="","",IFERROR(IF(ISNUMBER($Y473),$Y473,DATEVALUE(TRIM($Y473))),""))</f>
        <v/>
      </c>
      <c r="CK473">
        <f>IF($CJ473="","",IF(MONTH($CJ473)&gt;=12,"Cold Winter",IF(MONTH($CJ473)&gt;=10,"Post-Monsoon",IF(MONTH($CJ473)&gt;=6,"Hot Humid",IF(MONTH($CJ473)&gt;=3,"Hot Dry","Cold Winter")))))</f>
        <v/>
      </c>
      <c r="CL473">
        <f>IF($CE473="","",IFERROR(VLOOKUP($CE473,DECODE!$A$3:$C$8,2,FALSE),"?"))</f>
        <v/>
      </c>
      <c r="CM473">
        <f>IF($AN473="","",AN473)</f>
        <v/>
      </c>
      <c r="CN473">
        <f>IF($AO473="","",AO473)</f>
        <v/>
      </c>
      <c r="CO473">
        <f>IF($AP473="","",AP473)</f>
        <v/>
      </c>
      <c r="CP473">
        <f>IF($CM473="","",IF($CM473="Aloe Vera Gel","Aloe Vera Gel "&amp;$CO473&amp;"g",CN473&amp;" "&amp;$CO473&amp;"g"))</f>
        <v/>
      </c>
      <c r="CQ473">
        <f>IF($AT473="",0,1)</f>
        <v/>
      </c>
      <c r="CR473">
        <f>IF($CQ473=0,"",AW473)</f>
        <v/>
      </c>
      <c r="CS473">
        <f>IF($CQ473=0,"",AX473)</f>
        <v/>
      </c>
      <c r="CT473">
        <f>IF($CQ473=0,"",AY473)</f>
        <v/>
      </c>
      <c r="CU473">
        <f>IF($CR473="","",IF($CR473="Aloe Vera Gel","Aloe Vera Gel "&amp;$CT473&amp;"g",CS473&amp;" "&amp;$CT473&amp;"g"))</f>
        <v/>
      </c>
      <c r="CV473">
        <f>IF($CQ473=0,"",IF($CP473=$CU473,"Repeat Exact",IF($CT473&gt;$CO473,"Upsized",IF($CT473&lt;$CO473,"Downsized",IF($CM473&lt;&gt;$CR473,"Lateral","Same Size Diff Variant")))))</f>
        <v/>
      </c>
      <c r="CW473">
        <f>IF($CQ473=0,"",AZ473-AQ473)</f>
        <v/>
      </c>
      <c r="CX473">
        <f>IF($CQ473=0,0,IF(CS473=CN473,1,0))</f>
        <v/>
      </c>
      <c r="CY473">
        <f>IF($CQ473=0,0,IF(CR473=CM473,1,0))</f>
        <v/>
      </c>
      <c r="CZ473">
        <f>IF($A473="","",IF(AND(IF(DASHBOARD!$C$4="All",TRUE,$CM473=DASHBOARD!$C$4),IF(DASHBOARD!$C$6="All",TRUE,$CP473=DASHBOARD!$C$6),IF(DASHBOARD!$C$8="All",TRUE,$AF473&gt;=DASHBOARD!$C$8),IF(DASHBOARD!$C$10="All",TRUE,$AF473&lt;=DASHBOARD!$C$10),IF(DASHBOARD!$C$12="All",TRUE,$AH473=VALUE(DASHBOARD!$C$12)),IF(DASHBOARD!$C$14="All",TRUE,$AJ473=DASHBOARD!$C$14)),1,0))</f>
        <v/>
      </c>
    </row>
    <row r="474">
      <c r="A474" t="n">
        <v>221011</v>
      </c>
      <c r="B474" t="inlineStr">
        <is>
          <t>Active Gel</t>
        </is>
      </c>
      <c r="H474" t="inlineStr">
        <is>
          <t>Active Orange Kiwi Vit-C Gel</t>
        </is>
      </c>
      <c r="N474" t="inlineStr">
        <is>
          <t>FC-AC-OK-050</t>
        </is>
      </c>
      <c r="T474" t="inlineStr">
        <is>
          <t>Jan 21, 2025</t>
        </is>
      </c>
      <c r="AF474" t="inlineStr">
        <is>
          <t>2025-01</t>
        </is>
      </c>
      <c r="AG474" t="n">
        <v>1</v>
      </c>
      <c r="AH474" t="n">
        <v>1</v>
      </c>
      <c r="AI474" t="n">
        <v>0</v>
      </c>
      <c r="AJ474">
        <f>IF($AE474="","",IFERROR(VLOOKUP(TRIM($AE474),DECODE!$H$3:$I$60,2,FALSE),"Rest of India"))</f>
        <v/>
      </c>
      <c r="AK474">
        <f>IF($N474="","",UPPER(TRIM(LEFT($N474&amp;",",FIND(",",$N474&amp;",")-1))))</f>
        <v/>
      </c>
      <c r="AL474">
        <f>IF($AK474="","",MID($AK474,4,FIND("~",SUBSTITUTE($AK474,"-","~",2))-4))</f>
        <v/>
      </c>
      <c r="AM474">
        <f>IF($AK474="","",MID($AK474,FIND("~",SUBSTITUTE($AK474,"-","~",2))+1,FIND("~",SUBSTITUTE($AK474,"-","~",3))-FIND("~",SUBSTITUTE($AK474,"-","~",2))-1))</f>
        <v/>
      </c>
      <c r="AN474">
        <f>IF($AL474="","",IFERROR(VLOOKUP($AL474,DECODE!$A$3:$C$8,3,FALSE),"?"))</f>
        <v/>
      </c>
      <c r="AO474">
        <f>IF($AM474="","",IFERROR(VLOOKUP($AL474&amp;"-"&amp;$AM474,DECODE!$E$3:$F$21,2,FALSE),"?"))</f>
        <v/>
      </c>
      <c r="AP474">
        <f>IF($AK474="","",IFERROR(VALUE(RIGHT($AK474,3)),""))</f>
        <v/>
      </c>
      <c r="AQ474">
        <f>IF($T474="","",IFERROR(IF(ISNUMBER($T474),$T474,DATEVALUE(TRIM($T474))),""))</f>
        <v/>
      </c>
      <c r="AR474">
        <f>IF($AQ474="","",IF(MONTH($AQ474)&gt;=12,"Cold Winter",IF(MONTH($AQ474)&gt;=10,"Post-Monsoon",IF(MONTH($AQ474)&gt;=6,"Hot Humid",IF(MONTH($AQ474)&gt;=3,"Hot Dry","Cold Winter")))))</f>
        <v/>
      </c>
      <c r="AS474">
        <f>IF($AL474="","",IFERROR(VLOOKUP($AL474,DECODE!$A$3:$C$8,2,FALSE),"?"))</f>
        <v/>
      </c>
      <c r="AT474">
        <f>IF($O474="","",UPPER(TRIM(LEFT($O474&amp;",",FIND(",",$O474&amp;",")-1))))</f>
        <v/>
      </c>
      <c r="AU474">
        <f>IF($AT474="","",MID($AT474,4,FIND("~",SUBSTITUTE($AT474,"-","~",2))-4))</f>
        <v/>
      </c>
      <c r="AV474">
        <f>IF($AT474="","",MID($AT474,FIND("~",SUBSTITUTE($AT474,"-","~",2))+1,FIND("~",SUBSTITUTE($AT474,"-","~",3))-FIND("~",SUBSTITUTE($AT474,"-","~",2))-1))</f>
        <v/>
      </c>
      <c r="AW474">
        <f>IF($AU474="","",IFERROR(VLOOKUP($AU474,DECODE!$A$3:$C$8,3,FALSE),"?"))</f>
        <v/>
      </c>
      <c r="AX474">
        <f>IF($AV474="","",IFERROR(VLOOKUP($AU474&amp;"-"&amp;$AV474,DECODE!$E$3:$F$21,2,FALSE),"?"))</f>
        <v/>
      </c>
      <c r="AY474">
        <f>IF($AT474="","",IFERROR(VALUE(RIGHT($AT474,3)),""))</f>
        <v/>
      </c>
      <c r="AZ474">
        <f>IF($U474="","",IFERROR(IF(ISNUMBER($U474),$U474,DATEVALUE(TRIM($U474))),""))</f>
        <v/>
      </c>
      <c r="BA474">
        <f>IF($AZ474="","",IF(MONTH($AZ474)&gt;=12,"Cold Winter",IF(MONTH($AZ474)&gt;=10,"Post-Monsoon",IF(MONTH($AZ474)&gt;=6,"Hot Humid",IF(MONTH($AZ474)&gt;=3,"Hot Dry","Cold Winter")))))</f>
        <v/>
      </c>
      <c r="BB474">
        <f>IF($AU474="","",IFERROR(VLOOKUP($AU474,DECODE!$A$3:$C$8,2,FALSE),"?"))</f>
        <v/>
      </c>
      <c r="BC474">
        <f>IF($P474="","",UPPER(TRIM(LEFT($P474&amp;",",FIND(",",$P474&amp;",")-1))))</f>
        <v/>
      </c>
      <c r="BD474">
        <f>IF($BC474="","",MID($BC474,4,FIND("~",SUBSTITUTE($BC474,"-","~",2))-4))</f>
        <v/>
      </c>
      <c r="BE474">
        <f>IF($BC474="","",MID($BC474,FIND("~",SUBSTITUTE($BC474,"-","~",2))+1,FIND("~",SUBSTITUTE($BC474,"-","~",3))-FIND("~",SUBSTITUTE($BC474,"-","~",2))-1))</f>
        <v/>
      </c>
      <c r="BF474">
        <f>IF($BD474="","",IFERROR(VLOOKUP($BD474,DECODE!$A$3:$C$8,3,FALSE),"?"))</f>
        <v/>
      </c>
      <c r="BG474">
        <f>IF($BE474="","",IFERROR(VLOOKUP($BD474&amp;"-"&amp;$BE474,DECODE!$E$3:$F$21,2,FALSE),"?"))</f>
        <v/>
      </c>
      <c r="BH474">
        <f>IF($BC474="","",IFERROR(VALUE(RIGHT($BC474,3)),""))</f>
        <v/>
      </c>
      <c r="BI474">
        <f>IF($V474="","",IFERROR(IF(ISNUMBER($V474),$V474,DATEVALUE(TRIM($V474))),""))</f>
        <v/>
      </c>
      <c r="BJ474">
        <f>IF($BI474="","",IF(MONTH($BI474)&gt;=12,"Cold Winter",IF(MONTH($BI474)&gt;=10,"Post-Monsoon",IF(MONTH($BI474)&gt;=6,"Hot Humid",IF(MONTH($BI474)&gt;=3,"Hot Dry","Cold Winter")))))</f>
        <v/>
      </c>
      <c r="BK474">
        <f>IF($BD474="","",IFERROR(VLOOKUP($BD474,DECODE!$A$3:$C$8,2,FALSE),"?"))</f>
        <v/>
      </c>
      <c r="BL474">
        <f>IF($Q474="","",UPPER(TRIM(LEFT($Q474&amp;",",FIND(",",$Q474&amp;",")-1))))</f>
        <v/>
      </c>
      <c r="BM474">
        <f>IF($BL474="","",MID($BL474,4,FIND("~",SUBSTITUTE($BL474,"-","~",2))-4))</f>
        <v/>
      </c>
      <c r="BN474">
        <f>IF($BL474="","",MID($BL474,FIND("~",SUBSTITUTE($BL474,"-","~",2))+1,FIND("~",SUBSTITUTE($BL474,"-","~",3))-FIND("~",SUBSTITUTE($BL474,"-","~",2))-1))</f>
        <v/>
      </c>
      <c r="BO474">
        <f>IF($BM474="","",IFERROR(VLOOKUP($BM474,DECODE!$A$3:$C$8,3,FALSE),"?"))</f>
        <v/>
      </c>
      <c r="BP474">
        <f>IF($BN474="","",IFERROR(VLOOKUP($BM474&amp;"-"&amp;$BN474,DECODE!$E$3:$F$21,2,FALSE),"?"))</f>
        <v/>
      </c>
      <c r="BQ474">
        <f>IF($BL474="","",IFERROR(VALUE(RIGHT($BL474,3)),""))</f>
        <v/>
      </c>
      <c r="BR474">
        <f>IF($W474="","",IFERROR(IF(ISNUMBER($W474),$W474,DATEVALUE(TRIM($W474))),""))</f>
        <v/>
      </c>
      <c r="BS474">
        <f>IF($BR474="","",IF(MONTH($BR474)&gt;=12,"Cold Winter",IF(MONTH($BR474)&gt;=10,"Post-Monsoon",IF(MONTH($BR474)&gt;=6,"Hot Humid",IF(MONTH($BR474)&gt;=3,"Hot Dry","Cold Winter")))))</f>
        <v/>
      </c>
      <c r="BT474">
        <f>IF($BM474="","",IFERROR(VLOOKUP($BM474,DECODE!$A$3:$C$8,2,FALSE),"?"))</f>
        <v/>
      </c>
      <c r="BU474">
        <f>IF($R474="","",UPPER(TRIM(LEFT($R474&amp;",",FIND(",",$R474&amp;",")-1))))</f>
        <v/>
      </c>
      <c r="BV474">
        <f>IF($BU474="","",MID($BU474,4,FIND("~",SUBSTITUTE($BU474,"-","~",2))-4))</f>
        <v/>
      </c>
      <c r="BW474">
        <f>IF($BU474="","",MID($BU474,FIND("~",SUBSTITUTE($BU474,"-","~",2))+1,FIND("~",SUBSTITUTE($BU474,"-","~",3))-FIND("~",SUBSTITUTE($BU474,"-","~",2))-1))</f>
        <v/>
      </c>
      <c r="BX474">
        <f>IF($BV474="","",IFERROR(VLOOKUP($BV474,DECODE!$A$3:$C$8,3,FALSE),"?"))</f>
        <v/>
      </c>
      <c r="BY474">
        <f>IF($BW474="","",IFERROR(VLOOKUP($BV474&amp;"-"&amp;$BW474,DECODE!$E$3:$F$21,2,FALSE),"?"))</f>
        <v/>
      </c>
      <c r="BZ474">
        <f>IF($BU474="","",IFERROR(VALUE(RIGHT($BU474,3)),""))</f>
        <v/>
      </c>
      <c r="CA474">
        <f>IF($X474="","",IFERROR(IF(ISNUMBER($X474),$X474,DATEVALUE(TRIM($X474))),""))</f>
        <v/>
      </c>
      <c r="CB474">
        <f>IF($CA474="","",IF(MONTH($CA474)&gt;=12,"Cold Winter",IF(MONTH($CA474)&gt;=10,"Post-Monsoon",IF(MONTH($CA474)&gt;=6,"Hot Humid",IF(MONTH($CA474)&gt;=3,"Hot Dry","Cold Winter")))))</f>
        <v/>
      </c>
      <c r="CC474">
        <f>IF($BV474="","",IFERROR(VLOOKUP($BV474,DECODE!$A$3:$C$8,2,FALSE),"?"))</f>
        <v/>
      </c>
      <c r="CD474">
        <f>IF($S474="","",UPPER(TRIM(LEFT($S474&amp;",",FIND(",",$S474&amp;",")-1))))</f>
        <v/>
      </c>
      <c r="CE474">
        <f>IF($CD474="","",MID($CD474,4,FIND("~",SUBSTITUTE($CD474,"-","~",2))-4))</f>
        <v/>
      </c>
      <c r="CF474">
        <f>IF($CD474="","",MID($CD474,FIND("~",SUBSTITUTE($CD474,"-","~",2))+1,FIND("~",SUBSTITUTE($CD474,"-","~",3))-FIND("~",SUBSTITUTE($CD474,"-","~",2))-1))</f>
        <v/>
      </c>
      <c r="CG474">
        <f>IF($CE474="","",IFERROR(VLOOKUP($CE474,DECODE!$A$3:$C$8,3,FALSE),"?"))</f>
        <v/>
      </c>
      <c r="CH474">
        <f>IF($CF474="","",IFERROR(VLOOKUP($CE474&amp;"-"&amp;$CF474,DECODE!$E$3:$F$21,2,FALSE),"?"))</f>
        <v/>
      </c>
      <c r="CI474">
        <f>IF($CD474="","",IFERROR(VALUE(RIGHT($CD474,3)),""))</f>
        <v/>
      </c>
      <c r="CJ474">
        <f>IF($Y474="","",IFERROR(IF(ISNUMBER($Y474),$Y474,DATEVALUE(TRIM($Y474))),""))</f>
        <v/>
      </c>
      <c r="CK474">
        <f>IF($CJ474="","",IF(MONTH($CJ474)&gt;=12,"Cold Winter",IF(MONTH($CJ474)&gt;=10,"Post-Monsoon",IF(MONTH($CJ474)&gt;=6,"Hot Humid",IF(MONTH($CJ474)&gt;=3,"Hot Dry","Cold Winter")))))</f>
        <v/>
      </c>
      <c r="CL474">
        <f>IF($CE474="","",IFERROR(VLOOKUP($CE474,DECODE!$A$3:$C$8,2,FALSE),"?"))</f>
        <v/>
      </c>
      <c r="CM474">
        <f>IF($AN474="","",AN474)</f>
        <v/>
      </c>
      <c r="CN474">
        <f>IF($AO474="","",AO474)</f>
        <v/>
      </c>
      <c r="CO474">
        <f>IF($AP474="","",AP474)</f>
        <v/>
      </c>
      <c r="CP474">
        <f>IF($CM474="","",IF($CM474="Aloe Vera Gel","Aloe Vera Gel "&amp;$CO474&amp;"g",CN474&amp;" "&amp;$CO474&amp;"g"))</f>
        <v/>
      </c>
      <c r="CQ474">
        <f>IF($AT474="",0,1)</f>
        <v/>
      </c>
      <c r="CR474">
        <f>IF($CQ474=0,"",AW474)</f>
        <v/>
      </c>
      <c r="CS474">
        <f>IF($CQ474=0,"",AX474)</f>
        <v/>
      </c>
      <c r="CT474">
        <f>IF($CQ474=0,"",AY474)</f>
        <v/>
      </c>
      <c r="CU474">
        <f>IF($CR474="","",IF($CR474="Aloe Vera Gel","Aloe Vera Gel "&amp;$CT474&amp;"g",CS474&amp;" "&amp;$CT474&amp;"g"))</f>
        <v/>
      </c>
      <c r="CV474">
        <f>IF($CQ474=0,"",IF($CP474=$CU474,"Repeat Exact",IF($CT474&gt;$CO474,"Upsized",IF($CT474&lt;$CO474,"Downsized",IF($CM474&lt;&gt;$CR474,"Lateral","Same Size Diff Variant")))))</f>
        <v/>
      </c>
      <c r="CW474">
        <f>IF($CQ474=0,"",AZ474-AQ474)</f>
        <v/>
      </c>
      <c r="CX474">
        <f>IF($CQ474=0,0,IF(CS474=CN474,1,0))</f>
        <v/>
      </c>
      <c r="CY474">
        <f>IF($CQ474=0,0,IF(CR474=CM474,1,0))</f>
        <v/>
      </c>
      <c r="CZ474">
        <f>IF($A474="","",IF(AND(IF(DASHBOARD!$C$4="All",TRUE,$CM474=DASHBOARD!$C$4),IF(DASHBOARD!$C$6="All",TRUE,$CP474=DASHBOARD!$C$6),IF(DASHBOARD!$C$8="All",TRUE,$AF474&gt;=DASHBOARD!$C$8),IF(DASHBOARD!$C$10="All",TRUE,$AF474&lt;=DASHBOARD!$C$10),IF(DASHBOARD!$C$12="All",TRUE,$AH474=VALUE(DASHBOARD!$C$12)),IF(DASHBOARD!$C$14="All",TRUE,$AJ474=DASHBOARD!$C$14)),1,0))</f>
        <v/>
      </c>
    </row>
    <row r="475">
      <c r="A475" t="n">
        <v>221043</v>
      </c>
      <c r="B475" t="inlineStr">
        <is>
          <t>Face Malai</t>
        </is>
      </c>
      <c r="H475" t="inlineStr">
        <is>
          <t>Cocoa Mogra (Overnight) Face Malai - 30g</t>
        </is>
      </c>
      <c r="N475" t="inlineStr">
        <is>
          <t>FC-DM-NR-030</t>
        </is>
      </c>
      <c r="T475" t="inlineStr">
        <is>
          <t>Jul 26, 2024</t>
        </is>
      </c>
      <c r="AE475" t="inlineStr">
        <is>
          <t>Eluru</t>
        </is>
      </c>
      <c r="AF475" t="inlineStr">
        <is>
          <t>2024-07</t>
        </is>
      </c>
      <c r="AG475" t="n">
        <v>7</v>
      </c>
      <c r="AH475" t="n">
        <v>1</v>
      </c>
      <c r="AI475" t="n">
        <v>0</v>
      </c>
      <c r="AJ475">
        <f>IF($AE475="","",IFERROR(VLOOKUP(TRIM($AE475),DECODE!$H$3:$I$60,2,FALSE),"Rest of India"))</f>
        <v/>
      </c>
      <c r="AK475">
        <f>IF($N475="","",UPPER(TRIM(LEFT($N475&amp;",",FIND(",",$N475&amp;",")-1))))</f>
        <v/>
      </c>
      <c r="AL475">
        <f>IF($AK475="","",MID($AK475,4,FIND("~",SUBSTITUTE($AK475,"-","~",2))-4))</f>
        <v/>
      </c>
      <c r="AM475">
        <f>IF($AK475="","",MID($AK475,FIND("~",SUBSTITUTE($AK475,"-","~",2))+1,FIND("~",SUBSTITUTE($AK475,"-","~",3))-FIND("~",SUBSTITUTE($AK475,"-","~",2))-1))</f>
        <v/>
      </c>
      <c r="AN475">
        <f>IF($AL475="","",IFERROR(VLOOKUP($AL475,DECODE!$A$3:$C$8,3,FALSE),"?"))</f>
        <v/>
      </c>
      <c r="AO475">
        <f>IF($AM475="","",IFERROR(VLOOKUP($AL475&amp;"-"&amp;$AM475,DECODE!$E$3:$F$21,2,FALSE),"?"))</f>
        <v/>
      </c>
      <c r="AP475">
        <f>IF($AK475="","",IFERROR(VALUE(RIGHT($AK475,3)),""))</f>
        <v/>
      </c>
      <c r="AQ475">
        <f>IF($T475="","",IFERROR(IF(ISNUMBER($T475),$T475,DATEVALUE(TRIM($T475))),""))</f>
        <v/>
      </c>
      <c r="AR475">
        <f>IF($AQ475="","",IF(MONTH($AQ475)&gt;=12,"Cold Winter",IF(MONTH($AQ475)&gt;=10,"Post-Monsoon",IF(MONTH($AQ475)&gt;=6,"Hot Humid",IF(MONTH($AQ475)&gt;=3,"Hot Dry","Cold Winter")))))</f>
        <v/>
      </c>
      <c r="AS475">
        <f>IF($AL475="","",IFERROR(VLOOKUP($AL475,DECODE!$A$3:$C$8,2,FALSE),"?"))</f>
        <v/>
      </c>
      <c r="AT475">
        <f>IF($O475="","",UPPER(TRIM(LEFT($O475&amp;",",FIND(",",$O475&amp;",")-1))))</f>
        <v/>
      </c>
      <c r="AU475">
        <f>IF($AT475="","",MID($AT475,4,FIND("~",SUBSTITUTE($AT475,"-","~",2))-4))</f>
        <v/>
      </c>
      <c r="AV475">
        <f>IF($AT475="","",MID($AT475,FIND("~",SUBSTITUTE($AT475,"-","~",2))+1,FIND("~",SUBSTITUTE($AT475,"-","~",3))-FIND("~",SUBSTITUTE($AT475,"-","~",2))-1))</f>
        <v/>
      </c>
      <c r="AW475">
        <f>IF($AU475="","",IFERROR(VLOOKUP($AU475,DECODE!$A$3:$C$8,3,FALSE),"?"))</f>
        <v/>
      </c>
      <c r="AX475">
        <f>IF($AV475="","",IFERROR(VLOOKUP($AU475&amp;"-"&amp;$AV475,DECODE!$E$3:$F$21,2,FALSE),"?"))</f>
        <v/>
      </c>
      <c r="AY475">
        <f>IF($AT475="","",IFERROR(VALUE(RIGHT($AT475,3)),""))</f>
        <v/>
      </c>
      <c r="AZ475">
        <f>IF($U475="","",IFERROR(IF(ISNUMBER($U475),$U475,DATEVALUE(TRIM($U475))),""))</f>
        <v/>
      </c>
      <c r="BA475">
        <f>IF($AZ475="","",IF(MONTH($AZ475)&gt;=12,"Cold Winter",IF(MONTH($AZ475)&gt;=10,"Post-Monsoon",IF(MONTH($AZ475)&gt;=6,"Hot Humid",IF(MONTH($AZ475)&gt;=3,"Hot Dry","Cold Winter")))))</f>
        <v/>
      </c>
      <c r="BB475">
        <f>IF($AU475="","",IFERROR(VLOOKUP($AU475,DECODE!$A$3:$C$8,2,FALSE),"?"))</f>
        <v/>
      </c>
      <c r="BC475">
        <f>IF($P475="","",UPPER(TRIM(LEFT($P475&amp;",",FIND(",",$P475&amp;",")-1))))</f>
        <v/>
      </c>
      <c r="BD475">
        <f>IF($BC475="","",MID($BC475,4,FIND("~",SUBSTITUTE($BC475,"-","~",2))-4))</f>
        <v/>
      </c>
      <c r="BE475">
        <f>IF($BC475="","",MID($BC475,FIND("~",SUBSTITUTE($BC475,"-","~",2))+1,FIND("~",SUBSTITUTE($BC475,"-","~",3))-FIND("~",SUBSTITUTE($BC475,"-","~",2))-1))</f>
        <v/>
      </c>
      <c r="BF475">
        <f>IF($BD475="","",IFERROR(VLOOKUP($BD475,DECODE!$A$3:$C$8,3,FALSE),"?"))</f>
        <v/>
      </c>
      <c r="BG475">
        <f>IF($BE475="","",IFERROR(VLOOKUP($BD475&amp;"-"&amp;$BE475,DECODE!$E$3:$F$21,2,FALSE),"?"))</f>
        <v/>
      </c>
      <c r="BH475">
        <f>IF($BC475="","",IFERROR(VALUE(RIGHT($BC475,3)),""))</f>
        <v/>
      </c>
      <c r="BI475">
        <f>IF($V475="","",IFERROR(IF(ISNUMBER($V475),$V475,DATEVALUE(TRIM($V475))),""))</f>
        <v/>
      </c>
      <c r="BJ475">
        <f>IF($BI475="","",IF(MONTH($BI475)&gt;=12,"Cold Winter",IF(MONTH($BI475)&gt;=10,"Post-Monsoon",IF(MONTH($BI475)&gt;=6,"Hot Humid",IF(MONTH($BI475)&gt;=3,"Hot Dry","Cold Winter")))))</f>
        <v/>
      </c>
      <c r="BK475">
        <f>IF($BD475="","",IFERROR(VLOOKUP($BD475,DECODE!$A$3:$C$8,2,FALSE),"?"))</f>
        <v/>
      </c>
      <c r="BL475">
        <f>IF($Q475="","",UPPER(TRIM(LEFT($Q475&amp;",",FIND(",",$Q475&amp;",")-1))))</f>
        <v/>
      </c>
      <c r="BM475">
        <f>IF($BL475="","",MID($BL475,4,FIND("~",SUBSTITUTE($BL475,"-","~",2))-4))</f>
        <v/>
      </c>
      <c r="BN475">
        <f>IF($BL475="","",MID($BL475,FIND("~",SUBSTITUTE($BL475,"-","~",2))+1,FIND("~",SUBSTITUTE($BL475,"-","~",3))-FIND("~",SUBSTITUTE($BL475,"-","~",2))-1))</f>
        <v/>
      </c>
      <c r="BO475">
        <f>IF($BM475="","",IFERROR(VLOOKUP($BM475,DECODE!$A$3:$C$8,3,FALSE),"?"))</f>
        <v/>
      </c>
      <c r="BP475">
        <f>IF($BN475="","",IFERROR(VLOOKUP($BM475&amp;"-"&amp;$BN475,DECODE!$E$3:$F$21,2,FALSE),"?"))</f>
        <v/>
      </c>
      <c r="BQ475">
        <f>IF($BL475="","",IFERROR(VALUE(RIGHT($BL475,3)),""))</f>
        <v/>
      </c>
      <c r="BR475">
        <f>IF($W475="","",IFERROR(IF(ISNUMBER($W475),$W475,DATEVALUE(TRIM($W475))),""))</f>
        <v/>
      </c>
      <c r="BS475">
        <f>IF($BR475="","",IF(MONTH($BR475)&gt;=12,"Cold Winter",IF(MONTH($BR475)&gt;=10,"Post-Monsoon",IF(MONTH($BR475)&gt;=6,"Hot Humid",IF(MONTH($BR475)&gt;=3,"Hot Dry","Cold Winter")))))</f>
        <v/>
      </c>
      <c r="BT475">
        <f>IF($BM475="","",IFERROR(VLOOKUP($BM475,DECODE!$A$3:$C$8,2,FALSE),"?"))</f>
        <v/>
      </c>
      <c r="BU475">
        <f>IF($R475="","",UPPER(TRIM(LEFT($R475&amp;",",FIND(",",$R475&amp;",")-1))))</f>
        <v/>
      </c>
      <c r="BV475">
        <f>IF($BU475="","",MID($BU475,4,FIND("~",SUBSTITUTE($BU475,"-","~",2))-4))</f>
        <v/>
      </c>
      <c r="BW475">
        <f>IF($BU475="","",MID($BU475,FIND("~",SUBSTITUTE($BU475,"-","~",2))+1,FIND("~",SUBSTITUTE($BU475,"-","~",3))-FIND("~",SUBSTITUTE($BU475,"-","~",2))-1))</f>
        <v/>
      </c>
      <c r="BX475">
        <f>IF($BV475="","",IFERROR(VLOOKUP($BV475,DECODE!$A$3:$C$8,3,FALSE),"?"))</f>
        <v/>
      </c>
      <c r="BY475">
        <f>IF($BW475="","",IFERROR(VLOOKUP($BV475&amp;"-"&amp;$BW475,DECODE!$E$3:$F$21,2,FALSE),"?"))</f>
        <v/>
      </c>
      <c r="BZ475">
        <f>IF($BU475="","",IFERROR(VALUE(RIGHT($BU475,3)),""))</f>
        <v/>
      </c>
      <c r="CA475">
        <f>IF($X475="","",IFERROR(IF(ISNUMBER($X475),$X475,DATEVALUE(TRIM($X475))),""))</f>
        <v/>
      </c>
      <c r="CB475">
        <f>IF($CA475="","",IF(MONTH($CA475)&gt;=12,"Cold Winter",IF(MONTH($CA475)&gt;=10,"Post-Monsoon",IF(MONTH($CA475)&gt;=6,"Hot Humid",IF(MONTH($CA475)&gt;=3,"Hot Dry","Cold Winter")))))</f>
        <v/>
      </c>
      <c r="CC475">
        <f>IF($BV475="","",IFERROR(VLOOKUP($BV475,DECODE!$A$3:$C$8,2,FALSE),"?"))</f>
        <v/>
      </c>
      <c r="CD475">
        <f>IF($S475="","",UPPER(TRIM(LEFT($S475&amp;",",FIND(",",$S475&amp;",")-1))))</f>
        <v/>
      </c>
      <c r="CE475">
        <f>IF($CD475="","",MID($CD475,4,FIND("~",SUBSTITUTE($CD475,"-","~",2))-4))</f>
        <v/>
      </c>
      <c r="CF475">
        <f>IF($CD475="","",MID($CD475,FIND("~",SUBSTITUTE($CD475,"-","~",2))+1,FIND("~",SUBSTITUTE($CD475,"-","~",3))-FIND("~",SUBSTITUTE($CD475,"-","~",2))-1))</f>
        <v/>
      </c>
      <c r="CG475">
        <f>IF($CE475="","",IFERROR(VLOOKUP($CE475,DECODE!$A$3:$C$8,3,FALSE),"?"))</f>
        <v/>
      </c>
      <c r="CH475">
        <f>IF($CF475="","",IFERROR(VLOOKUP($CE475&amp;"-"&amp;$CF475,DECODE!$E$3:$F$21,2,FALSE),"?"))</f>
        <v/>
      </c>
      <c r="CI475">
        <f>IF($CD475="","",IFERROR(VALUE(RIGHT($CD475,3)),""))</f>
        <v/>
      </c>
      <c r="CJ475">
        <f>IF($Y475="","",IFERROR(IF(ISNUMBER($Y475),$Y475,DATEVALUE(TRIM($Y475))),""))</f>
        <v/>
      </c>
      <c r="CK475">
        <f>IF($CJ475="","",IF(MONTH($CJ475)&gt;=12,"Cold Winter",IF(MONTH($CJ475)&gt;=10,"Post-Monsoon",IF(MONTH($CJ475)&gt;=6,"Hot Humid",IF(MONTH($CJ475)&gt;=3,"Hot Dry","Cold Winter")))))</f>
        <v/>
      </c>
      <c r="CL475">
        <f>IF($CE475="","",IFERROR(VLOOKUP($CE475,DECODE!$A$3:$C$8,2,FALSE),"?"))</f>
        <v/>
      </c>
      <c r="CM475">
        <f>IF($AN475="","",AN475)</f>
        <v/>
      </c>
      <c r="CN475">
        <f>IF($AO475="","",AO475)</f>
        <v/>
      </c>
      <c r="CO475">
        <f>IF($AP475="","",AP475)</f>
        <v/>
      </c>
      <c r="CP475">
        <f>IF($CM475="","",IF($CM475="Aloe Vera Gel","Aloe Vera Gel "&amp;$CO475&amp;"g",CN475&amp;" "&amp;$CO475&amp;"g"))</f>
        <v/>
      </c>
      <c r="CQ475">
        <f>IF($AT475="",0,1)</f>
        <v/>
      </c>
      <c r="CR475">
        <f>IF($CQ475=0,"",AW475)</f>
        <v/>
      </c>
      <c r="CS475">
        <f>IF($CQ475=0,"",AX475)</f>
        <v/>
      </c>
      <c r="CT475">
        <f>IF($CQ475=0,"",AY475)</f>
        <v/>
      </c>
      <c r="CU475">
        <f>IF($CR475="","",IF($CR475="Aloe Vera Gel","Aloe Vera Gel "&amp;$CT475&amp;"g",CS475&amp;" "&amp;$CT475&amp;"g"))</f>
        <v/>
      </c>
      <c r="CV475">
        <f>IF($CQ475=0,"",IF($CP475=$CU475,"Repeat Exact",IF($CT475&gt;$CO475,"Upsized",IF($CT475&lt;$CO475,"Downsized",IF($CM475&lt;&gt;$CR475,"Lateral","Same Size Diff Variant")))))</f>
        <v/>
      </c>
      <c r="CW475">
        <f>IF($CQ475=0,"",AZ475-AQ475)</f>
        <v/>
      </c>
      <c r="CX475">
        <f>IF($CQ475=0,0,IF(CS475=CN475,1,0))</f>
        <v/>
      </c>
      <c r="CY475">
        <f>IF($CQ475=0,0,IF(CR475=CM475,1,0))</f>
        <v/>
      </c>
      <c r="CZ475">
        <f>IF($A475="","",IF(AND(IF(DASHBOARD!$C$4="All",TRUE,$CM475=DASHBOARD!$C$4),IF(DASHBOARD!$C$6="All",TRUE,$CP475=DASHBOARD!$C$6),IF(DASHBOARD!$C$8="All",TRUE,$AF475&gt;=DASHBOARD!$C$8),IF(DASHBOARD!$C$10="All",TRUE,$AF475&lt;=DASHBOARD!$C$10),IF(DASHBOARD!$C$12="All",TRUE,$AH475=VALUE(DASHBOARD!$C$12)),IF(DASHBOARD!$C$14="All",TRUE,$AJ475=DASHBOARD!$C$14)),1,0))</f>
        <v/>
      </c>
    </row>
    <row r="476">
      <c r="A476" t="n">
        <v>221643</v>
      </c>
      <c r="B476" t="inlineStr">
        <is>
          <t>Face Malai</t>
        </is>
      </c>
      <c r="H476" t="inlineStr">
        <is>
          <t>Flax Walnut (Cold) 35+ Face Malai</t>
        </is>
      </c>
      <c r="N476" t="inlineStr">
        <is>
          <t>FC-CWDM-FW-030</t>
        </is>
      </c>
      <c r="T476" t="inlineStr">
        <is>
          <t>Jan 5, 2024</t>
        </is>
      </c>
      <c r="AE476" t="inlineStr">
        <is>
          <t>Pune</t>
        </is>
      </c>
      <c r="AF476" t="inlineStr">
        <is>
          <t>2024-01</t>
        </is>
      </c>
      <c r="AG476" t="n">
        <v>1</v>
      </c>
      <c r="AH476" t="n">
        <v>1</v>
      </c>
      <c r="AI476" t="n">
        <v>0</v>
      </c>
      <c r="AJ476">
        <f>IF($AE476="","",IFERROR(VLOOKUP(TRIM($AE476),DECODE!$H$3:$I$60,2,FALSE),"Rest of India"))</f>
        <v/>
      </c>
      <c r="AK476">
        <f>IF($N476="","",UPPER(TRIM(LEFT($N476&amp;",",FIND(",",$N476&amp;",")-1))))</f>
        <v/>
      </c>
      <c r="AL476">
        <f>IF($AK476="","",MID($AK476,4,FIND("~",SUBSTITUTE($AK476,"-","~",2))-4))</f>
        <v/>
      </c>
      <c r="AM476">
        <f>IF($AK476="","",MID($AK476,FIND("~",SUBSTITUTE($AK476,"-","~",2))+1,FIND("~",SUBSTITUTE($AK476,"-","~",3))-FIND("~",SUBSTITUTE($AK476,"-","~",2))-1))</f>
        <v/>
      </c>
      <c r="AN476">
        <f>IF($AL476="","",IFERROR(VLOOKUP($AL476,DECODE!$A$3:$C$8,3,FALSE),"?"))</f>
        <v/>
      </c>
      <c r="AO476">
        <f>IF($AM476="","",IFERROR(VLOOKUP($AL476&amp;"-"&amp;$AM476,DECODE!$E$3:$F$21,2,FALSE),"?"))</f>
        <v/>
      </c>
      <c r="AP476">
        <f>IF($AK476="","",IFERROR(VALUE(RIGHT($AK476,3)),""))</f>
        <v/>
      </c>
      <c r="AQ476">
        <f>IF($T476="","",IFERROR(IF(ISNUMBER($T476),$T476,DATEVALUE(TRIM($T476))),""))</f>
        <v/>
      </c>
      <c r="AR476">
        <f>IF($AQ476="","",IF(MONTH($AQ476)&gt;=12,"Cold Winter",IF(MONTH($AQ476)&gt;=10,"Post-Monsoon",IF(MONTH($AQ476)&gt;=6,"Hot Humid",IF(MONTH($AQ476)&gt;=3,"Hot Dry","Cold Winter")))))</f>
        <v/>
      </c>
      <c r="AS476">
        <f>IF($AL476="","",IFERROR(VLOOKUP($AL476,DECODE!$A$3:$C$8,2,FALSE),"?"))</f>
        <v/>
      </c>
      <c r="AT476">
        <f>IF($O476="","",UPPER(TRIM(LEFT($O476&amp;",",FIND(",",$O476&amp;",")-1))))</f>
        <v/>
      </c>
      <c r="AU476">
        <f>IF($AT476="","",MID($AT476,4,FIND("~",SUBSTITUTE($AT476,"-","~",2))-4))</f>
        <v/>
      </c>
      <c r="AV476">
        <f>IF($AT476="","",MID($AT476,FIND("~",SUBSTITUTE($AT476,"-","~",2))+1,FIND("~",SUBSTITUTE($AT476,"-","~",3))-FIND("~",SUBSTITUTE($AT476,"-","~",2))-1))</f>
        <v/>
      </c>
      <c r="AW476">
        <f>IF($AU476="","",IFERROR(VLOOKUP($AU476,DECODE!$A$3:$C$8,3,FALSE),"?"))</f>
        <v/>
      </c>
      <c r="AX476">
        <f>IF($AV476="","",IFERROR(VLOOKUP($AU476&amp;"-"&amp;$AV476,DECODE!$E$3:$F$21,2,FALSE),"?"))</f>
        <v/>
      </c>
      <c r="AY476">
        <f>IF($AT476="","",IFERROR(VALUE(RIGHT($AT476,3)),""))</f>
        <v/>
      </c>
      <c r="AZ476">
        <f>IF($U476="","",IFERROR(IF(ISNUMBER($U476),$U476,DATEVALUE(TRIM($U476))),""))</f>
        <v/>
      </c>
      <c r="BA476">
        <f>IF($AZ476="","",IF(MONTH($AZ476)&gt;=12,"Cold Winter",IF(MONTH($AZ476)&gt;=10,"Post-Monsoon",IF(MONTH($AZ476)&gt;=6,"Hot Humid",IF(MONTH($AZ476)&gt;=3,"Hot Dry","Cold Winter")))))</f>
        <v/>
      </c>
      <c r="BB476">
        <f>IF($AU476="","",IFERROR(VLOOKUP($AU476,DECODE!$A$3:$C$8,2,FALSE),"?"))</f>
        <v/>
      </c>
      <c r="BC476">
        <f>IF($P476="","",UPPER(TRIM(LEFT($P476&amp;",",FIND(",",$P476&amp;",")-1))))</f>
        <v/>
      </c>
      <c r="BD476">
        <f>IF($BC476="","",MID($BC476,4,FIND("~",SUBSTITUTE($BC476,"-","~",2))-4))</f>
        <v/>
      </c>
      <c r="BE476">
        <f>IF($BC476="","",MID($BC476,FIND("~",SUBSTITUTE($BC476,"-","~",2))+1,FIND("~",SUBSTITUTE($BC476,"-","~",3))-FIND("~",SUBSTITUTE($BC476,"-","~",2))-1))</f>
        <v/>
      </c>
      <c r="BF476">
        <f>IF($BD476="","",IFERROR(VLOOKUP($BD476,DECODE!$A$3:$C$8,3,FALSE),"?"))</f>
        <v/>
      </c>
      <c r="BG476">
        <f>IF($BE476="","",IFERROR(VLOOKUP($BD476&amp;"-"&amp;$BE476,DECODE!$E$3:$F$21,2,FALSE),"?"))</f>
        <v/>
      </c>
      <c r="BH476">
        <f>IF($BC476="","",IFERROR(VALUE(RIGHT($BC476,3)),""))</f>
        <v/>
      </c>
      <c r="BI476">
        <f>IF($V476="","",IFERROR(IF(ISNUMBER($V476),$V476,DATEVALUE(TRIM($V476))),""))</f>
        <v/>
      </c>
      <c r="BJ476">
        <f>IF($BI476="","",IF(MONTH($BI476)&gt;=12,"Cold Winter",IF(MONTH($BI476)&gt;=10,"Post-Monsoon",IF(MONTH($BI476)&gt;=6,"Hot Humid",IF(MONTH($BI476)&gt;=3,"Hot Dry","Cold Winter")))))</f>
        <v/>
      </c>
      <c r="BK476">
        <f>IF($BD476="","",IFERROR(VLOOKUP($BD476,DECODE!$A$3:$C$8,2,FALSE),"?"))</f>
        <v/>
      </c>
      <c r="BL476">
        <f>IF($Q476="","",UPPER(TRIM(LEFT($Q476&amp;",",FIND(",",$Q476&amp;",")-1))))</f>
        <v/>
      </c>
      <c r="BM476">
        <f>IF($BL476="","",MID($BL476,4,FIND("~",SUBSTITUTE($BL476,"-","~",2))-4))</f>
        <v/>
      </c>
      <c r="BN476">
        <f>IF($BL476="","",MID($BL476,FIND("~",SUBSTITUTE($BL476,"-","~",2))+1,FIND("~",SUBSTITUTE($BL476,"-","~",3))-FIND("~",SUBSTITUTE($BL476,"-","~",2))-1))</f>
        <v/>
      </c>
      <c r="BO476">
        <f>IF($BM476="","",IFERROR(VLOOKUP($BM476,DECODE!$A$3:$C$8,3,FALSE),"?"))</f>
        <v/>
      </c>
      <c r="BP476">
        <f>IF($BN476="","",IFERROR(VLOOKUP($BM476&amp;"-"&amp;$BN476,DECODE!$E$3:$F$21,2,FALSE),"?"))</f>
        <v/>
      </c>
      <c r="BQ476">
        <f>IF($BL476="","",IFERROR(VALUE(RIGHT($BL476,3)),""))</f>
        <v/>
      </c>
      <c r="BR476">
        <f>IF($W476="","",IFERROR(IF(ISNUMBER($W476),$W476,DATEVALUE(TRIM($W476))),""))</f>
        <v/>
      </c>
      <c r="BS476">
        <f>IF($BR476="","",IF(MONTH($BR476)&gt;=12,"Cold Winter",IF(MONTH($BR476)&gt;=10,"Post-Monsoon",IF(MONTH($BR476)&gt;=6,"Hot Humid",IF(MONTH($BR476)&gt;=3,"Hot Dry","Cold Winter")))))</f>
        <v/>
      </c>
      <c r="BT476">
        <f>IF($BM476="","",IFERROR(VLOOKUP($BM476,DECODE!$A$3:$C$8,2,FALSE),"?"))</f>
        <v/>
      </c>
      <c r="BU476">
        <f>IF($R476="","",UPPER(TRIM(LEFT($R476&amp;",",FIND(",",$R476&amp;",")-1))))</f>
        <v/>
      </c>
      <c r="BV476">
        <f>IF($BU476="","",MID($BU476,4,FIND("~",SUBSTITUTE($BU476,"-","~",2))-4))</f>
        <v/>
      </c>
      <c r="BW476">
        <f>IF($BU476="","",MID($BU476,FIND("~",SUBSTITUTE($BU476,"-","~",2))+1,FIND("~",SUBSTITUTE($BU476,"-","~",3))-FIND("~",SUBSTITUTE($BU476,"-","~",2))-1))</f>
        <v/>
      </c>
      <c r="BX476">
        <f>IF($BV476="","",IFERROR(VLOOKUP($BV476,DECODE!$A$3:$C$8,3,FALSE),"?"))</f>
        <v/>
      </c>
      <c r="BY476">
        <f>IF($BW476="","",IFERROR(VLOOKUP($BV476&amp;"-"&amp;$BW476,DECODE!$E$3:$F$21,2,FALSE),"?"))</f>
        <v/>
      </c>
      <c r="BZ476">
        <f>IF($BU476="","",IFERROR(VALUE(RIGHT($BU476,3)),""))</f>
        <v/>
      </c>
      <c r="CA476">
        <f>IF($X476="","",IFERROR(IF(ISNUMBER($X476),$X476,DATEVALUE(TRIM($X476))),""))</f>
        <v/>
      </c>
      <c r="CB476">
        <f>IF($CA476="","",IF(MONTH($CA476)&gt;=12,"Cold Winter",IF(MONTH($CA476)&gt;=10,"Post-Monsoon",IF(MONTH($CA476)&gt;=6,"Hot Humid",IF(MONTH($CA476)&gt;=3,"Hot Dry","Cold Winter")))))</f>
        <v/>
      </c>
      <c r="CC476">
        <f>IF($BV476="","",IFERROR(VLOOKUP($BV476,DECODE!$A$3:$C$8,2,FALSE),"?"))</f>
        <v/>
      </c>
      <c r="CD476">
        <f>IF($S476="","",UPPER(TRIM(LEFT($S476&amp;",",FIND(",",$S476&amp;",")-1))))</f>
        <v/>
      </c>
      <c r="CE476">
        <f>IF($CD476="","",MID($CD476,4,FIND("~",SUBSTITUTE($CD476,"-","~",2))-4))</f>
        <v/>
      </c>
      <c r="CF476">
        <f>IF($CD476="","",MID($CD476,FIND("~",SUBSTITUTE($CD476,"-","~",2))+1,FIND("~",SUBSTITUTE($CD476,"-","~",3))-FIND("~",SUBSTITUTE($CD476,"-","~",2))-1))</f>
        <v/>
      </c>
      <c r="CG476">
        <f>IF($CE476="","",IFERROR(VLOOKUP($CE476,DECODE!$A$3:$C$8,3,FALSE),"?"))</f>
        <v/>
      </c>
      <c r="CH476">
        <f>IF($CF476="","",IFERROR(VLOOKUP($CE476&amp;"-"&amp;$CF476,DECODE!$E$3:$F$21,2,FALSE),"?"))</f>
        <v/>
      </c>
      <c r="CI476">
        <f>IF($CD476="","",IFERROR(VALUE(RIGHT($CD476,3)),""))</f>
        <v/>
      </c>
      <c r="CJ476">
        <f>IF($Y476="","",IFERROR(IF(ISNUMBER($Y476),$Y476,DATEVALUE(TRIM($Y476))),""))</f>
        <v/>
      </c>
      <c r="CK476">
        <f>IF($CJ476="","",IF(MONTH($CJ476)&gt;=12,"Cold Winter",IF(MONTH($CJ476)&gt;=10,"Post-Monsoon",IF(MONTH($CJ476)&gt;=6,"Hot Humid",IF(MONTH($CJ476)&gt;=3,"Hot Dry","Cold Winter")))))</f>
        <v/>
      </c>
      <c r="CL476">
        <f>IF($CE476="","",IFERROR(VLOOKUP($CE476,DECODE!$A$3:$C$8,2,FALSE),"?"))</f>
        <v/>
      </c>
      <c r="CM476">
        <f>IF($AN476="","",AN476)</f>
        <v/>
      </c>
      <c r="CN476">
        <f>IF($AO476="","",AO476)</f>
        <v/>
      </c>
      <c r="CO476">
        <f>IF($AP476="","",AP476)</f>
        <v/>
      </c>
      <c r="CP476">
        <f>IF($CM476="","",IF($CM476="Aloe Vera Gel","Aloe Vera Gel "&amp;$CO476&amp;"g",CN476&amp;" "&amp;$CO476&amp;"g"))</f>
        <v/>
      </c>
      <c r="CQ476">
        <f>IF($AT476="",0,1)</f>
        <v/>
      </c>
      <c r="CR476">
        <f>IF($CQ476=0,"",AW476)</f>
        <v/>
      </c>
      <c r="CS476">
        <f>IF($CQ476=0,"",AX476)</f>
        <v/>
      </c>
      <c r="CT476">
        <f>IF($CQ476=0,"",AY476)</f>
        <v/>
      </c>
      <c r="CU476">
        <f>IF($CR476="","",IF($CR476="Aloe Vera Gel","Aloe Vera Gel "&amp;$CT476&amp;"g",CS476&amp;" "&amp;$CT476&amp;"g"))</f>
        <v/>
      </c>
      <c r="CV476">
        <f>IF($CQ476=0,"",IF($CP476=$CU476,"Repeat Exact",IF($CT476&gt;$CO476,"Upsized",IF($CT476&lt;$CO476,"Downsized",IF($CM476&lt;&gt;$CR476,"Lateral","Same Size Diff Variant")))))</f>
        <v/>
      </c>
      <c r="CW476">
        <f>IF($CQ476=0,"",AZ476-AQ476)</f>
        <v/>
      </c>
      <c r="CX476">
        <f>IF($CQ476=0,0,IF(CS476=CN476,1,0))</f>
        <v/>
      </c>
      <c r="CY476">
        <f>IF($CQ476=0,0,IF(CR476=CM476,1,0))</f>
        <v/>
      </c>
      <c r="CZ476">
        <f>IF($A476="","",IF(AND(IF(DASHBOARD!$C$4="All",TRUE,$CM476=DASHBOARD!$C$4),IF(DASHBOARD!$C$6="All",TRUE,$CP476=DASHBOARD!$C$6),IF(DASHBOARD!$C$8="All",TRUE,$AF476&gt;=DASHBOARD!$C$8),IF(DASHBOARD!$C$10="All",TRUE,$AF476&lt;=DASHBOARD!$C$10),IF(DASHBOARD!$C$12="All",TRUE,$AH476=VALUE(DASHBOARD!$C$12)),IF(DASHBOARD!$C$14="All",TRUE,$AJ476=DASHBOARD!$C$14)),1,0))</f>
        <v/>
      </c>
    </row>
    <row r="477">
      <c r="A477" t="n">
        <v>222169</v>
      </c>
      <c r="B477" t="inlineStr">
        <is>
          <t>Aloe Vera Gel</t>
        </is>
      </c>
      <c r="H477" t="inlineStr">
        <is>
          <t>Aloe Vera Gel - 40 gms</t>
        </is>
      </c>
      <c r="N477" t="inlineStr">
        <is>
          <t>FC-HG-PA-040</t>
        </is>
      </c>
      <c r="T477" t="inlineStr">
        <is>
          <t>Nov 8, 2024</t>
        </is>
      </c>
      <c r="AE477" t="inlineStr">
        <is>
          <t>Bhubaneswar</t>
        </is>
      </c>
      <c r="AF477" t="inlineStr">
        <is>
          <t>2024-11</t>
        </is>
      </c>
      <c r="AG477" t="n">
        <v>11</v>
      </c>
      <c r="AH477" t="n">
        <v>1</v>
      </c>
      <c r="AI477" t="n">
        <v>0</v>
      </c>
      <c r="AJ477">
        <f>IF($AE477="","",IFERROR(VLOOKUP(TRIM($AE477),DECODE!$H$3:$I$60,2,FALSE),"Rest of India"))</f>
        <v/>
      </c>
      <c r="AK477">
        <f>IF($N477="","",UPPER(TRIM(LEFT($N477&amp;",",FIND(",",$N477&amp;",")-1))))</f>
        <v/>
      </c>
      <c r="AL477">
        <f>IF($AK477="","",MID($AK477,4,FIND("~",SUBSTITUTE($AK477,"-","~",2))-4))</f>
        <v/>
      </c>
      <c r="AM477">
        <f>IF($AK477="","",MID($AK477,FIND("~",SUBSTITUTE($AK477,"-","~",2))+1,FIND("~",SUBSTITUTE($AK477,"-","~",3))-FIND("~",SUBSTITUTE($AK477,"-","~",2))-1))</f>
        <v/>
      </c>
      <c r="AN477">
        <f>IF($AL477="","",IFERROR(VLOOKUP($AL477,DECODE!$A$3:$C$8,3,FALSE),"?"))</f>
        <v/>
      </c>
      <c r="AO477">
        <f>IF($AM477="","",IFERROR(VLOOKUP($AL477&amp;"-"&amp;$AM477,DECODE!$E$3:$F$21,2,FALSE),"?"))</f>
        <v/>
      </c>
      <c r="AP477">
        <f>IF($AK477="","",IFERROR(VALUE(RIGHT($AK477,3)),""))</f>
        <v/>
      </c>
      <c r="AQ477">
        <f>IF($T477="","",IFERROR(IF(ISNUMBER($T477),$T477,DATEVALUE(TRIM($T477))),""))</f>
        <v/>
      </c>
      <c r="AR477">
        <f>IF($AQ477="","",IF(MONTH($AQ477)&gt;=12,"Cold Winter",IF(MONTH($AQ477)&gt;=10,"Post-Monsoon",IF(MONTH($AQ477)&gt;=6,"Hot Humid",IF(MONTH($AQ477)&gt;=3,"Hot Dry","Cold Winter")))))</f>
        <v/>
      </c>
      <c r="AS477">
        <f>IF($AL477="","",IFERROR(VLOOKUP($AL477,DECODE!$A$3:$C$8,2,FALSE),"?"))</f>
        <v/>
      </c>
      <c r="AT477">
        <f>IF($O477="","",UPPER(TRIM(LEFT($O477&amp;",",FIND(",",$O477&amp;",")-1))))</f>
        <v/>
      </c>
      <c r="AU477">
        <f>IF($AT477="","",MID($AT477,4,FIND("~",SUBSTITUTE($AT477,"-","~",2))-4))</f>
        <v/>
      </c>
      <c r="AV477">
        <f>IF($AT477="","",MID($AT477,FIND("~",SUBSTITUTE($AT477,"-","~",2))+1,FIND("~",SUBSTITUTE($AT477,"-","~",3))-FIND("~",SUBSTITUTE($AT477,"-","~",2))-1))</f>
        <v/>
      </c>
      <c r="AW477">
        <f>IF($AU477="","",IFERROR(VLOOKUP($AU477,DECODE!$A$3:$C$8,3,FALSE),"?"))</f>
        <v/>
      </c>
      <c r="AX477">
        <f>IF($AV477="","",IFERROR(VLOOKUP($AU477&amp;"-"&amp;$AV477,DECODE!$E$3:$F$21,2,FALSE),"?"))</f>
        <v/>
      </c>
      <c r="AY477">
        <f>IF($AT477="","",IFERROR(VALUE(RIGHT($AT477,3)),""))</f>
        <v/>
      </c>
      <c r="AZ477">
        <f>IF($U477="","",IFERROR(IF(ISNUMBER($U477),$U477,DATEVALUE(TRIM($U477))),""))</f>
        <v/>
      </c>
      <c r="BA477">
        <f>IF($AZ477="","",IF(MONTH($AZ477)&gt;=12,"Cold Winter",IF(MONTH($AZ477)&gt;=10,"Post-Monsoon",IF(MONTH($AZ477)&gt;=6,"Hot Humid",IF(MONTH($AZ477)&gt;=3,"Hot Dry","Cold Winter")))))</f>
        <v/>
      </c>
      <c r="BB477">
        <f>IF($AU477="","",IFERROR(VLOOKUP($AU477,DECODE!$A$3:$C$8,2,FALSE),"?"))</f>
        <v/>
      </c>
      <c r="BC477">
        <f>IF($P477="","",UPPER(TRIM(LEFT($P477&amp;",",FIND(",",$P477&amp;",")-1))))</f>
        <v/>
      </c>
      <c r="BD477">
        <f>IF($BC477="","",MID($BC477,4,FIND("~",SUBSTITUTE($BC477,"-","~",2))-4))</f>
        <v/>
      </c>
      <c r="BE477">
        <f>IF($BC477="","",MID($BC477,FIND("~",SUBSTITUTE($BC477,"-","~",2))+1,FIND("~",SUBSTITUTE($BC477,"-","~",3))-FIND("~",SUBSTITUTE($BC477,"-","~",2))-1))</f>
        <v/>
      </c>
      <c r="BF477">
        <f>IF($BD477="","",IFERROR(VLOOKUP($BD477,DECODE!$A$3:$C$8,3,FALSE),"?"))</f>
        <v/>
      </c>
      <c r="BG477">
        <f>IF($BE477="","",IFERROR(VLOOKUP($BD477&amp;"-"&amp;$BE477,DECODE!$E$3:$F$21,2,FALSE),"?"))</f>
        <v/>
      </c>
      <c r="BH477">
        <f>IF($BC477="","",IFERROR(VALUE(RIGHT($BC477,3)),""))</f>
        <v/>
      </c>
      <c r="BI477">
        <f>IF($V477="","",IFERROR(IF(ISNUMBER($V477),$V477,DATEVALUE(TRIM($V477))),""))</f>
        <v/>
      </c>
      <c r="BJ477">
        <f>IF($BI477="","",IF(MONTH($BI477)&gt;=12,"Cold Winter",IF(MONTH($BI477)&gt;=10,"Post-Monsoon",IF(MONTH($BI477)&gt;=6,"Hot Humid",IF(MONTH($BI477)&gt;=3,"Hot Dry","Cold Winter")))))</f>
        <v/>
      </c>
      <c r="BK477">
        <f>IF($BD477="","",IFERROR(VLOOKUP($BD477,DECODE!$A$3:$C$8,2,FALSE),"?"))</f>
        <v/>
      </c>
      <c r="BL477">
        <f>IF($Q477="","",UPPER(TRIM(LEFT($Q477&amp;",",FIND(",",$Q477&amp;",")-1))))</f>
        <v/>
      </c>
      <c r="BM477">
        <f>IF($BL477="","",MID($BL477,4,FIND("~",SUBSTITUTE($BL477,"-","~",2))-4))</f>
        <v/>
      </c>
      <c r="BN477">
        <f>IF($BL477="","",MID($BL477,FIND("~",SUBSTITUTE($BL477,"-","~",2))+1,FIND("~",SUBSTITUTE($BL477,"-","~",3))-FIND("~",SUBSTITUTE($BL477,"-","~",2))-1))</f>
        <v/>
      </c>
      <c r="BO477">
        <f>IF($BM477="","",IFERROR(VLOOKUP($BM477,DECODE!$A$3:$C$8,3,FALSE),"?"))</f>
        <v/>
      </c>
      <c r="BP477">
        <f>IF($BN477="","",IFERROR(VLOOKUP($BM477&amp;"-"&amp;$BN477,DECODE!$E$3:$F$21,2,FALSE),"?"))</f>
        <v/>
      </c>
      <c r="BQ477">
        <f>IF($BL477="","",IFERROR(VALUE(RIGHT($BL477,3)),""))</f>
        <v/>
      </c>
      <c r="BR477">
        <f>IF($W477="","",IFERROR(IF(ISNUMBER($W477),$W477,DATEVALUE(TRIM($W477))),""))</f>
        <v/>
      </c>
      <c r="BS477">
        <f>IF($BR477="","",IF(MONTH($BR477)&gt;=12,"Cold Winter",IF(MONTH($BR477)&gt;=10,"Post-Monsoon",IF(MONTH($BR477)&gt;=6,"Hot Humid",IF(MONTH($BR477)&gt;=3,"Hot Dry","Cold Winter")))))</f>
        <v/>
      </c>
      <c r="BT477">
        <f>IF($BM477="","",IFERROR(VLOOKUP($BM477,DECODE!$A$3:$C$8,2,FALSE),"?"))</f>
        <v/>
      </c>
      <c r="BU477">
        <f>IF($R477="","",UPPER(TRIM(LEFT($R477&amp;",",FIND(",",$R477&amp;",")-1))))</f>
        <v/>
      </c>
      <c r="BV477">
        <f>IF($BU477="","",MID($BU477,4,FIND("~",SUBSTITUTE($BU477,"-","~",2))-4))</f>
        <v/>
      </c>
      <c r="BW477">
        <f>IF($BU477="","",MID($BU477,FIND("~",SUBSTITUTE($BU477,"-","~",2))+1,FIND("~",SUBSTITUTE($BU477,"-","~",3))-FIND("~",SUBSTITUTE($BU477,"-","~",2))-1))</f>
        <v/>
      </c>
      <c r="BX477">
        <f>IF($BV477="","",IFERROR(VLOOKUP($BV477,DECODE!$A$3:$C$8,3,FALSE),"?"))</f>
        <v/>
      </c>
      <c r="BY477">
        <f>IF($BW477="","",IFERROR(VLOOKUP($BV477&amp;"-"&amp;$BW477,DECODE!$E$3:$F$21,2,FALSE),"?"))</f>
        <v/>
      </c>
      <c r="BZ477">
        <f>IF($BU477="","",IFERROR(VALUE(RIGHT($BU477,3)),""))</f>
        <v/>
      </c>
      <c r="CA477">
        <f>IF($X477="","",IFERROR(IF(ISNUMBER($X477),$X477,DATEVALUE(TRIM($X477))),""))</f>
        <v/>
      </c>
      <c r="CB477">
        <f>IF($CA477="","",IF(MONTH($CA477)&gt;=12,"Cold Winter",IF(MONTH($CA477)&gt;=10,"Post-Monsoon",IF(MONTH($CA477)&gt;=6,"Hot Humid",IF(MONTH($CA477)&gt;=3,"Hot Dry","Cold Winter")))))</f>
        <v/>
      </c>
      <c r="CC477">
        <f>IF($BV477="","",IFERROR(VLOOKUP($BV477,DECODE!$A$3:$C$8,2,FALSE),"?"))</f>
        <v/>
      </c>
      <c r="CD477">
        <f>IF($S477="","",UPPER(TRIM(LEFT($S477&amp;",",FIND(",",$S477&amp;",")-1))))</f>
        <v/>
      </c>
      <c r="CE477">
        <f>IF($CD477="","",MID($CD477,4,FIND("~",SUBSTITUTE($CD477,"-","~",2))-4))</f>
        <v/>
      </c>
      <c r="CF477">
        <f>IF($CD477="","",MID($CD477,FIND("~",SUBSTITUTE($CD477,"-","~",2))+1,FIND("~",SUBSTITUTE($CD477,"-","~",3))-FIND("~",SUBSTITUTE($CD477,"-","~",2))-1))</f>
        <v/>
      </c>
      <c r="CG477">
        <f>IF($CE477="","",IFERROR(VLOOKUP($CE477,DECODE!$A$3:$C$8,3,FALSE),"?"))</f>
        <v/>
      </c>
      <c r="CH477">
        <f>IF($CF477="","",IFERROR(VLOOKUP($CE477&amp;"-"&amp;$CF477,DECODE!$E$3:$F$21,2,FALSE),"?"))</f>
        <v/>
      </c>
      <c r="CI477">
        <f>IF($CD477="","",IFERROR(VALUE(RIGHT($CD477,3)),""))</f>
        <v/>
      </c>
      <c r="CJ477">
        <f>IF($Y477="","",IFERROR(IF(ISNUMBER($Y477),$Y477,DATEVALUE(TRIM($Y477))),""))</f>
        <v/>
      </c>
      <c r="CK477">
        <f>IF($CJ477="","",IF(MONTH($CJ477)&gt;=12,"Cold Winter",IF(MONTH($CJ477)&gt;=10,"Post-Monsoon",IF(MONTH($CJ477)&gt;=6,"Hot Humid",IF(MONTH($CJ477)&gt;=3,"Hot Dry","Cold Winter")))))</f>
        <v/>
      </c>
      <c r="CL477">
        <f>IF($CE477="","",IFERROR(VLOOKUP($CE477,DECODE!$A$3:$C$8,2,FALSE),"?"))</f>
        <v/>
      </c>
      <c r="CM477">
        <f>IF($AN477="","",AN477)</f>
        <v/>
      </c>
      <c r="CN477">
        <f>IF($AO477="","",AO477)</f>
        <v/>
      </c>
      <c r="CO477">
        <f>IF($AP477="","",AP477)</f>
        <v/>
      </c>
      <c r="CP477">
        <f>IF($CM477="","",IF($CM477="Aloe Vera Gel","Aloe Vera Gel "&amp;$CO477&amp;"g",CN477&amp;" "&amp;$CO477&amp;"g"))</f>
        <v/>
      </c>
      <c r="CQ477">
        <f>IF($AT477="",0,1)</f>
        <v/>
      </c>
      <c r="CR477">
        <f>IF($CQ477=0,"",AW477)</f>
        <v/>
      </c>
      <c r="CS477">
        <f>IF($CQ477=0,"",AX477)</f>
        <v/>
      </c>
      <c r="CT477">
        <f>IF($CQ477=0,"",AY477)</f>
        <v/>
      </c>
      <c r="CU477">
        <f>IF($CR477="","",IF($CR477="Aloe Vera Gel","Aloe Vera Gel "&amp;$CT477&amp;"g",CS477&amp;" "&amp;$CT477&amp;"g"))</f>
        <v/>
      </c>
      <c r="CV477">
        <f>IF($CQ477=0,"",IF($CP477=$CU477,"Repeat Exact",IF($CT477&gt;$CO477,"Upsized",IF($CT477&lt;$CO477,"Downsized",IF($CM477&lt;&gt;$CR477,"Lateral","Same Size Diff Variant")))))</f>
        <v/>
      </c>
      <c r="CW477">
        <f>IF($CQ477=0,"",AZ477-AQ477)</f>
        <v/>
      </c>
      <c r="CX477">
        <f>IF($CQ477=0,0,IF(CS477=CN477,1,0))</f>
        <v/>
      </c>
      <c r="CY477">
        <f>IF($CQ477=0,0,IF(CR477=CM477,1,0))</f>
        <v/>
      </c>
      <c r="CZ477">
        <f>IF($A477="","",IF(AND(IF(DASHBOARD!$C$4="All",TRUE,$CM477=DASHBOARD!$C$4),IF(DASHBOARD!$C$6="All",TRUE,$CP477=DASHBOARD!$C$6),IF(DASHBOARD!$C$8="All",TRUE,$AF477&gt;=DASHBOARD!$C$8),IF(DASHBOARD!$C$10="All",TRUE,$AF477&lt;=DASHBOARD!$C$10),IF(DASHBOARD!$C$12="All",TRUE,$AH477=VALUE(DASHBOARD!$C$12)),IF(DASHBOARD!$C$14="All",TRUE,$AJ477=DASHBOARD!$C$14)),1,0))</f>
        <v/>
      </c>
    </row>
    <row r="478">
      <c r="A478" t="n">
        <v>222198</v>
      </c>
      <c r="B478" t="inlineStr">
        <is>
          <t>Aloe Vera Gel</t>
        </is>
      </c>
      <c r="H478" t="inlineStr">
        <is>
          <t>Aloe Vera Gel - 80 gms</t>
        </is>
      </c>
      <c r="N478" t="inlineStr">
        <is>
          <t>FC-HG-PA-080</t>
        </is>
      </c>
      <c r="T478" t="inlineStr">
        <is>
          <t>Jun 8, 2025</t>
        </is>
      </c>
      <c r="AE478" t="inlineStr">
        <is>
          <t>Jaipur</t>
        </is>
      </c>
      <c r="AF478" t="inlineStr">
        <is>
          <t>2025-06</t>
        </is>
      </c>
      <c r="AG478" t="n">
        <v>6</v>
      </c>
      <c r="AH478" t="n">
        <v>1</v>
      </c>
      <c r="AI478" t="n">
        <v>0</v>
      </c>
      <c r="AJ478">
        <f>IF($AE478="","",IFERROR(VLOOKUP(TRIM($AE478),DECODE!$H$3:$I$60,2,FALSE),"Rest of India"))</f>
        <v/>
      </c>
      <c r="AK478">
        <f>IF($N478="","",UPPER(TRIM(LEFT($N478&amp;",",FIND(",",$N478&amp;",")-1))))</f>
        <v/>
      </c>
      <c r="AL478">
        <f>IF($AK478="","",MID($AK478,4,FIND("~",SUBSTITUTE($AK478,"-","~",2))-4))</f>
        <v/>
      </c>
      <c r="AM478">
        <f>IF($AK478="","",MID($AK478,FIND("~",SUBSTITUTE($AK478,"-","~",2))+1,FIND("~",SUBSTITUTE($AK478,"-","~",3))-FIND("~",SUBSTITUTE($AK478,"-","~",2))-1))</f>
        <v/>
      </c>
      <c r="AN478">
        <f>IF($AL478="","",IFERROR(VLOOKUP($AL478,DECODE!$A$3:$C$8,3,FALSE),"?"))</f>
        <v/>
      </c>
      <c r="AO478">
        <f>IF($AM478="","",IFERROR(VLOOKUP($AL478&amp;"-"&amp;$AM478,DECODE!$E$3:$F$21,2,FALSE),"?"))</f>
        <v/>
      </c>
      <c r="AP478">
        <f>IF($AK478="","",IFERROR(VALUE(RIGHT($AK478,3)),""))</f>
        <v/>
      </c>
      <c r="AQ478">
        <f>IF($T478="","",IFERROR(IF(ISNUMBER($T478),$T478,DATEVALUE(TRIM($T478))),""))</f>
        <v/>
      </c>
      <c r="AR478">
        <f>IF($AQ478="","",IF(MONTH($AQ478)&gt;=12,"Cold Winter",IF(MONTH($AQ478)&gt;=10,"Post-Monsoon",IF(MONTH($AQ478)&gt;=6,"Hot Humid",IF(MONTH($AQ478)&gt;=3,"Hot Dry","Cold Winter")))))</f>
        <v/>
      </c>
      <c r="AS478">
        <f>IF($AL478="","",IFERROR(VLOOKUP($AL478,DECODE!$A$3:$C$8,2,FALSE),"?"))</f>
        <v/>
      </c>
      <c r="AT478">
        <f>IF($O478="","",UPPER(TRIM(LEFT($O478&amp;",",FIND(",",$O478&amp;",")-1))))</f>
        <v/>
      </c>
      <c r="AU478">
        <f>IF($AT478="","",MID($AT478,4,FIND("~",SUBSTITUTE($AT478,"-","~",2))-4))</f>
        <v/>
      </c>
      <c r="AV478">
        <f>IF($AT478="","",MID($AT478,FIND("~",SUBSTITUTE($AT478,"-","~",2))+1,FIND("~",SUBSTITUTE($AT478,"-","~",3))-FIND("~",SUBSTITUTE($AT478,"-","~",2))-1))</f>
        <v/>
      </c>
      <c r="AW478">
        <f>IF($AU478="","",IFERROR(VLOOKUP($AU478,DECODE!$A$3:$C$8,3,FALSE),"?"))</f>
        <v/>
      </c>
      <c r="AX478">
        <f>IF($AV478="","",IFERROR(VLOOKUP($AU478&amp;"-"&amp;$AV478,DECODE!$E$3:$F$21,2,FALSE),"?"))</f>
        <v/>
      </c>
      <c r="AY478">
        <f>IF($AT478="","",IFERROR(VALUE(RIGHT($AT478,3)),""))</f>
        <v/>
      </c>
      <c r="AZ478">
        <f>IF($U478="","",IFERROR(IF(ISNUMBER($U478),$U478,DATEVALUE(TRIM($U478))),""))</f>
        <v/>
      </c>
      <c r="BA478">
        <f>IF($AZ478="","",IF(MONTH($AZ478)&gt;=12,"Cold Winter",IF(MONTH($AZ478)&gt;=10,"Post-Monsoon",IF(MONTH($AZ478)&gt;=6,"Hot Humid",IF(MONTH($AZ478)&gt;=3,"Hot Dry","Cold Winter")))))</f>
        <v/>
      </c>
      <c r="BB478">
        <f>IF($AU478="","",IFERROR(VLOOKUP($AU478,DECODE!$A$3:$C$8,2,FALSE),"?"))</f>
        <v/>
      </c>
      <c r="BC478">
        <f>IF($P478="","",UPPER(TRIM(LEFT($P478&amp;",",FIND(",",$P478&amp;",")-1))))</f>
        <v/>
      </c>
      <c r="BD478">
        <f>IF($BC478="","",MID($BC478,4,FIND("~",SUBSTITUTE($BC478,"-","~",2))-4))</f>
        <v/>
      </c>
      <c r="BE478">
        <f>IF($BC478="","",MID($BC478,FIND("~",SUBSTITUTE($BC478,"-","~",2))+1,FIND("~",SUBSTITUTE($BC478,"-","~",3))-FIND("~",SUBSTITUTE($BC478,"-","~",2))-1))</f>
        <v/>
      </c>
      <c r="BF478">
        <f>IF($BD478="","",IFERROR(VLOOKUP($BD478,DECODE!$A$3:$C$8,3,FALSE),"?"))</f>
        <v/>
      </c>
      <c r="BG478">
        <f>IF($BE478="","",IFERROR(VLOOKUP($BD478&amp;"-"&amp;$BE478,DECODE!$E$3:$F$21,2,FALSE),"?"))</f>
        <v/>
      </c>
      <c r="BH478">
        <f>IF($BC478="","",IFERROR(VALUE(RIGHT($BC478,3)),""))</f>
        <v/>
      </c>
      <c r="BI478">
        <f>IF($V478="","",IFERROR(IF(ISNUMBER($V478),$V478,DATEVALUE(TRIM($V478))),""))</f>
        <v/>
      </c>
      <c r="BJ478">
        <f>IF($BI478="","",IF(MONTH($BI478)&gt;=12,"Cold Winter",IF(MONTH($BI478)&gt;=10,"Post-Monsoon",IF(MONTH($BI478)&gt;=6,"Hot Humid",IF(MONTH($BI478)&gt;=3,"Hot Dry","Cold Winter")))))</f>
        <v/>
      </c>
      <c r="BK478">
        <f>IF($BD478="","",IFERROR(VLOOKUP($BD478,DECODE!$A$3:$C$8,2,FALSE),"?"))</f>
        <v/>
      </c>
      <c r="BL478">
        <f>IF($Q478="","",UPPER(TRIM(LEFT($Q478&amp;",",FIND(",",$Q478&amp;",")-1))))</f>
        <v/>
      </c>
      <c r="BM478">
        <f>IF($BL478="","",MID($BL478,4,FIND("~",SUBSTITUTE($BL478,"-","~",2))-4))</f>
        <v/>
      </c>
      <c r="BN478">
        <f>IF($BL478="","",MID($BL478,FIND("~",SUBSTITUTE($BL478,"-","~",2))+1,FIND("~",SUBSTITUTE($BL478,"-","~",3))-FIND("~",SUBSTITUTE($BL478,"-","~",2))-1))</f>
        <v/>
      </c>
      <c r="BO478">
        <f>IF($BM478="","",IFERROR(VLOOKUP($BM478,DECODE!$A$3:$C$8,3,FALSE),"?"))</f>
        <v/>
      </c>
      <c r="BP478">
        <f>IF($BN478="","",IFERROR(VLOOKUP($BM478&amp;"-"&amp;$BN478,DECODE!$E$3:$F$21,2,FALSE),"?"))</f>
        <v/>
      </c>
      <c r="BQ478">
        <f>IF($BL478="","",IFERROR(VALUE(RIGHT($BL478,3)),""))</f>
        <v/>
      </c>
      <c r="BR478">
        <f>IF($W478="","",IFERROR(IF(ISNUMBER($W478),$W478,DATEVALUE(TRIM($W478))),""))</f>
        <v/>
      </c>
      <c r="BS478">
        <f>IF($BR478="","",IF(MONTH($BR478)&gt;=12,"Cold Winter",IF(MONTH($BR478)&gt;=10,"Post-Monsoon",IF(MONTH($BR478)&gt;=6,"Hot Humid",IF(MONTH($BR478)&gt;=3,"Hot Dry","Cold Winter")))))</f>
        <v/>
      </c>
      <c r="BT478">
        <f>IF($BM478="","",IFERROR(VLOOKUP($BM478,DECODE!$A$3:$C$8,2,FALSE),"?"))</f>
        <v/>
      </c>
      <c r="BU478">
        <f>IF($R478="","",UPPER(TRIM(LEFT($R478&amp;",",FIND(",",$R478&amp;",")-1))))</f>
        <v/>
      </c>
      <c r="BV478">
        <f>IF($BU478="","",MID($BU478,4,FIND("~",SUBSTITUTE($BU478,"-","~",2))-4))</f>
        <v/>
      </c>
      <c r="BW478">
        <f>IF($BU478="","",MID($BU478,FIND("~",SUBSTITUTE($BU478,"-","~",2))+1,FIND("~",SUBSTITUTE($BU478,"-","~",3))-FIND("~",SUBSTITUTE($BU478,"-","~",2))-1))</f>
        <v/>
      </c>
      <c r="BX478">
        <f>IF($BV478="","",IFERROR(VLOOKUP($BV478,DECODE!$A$3:$C$8,3,FALSE),"?"))</f>
        <v/>
      </c>
      <c r="BY478">
        <f>IF($BW478="","",IFERROR(VLOOKUP($BV478&amp;"-"&amp;$BW478,DECODE!$E$3:$F$21,2,FALSE),"?"))</f>
        <v/>
      </c>
      <c r="BZ478">
        <f>IF($BU478="","",IFERROR(VALUE(RIGHT($BU478,3)),""))</f>
        <v/>
      </c>
      <c r="CA478">
        <f>IF($X478="","",IFERROR(IF(ISNUMBER($X478),$X478,DATEVALUE(TRIM($X478))),""))</f>
        <v/>
      </c>
      <c r="CB478">
        <f>IF($CA478="","",IF(MONTH($CA478)&gt;=12,"Cold Winter",IF(MONTH($CA478)&gt;=10,"Post-Monsoon",IF(MONTH($CA478)&gt;=6,"Hot Humid",IF(MONTH($CA478)&gt;=3,"Hot Dry","Cold Winter")))))</f>
        <v/>
      </c>
      <c r="CC478">
        <f>IF($BV478="","",IFERROR(VLOOKUP($BV478,DECODE!$A$3:$C$8,2,FALSE),"?"))</f>
        <v/>
      </c>
      <c r="CD478">
        <f>IF($S478="","",UPPER(TRIM(LEFT($S478&amp;",",FIND(",",$S478&amp;",")-1))))</f>
        <v/>
      </c>
      <c r="CE478">
        <f>IF($CD478="","",MID($CD478,4,FIND("~",SUBSTITUTE($CD478,"-","~",2))-4))</f>
        <v/>
      </c>
      <c r="CF478">
        <f>IF($CD478="","",MID($CD478,FIND("~",SUBSTITUTE($CD478,"-","~",2))+1,FIND("~",SUBSTITUTE($CD478,"-","~",3))-FIND("~",SUBSTITUTE($CD478,"-","~",2))-1))</f>
        <v/>
      </c>
      <c r="CG478">
        <f>IF($CE478="","",IFERROR(VLOOKUP($CE478,DECODE!$A$3:$C$8,3,FALSE),"?"))</f>
        <v/>
      </c>
      <c r="CH478">
        <f>IF($CF478="","",IFERROR(VLOOKUP($CE478&amp;"-"&amp;$CF478,DECODE!$E$3:$F$21,2,FALSE),"?"))</f>
        <v/>
      </c>
      <c r="CI478">
        <f>IF($CD478="","",IFERROR(VALUE(RIGHT($CD478,3)),""))</f>
        <v/>
      </c>
      <c r="CJ478">
        <f>IF($Y478="","",IFERROR(IF(ISNUMBER($Y478),$Y478,DATEVALUE(TRIM($Y478))),""))</f>
        <v/>
      </c>
      <c r="CK478">
        <f>IF($CJ478="","",IF(MONTH($CJ478)&gt;=12,"Cold Winter",IF(MONTH($CJ478)&gt;=10,"Post-Monsoon",IF(MONTH($CJ478)&gt;=6,"Hot Humid",IF(MONTH($CJ478)&gt;=3,"Hot Dry","Cold Winter")))))</f>
        <v/>
      </c>
      <c r="CL478">
        <f>IF($CE478="","",IFERROR(VLOOKUP($CE478,DECODE!$A$3:$C$8,2,FALSE),"?"))</f>
        <v/>
      </c>
      <c r="CM478">
        <f>IF($AN478="","",AN478)</f>
        <v/>
      </c>
      <c r="CN478">
        <f>IF($AO478="","",AO478)</f>
        <v/>
      </c>
      <c r="CO478">
        <f>IF($AP478="","",AP478)</f>
        <v/>
      </c>
      <c r="CP478">
        <f>IF($CM478="","",IF($CM478="Aloe Vera Gel","Aloe Vera Gel "&amp;$CO478&amp;"g",CN478&amp;" "&amp;$CO478&amp;"g"))</f>
        <v/>
      </c>
      <c r="CQ478">
        <f>IF($AT478="",0,1)</f>
        <v/>
      </c>
      <c r="CR478">
        <f>IF($CQ478=0,"",AW478)</f>
        <v/>
      </c>
      <c r="CS478">
        <f>IF($CQ478=0,"",AX478)</f>
        <v/>
      </c>
      <c r="CT478">
        <f>IF($CQ478=0,"",AY478)</f>
        <v/>
      </c>
      <c r="CU478">
        <f>IF($CR478="","",IF($CR478="Aloe Vera Gel","Aloe Vera Gel "&amp;$CT478&amp;"g",CS478&amp;" "&amp;$CT478&amp;"g"))</f>
        <v/>
      </c>
      <c r="CV478">
        <f>IF($CQ478=0,"",IF($CP478=$CU478,"Repeat Exact",IF($CT478&gt;$CO478,"Upsized",IF($CT478&lt;$CO478,"Downsized",IF($CM478&lt;&gt;$CR478,"Lateral","Same Size Diff Variant")))))</f>
        <v/>
      </c>
      <c r="CW478">
        <f>IF($CQ478=0,"",AZ478-AQ478)</f>
        <v/>
      </c>
      <c r="CX478">
        <f>IF($CQ478=0,0,IF(CS478=CN478,1,0))</f>
        <v/>
      </c>
      <c r="CY478">
        <f>IF($CQ478=0,0,IF(CR478=CM478,1,0))</f>
        <v/>
      </c>
      <c r="CZ478">
        <f>IF($A478="","",IF(AND(IF(DASHBOARD!$C$4="All",TRUE,$CM478=DASHBOARD!$C$4),IF(DASHBOARD!$C$6="All",TRUE,$CP478=DASHBOARD!$C$6),IF(DASHBOARD!$C$8="All",TRUE,$AF478&gt;=DASHBOARD!$C$8),IF(DASHBOARD!$C$10="All",TRUE,$AF478&lt;=DASHBOARD!$C$10),IF(DASHBOARD!$C$12="All",TRUE,$AH478=VALUE(DASHBOARD!$C$12)),IF(DASHBOARD!$C$14="All",TRUE,$AJ478=DASHBOARD!$C$14)),1,0))</f>
        <v/>
      </c>
    </row>
    <row r="479">
      <c r="A479" t="n">
        <v>222206</v>
      </c>
      <c r="B479" t="inlineStr">
        <is>
          <t>Face Malai</t>
        </is>
      </c>
      <c r="C479" t="inlineStr">
        <is>
          <t>Face Malai</t>
        </is>
      </c>
      <c r="D479" t="inlineStr">
        <is>
          <t>Face Malai</t>
        </is>
      </c>
      <c r="E479" t="inlineStr">
        <is>
          <t>Face Malai</t>
        </is>
      </c>
      <c r="H479" t="inlineStr">
        <is>
          <t>Turmeric Nutmeg (Pigmentation)  Face Malai - 30g</t>
        </is>
      </c>
      <c r="I479" t="inlineStr">
        <is>
          <t>Turmeric Nutmeg (Pigmentation)  Face Malai - 30g</t>
        </is>
      </c>
      <c r="J479" t="inlineStr">
        <is>
          <t>Turmeric Nutmeg (Pigmentation)  Face Malai - 30g</t>
        </is>
      </c>
      <c r="K479" t="inlineStr">
        <is>
          <t>Flax Bakuchi (Hot Dry) 35+ Face Malai - 30g</t>
        </is>
      </c>
      <c r="N479" t="inlineStr">
        <is>
          <t>FC-DM-PG-030</t>
        </is>
      </c>
      <c r="O479" t="inlineStr">
        <is>
          <t>FC-DM-PG-030</t>
        </is>
      </c>
      <c r="P479" t="inlineStr">
        <is>
          <t>FC-DM-PG-030</t>
        </is>
      </c>
      <c r="Q479" t="inlineStr">
        <is>
          <t>FC-HDDM-FB-030</t>
        </is>
      </c>
      <c r="T479" t="inlineStr">
        <is>
          <t>Feb 26, 2024</t>
        </is>
      </c>
      <c r="U479" t="inlineStr">
        <is>
          <t>Nov 13, 2024</t>
        </is>
      </c>
      <c r="V479" t="inlineStr">
        <is>
          <t>Mar 25, 2025</t>
        </is>
      </c>
      <c r="W479" t="inlineStr">
        <is>
          <t>Dec 21, 2025</t>
        </is>
      </c>
      <c r="Z479" t="n">
        <v>261</v>
      </c>
      <c r="AA479" t="n">
        <v>132</v>
      </c>
      <c r="AB479" t="n">
        <v>271</v>
      </c>
      <c r="AE479" t="inlineStr">
        <is>
          <t>New Delhi</t>
        </is>
      </c>
      <c r="AF479" t="inlineStr">
        <is>
          <t>2024-02</t>
        </is>
      </c>
      <c r="AG479" t="n">
        <v>2</v>
      </c>
      <c r="AH479" t="n">
        <v>4</v>
      </c>
      <c r="AI479" t="n">
        <v>1</v>
      </c>
      <c r="AJ479">
        <f>IF($AE479="","",IFERROR(VLOOKUP(TRIM($AE479),DECODE!$H$3:$I$60,2,FALSE),"Rest of India"))</f>
        <v/>
      </c>
      <c r="AK479">
        <f>IF($N479="","",UPPER(TRIM(LEFT($N479&amp;",",FIND(",",$N479&amp;",")-1))))</f>
        <v/>
      </c>
      <c r="AL479">
        <f>IF($AK479="","",MID($AK479,4,FIND("~",SUBSTITUTE($AK479,"-","~",2))-4))</f>
        <v/>
      </c>
      <c r="AM479">
        <f>IF($AK479="","",MID($AK479,FIND("~",SUBSTITUTE($AK479,"-","~",2))+1,FIND("~",SUBSTITUTE($AK479,"-","~",3))-FIND("~",SUBSTITUTE($AK479,"-","~",2))-1))</f>
        <v/>
      </c>
      <c r="AN479">
        <f>IF($AL479="","",IFERROR(VLOOKUP($AL479,DECODE!$A$3:$C$8,3,FALSE),"?"))</f>
        <v/>
      </c>
      <c r="AO479">
        <f>IF($AM479="","",IFERROR(VLOOKUP($AL479&amp;"-"&amp;$AM479,DECODE!$E$3:$F$21,2,FALSE),"?"))</f>
        <v/>
      </c>
      <c r="AP479">
        <f>IF($AK479="","",IFERROR(VALUE(RIGHT($AK479,3)),""))</f>
        <v/>
      </c>
      <c r="AQ479">
        <f>IF($T479="","",IFERROR(IF(ISNUMBER($T479),$T479,DATEVALUE(TRIM($T479))),""))</f>
        <v/>
      </c>
      <c r="AR479">
        <f>IF($AQ479="","",IF(MONTH($AQ479)&gt;=12,"Cold Winter",IF(MONTH($AQ479)&gt;=10,"Post-Monsoon",IF(MONTH($AQ479)&gt;=6,"Hot Humid",IF(MONTH($AQ479)&gt;=3,"Hot Dry","Cold Winter")))))</f>
        <v/>
      </c>
      <c r="AS479">
        <f>IF($AL479="","",IFERROR(VLOOKUP($AL479,DECODE!$A$3:$C$8,2,FALSE),"?"))</f>
        <v/>
      </c>
      <c r="AT479">
        <f>IF($O479="","",UPPER(TRIM(LEFT($O479&amp;",",FIND(",",$O479&amp;",")-1))))</f>
        <v/>
      </c>
      <c r="AU479">
        <f>IF($AT479="","",MID($AT479,4,FIND("~",SUBSTITUTE($AT479,"-","~",2))-4))</f>
        <v/>
      </c>
      <c r="AV479">
        <f>IF($AT479="","",MID($AT479,FIND("~",SUBSTITUTE($AT479,"-","~",2))+1,FIND("~",SUBSTITUTE($AT479,"-","~",3))-FIND("~",SUBSTITUTE($AT479,"-","~",2))-1))</f>
        <v/>
      </c>
      <c r="AW479">
        <f>IF($AU479="","",IFERROR(VLOOKUP($AU479,DECODE!$A$3:$C$8,3,FALSE),"?"))</f>
        <v/>
      </c>
      <c r="AX479">
        <f>IF($AV479="","",IFERROR(VLOOKUP($AU479&amp;"-"&amp;$AV479,DECODE!$E$3:$F$21,2,FALSE),"?"))</f>
        <v/>
      </c>
      <c r="AY479">
        <f>IF($AT479="","",IFERROR(VALUE(RIGHT($AT479,3)),""))</f>
        <v/>
      </c>
      <c r="AZ479">
        <f>IF($U479="","",IFERROR(IF(ISNUMBER($U479),$U479,DATEVALUE(TRIM($U479))),""))</f>
        <v/>
      </c>
      <c r="BA479">
        <f>IF($AZ479="","",IF(MONTH($AZ479)&gt;=12,"Cold Winter",IF(MONTH($AZ479)&gt;=10,"Post-Monsoon",IF(MONTH($AZ479)&gt;=6,"Hot Humid",IF(MONTH($AZ479)&gt;=3,"Hot Dry","Cold Winter")))))</f>
        <v/>
      </c>
      <c r="BB479">
        <f>IF($AU479="","",IFERROR(VLOOKUP($AU479,DECODE!$A$3:$C$8,2,FALSE),"?"))</f>
        <v/>
      </c>
      <c r="BC479">
        <f>IF($P479="","",UPPER(TRIM(LEFT($P479&amp;",",FIND(",",$P479&amp;",")-1))))</f>
        <v/>
      </c>
      <c r="BD479">
        <f>IF($BC479="","",MID($BC479,4,FIND("~",SUBSTITUTE($BC479,"-","~",2))-4))</f>
        <v/>
      </c>
      <c r="BE479">
        <f>IF($BC479="","",MID($BC479,FIND("~",SUBSTITUTE($BC479,"-","~",2))+1,FIND("~",SUBSTITUTE($BC479,"-","~",3))-FIND("~",SUBSTITUTE($BC479,"-","~",2))-1))</f>
        <v/>
      </c>
      <c r="BF479">
        <f>IF($BD479="","",IFERROR(VLOOKUP($BD479,DECODE!$A$3:$C$8,3,FALSE),"?"))</f>
        <v/>
      </c>
      <c r="BG479">
        <f>IF($BE479="","",IFERROR(VLOOKUP($BD479&amp;"-"&amp;$BE479,DECODE!$E$3:$F$21,2,FALSE),"?"))</f>
        <v/>
      </c>
      <c r="BH479">
        <f>IF($BC479="","",IFERROR(VALUE(RIGHT($BC479,3)),""))</f>
        <v/>
      </c>
      <c r="BI479">
        <f>IF($V479="","",IFERROR(IF(ISNUMBER($V479),$V479,DATEVALUE(TRIM($V479))),""))</f>
        <v/>
      </c>
      <c r="BJ479">
        <f>IF($BI479="","",IF(MONTH($BI479)&gt;=12,"Cold Winter",IF(MONTH($BI479)&gt;=10,"Post-Monsoon",IF(MONTH($BI479)&gt;=6,"Hot Humid",IF(MONTH($BI479)&gt;=3,"Hot Dry","Cold Winter")))))</f>
        <v/>
      </c>
      <c r="BK479">
        <f>IF($BD479="","",IFERROR(VLOOKUP($BD479,DECODE!$A$3:$C$8,2,FALSE),"?"))</f>
        <v/>
      </c>
      <c r="BL479">
        <f>IF($Q479="","",UPPER(TRIM(LEFT($Q479&amp;",",FIND(",",$Q479&amp;",")-1))))</f>
        <v/>
      </c>
      <c r="BM479">
        <f>IF($BL479="","",MID($BL479,4,FIND("~",SUBSTITUTE($BL479,"-","~",2))-4))</f>
        <v/>
      </c>
      <c r="BN479">
        <f>IF($BL479="","",MID($BL479,FIND("~",SUBSTITUTE($BL479,"-","~",2))+1,FIND("~",SUBSTITUTE($BL479,"-","~",3))-FIND("~",SUBSTITUTE($BL479,"-","~",2))-1))</f>
        <v/>
      </c>
      <c r="BO479">
        <f>IF($BM479="","",IFERROR(VLOOKUP($BM479,DECODE!$A$3:$C$8,3,FALSE),"?"))</f>
        <v/>
      </c>
      <c r="BP479">
        <f>IF($BN479="","",IFERROR(VLOOKUP($BM479&amp;"-"&amp;$BN479,DECODE!$E$3:$F$21,2,FALSE),"?"))</f>
        <v/>
      </c>
      <c r="BQ479">
        <f>IF($BL479="","",IFERROR(VALUE(RIGHT($BL479,3)),""))</f>
        <v/>
      </c>
      <c r="BR479">
        <f>IF($W479="","",IFERROR(IF(ISNUMBER($W479),$W479,DATEVALUE(TRIM($W479))),""))</f>
        <v/>
      </c>
      <c r="BS479">
        <f>IF($BR479="","",IF(MONTH($BR479)&gt;=12,"Cold Winter",IF(MONTH($BR479)&gt;=10,"Post-Monsoon",IF(MONTH($BR479)&gt;=6,"Hot Humid",IF(MONTH($BR479)&gt;=3,"Hot Dry","Cold Winter")))))</f>
        <v/>
      </c>
      <c r="BT479">
        <f>IF($BM479="","",IFERROR(VLOOKUP($BM479,DECODE!$A$3:$C$8,2,FALSE),"?"))</f>
        <v/>
      </c>
      <c r="BU479">
        <f>IF($R479="","",UPPER(TRIM(LEFT($R479&amp;",",FIND(",",$R479&amp;",")-1))))</f>
        <v/>
      </c>
      <c r="BV479">
        <f>IF($BU479="","",MID($BU479,4,FIND("~",SUBSTITUTE($BU479,"-","~",2))-4))</f>
        <v/>
      </c>
      <c r="BW479">
        <f>IF($BU479="","",MID($BU479,FIND("~",SUBSTITUTE($BU479,"-","~",2))+1,FIND("~",SUBSTITUTE($BU479,"-","~",3))-FIND("~",SUBSTITUTE($BU479,"-","~",2))-1))</f>
        <v/>
      </c>
      <c r="BX479">
        <f>IF($BV479="","",IFERROR(VLOOKUP($BV479,DECODE!$A$3:$C$8,3,FALSE),"?"))</f>
        <v/>
      </c>
      <c r="BY479">
        <f>IF($BW479="","",IFERROR(VLOOKUP($BV479&amp;"-"&amp;$BW479,DECODE!$E$3:$F$21,2,FALSE),"?"))</f>
        <v/>
      </c>
      <c r="BZ479">
        <f>IF($BU479="","",IFERROR(VALUE(RIGHT($BU479,3)),""))</f>
        <v/>
      </c>
      <c r="CA479">
        <f>IF($X479="","",IFERROR(IF(ISNUMBER($X479),$X479,DATEVALUE(TRIM($X479))),""))</f>
        <v/>
      </c>
      <c r="CB479">
        <f>IF($CA479="","",IF(MONTH($CA479)&gt;=12,"Cold Winter",IF(MONTH($CA479)&gt;=10,"Post-Monsoon",IF(MONTH($CA479)&gt;=6,"Hot Humid",IF(MONTH($CA479)&gt;=3,"Hot Dry","Cold Winter")))))</f>
        <v/>
      </c>
      <c r="CC479">
        <f>IF($BV479="","",IFERROR(VLOOKUP($BV479,DECODE!$A$3:$C$8,2,FALSE),"?"))</f>
        <v/>
      </c>
      <c r="CD479">
        <f>IF($S479="","",UPPER(TRIM(LEFT($S479&amp;",",FIND(",",$S479&amp;",")-1))))</f>
        <v/>
      </c>
      <c r="CE479">
        <f>IF($CD479="","",MID($CD479,4,FIND("~",SUBSTITUTE($CD479,"-","~",2))-4))</f>
        <v/>
      </c>
      <c r="CF479">
        <f>IF($CD479="","",MID($CD479,FIND("~",SUBSTITUTE($CD479,"-","~",2))+1,FIND("~",SUBSTITUTE($CD479,"-","~",3))-FIND("~",SUBSTITUTE($CD479,"-","~",2))-1))</f>
        <v/>
      </c>
      <c r="CG479">
        <f>IF($CE479="","",IFERROR(VLOOKUP($CE479,DECODE!$A$3:$C$8,3,FALSE),"?"))</f>
        <v/>
      </c>
      <c r="CH479">
        <f>IF($CF479="","",IFERROR(VLOOKUP($CE479&amp;"-"&amp;$CF479,DECODE!$E$3:$F$21,2,FALSE),"?"))</f>
        <v/>
      </c>
      <c r="CI479">
        <f>IF($CD479="","",IFERROR(VALUE(RIGHT($CD479,3)),""))</f>
        <v/>
      </c>
      <c r="CJ479">
        <f>IF($Y479="","",IFERROR(IF(ISNUMBER($Y479),$Y479,DATEVALUE(TRIM($Y479))),""))</f>
        <v/>
      </c>
      <c r="CK479">
        <f>IF($CJ479="","",IF(MONTH($CJ479)&gt;=12,"Cold Winter",IF(MONTH($CJ479)&gt;=10,"Post-Monsoon",IF(MONTH($CJ479)&gt;=6,"Hot Humid",IF(MONTH($CJ479)&gt;=3,"Hot Dry","Cold Winter")))))</f>
        <v/>
      </c>
      <c r="CL479">
        <f>IF($CE479="","",IFERROR(VLOOKUP($CE479,DECODE!$A$3:$C$8,2,FALSE),"?"))</f>
        <v/>
      </c>
      <c r="CM479">
        <f>IF($AN479="","",AN479)</f>
        <v/>
      </c>
      <c r="CN479">
        <f>IF($AO479="","",AO479)</f>
        <v/>
      </c>
      <c r="CO479">
        <f>IF($AP479="","",AP479)</f>
        <v/>
      </c>
      <c r="CP479">
        <f>IF($CM479="","",IF($CM479="Aloe Vera Gel","Aloe Vera Gel "&amp;$CO479&amp;"g",CN479&amp;" "&amp;$CO479&amp;"g"))</f>
        <v/>
      </c>
      <c r="CQ479">
        <f>IF($AT479="",0,1)</f>
        <v/>
      </c>
      <c r="CR479">
        <f>IF($CQ479=0,"",AW479)</f>
        <v/>
      </c>
      <c r="CS479">
        <f>IF($CQ479=0,"",AX479)</f>
        <v/>
      </c>
      <c r="CT479">
        <f>IF($CQ479=0,"",AY479)</f>
        <v/>
      </c>
      <c r="CU479">
        <f>IF($CR479="","",IF($CR479="Aloe Vera Gel","Aloe Vera Gel "&amp;$CT479&amp;"g",CS479&amp;" "&amp;$CT479&amp;"g"))</f>
        <v/>
      </c>
      <c r="CV479">
        <f>IF($CQ479=0,"",IF($CP479=$CU479,"Repeat Exact",IF($CT479&gt;$CO479,"Upsized",IF($CT479&lt;$CO479,"Downsized",IF($CM479&lt;&gt;$CR479,"Lateral","Same Size Diff Variant")))))</f>
        <v/>
      </c>
      <c r="CW479">
        <f>IF($CQ479=0,"",AZ479-AQ479)</f>
        <v/>
      </c>
      <c r="CX479">
        <f>IF($CQ479=0,0,IF(CS479=CN479,1,0))</f>
        <v/>
      </c>
      <c r="CY479">
        <f>IF($CQ479=0,0,IF(CR479=CM479,1,0))</f>
        <v/>
      </c>
      <c r="CZ479">
        <f>IF($A479="","",IF(AND(IF(DASHBOARD!$C$4="All",TRUE,$CM479=DASHBOARD!$C$4),IF(DASHBOARD!$C$6="All",TRUE,$CP479=DASHBOARD!$C$6),IF(DASHBOARD!$C$8="All",TRUE,$AF479&gt;=DASHBOARD!$C$8),IF(DASHBOARD!$C$10="All",TRUE,$AF479&lt;=DASHBOARD!$C$10),IF(DASHBOARD!$C$12="All",TRUE,$AH479=VALUE(DASHBOARD!$C$12)),IF(DASHBOARD!$C$14="All",TRUE,$AJ479=DASHBOARD!$C$14)),1,0))</f>
        <v/>
      </c>
    </row>
    <row r="480">
      <c r="A480" t="n">
        <v>222525</v>
      </c>
      <c r="B480" t="inlineStr">
        <is>
          <t>Aloe Vera Gel</t>
        </is>
      </c>
      <c r="H480" t="inlineStr">
        <is>
          <t>Aloe Vera Gel - 40 gms</t>
        </is>
      </c>
      <c r="N480" t="inlineStr">
        <is>
          <t>FC-HG-PA-040</t>
        </is>
      </c>
      <c r="T480" t="inlineStr">
        <is>
          <t>Oct 12, 2024</t>
        </is>
      </c>
      <c r="AE480" t="inlineStr">
        <is>
          <t>Ernakulam</t>
        </is>
      </c>
      <c r="AF480" t="inlineStr">
        <is>
          <t>2024-10</t>
        </is>
      </c>
      <c r="AG480" t="n">
        <v>10</v>
      </c>
      <c r="AH480" t="n">
        <v>1</v>
      </c>
      <c r="AI480" t="n">
        <v>0</v>
      </c>
      <c r="AJ480">
        <f>IF($AE480="","",IFERROR(VLOOKUP(TRIM($AE480),DECODE!$H$3:$I$60,2,FALSE),"Rest of India"))</f>
        <v/>
      </c>
      <c r="AK480">
        <f>IF($N480="","",UPPER(TRIM(LEFT($N480&amp;",",FIND(",",$N480&amp;",")-1))))</f>
        <v/>
      </c>
      <c r="AL480">
        <f>IF($AK480="","",MID($AK480,4,FIND("~",SUBSTITUTE($AK480,"-","~",2))-4))</f>
        <v/>
      </c>
      <c r="AM480">
        <f>IF($AK480="","",MID($AK480,FIND("~",SUBSTITUTE($AK480,"-","~",2))+1,FIND("~",SUBSTITUTE($AK480,"-","~",3))-FIND("~",SUBSTITUTE($AK480,"-","~",2))-1))</f>
        <v/>
      </c>
      <c r="AN480">
        <f>IF($AL480="","",IFERROR(VLOOKUP($AL480,DECODE!$A$3:$C$8,3,FALSE),"?"))</f>
        <v/>
      </c>
      <c r="AO480">
        <f>IF($AM480="","",IFERROR(VLOOKUP($AL480&amp;"-"&amp;$AM480,DECODE!$E$3:$F$21,2,FALSE),"?"))</f>
        <v/>
      </c>
      <c r="AP480">
        <f>IF($AK480="","",IFERROR(VALUE(RIGHT($AK480,3)),""))</f>
        <v/>
      </c>
      <c r="AQ480">
        <f>IF($T480="","",IFERROR(IF(ISNUMBER($T480),$T480,DATEVALUE(TRIM($T480))),""))</f>
        <v/>
      </c>
      <c r="AR480">
        <f>IF($AQ480="","",IF(MONTH($AQ480)&gt;=12,"Cold Winter",IF(MONTH($AQ480)&gt;=10,"Post-Monsoon",IF(MONTH($AQ480)&gt;=6,"Hot Humid",IF(MONTH($AQ480)&gt;=3,"Hot Dry","Cold Winter")))))</f>
        <v/>
      </c>
      <c r="AS480">
        <f>IF($AL480="","",IFERROR(VLOOKUP($AL480,DECODE!$A$3:$C$8,2,FALSE),"?"))</f>
        <v/>
      </c>
      <c r="AT480">
        <f>IF($O480="","",UPPER(TRIM(LEFT($O480&amp;",",FIND(",",$O480&amp;",")-1))))</f>
        <v/>
      </c>
      <c r="AU480">
        <f>IF($AT480="","",MID($AT480,4,FIND("~",SUBSTITUTE($AT480,"-","~",2))-4))</f>
        <v/>
      </c>
      <c r="AV480">
        <f>IF($AT480="","",MID($AT480,FIND("~",SUBSTITUTE($AT480,"-","~",2))+1,FIND("~",SUBSTITUTE($AT480,"-","~",3))-FIND("~",SUBSTITUTE($AT480,"-","~",2))-1))</f>
        <v/>
      </c>
      <c r="AW480">
        <f>IF($AU480="","",IFERROR(VLOOKUP($AU480,DECODE!$A$3:$C$8,3,FALSE),"?"))</f>
        <v/>
      </c>
      <c r="AX480">
        <f>IF($AV480="","",IFERROR(VLOOKUP($AU480&amp;"-"&amp;$AV480,DECODE!$E$3:$F$21,2,FALSE),"?"))</f>
        <v/>
      </c>
      <c r="AY480">
        <f>IF($AT480="","",IFERROR(VALUE(RIGHT($AT480,3)),""))</f>
        <v/>
      </c>
      <c r="AZ480">
        <f>IF($U480="","",IFERROR(IF(ISNUMBER($U480),$U480,DATEVALUE(TRIM($U480))),""))</f>
        <v/>
      </c>
      <c r="BA480">
        <f>IF($AZ480="","",IF(MONTH($AZ480)&gt;=12,"Cold Winter",IF(MONTH($AZ480)&gt;=10,"Post-Monsoon",IF(MONTH($AZ480)&gt;=6,"Hot Humid",IF(MONTH($AZ480)&gt;=3,"Hot Dry","Cold Winter")))))</f>
        <v/>
      </c>
      <c r="BB480">
        <f>IF($AU480="","",IFERROR(VLOOKUP($AU480,DECODE!$A$3:$C$8,2,FALSE),"?"))</f>
        <v/>
      </c>
      <c r="BC480">
        <f>IF($P480="","",UPPER(TRIM(LEFT($P480&amp;",",FIND(",",$P480&amp;",")-1))))</f>
        <v/>
      </c>
      <c r="BD480">
        <f>IF($BC480="","",MID($BC480,4,FIND("~",SUBSTITUTE($BC480,"-","~",2))-4))</f>
        <v/>
      </c>
      <c r="BE480">
        <f>IF($BC480="","",MID($BC480,FIND("~",SUBSTITUTE($BC480,"-","~",2))+1,FIND("~",SUBSTITUTE($BC480,"-","~",3))-FIND("~",SUBSTITUTE($BC480,"-","~",2))-1))</f>
        <v/>
      </c>
      <c r="BF480">
        <f>IF($BD480="","",IFERROR(VLOOKUP($BD480,DECODE!$A$3:$C$8,3,FALSE),"?"))</f>
        <v/>
      </c>
      <c r="BG480">
        <f>IF($BE480="","",IFERROR(VLOOKUP($BD480&amp;"-"&amp;$BE480,DECODE!$E$3:$F$21,2,FALSE),"?"))</f>
        <v/>
      </c>
      <c r="BH480">
        <f>IF($BC480="","",IFERROR(VALUE(RIGHT($BC480,3)),""))</f>
        <v/>
      </c>
      <c r="BI480">
        <f>IF($V480="","",IFERROR(IF(ISNUMBER($V480),$V480,DATEVALUE(TRIM($V480))),""))</f>
        <v/>
      </c>
      <c r="BJ480">
        <f>IF($BI480="","",IF(MONTH($BI480)&gt;=12,"Cold Winter",IF(MONTH($BI480)&gt;=10,"Post-Monsoon",IF(MONTH($BI480)&gt;=6,"Hot Humid",IF(MONTH($BI480)&gt;=3,"Hot Dry","Cold Winter")))))</f>
        <v/>
      </c>
      <c r="BK480">
        <f>IF($BD480="","",IFERROR(VLOOKUP($BD480,DECODE!$A$3:$C$8,2,FALSE),"?"))</f>
        <v/>
      </c>
      <c r="BL480">
        <f>IF($Q480="","",UPPER(TRIM(LEFT($Q480&amp;",",FIND(",",$Q480&amp;",")-1))))</f>
        <v/>
      </c>
      <c r="BM480">
        <f>IF($BL480="","",MID($BL480,4,FIND("~",SUBSTITUTE($BL480,"-","~",2))-4))</f>
        <v/>
      </c>
      <c r="BN480">
        <f>IF($BL480="","",MID($BL480,FIND("~",SUBSTITUTE($BL480,"-","~",2))+1,FIND("~",SUBSTITUTE($BL480,"-","~",3))-FIND("~",SUBSTITUTE($BL480,"-","~",2))-1))</f>
        <v/>
      </c>
      <c r="BO480">
        <f>IF($BM480="","",IFERROR(VLOOKUP($BM480,DECODE!$A$3:$C$8,3,FALSE),"?"))</f>
        <v/>
      </c>
      <c r="BP480">
        <f>IF($BN480="","",IFERROR(VLOOKUP($BM480&amp;"-"&amp;$BN480,DECODE!$E$3:$F$21,2,FALSE),"?"))</f>
        <v/>
      </c>
      <c r="BQ480">
        <f>IF($BL480="","",IFERROR(VALUE(RIGHT($BL480,3)),""))</f>
        <v/>
      </c>
      <c r="BR480">
        <f>IF($W480="","",IFERROR(IF(ISNUMBER($W480),$W480,DATEVALUE(TRIM($W480))),""))</f>
        <v/>
      </c>
      <c r="BS480">
        <f>IF($BR480="","",IF(MONTH($BR480)&gt;=12,"Cold Winter",IF(MONTH($BR480)&gt;=10,"Post-Monsoon",IF(MONTH($BR480)&gt;=6,"Hot Humid",IF(MONTH($BR480)&gt;=3,"Hot Dry","Cold Winter")))))</f>
        <v/>
      </c>
      <c r="BT480">
        <f>IF($BM480="","",IFERROR(VLOOKUP($BM480,DECODE!$A$3:$C$8,2,FALSE),"?"))</f>
        <v/>
      </c>
      <c r="BU480">
        <f>IF($R480="","",UPPER(TRIM(LEFT($R480&amp;",",FIND(",",$R480&amp;",")-1))))</f>
        <v/>
      </c>
      <c r="BV480">
        <f>IF($BU480="","",MID($BU480,4,FIND("~",SUBSTITUTE($BU480,"-","~",2))-4))</f>
        <v/>
      </c>
      <c r="BW480">
        <f>IF($BU480="","",MID($BU480,FIND("~",SUBSTITUTE($BU480,"-","~",2))+1,FIND("~",SUBSTITUTE($BU480,"-","~",3))-FIND("~",SUBSTITUTE($BU480,"-","~",2))-1))</f>
        <v/>
      </c>
      <c r="BX480">
        <f>IF($BV480="","",IFERROR(VLOOKUP($BV480,DECODE!$A$3:$C$8,3,FALSE),"?"))</f>
        <v/>
      </c>
      <c r="BY480">
        <f>IF($BW480="","",IFERROR(VLOOKUP($BV480&amp;"-"&amp;$BW480,DECODE!$E$3:$F$21,2,FALSE),"?"))</f>
        <v/>
      </c>
      <c r="BZ480">
        <f>IF($BU480="","",IFERROR(VALUE(RIGHT($BU480,3)),""))</f>
        <v/>
      </c>
      <c r="CA480">
        <f>IF($X480="","",IFERROR(IF(ISNUMBER($X480),$X480,DATEVALUE(TRIM($X480))),""))</f>
        <v/>
      </c>
      <c r="CB480">
        <f>IF($CA480="","",IF(MONTH($CA480)&gt;=12,"Cold Winter",IF(MONTH($CA480)&gt;=10,"Post-Monsoon",IF(MONTH($CA480)&gt;=6,"Hot Humid",IF(MONTH($CA480)&gt;=3,"Hot Dry","Cold Winter")))))</f>
        <v/>
      </c>
      <c r="CC480">
        <f>IF($BV480="","",IFERROR(VLOOKUP($BV480,DECODE!$A$3:$C$8,2,FALSE),"?"))</f>
        <v/>
      </c>
      <c r="CD480">
        <f>IF($S480="","",UPPER(TRIM(LEFT($S480&amp;",",FIND(",",$S480&amp;",")-1))))</f>
        <v/>
      </c>
      <c r="CE480">
        <f>IF($CD480="","",MID($CD480,4,FIND("~",SUBSTITUTE($CD480,"-","~",2))-4))</f>
        <v/>
      </c>
      <c r="CF480">
        <f>IF($CD480="","",MID($CD480,FIND("~",SUBSTITUTE($CD480,"-","~",2))+1,FIND("~",SUBSTITUTE($CD480,"-","~",3))-FIND("~",SUBSTITUTE($CD480,"-","~",2))-1))</f>
        <v/>
      </c>
      <c r="CG480">
        <f>IF($CE480="","",IFERROR(VLOOKUP($CE480,DECODE!$A$3:$C$8,3,FALSE),"?"))</f>
        <v/>
      </c>
      <c r="CH480">
        <f>IF($CF480="","",IFERROR(VLOOKUP($CE480&amp;"-"&amp;$CF480,DECODE!$E$3:$F$21,2,FALSE),"?"))</f>
        <v/>
      </c>
      <c r="CI480">
        <f>IF($CD480="","",IFERROR(VALUE(RIGHT($CD480,3)),""))</f>
        <v/>
      </c>
      <c r="CJ480">
        <f>IF($Y480="","",IFERROR(IF(ISNUMBER($Y480),$Y480,DATEVALUE(TRIM($Y480))),""))</f>
        <v/>
      </c>
      <c r="CK480">
        <f>IF($CJ480="","",IF(MONTH($CJ480)&gt;=12,"Cold Winter",IF(MONTH($CJ480)&gt;=10,"Post-Monsoon",IF(MONTH($CJ480)&gt;=6,"Hot Humid",IF(MONTH($CJ480)&gt;=3,"Hot Dry","Cold Winter")))))</f>
        <v/>
      </c>
      <c r="CL480">
        <f>IF($CE480="","",IFERROR(VLOOKUP($CE480,DECODE!$A$3:$C$8,2,FALSE),"?"))</f>
        <v/>
      </c>
      <c r="CM480">
        <f>IF($AN480="","",AN480)</f>
        <v/>
      </c>
      <c r="CN480">
        <f>IF($AO480="","",AO480)</f>
        <v/>
      </c>
      <c r="CO480">
        <f>IF($AP480="","",AP480)</f>
        <v/>
      </c>
      <c r="CP480">
        <f>IF($CM480="","",IF($CM480="Aloe Vera Gel","Aloe Vera Gel "&amp;$CO480&amp;"g",CN480&amp;" "&amp;$CO480&amp;"g"))</f>
        <v/>
      </c>
      <c r="CQ480">
        <f>IF($AT480="",0,1)</f>
        <v/>
      </c>
      <c r="CR480">
        <f>IF($CQ480=0,"",AW480)</f>
        <v/>
      </c>
      <c r="CS480">
        <f>IF($CQ480=0,"",AX480)</f>
        <v/>
      </c>
      <c r="CT480">
        <f>IF($CQ480=0,"",AY480)</f>
        <v/>
      </c>
      <c r="CU480">
        <f>IF($CR480="","",IF($CR480="Aloe Vera Gel","Aloe Vera Gel "&amp;$CT480&amp;"g",CS480&amp;" "&amp;$CT480&amp;"g"))</f>
        <v/>
      </c>
      <c r="CV480">
        <f>IF($CQ480=0,"",IF($CP480=$CU480,"Repeat Exact",IF($CT480&gt;$CO480,"Upsized",IF($CT480&lt;$CO480,"Downsized",IF($CM480&lt;&gt;$CR480,"Lateral","Same Size Diff Variant")))))</f>
        <v/>
      </c>
      <c r="CW480">
        <f>IF($CQ480=0,"",AZ480-AQ480)</f>
        <v/>
      </c>
      <c r="CX480">
        <f>IF($CQ480=0,0,IF(CS480=CN480,1,0))</f>
        <v/>
      </c>
      <c r="CY480">
        <f>IF($CQ480=0,0,IF(CR480=CM480,1,0))</f>
        <v/>
      </c>
      <c r="CZ480">
        <f>IF($A480="","",IF(AND(IF(DASHBOARD!$C$4="All",TRUE,$CM480=DASHBOARD!$C$4),IF(DASHBOARD!$C$6="All",TRUE,$CP480=DASHBOARD!$C$6),IF(DASHBOARD!$C$8="All",TRUE,$AF480&gt;=DASHBOARD!$C$8),IF(DASHBOARD!$C$10="All",TRUE,$AF480&lt;=DASHBOARD!$C$10),IF(DASHBOARD!$C$12="All",TRUE,$AH480=VALUE(DASHBOARD!$C$12)),IF(DASHBOARD!$C$14="All",TRUE,$AJ480=DASHBOARD!$C$14)),1,0))</f>
        <v/>
      </c>
    </row>
    <row r="481">
      <c r="A481" t="n">
        <v>222547</v>
      </c>
      <c r="B481" t="inlineStr">
        <is>
          <t>Face Malai</t>
        </is>
      </c>
      <c r="H481" t="inlineStr">
        <is>
          <t>Flax Walnut (Cold) 35+ Face Malai, Cocoa Mogra (Overnight) Face Malai - 30g</t>
        </is>
      </c>
      <c r="N481" t="inlineStr">
        <is>
          <t>FC-CWDM-FW-030, FC-DM-NR-030</t>
        </is>
      </c>
      <c r="T481" t="inlineStr">
        <is>
          <t>Dec 1, 2025</t>
        </is>
      </c>
      <c r="AE481" t="inlineStr">
        <is>
          <t>Raigarh</t>
        </is>
      </c>
      <c r="AF481" t="inlineStr">
        <is>
          <t>2025-12</t>
        </is>
      </c>
      <c r="AG481" t="n">
        <v>12</v>
      </c>
      <c r="AH481" t="n">
        <v>1</v>
      </c>
      <c r="AI481" t="n">
        <v>0</v>
      </c>
      <c r="AJ481">
        <f>IF($AE481="","",IFERROR(VLOOKUP(TRIM($AE481),DECODE!$H$3:$I$60,2,FALSE),"Rest of India"))</f>
        <v/>
      </c>
      <c r="AK481">
        <f>IF($N481="","",UPPER(TRIM(LEFT($N481&amp;",",FIND(",",$N481&amp;",")-1))))</f>
        <v/>
      </c>
      <c r="AL481">
        <f>IF($AK481="","",MID($AK481,4,FIND("~",SUBSTITUTE($AK481,"-","~",2))-4))</f>
        <v/>
      </c>
      <c r="AM481">
        <f>IF($AK481="","",MID($AK481,FIND("~",SUBSTITUTE($AK481,"-","~",2))+1,FIND("~",SUBSTITUTE($AK481,"-","~",3))-FIND("~",SUBSTITUTE($AK481,"-","~",2))-1))</f>
        <v/>
      </c>
      <c r="AN481">
        <f>IF($AL481="","",IFERROR(VLOOKUP($AL481,DECODE!$A$3:$C$8,3,FALSE),"?"))</f>
        <v/>
      </c>
      <c r="AO481">
        <f>IF($AM481="","",IFERROR(VLOOKUP($AL481&amp;"-"&amp;$AM481,DECODE!$E$3:$F$21,2,FALSE),"?"))</f>
        <v/>
      </c>
      <c r="AP481">
        <f>IF($AK481="","",IFERROR(VALUE(RIGHT($AK481,3)),""))</f>
        <v/>
      </c>
      <c r="AQ481">
        <f>IF($T481="","",IFERROR(IF(ISNUMBER($T481),$T481,DATEVALUE(TRIM($T481))),""))</f>
        <v/>
      </c>
      <c r="AR481">
        <f>IF($AQ481="","",IF(MONTH($AQ481)&gt;=12,"Cold Winter",IF(MONTH($AQ481)&gt;=10,"Post-Monsoon",IF(MONTH($AQ481)&gt;=6,"Hot Humid",IF(MONTH($AQ481)&gt;=3,"Hot Dry","Cold Winter")))))</f>
        <v/>
      </c>
      <c r="AS481">
        <f>IF($AL481="","",IFERROR(VLOOKUP($AL481,DECODE!$A$3:$C$8,2,FALSE),"?"))</f>
        <v/>
      </c>
      <c r="AT481">
        <f>IF($O481="","",UPPER(TRIM(LEFT($O481&amp;",",FIND(",",$O481&amp;",")-1))))</f>
        <v/>
      </c>
      <c r="AU481">
        <f>IF($AT481="","",MID($AT481,4,FIND("~",SUBSTITUTE($AT481,"-","~",2))-4))</f>
        <v/>
      </c>
      <c r="AV481">
        <f>IF($AT481="","",MID($AT481,FIND("~",SUBSTITUTE($AT481,"-","~",2))+1,FIND("~",SUBSTITUTE($AT481,"-","~",3))-FIND("~",SUBSTITUTE($AT481,"-","~",2))-1))</f>
        <v/>
      </c>
      <c r="AW481">
        <f>IF($AU481="","",IFERROR(VLOOKUP($AU481,DECODE!$A$3:$C$8,3,FALSE),"?"))</f>
        <v/>
      </c>
      <c r="AX481">
        <f>IF($AV481="","",IFERROR(VLOOKUP($AU481&amp;"-"&amp;$AV481,DECODE!$E$3:$F$21,2,FALSE),"?"))</f>
        <v/>
      </c>
      <c r="AY481">
        <f>IF($AT481="","",IFERROR(VALUE(RIGHT($AT481,3)),""))</f>
        <v/>
      </c>
      <c r="AZ481">
        <f>IF($U481="","",IFERROR(IF(ISNUMBER($U481),$U481,DATEVALUE(TRIM($U481))),""))</f>
        <v/>
      </c>
      <c r="BA481">
        <f>IF($AZ481="","",IF(MONTH($AZ481)&gt;=12,"Cold Winter",IF(MONTH($AZ481)&gt;=10,"Post-Monsoon",IF(MONTH($AZ481)&gt;=6,"Hot Humid",IF(MONTH($AZ481)&gt;=3,"Hot Dry","Cold Winter")))))</f>
        <v/>
      </c>
      <c r="BB481">
        <f>IF($AU481="","",IFERROR(VLOOKUP($AU481,DECODE!$A$3:$C$8,2,FALSE),"?"))</f>
        <v/>
      </c>
      <c r="BC481">
        <f>IF($P481="","",UPPER(TRIM(LEFT($P481&amp;",",FIND(",",$P481&amp;",")-1))))</f>
        <v/>
      </c>
      <c r="BD481">
        <f>IF($BC481="","",MID($BC481,4,FIND("~",SUBSTITUTE($BC481,"-","~",2))-4))</f>
        <v/>
      </c>
      <c r="BE481">
        <f>IF($BC481="","",MID($BC481,FIND("~",SUBSTITUTE($BC481,"-","~",2))+1,FIND("~",SUBSTITUTE($BC481,"-","~",3))-FIND("~",SUBSTITUTE($BC481,"-","~",2))-1))</f>
        <v/>
      </c>
      <c r="BF481">
        <f>IF($BD481="","",IFERROR(VLOOKUP($BD481,DECODE!$A$3:$C$8,3,FALSE),"?"))</f>
        <v/>
      </c>
      <c r="BG481">
        <f>IF($BE481="","",IFERROR(VLOOKUP($BD481&amp;"-"&amp;$BE481,DECODE!$E$3:$F$21,2,FALSE),"?"))</f>
        <v/>
      </c>
      <c r="BH481">
        <f>IF($BC481="","",IFERROR(VALUE(RIGHT($BC481,3)),""))</f>
        <v/>
      </c>
      <c r="BI481">
        <f>IF($V481="","",IFERROR(IF(ISNUMBER($V481),$V481,DATEVALUE(TRIM($V481))),""))</f>
        <v/>
      </c>
      <c r="BJ481">
        <f>IF($BI481="","",IF(MONTH($BI481)&gt;=12,"Cold Winter",IF(MONTH($BI481)&gt;=10,"Post-Monsoon",IF(MONTH($BI481)&gt;=6,"Hot Humid",IF(MONTH($BI481)&gt;=3,"Hot Dry","Cold Winter")))))</f>
        <v/>
      </c>
      <c r="BK481">
        <f>IF($BD481="","",IFERROR(VLOOKUP($BD481,DECODE!$A$3:$C$8,2,FALSE),"?"))</f>
        <v/>
      </c>
      <c r="BL481">
        <f>IF($Q481="","",UPPER(TRIM(LEFT($Q481&amp;",",FIND(",",$Q481&amp;",")-1))))</f>
        <v/>
      </c>
      <c r="BM481">
        <f>IF($BL481="","",MID($BL481,4,FIND("~",SUBSTITUTE($BL481,"-","~",2))-4))</f>
        <v/>
      </c>
      <c r="BN481">
        <f>IF($BL481="","",MID($BL481,FIND("~",SUBSTITUTE($BL481,"-","~",2))+1,FIND("~",SUBSTITUTE($BL481,"-","~",3))-FIND("~",SUBSTITUTE($BL481,"-","~",2))-1))</f>
        <v/>
      </c>
      <c r="BO481">
        <f>IF($BM481="","",IFERROR(VLOOKUP($BM481,DECODE!$A$3:$C$8,3,FALSE),"?"))</f>
        <v/>
      </c>
      <c r="BP481">
        <f>IF($BN481="","",IFERROR(VLOOKUP($BM481&amp;"-"&amp;$BN481,DECODE!$E$3:$F$21,2,FALSE),"?"))</f>
        <v/>
      </c>
      <c r="BQ481">
        <f>IF($BL481="","",IFERROR(VALUE(RIGHT($BL481,3)),""))</f>
        <v/>
      </c>
      <c r="BR481">
        <f>IF($W481="","",IFERROR(IF(ISNUMBER($W481),$W481,DATEVALUE(TRIM($W481))),""))</f>
        <v/>
      </c>
      <c r="BS481">
        <f>IF($BR481="","",IF(MONTH($BR481)&gt;=12,"Cold Winter",IF(MONTH($BR481)&gt;=10,"Post-Monsoon",IF(MONTH($BR481)&gt;=6,"Hot Humid",IF(MONTH($BR481)&gt;=3,"Hot Dry","Cold Winter")))))</f>
        <v/>
      </c>
      <c r="BT481">
        <f>IF($BM481="","",IFERROR(VLOOKUP($BM481,DECODE!$A$3:$C$8,2,FALSE),"?"))</f>
        <v/>
      </c>
      <c r="BU481">
        <f>IF($R481="","",UPPER(TRIM(LEFT($R481&amp;",",FIND(",",$R481&amp;",")-1))))</f>
        <v/>
      </c>
      <c r="BV481">
        <f>IF($BU481="","",MID($BU481,4,FIND("~",SUBSTITUTE($BU481,"-","~",2))-4))</f>
        <v/>
      </c>
      <c r="BW481">
        <f>IF($BU481="","",MID($BU481,FIND("~",SUBSTITUTE($BU481,"-","~",2))+1,FIND("~",SUBSTITUTE($BU481,"-","~",3))-FIND("~",SUBSTITUTE($BU481,"-","~",2))-1))</f>
        <v/>
      </c>
      <c r="BX481">
        <f>IF($BV481="","",IFERROR(VLOOKUP($BV481,DECODE!$A$3:$C$8,3,FALSE),"?"))</f>
        <v/>
      </c>
      <c r="BY481">
        <f>IF($BW481="","",IFERROR(VLOOKUP($BV481&amp;"-"&amp;$BW481,DECODE!$E$3:$F$21,2,FALSE),"?"))</f>
        <v/>
      </c>
      <c r="BZ481">
        <f>IF($BU481="","",IFERROR(VALUE(RIGHT($BU481,3)),""))</f>
        <v/>
      </c>
      <c r="CA481">
        <f>IF($X481="","",IFERROR(IF(ISNUMBER($X481),$X481,DATEVALUE(TRIM($X481))),""))</f>
        <v/>
      </c>
      <c r="CB481">
        <f>IF($CA481="","",IF(MONTH($CA481)&gt;=12,"Cold Winter",IF(MONTH($CA481)&gt;=10,"Post-Monsoon",IF(MONTH($CA481)&gt;=6,"Hot Humid",IF(MONTH($CA481)&gt;=3,"Hot Dry","Cold Winter")))))</f>
        <v/>
      </c>
      <c r="CC481">
        <f>IF($BV481="","",IFERROR(VLOOKUP($BV481,DECODE!$A$3:$C$8,2,FALSE),"?"))</f>
        <v/>
      </c>
      <c r="CD481">
        <f>IF($S481="","",UPPER(TRIM(LEFT($S481&amp;",",FIND(",",$S481&amp;",")-1))))</f>
        <v/>
      </c>
      <c r="CE481">
        <f>IF($CD481="","",MID($CD481,4,FIND("~",SUBSTITUTE($CD481,"-","~",2))-4))</f>
        <v/>
      </c>
      <c r="CF481">
        <f>IF($CD481="","",MID($CD481,FIND("~",SUBSTITUTE($CD481,"-","~",2))+1,FIND("~",SUBSTITUTE($CD481,"-","~",3))-FIND("~",SUBSTITUTE($CD481,"-","~",2))-1))</f>
        <v/>
      </c>
      <c r="CG481">
        <f>IF($CE481="","",IFERROR(VLOOKUP($CE481,DECODE!$A$3:$C$8,3,FALSE),"?"))</f>
        <v/>
      </c>
      <c r="CH481">
        <f>IF($CF481="","",IFERROR(VLOOKUP($CE481&amp;"-"&amp;$CF481,DECODE!$E$3:$F$21,2,FALSE),"?"))</f>
        <v/>
      </c>
      <c r="CI481">
        <f>IF($CD481="","",IFERROR(VALUE(RIGHT($CD481,3)),""))</f>
        <v/>
      </c>
      <c r="CJ481">
        <f>IF($Y481="","",IFERROR(IF(ISNUMBER($Y481),$Y481,DATEVALUE(TRIM($Y481))),""))</f>
        <v/>
      </c>
      <c r="CK481">
        <f>IF($CJ481="","",IF(MONTH($CJ481)&gt;=12,"Cold Winter",IF(MONTH($CJ481)&gt;=10,"Post-Monsoon",IF(MONTH($CJ481)&gt;=6,"Hot Humid",IF(MONTH($CJ481)&gt;=3,"Hot Dry","Cold Winter")))))</f>
        <v/>
      </c>
      <c r="CL481">
        <f>IF($CE481="","",IFERROR(VLOOKUP($CE481,DECODE!$A$3:$C$8,2,FALSE),"?"))</f>
        <v/>
      </c>
      <c r="CM481">
        <f>IF($AN481="","",AN481)</f>
        <v/>
      </c>
      <c r="CN481">
        <f>IF($AO481="","",AO481)</f>
        <v/>
      </c>
      <c r="CO481">
        <f>IF($AP481="","",AP481)</f>
        <v/>
      </c>
      <c r="CP481">
        <f>IF($CM481="","",IF($CM481="Aloe Vera Gel","Aloe Vera Gel "&amp;$CO481&amp;"g",CN481&amp;" "&amp;$CO481&amp;"g"))</f>
        <v/>
      </c>
      <c r="CQ481">
        <f>IF($AT481="",0,1)</f>
        <v/>
      </c>
      <c r="CR481">
        <f>IF($CQ481=0,"",AW481)</f>
        <v/>
      </c>
      <c r="CS481">
        <f>IF($CQ481=0,"",AX481)</f>
        <v/>
      </c>
      <c r="CT481">
        <f>IF($CQ481=0,"",AY481)</f>
        <v/>
      </c>
      <c r="CU481">
        <f>IF($CR481="","",IF($CR481="Aloe Vera Gel","Aloe Vera Gel "&amp;$CT481&amp;"g",CS481&amp;" "&amp;$CT481&amp;"g"))</f>
        <v/>
      </c>
      <c r="CV481">
        <f>IF($CQ481=0,"",IF($CP481=$CU481,"Repeat Exact",IF($CT481&gt;$CO481,"Upsized",IF($CT481&lt;$CO481,"Downsized",IF($CM481&lt;&gt;$CR481,"Lateral","Same Size Diff Variant")))))</f>
        <v/>
      </c>
      <c r="CW481">
        <f>IF($CQ481=0,"",AZ481-AQ481)</f>
        <v/>
      </c>
      <c r="CX481">
        <f>IF($CQ481=0,0,IF(CS481=CN481,1,0))</f>
        <v/>
      </c>
      <c r="CY481">
        <f>IF($CQ481=0,0,IF(CR481=CM481,1,0))</f>
        <v/>
      </c>
      <c r="CZ481">
        <f>IF($A481="","",IF(AND(IF(DASHBOARD!$C$4="All",TRUE,$CM481=DASHBOARD!$C$4),IF(DASHBOARD!$C$6="All",TRUE,$CP481=DASHBOARD!$C$6),IF(DASHBOARD!$C$8="All",TRUE,$AF481&gt;=DASHBOARD!$C$8),IF(DASHBOARD!$C$10="All",TRUE,$AF481&lt;=DASHBOARD!$C$10),IF(DASHBOARD!$C$12="All",TRUE,$AH481=VALUE(DASHBOARD!$C$12)),IF(DASHBOARD!$C$14="All",TRUE,$AJ481=DASHBOARD!$C$14)),1,0))</f>
        <v/>
      </c>
    </row>
    <row r="482">
      <c r="A482" t="n">
        <v>222819</v>
      </c>
      <c r="B482" t="inlineStr">
        <is>
          <t>Face Malai</t>
        </is>
      </c>
      <c r="H482" t="inlineStr">
        <is>
          <t>Cocoa Mogra (Overnight) Face Malai - 30g</t>
        </is>
      </c>
      <c r="N482" t="inlineStr">
        <is>
          <t>FC-DM-NR-030</t>
        </is>
      </c>
      <c r="T482" t="inlineStr">
        <is>
          <t>Nov 2, 2024</t>
        </is>
      </c>
      <c r="AE482" t="inlineStr">
        <is>
          <t>Thane</t>
        </is>
      </c>
      <c r="AF482" t="inlineStr">
        <is>
          <t>2024-11</t>
        </is>
      </c>
      <c r="AG482" t="n">
        <v>11</v>
      </c>
      <c r="AH482" t="n">
        <v>1</v>
      </c>
      <c r="AI482" t="n">
        <v>0</v>
      </c>
      <c r="AJ482">
        <f>IF($AE482="","",IFERROR(VLOOKUP(TRIM($AE482),DECODE!$H$3:$I$60,2,FALSE),"Rest of India"))</f>
        <v/>
      </c>
      <c r="AK482">
        <f>IF($N482="","",UPPER(TRIM(LEFT($N482&amp;",",FIND(",",$N482&amp;",")-1))))</f>
        <v/>
      </c>
      <c r="AL482">
        <f>IF($AK482="","",MID($AK482,4,FIND("~",SUBSTITUTE($AK482,"-","~",2))-4))</f>
        <v/>
      </c>
      <c r="AM482">
        <f>IF($AK482="","",MID($AK482,FIND("~",SUBSTITUTE($AK482,"-","~",2))+1,FIND("~",SUBSTITUTE($AK482,"-","~",3))-FIND("~",SUBSTITUTE($AK482,"-","~",2))-1))</f>
        <v/>
      </c>
      <c r="AN482">
        <f>IF($AL482="","",IFERROR(VLOOKUP($AL482,DECODE!$A$3:$C$8,3,FALSE),"?"))</f>
        <v/>
      </c>
      <c r="AO482">
        <f>IF($AM482="","",IFERROR(VLOOKUP($AL482&amp;"-"&amp;$AM482,DECODE!$E$3:$F$21,2,FALSE),"?"))</f>
        <v/>
      </c>
      <c r="AP482">
        <f>IF($AK482="","",IFERROR(VALUE(RIGHT($AK482,3)),""))</f>
        <v/>
      </c>
      <c r="AQ482">
        <f>IF($T482="","",IFERROR(IF(ISNUMBER($T482),$T482,DATEVALUE(TRIM($T482))),""))</f>
        <v/>
      </c>
      <c r="AR482">
        <f>IF($AQ482="","",IF(MONTH($AQ482)&gt;=12,"Cold Winter",IF(MONTH($AQ482)&gt;=10,"Post-Monsoon",IF(MONTH($AQ482)&gt;=6,"Hot Humid",IF(MONTH($AQ482)&gt;=3,"Hot Dry","Cold Winter")))))</f>
        <v/>
      </c>
      <c r="AS482">
        <f>IF($AL482="","",IFERROR(VLOOKUP($AL482,DECODE!$A$3:$C$8,2,FALSE),"?"))</f>
        <v/>
      </c>
      <c r="AT482">
        <f>IF($O482="","",UPPER(TRIM(LEFT($O482&amp;",",FIND(",",$O482&amp;",")-1))))</f>
        <v/>
      </c>
      <c r="AU482">
        <f>IF($AT482="","",MID($AT482,4,FIND("~",SUBSTITUTE($AT482,"-","~",2))-4))</f>
        <v/>
      </c>
      <c r="AV482">
        <f>IF($AT482="","",MID($AT482,FIND("~",SUBSTITUTE($AT482,"-","~",2))+1,FIND("~",SUBSTITUTE($AT482,"-","~",3))-FIND("~",SUBSTITUTE($AT482,"-","~",2))-1))</f>
        <v/>
      </c>
      <c r="AW482">
        <f>IF($AU482="","",IFERROR(VLOOKUP($AU482,DECODE!$A$3:$C$8,3,FALSE),"?"))</f>
        <v/>
      </c>
      <c r="AX482">
        <f>IF($AV482="","",IFERROR(VLOOKUP($AU482&amp;"-"&amp;$AV482,DECODE!$E$3:$F$21,2,FALSE),"?"))</f>
        <v/>
      </c>
      <c r="AY482">
        <f>IF($AT482="","",IFERROR(VALUE(RIGHT($AT482,3)),""))</f>
        <v/>
      </c>
      <c r="AZ482">
        <f>IF($U482="","",IFERROR(IF(ISNUMBER($U482),$U482,DATEVALUE(TRIM($U482))),""))</f>
        <v/>
      </c>
      <c r="BA482">
        <f>IF($AZ482="","",IF(MONTH($AZ482)&gt;=12,"Cold Winter",IF(MONTH($AZ482)&gt;=10,"Post-Monsoon",IF(MONTH($AZ482)&gt;=6,"Hot Humid",IF(MONTH($AZ482)&gt;=3,"Hot Dry","Cold Winter")))))</f>
        <v/>
      </c>
      <c r="BB482">
        <f>IF($AU482="","",IFERROR(VLOOKUP($AU482,DECODE!$A$3:$C$8,2,FALSE),"?"))</f>
        <v/>
      </c>
      <c r="BC482">
        <f>IF($P482="","",UPPER(TRIM(LEFT($P482&amp;",",FIND(",",$P482&amp;",")-1))))</f>
        <v/>
      </c>
      <c r="BD482">
        <f>IF($BC482="","",MID($BC482,4,FIND("~",SUBSTITUTE($BC482,"-","~",2))-4))</f>
        <v/>
      </c>
      <c r="BE482">
        <f>IF($BC482="","",MID($BC482,FIND("~",SUBSTITUTE($BC482,"-","~",2))+1,FIND("~",SUBSTITUTE($BC482,"-","~",3))-FIND("~",SUBSTITUTE($BC482,"-","~",2))-1))</f>
        <v/>
      </c>
      <c r="BF482">
        <f>IF($BD482="","",IFERROR(VLOOKUP($BD482,DECODE!$A$3:$C$8,3,FALSE),"?"))</f>
        <v/>
      </c>
      <c r="BG482">
        <f>IF($BE482="","",IFERROR(VLOOKUP($BD482&amp;"-"&amp;$BE482,DECODE!$E$3:$F$21,2,FALSE),"?"))</f>
        <v/>
      </c>
      <c r="BH482">
        <f>IF($BC482="","",IFERROR(VALUE(RIGHT($BC482,3)),""))</f>
        <v/>
      </c>
      <c r="BI482">
        <f>IF($V482="","",IFERROR(IF(ISNUMBER($V482),$V482,DATEVALUE(TRIM($V482))),""))</f>
        <v/>
      </c>
      <c r="BJ482">
        <f>IF($BI482="","",IF(MONTH($BI482)&gt;=12,"Cold Winter",IF(MONTH($BI482)&gt;=10,"Post-Monsoon",IF(MONTH($BI482)&gt;=6,"Hot Humid",IF(MONTH($BI482)&gt;=3,"Hot Dry","Cold Winter")))))</f>
        <v/>
      </c>
      <c r="BK482">
        <f>IF($BD482="","",IFERROR(VLOOKUP($BD482,DECODE!$A$3:$C$8,2,FALSE),"?"))</f>
        <v/>
      </c>
      <c r="BL482">
        <f>IF($Q482="","",UPPER(TRIM(LEFT($Q482&amp;",",FIND(",",$Q482&amp;",")-1))))</f>
        <v/>
      </c>
      <c r="BM482">
        <f>IF($BL482="","",MID($BL482,4,FIND("~",SUBSTITUTE($BL482,"-","~",2))-4))</f>
        <v/>
      </c>
      <c r="BN482">
        <f>IF($BL482="","",MID($BL482,FIND("~",SUBSTITUTE($BL482,"-","~",2))+1,FIND("~",SUBSTITUTE($BL482,"-","~",3))-FIND("~",SUBSTITUTE($BL482,"-","~",2))-1))</f>
        <v/>
      </c>
      <c r="BO482">
        <f>IF($BM482="","",IFERROR(VLOOKUP($BM482,DECODE!$A$3:$C$8,3,FALSE),"?"))</f>
        <v/>
      </c>
      <c r="BP482">
        <f>IF($BN482="","",IFERROR(VLOOKUP($BM482&amp;"-"&amp;$BN482,DECODE!$E$3:$F$21,2,FALSE),"?"))</f>
        <v/>
      </c>
      <c r="BQ482">
        <f>IF($BL482="","",IFERROR(VALUE(RIGHT($BL482,3)),""))</f>
        <v/>
      </c>
      <c r="BR482">
        <f>IF($W482="","",IFERROR(IF(ISNUMBER($W482),$W482,DATEVALUE(TRIM($W482))),""))</f>
        <v/>
      </c>
      <c r="BS482">
        <f>IF($BR482="","",IF(MONTH($BR482)&gt;=12,"Cold Winter",IF(MONTH($BR482)&gt;=10,"Post-Monsoon",IF(MONTH($BR482)&gt;=6,"Hot Humid",IF(MONTH($BR482)&gt;=3,"Hot Dry","Cold Winter")))))</f>
        <v/>
      </c>
      <c r="BT482">
        <f>IF($BM482="","",IFERROR(VLOOKUP($BM482,DECODE!$A$3:$C$8,2,FALSE),"?"))</f>
        <v/>
      </c>
      <c r="BU482">
        <f>IF($R482="","",UPPER(TRIM(LEFT($R482&amp;",",FIND(",",$R482&amp;",")-1))))</f>
        <v/>
      </c>
      <c r="BV482">
        <f>IF($BU482="","",MID($BU482,4,FIND("~",SUBSTITUTE($BU482,"-","~",2))-4))</f>
        <v/>
      </c>
      <c r="BW482">
        <f>IF($BU482="","",MID($BU482,FIND("~",SUBSTITUTE($BU482,"-","~",2))+1,FIND("~",SUBSTITUTE($BU482,"-","~",3))-FIND("~",SUBSTITUTE($BU482,"-","~",2))-1))</f>
        <v/>
      </c>
      <c r="BX482">
        <f>IF($BV482="","",IFERROR(VLOOKUP($BV482,DECODE!$A$3:$C$8,3,FALSE),"?"))</f>
        <v/>
      </c>
      <c r="BY482">
        <f>IF($BW482="","",IFERROR(VLOOKUP($BV482&amp;"-"&amp;$BW482,DECODE!$E$3:$F$21,2,FALSE),"?"))</f>
        <v/>
      </c>
      <c r="BZ482">
        <f>IF($BU482="","",IFERROR(VALUE(RIGHT($BU482,3)),""))</f>
        <v/>
      </c>
      <c r="CA482">
        <f>IF($X482="","",IFERROR(IF(ISNUMBER($X482),$X482,DATEVALUE(TRIM($X482))),""))</f>
        <v/>
      </c>
      <c r="CB482">
        <f>IF($CA482="","",IF(MONTH($CA482)&gt;=12,"Cold Winter",IF(MONTH($CA482)&gt;=10,"Post-Monsoon",IF(MONTH($CA482)&gt;=6,"Hot Humid",IF(MONTH($CA482)&gt;=3,"Hot Dry","Cold Winter")))))</f>
        <v/>
      </c>
      <c r="CC482">
        <f>IF($BV482="","",IFERROR(VLOOKUP($BV482,DECODE!$A$3:$C$8,2,FALSE),"?"))</f>
        <v/>
      </c>
      <c r="CD482">
        <f>IF($S482="","",UPPER(TRIM(LEFT($S482&amp;",",FIND(",",$S482&amp;",")-1))))</f>
        <v/>
      </c>
      <c r="CE482">
        <f>IF($CD482="","",MID($CD482,4,FIND("~",SUBSTITUTE($CD482,"-","~",2))-4))</f>
        <v/>
      </c>
      <c r="CF482">
        <f>IF($CD482="","",MID($CD482,FIND("~",SUBSTITUTE($CD482,"-","~",2))+1,FIND("~",SUBSTITUTE($CD482,"-","~",3))-FIND("~",SUBSTITUTE($CD482,"-","~",2))-1))</f>
        <v/>
      </c>
      <c r="CG482">
        <f>IF($CE482="","",IFERROR(VLOOKUP($CE482,DECODE!$A$3:$C$8,3,FALSE),"?"))</f>
        <v/>
      </c>
      <c r="CH482">
        <f>IF($CF482="","",IFERROR(VLOOKUP($CE482&amp;"-"&amp;$CF482,DECODE!$E$3:$F$21,2,FALSE),"?"))</f>
        <v/>
      </c>
      <c r="CI482">
        <f>IF($CD482="","",IFERROR(VALUE(RIGHT($CD482,3)),""))</f>
        <v/>
      </c>
      <c r="CJ482">
        <f>IF($Y482="","",IFERROR(IF(ISNUMBER($Y482),$Y482,DATEVALUE(TRIM($Y482))),""))</f>
        <v/>
      </c>
      <c r="CK482">
        <f>IF($CJ482="","",IF(MONTH($CJ482)&gt;=12,"Cold Winter",IF(MONTH($CJ482)&gt;=10,"Post-Monsoon",IF(MONTH($CJ482)&gt;=6,"Hot Humid",IF(MONTH($CJ482)&gt;=3,"Hot Dry","Cold Winter")))))</f>
        <v/>
      </c>
      <c r="CL482">
        <f>IF($CE482="","",IFERROR(VLOOKUP($CE482,DECODE!$A$3:$C$8,2,FALSE),"?"))</f>
        <v/>
      </c>
      <c r="CM482">
        <f>IF($AN482="","",AN482)</f>
        <v/>
      </c>
      <c r="CN482">
        <f>IF($AO482="","",AO482)</f>
        <v/>
      </c>
      <c r="CO482">
        <f>IF($AP482="","",AP482)</f>
        <v/>
      </c>
      <c r="CP482">
        <f>IF($CM482="","",IF($CM482="Aloe Vera Gel","Aloe Vera Gel "&amp;$CO482&amp;"g",CN482&amp;" "&amp;$CO482&amp;"g"))</f>
        <v/>
      </c>
      <c r="CQ482">
        <f>IF($AT482="",0,1)</f>
        <v/>
      </c>
      <c r="CR482">
        <f>IF($CQ482=0,"",AW482)</f>
        <v/>
      </c>
      <c r="CS482">
        <f>IF($CQ482=0,"",AX482)</f>
        <v/>
      </c>
      <c r="CT482">
        <f>IF($CQ482=0,"",AY482)</f>
        <v/>
      </c>
      <c r="CU482">
        <f>IF($CR482="","",IF($CR482="Aloe Vera Gel","Aloe Vera Gel "&amp;$CT482&amp;"g",CS482&amp;" "&amp;$CT482&amp;"g"))</f>
        <v/>
      </c>
      <c r="CV482">
        <f>IF($CQ482=0,"",IF($CP482=$CU482,"Repeat Exact",IF($CT482&gt;$CO482,"Upsized",IF($CT482&lt;$CO482,"Downsized",IF($CM482&lt;&gt;$CR482,"Lateral","Same Size Diff Variant")))))</f>
        <v/>
      </c>
      <c r="CW482">
        <f>IF($CQ482=0,"",AZ482-AQ482)</f>
        <v/>
      </c>
      <c r="CX482">
        <f>IF($CQ482=0,0,IF(CS482=CN482,1,0))</f>
        <v/>
      </c>
      <c r="CY482">
        <f>IF($CQ482=0,0,IF(CR482=CM482,1,0))</f>
        <v/>
      </c>
      <c r="CZ482">
        <f>IF($A482="","",IF(AND(IF(DASHBOARD!$C$4="All",TRUE,$CM482=DASHBOARD!$C$4),IF(DASHBOARD!$C$6="All",TRUE,$CP482=DASHBOARD!$C$6),IF(DASHBOARD!$C$8="All",TRUE,$AF482&gt;=DASHBOARD!$C$8),IF(DASHBOARD!$C$10="All",TRUE,$AF482&lt;=DASHBOARD!$C$10),IF(DASHBOARD!$C$12="All",TRUE,$AH482=VALUE(DASHBOARD!$C$12)),IF(DASHBOARD!$C$14="All",TRUE,$AJ482=DASHBOARD!$C$14)),1,0))</f>
        <v/>
      </c>
    </row>
    <row r="483">
      <c r="A483" t="n">
        <v>222905</v>
      </c>
      <c r="B483" t="inlineStr">
        <is>
          <t>Active Gel</t>
        </is>
      </c>
      <c r="H483" t="inlineStr">
        <is>
          <t>Active Olive Vit-E Night Gel</t>
        </is>
      </c>
      <c r="N483" t="inlineStr">
        <is>
          <t>FC-AC-OV-050</t>
        </is>
      </c>
      <c r="T483" t="inlineStr">
        <is>
          <t>Jul 5, 2026</t>
        </is>
      </c>
      <c r="AE483" t="inlineStr">
        <is>
          <t>Rewa</t>
        </is>
      </c>
      <c r="AF483" t="inlineStr">
        <is>
          <t>2026-07</t>
        </is>
      </c>
      <c r="AG483" t="n">
        <v>7</v>
      </c>
      <c r="AH483" t="n">
        <v>1</v>
      </c>
      <c r="AI483" t="n">
        <v>0</v>
      </c>
      <c r="AJ483">
        <f>IF($AE483="","",IFERROR(VLOOKUP(TRIM($AE483),DECODE!$H$3:$I$60,2,FALSE),"Rest of India"))</f>
        <v/>
      </c>
      <c r="AK483">
        <f>IF($N483="","",UPPER(TRIM(LEFT($N483&amp;",",FIND(",",$N483&amp;",")-1))))</f>
        <v/>
      </c>
      <c r="AL483">
        <f>IF($AK483="","",MID($AK483,4,FIND("~",SUBSTITUTE($AK483,"-","~",2))-4))</f>
        <v/>
      </c>
      <c r="AM483">
        <f>IF($AK483="","",MID($AK483,FIND("~",SUBSTITUTE($AK483,"-","~",2))+1,FIND("~",SUBSTITUTE($AK483,"-","~",3))-FIND("~",SUBSTITUTE($AK483,"-","~",2))-1))</f>
        <v/>
      </c>
      <c r="AN483">
        <f>IF($AL483="","",IFERROR(VLOOKUP($AL483,DECODE!$A$3:$C$8,3,FALSE),"?"))</f>
        <v/>
      </c>
      <c r="AO483">
        <f>IF($AM483="","",IFERROR(VLOOKUP($AL483&amp;"-"&amp;$AM483,DECODE!$E$3:$F$21,2,FALSE),"?"))</f>
        <v/>
      </c>
      <c r="AP483">
        <f>IF($AK483="","",IFERROR(VALUE(RIGHT($AK483,3)),""))</f>
        <v/>
      </c>
      <c r="AQ483">
        <f>IF($T483="","",IFERROR(IF(ISNUMBER($T483),$T483,DATEVALUE(TRIM($T483))),""))</f>
        <v/>
      </c>
      <c r="AR483">
        <f>IF($AQ483="","",IF(MONTH($AQ483)&gt;=12,"Cold Winter",IF(MONTH($AQ483)&gt;=10,"Post-Monsoon",IF(MONTH($AQ483)&gt;=6,"Hot Humid",IF(MONTH($AQ483)&gt;=3,"Hot Dry","Cold Winter")))))</f>
        <v/>
      </c>
      <c r="AS483">
        <f>IF($AL483="","",IFERROR(VLOOKUP($AL483,DECODE!$A$3:$C$8,2,FALSE),"?"))</f>
        <v/>
      </c>
      <c r="AT483">
        <f>IF($O483="","",UPPER(TRIM(LEFT($O483&amp;",",FIND(",",$O483&amp;",")-1))))</f>
        <v/>
      </c>
      <c r="AU483">
        <f>IF($AT483="","",MID($AT483,4,FIND("~",SUBSTITUTE($AT483,"-","~",2))-4))</f>
        <v/>
      </c>
      <c r="AV483">
        <f>IF($AT483="","",MID($AT483,FIND("~",SUBSTITUTE($AT483,"-","~",2))+1,FIND("~",SUBSTITUTE($AT483,"-","~",3))-FIND("~",SUBSTITUTE($AT483,"-","~",2))-1))</f>
        <v/>
      </c>
      <c r="AW483">
        <f>IF($AU483="","",IFERROR(VLOOKUP($AU483,DECODE!$A$3:$C$8,3,FALSE),"?"))</f>
        <v/>
      </c>
      <c r="AX483">
        <f>IF($AV483="","",IFERROR(VLOOKUP($AU483&amp;"-"&amp;$AV483,DECODE!$E$3:$F$21,2,FALSE),"?"))</f>
        <v/>
      </c>
      <c r="AY483">
        <f>IF($AT483="","",IFERROR(VALUE(RIGHT($AT483,3)),""))</f>
        <v/>
      </c>
      <c r="AZ483">
        <f>IF($U483="","",IFERROR(IF(ISNUMBER($U483),$U483,DATEVALUE(TRIM($U483))),""))</f>
        <v/>
      </c>
      <c r="BA483">
        <f>IF($AZ483="","",IF(MONTH($AZ483)&gt;=12,"Cold Winter",IF(MONTH($AZ483)&gt;=10,"Post-Monsoon",IF(MONTH($AZ483)&gt;=6,"Hot Humid",IF(MONTH($AZ483)&gt;=3,"Hot Dry","Cold Winter")))))</f>
        <v/>
      </c>
      <c r="BB483">
        <f>IF($AU483="","",IFERROR(VLOOKUP($AU483,DECODE!$A$3:$C$8,2,FALSE),"?"))</f>
        <v/>
      </c>
      <c r="BC483">
        <f>IF($P483="","",UPPER(TRIM(LEFT($P483&amp;",",FIND(",",$P483&amp;",")-1))))</f>
        <v/>
      </c>
      <c r="BD483">
        <f>IF($BC483="","",MID($BC483,4,FIND("~",SUBSTITUTE($BC483,"-","~",2))-4))</f>
        <v/>
      </c>
      <c r="BE483">
        <f>IF($BC483="","",MID($BC483,FIND("~",SUBSTITUTE($BC483,"-","~",2))+1,FIND("~",SUBSTITUTE($BC483,"-","~",3))-FIND("~",SUBSTITUTE($BC483,"-","~",2))-1))</f>
        <v/>
      </c>
      <c r="BF483">
        <f>IF($BD483="","",IFERROR(VLOOKUP($BD483,DECODE!$A$3:$C$8,3,FALSE),"?"))</f>
        <v/>
      </c>
      <c r="BG483">
        <f>IF($BE483="","",IFERROR(VLOOKUP($BD483&amp;"-"&amp;$BE483,DECODE!$E$3:$F$21,2,FALSE),"?"))</f>
        <v/>
      </c>
      <c r="BH483">
        <f>IF($BC483="","",IFERROR(VALUE(RIGHT($BC483,3)),""))</f>
        <v/>
      </c>
      <c r="BI483">
        <f>IF($V483="","",IFERROR(IF(ISNUMBER($V483),$V483,DATEVALUE(TRIM($V483))),""))</f>
        <v/>
      </c>
      <c r="BJ483">
        <f>IF($BI483="","",IF(MONTH($BI483)&gt;=12,"Cold Winter",IF(MONTH($BI483)&gt;=10,"Post-Monsoon",IF(MONTH($BI483)&gt;=6,"Hot Humid",IF(MONTH($BI483)&gt;=3,"Hot Dry","Cold Winter")))))</f>
        <v/>
      </c>
      <c r="BK483">
        <f>IF($BD483="","",IFERROR(VLOOKUP($BD483,DECODE!$A$3:$C$8,2,FALSE),"?"))</f>
        <v/>
      </c>
      <c r="BL483">
        <f>IF($Q483="","",UPPER(TRIM(LEFT($Q483&amp;",",FIND(",",$Q483&amp;",")-1))))</f>
        <v/>
      </c>
      <c r="BM483">
        <f>IF($BL483="","",MID($BL483,4,FIND("~",SUBSTITUTE($BL483,"-","~",2))-4))</f>
        <v/>
      </c>
      <c r="BN483">
        <f>IF($BL483="","",MID($BL483,FIND("~",SUBSTITUTE($BL483,"-","~",2))+1,FIND("~",SUBSTITUTE($BL483,"-","~",3))-FIND("~",SUBSTITUTE($BL483,"-","~",2))-1))</f>
        <v/>
      </c>
      <c r="BO483">
        <f>IF($BM483="","",IFERROR(VLOOKUP($BM483,DECODE!$A$3:$C$8,3,FALSE),"?"))</f>
        <v/>
      </c>
      <c r="BP483">
        <f>IF($BN483="","",IFERROR(VLOOKUP($BM483&amp;"-"&amp;$BN483,DECODE!$E$3:$F$21,2,FALSE),"?"))</f>
        <v/>
      </c>
      <c r="BQ483">
        <f>IF($BL483="","",IFERROR(VALUE(RIGHT($BL483,3)),""))</f>
        <v/>
      </c>
      <c r="BR483">
        <f>IF($W483="","",IFERROR(IF(ISNUMBER($W483),$W483,DATEVALUE(TRIM($W483))),""))</f>
        <v/>
      </c>
      <c r="BS483">
        <f>IF($BR483="","",IF(MONTH($BR483)&gt;=12,"Cold Winter",IF(MONTH($BR483)&gt;=10,"Post-Monsoon",IF(MONTH($BR483)&gt;=6,"Hot Humid",IF(MONTH($BR483)&gt;=3,"Hot Dry","Cold Winter")))))</f>
        <v/>
      </c>
      <c r="BT483">
        <f>IF($BM483="","",IFERROR(VLOOKUP($BM483,DECODE!$A$3:$C$8,2,FALSE),"?"))</f>
        <v/>
      </c>
      <c r="BU483">
        <f>IF($R483="","",UPPER(TRIM(LEFT($R483&amp;",",FIND(",",$R483&amp;",")-1))))</f>
        <v/>
      </c>
      <c r="BV483">
        <f>IF($BU483="","",MID($BU483,4,FIND("~",SUBSTITUTE($BU483,"-","~",2))-4))</f>
        <v/>
      </c>
      <c r="BW483">
        <f>IF($BU483="","",MID($BU483,FIND("~",SUBSTITUTE($BU483,"-","~",2))+1,FIND("~",SUBSTITUTE($BU483,"-","~",3))-FIND("~",SUBSTITUTE($BU483,"-","~",2))-1))</f>
        <v/>
      </c>
      <c r="BX483">
        <f>IF($BV483="","",IFERROR(VLOOKUP($BV483,DECODE!$A$3:$C$8,3,FALSE),"?"))</f>
        <v/>
      </c>
      <c r="BY483">
        <f>IF($BW483="","",IFERROR(VLOOKUP($BV483&amp;"-"&amp;$BW483,DECODE!$E$3:$F$21,2,FALSE),"?"))</f>
        <v/>
      </c>
      <c r="BZ483">
        <f>IF($BU483="","",IFERROR(VALUE(RIGHT($BU483,3)),""))</f>
        <v/>
      </c>
      <c r="CA483">
        <f>IF($X483="","",IFERROR(IF(ISNUMBER($X483),$X483,DATEVALUE(TRIM($X483))),""))</f>
        <v/>
      </c>
      <c r="CB483">
        <f>IF($CA483="","",IF(MONTH($CA483)&gt;=12,"Cold Winter",IF(MONTH($CA483)&gt;=10,"Post-Monsoon",IF(MONTH($CA483)&gt;=6,"Hot Humid",IF(MONTH($CA483)&gt;=3,"Hot Dry","Cold Winter")))))</f>
        <v/>
      </c>
      <c r="CC483">
        <f>IF($BV483="","",IFERROR(VLOOKUP($BV483,DECODE!$A$3:$C$8,2,FALSE),"?"))</f>
        <v/>
      </c>
      <c r="CD483">
        <f>IF($S483="","",UPPER(TRIM(LEFT($S483&amp;",",FIND(",",$S483&amp;",")-1))))</f>
        <v/>
      </c>
      <c r="CE483">
        <f>IF($CD483="","",MID($CD483,4,FIND("~",SUBSTITUTE($CD483,"-","~",2))-4))</f>
        <v/>
      </c>
      <c r="CF483">
        <f>IF($CD483="","",MID($CD483,FIND("~",SUBSTITUTE($CD483,"-","~",2))+1,FIND("~",SUBSTITUTE($CD483,"-","~",3))-FIND("~",SUBSTITUTE($CD483,"-","~",2))-1))</f>
        <v/>
      </c>
      <c r="CG483">
        <f>IF($CE483="","",IFERROR(VLOOKUP($CE483,DECODE!$A$3:$C$8,3,FALSE),"?"))</f>
        <v/>
      </c>
      <c r="CH483">
        <f>IF($CF483="","",IFERROR(VLOOKUP($CE483&amp;"-"&amp;$CF483,DECODE!$E$3:$F$21,2,FALSE),"?"))</f>
        <v/>
      </c>
      <c r="CI483">
        <f>IF($CD483="","",IFERROR(VALUE(RIGHT($CD483,3)),""))</f>
        <v/>
      </c>
      <c r="CJ483">
        <f>IF($Y483="","",IFERROR(IF(ISNUMBER($Y483),$Y483,DATEVALUE(TRIM($Y483))),""))</f>
        <v/>
      </c>
      <c r="CK483">
        <f>IF($CJ483="","",IF(MONTH($CJ483)&gt;=12,"Cold Winter",IF(MONTH($CJ483)&gt;=10,"Post-Monsoon",IF(MONTH($CJ483)&gt;=6,"Hot Humid",IF(MONTH($CJ483)&gt;=3,"Hot Dry","Cold Winter")))))</f>
        <v/>
      </c>
      <c r="CL483">
        <f>IF($CE483="","",IFERROR(VLOOKUP($CE483,DECODE!$A$3:$C$8,2,FALSE),"?"))</f>
        <v/>
      </c>
      <c r="CM483">
        <f>IF($AN483="","",AN483)</f>
        <v/>
      </c>
      <c r="CN483">
        <f>IF($AO483="","",AO483)</f>
        <v/>
      </c>
      <c r="CO483">
        <f>IF($AP483="","",AP483)</f>
        <v/>
      </c>
      <c r="CP483">
        <f>IF($CM483="","",IF($CM483="Aloe Vera Gel","Aloe Vera Gel "&amp;$CO483&amp;"g",CN483&amp;" "&amp;$CO483&amp;"g"))</f>
        <v/>
      </c>
      <c r="CQ483">
        <f>IF($AT483="",0,1)</f>
        <v/>
      </c>
      <c r="CR483">
        <f>IF($CQ483=0,"",AW483)</f>
        <v/>
      </c>
      <c r="CS483">
        <f>IF($CQ483=0,"",AX483)</f>
        <v/>
      </c>
      <c r="CT483">
        <f>IF($CQ483=0,"",AY483)</f>
        <v/>
      </c>
      <c r="CU483">
        <f>IF($CR483="","",IF($CR483="Aloe Vera Gel","Aloe Vera Gel "&amp;$CT483&amp;"g",CS483&amp;" "&amp;$CT483&amp;"g"))</f>
        <v/>
      </c>
      <c r="CV483">
        <f>IF($CQ483=0,"",IF($CP483=$CU483,"Repeat Exact",IF($CT483&gt;$CO483,"Upsized",IF($CT483&lt;$CO483,"Downsized",IF($CM483&lt;&gt;$CR483,"Lateral","Same Size Diff Variant")))))</f>
        <v/>
      </c>
      <c r="CW483">
        <f>IF($CQ483=0,"",AZ483-AQ483)</f>
        <v/>
      </c>
      <c r="CX483">
        <f>IF($CQ483=0,0,IF(CS483=CN483,1,0))</f>
        <v/>
      </c>
      <c r="CY483">
        <f>IF($CQ483=0,0,IF(CR483=CM483,1,0))</f>
        <v/>
      </c>
      <c r="CZ483">
        <f>IF($A483="","",IF(AND(IF(DASHBOARD!$C$4="All",TRUE,$CM483=DASHBOARD!$C$4),IF(DASHBOARD!$C$6="All",TRUE,$CP483=DASHBOARD!$C$6),IF(DASHBOARD!$C$8="All",TRUE,$AF483&gt;=DASHBOARD!$C$8),IF(DASHBOARD!$C$10="All",TRUE,$AF483&lt;=DASHBOARD!$C$10),IF(DASHBOARD!$C$12="All",TRUE,$AH483=VALUE(DASHBOARD!$C$12)),IF(DASHBOARD!$C$14="All",TRUE,$AJ483=DASHBOARD!$C$14)),1,0))</f>
        <v/>
      </c>
    </row>
    <row r="484">
      <c r="A484" t="n">
        <v>223271</v>
      </c>
      <c r="B484" t="inlineStr">
        <is>
          <t>Face Malai</t>
        </is>
      </c>
      <c r="C484" t="inlineStr">
        <is>
          <t>Face Malai</t>
        </is>
      </c>
      <c r="H484" t="inlineStr">
        <is>
          <t>Flax Walnut (Cold) 35+ Face Malai</t>
        </is>
      </c>
      <c r="I484" t="inlineStr">
        <is>
          <t>Flax Carrot (Hot Humid) 35+ Face Malai - 50g</t>
        </is>
      </c>
      <c r="N484" t="inlineStr">
        <is>
          <t>FC-CWDM-FW-030</t>
        </is>
      </c>
      <c r="O484" t="inlineStr">
        <is>
          <t>FC-HHDM-FC-050</t>
        </is>
      </c>
      <c r="T484" t="inlineStr">
        <is>
          <t>Jan 2, 2024</t>
        </is>
      </c>
      <c r="U484" t="inlineStr">
        <is>
          <t>Aug 21, 2024</t>
        </is>
      </c>
      <c r="Z484" t="n">
        <v>232</v>
      </c>
      <c r="AE484" t="inlineStr">
        <is>
          <t>Darjeeling</t>
        </is>
      </c>
      <c r="AF484" t="inlineStr">
        <is>
          <t>2024-01</t>
        </is>
      </c>
      <c r="AG484" t="n">
        <v>1</v>
      </c>
      <c r="AH484" t="n">
        <v>2</v>
      </c>
      <c r="AI484" t="n">
        <v>1</v>
      </c>
      <c r="AJ484">
        <f>IF($AE484="","",IFERROR(VLOOKUP(TRIM($AE484),DECODE!$H$3:$I$60,2,FALSE),"Rest of India"))</f>
        <v/>
      </c>
      <c r="AK484">
        <f>IF($N484="","",UPPER(TRIM(LEFT($N484&amp;",",FIND(",",$N484&amp;",")-1))))</f>
        <v/>
      </c>
      <c r="AL484">
        <f>IF($AK484="","",MID($AK484,4,FIND("~",SUBSTITUTE($AK484,"-","~",2))-4))</f>
        <v/>
      </c>
      <c r="AM484">
        <f>IF($AK484="","",MID($AK484,FIND("~",SUBSTITUTE($AK484,"-","~",2))+1,FIND("~",SUBSTITUTE($AK484,"-","~",3))-FIND("~",SUBSTITUTE($AK484,"-","~",2))-1))</f>
        <v/>
      </c>
      <c r="AN484">
        <f>IF($AL484="","",IFERROR(VLOOKUP($AL484,DECODE!$A$3:$C$8,3,FALSE),"?"))</f>
        <v/>
      </c>
      <c r="AO484">
        <f>IF($AM484="","",IFERROR(VLOOKUP($AL484&amp;"-"&amp;$AM484,DECODE!$E$3:$F$21,2,FALSE),"?"))</f>
        <v/>
      </c>
      <c r="AP484">
        <f>IF($AK484="","",IFERROR(VALUE(RIGHT($AK484,3)),""))</f>
        <v/>
      </c>
      <c r="AQ484">
        <f>IF($T484="","",IFERROR(IF(ISNUMBER($T484),$T484,DATEVALUE(TRIM($T484))),""))</f>
        <v/>
      </c>
      <c r="AR484">
        <f>IF($AQ484="","",IF(MONTH($AQ484)&gt;=12,"Cold Winter",IF(MONTH($AQ484)&gt;=10,"Post-Monsoon",IF(MONTH($AQ484)&gt;=6,"Hot Humid",IF(MONTH($AQ484)&gt;=3,"Hot Dry","Cold Winter")))))</f>
        <v/>
      </c>
      <c r="AS484">
        <f>IF($AL484="","",IFERROR(VLOOKUP($AL484,DECODE!$A$3:$C$8,2,FALSE),"?"))</f>
        <v/>
      </c>
      <c r="AT484">
        <f>IF($O484="","",UPPER(TRIM(LEFT($O484&amp;",",FIND(",",$O484&amp;",")-1))))</f>
        <v/>
      </c>
      <c r="AU484">
        <f>IF($AT484="","",MID($AT484,4,FIND("~",SUBSTITUTE($AT484,"-","~",2))-4))</f>
        <v/>
      </c>
      <c r="AV484">
        <f>IF($AT484="","",MID($AT484,FIND("~",SUBSTITUTE($AT484,"-","~",2))+1,FIND("~",SUBSTITUTE($AT484,"-","~",3))-FIND("~",SUBSTITUTE($AT484,"-","~",2))-1))</f>
        <v/>
      </c>
      <c r="AW484">
        <f>IF($AU484="","",IFERROR(VLOOKUP($AU484,DECODE!$A$3:$C$8,3,FALSE),"?"))</f>
        <v/>
      </c>
      <c r="AX484">
        <f>IF($AV484="","",IFERROR(VLOOKUP($AU484&amp;"-"&amp;$AV484,DECODE!$E$3:$F$21,2,FALSE),"?"))</f>
        <v/>
      </c>
      <c r="AY484">
        <f>IF($AT484="","",IFERROR(VALUE(RIGHT($AT484,3)),""))</f>
        <v/>
      </c>
      <c r="AZ484">
        <f>IF($U484="","",IFERROR(IF(ISNUMBER($U484),$U484,DATEVALUE(TRIM($U484))),""))</f>
        <v/>
      </c>
      <c r="BA484">
        <f>IF($AZ484="","",IF(MONTH($AZ484)&gt;=12,"Cold Winter",IF(MONTH($AZ484)&gt;=10,"Post-Monsoon",IF(MONTH($AZ484)&gt;=6,"Hot Humid",IF(MONTH($AZ484)&gt;=3,"Hot Dry","Cold Winter")))))</f>
        <v/>
      </c>
      <c r="BB484">
        <f>IF($AU484="","",IFERROR(VLOOKUP($AU484,DECODE!$A$3:$C$8,2,FALSE),"?"))</f>
        <v/>
      </c>
      <c r="BC484">
        <f>IF($P484="","",UPPER(TRIM(LEFT($P484&amp;",",FIND(",",$P484&amp;",")-1))))</f>
        <v/>
      </c>
      <c r="BD484">
        <f>IF($BC484="","",MID($BC484,4,FIND("~",SUBSTITUTE($BC484,"-","~",2))-4))</f>
        <v/>
      </c>
      <c r="BE484">
        <f>IF($BC484="","",MID($BC484,FIND("~",SUBSTITUTE($BC484,"-","~",2))+1,FIND("~",SUBSTITUTE($BC484,"-","~",3))-FIND("~",SUBSTITUTE($BC484,"-","~",2))-1))</f>
        <v/>
      </c>
      <c r="BF484">
        <f>IF($BD484="","",IFERROR(VLOOKUP($BD484,DECODE!$A$3:$C$8,3,FALSE),"?"))</f>
        <v/>
      </c>
      <c r="BG484">
        <f>IF($BE484="","",IFERROR(VLOOKUP($BD484&amp;"-"&amp;$BE484,DECODE!$E$3:$F$21,2,FALSE),"?"))</f>
        <v/>
      </c>
      <c r="BH484">
        <f>IF($BC484="","",IFERROR(VALUE(RIGHT($BC484,3)),""))</f>
        <v/>
      </c>
      <c r="BI484">
        <f>IF($V484="","",IFERROR(IF(ISNUMBER($V484),$V484,DATEVALUE(TRIM($V484))),""))</f>
        <v/>
      </c>
      <c r="BJ484">
        <f>IF($BI484="","",IF(MONTH($BI484)&gt;=12,"Cold Winter",IF(MONTH($BI484)&gt;=10,"Post-Monsoon",IF(MONTH($BI484)&gt;=6,"Hot Humid",IF(MONTH($BI484)&gt;=3,"Hot Dry","Cold Winter")))))</f>
        <v/>
      </c>
      <c r="BK484">
        <f>IF($BD484="","",IFERROR(VLOOKUP($BD484,DECODE!$A$3:$C$8,2,FALSE),"?"))</f>
        <v/>
      </c>
      <c r="BL484">
        <f>IF($Q484="","",UPPER(TRIM(LEFT($Q484&amp;",",FIND(",",$Q484&amp;",")-1))))</f>
        <v/>
      </c>
      <c r="BM484">
        <f>IF($BL484="","",MID($BL484,4,FIND("~",SUBSTITUTE($BL484,"-","~",2))-4))</f>
        <v/>
      </c>
      <c r="BN484">
        <f>IF($BL484="","",MID($BL484,FIND("~",SUBSTITUTE($BL484,"-","~",2))+1,FIND("~",SUBSTITUTE($BL484,"-","~",3))-FIND("~",SUBSTITUTE($BL484,"-","~",2))-1))</f>
        <v/>
      </c>
      <c r="BO484">
        <f>IF($BM484="","",IFERROR(VLOOKUP($BM484,DECODE!$A$3:$C$8,3,FALSE),"?"))</f>
        <v/>
      </c>
      <c r="BP484">
        <f>IF($BN484="","",IFERROR(VLOOKUP($BM484&amp;"-"&amp;$BN484,DECODE!$E$3:$F$21,2,FALSE),"?"))</f>
        <v/>
      </c>
      <c r="BQ484">
        <f>IF($BL484="","",IFERROR(VALUE(RIGHT($BL484,3)),""))</f>
        <v/>
      </c>
      <c r="BR484">
        <f>IF($W484="","",IFERROR(IF(ISNUMBER($W484),$W484,DATEVALUE(TRIM($W484))),""))</f>
        <v/>
      </c>
      <c r="BS484">
        <f>IF($BR484="","",IF(MONTH($BR484)&gt;=12,"Cold Winter",IF(MONTH($BR484)&gt;=10,"Post-Monsoon",IF(MONTH($BR484)&gt;=6,"Hot Humid",IF(MONTH($BR484)&gt;=3,"Hot Dry","Cold Winter")))))</f>
        <v/>
      </c>
      <c r="BT484">
        <f>IF($BM484="","",IFERROR(VLOOKUP($BM484,DECODE!$A$3:$C$8,2,FALSE),"?"))</f>
        <v/>
      </c>
      <c r="BU484">
        <f>IF($R484="","",UPPER(TRIM(LEFT($R484&amp;",",FIND(",",$R484&amp;",")-1))))</f>
        <v/>
      </c>
      <c r="BV484">
        <f>IF($BU484="","",MID($BU484,4,FIND("~",SUBSTITUTE($BU484,"-","~",2))-4))</f>
        <v/>
      </c>
      <c r="BW484">
        <f>IF($BU484="","",MID($BU484,FIND("~",SUBSTITUTE($BU484,"-","~",2))+1,FIND("~",SUBSTITUTE($BU484,"-","~",3))-FIND("~",SUBSTITUTE($BU484,"-","~",2))-1))</f>
        <v/>
      </c>
      <c r="BX484">
        <f>IF($BV484="","",IFERROR(VLOOKUP($BV484,DECODE!$A$3:$C$8,3,FALSE),"?"))</f>
        <v/>
      </c>
      <c r="BY484">
        <f>IF($BW484="","",IFERROR(VLOOKUP($BV484&amp;"-"&amp;$BW484,DECODE!$E$3:$F$21,2,FALSE),"?"))</f>
        <v/>
      </c>
      <c r="BZ484">
        <f>IF($BU484="","",IFERROR(VALUE(RIGHT($BU484,3)),""))</f>
        <v/>
      </c>
      <c r="CA484">
        <f>IF($X484="","",IFERROR(IF(ISNUMBER($X484),$X484,DATEVALUE(TRIM($X484))),""))</f>
        <v/>
      </c>
      <c r="CB484">
        <f>IF($CA484="","",IF(MONTH($CA484)&gt;=12,"Cold Winter",IF(MONTH($CA484)&gt;=10,"Post-Monsoon",IF(MONTH($CA484)&gt;=6,"Hot Humid",IF(MONTH($CA484)&gt;=3,"Hot Dry","Cold Winter")))))</f>
        <v/>
      </c>
      <c r="CC484">
        <f>IF($BV484="","",IFERROR(VLOOKUP($BV484,DECODE!$A$3:$C$8,2,FALSE),"?"))</f>
        <v/>
      </c>
      <c r="CD484">
        <f>IF($S484="","",UPPER(TRIM(LEFT($S484&amp;",",FIND(",",$S484&amp;",")-1))))</f>
        <v/>
      </c>
      <c r="CE484">
        <f>IF($CD484="","",MID($CD484,4,FIND("~",SUBSTITUTE($CD484,"-","~",2))-4))</f>
        <v/>
      </c>
      <c r="CF484">
        <f>IF($CD484="","",MID($CD484,FIND("~",SUBSTITUTE($CD484,"-","~",2))+1,FIND("~",SUBSTITUTE($CD484,"-","~",3))-FIND("~",SUBSTITUTE($CD484,"-","~",2))-1))</f>
        <v/>
      </c>
      <c r="CG484">
        <f>IF($CE484="","",IFERROR(VLOOKUP($CE484,DECODE!$A$3:$C$8,3,FALSE),"?"))</f>
        <v/>
      </c>
      <c r="CH484">
        <f>IF($CF484="","",IFERROR(VLOOKUP($CE484&amp;"-"&amp;$CF484,DECODE!$E$3:$F$21,2,FALSE),"?"))</f>
        <v/>
      </c>
      <c r="CI484">
        <f>IF($CD484="","",IFERROR(VALUE(RIGHT($CD484,3)),""))</f>
        <v/>
      </c>
      <c r="CJ484">
        <f>IF($Y484="","",IFERROR(IF(ISNUMBER($Y484),$Y484,DATEVALUE(TRIM($Y484))),""))</f>
        <v/>
      </c>
      <c r="CK484">
        <f>IF($CJ484="","",IF(MONTH($CJ484)&gt;=12,"Cold Winter",IF(MONTH($CJ484)&gt;=10,"Post-Monsoon",IF(MONTH($CJ484)&gt;=6,"Hot Humid",IF(MONTH($CJ484)&gt;=3,"Hot Dry","Cold Winter")))))</f>
        <v/>
      </c>
      <c r="CL484">
        <f>IF($CE484="","",IFERROR(VLOOKUP($CE484,DECODE!$A$3:$C$8,2,FALSE),"?"))</f>
        <v/>
      </c>
      <c r="CM484">
        <f>IF($AN484="","",AN484)</f>
        <v/>
      </c>
      <c r="CN484">
        <f>IF($AO484="","",AO484)</f>
        <v/>
      </c>
      <c r="CO484">
        <f>IF($AP484="","",AP484)</f>
        <v/>
      </c>
      <c r="CP484">
        <f>IF($CM484="","",IF($CM484="Aloe Vera Gel","Aloe Vera Gel "&amp;$CO484&amp;"g",CN484&amp;" "&amp;$CO484&amp;"g"))</f>
        <v/>
      </c>
      <c r="CQ484">
        <f>IF($AT484="",0,1)</f>
        <v/>
      </c>
      <c r="CR484">
        <f>IF($CQ484=0,"",AW484)</f>
        <v/>
      </c>
      <c r="CS484">
        <f>IF($CQ484=0,"",AX484)</f>
        <v/>
      </c>
      <c r="CT484">
        <f>IF($CQ484=0,"",AY484)</f>
        <v/>
      </c>
      <c r="CU484">
        <f>IF($CR484="","",IF($CR484="Aloe Vera Gel","Aloe Vera Gel "&amp;$CT484&amp;"g",CS484&amp;" "&amp;$CT484&amp;"g"))</f>
        <v/>
      </c>
      <c r="CV484">
        <f>IF($CQ484=0,"",IF($CP484=$CU484,"Repeat Exact",IF($CT484&gt;$CO484,"Upsized",IF($CT484&lt;$CO484,"Downsized",IF($CM484&lt;&gt;$CR484,"Lateral","Same Size Diff Variant")))))</f>
        <v/>
      </c>
      <c r="CW484">
        <f>IF($CQ484=0,"",AZ484-AQ484)</f>
        <v/>
      </c>
      <c r="CX484">
        <f>IF($CQ484=0,0,IF(CS484=CN484,1,0))</f>
        <v/>
      </c>
      <c r="CY484">
        <f>IF($CQ484=0,0,IF(CR484=CM484,1,0))</f>
        <v/>
      </c>
      <c r="CZ484">
        <f>IF($A484="","",IF(AND(IF(DASHBOARD!$C$4="All",TRUE,$CM484=DASHBOARD!$C$4),IF(DASHBOARD!$C$6="All",TRUE,$CP484=DASHBOARD!$C$6),IF(DASHBOARD!$C$8="All",TRUE,$AF484&gt;=DASHBOARD!$C$8),IF(DASHBOARD!$C$10="All",TRUE,$AF484&lt;=DASHBOARD!$C$10),IF(DASHBOARD!$C$12="All",TRUE,$AH484=VALUE(DASHBOARD!$C$12)),IF(DASHBOARD!$C$14="All",TRUE,$AJ484=DASHBOARD!$C$14)),1,0))</f>
        <v/>
      </c>
    </row>
    <row r="485">
      <c r="A485" t="n">
        <v>224193</v>
      </c>
      <c r="B485" t="inlineStr">
        <is>
          <t>Aloe Vera Gel</t>
        </is>
      </c>
      <c r="H485" t="inlineStr">
        <is>
          <t>Aloe Vera Gel - 80 gms</t>
        </is>
      </c>
      <c r="N485" t="inlineStr">
        <is>
          <t>FC-HG-PA-080</t>
        </is>
      </c>
      <c r="T485" t="inlineStr">
        <is>
          <t>May 20, 2025</t>
        </is>
      </c>
      <c r="AE485" t="inlineStr">
        <is>
          <t>Kanpur</t>
        </is>
      </c>
      <c r="AF485" t="inlineStr">
        <is>
          <t>2025-05</t>
        </is>
      </c>
      <c r="AG485" t="n">
        <v>5</v>
      </c>
      <c r="AH485" t="n">
        <v>1</v>
      </c>
      <c r="AI485" t="n">
        <v>0</v>
      </c>
      <c r="AJ485">
        <f>IF($AE485="","",IFERROR(VLOOKUP(TRIM($AE485),DECODE!$H$3:$I$60,2,FALSE),"Rest of India"))</f>
        <v/>
      </c>
      <c r="AK485">
        <f>IF($N485="","",UPPER(TRIM(LEFT($N485&amp;",",FIND(",",$N485&amp;",")-1))))</f>
        <v/>
      </c>
      <c r="AL485">
        <f>IF($AK485="","",MID($AK485,4,FIND("~",SUBSTITUTE($AK485,"-","~",2))-4))</f>
        <v/>
      </c>
      <c r="AM485">
        <f>IF($AK485="","",MID($AK485,FIND("~",SUBSTITUTE($AK485,"-","~",2))+1,FIND("~",SUBSTITUTE($AK485,"-","~",3))-FIND("~",SUBSTITUTE($AK485,"-","~",2))-1))</f>
        <v/>
      </c>
      <c r="AN485">
        <f>IF($AL485="","",IFERROR(VLOOKUP($AL485,DECODE!$A$3:$C$8,3,FALSE),"?"))</f>
        <v/>
      </c>
      <c r="AO485">
        <f>IF($AM485="","",IFERROR(VLOOKUP($AL485&amp;"-"&amp;$AM485,DECODE!$E$3:$F$21,2,FALSE),"?"))</f>
        <v/>
      </c>
      <c r="AP485">
        <f>IF($AK485="","",IFERROR(VALUE(RIGHT($AK485,3)),""))</f>
        <v/>
      </c>
      <c r="AQ485">
        <f>IF($T485="","",IFERROR(IF(ISNUMBER($T485),$T485,DATEVALUE(TRIM($T485))),""))</f>
        <v/>
      </c>
      <c r="AR485">
        <f>IF($AQ485="","",IF(MONTH($AQ485)&gt;=12,"Cold Winter",IF(MONTH($AQ485)&gt;=10,"Post-Monsoon",IF(MONTH($AQ485)&gt;=6,"Hot Humid",IF(MONTH($AQ485)&gt;=3,"Hot Dry","Cold Winter")))))</f>
        <v/>
      </c>
      <c r="AS485">
        <f>IF($AL485="","",IFERROR(VLOOKUP($AL485,DECODE!$A$3:$C$8,2,FALSE),"?"))</f>
        <v/>
      </c>
      <c r="AT485">
        <f>IF($O485="","",UPPER(TRIM(LEFT($O485&amp;",",FIND(",",$O485&amp;",")-1))))</f>
        <v/>
      </c>
      <c r="AU485">
        <f>IF($AT485="","",MID($AT485,4,FIND("~",SUBSTITUTE($AT485,"-","~",2))-4))</f>
        <v/>
      </c>
      <c r="AV485">
        <f>IF($AT485="","",MID($AT485,FIND("~",SUBSTITUTE($AT485,"-","~",2))+1,FIND("~",SUBSTITUTE($AT485,"-","~",3))-FIND("~",SUBSTITUTE($AT485,"-","~",2))-1))</f>
        <v/>
      </c>
      <c r="AW485">
        <f>IF($AU485="","",IFERROR(VLOOKUP($AU485,DECODE!$A$3:$C$8,3,FALSE),"?"))</f>
        <v/>
      </c>
      <c r="AX485">
        <f>IF($AV485="","",IFERROR(VLOOKUP($AU485&amp;"-"&amp;$AV485,DECODE!$E$3:$F$21,2,FALSE),"?"))</f>
        <v/>
      </c>
      <c r="AY485">
        <f>IF($AT485="","",IFERROR(VALUE(RIGHT($AT485,3)),""))</f>
        <v/>
      </c>
      <c r="AZ485">
        <f>IF($U485="","",IFERROR(IF(ISNUMBER($U485),$U485,DATEVALUE(TRIM($U485))),""))</f>
        <v/>
      </c>
      <c r="BA485">
        <f>IF($AZ485="","",IF(MONTH($AZ485)&gt;=12,"Cold Winter",IF(MONTH($AZ485)&gt;=10,"Post-Monsoon",IF(MONTH($AZ485)&gt;=6,"Hot Humid",IF(MONTH($AZ485)&gt;=3,"Hot Dry","Cold Winter")))))</f>
        <v/>
      </c>
      <c r="BB485">
        <f>IF($AU485="","",IFERROR(VLOOKUP($AU485,DECODE!$A$3:$C$8,2,FALSE),"?"))</f>
        <v/>
      </c>
      <c r="BC485">
        <f>IF($P485="","",UPPER(TRIM(LEFT($P485&amp;",",FIND(",",$P485&amp;",")-1))))</f>
        <v/>
      </c>
      <c r="BD485">
        <f>IF($BC485="","",MID($BC485,4,FIND("~",SUBSTITUTE($BC485,"-","~",2))-4))</f>
        <v/>
      </c>
      <c r="BE485">
        <f>IF($BC485="","",MID($BC485,FIND("~",SUBSTITUTE($BC485,"-","~",2))+1,FIND("~",SUBSTITUTE($BC485,"-","~",3))-FIND("~",SUBSTITUTE($BC485,"-","~",2))-1))</f>
        <v/>
      </c>
      <c r="BF485">
        <f>IF($BD485="","",IFERROR(VLOOKUP($BD485,DECODE!$A$3:$C$8,3,FALSE),"?"))</f>
        <v/>
      </c>
      <c r="BG485">
        <f>IF($BE485="","",IFERROR(VLOOKUP($BD485&amp;"-"&amp;$BE485,DECODE!$E$3:$F$21,2,FALSE),"?"))</f>
        <v/>
      </c>
      <c r="BH485">
        <f>IF($BC485="","",IFERROR(VALUE(RIGHT($BC485,3)),""))</f>
        <v/>
      </c>
      <c r="BI485">
        <f>IF($V485="","",IFERROR(IF(ISNUMBER($V485),$V485,DATEVALUE(TRIM($V485))),""))</f>
        <v/>
      </c>
      <c r="BJ485">
        <f>IF($BI485="","",IF(MONTH($BI485)&gt;=12,"Cold Winter",IF(MONTH($BI485)&gt;=10,"Post-Monsoon",IF(MONTH($BI485)&gt;=6,"Hot Humid",IF(MONTH($BI485)&gt;=3,"Hot Dry","Cold Winter")))))</f>
        <v/>
      </c>
      <c r="BK485">
        <f>IF($BD485="","",IFERROR(VLOOKUP($BD485,DECODE!$A$3:$C$8,2,FALSE),"?"))</f>
        <v/>
      </c>
      <c r="BL485">
        <f>IF($Q485="","",UPPER(TRIM(LEFT($Q485&amp;",",FIND(",",$Q485&amp;",")-1))))</f>
        <v/>
      </c>
      <c r="BM485">
        <f>IF($BL485="","",MID($BL485,4,FIND("~",SUBSTITUTE($BL485,"-","~",2))-4))</f>
        <v/>
      </c>
      <c r="BN485">
        <f>IF($BL485="","",MID($BL485,FIND("~",SUBSTITUTE($BL485,"-","~",2))+1,FIND("~",SUBSTITUTE($BL485,"-","~",3))-FIND("~",SUBSTITUTE($BL485,"-","~",2))-1))</f>
        <v/>
      </c>
      <c r="BO485">
        <f>IF($BM485="","",IFERROR(VLOOKUP($BM485,DECODE!$A$3:$C$8,3,FALSE),"?"))</f>
        <v/>
      </c>
      <c r="BP485">
        <f>IF($BN485="","",IFERROR(VLOOKUP($BM485&amp;"-"&amp;$BN485,DECODE!$E$3:$F$21,2,FALSE),"?"))</f>
        <v/>
      </c>
      <c r="BQ485">
        <f>IF($BL485="","",IFERROR(VALUE(RIGHT($BL485,3)),""))</f>
        <v/>
      </c>
      <c r="BR485">
        <f>IF($W485="","",IFERROR(IF(ISNUMBER($W485),$W485,DATEVALUE(TRIM($W485))),""))</f>
        <v/>
      </c>
      <c r="BS485">
        <f>IF($BR485="","",IF(MONTH($BR485)&gt;=12,"Cold Winter",IF(MONTH($BR485)&gt;=10,"Post-Monsoon",IF(MONTH($BR485)&gt;=6,"Hot Humid",IF(MONTH($BR485)&gt;=3,"Hot Dry","Cold Winter")))))</f>
        <v/>
      </c>
      <c r="BT485">
        <f>IF($BM485="","",IFERROR(VLOOKUP($BM485,DECODE!$A$3:$C$8,2,FALSE),"?"))</f>
        <v/>
      </c>
      <c r="BU485">
        <f>IF($R485="","",UPPER(TRIM(LEFT($R485&amp;",",FIND(",",$R485&amp;",")-1))))</f>
        <v/>
      </c>
      <c r="BV485">
        <f>IF($BU485="","",MID($BU485,4,FIND("~",SUBSTITUTE($BU485,"-","~",2))-4))</f>
        <v/>
      </c>
      <c r="BW485">
        <f>IF($BU485="","",MID($BU485,FIND("~",SUBSTITUTE($BU485,"-","~",2))+1,FIND("~",SUBSTITUTE($BU485,"-","~",3))-FIND("~",SUBSTITUTE($BU485,"-","~",2))-1))</f>
        <v/>
      </c>
      <c r="BX485">
        <f>IF($BV485="","",IFERROR(VLOOKUP($BV485,DECODE!$A$3:$C$8,3,FALSE),"?"))</f>
        <v/>
      </c>
      <c r="BY485">
        <f>IF($BW485="","",IFERROR(VLOOKUP($BV485&amp;"-"&amp;$BW485,DECODE!$E$3:$F$21,2,FALSE),"?"))</f>
        <v/>
      </c>
      <c r="BZ485">
        <f>IF($BU485="","",IFERROR(VALUE(RIGHT($BU485,3)),""))</f>
        <v/>
      </c>
      <c r="CA485">
        <f>IF($X485="","",IFERROR(IF(ISNUMBER($X485),$X485,DATEVALUE(TRIM($X485))),""))</f>
        <v/>
      </c>
      <c r="CB485">
        <f>IF($CA485="","",IF(MONTH($CA485)&gt;=12,"Cold Winter",IF(MONTH($CA485)&gt;=10,"Post-Monsoon",IF(MONTH($CA485)&gt;=6,"Hot Humid",IF(MONTH($CA485)&gt;=3,"Hot Dry","Cold Winter")))))</f>
        <v/>
      </c>
      <c r="CC485">
        <f>IF($BV485="","",IFERROR(VLOOKUP($BV485,DECODE!$A$3:$C$8,2,FALSE),"?"))</f>
        <v/>
      </c>
      <c r="CD485">
        <f>IF($S485="","",UPPER(TRIM(LEFT($S485&amp;",",FIND(",",$S485&amp;",")-1))))</f>
        <v/>
      </c>
      <c r="CE485">
        <f>IF($CD485="","",MID($CD485,4,FIND("~",SUBSTITUTE($CD485,"-","~",2))-4))</f>
        <v/>
      </c>
      <c r="CF485">
        <f>IF($CD485="","",MID($CD485,FIND("~",SUBSTITUTE($CD485,"-","~",2))+1,FIND("~",SUBSTITUTE($CD485,"-","~",3))-FIND("~",SUBSTITUTE($CD485,"-","~",2))-1))</f>
        <v/>
      </c>
      <c r="CG485">
        <f>IF($CE485="","",IFERROR(VLOOKUP($CE485,DECODE!$A$3:$C$8,3,FALSE),"?"))</f>
        <v/>
      </c>
      <c r="CH485">
        <f>IF($CF485="","",IFERROR(VLOOKUP($CE485&amp;"-"&amp;$CF485,DECODE!$E$3:$F$21,2,FALSE),"?"))</f>
        <v/>
      </c>
      <c r="CI485">
        <f>IF($CD485="","",IFERROR(VALUE(RIGHT($CD485,3)),""))</f>
        <v/>
      </c>
      <c r="CJ485">
        <f>IF($Y485="","",IFERROR(IF(ISNUMBER($Y485),$Y485,DATEVALUE(TRIM($Y485))),""))</f>
        <v/>
      </c>
      <c r="CK485">
        <f>IF($CJ485="","",IF(MONTH($CJ485)&gt;=12,"Cold Winter",IF(MONTH($CJ485)&gt;=10,"Post-Monsoon",IF(MONTH($CJ485)&gt;=6,"Hot Humid",IF(MONTH($CJ485)&gt;=3,"Hot Dry","Cold Winter")))))</f>
        <v/>
      </c>
      <c r="CL485">
        <f>IF($CE485="","",IFERROR(VLOOKUP($CE485,DECODE!$A$3:$C$8,2,FALSE),"?"))</f>
        <v/>
      </c>
      <c r="CM485">
        <f>IF($AN485="","",AN485)</f>
        <v/>
      </c>
      <c r="CN485">
        <f>IF($AO485="","",AO485)</f>
        <v/>
      </c>
      <c r="CO485">
        <f>IF($AP485="","",AP485)</f>
        <v/>
      </c>
      <c r="CP485">
        <f>IF($CM485="","",IF($CM485="Aloe Vera Gel","Aloe Vera Gel "&amp;$CO485&amp;"g",CN485&amp;" "&amp;$CO485&amp;"g"))</f>
        <v/>
      </c>
      <c r="CQ485">
        <f>IF($AT485="",0,1)</f>
        <v/>
      </c>
      <c r="CR485">
        <f>IF($CQ485=0,"",AW485)</f>
        <v/>
      </c>
      <c r="CS485">
        <f>IF($CQ485=0,"",AX485)</f>
        <v/>
      </c>
      <c r="CT485">
        <f>IF($CQ485=0,"",AY485)</f>
        <v/>
      </c>
      <c r="CU485">
        <f>IF($CR485="","",IF($CR485="Aloe Vera Gel","Aloe Vera Gel "&amp;$CT485&amp;"g",CS485&amp;" "&amp;$CT485&amp;"g"))</f>
        <v/>
      </c>
      <c r="CV485">
        <f>IF($CQ485=0,"",IF($CP485=$CU485,"Repeat Exact",IF($CT485&gt;$CO485,"Upsized",IF($CT485&lt;$CO485,"Downsized",IF($CM485&lt;&gt;$CR485,"Lateral","Same Size Diff Variant")))))</f>
        <v/>
      </c>
      <c r="CW485">
        <f>IF($CQ485=0,"",AZ485-AQ485)</f>
        <v/>
      </c>
      <c r="CX485">
        <f>IF($CQ485=0,0,IF(CS485=CN485,1,0))</f>
        <v/>
      </c>
      <c r="CY485">
        <f>IF($CQ485=0,0,IF(CR485=CM485,1,0))</f>
        <v/>
      </c>
      <c r="CZ485">
        <f>IF($A485="","",IF(AND(IF(DASHBOARD!$C$4="All",TRUE,$CM485=DASHBOARD!$C$4),IF(DASHBOARD!$C$6="All",TRUE,$CP485=DASHBOARD!$C$6),IF(DASHBOARD!$C$8="All",TRUE,$AF485&gt;=DASHBOARD!$C$8),IF(DASHBOARD!$C$10="All",TRUE,$AF485&lt;=DASHBOARD!$C$10),IF(DASHBOARD!$C$12="All",TRUE,$AH485=VALUE(DASHBOARD!$C$12)),IF(DASHBOARD!$C$14="All",TRUE,$AJ485=DASHBOARD!$C$14)),1,0))</f>
        <v/>
      </c>
    </row>
    <row r="486">
      <c r="A486" t="n">
        <v>224422</v>
      </c>
      <c r="B486" t="inlineStr">
        <is>
          <t>Face Malai</t>
        </is>
      </c>
      <c r="H486" t="inlineStr">
        <is>
          <t>Winter Blackseed Tulsi (Cold) 13 - 19 Yrs Face Malai, Flax Walnut (Cold) 35+ Face Malai</t>
        </is>
      </c>
      <c r="N486" t="inlineStr">
        <is>
          <t>FC-CWDM-FW-030, FC-CWDM-BT-030</t>
        </is>
      </c>
      <c r="T486" t="inlineStr">
        <is>
          <t>Nov 22, 2024</t>
        </is>
      </c>
      <c r="AE486" t="inlineStr">
        <is>
          <t>Dhanbad</t>
        </is>
      </c>
      <c r="AF486" t="inlineStr">
        <is>
          <t>2024-11</t>
        </is>
      </c>
      <c r="AG486" t="n">
        <v>11</v>
      </c>
      <c r="AH486" t="n">
        <v>1</v>
      </c>
      <c r="AI486" t="n">
        <v>0</v>
      </c>
      <c r="AJ486">
        <f>IF($AE486="","",IFERROR(VLOOKUP(TRIM($AE486),DECODE!$H$3:$I$60,2,FALSE),"Rest of India"))</f>
        <v/>
      </c>
      <c r="AK486">
        <f>IF($N486="","",UPPER(TRIM(LEFT($N486&amp;",",FIND(",",$N486&amp;",")-1))))</f>
        <v/>
      </c>
      <c r="AL486">
        <f>IF($AK486="","",MID($AK486,4,FIND("~",SUBSTITUTE($AK486,"-","~",2))-4))</f>
        <v/>
      </c>
      <c r="AM486">
        <f>IF($AK486="","",MID($AK486,FIND("~",SUBSTITUTE($AK486,"-","~",2))+1,FIND("~",SUBSTITUTE($AK486,"-","~",3))-FIND("~",SUBSTITUTE($AK486,"-","~",2))-1))</f>
        <v/>
      </c>
      <c r="AN486">
        <f>IF($AL486="","",IFERROR(VLOOKUP($AL486,DECODE!$A$3:$C$8,3,FALSE),"?"))</f>
        <v/>
      </c>
      <c r="AO486">
        <f>IF($AM486="","",IFERROR(VLOOKUP($AL486&amp;"-"&amp;$AM486,DECODE!$E$3:$F$21,2,FALSE),"?"))</f>
        <v/>
      </c>
      <c r="AP486">
        <f>IF($AK486="","",IFERROR(VALUE(RIGHT($AK486,3)),""))</f>
        <v/>
      </c>
      <c r="AQ486">
        <f>IF($T486="","",IFERROR(IF(ISNUMBER($T486),$T486,DATEVALUE(TRIM($T486))),""))</f>
        <v/>
      </c>
      <c r="AR486">
        <f>IF($AQ486="","",IF(MONTH($AQ486)&gt;=12,"Cold Winter",IF(MONTH($AQ486)&gt;=10,"Post-Monsoon",IF(MONTH($AQ486)&gt;=6,"Hot Humid",IF(MONTH($AQ486)&gt;=3,"Hot Dry","Cold Winter")))))</f>
        <v/>
      </c>
      <c r="AS486">
        <f>IF($AL486="","",IFERROR(VLOOKUP($AL486,DECODE!$A$3:$C$8,2,FALSE),"?"))</f>
        <v/>
      </c>
      <c r="AT486">
        <f>IF($O486="","",UPPER(TRIM(LEFT($O486&amp;",",FIND(",",$O486&amp;",")-1))))</f>
        <v/>
      </c>
      <c r="AU486">
        <f>IF($AT486="","",MID($AT486,4,FIND("~",SUBSTITUTE($AT486,"-","~",2))-4))</f>
        <v/>
      </c>
      <c r="AV486">
        <f>IF($AT486="","",MID($AT486,FIND("~",SUBSTITUTE($AT486,"-","~",2))+1,FIND("~",SUBSTITUTE($AT486,"-","~",3))-FIND("~",SUBSTITUTE($AT486,"-","~",2))-1))</f>
        <v/>
      </c>
      <c r="AW486">
        <f>IF($AU486="","",IFERROR(VLOOKUP($AU486,DECODE!$A$3:$C$8,3,FALSE),"?"))</f>
        <v/>
      </c>
      <c r="AX486">
        <f>IF($AV486="","",IFERROR(VLOOKUP($AU486&amp;"-"&amp;$AV486,DECODE!$E$3:$F$21,2,FALSE),"?"))</f>
        <v/>
      </c>
      <c r="AY486">
        <f>IF($AT486="","",IFERROR(VALUE(RIGHT($AT486,3)),""))</f>
        <v/>
      </c>
      <c r="AZ486">
        <f>IF($U486="","",IFERROR(IF(ISNUMBER($U486),$U486,DATEVALUE(TRIM($U486))),""))</f>
        <v/>
      </c>
      <c r="BA486">
        <f>IF($AZ486="","",IF(MONTH($AZ486)&gt;=12,"Cold Winter",IF(MONTH($AZ486)&gt;=10,"Post-Monsoon",IF(MONTH($AZ486)&gt;=6,"Hot Humid",IF(MONTH($AZ486)&gt;=3,"Hot Dry","Cold Winter")))))</f>
        <v/>
      </c>
      <c r="BB486">
        <f>IF($AU486="","",IFERROR(VLOOKUP($AU486,DECODE!$A$3:$C$8,2,FALSE),"?"))</f>
        <v/>
      </c>
      <c r="BC486">
        <f>IF($P486="","",UPPER(TRIM(LEFT($P486&amp;",",FIND(",",$P486&amp;",")-1))))</f>
        <v/>
      </c>
      <c r="BD486">
        <f>IF($BC486="","",MID($BC486,4,FIND("~",SUBSTITUTE($BC486,"-","~",2))-4))</f>
        <v/>
      </c>
      <c r="BE486">
        <f>IF($BC486="","",MID($BC486,FIND("~",SUBSTITUTE($BC486,"-","~",2))+1,FIND("~",SUBSTITUTE($BC486,"-","~",3))-FIND("~",SUBSTITUTE($BC486,"-","~",2))-1))</f>
        <v/>
      </c>
      <c r="BF486">
        <f>IF($BD486="","",IFERROR(VLOOKUP($BD486,DECODE!$A$3:$C$8,3,FALSE),"?"))</f>
        <v/>
      </c>
      <c r="BG486">
        <f>IF($BE486="","",IFERROR(VLOOKUP($BD486&amp;"-"&amp;$BE486,DECODE!$E$3:$F$21,2,FALSE),"?"))</f>
        <v/>
      </c>
      <c r="BH486">
        <f>IF($BC486="","",IFERROR(VALUE(RIGHT($BC486,3)),""))</f>
        <v/>
      </c>
      <c r="BI486">
        <f>IF($V486="","",IFERROR(IF(ISNUMBER($V486),$V486,DATEVALUE(TRIM($V486))),""))</f>
        <v/>
      </c>
      <c r="BJ486">
        <f>IF($BI486="","",IF(MONTH($BI486)&gt;=12,"Cold Winter",IF(MONTH($BI486)&gt;=10,"Post-Monsoon",IF(MONTH($BI486)&gt;=6,"Hot Humid",IF(MONTH($BI486)&gt;=3,"Hot Dry","Cold Winter")))))</f>
        <v/>
      </c>
      <c r="BK486">
        <f>IF($BD486="","",IFERROR(VLOOKUP($BD486,DECODE!$A$3:$C$8,2,FALSE),"?"))</f>
        <v/>
      </c>
      <c r="BL486">
        <f>IF($Q486="","",UPPER(TRIM(LEFT($Q486&amp;",",FIND(",",$Q486&amp;",")-1))))</f>
        <v/>
      </c>
      <c r="BM486">
        <f>IF($BL486="","",MID($BL486,4,FIND("~",SUBSTITUTE($BL486,"-","~",2))-4))</f>
        <v/>
      </c>
      <c r="BN486">
        <f>IF($BL486="","",MID($BL486,FIND("~",SUBSTITUTE($BL486,"-","~",2))+1,FIND("~",SUBSTITUTE($BL486,"-","~",3))-FIND("~",SUBSTITUTE($BL486,"-","~",2))-1))</f>
        <v/>
      </c>
      <c r="BO486">
        <f>IF($BM486="","",IFERROR(VLOOKUP($BM486,DECODE!$A$3:$C$8,3,FALSE),"?"))</f>
        <v/>
      </c>
      <c r="BP486">
        <f>IF($BN486="","",IFERROR(VLOOKUP($BM486&amp;"-"&amp;$BN486,DECODE!$E$3:$F$21,2,FALSE),"?"))</f>
        <v/>
      </c>
      <c r="BQ486">
        <f>IF($BL486="","",IFERROR(VALUE(RIGHT($BL486,3)),""))</f>
        <v/>
      </c>
      <c r="BR486">
        <f>IF($W486="","",IFERROR(IF(ISNUMBER($W486),$W486,DATEVALUE(TRIM($W486))),""))</f>
        <v/>
      </c>
      <c r="BS486">
        <f>IF($BR486="","",IF(MONTH($BR486)&gt;=12,"Cold Winter",IF(MONTH($BR486)&gt;=10,"Post-Monsoon",IF(MONTH($BR486)&gt;=6,"Hot Humid",IF(MONTH($BR486)&gt;=3,"Hot Dry","Cold Winter")))))</f>
        <v/>
      </c>
      <c r="BT486">
        <f>IF($BM486="","",IFERROR(VLOOKUP($BM486,DECODE!$A$3:$C$8,2,FALSE),"?"))</f>
        <v/>
      </c>
      <c r="BU486">
        <f>IF($R486="","",UPPER(TRIM(LEFT($R486&amp;",",FIND(",",$R486&amp;",")-1))))</f>
        <v/>
      </c>
      <c r="BV486">
        <f>IF($BU486="","",MID($BU486,4,FIND("~",SUBSTITUTE($BU486,"-","~",2))-4))</f>
        <v/>
      </c>
      <c r="BW486">
        <f>IF($BU486="","",MID($BU486,FIND("~",SUBSTITUTE($BU486,"-","~",2))+1,FIND("~",SUBSTITUTE($BU486,"-","~",3))-FIND("~",SUBSTITUTE($BU486,"-","~",2))-1))</f>
        <v/>
      </c>
      <c r="BX486">
        <f>IF($BV486="","",IFERROR(VLOOKUP($BV486,DECODE!$A$3:$C$8,3,FALSE),"?"))</f>
        <v/>
      </c>
      <c r="BY486">
        <f>IF($BW486="","",IFERROR(VLOOKUP($BV486&amp;"-"&amp;$BW486,DECODE!$E$3:$F$21,2,FALSE),"?"))</f>
        <v/>
      </c>
      <c r="BZ486">
        <f>IF($BU486="","",IFERROR(VALUE(RIGHT($BU486,3)),""))</f>
        <v/>
      </c>
      <c r="CA486">
        <f>IF($X486="","",IFERROR(IF(ISNUMBER($X486),$X486,DATEVALUE(TRIM($X486))),""))</f>
        <v/>
      </c>
      <c r="CB486">
        <f>IF($CA486="","",IF(MONTH($CA486)&gt;=12,"Cold Winter",IF(MONTH($CA486)&gt;=10,"Post-Monsoon",IF(MONTH($CA486)&gt;=6,"Hot Humid",IF(MONTH($CA486)&gt;=3,"Hot Dry","Cold Winter")))))</f>
        <v/>
      </c>
      <c r="CC486">
        <f>IF($BV486="","",IFERROR(VLOOKUP($BV486,DECODE!$A$3:$C$8,2,FALSE),"?"))</f>
        <v/>
      </c>
      <c r="CD486">
        <f>IF($S486="","",UPPER(TRIM(LEFT($S486&amp;",",FIND(",",$S486&amp;",")-1))))</f>
        <v/>
      </c>
      <c r="CE486">
        <f>IF($CD486="","",MID($CD486,4,FIND("~",SUBSTITUTE($CD486,"-","~",2))-4))</f>
        <v/>
      </c>
      <c r="CF486">
        <f>IF($CD486="","",MID($CD486,FIND("~",SUBSTITUTE($CD486,"-","~",2))+1,FIND("~",SUBSTITUTE($CD486,"-","~",3))-FIND("~",SUBSTITUTE($CD486,"-","~",2))-1))</f>
        <v/>
      </c>
      <c r="CG486">
        <f>IF($CE486="","",IFERROR(VLOOKUP($CE486,DECODE!$A$3:$C$8,3,FALSE),"?"))</f>
        <v/>
      </c>
      <c r="CH486">
        <f>IF($CF486="","",IFERROR(VLOOKUP($CE486&amp;"-"&amp;$CF486,DECODE!$E$3:$F$21,2,FALSE),"?"))</f>
        <v/>
      </c>
      <c r="CI486">
        <f>IF($CD486="","",IFERROR(VALUE(RIGHT($CD486,3)),""))</f>
        <v/>
      </c>
      <c r="CJ486">
        <f>IF($Y486="","",IFERROR(IF(ISNUMBER($Y486),$Y486,DATEVALUE(TRIM($Y486))),""))</f>
        <v/>
      </c>
      <c r="CK486">
        <f>IF($CJ486="","",IF(MONTH($CJ486)&gt;=12,"Cold Winter",IF(MONTH($CJ486)&gt;=10,"Post-Monsoon",IF(MONTH($CJ486)&gt;=6,"Hot Humid",IF(MONTH($CJ486)&gt;=3,"Hot Dry","Cold Winter")))))</f>
        <v/>
      </c>
      <c r="CL486">
        <f>IF($CE486="","",IFERROR(VLOOKUP($CE486,DECODE!$A$3:$C$8,2,FALSE),"?"))</f>
        <v/>
      </c>
      <c r="CM486">
        <f>IF($AN486="","",AN486)</f>
        <v/>
      </c>
      <c r="CN486">
        <f>IF($AO486="","",AO486)</f>
        <v/>
      </c>
      <c r="CO486">
        <f>IF($AP486="","",AP486)</f>
        <v/>
      </c>
      <c r="CP486">
        <f>IF($CM486="","",IF($CM486="Aloe Vera Gel","Aloe Vera Gel "&amp;$CO486&amp;"g",CN486&amp;" "&amp;$CO486&amp;"g"))</f>
        <v/>
      </c>
      <c r="CQ486">
        <f>IF($AT486="",0,1)</f>
        <v/>
      </c>
      <c r="CR486">
        <f>IF($CQ486=0,"",AW486)</f>
        <v/>
      </c>
      <c r="CS486">
        <f>IF($CQ486=0,"",AX486)</f>
        <v/>
      </c>
      <c r="CT486">
        <f>IF($CQ486=0,"",AY486)</f>
        <v/>
      </c>
      <c r="CU486">
        <f>IF($CR486="","",IF($CR486="Aloe Vera Gel","Aloe Vera Gel "&amp;$CT486&amp;"g",CS486&amp;" "&amp;$CT486&amp;"g"))</f>
        <v/>
      </c>
      <c r="CV486">
        <f>IF($CQ486=0,"",IF($CP486=$CU486,"Repeat Exact",IF($CT486&gt;$CO486,"Upsized",IF($CT486&lt;$CO486,"Downsized",IF($CM486&lt;&gt;$CR486,"Lateral","Same Size Diff Variant")))))</f>
        <v/>
      </c>
      <c r="CW486">
        <f>IF($CQ486=0,"",AZ486-AQ486)</f>
        <v/>
      </c>
      <c r="CX486">
        <f>IF($CQ486=0,0,IF(CS486=CN486,1,0))</f>
        <v/>
      </c>
      <c r="CY486">
        <f>IF($CQ486=0,0,IF(CR486=CM486,1,0))</f>
        <v/>
      </c>
      <c r="CZ486">
        <f>IF($A486="","",IF(AND(IF(DASHBOARD!$C$4="All",TRUE,$CM486=DASHBOARD!$C$4),IF(DASHBOARD!$C$6="All",TRUE,$CP486=DASHBOARD!$C$6),IF(DASHBOARD!$C$8="All",TRUE,$AF486&gt;=DASHBOARD!$C$8),IF(DASHBOARD!$C$10="All",TRUE,$AF486&lt;=DASHBOARD!$C$10),IF(DASHBOARD!$C$12="All",TRUE,$AH486=VALUE(DASHBOARD!$C$12)),IF(DASHBOARD!$C$14="All",TRUE,$AJ486=DASHBOARD!$C$14)),1,0))</f>
        <v/>
      </c>
    </row>
    <row r="487">
      <c r="A487" t="n">
        <v>224706</v>
      </c>
      <c r="B487" t="inlineStr">
        <is>
          <t>Active Gel, Face Malai</t>
        </is>
      </c>
      <c r="H487" t="inlineStr">
        <is>
          <t>Clove Tea-Tree (Anti-Acne) Face Malai, Active Neem TeaTree Gel</t>
        </is>
      </c>
      <c r="N487" t="inlineStr">
        <is>
          <t>FC-DM-AA-030, FC-AC-NT-050</t>
        </is>
      </c>
      <c r="T487" t="inlineStr">
        <is>
          <t>Sep 26, 2024</t>
        </is>
      </c>
      <c r="AE487" t="inlineStr">
        <is>
          <t>Kolkata</t>
        </is>
      </c>
      <c r="AF487" t="inlineStr">
        <is>
          <t>2024-09</t>
        </is>
      </c>
      <c r="AG487" t="n">
        <v>9</v>
      </c>
      <c r="AH487" t="n">
        <v>1</v>
      </c>
      <c r="AI487" t="n">
        <v>0</v>
      </c>
      <c r="AJ487">
        <f>IF($AE487="","",IFERROR(VLOOKUP(TRIM($AE487),DECODE!$H$3:$I$60,2,FALSE),"Rest of India"))</f>
        <v/>
      </c>
      <c r="AK487">
        <f>IF($N487="","",UPPER(TRIM(LEFT($N487&amp;",",FIND(",",$N487&amp;",")-1))))</f>
        <v/>
      </c>
      <c r="AL487">
        <f>IF($AK487="","",MID($AK487,4,FIND("~",SUBSTITUTE($AK487,"-","~",2))-4))</f>
        <v/>
      </c>
      <c r="AM487">
        <f>IF($AK487="","",MID($AK487,FIND("~",SUBSTITUTE($AK487,"-","~",2))+1,FIND("~",SUBSTITUTE($AK487,"-","~",3))-FIND("~",SUBSTITUTE($AK487,"-","~",2))-1))</f>
        <v/>
      </c>
      <c r="AN487">
        <f>IF($AL487="","",IFERROR(VLOOKUP($AL487,DECODE!$A$3:$C$8,3,FALSE),"?"))</f>
        <v/>
      </c>
      <c r="AO487">
        <f>IF($AM487="","",IFERROR(VLOOKUP($AL487&amp;"-"&amp;$AM487,DECODE!$E$3:$F$21,2,FALSE),"?"))</f>
        <v/>
      </c>
      <c r="AP487">
        <f>IF($AK487="","",IFERROR(VALUE(RIGHT($AK487,3)),""))</f>
        <v/>
      </c>
      <c r="AQ487">
        <f>IF($T487="","",IFERROR(IF(ISNUMBER($T487),$T487,DATEVALUE(TRIM($T487))),""))</f>
        <v/>
      </c>
      <c r="AR487">
        <f>IF($AQ487="","",IF(MONTH($AQ487)&gt;=12,"Cold Winter",IF(MONTH($AQ487)&gt;=10,"Post-Monsoon",IF(MONTH($AQ487)&gt;=6,"Hot Humid",IF(MONTH($AQ487)&gt;=3,"Hot Dry","Cold Winter")))))</f>
        <v/>
      </c>
      <c r="AS487">
        <f>IF($AL487="","",IFERROR(VLOOKUP($AL487,DECODE!$A$3:$C$8,2,FALSE),"?"))</f>
        <v/>
      </c>
      <c r="AT487">
        <f>IF($O487="","",UPPER(TRIM(LEFT($O487&amp;",",FIND(",",$O487&amp;",")-1))))</f>
        <v/>
      </c>
      <c r="AU487">
        <f>IF($AT487="","",MID($AT487,4,FIND("~",SUBSTITUTE($AT487,"-","~",2))-4))</f>
        <v/>
      </c>
      <c r="AV487">
        <f>IF($AT487="","",MID($AT487,FIND("~",SUBSTITUTE($AT487,"-","~",2))+1,FIND("~",SUBSTITUTE($AT487,"-","~",3))-FIND("~",SUBSTITUTE($AT487,"-","~",2))-1))</f>
        <v/>
      </c>
      <c r="AW487">
        <f>IF($AU487="","",IFERROR(VLOOKUP($AU487,DECODE!$A$3:$C$8,3,FALSE),"?"))</f>
        <v/>
      </c>
      <c r="AX487">
        <f>IF($AV487="","",IFERROR(VLOOKUP($AU487&amp;"-"&amp;$AV487,DECODE!$E$3:$F$21,2,FALSE),"?"))</f>
        <v/>
      </c>
      <c r="AY487">
        <f>IF($AT487="","",IFERROR(VALUE(RIGHT($AT487,3)),""))</f>
        <v/>
      </c>
      <c r="AZ487">
        <f>IF($U487="","",IFERROR(IF(ISNUMBER($U487),$U487,DATEVALUE(TRIM($U487))),""))</f>
        <v/>
      </c>
      <c r="BA487">
        <f>IF($AZ487="","",IF(MONTH($AZ487)&gt;=12,"Cold Winter",IF(MONTH($AZ487)&gt;=10,"Post-Monsoon",IF(MONTH($AZ487)&gt;=6,"Hot Humid",IF(MONTH($AZ487)&gt;=3,"Hot Dry","Cold Winter")))))</f>
        <v/>
      </c>
      <c r="BB487">
        <f>IF($AU487="","",IFERROR(VLOOKUP($AU487,DECODE!$A$3:$C$8,2,FALSE),"?"))</f>
        <v/>
      </c>
      <c r="BC487">
        <f>IF($P487="","",UPPER(TRIM(LEFT($P487&amp;",",FIND(",",$P487&amp;",")-1))))</f>
        <v/>
      </c>
      <c r="BD487">
        <f>IF($BC487="","",MID($BC487,4,FIND("~",SUBSTITUTE($BC487,"-","~",2))-4))</f>
        <v/>
      </c>
      <c r="BE487">
        <f>IF($BC487="","",MID($BC487,FIND("~",SUBSTITUTE($BC487,"-","~",2))+1,FIND("~",SUBSTITUTE($BC487,"-","~",3))-FIND("~",SUBSTITUTE($BC487,"-","~",2))-1))</f>
        <v/>
      </c>
      <c r="BF487">
        <f>IF($BD487="","",IFERROR(VLOOKUP($BD487,DECODE!$A$3:$C$8,3,FALSE),"?"))</f>
        <v/>
      </c>
      <c r="BG487">
        <f>IF($BE487="","",IFERROR(VLOOKUP($BD487&amp;"-"&amp;$BE487,DECODE!$E$3:$F$21,2,FALSE),"?"))</f>
        <v/>
      </c>
      <c r="BH487">
        <f>IF($BC487="","",IFERROR(VALUE(RIGHT($BC487,3)),""))</f>
        <v/>
      </c>
      <c r="BI487">
        <f>IF($V487="","",IFERROR(IF(ISNUMBER($V487),$V487,DATEVALUE(TRIM($V487))),""))</f>
        <v/>
      </c>
      <c r="BJ487">
        <f>IF($BI487="","",IF(MONTH($BI487)&gt;=12,"Cold Winter",IF(MONTH($BI487)&gt;=10,"Post-Monsoon",IF(MONTH($BI487)&gt;=6,"Hot Humid",IF(MONTH($BI487)&gt;=3,"Hot Dry","Cold Winter")))))</f>
        <v/>
      </c>
      <c r="BK487">
        <f>IF($BD487="","",IFERROR(VLOOKUP($BD487,DECODE!$A$3:$C$8,2,FALSE),"?"))</f>
        <v/>
      </c>
      <c r="BL487">
        <f>IF($Q487="","",UPPER(TRIM(LEFT($Q487&amp;",",FIND(",",$Q487&amp;",")-1))))</f>
        <v/>
      </c>
      <c r="BM487">
        <f>IF($BL487="","",MID($BL487,4,FIND("~",SUBSTITUTE($BL487,"-","~",2))-4))</f>
        <v/>
      </c>
      <c r="BN487">
        <f>IF($BL487="","",MID($BL487,FIND("~",SUBSTITUTE($BL487,"-","~",2))+1,FIND("~",SUBSTITUTE($BL487,"-","~",3))-FIND("~",SUBSTITUTE($BL487,"-","~",2))-1))</f>
        <v/>
      </c>
      <c r="BO487">
        <f>IF($BM487="","",IFERROR(VLOOKUP($BM487,DECODE!$A$3:$C$8,3,FALSE),"?"))</f>
        <v/>
      </c>
      <c r="BP487">
        <f>IF($BN487="","",IFERROR(VLOOKUP($BM487&amp;"-"&amp;$BN487,DECODE!$E$3:$F$21,2,FALSE),"?"))</f>
        <v/>
      </c>
      <c r="BQ487">
        <f>IF($BL487="","",IFERROR(VALUE(RIGHT($BL487,3)),""))</f>
        <v/>
      </c>
      <c r="BR487">
        <f>IF($W487="","",IFERROR(IF(ISNUMBER($W487),$W487,DATEVALUE(TRIM($W487))),""))</f>
        <v/>
      </c>
      <c r="BS487">
        <f>IF($BR487="","",IF(MONTH($BR487)&gt;=12,"Cold Winter",IF(MONTH($BR487)&gt;=10,"Post-Monsoon",IF(MONTH($BR487)&gt;=6,"Hot Humid",IF(MONTH($BR487)&gt;=3,"Hot Dry","Cold Winter")))))</f>
        <v/>
      </c>
      <c r="BT487">
        <f>IF($BM487="","",IFERROR(VLOOKUP($BM487,DECODE!$A$3:$C$8,2,FALSE),"?"))</f>
        <v/>
      </c>
      <c r="BU487">
        <f>IF($R487="","",UPPER(TRIM(LEFT($R487&amp;",",FIND(",",$R487&amp;",")-1))))</f>
        <v/>
      </c>
      <c r="BV487">
        <f>IF($BU487="","",MID($BU487,4,FIND("~",SUBSTITUTE($BU487,"-","~",2))-4))</f>
        <v/>
      </c>
      <c r="BW487">
        <f>IF($BU487="","",MID($BU487,FIND("~",SUBSTITUTE($BU487,"-","~",2))+1,FIND("~",SUBSTITUTE($BU487,"-","~",3))-FIND("~",SUBSTITUTE($BU487,"-","~",2))-1))</f>
        <v/>
      </c>
      <c r="BX487">
        <f>IF($BV487="","",IFERROR(VLOOKUP($BV487,DECODE!$A$3:$C$8,3,FALSE),"?"))</f>
        <v/>
      </c>
      <c r="BY487">
        <f>IF($BW487="","",IFERROR(VLOOKUP($BV487&amp;"-"&amp;$BW487,DECODE!$E$3:$F$21,2,FALSE),"?"))</f>
        <v/>
      </c>
      <c r="BZ487">
        <f>IF($BU487="","",IFERROR(VALUE(RIGHT($BU487,3)),""))</f>
        <v/>
      </c>
      <c r="CA487">
        <f>IF($X487="","",IFERROR(IF(ISNUMBER($X487),$X487,DATEVALUE(TRIM($X487))),""))</f>
        <v/>
      </c>
      <c r="CB487">
        <f>IF($CA487="","",IF(MONTH($CA487)&gt;=12,"Cold Winter",IF(MONTH($CA487)&gt;=10,"Post-Monsoon",IF(MONTH($CA487)&gt;=6,"Hot Humid",IF(MONTH($CA487)&gt;=3,"Hot Dry","Cold Winter")))))</f>
        <v/>
      </c>
      <c r="CC487">
        <f>IF($BV487="","",IFERROR(VLOOKUP($BV487,DECODE!$A$3:$C$8,2,FALSE),"?"))</f>
        <v/>
      </c>
      <c r="CD487">
        <f>IF($S487="","",UPPER(TRIM(LEFT($S487&amp;",",FIND(",",$S487&amp;",")-1))))</f>
        <v/>
      </c>
      <c r="CE487">
        <f>IF($CD487="","",MID($CD487,4,FIND("~",SUBSTITUTE($CD487,"-","~",2))-4))</f>
        <v/>
      </c>
      <c r="CF487">
        <f>IF($CD487="","",MID($CD487,FIND("~",SUBSTITUTE($CD487,"-","~",2))+1,FIND("~",SUBSTITUTE($CD487,"-","~",3))-FIND("~",SUBSTITUTE($CD487,"-","~",2))-1))</f>
        <v/>
      </c>
      <c r="CG487">
        <f>IF($CE487="","",IFERROR(VLOOKUP($CE487,DECODE!$A$3:$C$8,3,FALSE),"?"))</f>
        <v/>
      </c>
      <c r="CH487">
        <f>IF($CF487="","",IFERROR(VLOOKUP($CE487&amp;"-"&amp;$CF487,DECODE!$E$3:$F$21,2,FALSE),"?"))</f>
        <v/>
      </c>
      <c r="CI487">
        <f>IF($CD487="","",IFERROR(VALUE(RIGHT($CD487,3)),""))</f>
        <v/>
      </c>
      <c r="CJ487">
        <f>IF($Y487="","",IFERROR(IF(ISNUMBER($Y487),$Y487,DATEVALUE(TRIM($Y487))),""))</f>
        <v/>
      </c>
      <c r="CK487">
        <f>IF($CJ487="","",IF(MONTH($CJ487)&gt;=12,"Cold Winter",IF(MONTH($CJ487)&gt;=10,"Post-Monsoon",IF(MONTH($CJ487)&gt;=6,"Hot Humid",IF(MONTH($CJ487)&gt;=3,"Hot Dry","Cold Winter")))))</f>
        <v/>
      </c>
      <c r="CL487">
        <f>IF($CE487="","",IFERROR(VLOOKUP($CE487,DECODE!$A$3:$C$8,2,FALSE),"?"))</f>
        <v/>
      </c>
      <c r="CM487">
        <f>IF($AN487="","",AN487)</f>
        <v/>
      </c>
      <c r="CN487">
        <f>IF($AO487="","",AO487)</f>
        <v/>
      </c>
      <c r="CO487">
        <f>IF($AP487="","",AP487)</f>
        <v/>
      </c>
      <c r="CP487">
        <f>IF($CM487="","",IF($CM487="Aloe Vera Gel","Aloe Vera Gel "&amp;$CO487&amp;"g",CN487&amp;" "&amp;$CO487&amp;"g"))</f>
        <v/>
      </c>
      <c r="CQ487">
        <f>IF($AT487="",0,1)</f>
        <v/>
      </c>
      <c r="CR487">
        <f>IF($CQ487=0,"",AW487)</f>
        <v/>
      </c>
      <c r="CS487">
        <f>IF($CQ487=0,"",AX487)</f>
        <v/>
      </c>
      <c r="CT487">
        <f>IF($CQ487=0,"",AY487)</f>
        <v/>
      </c>
      <c r="CU487">
        <f>IF($CR487="","",IF($CR487="Aloe Vera Gel","Aloe Vera Gel "&amp;$CT487&amp;"g",CS487&amp;" "&amp;$CT487&amp;"g"))</f>
        <v/>
      </c>
      <c r="CV487">
        <f>IF($CQ487=0,"",IF($CP487=$CU487,"Repeat Exact",IF($CT487&gt;$CO487,"Upsized",IF($CT487&lt;$CO487,"Downsized",IF($CM487&lt;&gt;$CR487,"Lateral","Same Size Diff Variant")))))</f>
        <v/>
      </c>
      <c r="CW487">
        <f>IF($CQ487=0,"",AZ487-AQ487)</f>
        <v/>
      </c>
      <c r="CX487">
        <f>IF($CQ487=0,0,IF(CS487=CN487,1,0))</f>
        <v/>
      </c>
      <c r="CY487">
        <f>IF($CQ487=0,0,IF(CR487=CM487,1,0))</f>
        <v/>
      </c>
      <c r="CZ487">
        <f>IF($A487="","",IF(AND(IF(DASHBOARD!$C$4="All",TRUE,$CM487=DASHBOARD!$C$4),IF(DASHBOARD!$C$6="All",TRUE,$CP487=DASHBOARD!$C$6),IF(DASHBOARD!$C$8="All",TRUE,$AF487&gt;=DASHBOARD!$C$8),IF(DASHBOARD!$C$10="All",TRUE,$AF487&lt;=DASHBOARD!$C$10),IF(DASHBOARD!$C$12="All",TRUE,$AH487=VALUE(DASHBOARD!$C$12)),IF(DASHBOARD!$C$14="All",TRUE,$AJ487=DASHBOARD!$C$14)),1,0))</f>
        <v/>
      </c>
    </row>
    <row r="488">
      <c r="A488" t="n">
        <v>224838</v>
      </c>
      <c r="B488" t="inlineStr">
        <is>
          <t>Aloe Vera Gel</t>
        </is>
      </c>
      <c r="H488" t="inlineStr">
        <is>
          <t>Aloe Vera Gel - 80 gms</t>
        </is>
      </c>
      <c r="N488" t="inlineStr">
        <is>
          <t>FC-HG-PA-080</t>
        </is>
      </c>
      <c r="T488" t="inlineStr">
        <is>
          <t>Apr 5, 2025</t>
        </is>
      </c>
      <c r="AE488" t="inlineStr">
        <is>
          <t>Bengaluru</t>
        </is>
      </c>
      <c r="AF488" t="inlineStr">
        <is>
          <t>2025-04</t>
        </is>
      </c>
      <c r="AG488" t="n">
        <v>4</v>
      </c>
      <c r="AH488" t="n">
        <v>1</v>
      </c>
      <c r="AI488" t="n">
        <v>0</v>
      </c>
      <c r="AJ488">
        <f>IF($AE488="","",IFERROR(VLOOKUP(TRIM($AE488),DECODE!$H$3:$I$60,2,FALSE),"Rest of India"))</f>
        <v/>
      </c>
      <c r="AK488">
        <f>IF($N488="","",UPPER(TRIM(LEFT($N488&amp;",",FIND(",",$N488&amp;",")-1))))</f>
        <v/>
      </c>
      <c r="AL488">
        <f>IF($AK488="","",MID($AK488,4,FIND("~",SUBSTITUTE($AK488,"-","~",2))-4))</f>
        <v/>
      </c>
      <c r="AM488">
        <f>IF($AK488="","",MID($AK488,FIND("~",SUBSTITUTE($AK488,"-","~",2))+1,FIND("~",SUBSTITUTE($AK488,"-","~",3))-FIND("~",SUBSTITUTE($AK488,"-","~",2))-1))</f>
        <v/>
      </c>
      <c r="AN488">
        <f>IF($AL488="","",IFERROR(VLOOKUP($AL488,DECODE!$A$3:$C$8,3,FALSE),"?"))</f>
        <v/>
      </c>
      <c r="AO488">
        <f>IF($AM488="","",IFERROR(VLOOKUP($AL488&amp;"-"&amp;$AM488,DECODE!$E$3:$F$21,2,FALSE),"?"))</f>
        <v/>
      </c>
      <c r="AP488">
        <f>IF($AK488="","",IFERROR(VALUE(RIGHT($AK488,3)),""))</f>
        <v/>
      </c>
      <c r="AQ488">
        <f>IF($T488="","",IFERROR(IF(ISNUMBER($T488),$T488,DATEVALUE(TRIM($T488))),""))</f>
        <v/>
      </c>
      <c r="AR488">
        <f>IF($AQ488="","",IF(MONTH($AQ488)&gt;=12,"Cold Winter",IF(MONTH($AQ488)&gt;=10,"Post-Monsoon",IF(MONTH($AQ488)&gt;=6,"Hot Humid",IF(MONTH($AQ488)&gt;=3,"Hot Dry","Cold Winter")))))</f>
        <v/>
      </c>
      <c r="AS488">
        <f>IF($AL488="","",IFERROR(VLOOKUP($AL488,DECODE!$A$3:$C$8,2,FALSE),"?"))</f>
        <v/>
      </c>
      <c r="AT488">
        <f>IF($O488="","",UPPER(TRIM(LEFT($O488&amp;",",FIND(",",$O488&amp;",")-1))))</f>
        <v/>
      </c>
      <c r="AU488">
        <f>IF($AT488="","",MID($AT488,4,FIND("~",SUBSTITUTE($AT488,"-","~",2))-4))</f>
        <v/>
      </c>
      <c r="AV488">
        <f>IF($AT488="","",MID($AT488,FIND("~",SUBSTITUTE($AT488,"-","~",2))+1,FIND("~",SUBSTITUTE($AT488,"-","~",3))-FIND("~",SUBSTITUTE($AT488,"-","~",2))-1))</f>
        <v/>
      </c>
      <c r="AW488">
        <f>IF($AU488="","",IFERROR(VLOOKUP($AU488,DECODE!$A$3:$C$8,3,FALSE),"?"))</f>
        <v/>
      </c>
      <c r="AX488">
        <f>IF($AV488="","",IFERROR(VLOOKUP($AU488&amp;"-"&amp;$AV488,DECODE!$E$3:$F$21,2,FALSE),"?"))</f>
        <v/>
      </c>
      <c r="AY488">
        <f>IF($AT488="","",IFERROR(VALUE(RIGHT($AT488,3)),""))</f>
        <v/>
      </c>
      <c r="AZ488">
        <f>IF($U488="","",IFERROR(IF(ISNUMBER($U488),$U488,DATEVALUE(TRIM($U488))),""))</f>
        <v/>
      </c>
      <c r="BA488">
        <f>IF($AZ488="","",IF(MONTH($AZ488)&gt;=12,"Cold Winter",IF(MONTH($AZ488)&gt;=10,"Post-Monsoon",IF(MONTH($AZ488)&gt;=6,"Hot Humid",IF(MONTH($AZ488)&gt;=3,"Hot Dry","Cold Winter")))))</f>
        <v/>
      </c>
      <c r="BB488">
        <f>IF($AU488="","",IFERROR(VLOOKUP($AU488,DECODE!$A$3:$C$8,2,FALSE),"?"))</f>
        <v/>
      </c>
      <c r="BC488">
        <f>IF($P488="","",UPPER(TRIM(LEFT($P488&amp;",",FIND(",",$P488&amp;",")-1))))</f>
        <v/>
      </c>
      <c r="BD488">
        <f>IF($BC488="","",MID($BC488,4,FIND("~",SUBSTITUTE($BC488,"-","~",2))-4))</f>
        <v/>
      </c>
      <c r="BE488">
        <f>IF($BC488="","",MID($BC488,FIND("~",SUBSTITUTE($BC488,"-","~",2))+1,FIND("~",SUBSTITUTE($BC488,"-","~",3))-FIND("~",SUBSTITUTE($BC488,"-","~",2))-1))</f>
        <v/>
      </c>
      <c r="BF488">
        <f>IF($BD488="","",IFERROR(VLOOKUP($BD488,DECODE!$A$3:$C$8,3,FALSE),"?"))</f>
        <v/>
      </c>
      <c r="BG488">
        <f>IF($BE488="","",IFERROR(VLOOKUP($BD488&amp;"-"&amp;$BE488,DECODE!$E$3:$F$21,2,FALSE),"?"))</f>
        <v/>
      </c>
      <c r="BH488">
        <f>IF($BC488="","",IFERROR(VALUE(RIGHT($BC488,3)),""))</f>
        <v/>
      </c>
      <c r="BI488">
        <f>IF($V488="","",IFERROR(IF(ISNUMBER($V488),$V488,DATEVALUE(TRIM($V488))),""))</f>
        <v/>
      </c>
      <c r="BJ488">
        <f>IF($BI488="","",IF(MONTH($BI488)&gt;=12,"Cold Winter",IF(MONTH($BI488)&gt;=10,"Post-Monsoon",IF(MONTH($BI488)&gt;=6,"Hot Humid",IF(MONTH($BI488)&gt;=3,"Hot Dry","Cold Winter")))))</f>
        <v/>
      </c>
      <c r="BK488">
        <f>IF($BD488="","",IFERROR(VLOOKUP($BD488,DECODE!$A$3:$C$8,2,FALSE),"?"))</f>
        <v/>
      </c>
      <c r="BL488">
        <f>IF($Q488="","",UPPER(TRIM(LEFT($Q488&amp;",",FIND(",",$Q488&amp;",")-1))))</f>
        <v/>
      </c>
      <c r="BM488">
        <f>IF($BL488="","",MID($BL488,4,FIND("~",SUBSTITUTE($BL488,"-","~",2))-4))</f>
        <v/>
      </c>
      <c r="BN488">
        <f>IF($BL488="","",MID($BL488,FIND("~",SUBSTITUTE($BL488,"-","~",2))+1,FIND("~",SUBSTITUTE($BL488,"-","~",3))-FIND("~",SUBSTITUTE($BL488,"-","~",2))-1))</f>
        <v/>
      </c>
      <c r="BO488">
        <f>IF($BM488="","",IFERROR(VLOOKUP($BM488,DECODE!$A$3:$C$8,3,FALSE),"?"))</f>
        <v/>
      </c>
      <c r="BP488">
        <f>IF($BN488="","",IFERROR(VLOOKUP($BM488&amp;"-"&amp;$BN488,DECODE!$E$3:$F$21,2,FALSE),"?"))</f>
        <v/>
      </c>
      <c r="BQ488">
        <f>IF($BL488="","",IFERROR(VALUE(RIGHT($BL488,3)),""))</f>
        <v/>
      </c>
      <c r="BR488">
        <f>IF($W488="","",IFERROR(IF(ISNUMBER($W488),$W488,DATEVALUE(TRIM($W488))),""))</f>
        <v/>
      </c>
      <c r="BS488">
        <f>IF($BR488="","",IF(MONTH($BR488)&gt;=12,"Cold Winter",IF(MONTH($BR488)&gt;=10,"Post-Monsoon",IF(MONTH($BR488)&gt;=6,"Hot Humid",IF(MONTH($BR488)&gt;=3,"Hot Dry","Cold Winter")))))</f>
        <v/>
      </c>
      <c r="BT488">
        <f>IF($BM488="","",IFERROR(VLOOKUP($BM488,DECODE!$A$3:$C$8,2,FALSE),"?"))</f>
        <v/>
      </c>
      <c r="BU488">
        <f>IF($R488="","",UPPER(TRIM(LEFT($R488&amp;",",FIND(",",$R488&amp;",")-1))))</f>
        <v/>
      </c>
      <c r="BV488">
        <f>IF($BU488="","",MID($BU488,4,FIND("~",SUBSTITUTE($BU488,"-","~",2))-4))</f>
        <v/>
      </c>
      <c r="BW488">
        <f>IF($BU488="","",MID($BU488,FIND("~",SUBSTITUTE($BU488,"-","~",2))+1,FIND("~",SUBSTITUTE($BU488,"-","~",3))-FIND("~",SUBSTITUTE($BU488,"-","~",2))-1))</f>
        <v/>
      </c>
      <c r="BX488">
        <f>IF($BV488="","",IFERROR(VLOOKUP($BV488,DECODE!$A$3:$C$8,3,FALSE),"?"))</f>
        <v/>
      </c>
      <c r="BY488">
        <f>IF($BW488="","",IFERROR(VLOOKUP($BV488&amp;"-"&amp;$BW488,DECODE!$E$3:$F$21,2,FALSE),"?"))</f>
        <v/>
      </c>
      <c r="BZ488">
        <f>IF($BU488="","",IFERROR(VALUE(RIGHT($BU488,3)),""))</f>
        <v/>
      </c>
      <c r="CA488">
        <f>IF($X488="","",IFERROR(IF(ISNUMBER($X488),$X488,DATEVALUE(TRIM($X488))),""))</f>
        <v/>
      </c>
      <c r="CB488">
        <f>IF($CA488="","",IF(MONTH($CA488)&gt;=12,"Cold Winter",IF(MONTH($CA488)&gt;=10,"Post-Monsoon",IF(MONTH($CA488)&gt;=6,"Hot Humid",IF(MONTH($CA488)&gt;=3,"Hot Dry","Cold Winter")))))</f>
        <v/>
      </c>
      <c r="CC488">
        <f>IF($BV488="","",IFERROR(VLOOKUP($BV488,DECODE!$A$3:$C$8,2,FALSE),"?"))</f>
        <v/>
      </c>
      <c r="CD488">
        <f>IF($S488="","",UPPER(TRIM(LEFT($S488&amp;",",FIND(",",$S488&amp;",")-1))))</f>
        <v/>
      </c>
      <c r="CE488">
        <f>IF($CD488="","",MID($CD488,4,FIND("~",SUBSTITUTE($CD488,"-","~",2))-4))</f>
        <v/>
      </c>
      <c r="CF488">
        <f>IF($CD488="","",MID($CD488,FIND("~",SUBSTITUTE($CD488,"-","~",2))+1,FIND("~",SUBSTITUTE($CD488,"-","~",3))-FIND("~",SUBSTITUTE($CD488,"-","~",2))-1))</f>
        <v/>
      </c>
      <c r="CG488">
        <f>IF($CE488="","",IFERROR(VLOOKUP($CE488,DECODE!$A$3:$C$8,3,FALSE),"?"))</f>
        <v/>
      </c>
      <c r="CH488">
        <f>IF($CF488="","",IFERROR(VLOOKUP($CE488&amp;"-"&amp;$CF488,DECODE!$E$3:$F$21,2,FALSE),"?"))</f>
        <v/>
      </c>
      <c r="CI488">
        <f>IF($CD488="","",IFERROR(VALUE(RIGHT($CD488,3)),""))</f>
        <v/>
      </c>
      <c r="CJ488">
        <f>IF($Y488="","",IFERROR(IF(ISNUMBER($Y488),$Y488,DATEVALUE(TRIM($Y488))),""))</f>
        <v/>
      </c>
      <c r="CK488">
        <f>IF($CJ488="","",IF(MONTH($CJ488)&gt;=12,"Cold Winter",IF(MONTH($CJ488)&gt;=10,"Post-Monsoon",IF(MONTH($CJ488)&gt;=6,"Hot Humid",IF(MONTH($CJ488)&gt;=3,"Hot Dry","Cold Winter")))))</f>
        <v/>
      </c>
      <c r="CL488">
        <f>IF($CE488="","",IFERROR(VLOOKUP($CE488,DECODE!$A$3:$C$8,2,FALSE),"?"))</f>
        <v/>
      </c>
      <c r="CM488">
        <f>IF($AN488="","",AN488)</f>
        <v/>
      </c>
      <c r="CN488">
        <f>IF($AO488="","",AO488)</f>
        <v/>
      </c>
      <c r="CO488">
        <f>IF($AP488="","",AP488)</f>
        <v/>
      </c>
      <c r="CP488">
        <f>IF($CM488="","",IF($CM488="Aloe Vera Gel","Aloe Vera Gel "&amp;$CO488&amp;"g",CN488&amp;" "&amp;$CO488&amp;"g"))</f>
        <v/>
      </c>
      <c r="CQ488">
        <f>IF($AT488="",0,1)</f>
        <v/>
      </c>
      <c r="CR488">
        <f>IF($CQ488=0,"",AW488)</f>
        <v/>
      </c>
      <c r="CS488">
        <f>IF($CQ488=0,"",AX488)</f>
        <v/>
      </c>
      <c r="CT488">
        <f>IF($CQ488=0,"",AY488)</f>
        <v/>
      </c>
      <c r="CU488">
        <f>IF($CR488="","",IF($CR488="Aloe Vera Gel","Aloe Vera Gel "&amp;$CT488&amp;"g",CS488&amp;" "&amp;$CT488&amp;"g"))</f>
        <v/>
      </c>
      <c r="CV488">
        <f>IF($CQ488=0,"",IF($CP488=$CU488,"Repeat Exact",IF($CT488&gt;$CO488,"Upsized",IF($CT488&lt;$CO488,"Downsized",IF($CM488&lt;&gt;$CR488,"Lateral","Same Size Diff Variant")))))</f>
        <v/>
      </c>
      <c r="CW488">
        <f>IF($CQ488=0,"",AZ488-AQ488)</f>
        <v/>
      </c>
      <c r="CX488">
        <f>IF($CQ488=0,0,IF(CS488=CN488,1,0))</f>
        <v/>
      </c>
      <c r="CY488">
        <f>IF($CQ488=0,0,IF(CR488=CM488,1,0))</f>
        <v/>
      </c>
      <c r="CZ488">
        <f>IF($A488="","",IF(AND(IF(DASHBOARD!$C$4="All",TRUE,$CM488=DASHBOARD!$C$4),IF(DASHBOARD!$C$6="All",TRUE,$CP488=DASHBOARD!$C$6),IF(DASHBOARD!$C$8="All",TRUE,$AF488&gt;=DASHBOARD!$C$8),IF(DASHBOARD!$C$10="All",TRUE,$AF488&lt;=DASHBOARD!$C$10),IF(DASHBOARD!$C$12="All",TRUE,$AH488=VALUE(DASHBOARD!$C$12)),IF(DASHBOARD!$C$14="All",TRUE,$AJ488=DASHBOARD!$C$14)),1,0))</f>
        <v/>
      </c>
    </row>
    <row r="489">
      <c r="A489" t="n">
        <v>225520</v>
      </c>
      <c r="B489" t="inlineStr">
        <is>
          <t>Active Gel</t>
        </is>
      </c>
      <c r="H489" t="inlineStr">
        <is>
          <t>Active Orange Kiwi Vit-C Gel</t>
        </is>
      </c>
      <c r="N489" t="inlineStr">
        <is>
          <t>FC-AC-OK-050</t>
        </is>
      </c>
      <c r="T489" t="inlineStr">
        <is>
          <t>Nov 26, 2025</t>
        </is>
      </c>
      <c r="AE489" t="inlineStr">
        <is>
          <t>Pune</t>
        </is>
      </c>
      <c r="AF489" t="inlineStr">
        <is>
          <t>2025-11</t>
        </is>
      </c>
      <c r="AG489" t="n">
        <v>11</v>
      </c>
      <c r="AH489" t="n">
        <v>1</v>
      </c>
      <c r="AI489" t="n">
        <v>0</v>
      </c>
      <c r="AJ489">
        <f>IF($AE489="","",IFERROR(VLOOKUP(TRIM($AE489),DECODE!$H$3:$I$60,2,FALSE),"Rest of India"))</f>
        <v/>
      </c>
      <c r="AK489">
        <f>IF($N489="","",UPPER(TRIM(LEFT($N489&amp;",",FIND(",",$N489&amp;",")-1))))</f>
        <v/>
      </c>
      <c r="AL489">
        <f>IF($AK489="","",MID($AK489,4,FIND("~",SUBSTITUTE($AK489,"-","~",2))-4))</f>
        <v/>
      </c>
      <c r="AM489">
        <f>IF($AK489="","",MID($AK489,FIND("~",SUBSTITUTE($AK489,"-","~",2))+1,FIND("~",SUBSTITUTE($AK489,"-","~",3))-FIND("~",SUBSTITUTE($AK489,"-","~",2))-1))</f>
        <v/>
      </c>
      <c r="AN489">
        <f>IF($AL489="","",IFERROR(VLOOKUP($AL489,DECODE!$A$3:$C$8,3,FALSE),"?"))</f>
        <v/>
      </c>
      <c r="AO489">
        <f>IF($AM489="","",IFERROR(VLOOKUP($AL489&amp;"-"&amp;$AM489,DECODE!$E$3:$F$21,2,FALSE),"?"))</f>
        <v/>
      </c>
      <c r="AP489">
        <f>IF($AK489="","",IFERROR(VALUE(RIGHT($AK489,3)),""))</f>
        <v/>
      </c>
      <c r="AQ489">
        <f>IF($T489="","",IFERROR(IF(ISNUMBER($T489),$T489,DATEVALUE(TRIM($T489))),""))</f>
        <v/>
      </c>
      <c r="AR489">
        <f>IF($AQ489="","",IF(MONTH($AQ489)&gt;=12,"Cold Winter",IF(MONTH($AQ489)&gt;=10,"Post-Monsoon",IF(MONTH($AQ489)&gt;=6,"Hot Humid",IF(MONTH($AQ489)&gt;=3,"Hot Dry","Cold Winter")))))</f>
        <v/>
      </c>
      <c r="AS489">
        <f>IF($AL489="","",IFERROR(VLOOKUP($AL489,DECODE!$A$3:$C$8,2,FALSE),"?"))</f>
        <v/>
      </c>
      <c r="AT489">
        <f>IF($O489="","",UPPER(TRIM(LEFT($O489&amp;",",FIND(",",$O489&amp;",")-1))))</f>
        <v/>
      </c>
      <c r="AU489">
        <f>IF($AT489="","",MID($AT489,4,FIND("~",SUBSTITUTE($AT489,"-","~",2))-4))</f>
        <v/>
      </c>
      <c r="AV489">
        <f>IF($AT489="","",MID($AT489,FIND("~",SUBSTITUTE($AT489,"-","~",2))+1,FIND("~",SUBSTITUTE($AT489,"-","~",3))-FIND("~",SUBSTITUTE($AT489,"-","~",2))-1))</f>
        <v/>
      </c>
      <c r="AW489">
        <f>IF($AU489="","",IFERROR(VLOOKUP($AU489,DECODE!$A$3:$C$8,3,FALSE),"?"))</f>
        <v/>
      </c>
      <c r="AX489">
        <f>IF($AV489="","",IFERROR(VLOOKUP($AU489&amp;"-"&amp;$AV489,DECODE!$E$3:$F$21,2,FALSE),"?"))</f>
        <v/>
      </c>
      <c r="AY489">
        <f>IF($AT489="","",IFERROR(VALUE(RIGHT($AT489,3)),""))</f>
        <v/>
      </c>
      <c r="AZ489">
        <f>IF($U489="","",IFERROR(IF(ISNUMBER($U489),$U489,DATEVALUE(TRIM($U489))),""))</f>
        <v/>
      </c>
      <c r="BA489">
        <f>IF($AZ489="","",IF(MONTH($AZ489)&gt;=12,"Cold Winter",IF(MONTH($AZ489)&gt;=10,"Post-Monsoon",IF(MONTH($AZ489)&gt;=6,"Hot Humid",IF(MONTH($AZ489)&gt;=3,"Hot Dry","Cold Winter")))))</f>
        <v/>
      </c>
      <c r="BB489">
        <f>IF($AU489="","",IFERROR(VLOOKUP($AU489,DECODE!$A$3:$C$8,2,FALSE),"?"))</f>
        <v/>
      </c>
      <c r="BC489">
        <f>IF($P489="","",UPPER(TRIM(LEFT($P489&amp;",",FIND(",",$P489&amp;",")-1))))</f>
        <v/>
      </c>
      <c r="BD489">
        <f>IF($BC489="","",MID($BC489,4,FIND("~",SUBSTITUTE($BC489,"-","~",2))-4))</f>
        <v/>
      </c>
      <c r="BE489">
        <f>IF($BC489="","",MID($BC489,FIND("~",SUBSTITUTE($BC489,"-","~",2))+1,FIND("~",SUBSTITUTE($BC489,"-","~",3))-FIND("~",SUBSTITUTE($BC489,"-","~",2))-1))</f>
        <v/>
      </c>
      <c r="BF489">
        <f>IF($BD489="","",IFERROR(VLOOKUP($BD489,DECODE!$A$3:$C$8,3,FALSE),"?"))</f>
        <v/>
      </c>
      <c r="BG489">
        <f>IF($BE489="","",IFERROR(VLOOKUP($BD489&amp;"-"&amp;$BE489,DECODE!$E$3:$F$21,2,FALSE),"?"))</f>
        <v/>
      </c>
      <c r="BH489">
        <f>IF($BC489="","",IFERROR(VALUE(RIGHT($BC489,3)),""))</f>
        <v/>
      </c>
      <c r="BI489">
        <f>IF($V489="","",IFERROR(IF(ISNUMBER($V489),$V489,DATEVALUE(TRIM($V489))),""))</f>
        <v/>
      </c>
      <c r="BJ489">
        <f>IF($BI489="","",IF(MONTH($BI489)&gt;=12,"Cold Winter",IF(MONTH($BI489)&gt;=10,"Post-Monsoon",IF(MONTH($BI489)&gt;=6,"Hot Humid",IF(MONTH($BI489)&gt;=3,"Hot Dry","Cold Winter")))))</f>
        <v/>
      </c>
      <c r="BK489">
        <f>IF($BD489="","",IFERROR(VLOOKUP($BD489,DECODE!$A$3:$C$8,2,FALSE),"?"))</f>
        <v/>
      </c>
      <c r="BL489">
        <f>IF($Q489="","",UPPER(TRIM(LEFT($Q489&amp;",",FIND(",",$Q489&amp;",")-1))))</f>
        <v/>
      </c>
      <c r="BM489">
        <f>IF($BL489="","",MID($BL489,4,FIND("~",SUBSTITUTE($BL489,"-","~",2))-4))</f>
        <v/>
      </c>
      <c r="BN489">
        <f>IF($BL489="","",MID($BL489,FIND("~",SUBSTITUTE($BL489,"-","~",2))+1,FIND("~",SUBSTITUTE($BL489,"-","~",3))-FIND("~",SUBSTITUTE($BL489,"-","~",2))-1))</f>
        <v/>
      </c>
      <c r="BO489">
        <f>IF($BM489="","",IFERROR(VLOOKUP($BM489,DECODE!$A$3:$C$8,3,FALSE),"?"))</f>
        <v/>
      </c>
      <c r="BP489">
        <f>IF($BN489="","",IFERROR(VLOOKUP($BM489&amp;"-"&amp;$BN489,DECODE!$E$3:$F$21,2,FALSE),"?"))</f>
        <v/>
      </c>
      <c r="BQ489">
        <f>IF($BL489="","",IFERROR(VALUE(RIGHT($BL489,3)),""))</f>
        <v/>
      </c>
      <c r="BR489">
        <f>IF($W489="","",IFERROR(IF(ISNUMBER($W489),$W489,DATEVALUE(TRIM($W489))),""))</f>
        <v/>
      </c>
      <c r="BS489">
        <f>IF($BR489="","",IF(MONTH($BR489)&gt;=12,"Cold Winter",IF(MONTH($BR489)&gt;=10,"Post-Monsoon",IF(MONTH($BR489)&gt;=6,"Hot Humid",IF(MONTH($BR489)&gt;=3,"Hot Dry","Cold Winter")))))</f>
        <v/>
      </c>
      <c r="BT489">
        <f>IF($BM489="","",IFERROR(VLOOKUP($BM489,DECODE!$A$3:$C$8,2,FALSE),"?"))</f>
        <v/>
      </c>
      <c r="BU489">
        <f>IF($R489="","",UPPER(TRIM(LEFT($R489&amp;",",FIND(",",$R489&amp;",")-1))))</f>
        <v/>
      </c>
      <c r="BV489">
        <f>IF($BU489="","",MID($BU489,4,FIND("~",SUBSTITUTE($BU489,"-","~",2))-4))</f>
        <v/>
      </c>
      <c r="BW489">
        <f>IF($BU489="","",MID($BU489,FIND("~",SUBSTITUTE($BU489,"-","~",2))+1,FIND("~",SUBSTITUTE($BU489,"-","~",3))-FIND("~",SUBSTITUTE($BU489,"-","~",2))-1))</f>
        <v/>
      </c>
      <c r="BX489">
        <f>IF($BV489="","",IFERROR(VLOOKUP($BV489,DECODE!$A$3:$C$8,3,FALSE),"?"))</f>
        <v/>
      </c>
      <c r="BY489">
        <f>IF($BW489="","",IFERROR(VLOOKUP($BV489&amp;"-"&amp;$BW489,DECODE!$E$3:$F$21,2,FALSE),"?"))</f>
        <v/>
      </c>
      <c r="BZ489">
        <f>IF($BU489="","",IFERROR(VALUE(RIGHT($BU489,3)),""))</f>
        <v/>
      </c>
      <c r="CA489">
        <f>IF($X489="","",IFERROR(IF(ISNUMBER($X489),$X489,DATEVALUE(TRIM($X489))),""))</f>
        <v/>
      </c>
      <c r="CB489">
        <f>IF($CA489="","",IF(MONTH($CA489)&gt;=12,"Cold Winter",IF(MONTH($CA489)&gt;=10,"Post-Monsoon",IF(MONTH($CA489)&gt;=6,"Hot Humid",IF(MONTH($CA489)&gt;=3,"Hot Dry","Cold Winter")))))</f>
        <v/>
      </c>
      <c r="CC489">
        <f>IF($BV489="","",IFERROR(VLOOKUP($BV489,DECODE!$A$3:$C$8,2,FALSE),"?"))</f>
        <v/>
      </c>
      <c r="CD489">
        <f>IF($S489="","",UPPER(TRIM(LEFT($S489&amp;",",FIND(",",$S489&amp;",")-1))))</f>
        <v/>
      </c>
      <c r="CE489">
        <f>IF($CD489="","",MID($CD489,4,FIND("~",SUBSTITUTE($CD489,"-","~",2))-4))</f>
        <v/>
      </c>
      <c r="CF489">
        <f>IF($CD489="","",MID($CD489,FIND("~",SUBSTITUTE($CD489,"-","~",2))+1,FIND("~",SUBSTITUTE($CD489,"-","~",3))-FIND("~",SUBSTITUTE($CD489,"-","~",2))-1))</f>
        <v/>
      </c>
      <c r="CG489">
        <f>IF($CE489="","",IFERROR(VLOOKUP($CE489,DECODE!$A$3:$C$8,3,FALSE),"?"))</f>
        <v/>
      </c>
      <c r="CH489">
        <f>IF($CF489="","",IFERROR(VLOOKUP($CE489&amp;"-"&amp;$CF489,DECODE!$E$3:$F$21,2,FALSE),"?"))</f>
        <v/>
      </c>
      <c r="CI489">
        <f>IF($CD489="","",IFERROR(VALUE(RIGHT($CD489,3)),""))</f>
        <v/>
      </c>
      <c r="CJ489">
        <f>IF($Y489="","",IFERROR(IF(ISNUMBER($Y489),$Y489,DATEVALUE(TRIM($Y489))),""))</f>
        <v/>
      </c>
      <c r="CK489">
        <f>IF($CJ489="","",IF(MONTH($CJ489)&gt;=12,"Cold Winter",IF(MONTH($CJ489)&gt;=10,"Post-Monsoon",IF(MONTH($CJ489)&gt;=6,"Hot Humid",IF(MONTH($CJ489)&gt;=3,"Hot Dry","Cold Winter")))))</f>
        <v/>
      </c>
      <c r="CL489">
        <f>IF($CE489="","",IFERROR(VLOOKUP($CE489,DECODE!$A$3:$C$8,2,FALSE),"?"))</f>
        <v/>
      </c>
      <c r="CM489">
        <f>IF($AN489="","",AN489)</f>
        <v/>
      </c>
      <c r="CN489">
        <f>IF($AO489="","",AO489)</f>
        <v/>
      </c>
      <c r="CO489">
        <f>IF($AP489="","",AP489)</f>
        <v/>
      </c>
      <c r="CP489">
        <f>IF($CM489="","",IF($CM489="Aloe Vera Gel","Aloe Vera Gel "&amp;$CO489&amp;"g",CN489&amp;" "&amp;$CO489&amp;"g"))</f>
        <v/>
      </c>
      <c r="CQ489">
        <f>IF($AT489="",0,1)</f>
        <v/>
      </c>
      <c r="CR489">
        <f>IF($CQ489=0,"",AW489)</f>
        <v/>
      </c>
      <c r="CS489">
        <f>IF($CQ489=0,"",AX489)</f>
        <v/>
      </c>
      <c r="CT489">
        <f>IF($CQ489=0,"",AY489)</f>
        <v/>
      </c>
      <c r="CU489">
        <f>IF($CR489="","",IF($CR489="Aloe Vera Gel","Aloe Vera Gel "&amp;$CT489&amp;"g",CS489&amp;" "&amp;$CT489&amp;"g"))</f>
        <v/>
      </c>
      <c r="CV489">
        <f>IF($CQ489=0,"",IF($CP489=$CU489,"Repeat Exact",IF($CT489&gt;$CO489,"Upsized",IF($CT489&lt;$CO489,"Downsized",IF($CM489&lt;&gt;$CR489,"Lateral","Same Size Diff Variant")))))</f>
        <v/>
      </c>
      <c r="CW489">
        <f>IF($CQ489=0,"",AZ489-AQ489)</f>
        <v/>
      </c>
      <c r="CX489">
        <f>IF($CQ489=0,0,IF(CS489=CN489,1,0))</f>
        <v/>
      </c>
      <c r="CY489">
        <f>IF($CQ489=0,0,IF(CR489=CM489,1,0))</f>
        <v/>
      </c>
      <c r="CZ489">
        <f>IF($A489="","",IF(AND(IF(DASHBOARD!$C$4="All",TRUE,$CM489=DASHBOARD!$C$4),IF(DASHBOARD!$C$6="All",TRUE,$CP489=DASHBOARD!$C$6),IF(DASHBOARD!$C$8="All",TRUE,$AF489&gt;=DASHBOARD!$C$8),IF(DASHBOARD!$C$10="All",TRUE,$AF489&lt;=DASHBOARD!$C$10),IF(DASHBOARD!$C$12="All",TRUE,$AH489=VALUE(DASHBOARD!$C$12)),IF(DASHBOARD!$C$14="All",TRUE,$AJ489=DASHBOARD!$C$14)),1,0))</f>
        <v/>
      </c>
    </row>
    <row r="490">
      <c r="A490" t="n">
        <v>225866</v>
      </c>
      <c r="B490" t="inlineStr">
        <is>
          <t>Face Malai</t>
        </is>
      </c>
      <c r="H490" t="inlineStr">
        <is>
          <t>Flax Bakuchi (Hot Dry) 35+ Face Malai - 30g</t>
        </is>
      </c>
      <c r="N490" t="inlineStr">
        <is>
          <t>FC-HDDM-FB-030</t>
        </is>
      </c>
      <c r="T490" t="inlineStr">
        <is>
          <t>May 15, 2024</t>
        </is>
      </c>
      <c r="AE490" t="inlineStr">
        <is>
          <t>Kanpur</t>
        </is>
      </c>
      <c r="AF490" t="inlineStr">
        <is>
          <t>2024-05</t>
        </is>
      </c>
      <c r="AG490" t="n">
        <v>5</v>
      </c>
      <c r="AH490" t="n">
        <v>1</v>
      </c>
      <c r="AI490" t="n">
        <v>0</v>
      </c>
      <c r="AJ490">
        <f>IF($AE490="","",IFERROR(VLOOKUP(TRIM($AE490),DECODE!$H$3:$I$60,2,FALSE),"Rest of India"))</f>
        <v/>
      </c>
      <c r="AK490">
        <f>IF($N490="","",UPPER(TRIM(LEFT($N490&amp;",",FIND(",",$N490&amp;",")-1))))</f>
        <v/>
      </c>
      <c r="AL490">
        <f>IF($AK490="","",MID($AK490,4,FIND("~",SUBSTITUTE($AK490,"-","~",2))-4))</f>
        <v/>
      </c>
      <c r="AM490">
        <f>IF($AK490="","",MID($AK490,FIND("~",SUBSTITUTE($AK490,"-","~",2))+1,FIND("~",SUBSTITUTE($AK490,"-","~",3))-FIND("~",SUBSTITUTE($AK490,"-","~",2))-1))</f>
        <v/>
      </c>
      <c r="AN490">
        <f>IF($AL490="","",IFERROR(VLOOKUP($AL490,DECODE!$A$3:$C$8,3,FALSE),"?"))</f>
        <v/>
      </c>
      <c r="AO490">
        <f>IF($AM490="","",IFERROR(VLOOKUP($AL490&amp;"-"&amp;$AM490,DECODE!$E$3:$F$21,2,FALSE),"?"))</f>
        <v/>
      </c>
      <c r="AP490">
        <f>IF($AK490="","",IFERROR(VALUE(RIGHT($AK490,3)),""))</f>
        <v/>
      </c>
      <c r="AQ490">
        <f>IF($T490="","",IFERROR(IF(ISNUMBER($T490),$T490,DATEVALUE(TRIM($T490))),""))</f>
        <v/>
      </c>
      <c r="AR490">
        <f>IF($AQ490="","",IF(MONTH($AQ490)&gt;=12,"Cold Winter",IF(MONTH($AQ490)&gt;=10,"Post-Monsoon",IF(MONTH($AQ490)&gt;=6,"Hot Humid",IF(MONTH($AQ490)&gt;=3,"Hot Dry","Cold Winter")))))</f>
        <v/>
      </c>
      <c r="AS490">
        <f>IF($AL490="","",IFERROR(VLOOKUP($AL490,DECODE!$A$3:$C$8,2,FALSE),"?"))</f>
        <v/>
      </c>
      <c r="AT490">
        <f>IF($O490="","",UPPER(TRIM(LEFT($O490&amp;",",FIND(",",$O490&amp;",")-1))))</f>
        <v/>
      </c>
      <c r="AU490">
        <f>IF($AT490="","",MID($AT490,4,FIND("~",SUBSTITUTE($AT490,"-","~",2))-4))</f>
        <v/>
      </c>
      <c r="AV490">
        <f>IF($AT490="","",MID($AT490,FIND("~",SUBSTITUTE($AT490,"-","~",2))+1,FIND("~",SUBSTITUTE($AT490,"-","~",3))-FIND("~",SUBSTITUTE($AT490,"-","~",2))-1))</f>
        <v/>
      </c>
      <c r="AW490">
        <f>IF($AU490="","",IFERROR(VLOOKUP($AU490,DECODE!$A$3:$C$8,3,FALSE),"?"))</f>
        <v/>
      </c>
      <c r="AX490">
        <f>IF($AV490="","",IFERROR(VLOOKUP($AU490&amp;"-"&amp;$AV490,DECODE!$E$3:$F$21,2,FALSE),"?"))</f>
        <v/>
      </c>
      <c r="AY490">
        <f>IF($AT490="","",IFERROR(VALUE(RIGHT($AT490,3)),""))</f>
        <v/>
      </c>
      <c r="AZ490">
        <f>IF($U490="","",IFERROR(IF(ISNUMBER($U490),$U490,DATEVALUE(TRIM($U490))),""))</f>
        <v/>
      </c>
      <c r="BA490">
        <f>IF($AZ490="","",IF(MONTH($AZ490)&gt;=12,"Cold Winter",IF(MONTH($AZ490)&gt;=10,"Post-Monsoon",IF(MONTH($AZ490)&gt;=6,"Hot Humid",IF(MONTH($AZ490)&gt;=3,"Hot Dry","Cold Winter")))))</f>
        <v/>
      </c>
      <c r="BB490">
        <f>IF($AU490="","",IFERROR(VLOOKUP($AU490,DECODE!$A$3:$C$8,2,FALSE),"?"))</f>
        <v/>
      </c>
      <c r="BC490">
        <f>IF($P490="","",UPPER(TRIM(LEFT($P490&amp;",",FIND(",",$P490&amp;",")-1))))</f>
        <v/>
      </c>
      <c r="BD490">
        <f>IF($BC490="","",MID($BC490,4,FIND("~",SUBSTITUTE($BC490,"-","~",2))-4))</f>
        <v/>
      </c>
      <c r="BE490">
        <f>IF($BC490="","",MID($BC490,FIND("~",SUBSTITUTE($BC490,"-","~",2))+1,FIND("~",SUBSTITUTE($BC490,"-","~",3))-FIND("~",SUBSTITUTE($BC490,"-","~",2))-1))</f>
        <v/>
      </c>
      <c r="BF490">
        <f>IF($BD490="","",IFERROR(VLOOKUP($BD490,DECODE!$A$3:$C$8,3,FALSE),"?"))</f>
        <v/>
      </c>
      <c r="BG490">
        <f>IF($BE490="","",IFERROR(VLOOKUP($BD490&amp;"-"&amp;$BE490,DECODE!$E$3:$F$21,2,FALSE),"?"))</f>
        <v/>
      </c>
      <c r="BH490">
        <f>IF($BC490="","",IFERROR(VALUE(RIGHT($BC490,3)),""))</f>
        <v/>
      </c>
      <c r="BI490">
        <f>IF($V490="","",IFERROR(IF(ISNUMBER($V490),$V490,DATEVALUE(TRIM($V490))),""))</f>
        <v/>
      </c>
      <c r="BJ490">
        <f>IF($BI490="","",IF(MONTH($BI490)&gt;=12,"Cold Winter",IF(MONTH($BI490)&gt;=10,"Post-Monsoon",IF(MONTH($BI490)&gt;=6,"Hot Humid",IF(MONTH($BI490)&gt;=3,"Hot Dry","Cold Winter")))))</f>
        <v/>
      </c>
      <c r="BK490">
        <f>IF($BD490="","",IFERROR(VLOOKUP($BD490,DECODE!$A$3:$C$8,2,FALSE),"?"))</f>
        <v/>
      </c>
      <c r="BL490">
        <f>IF($Q490="","",UPPER(TRIM(LEFT($Q490&amp;",",FIND(",",$Q490&amp;",")-1))))</f>
        <v/>
      </c>
      <c r="BM490">
        <f>IF($BL490="","",MID($BL490,4,FIND("~",SUBSTITUTE($BL490,"-","~",2))-4))</f>
        <v/>
      </c>
      <c r="BN490">
        <f>IF($BL490="","",MID($BL490,FIND("~",SUBSTITUTE($BL490,"-","~",2))+1,FIND("~",SUBSTITUTE($BL490,"-","~",3))-FIND("~",SUBSTITUTE($BL490,"-","~",2))-1))</f>
        <v/>
      </c>
      <c r="BO490">
        <f>IF($BM490="","",IFERROR(VLOOKUP($BM490,DECODE!$A$3:$C$8,3,FALSE),"?"))</f>
        <v/>
      </c>
      <c r="BP490">
        <f>IF($BN490="","",IFERROR(VLOOKUP($BM490&amp;"-"&amp;$BN490,DECODE!$E$3:$F$21,2,FALSE),"?"))</f>
        <v/>
      </c>
      <c r="BQ490">
        <f>IF($BL490="","",IFERROR(VALUE(RIGHT($BL490,3)),""))</f>
        <v/>
      </c>
      <c r="BR490">
        <f>IF($W490="","",IFERROR(IF(ISNUMBER($W490),$W490,DATEVALUE(TRIM($W490))),""))</f>
        <v/>
      </c>
      <c r="BS490">
        <f>IF($BR490="","",IF(MONTH($BR490)&gt;=12,"Cold Winter",IF(MONTH($BR490)&gt;=10,"Post-Monsoon",IF(MONTH($BR490)&gt;=6,"Hot Humid",IF(MONTH($BR490)&gt;=3,"Hot Dry","Cold Winter")))))</f>
        <v/>
      </c>
      <c r="BT490">
        <f>IF($BM490="","",IFERROR(VLOOKUP($BM490,DECODE!$A$3:$C$8,2,FALSE),"?"))</f>
        <v/>
      </c>
      <c r="BU490">
        <f>IF($R490="","",UPPER(TRIM(LEFT($R490&amp;",",FIND(",",$R490&amp;",")-1))))</f>
        <v/>
      </c>
      <c r="BV490">
        <f>IF($BU490="","",MID($BU490,4,FIND("~",SUBSTITUTE($BU490,"-","~",2))-4))</f>
        <v/>
      </c>
      <c r="BW490">
        <f>IF($BU490="","",MID($BU490,FIND("~",SUBSTITUTE($BU490,"-","~",2))+1,FIND("~",SUBSTITUTE($BU490,"-","~",3))-FIND("~",SUBSTITUTE($BU490,"-","~",2))-1))</f>
        <v/>
      </c>
      <c r="BX490">
        <f>IF($BV490="","",IFERROR(VLOOKUP($BV490,DECODE!$A$3:$C$8,3,FALSE),"?"))</f>
        <v/>
      </c>
      <c r="BY490">
        <f>IF($BW490="","",IFERROR(VLOOKUP($BV490&amp;"-"&amp;$BW490,DECODE!$E$3:$F$21,2,FALSE),"?"))</f>
        <v/>
      </c>
      <c r="BZ490">
        <f>IF($BU490="","",IFERROR(VALUE(RIGHT($BU490,3)),""))</f>
        <v/>
      </c>
      <c r="CA490">
        <f>IF($X490="","",IFERROR(IF(ISNUMBER($X490),$X490,DATEVALUE(TRIM($X490))),""))</f>
        <v/>
      </c>
      <c r="CB490">
        <f>IF($CA490="","",IF(MONTH($CA490)&gt;=12,"Cold Winter",IF(MONTH($CA490)&gt;=10,"Post-Monsoon",IF(MONTH($CA490)&gt;=6,"Hot Humid",IF(MONTH($CA490)&gt;=3,"Hot Dry","Cold Winter")))))</f>
        <v/>
      </c>
      <c r="CC490">
        <f>IF($BV490="","",IFERROR(VLOOKUP($BV490,DECODE!$A$3:$C$8,2,FALSE),"?"))</f>
        <v/>
      </c>
      <c r="CD490">
        <f>IF($S490="","",UPPER(TRIM(LEFT($S490&amp;",",FIND(",",$S490&amp;",")-1))))</f>
        <v/>
      </c>
      <c r="CE490">
        <f>IF($CD490="","",MID($CD490,4,FIND("~",SUBSTITUTE($CD490,"-","~",2))-4))</f>
        <v/>
      </c>
      <c r="CF490">
        <f>IF($CD490="","",MID($CD490,FIND("~",SUBSTITUTE($CD490,"-","~",2))+1,FIND("~",SUBSTITUTE($CD490,"-","~",3))-FIND("~",SUBSTITUTE($CD490,"-","~",2))-1))</f>
        <v/>
      </c>
      <c r="CG490">
        <f>IF($CE490="","",IFERROR(VLOOKUP($CE490,DECODE!$A$3:$C$8,3,FALSE),"?"))</f>
        <v/>
      </c>
      <c r="CH490">
        <f>IF($CF490="","",IFERROR(VLOOKUP($CE490&amp;"-"&amp;$CF490,DECODE!$E$3:$F$21,2,FALSE),"?"))</f>
        <v/>
      </c>
      <c r="CI490">
        <f>IF($CD490="","",IFERROR(VALUE(RIGHT($CD490,3)),""))</f>
        <v/>
      </c>
      <c r="CJ490">
        <f>IF($Y490="","",IFERROR(IF(ISNUMBER($Y490),$Y490,DATEVALUE(TRIM($Y490))),""))</f>
        <v/>
      </c>
      <c r="CK490">
        <f>IF($CJ490="","",IF(MONTH($CJ490)&gt;=12,"Cold Winter",IF(MONTH($CJ490)&gt;=10,"Post-Monsoon",IF(MONTH($CJ490)&gt;=6,"Hot Humid",IF(MONTH($CJ490)&gt;=3,"Hot Dry","Cold Winter")))))</f>
        <v/>
      </c>
      <c r="CL490">
        <f>IF($CE490="","",IFERROR(VLOOKUP($CE490,DECODE!$A$3:$C$8,2,FALSE),"?"))</f>
        <v/>
      </c>
      <c r="CM490">
        <f>IF($AN490="","",AN490)</f>
        <v/>
      </c>
      <c r="CN490">
        <f>IF($AO490="","",AO490)</f>
        <v/>
      </c>
      <c r="CO490">
        <f>IF($AP490="","",AP490)</f>
        <v/>
      </c>
      <c r="CP490">
        <f>IF($CM490="","",IF($CM490="Aloe Vera Gel","Aloe Vera Gel "&amp;$CO490&amp;"g",CN490&amp;" "&amp;$CO490&amp;"g"))</f>
        <v/>
      </c>
      <c r="CQ490">
        <f>IF($AT490="",0,1)</f>
        <v/>
      </c>
      <c r="CR490">
        <f>IF($CQ490=0,"",AW490)</f>
        <v/>
      </c>
      <c r="CS490">
        <f>IF($CQ490=0,"",AX490)</f>
        <v/>
      </c>
      <c r="CT490">
        <f>IF($CQ490=0,"",AY490)</f>
        <v/>
      </c>
      <c r="CU490">
        <f>IF($CR490="","",IF($CR490="Aloe Vera Gel","Aloe Vera Gel "&amp;$CT490&amp;"g",CS490&amp;" "&amp;$CT490&amp;"g"))</f>
        <v/>
      </c>
      <c r="CV490">
        <f>IF($CQ490=0,"",IF($CP490=$CU490,"Repeat Exact",IF($CT490&gt;$CO490,"Upsized",IF($CT490&lt;$CO490,"Downsized",IF($CM490&lt;&gt;$CR490,"Lateral","Same Size Diff Variant")))))</f>
        <v/>
      </c>
      <c r="CW490">
        <f>IF($CQ490=0,"",AZ490-AQ490)</f>
        <v/>
      </c>
      <c r="CX490">
        <f>IF($CQ490=0,0,IF(CS490=CN490,1,0))</f>
        <v/>
      </c>
      <c r="CY490">
        <f>IF($CQ490=0,0,IF(CR490=CM490,1,0))</f>
        <v/>
      </c>
      <c r="CZ490">
        <f>IF($A490="","",IF(AND(IF(DASHBOARD!$C$4="All",TRUE,$CM490=DASHBOARD!$C$4),IF(DASHBOARD!$C$6="All",TRUE,$CP490=DASHBOARD!$C$6),IF(DASHBOARD!$C$8="All",TRUE,$AF490&gt;=DASHBOARD!$C$8),IF(DASHBOARD!$C$10="All",TRUE,$AF490&lt;=DASHBOARD!$C$10),IF(DASHBOARD!$C$12="All",TRUE,$AH490=VALUE(DASHBOARD!$C$12)),IF(DASHBOARD!$C$14="All",TRUE,$AJ490=DASHBOARD!$C$14)),1,0))</f>
        <v/>
      </c>
    </row>
    <row r="491">
      <c r="A491" t="n">
        <v>226312</v>
      </c>
      <c r="B491" t="inlineStr">
        <is>
          <t>Face Malai</t>
        </is>
      </c>
      <c r="H491" t="inlineStr">
        <is>
          <t>Flax Carrot (Hot Humid) 35+ Face Malai - 30g</t>
        </is>
      </c>
      <c r="N491" t="inlineStr">
        <is>
          <t>FC-HHDM-FC-030</t>
        </is>
      </c>
      <c r="T491" t="inlineStr">
        <is>
          <t>Jul 31, 2024</t>
        </is>
      </c>
      <c r="AE491" t="inlineStr">
        <is>
          <t>Sabarkantha</t>
        </is>
      </c>
      <c r="AF491" t="inlineStr">
        <is>
          <t>2024-07</t>
        </is>
      </c>
      <c r="AG491" t="n">
        <v>7</v>
      </c>
      <c r="AH491" t="n">
        <v>1</v>
      </c>
      <c r="AI491" t="n">
        <v>0</v>
      </c>
      <c r="AJ491">
        <f>IF($AE491="","",IFERROR(VLOOKUP(TRIM($AE491),DECODE!$H$3:$I$60,2,FALSE),"Rest of India"))</f>
        <v/>
      </c>
      <c r="AK491">
        <f>IF($N491="","",UPPER(TRIM(LEFT($N491&amp;",",FIND(",",$N491&amp;",")-1))))</f>
        <v/>
      </c>
      <c r="AL491">
        <f>IF($AK491="","",MID($AK491,4,FIND("~",SUBSTITUTE($AK491,"-","~",2))-4))</f>
        <v/>
      </c>
      <c r="AM491">
        <f>IF($AK491="","",MID($AK491,FIND("~",SUBSTITUTE($AK491,"-","~",2))+1,FIND("~",SUBSTITUTE($AK491,"-","~",3))-FIND("~",SUBSTITUTE($AK491,"-","~",2))-1))</f>
        <v/>
      </c>
      <c r="AN491">
        <f>IF($AL491="","",IFERROR(VLOOKUP($AL491,DECODE!$A$3:$C$8,3,FALSE),"?"))</f>
        <v/>
      </c>
      <c r="AO491">
        <f>IF($AM491="","",IFERROR(VLOOKUP($AL491&amp;"-"&amp;$AM491,DECODE!$E$3:$F$21,2,FALSE),"?"))</f>
        <v/>
      </c>
      <c r="AP491">
        <f>IF($AK491="","",IFERROR(VALUE(RIGHT($AK491,3)),""))</f>
        <v/>
      </c>
      <c r="AQ491">
        <f>IF($T491="","",IFERROR(IF(ISNUMBER($T491),$T491,DATEVALUE(TRIM($T491))),""))</f>
        <v/>
      </c>
      <c r="AR491">
        <f>IF($AQ491="","",IF(MONTH($AQ491)&gt;=12,"Cold Winter",IF(MONTH($AQ491)&gt;=10,"Post-Monsoon",IF(MONTH($AQ491)&gt;=6,"Hot Humid",IF(MONTH($AQ491)&gt;=3,"Hot Dry","Cold Winter")))))</f>
        <v/>
      </c>
      <c r="AS491">
        <f>IF($AL491="","",IFERROR(VLOOKUP($AL491,DECODE!$A$3:$C$8,2,FALSE),"?"))</f>
        <v/>
      </c>
      <c r="AT491">
        <f>IF($O491="","",UPPER(TRIM(LEFT($O491&amp;",",FIND(",",$O491&amp;",")-1))))</f>
        <v/>
      </c>
      <c r="AU491">
        <f>IF($AT491="","",MID($AT491,4,FIND("~",SUBSTITUTE($AT491,"-","~",2))-4))</f>
        <v/>
      </c>
      <c r="AV491">
        <f>IF($AT491="","",MID($AT491,FIND("~",SUBSTITUTE($AT491,"-","~",2))+1,FIND("~",SUBSTITUTE($AT491,"-","~",3))-FIND("~",SUBSTITUTE($AT491,"-","~",2))-1))</f>
        <v/>
      </c>
      <c r="AW491">
        <f>IF($AU491="","",IFERROR(VLOOKUP($AU491,DECODE!$A$3:$C$8,3,FALSE),"?"))</f>
        <v/>
      </c>
      <c r="AX491">
        <f>IF($AV491="","",IFERROR(VLOOKUP($AU491&amp;"-"&amp;$AV491,DECODE!$E$3:$F$21,2,FALSE),"?"))</f>
        <v/>
      </c>
      <c r="AY491">
        <f>IF($AT491="","",IFERROR(VALUE(RIGHT($AT491,3)),""))</f>
        <v/>
      </c>
      <c r="AZ491">
        <f>IF($U491="","",IFERROR(IF(ISNUMBER($U491),$U491,DATEVALUE(TRIM($U491))),""))</f>
        <v/>
      </c>
      <c r="BA491">
        <f>IF($AZ491="","",IF(MONTH($AZ491)&gt;=12,"Cold Winter",IF(MONTH($AZ491)&gt;=10,"Post-Monsoon",IF(MONTH($AZ491)&gt;=6,"Hot Humid",IF(MONTH($AZ491)&gt;=3,"Hot Dry","Cold Winter")))))</f>
        <v/>
      </c>
      <c r="BB491">
        <f>IF($AU491="","",IFERROR(VLOOKUP($AU491,DECODE!$A$3:$C$8,2,FALSE),"?"))</f>
        <v/>
      </c>
      <c r="BC491">
        <f>IF($P491="","",UPPER(TRIM(LEFT($P491&amp;",",FIND(",",$P491&amp;",")-1))))</f>
        <v/>
      </c>
      <c r="BD491">
        <f>IF($BC491="","",MID($BC491,4,FIND("~",SUBSTITUTE($BC491,"-","~",2))-4))</f>
        <v/>
      </c>
      <c r="BE491">
        <f>IF($BC491="","",MID($BC491,FIND("~",SUBSTITUTE($BC491,"-","~",2))+1,FIND("~",SUBSTITUTE($BC491,"-","~",3))-FIND("~",SUBSTITUTE($BC491,"-","~",2))-1))</f>
        <v/>
      </c>
      <c r="BF491">
        <f>IF($BD491="","",IFERROR(VLOOKUP($BD491,DECODE!$A$3:$C$8,3,FALSE),"?"))</f>
        <v/>
      </c>
      <c r="BG491">
        <f>IF($BE491="","",IFERROR(VLOOKUP($BD491&amp;"-"&amp;$BE491,DECODE!$E$3:$F$21,2,FALSE),"?"))</f>
        <v/>
      </c>
      <c r="BH491">
        <f>IF($BC491="","",IFERROR(VALUE(RIGHT($BC491,3)),""))</f>
        <v/>
      </c>
      <c r="BI491">
        <f>IF($V491="","",IFERROR(IF(ISNUMBER($V491),$V491,DATEVALUE(TRIM($V491))),""))</f>
        <v/>
      </c>
      <c r="BJ491">
        <f>IF($BI491="","",IF(MONTH($BI491)&gt;=12,"Cold Winter",IF(MONTH($BI491)&gt;=10,"Post-Monsoon",IF(MONTH($BI491)&gt;=6,"Hot Humid",IF(MONTH($BI491)&gt;=3,"Hot Dry","Cold Winter")))))</f>
        <v/>
      </c>
      <c r="BK491">
        <f>IF($BD491="","",IFERROR(VLOOKUP($BD491,DECODE!$A$3:$C$8,2,FALSE),"?"))</f>
        <v/>
      </c>
      <c r="BL491">
        <f>IF($Q491="","",UPPER(TRIM(LEFT($Q491&amp;",",FIND(",",$Q491&amp;",")-1))))</f>
        <v/>
      </c>
      <c r="BM491">
        <f>IF($BL491="","",MID($BL491,4,FIND("~",SUBSTITUTE($BL491,"-","~",2))-4))</f>
        <v/>
      </c>
      <c r="BN491">
        <f>IF($BL491="","",MID($BL491,FIND("~",SUBSTITUTE($BL491,"-","~",2))+1,FIND("~",SUBSTITUTE($BL491,"-","~",3))-FIND("~",SUBSTITUTE($BL491,"-","~",2))-1))</f>
        <v/>
      </c>
      <c r="BO491">
        <f>IF($BM491="","",IFERROR(VLOOKUP($BM491,DECODE!$A$3:$C$8,3,FALSE),"?"))</f>
        <v/>
      </c>
      <c r="BP491">
        <f>IF($BN491="","",IFERROR(VLOOKUP($BM491&amp;"-"&amp;$BN491,DECODE!$E$3:$F$21,2,FALSE),"?"))</f>
        <v/>
      </c>
      <c r="BQ491">
        <f>IF($BL491="","",IFERROR(VALUE(RIGHT($BL491,3)),""))</f>
        <v/>
      </c>
      <c r="BR491">
        <f>IF($W491="","",IFERROR(IF(ISNUMBER($W491),$W491,DATEVALUE(TRIM($W491))),""))</f>
        <v/>
      </c>
      <c r="BS491">
        <f>IF($BR491="","",IF(MONTH($BR491)&gt;=12,"Cold Winter",IF(MONTH($BR491)&gt;=10,"Post-Monsoon",IF(MONTH($BR491)&gt;=6,"Hot Humid",IF(MONTH($BR491)&gt;=3,"Hot Dry","Cold Winter")))))</f>
        <v/>
      </c>
      <c r="BT491">
        <f>IF($BM491="","",IFERROR(VLOOKUP($BM491,DECODE!$A$3:$C$8,2,FALSE),"?"))</f>
        <v/>
      </c>
      <c r="BU491">
        <f>IF($R491="","",UPPER(TRIM(LEFT($R491&amp;",",FIND(",",$R491&amp;",")-1))))</f>
        <v/>
      </c>
      <c r="BV491">
        <f>IF($BU491="","",MID($BU491,4,FIND("~",SUBSTITUTE($BU491,"-","~",2))-4))</f>
        <v/>
      </c>
      <c r="BW491">
        <f>IF($BU491="","",MID($BU491,FIND("~",SUBSTITUTE($BU491,"-","~",2))+1,FIND("~",SUBSTITUTE($BU491,"-","~",3))-FIND("~",SUBSTITUTE($BU491,"-","~",2))-1))</f>
        <v/>
      </c>
      <c r="BX491">
        <f>IF($BV491="","",IFERROR(VLOOKUP($BV491,DECODE!$A$3:$C$8,3,FALSE),"?"))</f>
        <v/>
      </c>
      <c r="BY491">
        <f>IF($BW491="","",IFERROR(VLOOKUP($BV491&amp;"-"&amp;$BW491,DECODE!$E$3:$F$21,2,FALSE),"?"))</f>
        <v/>
      </c>
      <c r="BZ491">
        <f>IF($BU491="","",IFERROR(VALUE(RIGHT($BU491,3)),""))</f>
        <v/>
      </c>
      <c r="CA491">
        <f>IF($X491="","",IFERROR(IF(ISNUMBER($X491),$X491,DATEVALUE(TRIM($X491))),""))</f>
        <v/>
      </c>
      <c r="CB491">
        <f>IF($CA491="","",IF(MONTH($CA491)&gt;=12,"Cold Winter",IF(MONTH($CA491)&gt;=10,"Post-Monsoon",IF(MONTH($CA491)&gt;=6,"Hot Humid",IF(MONTH($CA491)&gt;=3,"Hot Dry","Cold Winter")))))</f>
        <v/>
      </c>
      <c r="CC491">
        <f>IF($BV491="","",IFERROR(VLOOKUP($BV491,DECODE!$A$3:$C$8,2,FALSE),"?"))</f>
        <v/>
      </c>
      <c r="CD491">
        <f>IF($S491="","",UPPER(TRIM(LEFT($S491&amp;",",FIND(",",$S491&amp;",")-1))))</f>
        <v/>
      </c>
      <c r="CE491">
        <f>IF($CD491="","",MID($CD491,4,FIND("~",SUBSTITUTE($CD491,"-","~",2))-4))</f>
        <v/>
      </c>
      <c r="CF491">
        <f>IF($CD491="","",MID($CD491,FIND("~",SUBSTITUTE($CD491,"-","~",2))+1,FIND("~",SUBSTITUTE($CD491,"-","~",3))-FIND("~",SUBSTITUTE($CD491,"-","~",2))-1))</f>
        <v/>
      </c>
      <c r="CG491">
        <f>IF($CE491="","",IFERROR(VLOOKUP($CE491,DECODE!$A$3:$C$8,3,FALSE),"?"))</f>
        <v/>
      </c>
      <c r="CH491">
        <f>IF($CF491="","",IFERROR(VLOOKUP($CE491&amp;"-"&amp;$CF491,DECODE!$E$3:$F$21,2,FALSE),"?"))</f>
        <v/>
      </c>
      <c r="CI491">
        <f>IF($CD491="","",IFERROR(VALUE(RIGHT($CD491,3)),""))</f>
        <v/>
      </c>
      <c r="CJ491">
        <f>IF($Y491="","",IFERROR(IF(ISNUMBER($Y491),$Y491,DATEVALUE(TRIM($Y491))),""))</f>
        <v/>
      </c>
      <c r="CK491">
        <f>IF($CJ491="","",IF(MONTH($CJ491)&gt;=12,"Cold Winter",IF(MONTH($CJ491)&gt;=10,"Post-Monsoon",IF(MONTH($CJ491)&gt;=6,"Hot Humid",IF(MONTH($CJ491)&gt;=3,"Hot Dry","Cold Winter")))))</f>
        <v/>
      </c>
      <c r="CL491">
        <f>IF($CE491="","",IFERROR(VLOOKUP($CE491,DECODE!$A$3:$C$8,2,FALSE),"?"))</f>
        <v/>
      </c>
      <c r="CM491">
        <f>IF($AN491="","",AN491)</f>
        <v/>
      </c>
      <c r="CN491">
        <f>IF($AO491="","",AO491)</f>
        <v/>
      </c>
      <c r="CO491">
        <f>IF($AP491="","",AP491)</f>
        <v/>
      </c>
      <c r="CP491">
        <f>IF($CM491="","",IF($CM491="Aloe Vera Gel","Aloe Vera Gel "&amp;$CO491&amp;"g",CN491&amp;" "&amp;$CO491&amp;"g"))</f>
        <v/>
      </c>
      <c r="CQ491">
        <f>IF($AT491="",0,1)</f>
        <v/>
      </c>
      <c r="CR491">
        <f>IF($CQ491=0,"",AW491)</f>
        <v/>
      </c>
      <c r="CS491">
        <f>IF($CQ491=0,"",AX491)</f>
        <v/>
      </c>
      <c r="CT491">
        <f>IF($CQ491=0,"",AY491)</f>
        <v/>
      </c>
      <c r="CU491">
        <f>IF($CR491="","",IF($CR491="Aloe Vera Gel","Aloe Vera Gel "&amp;$CT491&amp;"g",CS491&amp;" "&amp;$CT491&amp;"g"))</f>
        <v/>
      </c>
      <c r="CV491">
        <f>IF($CQ491=0,"",IF($CP491=$CU491,"Repeat Exact",IF($CT491&gt;$CO491,"Upsized",IF($CT491&lt;$CO491,"Downsized",IF($CM491&lt;&gt;$CR491,"Lateral","Same Size Diff Variant")))))</f>
        <v/>
      </c>
      <c r="CW491">
        <f>IF($CQ491=0,"",AZ491-AQ491)</f>
        <v/>
      </c>
      <c r="CX491">
        <f>IF($CQ491=0,0,IF(CS491=CN491,1,0))</f>
        <v/>
      </c>
      <c r="CY491">
        <f>IF($CQ491=0,0,IF(CR491=CM491,1,0))</f>
        <v/>
      </c>
      <c r="CZ491">
        <f>IF($A491="","",IF(AND(IF(DASHBOARD!$C$4="All",TRUE,$CM491=DASHBOARD!$C$4),IF(DASHBOARD!$C$6="All",TRUE,$CP491=DASHBOARD!$C$6),IF(DASHBOARD!$C$8="All",TRUE,$AF491&gt;=DASHBOARD!$C$8),IF(DASHBOARD!$C$10="All",TRUE,$AF491&lt;=DASHBOARD!$C$10),IF(DASHBOARD!$C$12="All",TRUE,$AH491=VALUE(DASHBOARD!$C$12)),IF(DASHBOARD!$C$14="All",TRUE,$AJ491=DASHBOARD!$C$14)),1,0))</f>
        <v/>
      </c>
    </row>
    <row r="492">
      <c r="A492" t="n">
        <v>226495</v>
      </c>
      <c r="B492" t="inlineStr">
        <is>
          <t>Face Malai</t>
        </is>
      </c>
      <c r="H492" t="inlineStr">
        <is>
          <t>Flax Walnut (Cold) 35+ Face Malai</t>
        </is>
      </c>
      <c r="N492" t="inlineStr">
        <is>
          <t>FC-CWDM-FW-030</t>
        </is>
      </c>
      <c r="T492" t="inlineStr">
        <is>
          <t>Aug 6, 2024</t>
        </is>
      </c>
      <c r="AE492" t="inlineStr">
        <is>
          <t>Bengaluru</t>
        </is>
      </c>
      <c r="AF492" t="inlineStr">
        <is>
          <t>2024-08</t>
        </is>
      </c>
      <c r="AG492" t="n">
        <v>8</v>
      </c>
      <c r="AH492" t="n">
        <v>1</v>
      </c>
      <c r="AI492" t="n">
        <v>0</v>
      </c>
      <c r="AJ492">
        <f>IF($AE492="","",IFERROR(VLOOKUP(TRIM($AE492),DECODE!$H$3:$I$60,2,FALSE),"Rest of India"))</f>
        <v/>
      </c>
      <c r="AK492">
        <f>IF($N492="","",UPPER(TRIM(LEFT($N492&amp;",",FIND(",",$N492&amp;",")-1))))</f>
        <v/>
      </c>
      <c r="AL492">
        <f>IF($AK492="","",MID($AK492,4,FIND("~",SUBSTITUTE($AK492,"-","~",2))-4))</f>
        <v/>
      </c>
      <c r="AM492">
        <f>IF($AK492="","",MID($AK492,FIND("~",SUBSTITUTE($AK492,"-","~",2))+1,FIND("~",SUBSTITUTE($AK492,"-","~",3))-FIND("~",SUBSTITUTE($AK492,"-","~",2))-1))</f>
        <v/>
      </c>
      <c r="AN492">
        <f>IF($AL492="","",IFERROR(VLOOKUP($AL492,DECODE!$A$3:$C$8,3,FALSE),"?"))</f>
        <v/>
      </c>
      <c r="AO492">
        <f>IF($AM492="","",IFERROR(VLOOKUP($AL492&amp;"-"&amp;$AM492,DECODE!$E$3:$F$21,2,FALSE),"?"))</f>
        <v/>
      </c>
      <c r="AP492">
        <f>IF($AK492="","",IFERROR(VALUE(RIGHT($AK492,3)),""))</f>
        <v/>
      </c>
      <c r="AQ492">
        <f>IF($T492="","",IFERROR(IF(ISNUMBER($T492),$T492,DATEVALUE(TRIM($T492))),""))</f>
        <v/>
      </c>
      <c r="AR492">
        <f>IF($AQ492="","",IF(MONTH($AQ492)&gt;=12,"Cold Winter",IF(MONTH($AQ492)&gt;=10,"Post-Monsoon",IF(MONTH($AQ492)&gt;=6,"Hot Humid",IF(MONTH($AQ492)&gt;=3,"Hot Dry","Cold Winter")))))</f>
        <v/>
      </c>
      <c r="AS492">
        <f>IF($AL492="","",IFERROR(VLOOKUP($AL492,DECODE!$A$3:$C$8,2,FALSE),"?"))</f>
        <v/>
      </c>
      <c r="AT492">
        <f>IF($O492="","",UPPER(TRIM(LEFT($O492&amp;",",FIND(",",$O492&amp;",")-1))))</f>
        <v/>
      </c>
      <c r="AU492">
        <f>IF($AT492="","",MID($AT492,4,FIND("~",SUBSTITUTE($AT492,"-","~",2))-4))</f>
        <v/>
      </c>
      <c r="AV492">
        <f>IF($AT492="","",MID($AT492,FIND("~",SUBSTITUTE($AT492,"-","~",2))+1,FIND("~",SUBSTITUTE($AT492,"-","~",3))-FIND("~",SUBSTITUTE($AT492,"-","~",2))-1))</f>
        <v/>
      </c>
      <c r="AW492">
        <f>IF($AU492="","",IFERROR(VLOOKUP($AU492,DECODE!$A$3:$C$8,3,FALSE),"?"))</f>
        <v/>
      </c>
      <c r="AX492">
        <f>IF($AV492="","",IFERROR(VLOOKUP($AU492&amp;"-"&amp;$AV492,DECODE!$E$3:$F$21,2,FALSE),"?"))</f>
        <v/>
      </c>
      <c r="AY492">
        <f>IF($AT492="","",IFERROR(VALUE(RIGHT($AT492,3)),""))</f>
        <v/>
      </c>
      <c r="AZ492">
        <f>IF($U492="","",IFERROR(IF(ISNUMBER($U492),$U492,DATEVALUE(TRIM($U492))),""))</f>
        <v/>
      </c>
      <c r="BA492">
        <f>IF($AZ492="","",IF(MONTH($AZ492)&gt;=12,"Cold Winter",IF(MONTH($AZ492)&gt;=10,"Post-Monsoon",IF(MONTH($AZ492)&gt;=6,"Hot Humid",IF(MONTH($AZ492)&gt;=3,"Hot Dry","Cold Winter")))))</f>
        <v/>
      </c>
      <c r="BB492">
        <f>IF($AU492="","",IFERROR(VLOOKUP($AU492,DECODE!$A$3:$C$8,2,FALSE),"?"))</f>
        <v/>
      </c>
      <c r="BC492">
        <f>IF($P492="","",UPPER(TRIM(LEFT($P492&amp;",",FIND(",",$P492&amp;",")-1))))</f>
        <v/>
      </c>
      <c r="BD492">
        <f>IF($BC492="","",MID($BC492,4,FIND("~",SUBSTITUTE($BC492,"-","~",2))-4))</f>
        <v/>
      </c>
      <c r="BE492">
        <f>IF($BC492="","",MID($BC492,FIND("~",SUBSTITUTE($BC492,"-","~",2))+1,FIND("~",SUBSTITUTE($BC492,"-","~",3))-FIND("~",SUBSTITUTE($BC492,"-","~",2))-1))</f>
        <v/>
      </c>
      <c r="BF492">
        <f>IF($BD492="","",IFERROR(VLOOKUP($BD492,DECODE!$A$3:$C$8,3,FALSE),"?"))</f>
        <v/>
      </c>
      <c r="BG492">
        <f>IF($BE492="","",IFERROR(VLOOKUP($BD492&amp;"-"&amp;$BE492,DECODE!$E$3:$F$21,2,FALSE),"?"))</f>
        <v/>
      </c>
      <c r="BH492">
        <f>IF($BC492="","",IFERROR(VALUE(RIGHT($BC492,3)),""))</f>
        <v/>
      </c>
      <c r="BI492">
        <f>IF($V492="","",IFERROR(IF(ISNUMBER($V492),$V492,DATEVALUE(TRIM($V492))),""))</f>
        <v/>
      </c>
      <c r="BJ492">
        <f>IF($BI492="","",IF(MONTH($BI492)&gt;=12,"Cold Winter",IF(MONTH($BI492)&gt;=10,"Post-Monsoon",IF(MONTH($BI492)&gt;=6,"Hot Humid",IF(MONTH($BI492)&gt;=3,"Hot Dry","Cold Winter")))))</f>
        <v/>
      </c>
      <c r="BK492">
        <f>IF($BD492="","",IFERROR(VLOOKUP($BD492,DECODE!$A$3:$C$8,2,FALSE),"?"))</f>
        <v/>
      </c>
      <c r="BL492">
        <f>IF($Q492="","",UPPER(TRIM(LEFT($Q492&amp;",",FIND(",",$Q492&amp;",")-1))))</f>
        <v/>
      </c>
      <c r="BM492">
        <f>IF($BL492="","",MID($BL492,4,FIND("~",SUBSTITUTE($BL492,"-","~",2))-4))</f>
        <v/>
      </c>
      <c r="BN492">
        <f>IF($BL492="","",MID($BL492,FIND("~",SUBSTITUTE($BL492,"-","~",2))+1,FIND("~",SUBSTITUTE($BL492,"-","~",3))-FIND("~",SUBSTITUTE($BL492,"-","~",2))-1))</f>
        <v/>
      </c>
      <c r="BO492">
        <f>IF($BM492="","",IFERROR(VLOOKUP($BM492,DECODE!$A$3:$C$8,3,FALSE),"?"))</f>
        <v/>
      </c>
      <c r="BP492">
        <f>IF($BN492="","",IFERROR(VLOOKUP($BM492&amp;"-"&amp;$BN492,DECODE!$E$3:$F$21,2,FALSE),"?"))</f>
        <v/>
      </c>
      <c r="BQ492">
        <f>IF($BL492="","",IFERROR(VALUE(RIGHT($BL492,3)),""))</f>
        <v/>
      </c>
      <c r="BR492">
        <f>IF($W492="","",IFERROR(IF(ISNUMBER($W492),$W492,DATEVALUE(TRIM($W492))),""))</f>
        <v/>
      </c>
      <c r="BS492">
        <f>IF($BR492="","",IF(MONTH($BR492)&gt;=12,"Cold Winter",IF(MONTH($BR492)&gt;=10,"Post-Monsoon",IF(MONTH($BR492)&gt;=6,"Hot Humid",IF(MONTH($BR492)&gt;=3,"Hot Dry","Cold Winter")))))</f>
        <v/>
      </c>
      <c r="BT492">
        <f>IF($BM492="","",IFERROR(VLOOKUP($BM492,DECODE!$A$3:$C$8,2,FALSE),"?"))</f>
        <v/>
      </c>
      <c r="BU492">
        <f>IF($R492="","",UPPER(TRIM(LEFT($R492&amp;",",FIND(",",$R492&amp;",")-1))))</f>
        <v/>
      </c>
      <c r="BV492">
        <f>IF($BU492="","",MID($BU492,4,FIND("~",SUBSTITUTE($BU492,"-","~",2))-4))</f>
        <v/>
      </c>
      <c r="BW492">
        <f>IF($BU492="","",MID($BU492,FIND("~",SUBSTITUTE($BU492,"-","~",2))+1,FIND("~",SUBSTITUTE($BU492,"-","~",3))-FIND("~",SUBSTITUTE($BU492,"-","~",2))-1))</f>
        <v/>
      </c>
      <c r="BX492">
        <f>IF($BV492="","",IFERROR(VLOOKUP($BV492,DECODE!$A$3:$C$8,3,FALSE),"?"))</f>
        <v/>
      </c>
      <c r="BY492">
        <f>IF($BW492="","",IFERROR(VLOOKUP($BV492&amp;"-"&amp;$BW492,DECODE!$E$3:$F$21,2,FALSE),"?"))</f>
        <v/>
      </c>
      <c r="BZ492">
        <f>IF($BU492="","",IFERROR(VALUE(RIGHT($BU492,3)),""))</f>
        <v/>
      </c>
      <c r="CA492">
        <f>IF($X492="","",IFERROR(IF(ISNUMBER($X492),$X492,DATEVALUE(TRIM($X492))),""))</f>
        <v/>
      </c>
      <c r="CB492">
        <f>IF($CA492="","",IF(MONTH($CA492)&gt;=12,"Cold Winter",IF(MONTH($CA492)&gt;=10,"Post-Monsoon",IF(MONTH($CA492)&gt;=6,"Hot Humid",IF(MONTH($CA492)&gt;=3,"Hot Dry","Cold Winter")))))</f>
        <v/>
      </c>
      <c r="CC492">
        <f>IF($BV492="","",IFERROR(VLOOKUP($BV492,DECODE!$A$3:$C$8,2,FALSE),"?"))</f>
        <v/>
      </c>
      <c r="CD492">
        <f>IF($S492="","",UPPER(TRIM(LEFT($S492&amp;",",FIND(",",$S492&amp;",")-1))))</f>
        <v/>
      </c>
      <c r="CE492">
        <f>IF($CD492="","",MID($CD492,4,FIND("~",SUBSTITUTE($CD492,"-","~",2))-4))</f>
        <v/>
      </c>
      <c r="CF492">
        <f>IF($CD492="","",MID($CD492,FIND("~",SUBSTITUTE($CD492,"-","~",2))+1,FIND("~",SUBSTITUTE($CD492,"-","~",3))-FIND("~",SUBSTITUTE($CD492,"-","~",2))-1))</f>
        <v/>
      </c>
      <c r="CG492">
        <f>IF($CE492="","",IFERROR(VLOOKUP($CE492,DECODE!$A$3:$C$8,3,FALSE),"?"))</f>
        <v/>
      </c>
      <c r="CH492">
        <f>IF($CF492="","",IFERROR(VLOOKUP($CE492&amp;"-"&amp;$CF492,DECODE!$E$3:$F$21,2,FALSE),"?"))</f>
        <v/>
      </c>
      <c r="CI492">
        <f>IF($CD492="","",IFERROR(VALUE(RIGHT($CD492,3)),""))</f>
        <v/>
      </c>
      <c r="CJ492">
        <f>IF($Y492="","",IFERROR(IF(ISNUMBER($Y492),$Y492,DATEVALUE(TRIM($Y492))),""))</f>
        <v/>
      </c>
      <c r="CK492">
        <f>IF($CJ492="","",IF(MONTH($CJ492)&gt;=12,"Cold Winter",IF(MONTH($CJ492)&gt;=10,"Post-Monsoon",IF(MONTH($CJ492)&gt;=6,"Hot Humid",IF(MONTH($CJ492)&gt;=3,"Hot Dry","Cold Winter")))))</f>
        <v/>
      </c>
      <c r="CL492">
        <f>IF($CE492="","",IFERROR(VLOOKUP($CE492,DECODE!$A$3:$C$8,2,FALSE),"?"))</f>
        <v/>
      </c>
      <c r="CM492">
        <f>IF($AN492="","",AN492)</f>
        <v/>
      </c>
      <c r="CN492">
        <f>IF($AO492="","",AO492)</f>
        <v/>
      </c>
      <c r="CO492">
        <f>IF($AP492="","",AP492)</f>
        <v/>
      </c>
      <c r="CP492">
        <f>IF($CM492="","",IF($CM492="Aloe Vera Gel","Aloe Vera Gel "&amp;$CO492&amp;"g",CN492&amp;" "&amp;$CO492&amp;"g"))</f>
        <v/>
      </c>
      <c r="CQ492">
        <f>IF($AT492="",0,1)</f>
        <v/>
      </c>
      <c r="CR492">
        <f>IF($CQ492=0,"",AW492)</f>
        <v/>
      </c>
      <c r="CS492">
        <f>IF($CQ492=0,"",AX492)</f>
        <v/>
      </c>
      <c r="CT492">
        <f>IF($CQ492=0,"",AY492)</f>
        <v/>
      </c>
      <c r="CU492">
        <f>IF($CR492="","",IF($CR492="Aloe Vera Gel","Aloe Vera Gel "&amp;$CT492&amp;"g",CS492&amp;" "&amp;$CT492&amp;"g"))</f>
        <v/>
      </c>
      <c r="CV492">
        <f>IF($CQ492=0,"",IF($CP492=$CU492,"Repeat Exact",IF($CT492&gt;$CO492,"Upsized",IF($CT492&lt;$CO492,"Downsized",IF($CM492&lt;&gt;$CR492,"Lateral","Same Size Diff Variant")))))</f>
        <v/>
      </c>
      <c r="CW492">
        <f>IF($CQ492=0,"",AZ492-AQ492)</f>
        <v/>
      </c>
      <c r="CX492">
        <f>IF($CQ492=0,0,IF(CS492=CN492,1,0))</f>
        <v/>
      </c>
      <c r="CY492">
        <f>IF($CQ492=0,0,IF(CR492=CM492,1,0))</f>
        <v/>
      </c>
      <c r="CZ492">
        <f>IF($A492="","",IF(AND(IF(DASHBOARD!$C$4="All",TRUE,$CM492=DASHBOARD!$C$4),IF(DASHBOARD!$C$6="All",TRUE,$CP492=DASHBOARD!$C$6),IF(DASHBOARD!$C$8="All",TRUE,$AF492&gt;=DASHBOARD!$C$8),IF(DASHBOARD!$C$10="All",TRUE,$AF492&lt;=DASHBOARD!$C$10),IF(DASHBOARD!$C$12="All",TRUE,$AH492=VALUE(DASHBOARD!$C$12)),IF(DASHBOARD!$C$14="All",TRUE,$AJ492=DASHBOARD!$C$14)),1,0))</f>
        <v/>
      </c>
    </row>
    <row r="493">
      <c r="A493" t="n">
        <v>226651</v>
      </c>
      <c r="B493" t="inlineStr">
        <is>
          <t>Face Malai</t>
        </is>
      </c>
      <c r="H493" t="inlineStr">
        <is>
          <t>Turmeric Nutmeg (Pigmentation)  Face Malai - 30g</t>
        </is>
      </c>
      <c r="N493" t="inlineStr">
        <is>
          <t>FC-DM-PG-030</t>
        </is>
      </c>
      <c r="T493" t="inlineStr">
        <is>
          <t>Mar 5, 2025</t>
        </is>
      </c>
      <c r="AE493" t="inlineStr">
        <is>
          <t>Nagpur</t>
        </is>
      </c>
      <c r="AF493" t="inlineStr">
        <is>
          <t>2025-03</t>
        </is>
      </c>
      <c r="AG493" t="n">
        <v>3</v>
      </c>
      <c r="AH493" t="n">
        <v>1</v>
      </c>
      <c r="AI493" t="n">
        <v>0</v>
      </c>
      <c r="AJ493">
        <f>IF($AE493="","",IFERROR(VLOOKUP(TRIM($AE493),DECODE!$H$3:$I$60,2,FALSE),"Rest of India"))</f>
        <v/>
      </c>
      <c r="AK493">
        <f>IF($N493="","",UPPER(TRIM(LEFT($N493&amp;",",FIND(",",$N493&amp;",")-1))))</f>
        <v/>
      </c>
      <c r="AL493">
        <f>IF($AK493="","",MID($AK493,4,FIND("~",SUBSTITUTE($AK493,"-","~",2))-4))</f>
        <v/>
      </c>
      <c r="AM493">
        <f>IF($AK493="","",MID($AK493,FIND("~",SUBSTITUTE($AK493,"-","~",2))+1,FIND("~",SUBSTITUTE($AK493,"-","~",3))-FIND("~",SUBSTITUTE($AK493,"-","~",2))-1))</f>
        <v/>
      </c>
      <c r="AN493">
        <f>IF($AL493="","",IFERROR(VLOOKUP($AL493,DECODE!$A$3:$C$8,3,FALSE),"?"))</f>
        <v/>
      </c>
      <c r="AO493">
        <f>IF($AM493="","",IFERROR(VLOOKUP($AL493&amp;"-"&amp;$AM493,DECODE!$E$3:$F$21,2,FALSE),"?"))</f>
        <v/>
      </c>
      <c r="AP493">
        <f>IF($AK493="","",IFERROR(VALUE(RIGHT($AK493,3)),""))</f>
        <v/>
      </c>
      <c r="AQ493">
        <f>IF($T493="","",IFERROR(IF(ISNUMBER($T493),$T493,DATEVALUE(TRIM($T493))),""))</f>
        <v/>
      </c>
      <c r="AR493">
        <f>IF($AQ493="","",IF(MONTH($AQ493)&gt;=12,"Cold Winter",IF(MONTH($AQ493)&gt;=10,"Post-Monsoon",IF(MONTH($AQ493)&gt;=6,"Hot Humid",IF(MONTH($AQ493)&gt;=3,"Hot Dry","Cold Winter")))))</f>
        <v/>
      </c>
      <c r="AS493">
        <f>IF($AL493="","",IFERROR(VLOOKUP($AL493,DECODE!$A$3:$C$8,2,FALSE),"?"))</f>
        <v/>
      </c>
      <c r="AT493">
        <f>IF($O493="","",UPPER(TRIM(LEFT($O493&amp;",",FIND(",",$O493&amp;",")-1))))</f>
        <v/>
      </c>
      <c r="AU493">
        <f>IF($AT493="","",MID($AT493,4,FIND("~",SUBSTITUTE($AT493,"-","~",2))-4))</f>
        <v/>
      </c>
      <c r="AV493">
        <f>IF($AT493="","",MID($AT493,FIND("~",SUBSTITUTE($AT493,"-","~",2))+1,FIND("~",SUBSTITUTE($AT493,"-","~",3))-FIND("~",SUBSTITUTE($AT493,"-","~",2))-1))</f>
        <v/>
      </c>
      <c r="AW493">
        <f>IF($AU493="","",IFERROR(VLOOKUP($AU493,DECODE!$A$3:$C$8,3,FALSE),"?"))</f>
        <v/>
      </c>
      <c r="AX493">
        <f>IF($AV493="","",IFERROR(VLOOKUP($AU493&amp;"-"&amp;$AV493,DECODE!$E$3:$F$21,2,FALSE),"?"))</f>
        <v/>
      </c>
      <c r="AY493">
        <f>IF($AT493="","",IFERROR(VALUE(RIGHT($AT493,3)),""))</f>
        <v/>
      </c>
      <c r="AZ493">
        <f>IF($U493="","",IFERROR(IF(ISNUMBER($U493),$U493,DATEVALUE(TRIM($U493))),""))</f>
        <v/>
      </c>
      <c r="BA493">
        <f>IF($AZ493="","",IF(MONTH($AZ493)&gt;=12,"Cold Winter",IF(MONTH($AZ493)&gt;=10,"Post-Monsoon",IF(MONTH($AZ493)&gt;=6,"Hot Humid",IF(MONTH($AZ493)&gt;=3,"Hot Dry","Cold Winter")))))</f>
        <v/>
      </c>
      <c r="BB493">
        <f>IF($AU493="","",IFERROR(VLOOKUP($AU493,DECODE!$A$3:$C$8,2,FALSE),"?"))</f>
        <v/>
      </c>
      <c r="BC493">
        <f>IF($P493="","",UPPER(TRIM(LEFT($P493&amp;",",FIND(",",$P493&amp;",")-1))))</f>
        <v/>
      </c>
      <c r="BD493">
        <f>IF($BC493="","",MID($BC493,4,FIND("~",SUBSTITUTE($BC493,"-","~",2))-4))</f>
        <v/>
      </c>
      <c r="BE493">
        <f>IF($BC493="","",MID($BC493,FIND("~",SUBSTITUTE($BC493,"-","~",2))+1,FIND("~",SUBSTITUTE($BC493,"-","~",3))-FIND("~",SUBSTITUTE($BC493,"-","~",2))-1))</f>
        <v/>
      </c>
      <c r="BF493">
        <f>IF($BD493="","",IFERROR(VLOOKUP($BD493,DECODE!$A$3:$C$8,3,FALSE),"?"))</f>
        <v/>
      </c>
      <c r="BG493">
        <f>IF($BE493="","",IFERROR(VLOOKUP($BD493&amp;"-"&amp;$BE493,DECODE!$E$3:$F$21,2,FALSE),"?"))</f>
        <v/>
      </c>
      <c r="BH493">
        <f>IF($BC493="","",IFERROR(VALUE(RIGHT($BC493,3)),""))</f>
        <v/>
      </c>
      <c r="BI493">
        <f>IF($V493="","",IFERROR(IF(ISNUMBER($V493),$V493,DATEVALUE(TRIM($V493))),""))</f>
        <v/>
      </c>
      <c r="BJ493">
        <f>IF($BI493="","",IF(MONTH($BI493)&gt;=12,"Cold Winter",IF(MONTH($BI493)&gt;=10,"Post-Monsoon",IF(MONTH($BI493)&gt;=6,"Hot Humid",IF(MONTH($BI493)&gt;=3,"Hot Dry","Cold Winter")))))</f>
        <v/>
      </c>
      <c r="BK493">
        <f>IF($BD493="","",IFERROR(VLOOKUP($BD493,DECODE!$A$3:$C$8,2,FALSE),"?"))</f>
        <v/>
      </c>
      <c r="BL493">
        <f>IF($Q493="","",UPPER(TRIM(LEFT($Q493&amp;",",FIND(",",$Q493&amp;",")-1))))</f>
        <v/>
      </c>
      <c r="BM493">
        <f>IF($BL493="","",MID($BL493,4,FIND("~",SUBSTITUTE($BL493,"-","~",2))-4))</f>
        <v/>
      </c>
      <c r="BN493">
        <f>IF($BL493="","",MID($BL493,FIND("~",SUBSTITUTE($BL493,"-","~",2))+1,FIND("~",SUBSTITUTE($BL493,"-","~",3))-FIND("~",SUBSTITUTE($BL493,"-","~",2))-1))</f>
        <v/>
      </c>
      <c r="BO493">
        <f>IF($BM493="","",IFERROR(VLOOKUP($BM493,DECODE!$A$3:$C$8,3,FALSE),"?"))</f>
        <v/>
      </c>
      <c r="BP493">
        <f>IF($BN493="","",IFERROR(VLOOKUP($BM493&amp;"-"&amp;$BN493,DECODE!$E$3:$F$21,2,FALSE),"?"))</f>
        <v/>
      </c>
      <c r="BQ493">
        <f>IF($BL493="","",IFERROR(VALUE(RIGHT($BL493,3)),""))</f>
        <v/>
      </c>
      <c r="BR493">
        <f>IF($W493="","",IFERROR(IF(ISNUMBER($W493),$W493,DATEVALUE(TRIM($W493))),""))</f>
        <v/>
      </c>
      <c r="BS493">
        <f>IF($BR493="","",IF(MONTH($BR493)&gt;=12,"Cold Winter",IF(MONTH($BR493)&gt;=10,"Post-Monsoon",IF(MONTH($BR493)&gt;=6,"Hot Humid",IF(MONTH($BR493)&gt;=3,"Hot Dry","Cold Winter")))))</f>
        <v/>
      </c>
      <c r="BT493">
        <f>IF($BM493="","",IFERROR(VLOOKUP($BM493,DECODE!$A$3:$C$8,2,FALSE),"?"))</f>
        <v/>
      </c>
      <c r="BU493">
        <f>IF($R493="","",UPPER(TRIM(LEFT($R493&amp;",",FIND(",",$R493&amp;",")-1))))</f>
        <v/>
      </c>
      <c r="BV493">
        <f>IF($BU493="","",MID($BU493,4,FIND("~",SUBSTITUTE($BU493,"-","~",2))-4))</f>
        <v/>
      </c>
      <c r="BW493">
        <f>IF($BU493="","",MID($BU493,FIND("~",SUBSTITUTE($BU493,"-","~",2))+1,FIND("~",SUBSTITUTE($BU493,"-","~",3))-FIND("~",SUBSTITUTE($BU493,"-","~",2))-1))</f>
        <v/>
      </c>
      <c r="BX493">
        <f>IF($BV493="","",IFERROR(VLOOKUP($BV493,DECODE!$A$3:$C$8,3,FALSE),"?"))</f>
        <v/>
      </c>
      <c r="BY493">
        <f>IF($BW493="","",IFERROR(VLOOKUP($BV493&amp;"-"&amp;$BW493,DECODE!$E$3:$F$21,2,FALSE),"?"))</f>
        <v/>
      </c>
      <c r="BZ493">
        <f>IF($BU493="","",IFERROR(VALUE(RIGHT($BU493,3)),""))</f>
        <v/>
      </c>
      <c r="CA493">
        <f>IF($X493="","",IFERROR(IF(ISNUMBER($X493),$X493,DATEVALUE(TRIM($X493))),""))</f>
        <v/>
      </c>
      <c r="CB493">
        <f>IF($CA493="","",IF(MONTH($CA493)&gt;=12,"Cold Winter",IF(MONTH($CA493)&gt;=10,"Post-Monsoon",IF(MONTH($CA493)&gt;=6,"Hot Humid",IF(MONTH($CA493)&gt;=3,"Hot Dry","Cold Winter")))))</f>
        <v/>
      </c>
      <c r="CC493">
        <f>IF($BV493="","",IFERROR(VLOOKUP($BV493,DECODE!$A$3:$C$8,2,FALSE),"?"))</f>
        <v/>
      </c>
      <c r="CD493">
        <f>IF($S493="","",UPPER(TRIM(LEFT($S493&amp;",",FIND(",",$S493&amp;",")-1))))</f>
        <v/>
      </c>
      <c r="CE493">
        <f>IF($CD493="","",MID($CD493,4,FIND("~",SUBSTITUTE($CD493,"-","~",2))-4))</f>
        <v/>
      </c>
      <c r="CF493">
        <f>IF($CD493="","",MID($CD493,FIND("~",SUBSTITUTE($CD493,"-","~",2))+1,FIND("~",SUBSTITUTE($CD493,"-","~",3))-FIND("~",SUBSTITUTE($CD493,"-","~",2))-1))</f>
        <v/>
      </c>
      <c r="CG493">
        <f>IF($CE493="","",IFERROR(VLOOKUP($CE493,DECODE!$A$3:$C$8,3,FALSE),"?"))</f>
        <v/>
      </c>
      <c r="CH493">
        <f>IF($CF493="","",IFERROR(VLOOKUP($CE493&amp;"-"&amp;$CF493,DECODE!$E$3:$F$21,2,FALSE),"?"))</f>
        <v/>
      </c>
      <c r="CI493">
        <f>IF($CD493="","",IFERROR(VALUE(RIGHT($CD493,3)),""))</f>
        <v/>
      </c>
      <c r="CJ493">
        <f>IF($Y493="","",IFERROR(IF(ISNUMBER($Y493),$Y493,DATEVALUE(TRIM($Y493))),""))</f>
        <v/>
      </c>
      <c r="CK493">
        <f>IF($CJ493="","",IF(MONTH($CJ493)&gt;=12,"Cold Winter",IF(MONTH($CJ493)&gt;=10,"Post-Monsoon",IF(MONTH($CJ493)&gt;=6,"Hot Humid",IF(MONTH($CJ493)&gt;=3,"Hot Dry","Cold Winter")))))</f>
        <v/>
      </c>
      <c r="CL493">
        <f>IF($CE493="","",IFERROR(VLOOKUP($CE493,DECODE!$A$3:$C$8,2,FALSE),"?"))</f>
        <v/>
      </c>
      <c r="CM493">
        <f>IF($AN493="","",AN493)</f>
        <v/>
      </c>
      <c r="CN493">
        <f>IF($AO493="","",AO493)</f>
        <v/>
      </c>
      <c r="CO493">
        <f>IF($AP493="","",AP493)</f>
        <v/>
      </c>
      <c r="CP493">
        <f>IF($CM493="","",IF($CM493="Aloe Vera Gel","Aloe Vera Gel "&amp;$CO493&amp;"g",CN493&amp;" "&amp;$CO493&amp;"g"))</f>
        <v/>
      </c>
      <c r="CQ493">
        <f>IF($AT493="",0,1)</f>
        <v/>
      </c>
      <c r="CR493">
        <f>IF($CQ493=0,"",AW493)</f>
        <v/>
      </c>
      <c r="CS493">
        <f>IF($CQ493=0,"",AX493)</f>
        <v/>
      </c>
      <c r="CT493">
        <f>IF($CQ493=0,"",AY493)</f>
        <v/>
      </c>
      <c r="CU493">
        <f>IF($CR493="","",IF($CR493="Aloe Vera Gel","Aloe Vera Gel "&amp;$CT493&amp;"g",CS493&amp;" "&amp;$CT493&amp;"g"))</f>
        <v/>
      </c>
      <c r="CV493">
        <f>IF($CQ493=0,"",IF($CP493=$CU493,"Repeat Exact",IF($CT493&gt;$CO493,"Upsized",IF($CT493&lt;$CO493,"Downsized",IF($CM493&lt;&gt;$CR493,"Lateral","Same Size Diff Variant")))))</f>
        <v/>
      </c>
      <c r="CW493">
        <f>IF($CQ493=0,"",AZ493-AQ493)</f>
        <v/>
      </c>
      <c r="CX493">
        <f>IF($CQ493=0,0,IF(CS493=CN493,1,0))</f>
        <v/>
      </c>
      <c r="CY493">
        <f>IF($CQ493=0,0,IF(CR493=CM493,1,0))</f>
        <v/>
      </c>
      <c r="CZ493">
        <f>IF($A493="","",IF(AND(IF(DASHBOARD!$C$4="All",TRUE,$CM493=DASHBOARD!$C$4),IF(DASHBOARD!$C$6="All",TRUE,$CP493=DASHBOARD!$C$6),IF(DASHBOARD!$C$8="All",TRUE,$AF493&gt;=DASHBOARD!$C$8),IF(DASHBOARD!$C$10="All",TRUE,$AF493&lt;=DASHBOARD!$C$10),IF(DASHBOARD!$C$12="All",TRUE,$AH493=VALUE(DASHBOARD!$C$12)),IF(DASHBOARD!$C$14="All",TRUE,$AJ493=DASHBOARD!$C$14)),1,0))</f>
        <v/>
      </c>
    </row>
    <row r="494">
      <c r="A494" t="n">
        <v>226947</v>
      </c>
      <c r="B494" t="inlineStr">
        <is>
          <t>Aloe Vera Gel</t>
        </is>
      </c>
      <c r="H494" t="inlineStr">
        <is>
          <t>Aloe Vera Gel - 40 gms</t>
        </is>
      </c>
      <c r="N494" t="inlineStr">
        <is>
          <t>FC-HG-PA-040</t>
        </is>
      </c>
      <c r="T494" t="inlineStr">
        <is>
          <t>May 3, 2024</t>
        </is>
      </c>
      <c r="AE494" t="inlineStr">
        <is>
          <t>Kolkata</t>
        </is>
      </c>
      <c r="AF494" t="inlineStr">
        <is>
          <t>2024-05</t>
        </is>
      </c>
      <c r="AG494" t="n">
        <v>5</v>
      </c>
      <c r="AH494" t="n">
        <v>1</v>
      </c>
      <c r="AI494" t="n">
        <v>0</v>
      </c>
      <c r="AJ494">
        <f>IF($AE494="","",IFERROR(VLOOKUP(TRIM($AE494),DECODE!$H$3:$I$60,2,FALSE),"Rest of India"))</f>
        <v/>
      </c>
      <c r="AK494">
        <f>IF($N494="","",UPPER(TRIM(LEFT($N494&amp;",",FIND(",",$N494&amp;",")-1))))</f>
        <v/>
      </c>
      <c r="AL494">
        <f>IF($AK494="","",MID($AK494,4,FIND("~",SUBSTITUTE($AK494,"-","~",2))-4))</f>
        <v/>
      </c>
      <c r="AM494">
        <f>IF($AK494="","",MID($AK494,FIND("~",SUBSTITUTE($AK494,"-","~",2))+1,FIND("~",SUBSTITUTE($AK494,"-","~",3))-FIND("~",SUBSTITUTE($AK494,"-","~",2))-1))</f>
        <v/>
      </c>
      <c r="AN494">
        <f>IF($AL494="","",IFERROR(VLOOKUP($AL494,DECODE!$A$3:$C$8,3,FALSE),"?"))</f>
        <v/>
      </c>
      <c r="AO494">
        <f>IF($AM494="","",IFERROR(VLOOKUP($AL494&amp;"-"&amp;$AM494,DECODE!$E$3:$F$21,2,FALSE),"?"))</f>
        <v/>
      </c>
      <c r="AP494">
        <f>IF($AK494="","",IFERROR(VALUE(RIGHT($AK494,3)),""))</f>
        <v/>
      </c>
      <c r="AQ494">
        <f>IF($T494="","",IFERROR(IF(ISNUMBER($T494),$T494,DATEVALUE(TRIM($T494))),""))</f>
        <v/>
      </c>
      <c r="AR494">
        <f>IF($AQ494="","",IF(MONTH($AQ494)&gt;=12,"Cold Winter",IF(MONTH($AQ494)&gt;=10,"Post-Monsoon",IF(MONTH($AQ494)&gt;=6,"Hot Humid",IF(MONTH($AQ494)&gt;=3,"Hot Dry","Cold Winter")))))</f>
        <v/>
      </c>
      <c r="AS494">
        <f>IF($AL494="","",IFERROR(VLOOKUP($AL494,DECODE!$A$3:$C$8,2,FALSE),"?"))</f>
        <v/>
      </c>
      <c r="AT494">
        <f>IF($O494="","",UPPER(TRIM(LEFT($O494&amp;",",FIND(",",$O494&amp;",")-1))))</f>
        <v/>
      </c>
      <c r="AU494">
        <f>IF($AT494="","",MID($AT494,4,FIND("~",SUBSTITUTE($AT494,"-","~",2))-4))</f>
        <v/>
      </c>
      <c r="AV494">
        <f>IF($AT494="","",MID($AT494,FIND("~",SUBSTITUTE($AT494,"-","~",2))+1,FIND("~",SUBSTITUTE($AT494,"-","~",3))-FIND("~",SUBSTITUTE($AT494,"-","~",2))-1))</f>
        <v/>
      </c>
      <c r="AW494">
        <f>IF($AU494="","",IFERROR(VLOOKUP($AU494,DECODE!$A$3:$C$8,3,FALSE),"?"))</f>
        <v/>
      </c>
      <c r="AX494">
        <f>IF($AV494="","",IFERROR(VLOOKUP($AU494&amp;"-"&amp;$AV494,DECODE!$E$3:$F$21,2,FALSE),"?"))</f>
        <v/>
      </c>
      <c r="AY494">
        <f>IF($AT494="","",IFERROR(VALUE(RIGHT($AT494,3)),""))</f>
        <v/>
      </c>
      <c r="AZ494">
        <f>IF($U494="","",IFERROR(IF(ISNUMBER($U494),$U494,DATEVALUE(TRIM($U494))),""))</f>
        <v/>
      </c>
      <c r="BA494">
        <f>IF($AZ494="","",IF(MONTH($AZ494)&gt;=12,"Cold Winter",IF(MONTH($AZ494)&gt;=10,"Post-Monsoon",IF(MONTH($AZ494)&gt;=6,"Hot Humid",IF(MONTH($AZ494)&gt;=3,"Hot Dry","Cold Winter")))))</f>
        <v/>
      </c>
      <c r="BB494">
        <f>IF($AU494="","",IFERROR(VLOOKUP($AU494,DECODE!$A$3:$C$8,2,FALSE),"?"))</f>
        <v/>
      </c>
      <c r="BC494">
        <f>IF($P494="","",UPPER(TRIM(LEFT($P494&amp;",",FIND(",",$P494&amp;",")-1))))</f>
        <v/>
      </c>
      <c r="BD494">
        <f>IF($BC494="","",MID($BC494,4,FIND("~",SUBSTITUTE($BC494,"-","~",2))-4))</f>
        <v/>
      </c>
      <c r="BE494">
        <f>IF($BC494="","",MID($BC494,FIND("~",SUBSTITUTE($BC494,"-","~",2))+1,FIND("~",SUBSTITUTE($BC494,"-","~",3))-FIND("~",SUBSTITUTE($BC494,"-","~",2))-1))</f>
        <v/>
      </c>
      <c r="BF494">
        <f>IF($BD494="","",IFERROR(VLOOKUP($BD494,DECODE!$A$3:$C$8,3,FALSE),"?"))</f>
        <v/>
      </c>
      <c r="BG494">
        <f>IF($BE494="","",IFERROR(VLOOKUP($BD494&amp;"-"&amp;$BE494,DECODE!$E$3:$F$21,2,FALSE),"?"))</f>
        <v/>
      </c>
      <c r="BH494">
        <f>IF($BC494="","",IFERROR(VALUE(RIGHT($BC494,3)),""))</f>
        <v/>
      </c>
      <c r="BI494">
        <f>IF($V494="","",IFERROR(IF(ISNUMBER($V494),$V494,DATEVALUE(TRIM($V494))),""))</f>
        <v/>
      </c>
      <c r="BJ494">
        <f>IF($BI494="","",IF(MONTH($BI494)&gt;=12,"Cold Winter",IF(MONTH($BI494)&gt;=10,"Post-Monsoon",IF(MONTH($BI494)&gt;=6,"Hot Humid",IF(MONTH($BI494)&gt;=3,"Hot Dry","Cold Winter")))))</f>
        <v/>
      </c>
      <c r="BK494">
        <f>IF($BD494="","",IFERROR(VLOOKUP($BD494,DECODE!$A$3:$C$8,2,FALSE),"?"))</f>
        <v/>
      </c>
      <c r="BL494">
        <f>IF($Q494="","",UPPER(TRIM(LEFT($Q494&amp;",",FIND(",",$Q494&amp;",")-1))))</f>
        <v/>
      </c>
      <c r="BM494">
        <f>IF($BL494="","",MID($BL494,4,FIND("~",SUBSTITUTE($BL494,"-","~",2))-4))</f>
        <v/>
      </c>
      <c r="BN494">
        <f>IF($BL494="","",MID($BL494,FIND("~",SUBSTITUTE($BL494,"-","~",2))+1,FIND("~",SUBSTITUTE($BL494,"-","~",3))-FIND("~",SUBSTITUTE($BL494,"-","~",2))-1))</f>
        <v/>
      </c>
      <c r="BO494">
        <f>IF($BM494="","",IFERROR(VLOOKUP($BM494,DECODE!$A$3:$C$8,3,FALSE),"?"))</f>
        <v/>
      </c>
      <c r="BP494">
        <f>IF($BN494="","",IFERROR(VLOOKUP($BM494&amp;"-"&amp;$BN494,DECODE!$E$3:$F$21,2,FALSE),"?"))</f>
        <v/>
      </c>
      <c r="BQ494">
        <f>IF($BL494="","",IFERROR(VALUE(RIGHT($BL494,3)),""))</f>
        <v/>
      </c>
      <c r="BR494">
        <f>IF($W494="","",IFERROR(IF(ISNUMBER($W494),$W494,DATEVALUE(TRIM($W494))),""))</f>
        <v/>
      </c>
      <c r="BS494">
        <f>IF($BR494="","",IF(MONTH($BR494)&gt;=12,"Cold Winter",IF(MONTH($BR494)&gt;=10,"Post-Monsoon",IF(MONTH($BR494)&gt;=6,"Hot Humid",IF(MONTH($BR494)&gt;=3,"Hot Dry","Cold Winter")))))</f>
        <v/>
      </c>
      <c r="BT494">
        <f>IF($BM494="","",IFERROR(VLOOKUP($BM494,DECODE!$A$3:$C$8,2,FALSE),"?"))</f>
        <v/>
      </c>
      <c r="BU494">
        <f>IF($R494="","",UPPER(TRIM(LEFT($R494&amp;",",FIND(",",$R494&amp;",")-1))))</f>
        <v/>
      </c>
      <c r="BV494">
        <f>IF($BU494="","",MID($BU494,4,FIND("~",SUBSTITUTE($BU494,"-","~",2))-4))</f>
        <v/>
      </c>
      <c r="BW494">
        <f>IF($BU494="","",MID($BU494,FIND("~",SUBSTITUTE($BU494,"-","~",2))+1,FIND("~",SUBSTITUTE($BU494,"-","~",3))-FIND("~",SUBSTITUTE($BU494,"-","~",2))-1))</f>
        <v/>
      </c>
      <c r="BX494">
        <f>IF($BV494="","",IFERROR(VLOOKUP($BV494,DECODE!$A$3:$C$8,3,FALSE),"?"))</f>
        <v/>
      </c>
      <c r="BY494">
        <f>IF($BW494="","",IFERROR(VLOOKUP($BV494&amp;"-"&amp;$BW494,DECODE!$E$3:$F$21,2,FALSE),"?"))</f>
        <v/>
      </c>
      <c r="BZ494">
        <f>IF($BU494="","",IFERROR(VALUE(RIGHT($BU494,3)),""))</f>
        <v/>
      </c>
      <c r="CA494">
        <f>IF($X494="","",IFERROR(IF(ISNUMBER($X494),$X494,DATEVALUE(TRIM($X494))),""))</f>
        <v/>
      </c>
      <c r="CB494">
        <f>IF($CA494="","",IF(MONTH($CA494)&gt;=12,"Cold Winter",IF(MONTH($CA494)&gt;=10,"Post-Monsoon",IF(MONTH($CA494)&gt;=6,"Hot Humid",IF(MONTH($CA494)&gt;=3,"Hot Dry","Cold Winter")))))</f>
        <v/>
      </c>
      <c r="CC494">
        <f>IF($BV494="","",IFERROR(VLOOKUP($BV494,DECODE!$A$3:$C$8,2,FALSE),"?"))</f>
        <v/>
      </c>
      <c r="CD494">
        <f>IF($S494="","",UPPER(TRIM(LEFT($S494&amp;",",FIND(",",$S494&amp;",")-1))))</f>
        <v/>
      </c>
      <c r="CE494">
        <f>IF($CD494="","",MID($CD494,4,FIND("~",SUBSTITUTE($CD494,"-","~",2))-4))</f>
        <v/>
      </c>
      <c r="CF494">
        <f>IF($CD494="","",MID($CD494,FIND("~",SUBSTITUTE($CD494,"-","~",2))+1,FIND("~",SUBSTITUTE($CD494,"-","~",3))-FIND("~",SUBSTITUTE($CD494,"-","~",2))-1))</f>
        <v/>
      </c>
      <c r="CG494">
        <f>IF($CE494="","",IFERROR(VLOOKUP($CE494,DECODE!$A$3:$C$8,3,FALSE),"?"))</f>
        <v/>
      </c>
      <c r="CH494">
        <f>IF($CF494="","",IFERROR(VLOOKUP($CE494&amp;"-"&amp;$CF494,DECODE!$E$3:$F$21,2,FALSE),"?"))</f>
        <v/>
      </c>
      <c r="CI494">
        <f>IF($CD494="","",IFERROR(VALUE(RIGHT($CD494,3)),""))</f>
        <v/>
      </c>
      <c r="CJ494">
        <f>IF($Y494="","",IFERROR(IF(ISNUMBER($Y494),$Y494,DATEVALUE(TRIM($Y494))),""))</f>
        <v/>
      </c>
      <c r="CK494">
        <f>IF($CJ494="","",IF(MONTH($CJ494)&gt;=12,"Cold Winter",IF(MONTH($CJ494)&gt;=10,"Post-Monsoon",IF(MONTH($CJ494)&gt;=6,"Hot Humid",IF(MONTH($CJ494)&gt;=3,"Hot Dry","Cold Winter")))))</f>
        <v/>
      </c>
      <c r="CL494">
        <f>IF($CE494="","",IFERROR(VLOOKUP($CE494,DECODE!$A$3:$C$8,2,FALSE),"?"))</f>
        <v/>
      </c>
      <c r="CM494">
        <f>IF($AN494="","",AN494)</f>
        <v/>
      </c>
      <c r="CN494">
        <f>IF($AO494="","",AO494)</f>
        <v/>
      </c>
      <c r="CO494">
        <f>IF($AP494="","",AP494)</f>
        <v/>
      </c>
      <c r="CP494">
        <f>IF($CM494="","",IF($CM494="Aloe Vera Gel","Aloe Vera Gel "&amp;$CO494&amp;"g",CN494&amp;" "&amp;$CO494&amp;"g"))</f>
        <v/>
      </c>
      <c r="CQ494">
        <f>IF($AT494="",0,1)</f>
        <v/>
      </c>
      <c r="CR494">
        <f>IF($CQ494=0,"",AW494)</f>
        <v/>
      </c>
      <c r="CS494">
        <f>IF($CQ494=0,"",AX494)</f>
        <v/>
      </c>
      <c r="CT494">
        <f>IF($CQ494=0,"",AY494)</f>
        <v/>
      </c>
      <c r="CU494">
        <f>IF($CR494="","",IF($CR494="Aloe Vera Gel","Aloe Vera Gel "&amp;$CT494&amp;"g",CS494&amp;" "&amp;$CT494&amp;"g"))</f>
        <v/>
      </c>
      <c r="CV494">
        <f>IF($CQ494=0,"",IF($CP494=$CU494,"Repeat Exact",IF($CT494&gt;$CO494,"Upsized",IF($CT494&lt;$CO494,"Downsized",IF($CM494&lt;&gt;$CR494,"Lateral","Same Size Diff Variant")))))</f>
        <v/>
      </c>
      <c r="CW494">
        <f>IF($CQ494=0,"",AZ494-AQ494)</f>
        <v/>
      </c>
      <c r="CX494">
        <f>IF($CQ494=0,0,IF(CS494=CN494,1,0))</f>
        <v/>
      </c>
      <c r="CY494">
        <f>IF($CQ494=0,0,IF(CR494=CM494,1,0))</f>
        <v/>
      </c>
      <c r="CZ494">
        <f>IF($A494="","",IF(AND(IF(DASHBOARD!$C$4="All",TRUE,$CM494=DASHBOARD!$C$4),IF(DASHBOARD!$C$6="All",TRUE,$CP494=DASHBOARD!$C$6),IF(DASHBOARD!$C$8="All",TRUE,$AF494&gt;=DASHBOARD!$C$8),IF(DASHBOARD!$C$10="All",TRUE,$AF494&lt;=DASHBOARD!$C$10),IF(DASHBOARD!$C$12="All",TRUE,$AH494=VALUE(DASHBOARD!$C$12)),IF(DASHBOARD!$C$14="All",TRUE,$AJ494=DASHBOARD!$C$14)),1,0))</f>
        <v/>
      </c>
    </row>
    <row r="495">
      <c r="A495" t="n">
        <v>227021</v>
      </c>
      <c r="B495" t="inlineStr">
        <is>
          <t>Face Malai</t>
        </is>
      </c>
      <c r="C495" t="inlineStr">
        <is>
          <t>Face Malai</t>
        </is>
      </c>
      <c r="H495" t="inlineStr">
        <is>
          <t>Clove Tea-Tree (Anti-Acne) Face Malai</t>
        </is>
      </c>
      <c r="I495" t="inlineStr">
        <is>
          <t>Turmeric Nutmeg (Pigmentation)  Face Malai - 30g</t>
        </is>
      </c>
      <c r="N495" t="inlineStr">
        <is>
          <t>FC-DM-AA-030</t>
        </is>
      </c>
      <c r="O495" t="inlineStr">
        <is>
          <t>FC-DM-PG-030</t>
        </is>
      </c>
      <c r="T495" t="inlineStr">
        <is>
          <t>Aug 2, 2024</t>
        </is>
      </c>
      <c r="U495" t="inlineStr">
        <is>
          <t>Jan 13, 2026</t>
        </is>
      </c>
      <c r="Z495" t="n">
        <v>529</v>
      </c>
      <c r="AE495" t="inlineStr">
        <is>
          <t>Baruipur</t>
        </is>
      </c>
      <c r="AF495" t="inlineStr">
        <is>
          <t>2024-08</t>
        </is>
      </c>
      <c r="AG495" t="n">
        <v>8</v>
      </c>
      <c r="AH495" t="n">
        <v>2</v>
      </c>
      <c r="AI495" t="n">
        <v>1</v>
      </c>
      <c r="AJ495">
        <f>IF($AE495="","",IFERROR(VLOOKUP(TRIM($AE495),DECODE!$H$3:$I$60,2,FALSE),"Rest of India"))</f>
        <v/>
      </c>
      <c r="AK495">
        <f>IF($N495="","",UPPER(TRIM(LEFT($N495&amp;",",FIND(",",$N495&amp;",")-1))))</f>
        <v/>
      </c>
      <c r="AL495">
        <f>IF($AK495="","",MID($AK495,4,FIND("~",SUBSTITUTE($AK495,"-","~",2))-4))</f>
        <v/>
      </c>
      <c r="AM495">
        <f>IF($AK495="","",MID($AK495,FIND("~",SUBSTITUTE($AK495,"-","~",2))+1,FIND("~",SUBSTITUTE($AK495,"-","~",3))-FIND("~",SUBSTITUTE($AK495,"-","~",2))-1))</f>
        <v/>
      </c>
      <c r="AN495">
        <f>IF($AL495="","",IFERROR(VLOOKUP($AL495,DECODE!$A$3:$C$8,3,FALSE),"?"))</f>
        <v/>
      </c>
      <c r="AO495">
        <f>IF($AM495="","",IFERROR(VLOOKUP($AL495&amp;"-"&amp;$AM495,DECODE!$E$3:$F$21,2,FALSE),"?"))</f>
        <v/>
      </c>
      <c r="AP495">
        <f>IF($AK495="","",IFERROR(VALUE(RIGHT($AK495,3)),""))</f>
        <v/>
      </c>
      <c r="AQ495">
        <f>IF($T495="","",IFERROR(IF(ISNUMBER($T495),$T495,DATEVALUE(TRIM($T495))),""))</f>
        <v/>
      </c>
      <c r="AR495">
        <f>IF($AQ495="","",IF(MONTH($AQ495)&gt;=12,"Cold Winter",IF(MONTH($AQ495)&gt;=10,"Post-Monsoon",IF(MONTH($AQ495)&gt;=6,"Hot Humid",IF(MONTH($AQ495)&gt;=3,"Hot Dry","Cold Winter")))))</f>
        <v/>
      </c>
      <c r="AS495">
        <f>IF($AL495="","",IFERROR(VLOOKUP($AL495,DECODE!$A$3:$C$8,2,FALSE),"?"))</f>
        <v/>
      </c>
      <c r="AT495">
        <f>IF($O495="","",UPPER(TRIM(LEFT($O495&amp;",",FIND(",",$O495&amp;",")-1))))</f>
        <v/>
      </c>
      <c r="AU495">
        <f>IF($AT495="","",MID($AT495,4,FIND("~",SUBSTITUTE($AT495,"-","~",2))-4))</f>
        <v/>
      </c>
      <c r="AV495">
        <f>IF($AT495="","",MID($AT495,FIND("~",SUBSTITUTE($AT495,"-","~",2))+1,FIND("~",SUBSTITUTE($AT495,"-","~",3))-FIND("~",SUBSTITUTE($AT495,"-","~",2))-1))</f>
        <v/>
      </c>
      <c r="AW495">
        <f>IF($AU495="","",IFERROR(VLOOKUP($AU495,DECODE!$A$3:$C$8,3,FALSE),"?"))</f>
        <v/>
      </c>
      <c r="AX495">
        <f>IF($AV495="","",IFERROR(VLOOKUP($AU495&amp;"-"&amp;$AV495,DECODE!$E$3:$F$21,2,FALSE),"?"))</f>
        <v/>
      </c>
      <c r="AY495">
        <f>IF($AT495="","",IFERROR(VALUE(RIGHT($AT495,3)),""))</f>
        <v/>
      </c>
      <c r="AZ495">
        <f>IF($U495="","",IFERROR(IF(ISNUMBER($U495),$U495,DATEVALUE(TRIM($U495))),""))</f>
        <v/>
      </c>
      <c r="BA495">
        <f>IF($AZ495="","",IF(MONTH($AZ495)&gt;=12,"Cold Winter",IF(MONTH($AZ495)&gt;=10,"Post-Monsoon",IF(MONTH($AZ495)&gt;=6,"Hot Humid",IF(MONTH($AZ495)&gt;=3,"Hot Dry","Cold Winter")))))</f>
        <v/>
      </c>
      <c r="BB495">
        <f>IF($AU495="","",IFERROR(VLOOKUP($AU495,DECODE!$A$3:$C$8,2,FALSE),"?"))</f>
        <v/>
      </c>
      <c r="BC495">
        <f>IF($P495="","",UPPER(TRIM(LEFT($P495&amp;",",FIND(",",$P495&amp;",")-1))))</f>
        <v/>
      </c>
      <c r="BD495">
        <f>IF($BC495="","",MID($BC495,4,FIND("~",SUBSTITUTE($BC495,"-","~",2))-4))</f>
        <v/>
      </c>
      <c r="BE495">
        <f>IF($BC495="","",MID($BC495,FIND("~",SUBSTITUTE($BC495,"-","~",2))+1,FIND("~",SUBSTITUTE($BC495,"-","~",3))-FIND("~",SUBSTITUTE($BC495,"-","~",2))-1))</f>
        <v/>
      </c>
      <c r="BF495">
        <f>IF($BD495="","",IFERROR(VLOOKUP($BD495,DECODE!$A$3:$C$8,3,FALSE),"?"))</f>
        <v/>
      </c>
      <c r="BG495">
        <f>IF($BE495="","",IFERROR(VLOOKUP($BD495&amp;"-"&amp;$BE495,DECODE!$E$3:$F$21,2,FALSE),"?"))</f>
        <v/>
      </c>
      <c r="BH495">
        <f>IF($BC495="","",IFERROR(VALUE(RIGHT($BC495,3)),""))</f>
        <v/>
      </c>
      <c r="BI495">
        <f>IF($V495="","",IFERROR(IF(ISNUMBER($V495),$V495,DATEVALUE(TRIM($V495))),""))</f>
        <v/>
      </c>
      <c r="BJ495">
        <f>IF($BI495="","",IF(MONTH($BI495)&gt;=12,"Cold Winter",IF(MONTH($BI495)&gt;=10,"Post-Monsoon",IF(MONTH($BI495)&gt;=6,"Hot Humid",IF(MONTH($BI495)&gt;=3,"Hot Dry","Cold Winter")))))</f>
        <v/>
      </c>
      <c r="BK495">
        <f>IF($BD495="","",IFERROR(VLOOKUP($BD495,DECODE!$A$3:$C$8,2,FALSE),"?"))</f>
        <v/>
      </c>
      <c r="BL495">
        <f>IF($Q495="","",UPPER(TRIM(LEFT($Q495&amp;",",FIND(",",$Q495&amp;",")-1))))</f>
        <v/>
      </c>
      <c r="BM495">
        <f>IF($BL495="","",MID($BL495,4,FIND("~",SUBSTITUTE($BL495,"-","~",2))-4))</f>
        <v/>
      </c>
      <c r="BN495">
        <f>IF($BL495="","",MID($BL495,FIND("~",SUBSTITUTE($BL495,"-","~",2))+1,FIND("~",SUBSTITUTE($BL495,"-","~",3))-FIND("~",SUBSTITUTE($BL495,"-","~",2))-1))</f>
        <v/>
      </c>
      <c r="BO495">
        <f>IF($BM495="","",IFERROR(VLOOKUP($BM495,DECODE!$A$3:$C$8,3,FALSE),"?"))</f>
        <v/>
      </c>
      <c r="BP495">
        <f>IF($BN495="","",IFERROR(VLOOKUP($BM495&amp;"-"&amp;$BN495,DECODE!$E$3:$F$21,2,FALSE),"?"))</f>
        <v/>
      </c>
      <c r="BQ495">
        <f>IF($BL495="","",IFERROR(VALUE(RIGHT($BL495,3)),""))</f>
        <v/>
      </c>
      <c r="BR495">
        <f>IF($W495="","",IFERROR(IF(ISNUMBER($W495),$W495,DATEVALUE(TRIM($W495))),""))</f>
        <v/>
      </c>
      <c r="BS495">
        <f>IF($BR495="","",IF(MONTH($BR495)&gt;=12,"Cold Winter",IF(MONTH($BR495)&gt;=10,"Post-Monsoon",IF(MONTH($BR495)&gt;=6,"Hot Humid",IF(MONTH($BR495)&gt;=3,"Hot Dry","Cold Winter")))))</f>
        <v/>
      </c>
      <c r="BT495">
        <f>IF($BM495="","",IFERROR(VLOOKUP($BM495,DECODE!$A$3:$C$8,2,FALSE),"?"))</f>
        <v/>
      </c>
      <c r="BU495">
        <f>IF($R495="","",UPPER(TRIM(LEFT($R495&amp;",",FIND(",",$R495&amp;",")-1))))</f>
        <v/>
      </c>
      <c r="BV495">
        <f>IF($BU495="","",MID($BU495,4,FIND("~",SUBSTITUTE($BU495,"-","~",2))-4))</f>
        <v/>
      </c>
      <c r="BW495">
        <f>IF($BU495="","",MID($BU495,FIND("~",SUBSTITUTE($BU495,"-","~",2))+1,FIND("~",SUBSTITUTE($BU495,"-","~",3))-FIND("~",SUBSTITUTE($BU495,"-","~",2))-1))</f>
        <v/>
      </c>
      <c r="BX495">
        <f>IF($BV495="","",IFERROR(VLOOKUP($BV495,DECODE!$A$3:$C$8,3,FALSE),"?"))</f>
        <v/>
      </c>
      <c r="BY495">
        <f>IF($BW495="","",IFERROR(VLOOKUP($BV495&amp;"-"&amp;$BW495,DECODE!$E$3:$F$21,2,FALSE),"?"))</f>
        <v/>
      </c>
      <c r="BZ495">
        <f>IF($BU495="","",IFERROR(VALUE(RIGHT($BU495,3)),""))</f>
        <v/>
      </c>
      <c r="CA495">
        <f>IF($X495="","",IFERROR(IF(ISNUMBER($X495),$X495,DATEVALUE(TRIM($X495))),""))</f>
        <v/>
      </c>
      <c r="CB495">
        <f>IF($CA495="","",IF(MONTH($CA495)&gt;=12,"Cold Winter",IF(MONTH($CA495)&gt;=10,"Post-Monsoon",IF(MONTH($CA495)&gt;=6,"Hot Humid",IF(MONTH($CA495)&gt;=3,"Hot Dry","Cold Winter")))))</f>
        <v/>
      </c>
      <c r="CC495">
        <f>IF($BV495="","",IFERROR(VLOOKUP($BV495,DECODE!$A$3:$C$8,2,FALSE),"?"))</f>
        <v/>
      </c>
      <c r="CD495">
        <f>IF($S495="","",UPPER(TRIM(LEFT($S495&amp;",",FIND(",",$S495&amp;",")-1))))</f>
        <v/>
      </c>
      <c r="CE495">
        <f>IF($CD495="","",MID($CD495,4,FIND("~",SUBSTITUTE($CD495,"-","~",2))-4))</f>
        <v/>
      </c>
      <c r="CF495">
        <f>IF($CD495="","",MID($CD495,FIND("~",SUBSTITUTE($CD495,"-","~",2))+1,FIND("~",SUBSTITUTE($CD495,"-","~",3))-FIND("~",SUBSTITUTE($CD495,"-","~",2))-1))</f>
        <v/>
      </c>
      <c r="CG495">
        <f>IF($CE495="","",IFERROR(VLOOKUP($CE495,DECODE!$A$3:$C$8,3,FALSE),"?"))</f>
        <v/>
      </c>
      <c r="CH495">
        <f>IF($CF495="","",IFERROR(VLOOKUP($CE495&amp;"-"&amp;$CF495,DECODE!$E$3:$F$21,2,FALSE),"?"))</f>
        <v/>
      </c>
      <c r="CI495">
        <f>IF($CD495="","",IFERROR(VALUE(RIGHT($CD495,3)),""))</f>
        <v/>
      </c>
      <c r="CJ495">
        <f>IF($Y495="","",IFERROR(IF(ISNUMBER($Y495),$Y495,DATEVALUE(TRIM($Y495))),""))</f>
        <v/>
      </c>
      <c r="CK495">
        <f>IF($CJ495="","",IF(MONTH($CJ495)&gt;=12,"Cold Winter",IF(MONTH($CJ495)&gt;=10,"Post-Monsoon",IF(MONTH($CJ495)&gt;=6,"Hot Humid",IF(MONTH($CJ495)&gt;=3,"Hot Dry","Cold Winter")))))</f>
        <v/>
      </c>
      <c r="CL495">
        <f>IF($CE495="","",IFERROR(VLOOKUP($CE495,DECODE!$A$3:$C$8,2,FALSE),"?"))</f>
        <v/>
      </c>
      <c r="CM495">
        <f>IF($AN495="","",AN495)</f>
        <v/>
      </c>
      <c r="CN495">
        <f>IF($AO495="","",AO495)</f>
        <v/>
      </c>
      <c r="CO495">
        <f>IF($AP495="","",AP495)</f>
        <v/>
      </c>
      <c r="CP495">
        <f>IF($CM495="","",IF($CM495="Aloe Vera Gel","Aloe Vera Gel "&amp;$CO495&amp;"g",CN495&amp;" "&amp;$CO495&amp;"g"))</f>
        <v/>
      </c>
      <c r="CQ495">
        <f>IF($AT495="",0,1)</f>
        <v/>
      </c>
      <c r="CR495">
        <f>IF($CQ495=0,"",AW495)</f>
        <v/>
      </c>
      <c r="CS495">
        <f>IF($CQ495=0,"",AX495)</f>
        <v/>
      </c>
      <c r="CT495">
        <f>IF($CQ495=0,"",AY495)</f>
        <v/>
      </c>
      <c r="CU495">
        <f>IF($CR495="","",IF($CR495="Aloe Vera Gel","Aloe Vera Gel "&amp;$CT495&amp;"g",CS495&amp;" "&amp;$CT495&amp;"g"))</f>
        <v/>
      </c>
      <c r="CV495">
        <f>IF($CQ495=0,"",IF($CP495=$CU495,"Repeat Exact",IF($CT495&gt;$CO495,"Upsized",IF($CT495&lt;$CO495,"Downsized",IF($CM495&lt;&gt;$CR495,"Lateral","Same Size Diff Variant")))))</f>
        <v/>
      </c>
      <c r="CW495">
        <f>IF($CQ495=0,"",AZ495-AQ495)</f>
        <v/>
      </c>
      <c r="CX495">
        <f>IF($CQ495=0,0,IF(CS495=CN495,1,0))</f>
        <v/>
      </c>
      <c r="CY495">
        <f>IF($CQ495=0,0,IF(CR495=CM495,1,0))</f>
        <v/>
      </c>
      <c r="CZ495">
        <f>IF($A495="","",IF(AND(IF(DASHBOARD!$C$4="All",TRUE,$CM495=DASHBOARD!$C$4),IF(DASHBOARD!$C$6="All",TRUE,$CP495=DASHBOARD!$C$6),IF(DASHBOARD!$C$8="All",TRUE,$AF495&gt;=DASHBOARD!$C$8),IF(DASHBOARD!$C$10="All",TRUE,$AF495&lt;=DASHBOARD!$C$10),IF(DASHBOARD!$C$12="All",TRUE,$AH495=VALUE(DASHBOARD!$C$12)),IF(DASHBOARD!$C$14="All",TRUE,$AJ495=DASHBOARD!$C$14)),1,0))</f>
        <v/>
      </c>
    </row>
    <row r="496">
      <c r="A496" t="n">
        <v>227117</v>
      </c>
      <c r="B496" t="inlineStr">
        <is>
          <t>Aloe Vera Gel</t>
        </is>
      </c>
      <c r="C496" t="inlineStr">
        <is>
          <t>Aloe Vera Gel</t>
        </is>
      </c>
      <c r="H496" t="inlineStr">
        <is>
          <t>Aloe Vera Gel - 80 gms</t>
        </is>
      </c>
      <c r="I496" t="inlineStr">
        <is>
          <t>Aloe Vera Gel - 80 gms</t>
        </is>
      </c>
      <c r="N496" t="inlineStr">
        <is>
          <t>FC-HG-PA-080</t>
        </is>
      </c>
      <c r="O496" t="inlineStr">
        <is>
          <t>FC-HG-PA-080</t>
        </is>
      </c>
      <c r="T496" t="inlineStr">
        <is>
          <t>Nov 9, 2025</t>
        </is>
      </c>
      <c r="U496" t="inlineStr">
        <is>
          <t>Nov 20, 2025</t>
        </is>
      </c>
      <c r="Z496" t="n">
        <v>11</v>
      </c>
      <c r="AE496" t="inlineStr">
        <is>
          <t>New Delhi</t>
        </is>
      </c>
      <c r="AF496" t="inlineStr">
        <is>
          <t>2025-11</t>
        </is>
      </c>
      <c r="AG496" t="n">
        <v>11</v>
      </c>
      <c r="AH496" t="n">
        <v>2</v>
      </c>
      <c r="AI496" t="n">
        <v>1</v>
      </c>
      <c r="AJ496">
        <f>IF($AE496="","",IFERROR(VLOOKUP(TRIM($AE496),DECODE!$H$3:$I$60,2,FALSE),"Rest of India"))</f>
        <v/>
      </c>
      <c r="AK496">
        <f>IF($N496="","",UPPER(TRIM(LEFT($N496&amp;",",FIND(",",$N496&amp;",")-1))))</f>
        <v/>
      </c>
      <c r="AL496">
        <f>IF($AK496="","",MID($AK496,4,FIND("~",SUBSTITUTE($AK496,"-","~",2))-4))</f>
        <v/>
      </c>
      <c r="AM496">
        <f>IF($AK496="","",MID($AK496,FIND("~",SUBSTITUTE($AK496,"-","~",2))+1,FIND("~",SUBSTITUTE($AK496,"-","~",3))-FIND("~",SUBSTITUTE($AK496,"-","~",2))-1))</f>
        <v/>
      </c>
      <c r="AN496">
        <f>IF($AL496="","",IFERROR(VLOOKUP($AL496,DECODE!$A$3:$C$8,3,FALSE),"?"))</f>
        <v/>
      </c>
      <c r="AO496">
        <f>IF($AM496="","",IFERROR(VLOOKUP($AL496&amp;"-"&amp;$AM496,DECODE!$E$3:$F$21,2,FALSE),"?"))</f>
        <v/>
      </c>
      <c r="AP496">
        <f>IF($AK496="","",IFERROR(VALUE(RIGHT($AK496,3)),""))</f>
        <v/>
      </c>
      <c r="AQ496">
        <f>IF($T496="","",IFERROR(IF(ISNUMBER($T496),$T496,DATEVALUE(TRIM($T496))),""))</f>
        <v/>
      </c>
      <c r="AR496">
        <f>IF($AQ496="","",IF(MONTH($AQ496)&gt;=12,"Cold Winter",IF(MONTH($AQ496)&gt;=10,"Post-Monsoon",IF(MONTH($AQ496)&gt;=6,"Hot Humid",IF(MONTH($AQ496)&gt;=3,"Hot Dry","Cold Winter")))))</f>
        <v/>
      </c>
      <c r="AS496">
        <f>IF($AL496="","",IFERROR(VLOOKUP($AL496,DECODE!$A$3:$C$8,2,FALSE),"?"))</f>
        <v/>
      </c>
      <c r="AT496">
        <f>IF($O496="","",UPPER(TRIM(LEFT($O496&amp;",",FIND(",",$O496&amp;",")-1))))</f>
        <v/>
      </c>
      <c r="AU496">
        <f>IF($AT496="","",MID($AT496,4,FIND("~",SUBSTITUTE($AT496,"-","~",2))-4))</f>
        <v/>
      </c>
      <c r="AV496">
        <f>IF($AT496="","",MID($AT496,FIND("~",SUBSTITUTE($AT496,"-","~",2))+1,FIND("~",SUBSTITUTE($AT496,"-","~",3))-FIND("~",SUBSTITUTE($AT496,"-","~",2))-1))</f>
        <v/>
      </c>
      <c r="AW496">
        <f>IF($AU496="","",IFERROR(VLOOKUP($AU496,DECODE!$A$3:$C$8,3,FALSE),"?"))</f>
        <v/>
      </c>
      <c r="AX496">
        <f>IF($AV496="","",IFERROR(VLOOKUP($AU496&amp;"-"&amp;$AV496,DECODE!$E$3:$F$21,2,FALSE),"?"))</f>
        <v/>
      </c>
      <c r="AY496">
        <f>IF($AT496="","",IFERROR(VALUE(RIGHT($AT496,3)),""))</f>
        <v/>
      </c>
      <c r="AZ496">
        <f>IF($U496="","",IFERROR(IF(ISNUMBER($U496),$U496,DATEVALUE(TRIM($U496))),""))</f>
        <v/>
      </c>
      <c r="BA496">
        <f>IF($AZ496="","",IF(MONTH($AZ496)&gt;=12,"Cold Winter",IF(MONTH($AZ496)&gt;=10,"Post-Monsoon",IF(MONTH($AZ496)&gt;=6,"Hot Humid",IF(MONTH($AZ496)&gt;=3,"Hot Dry","Cold Winter")))))</f>
        <v/>
      </c>
      <c r="BB496">
        <f>IF($AU496="","",IFERROR(VLOOKUP($AU496,DECODE!$A$3:$C$8,2,FALSE),"?"))</f>
        <v/>
      </c>
      <c r="BC496">
        <f>IF($P496="","",UPPER(TRIM(LEFT($P496&amp;",",FIND(",",$P496&amp;",")-1))))</f>
        <v/>
      </c>
      <c r="BD496">
        <f>IF($BC496="","",MID($BC496,4,FIND("~",SUBSTITUTE($BC496,"-","~",2))-4))</f>
        <v/>
      </c>
      <c r="BE496">
        <f>IF($BC496="","",MID($BC496,FIND("~",SUBSTITUTE($BC496,"-","~",2))+1,FIND("~",SUBSTITUTE($BC496,"-","~",3))-FIND("~",SUBSTITUTE($BC496,"-","~",2))-1))</f>
        <v/>
      </c>
      <c r="BF496">
        <f>IF($BD496="","",IFERROR(VLOOKUP($BD496,DECODE!$A$3:$C$8,3,FALSE),"?"))</f>
        <v/>
      </c>
      <c r="BG496">
        <f>IF($BE496="","",IFERROR(VLOOKUP($BD496&amp;"-"&amp;$BE496,DECODE!$E$3:$F$21,2,FALSE),"?"))</f>
        <v/>
      </c>
      <c r="BH496">
        <f>IF($BC496="","",IFERROR(VALUE(RIGHT($BC496,3)),""))</f>
        <v/>
      </c>
      <c r="BI496">
        <f>IF($V496="","",IFERROR(IF(ISNUMBER($V496),$V496,DATEVALUE(TRIM($V496))),""))</f>
        <v/>
      </c>
      <c r="BJ496">
        <f>IF($BI496="","",IF(MONTH($BI496)&gt;=12,"Cold Winter",IF(MONTH($BI496)&gt;=10,"Post-Monsoon",IF(MONTH($BI496)&gt;=6,"Hot Humid",IF(MONTH($BI496)&gt;=3,"Hot Dry","Cold Winter")))))</f>
        <v/>
      </c>
      <c r="BK496">
        <f>IF($BD496="","",IFERROR(VLOOKUP($BD496,DECODE!$A$3:$C$8,2,FALSE),"?"))</f>
        <v/>
      </c>
      <c r="BL496">
        <f>IF($Q496="","",UPPER(TRIM(LEFT($Q496&amp;",",FIND(",",$Q496&amp;",")-1))))</f>
        <v/>
      </c>
      <c r="BM496">
        <f>IF($BL496="","",MID($BL496,4,FIND("~",SUBSTITUTE($BL496,"-","~",2))-4))</f>
        <v/>
      </c>
      <c r="BN496">
        <f>IF($BL496="","",MID($BL496,FIND("~",SUBSTITUTE($BL496,"-","~",2))+1,FIND("~",SUBSTITUTE($BL496,"-","~",3))-FIND("~",SUBSTITUTE($BL496,"-","~",2))-1))</f>
        <v/>
      </c>
      <c r="BO496">
        <f>IF($BM496="","",IFERROR(VLOOKUP($BM496,DECODE!$A$3:$C$8,3,FALSE),"?"))</f>
        <v/>
      </c>
      <c r="BP496">
        <f>IF($BN496="","",IFERROR(VLOOKUP($BM496&amp;"-"&amp;$BN496,DECODE!$E$3:$F$21,2,FALSE),"?"))</f>
        <v/>
      </c>
      <c r="BQ496">
        <f>IF($BL496="","",IFERROR(VALUE(RIGHT($BL496,3)),""))</f>
        <v/>
      </c>
      <c r="BR496">
        <f>IF($W496="","",IFERROR(IF(ISNUMBER($W496),$W496,DATEVALUE(TRIM($W496))),""))</f>
        <v/>
      </c>
      <c r="BS496">
        <f>IF($BR496="","",IF(MONTH($BR496)&gt;=12,"Cold Winter",IF(MONTH($BR496)&gt;=10,"Post-Monsoon",IF(MONTH($BR496)&gt;=6,"Hot Humid",IF(MONTH($BR496)&gt;=3,"Hot Dry","Cold Winter")))))</f>
        <v/>
      </c>
      <c r="BT496">
        <f>IF($BM496="","",IFERROR(VLOOKUP($BM496,DECODE!$A$3:$C$8,2,FALSE),"?"))</f>
        <v/>
      </c>
      <c r="BU496">
        <f>IF($R496="","",UPPER(TRIM(LEFT($R496&amp;",",FIND(",",$R496&amp;",")-1))))</f>
        <v/>
      </c>
      <c r="BV496">
        <f>IF($BU496="","",MID($BU496,4,FIND("~",SUBSTITUTE($BU496,"-","~",2))-4))</f>
        <v/>
      </c>
      <c r="BW496">
        <f>IF($BU496="","",MID($BU496,FIND("~",SUBSTITUTE($BU496,"-","~",2))+1,FIND("~",SUBSTITUTE($BU496,"-","~",3))-FIND("~",SUBSTITUTE($BU496,"-","~",2))-1))</f>
        <v/>
      </c>
      <c r="BX496">
        <f>IF($BV496="","",IFERROR(VLOOKUP($BV496,DECODE!$A$3:$C$8,3,FALSE),"?"))</f>
        <v/>
      </c>
      <c r="BY496">
        <f>IF($BW496="","",IFERROR(VLOOKUP($BV496&amp;"-"&amp;$BW496,DECODE!$E$3:$F$21,2,FALSE),"?"))</f>
        <v/>
      </c>
      <c r="BZ496">
        <f>IF($BU496="","",IFERROR(VALUE(RIGHT($BU496,3)),""))</f>
        <v/>
      </c>
      <c r="CA496">
        <f>IF($X496="","",IFERROR(IF(ISNUMBER($X496),$X496,DATEVALUE(TRIM($X496))),""))</f>
        <v/>
      </c>
      <c r="CB496">
        <f>IF($CA496="","",IF(MONTH($CA496)&gt;=12,"Cold Winter",IF(MONTH($CA496)&gt;=10,"Post-Monsoon",IF(MONTH($CA496)&gt;=6,"Hot Humid",IF(MONTH($CA496)&gt;=3,"Hot Dry","Cold Winter")))))</f>
        <v/>
      </c>
      <c r="CC496">
        <f>IF($BV496="","",IFERROR(VLOOKUP($BV496,DECODE!$A$3:$C$8,2,FALSE),"?"))</f>
        <v/>
      </c>
      <c r="CD496">
        <f>IF($S496="","",UPPER(TRIM(LEFT($S496&amp;",",FIND(",",$S496&amp;",")-1))))</f>
        <v/>
      </c>
      <c r="CE496">
        <f>IF($CD496="","",MID($CD496,4,FIND("~",SUBSTITUTE($CD496,"-","~",2))-4))</f>
        <v/>
      </c>
      <c r="CF496">
        <f>IF($CD496="","",MID($CD496,FIND("~",SUBSTITUTE($CD496,"-","~",2))+1,FIND("~",SUBSTITUTE($CD496,"-","~",3))-FIND("~",SUBSTITUTE($CD496,"-","~",2))-1))</f>
        <v/>
      </c>
      <c r="CG496">
        <f>IF($CE496="","",IFERROR(VLOOKUP($CE496,DECODE!$A$3:$C$8,3,FALSE),"?"))</f>
        <v/>
      </c>
      <c r="CH496">
        <f>IF($CF496="","",IFERROR(VLOOKUP($CE496&amp;"-"&amp;$CF496,DECODE!$E$3:$F$21,2,FALSE),"?"))</f>
        <v/>
      </c>
      <c r="CI496">
        <f>IF($CD496="","",IFERROR(VALUE(RIGHT($CD496,3)),""))</f>
        <v/>
      </c>
      <c r="CJ496">
        <f>IF($Y496="","",IFERROR(IF(ISNUMBER($Y496),$Y496,DATEVALUE(TRIM($Y496))),""))</f>
        <v/>
      </c>
      <c r="CK496">
        <f>IF($CJ496="","",IF(MONTH($CJ496)&gt;=12,"Cold Winter",IF(MONTH($CJ496)&gt;=10,"Post-Monsoon",IF(MONTH($CJ496)&gt;=6,"Hot Humid",IF(MONTH($CJ496)&gt;=3,"Hot Dry","Cold Winter")))))</f>
        <v/>
      </c>
      <c r="CL496">
        <f>IF($CE496="","",IFERROR(VLOOKUP($CE496,DECODE!$A$3:$C$8,2,FALSE),"?"))</f>
        <v/>
      </c>
      <c r="CM496">
        <f>IF($AN496="","",AN496)</f>
        <v/>
      </c>
      <c r="CN496">
        <f>IF($AO496="","",AO496)</f>
        <v/>
      </c>
      <c r="CO496">
        <f>IF($AP496="","",AP496)</f>
        <v/>
      </c>
      <c r="CP496">
        <f>IF($CM496="","",IF($CM496="Aloe Vera Gel","Aloe Vera Gel "&amp;$CO496&amp;"g",CN496&amp;" "&amp;$CO496&amp;"g"))</f>
        <v/>
      </c>
      <c r="CQ496">
        <f>IF($AT496="",0,1)</f>
        <v/>
      </c>
      <c r="CR496">
        <f>IF($CQ496=0,"",AW496)</f>
        <v/>
      </c>
      <c r="CS496">
        <f>IF($CQ496=0,"",AX496)</f>
        <v/>
      </c>
      <c r="CT496">
        <f>IF($CQ496=0,"",AY496)</f>
        <v/>
      </c>
      <c r="CU496">
        <f>IF($CR496="","",IF($CR496="Aloe Vera Gel","Aloe Vera Gel "&amp;$CT496&amp;"g",CS496&amp;" "&amp;$CT496&amp;"g"))</f>
        <v/>
      </c>
      <c r="CV496">
        <f>IF($CQ496=0,"",IF($CP496=$CU496,"Repeat Exact",IF($CT496&gt;$CO496,"Upsized",IF($CT496&lt;$CO496,"Downsized",IF($CM496&lt;&gt;$CR496,"Lateral","Same Size Diff Variant")))))</f>
        <v/>
      </c>
      <c r="CW496">
        <f>IF($CQ496=0,"",AZ496-AQ496)</f>
        <v/>
      </c>
      <c r="CX496">
        <f>IF($CQ496=0,0,IF(CS496=CN496,1,0))</f>
        <v/>
      </c>
      <c r="CY496">
        <f>IF($CQ496=0,0,IF(CR496=CM496,1,0))</f>
        <v/>
      </c>
      <c r="CZ496">
        <f>IF($A496="","",IF(AND(IF(DASHBOARD!$C$4="All",TRUE,$CM496=DASHBOARD!$C$4),IF(DASHBOARD!$C$6="All",TRUE,$CP496=DASHBOARD!$C$6),IF(DASHBOARD!$C$8="All",TRUE,$AF496&gt;=DASHBOARD!$C$8),IF(DASHBOARD!$C$10="All",TRUE,$AF496&lt;=DASHBOARD!$C$10),IF(DASHBOARD!$C$12="All",TRUE,$AH496=VALUE(DASHBOARD!$C$12)),IF(DASHBOARD!$C$14="All",TRUE,$AJ496=DASHBOARD!$C$14)),1,0))</f>
        <v/>
      </c>
    </row>
    <row r="497">
      <c r="A497" t="n">
        <v>227346</v>
      </c>
      <c r="B497" t="inlineStr">
        <is>
          <t>Face Malai</t>
        </is>
      </c>
      <c r="H497" t="inlineStr">
        <is>
          <t>Flax Carrot (Hot Humid) 35+ Face Malai - 30g</t>
        </is>
      </c>
      <c r="N497" t="inlineStr">
        <is>
          <t>FC-HHDM-FC-030</t>
        </is>
      </c>
      <c r="T497" t="inlineStr">
        <is>
          <t>Aug 31, 2025</t>
        </is>
      </c>
      <c r="AE497" t="inlineStr">
        <is>
          <t>Mumbai</t>
        </is>
      </c>
      <c r="AF497" t="inlineStr">
        <is>
          <t>2025-08</t>
        </is>
      </c>
      <c r="AG497" t="n">
        <v>8</v>
      </c>
      <c r="AH497" t="n">
        <v>1</v>
      </c>
      <c r="AI497" t="n">
        <v>0</v>
      </c>
      <c r="AJ497">
        <f>IF($AE497="","",IFERROR(VLOOKUP(TRIM($AE497),DECODE!$H$3:$I$60,2,FALSE),"Rest of India"))</f>
        <v/>
      </c>
      <c r="AK497">
        <f>IF($N497="","",UPPER(TRIM(LEFT($N497&amp;",",FIND(",",$N497&amp;",")-1))))</f>
        <v/>
      </c>
      <c r="AL497">
        <f>IF($AK497="","",MID($AK497,4,FIND("~",SUBSTITUTE($AK497,"-","~",2))-4))</f>
        <v/>
      </c>
      <c r="AM497">
        <f>IF($AK497="","",MID($AK497,FIND("~",SUBSTITUTE($AK497,"-","~",2))+1,FIND("~",SUBSTITUTE($AK497,"-","~",3))-FIND("~",SUBSTITUTE($AK497,"-","~",2))-1))</f>
        <v/>
      </c>
      <c r="AN497">
        <f>IF($AL497="","",IFERROR(VLOOKUP($AL497,DECODE!$A$3:$C$8,3,FALSE),"?"))</f>
        <v/>
      </c>
      <c r="AO497">
        <f>IF($AM497="","",IFERROR(VLOOKUP($AL497&amp;"-"&amp;$AM497,DECODE!$E$3:$F$21,2,FALSE),"?"))</f>
        <v/>
      </c>
      <c r="AP497">
        <f>IF($AK497="","",IFERROR(VALUE(RIGHT($AK497,3)),""))</f>
        <v/>
      </c>
      <c r="AQ497">
        <f>IF($T497="","",IFERROR(IF(ISNUMBER($T497),$T497,DATEVALUE(TRIM($T497))),""))</f>
        <v/>
      </c>
      <c r="AR497">
        <f>IF($AQ497="","",IF(MONTH($AQ497)&gt;=12,"Cold Winter",IF(MONTH($AQ497)&gt;=10,"Post-Monsoon",IF(MONTH($AQ497)&gt;=6,"Hot Humid",IF(MONTH($AQ497)&gt;=3,"Hot Dry","Cold Winter")))))</f>
        <v/>
      </c>
      <c r="AS497">
        <f>IF($AL497="","",IFERROR(VLOOKUP($AL497,DECODE!$A$3:$C$8,2,FALSE),"?"))</f>
        <v/>
      </c>
      <c r="AT497">
        <f>IF($O497="","",UPPER(TRIM(LEFT($O497&amp;",",FIND(",",$O497&amp;",")-1))))</f>
        <v/>
      </c>
      <c r="AU497">
        <f>IF($AT497="","",MID($AT497,4,FIND("~",SUBSTITUTE($AT497,"-","~",2))-4))</f>
        <v/>
      </c>
      <c r="AV497">
        <f>IF($AT497="","",MID($AT497,FIND("~",SUBSTITUTE($AT497,"-","~",2))+1,FIND("~",SUBSTITUTE($AT497,"-","~",3))-FIND("~",SUBSTITUTE($AT497,"-","~",2))-1))</f>
        <v/>
      </c>
      <c r="AW497">
        <f>IF($AU497="","",IFERROR(VLOOKUP($AU497,DECODE!$A$3:$C$8,3,FALSE),"?"))</f>
        <v/>
      </c>
      <c r="AX497">
        <f>IF($AV497="","",IFERROR(VLOOKUP($AU497&amp;"-"&amp;$AV497,DECODE!$E$3:$F$21,2,FALSE),"?"))</f>
        <v/>
      </c>
      <c r="AY497">
        <f>IF($AT497="","",IFERROR(VALUE(RIGHT($AT497,3)),""))</f>
        <v/>
      </c>
      <c r="AZ497">
        <f>IF($U497="","",IFERROR(IF(ISNUMBER($U497),$U497,DATEVALUE(TRIM($U497))),""))</f>
        <v/>
      </c>
      <c r="BA497">
        <f>IF($AZ497="","",IF(MONTH($AZ497)&gt;=12,"Cold Winter",IF(MONTH($AZ497)&gt;=10,"Post-Monsoon",IF(MONTH($AZ497)&gt;=6,"Hot Humid",IF(MONTH($AZ497)&gt;=3,"Hot Dry","Cold Winter")))))</f>
        <v/>
      </c>
      <c r="BB497">
        <f>IF($AU497="","",IFERROR(VLOOKUP($AU497,DECODE!$A$3:$C$8,2,FALSE),"?"))</f>
        <v/>
      </c>
      <c r="BC497">
        <f>IF($P497="","",UPPER(TRIM(LEFT($P497&amp;",",FIND(",",$P497&amp;",")-1))))</f>
        <v/>
      </c>
      <c r="BD497">
        <f>IF($BC497="","",MID($BC497,4,FIND("~",SUBSTITUTE($BC497,"-","~",2))-4))</f>
        <v/>
      </c>
      <c r="BE497">
        <f>IF($BC497="","",MID($BC497,FIND("~",SUBSTITUTE($BC497,"-","~",2))+1,FIND("~",SUBSTITUTE($BC497,"-","~",3))-FIND("~",SUBSTITUTE($BC497,"-","~",2))-1))</f>
        <v/>
      </c>
      <c r="BF497">
        <f>IF($BD497="","",IFERROR(VLOOKUP($BD497,DECODE!$A$3:$C$8,3,FALSE),"?"))</f>
        <v/>
      </c>
      <c r="BG497">
        <f>IF($BE497="","",IFERROR(VLOOKUP($BD497&amp;"-"&amp;$BE497,DECODE!$E$3:$F$21,2,FALSE),"?"))</f>
        <v/>
      </c>
      <c r="BH497">
        <f>IF($BC497="","",IFERROR(VALUE(RIGHT($BC497,3)),""))</f>
        <v/>
      </c>
      <c r="BI497">
        <f>IF($V497="","",IFERROR(IF(ISNUMBER($V497),$V497,DATEVALUE(TRIM($V497))),""))</f>
        <v/>
      </c>
      <c r="BJ497">
        <f>IF($BI497="","",IF(MONTH($BI497)&gt;=12,"Cold Winter",IF(MONTH($BI497)&gt;=10,"Post-Monsoon",IF(MONTH($BI497)&gt;=6,"Hot Humid",IF(MONTH($BI497)&gt;=3,"Hot Dry","Cold Winter")))))</f>
        <v/>
      </c>
      <c r="BK497">
        <f>IF($BD497="","",IFERROR(VLOOKUP($BD497,DECODE!$A$3:$C$8,2,FALSE),"?"))</f>
        <v/>
      </c>
      <c r="BL497">
        <f>IF($Q497="","",UPPER(TRIM(LEFT($Q497&amp;",",FIND(",",$Q497&amp;",")-1))))</f>
        <v/>
      </c>
      <c r="BM497">
        <f>IF($BL497="","",MID($BL497,4,FIND("~",SUBSTITUTE($BL497,"-","~",2))-4))</f>
        <v/>
      </c>
      <c r="BN497">
        <f>IF($BL497="","",MID($BL497,FIND("~",SUBSTITUTE($BL497,"-","~",2))+1,FIND("~",SUBSTITUTE($BL497,"-","~",3))-FIND("~",SUBSTITUTE($BL497,"-","~",2))-1))</f>
        <v/>
      </c>
      <c r="BO497">
        <f>IF($BM497="","",IFERROR(VLOOKUP($BM497,DECODE!$A$3:$C$8,3,FALSE),"?"))</f>
        <v/>
      </c>
      <c r="BP497">
        <f>IF($BN497="","",IFERROR(VLOOKUP($BM497&amp;"-"&amp;$BN497,DECODE!$E$3:$F$21,2,FALSE),"?"))</f>
        <v/>
      </c>
      <c r="BQ497">
        <f>IF($BL497="","",IFERROR(VALUE(RIGHT($BL497,3)),""))</f>
        <v/>
      </c>
      <c r="BR497">
        <f>IF($W497="","",IFERROR(IF(ISNUMBER($W497),$W497,DATEVALUE(TRIM($W497))),""))</f>
        <v/>
      </c>
      <c r="BS497">
        <f>IF($BR497="","",IF(MONTH($BR497)&gt;=12,"Cold Winter",IF(MONTH($BR497)&gt;=10,"Post-Monsoon",IF(MONTH($BR497)&gt;=6,"Hot Humid",IF(MONTH($BR497)&gt;=3,"Hot Dry","Cold Winter")))))</f>
        <v/>
      </c>
      <c r="BT497">
        <f>IF($BM497="","",IFERROR(VLOOKUP($BM497,DECODE!$A$3:$C$8,2,FALSE),"?"))</f>
        <v/>
      </c>
      <c r="BU497">
        <f>IF($R497="","",UPPER(TRIM(LEFT($R497&amp;",",FIND(",",$R497&amp;",")-1))))</f>
        <v/>
      </c>
      <c r="BV497">
        <f>IF($BU497="","",MID($BU497,4,FIND("~",SUBSTITUTE($BU497,"-","~",2))-4))</f>
        <v/>
      </c>
      <c r="BW497">
        <f>IF($BU497="","",MID($BU497,FIND("~",SUBSTITUTE($BU497,"-","~",2))+1,FIND("~",SUBSTITUTE($BU497,"-","~",3))-FIND("~",SUBSTITUTE($BU497,"-","~",2))-1))</f>
        <v/>
      </c>
      <c r="BX497">
        <f>IF($BV497="","",IFERROR(VLOOKUP($BV497,DECODE!$A$3:$C$8,3,FALSE),"?"))</f>
        <v/>
      </c>
      <c r="BY497">
        <f>IF($BW497="","",IFERROR(VLOOKUP($BV497&amp;"-"&amp;$BW497,DECODE!$E$3:$F$21,2,FALSE),"?"))</f>
        <v/>
      </c>
      <c r="BZ497">
        <f>IF($BU497="","",IFERROR(VALUE(RIGHT($BU497,3)),""))</f>
        <v/>
      </c>
      <c r="CA497">
        <f>IF($X497="","",IFERROR(IF(ISNUMBER($X497),$X497,DATEVALUE(TRIM($X497))),""))</f>
        <v/>
      </c>
      <c r="CB497">
        <f>IF($CA497="","",IF(MONTH($CA497)&gt;=12,"Cold Winter",IF(MONTH($CA497)&gt;=10,"Post-Monsoon",IF(MONTH($CA497)&gt;=6,"Hot Humid",IF(MONTH($CA497)&gt;=3,"Hot Dry","Cold Winter")))))</f>
        <v/>
      </c>
      <c r="CC497">
        <f>IF($BV497="","",IFERROR(VLOOKUP($BV497,DECODE!$A$3:$C$8,2,FALSE),"?"))</f>
        <v/>
      </c>
      <c r="CD497">
        <f>IF($S497="","",UPPER(TRIM(LEFT($S497&amp;",",FIND(",",$S497&amp;",")-1))))</f>
        <v/>
      </c>
      <c r="CE497">
        <f>IF($CD497="","",MID($CD497,4,FIND("~",SUBSTITUTE($CD497,"-","~",2))-4))</f>
        <v/>
      </c>
      <c r="CF497">
        <f>IF($CD497="","",MID($CD497,FIND("~",SUBSTITUTE($CD497,"-","~",2))+1,FIND("~",SUBSTITUTE($CD497,"-","~",3))-FIND("~",SUBSTITUTE($CD497,"-","~",2))-1))</f>
        <v/>
      </c>
      <c r="CG497">
        <f>IF($CE497="","",IFERROR(VLOOKUP($CE497,DECODE!$A$3:$C$8,3,FALSE),"?"))</f>
        <v/>
      </c>
      <c r="CH497">
        <f>IF($CF497="","",IFERROR(VLOOKUP($CE497&amp;"-"&amp;$CF497,DECODE!$E$3:$F$21,2,FALSE),"?"))</f>
        <v/>
      </c>
      <c r="CI497">
        <f>IF($CD497="","",IFERROR(VALUE(RIGHT($CD497,3)),""))</f>
        <v/>
      </c>
      <c r="CJ497">
        <f>IF($Y497="","",IFERROR(IF(ISNUMBER($Y497),$Y497,DATEVALUE(TRIM($Y497))),""))</f>
        <v/>
      </c>
      <c r="CK497">
        <f>IF($CJ497="","",IF(MONTH($CJ497)&gt;=12,"Cold Winter",IF(MONTH($CJ497)&gt;=10,"Post-Monsoon",IF(MONTH($CJ497)&gt;=6,"Hot Humid",IF(MONTH($CJ497)&gt;=3,"Hot Dry","Cold Winter")))))</f>
        <v/>
      </c>
      <c r="CL497">
        <f>IF($CE497="","",IFERROR(VLOOKUP($CE497,DECODE!$A$3:$C$8,2,FALSE),"?"))</f>
        <v/>
      </c>
      <c r="CM497">
        <f>IF($AN497="","",AN497)</f>
        <v/>
      </c>
      <c r="CN497">
        <f>IF($AO497="","",AO497)</f>
        <v/>
      </c>
      <c r="CO497">
        <f>IF($AP497="","",AP497)</f>
        <v/>
      </c>
      <c r="CP497">
        <f>IF($CM497="","",IF($CM497="Aloe Vera Gel","Aloe Vera Gel "&amp;$CO497&amp;"g",CN497&amp;" "&amp;$CO497&amp;"g"))</f>
        <v/>
      </c>
      <c r="CQ497">
        <f>IF($AT497="",0,1)</f>
        <v/>
      </c>
      <c r="CR497">
        <f>IF($CQ497=0,"",AW497)</f>
        <v/>
      </c>
      <c r="CS497">
        <f>IF($CQ497=0,"",AX497)</f>
        <v/>
      </c>
      <c r="CT497">
        <f>IF($CQ497=0,"",AY497)</f>
        <v/>
      </c>
      <c r="CU497">
        <f>IF($CR497="","",IF($CR497="Aloe Vera Gel","Aloe Vera Gel "&amp;$CT497&amp;"g",CS497&amp;" "&amp;$CT497&amp;"g"))</f>
        <v/>
      </c>
      <c r="CV497">
        <f>IF($CQ497=0,"",IF($CP497=$CU497,"Repeat Exact",IF($CT497&gt;$CO497,"Upsized",IF($CT497&lt;$CO497,"Downsized",IF($CM497&lt;&gt;$CR497,"Lateral","Same Size Diff Variant")))))</f>
        <v/>
      </c>
      <c r="CW497">
        <f>IF($CQ497=0,"",AZ497-AQ497)</f>
        <v/>
      </c>
      <c r="CX497">
        <f>IF($CQ497=0,0,IF(CS497=CN497,1,0))</f>
        <v/>
      </c>
      <c r="CY497">
        <f>IF($CQ497=0,0,IF(CR497=CM497,1,0))</f>
        <v/>
      </c>
      <c r="CZ497">
        <f>IF($A497="","",IF(AND(IF(DASHBOARD!$C$4="All",TRUE,$CM497=DASHBOARD!$C$4),IF(DASHBOARD!$C$6="All",TRUE,$CP497=DASHBOARD!$C$6),IF(DASHBOARD!$C$8="All",TRUE,$AF497&gt;=DASHBOARD!$C$8),IF(DASHBOARD!$C$10="All",TRUE,$AF497&lt;=DASHBOARD!$C$10),IF(DASHBOARD!$C$12="All",TRUE,$AH497=VALUE(DASHBOARD!$C$12)),IF(DASHBOARD!$C$14="All",TRUE,$AJ497=DASHBOARD!$C$14)),1,0))</f>
        <v/>
      </c>
    </row>
    <row r="498">
      <c r="A498" t="n">
        <v>227754</v>
      </c>
      <c r="B498" t="inlineStr">
        <is>
          <t>Face Malai</t>
        </is>
      </c>
      <c r="C498" t="inlineStr">
        <is>
          <t>Face Malai</t>
        </is>
      </c>
      <c r="H498" t="inlineStr">
        <is>
          <t>Tomato Rosehip (Hot Dry) 20 - 35 Yrs Face Malai - 50g</t>
        </is>
      </c>
      <c r="I498" t="inlineStr">
        <is>
          <t>Flax Walnut (Cold) 35+ Face Malai, Tomato Patchouli (Cold) 20 - 35 Yrs Face Malai</t>
        </is>
      </c>
      <c r="N498" t="inlineStr">
        <is>
          <t>FC-HDDM-TR-050</t>
        </is>
      </c>
      <c r="O498" t="inlineStr">
        <is>
          <t>FC-CWDM-TP-030, FC-CWDM-FW-030</t>
        </is>
      </c>
      <c r="T498" t="inlineStr">
        <is>
          <t>Nov 13, 2024</t>
        </is>
      </c>
      <c r="U498" t="inlineStr">
        <is>
          <t>Oct 21, 2025</t>
        </is>
      </c>
      <c r="Z498" t="n">
        <v>342</v>
      </c>
      <c r="AE498" t="inlineStr">
        <is>
          <t>Bhatinda</t>
        </is>
      </c>
      <c r="AF498" t="inlineStr">
        <is>
          <t>2024-11</t>
        </is>
      </c>
      <c r="AG498" t="n">
        <v>11</v>
      </c>
      <c r="AH498" t="n">
        <v>2</v>
      </c>
      <c r="AI498" t="n">
        <v>1</v>
      </c>
      <c r="AJ498">
        <f>IF($AE498="","",IFERROR(VLOOKUP(TRIM($AE498),DECODE!$H$3:$I$60,2,FALSE),"Rest of India"))</f>
        <v/>
      </c>
      <c r="AK498">
        <f>IF($N498="","",UPPER(TRIM(LEFT($N498&amp;",",FIND(",",$N498&amp;",")-1))))</f>
        <v/>
      </c>
      <c r="AL498">
        <f>IF($AK498="","",MID($AK498,4,FIND("~",SUBSTITUTE($AK498,"-","~",2))-4))</f>
        <v/>
      </c>
      <c r="AM498">
        <f>IF($AK498="","",MID($AK498,FIND("~",SUBSTITUTE($AK498,"-","~",2))+1,FIND("~",SUBSTITUTE($AK498,"-","~",3))-FIND("~",SUBSTITUTE($AK498,"-","~",2))-1))</f>
        <v/>
      </c>
      <c r="AN498">
        <f>IF($AL498="","",IFERROR(VLOOKUP($AL498,DECODE!$A$3:$C$8,3,FALSE),"?"))</f>
        <v/>
      </c>
      <c r="AO498">
        <f>IF($AM498="","",IFERROR(VLOOKUP($AL498&amp;"-"&amp;$AM498,DECODE!$E$3:$F$21,2,FALSE),"?"))</f>
        <v/>
      </c>
      <c r="AP498">
        <f>IF($AK498="","",IFERROR(VALUE(RIGHT($AK498,3)),""))</f>
        <v/>
      </c>
      <c r="AQ498">
        <f>IF($T498="","",IFERROR(IF(ISNUMBER($T498),$T498,DATEVALUE(TRIM($T498))),""))</f>
        <v/>
      </c>
      <c r="AR498">
        <f>IF($AQ498="","",IF(MONTH($AQ498)&gt;=12,"Cold Winter",IF(MONTH($AQ498)&gt;=10,"Post-Monsoon",IF(MONTH($AQ498)&gt;=6,"Hot Humid",IF(MONTH($AQ498)&gt;=3,"Hot Dry","Cold Winter")))))</f>
        <v/>
      </c>
      <c r="AS498">
        <f>IF($AL498="","",IFERROR(VLOOKUP($AL498,DECODE!$A$3:$C$8,2,FALSE),"?"))</f>
        <v/>
      </c>
      <c r="AT498">
        <f>IF($O498="","",UPPER(TRIM(LEFT($O498&amp;",",FIND(",",$O498&amp;",")-1))))</f>
        <v/>
      </c>
      <c r="AU498">
        <f>IF($AT498="","",MID($AT498,4,FIND("~",SUBSTITUTE($AT498,"-","~",2))-4))</f>
        <v/>
      </c>
      <c r="AV498">
        <f>IF($AT498="","",MID($AT498,FIND("~",SUBSTITUTE($AT498,"-","~",2))+1,FIND("~",SUBSTITUTE($AT498,"-","~",3))-FIND("~",SUBSTITUTE($AT498,"-","~",2))-1))</f>
        <v/>
      </c>
      <c r="AW498">
        <f>IF($AU498="","",IFERROR(VLOOKUP($AU498,DECODE!$A$3:$C$8,3,FALSE),"?"))</f>
        <v/>
      </c>
      <c r="AX498">
        <f>IF($AV498="","",IFERROR(VLOOKUP($AU498&amp;"-"&amp;$AV498,DECODE!$E$3:$F$21,2,FALSE),"?"))</f>
        <v/>
      </c>
      <c r="AY498">
        <f>IF($AT498="","",IFERROR(VALUE(RIGHT($AT498,3)),""))</f>
        <v/>
      </c>
      <c r="AZ498">
        <f>IF($U498="","",IFERROR(IF(ISNUMBER($U498),$U498,DATEVALUE(TRIM($U498))),""))</f>
        <v/>
      </c>
      <c r="BA498">
        <f>IF($AZ498="","",IF(MONTH($AZ498)&gt;=12,"Cold Winter",IF(MONTH($AZ498)&gt;=10,"Post-Monsoon",IF(MONTH($AZ498)&gt;=6,"Hot Humid",IF(MONTH($AZ498)&gt;=3,"Hot Dry","Cold Winter")))))</f>
        <v/>
      </c>
      <c r="BB498">
        <f>IF($AU498="","",IFERROR(VLOOKUP($AU498,DECODE!$A$3:$C$8,2,FALSE),"?"))</f>
        <v/>
      </c>
      <c r="BC498">
        <f>IF($P498="","",UPPER(TRIM(LEFT($P498&amp;",",FIND(",",$P498&amp;",")-1))))</f>
        <v/>
      </c>
      <c r="BD498">
        <f>IF($BC498="","",MID($BC498,4,FIND("~",SUBSTITUTE($BC498,"-","~",2))-4))</f>
        <v/>
      </c>
      <c r="BE498">
        <f>IF($BC498="","",MID($BC498,FIND("~",SUBSTITUTE($BC498,"-","~",2))+1,FIND("~",SUBSTITUTE($BC498,"-","~",3))-FIND("~",SUBSTITUTE($BC498,"-","~",2))-1))</f>
        <v/>
      </c>
      <c r="BF498">
        <f>IF($BD498="","",IFERROR(VLOOKUP($BD498,DECODE!$A$3:$C$8,3,FALSE),"?"))</f>
        <v/>
      </c>
      <c r="BG498">
        <f>IF($BE498="","",IFERROR(VLOOKUP($BD498&amp;"-"&amp;$BE498,DECODE!$E$3:$F$21,2,FALSE),"?"))</f>
        <v/>
      </c>
      <c r="BH498">
        <f>IF($BC498="","",IFERROR(VALUE(RIGHT($BC498,3)),""))</f>
        <v/>
      </c>
      <c r="BI498">
        <f>IF($V498="","",IFERROR(IF(ISNUMBER($V498),$V498,DATEVALUE(TRIM($V498))),""))</f>
        <v/>
      </c>
      <c r="BJ498">
        <f>IF($BI498="","",IF(MONTH($BI498)&gt;=12,"Cold Winter",IF(MONTH($BI498)&gt;=10,"Post-Monsoon",IF(MONTH($BI498)&gt;=6,"Hot Humid",IF(MONTH($BI498)&gt;=3,"Hot Dry","Cold Winter")))))</f>
        <v/>
      </c>
      <c r="BK498">
        <f>IF($BD498="","",IFERROR(VLOOKUP($BD498,DECODE!$A$3:$C$8,2,FALSE),"?"))</f>
        <v/>
      </c>
      <c r="BL498">
        <f>IF($Q498="","",UPPER(TRIM(LEFT($Q498&amp;",",FIND(",",$Q498&amp;",")-1))))</f>
        <v/>
      </c>
      <c r="BM498">
        <f>IF($BL498="","",MID($BL498,4,FIND("~",SUBSTITUTE($BL498,"-","~",2))-4))</f>
        <v/>
      </c>
      <c r="BN498">
        <f>IF($BL498="","",MID($BL498,FIND("~",SUBSTITUTE($BL498,"-","~",2))+1,FIND("~",SUBSTITUTE($BL498,"-","~",3))-FIND("~",SUBSTITUTE($BL498,"-","~",2))-1))</f>
        <v/>
      </c>
      <c r="BO498">
        <f>IF($BM498="","",IFERROR(VLOOKUP($BM498,DECODE!$A$3:$C$8,3,FALSE),"?"))</f>
        <v/>
      </c>
      <c r="BP498">
        <f>IF($BN498="","",IFERROR(VLOOKUP($BM498&amp;"-"&amp;$BN498,DECODE!$E$3:$F$21,2,FALSE),"?"))</f>
        <v/>
      </c>
      <c r="BQ498">
        <f>IF($BL498="","",IFERROR(VALUE(RIGHT($BL498,3)),""))</f>
        <v/>
      </c>
      <c r="BR498">
        <f>IF($W498="","",IFERROR(IF(ISNUMBER($W498),$W498,DATEVALUE(TRIM($W498))),""))</f>
        <v/>
      </c>
      <c r="BS498">
        <f>IF($BR498="","",IF(MONTH($BR498)&gt;=12,"Cold Winter",IF(MONTH($BR498)&gt;=10,"Post-Monsoon",IF(MONTH($BR498)&gt;=6,"Hot Humid",IF(MONTH($BR498)&gt;=3,"Hot Dry","Cold Winter")))))</f>
        <v/>
      </c>
      <c r="BT498">
        <f>IF($BM498="","",IFERROR(VLOOKUP($BM498,DECODE!$A$3:$C$8,2,FALSE),"?"))</f>
        <v/>
      </c>
      <c r="BU498">
        <f>IF($R498="","",UPPER(TRIM(LEFT($R498&amp;",",FIND(",",$R498&amp;",")-1))))</f>
        <v/>
      </c>
      <c r="BV498">
        <f>IF($BU498="","",MID($BU498,4,FIND("~",SUBSTITUTE($BU498,"-","~",2))-4))</f>
        <v/>
      </c>
      <c r="BW498">
        <f>IF($BU498="","",MID($BU498,FIND("~",SUBSTITUTE($BU498,"-","~",2))+1,FIND("~",SUBSTITUTE($BU498,"-","~",3))-FIND("~",SUBSTITUTE($BU498,"-","~",2))-1))</f>
        <v/>
      </c>
      <c r="BX498">
        <f>IF($BV498="","",IFERROR(VLOOKUP($BV498,DECODE!$A$3:$C$8,3,FALSE),"?"))</f>
        <v/>
      </c>
      <c r="BY498">
        <f>IF($BW498="","",IFERROR(VLOOKUP($BV498&amp;"-"&amp;$BW498,DECODE!$E$3:$F$21,2,FALSE),"?"))</f>
        <v/>
      </c>
      <c r="BZ498">
        <f>IF($BU498="","",IFERROR(VALUE(RIGHT($BU498,3)),""))</f>
        <v/>
      </c>
      <c r="CA498">
        <f>IF($X498="","",IFERROR(IF(ISNUMBER($X498),$X498,DATEVALUE(TRIM($X498))),""))</f>
        <v/>
      </c>
      <c r="CB498">
        <f>IF($CA498="","",IF(MONTH($CA498)&gt;=12,"Cold Winter",IF(MONTH($CA498)&gt;=10,"Post-Monsoon",IF(MONTH($CA498)&gt;=6,"Hot Humid",IF(MONTH($CA498)&gt;=3,"Hot Dry","Cold Winter")))))</f>
        <v/>
      </c>
      <c r="CC498">
        <f>IF($BV498="","",IFERROR(VLOOKUP($BV498,DECODE!$A$3:$C$8,2,FALSE),"?"))</f>
        <v/>
      </c>
      <c r="CD498">
        <f>IF($S498="","",UPPER(TRIM(LEFT($S498&amp;",",FIND(",",$S498&amp;",")-1))))</f>
        <v/>
      </c>
      <c r="CE498">
        <f>IF($CD498="","",MID($CD498,4,FIND("~",SUBSTITUTE($CD498,"-","~",2))-4))</f>
        <v/>
      </c>
      <c r="CF498">
        <f>IF($CD498="","",MID($CD498,FIND("~",SUBSTITUTE($CD498,"-","~",2))+1,FIND("~",SUBSTITUTE($CD498,"-","~",3))-FIND("~",SUBSTITUTE($CD498,"-","~",2))-1))</f>
        <v/>
      </c>
      <c r="CG498">
        <f>IF($CE498="","",IFERROR(VLOOKUP($CE498,DECODE!$A$3:$C$8,3,FALSE),"?"))</f>
        <v/>
      </c>
      <c r="CH498">
        <f>IF($CF498="","",IFERROR(VLOOKUP($CE498&amp;"-"&amp;$CF498,DECODE!$E$3:$F$21,2,FALSE),"?"))</f>
        <v/>
      </c>
      <c r="CI498">
        <f>IF($CD498="","",IFERROR(VALUE(RIGHT($CD498,3)),""))</f>
        <v/>
      </c>
      <c r="CJ498">
        <f>IF($Y498="","",IFERROR(IF(ISNUMBER($Y498),$Y498,DATEVALUE(TRIM($Y498))),""))</f>
        <v/>
      </c>
      <c r="CK498">
        <f>IF($CJ498="","",IF(MONTH($CJ498)&gt;=12,"Cold Winter",IF(MONTH($CJ498)&gt;=10,"Post-Monsoon",IF(MONTH($CJ498)&gt;=6,"Hot Humid",IF(MONTH($CJ498)&gt;=3,"Hot Dry","Cold Winter")))))</f>
        <v/>
      </c>
      <c r="CL498">
        <f>IF($CE498="","",IFERROR(VLOOKUP($CE498,DECODE!$A$3:$C$8,2,FALSE),"?"))</f>
        <v/>
      </c>
      <c r="CM498">
        <f>IF($AN498="","",AN498)</f>
        <v/>
      </c>
      <c r="CN498">
        <f>IF($AO498="","",AO498)</f>
        <v/>
      </c>
      <c r="CO498">
        <f>IF($AP498="","",AP498)</f>
        <v/>
      </c>
      <c r="CP498">
        <f>IF($CM498="","",IF($CM498="Aloe Vera Gel","Aloe Vera Gel "&amp;$CO498&amp;"g",CN498&amp;" "&amp;$CO498&amp;"g"))</f>
        <v/>
      </c>
      <c r="CQ498">
        <f>IF($AT498="",0,1)</f>
        <v/>
      </c>
      <c r="CR498">
        <f>IF($CQ498=0,"",AW498)</f>
        <v/>
      </c>
      <c r="CS498">
        <f>IF($CQ498=0,"",AX498)</f>
        <v/>
      </c>
      <c r="CT498">
        <f>IF($CQ498=0,"",AY498)</f>
        <v/>
      </c>
      <c r="CU498">
        <f>IF($CR498="","",IF($CR498="Aloe Vera Gel","Aloe Vera Gel "&amp;$CT498&amp;"g",CS498&amp;" "&amp;$CT498&amp;"g"))</f>
        <v/>
      </c>
      <c r="CV498">
        <f>IF($CQ498=0,"",IF($CP498=$CU498,"Repeat Exact",IF($CT498&gt;$CO498,"Upsized",IF($CT498&lt;$CO498,"Downsized",IF($CM498&lt;&gt;$CR498,"Lateral","Same Size Diff Variant")))))</f>
        <v/>
      </c>
      <c r="CW498">
        <f>IF($CQ498=0,"",AZ498-AQ498)</f>
        <v/>
      </c>
      <c r="CX498">
        <f>IF($CQ498=0,0,IF(CS498=CN498,1,0))</f>
        <v/>
      </c>
      <c r="CY498">
        <f>IF($CQ498=0,0,IF(CR498=CM498,1,0))</f>
        <v/>
      </c>
      <c r="CZ498">
        <f>IF($A498="","",IF(AND(IF(DASHBOARD!$C$4="All",TRUE,$CM498=DASHBOARD!$C$4),IF(DASHBOARD!$C$6="All",TRUE,$CP498=DASHBOARD!$C$6),IF(DASHBOARD!$C$8="All",TRUE,$AF498&gt;=DASHBOARD!$C$8),IF(DASHBOARD!$C$10="All",TRUE,$AF498&lt;=DASHBOARD!$C$10),IF(DASHBOARD!$C$12="All",TRUE,$AH498=VALUE(DASHBOARD!$C$12)),IF(DASHBOARD!$C$14="All",TRUE,$AJ498=DASHBOARD!$C$14)),1,0))</f>
        <v/>
      </c>
    </row>
    <row r="499">
      <c r="A499" t="n">
        <v>227942</v>
      </c>
      <c r="B499" t="inlineStr">
        <is>
          <t>Aloe Vera Gel</t>
        </is>
      </c>
      <c r="H499" t="inlineStr">
        <is>
          <t>Aloe Vera Gel - 40 gms</t>
        </is>
      </c>
      <c r="N499" t="inlineStr">
        <is>
          <t>FC-HG-PA-040</t>
        </is>
      </c>
      <c r="T499" t="inlineStr">
        <is>
          <t>Apr 18, 2024</t>
        </is>
      </c>
      <c r="AE499" t="inlineStr">
        <is>
          <t>Surat</t>
        </is>
      </c>
      <c r="AF499" t="inlineStr">
        <is>
          <t>2024-04</t>
        </is>
      </c>
      <c r="AG499" t="n">
        <v>4</v>
      </c>
      <c r="AH499" t="n">
        <v>1</v>
      </c>
      <c r="AI499" t="n">
        <v>0</v>
      </c>
      <c r="AJ499">
        <f>IF($AE499="","",IFERROR(VLOOKUP(TRIM($AE499),DECODE!$H$3:$I$60,2,FALSE),"Rest of India"))</f>
        <v/>
      </c>
      <c r="AK499">
        <f>IF($N499="","",UPPER(TRIM(LEFT($N499&amp;",",FIND(",",$N499&amp;",")-1))))</f>
        <v/>
      </c>
      <c r="AL499">
        <f>IF($AK499="","",MID($AK499,4,FIND("~",SUBSTITUTE($AK499,"-","~",2))-4))</f>
        <v/>
      </c>
      <c r="AM499">
        <f>IF($AK499="","",MID($AK499,FIND("~",SUBSTITUTE($AK499,"-","~",2))+1,FIND("~",SUBSTITUTE($AK499,"-","~",3))-FIND("~",SUBSTITUTE($AK499,"-","~",2))-1))</f>
        <v/>
      </c>
      <c r="AN499">
        <f>IF($AL499="","",IFERROR(VLOOKUP($AL499,DECODE!$A$3:$C$8,3,FALSE),"?"))</f>
        <v/>
      </c>
      <c r="AO499">
        <f>IF($AM499="","",IFERROR(VLOOKUP($AL499&amp;"-"&amp;$AM499,DECODE!$E$3:$F$21,2,FALSE),"?"))</f>
        <v/>
      </c>
      <c r="AP499">
        <f>IF($AK499="","",IFERROR(VALUE(RIGHT($AK499,3)),""))</f>
        <v/>
      </c>
      <c r="AQ499">
        <f>IF($T499="","",IFERROR(IF(ISNUMBER($T499),$T499,DATEVALUE(TRIM($T499))),""))</f>
        <v/>
      </c>
      <c r="AR499">
        <f>IF($AQ499="","",IF(MONTH($AQ499)&gt;=12,"Cold Winter",IF(MONTH($AQ499)&gt;=10,"Post-Monsoon",IF(MONTH($AQ499)&gt;=6,"Hot Humid",IF(MONTH($AQ499)&gt;=3,"Hot Dry","Cold Winter")))))</f>
        <v/>
      </c>
      <c r="AS499">
        <f>IF($AL499="","",IFERROR(VLOOKUP($AL499,DECODE!$A$3:$C$8,2,FALSE),"?"))</f>
        <v/>
      </c>
      <c r="AT499">
        <f>IF($O499="","",UPPER(TRIM(LEFT($O499&amp;",",FIND(",",$O499&amp;",")-1))))</f>
        <v/>
      </c>
      <c r="AU499">
        <f>IF($AT499="","",MID($AT499,4,FIND("~",SUBSTITUTE($AT499,"-","~",2))-4))</f>
        <v/>
      </c>
      <c r="AV499">
        <f>IF($AT499="","",MID($AT499,FIND("~",SUBSTITUTE($AT499,"-","~",2))+1,FIND("~",SUBSTITUTE($AT499,"-","~",3))-FIND("~",SUBSTITUTE($AT499,"-","~",2))-1))</f>
        <v/>
      </c>
      <c r="AW499">
        <f>IF($AU499="","",IFERROR(VLOOKUP($AU499,DECODE!$A$3:$C$8,3,FALSE),"?"))</f>
        <v/>
      </c>
      <c r="AX499">
        <f>IF($AV499="","",IFERROR(VLOOKUP($AU499&amp;"-"&amp;$AV499,DECODE!$E$3:$F$21,2,FALSE),"?"))</f>
        <v/>
      </c>
      <c r="AY499">
        <f>IF($AT499="","",IFERROR(VALUE(RIGHT($AT499,3)),""))</f>
        <v/>
      </c>
      <c r="AZ499">
        <f>IF($U499="","",IFERROR(IF(ISNUMBER($U499),$U499,DATEVALUE(TRIM($U499))),""))</f>
        <v/>
      </c>
      <c r="BA499">
        <f>IF($AZ499="","",IF(MONTH($AZ499)&gt;=12,"Cold Winter",IF(MONTH($AZ499)&gt;=10,"Post-Monsoon",IF(MONTH($AZ499)&gt;=6,"Hot Humid",IF(MONTH($AZ499)&gt;=3,"Hot Dry","Cold Winter")))))</f>
        <v/>
      </c>
      <c r="BB499">
        <f>IF($AU499="","",IFERROR(VLOOKUP($AU499,DECODE!$A$3:$C$8,2,FALSE),"?"))</f>
        <v/>
      </c>
      <c r="BC499">
        <f>IF($P499="","",UPPER(TRIM(LEFT($P499&amp;",",FIND(",",$P499&amp;",")-1))))</f>
        <v/>
      </c>
      <c r="BD499">
        <f>IF($BC499="","",MID($BC499,4,FIND("~",SUBSTITUTE($BC499,"-","~",2))-4))</f>
        <v/>
      </c>
      <c r="BE499">
        <f>IF($BC499="","",MID($BC499,FIND("~",SUBSTITUTE($BC499,"-","~",2))+1,FIND("~",SUBSTITUTE($BC499,"-","~",3))-FIND("~",SUBSTITUTE($BC499,"-","~",2))-1))</f>
        <v/>
      </c>
      <c r="BF499">
        <f>IF($BD499="","",IFERROR(VLOOKUP($BD499,DECODE!$A$3:$C$8,3,FALSE),"?"))</f>
        <v/>
      </c>
      <c r="BG499">
        <f>IF($BE499="","",IFERROR(VLOOKUP($BD499&amp;"-"&amp;$BE499,DECODE!$E$3:$F$21,2,FALSE),"?"))</f>
        <v/>
      </c>
      <c r="BH499">
        <f>IF($BC499="","",IFERROR(VALUE(RIGHT($BC499,3)),""))</f>
        <v/>
      </c>
      <c r="BI499">
        <f>IF($V499="","",IFERROR(IF(ISNUMBER($V499),$V499,DATEVALUE(TRIM($V499))),""))</f>
        <v/>
      </c>
      <c r="BJ499">
        <f>IF($BI499="","",IF(MONTH($BI499)&gt;=12,"Cold Winter",IF(MONTH($BI499)&gt;=10,"Post-Monsoon",IF(MONTH($BI499)&gt;=6,"Hot Humid",IF(MONTH($BI499)&gt;=3,"Hot Dry","Cold Winter")))))</f>
        <v/>
      </c>
      <c r="BK499">
        <f>IF($BD499="","",IFERROR(VLOOKUP($BD499,DECODE!$A$3:$C$8,2,FALSE),"?"))</f>
        <v/>
      </c>
      <c r="BL499">
        <f>IF($Q499="","",UPPER(TRIM(LEFT($Q499&amp;",",FIND(",",$Q499&amp;",")-1))))</f>
        <v/>
      </c>
      <c r="BM499">
        <f>IF($BL499="","",MID($BL499,4,FIND("~",SUBSTITUTE($BL499,"-","~",2))-4))</f>
        <v/>
      </c>
      <c r="BN499">
        <f>IF($BL499="","",MID($BL499,FIND("~",SUBSTITUTE($BL499,"-","~",2))+1,FIND("~",SUBSTITUTE($BL499,"-","~",3))-FIND("~",SUBSTITUTE($BL499,"-","~",2))-1))</f>
        <v/>
      </c>
      <c r="BO499">
        <f>IF($BM499="","",IFERROR(VLOOKUP($BM499,DECODE!$A$3:$C$8,3,FALSE),"?"))</f>
        <v/>
      </c>
      <c r="BP499">
        <f>IF($BN499="","",IFERROR(VLOOKUP($BM499&amp;"-"&amp;$BN499,DECODE!$E$3:$F$21,2,FALSE),"?"))</f>
        <v/>
      </c>
      <c r="BQ499">
        <f>IF($BL499="","",IFERROR(VALUE(RIGHT($BL499,3)),""))</f>
        <v/>
      </c>
      <c r="BR499">
        <f>IF($W499="","",IFERROR(IF(ISNUMBER($W499),$W499,DATEVALUE(TRIM($W499))),""))</f>
        <v/>
      </c>
      <c r="BS499">
        <f>IF($BR499="","",IF(MONTH($BR499)&gt;=12,"Cold Winter",IF(MONTH($BR499)&gt;=10,"Post-Monsoon",IF(MONTH($BR499)&gt;=6,"Hot Humid",IF(MONTH($BR499)&gt;=3,"Hot Dry","Cold Winter")))))</f>
        <v/>
      </c>
      <c r="BT499">
        <f>IF($BM499="","",IFERROR(VLOOKUP($BM499,DECODE!$A$3:$C$8,2,FALSE),"?"))</f>
        <v/>
      </c>
      <c r="BU499">
        <f>IF($R499="","",UPPER(TRIM(LEFT($R499&amp;",",FIND(",",$R499&amp;",")-1))))</f>
        <v/>
      </c>
      <c r="BV499">
        <f>IF($BU499="","",MID($BU499,4,FIND("~",SUBSTITUTE($BU499,"-","~",2))-4))</f>
        <v/>
      </c>
      <c r="BW499">
        <f>IF($BU499="","",MID($BU499,FIND("~",SUBSTITUTE($BU499,"-","~",2))+1,FIND("~",SUBSTITUTE($BU499,"-","~",3))-FIND("~",SUBSTITUTE($BU499,"-","~",2))-1))</f>
        <v/>
      </c>
      <c r="BX499">
        <f>IF($BV499="","",IFERROR(VLOOKUP($BV499,DECODE!$A$3:$C$8,3,FALSE),"?"))</f>
        <v/>
      </c>
      <c r="BY499">
        <f>IF($BW499="","",IFERROR(VLOOKUP($BV499&amp;"-"&amp;$BW499,DECODE!$E$3:$F$21,2,FALSE),"?"))</f>
        <v/>
      </c>
      <c r="BZ499">
        <f>IF($BU499="","",IFERROR(VALUE(RIGHT($BU499,3)),""))</f>
        <v/>
      </c>
      <c r="CA499">
        <f>IF($X499="","",IFERROR(IF(ISNUMBER($X499),$X499,DATEVALUE(TRIM($X499))),""))</f>
        <v/>
      </c>
      <c r="CB499">
        <f>IF($CA499="","",IF(MONTH($CA499)&gt;=12,"Cold Winter",IF(MONTH($CA499)&gt;=10,"Post-Monsoon",IF(MONTH($CA499)&gt;=6,"Hot Humid",IF(MONTH($CA499)&gt;=3,"Hot Dry","Cold Winter")))))</f>
        <v/>
      </c>
      <c r="CC499">
        <f>IF($BV499="","",IFERROR(VLOOKUP($BV499,DECODE!$A$3:$C$8,2,FALSE),"?"))</f>
        <v/>
      </c>
      <c r="CD499">
        <f>IF($S499="","",UPPER(TRIM(LEFT($S499&amp;",",FIND(",",$S499&amp;",")-1))))</f>
        <v/>
      </c>
      <c r="CE499">
        <f>IF($CD499="","",MID($CD499,4,FIND("~",SUBSTITUTE($CD499,"-","~",2))-4))</f>
        <v/>
      </c>
      <c r="CF499">
        <f>IF($CD499="","",MID($CD499,FIND("~",SUBSTITUTE($CD499,"-","~",2))+1,FIND("~",SUBSTITUTE($CD499,"-","~",3))-FIND("~",SUBSTITUTE($CD499,"-","~",2))-1))</f>
        <v/>
      </c>
      <c r="CG499">
        <f>IF($CE499="","",IFERROR(VLOOKUP($CE499,DECODE!$A$3:$C$8,3,FALSE),"?"))</f>
        <v/>
      </c>
      <c r="CH499">
        <f>IF($CF499="","",IFERROR(VLOOKUP($CE499&amp;"-"&amp;$CF499,DECODE!$E$3:$F$21,2,FALSE),"?"))</f>
        <v/>
      </c>
      <c r="CI499">
        <f>IF($CD499="","",IFERROR(VALUE(RIGHT($CD499,3)),""))</f>
        <v/>
      </c>
      <c r="CJ499">
        <f>IF($Y499="","",IFERROR(IF(ISNUMBER($Y499),$Y499,DATEVALUE(TRIM($Y499))),""))</f>
        <v/>
      </c>
      <c r="CK499">
        <f>IF($CJ499="","",IF(MONTH($CJ499)&gt;=12,"Cold Winter",IF(MONTH($CJ499)&gt;=10,"Post-Monsoon",IF(MONTH($CJ499)&gt;=6,"Hot Humid",IF(MONTH($CJ499)&gt;=3,"Hot Dry","Cold Winter")))))</f>
        <v/>
      </c>
      <c r="CL499">
        <f>IF($CE499="","",IFERROR(VLOOKUP($CE499,DECODE!$A$3:$C$8,2,FALSE),"?"))</f>
        <v/>
      </c>
      <c r="CM499">
        <f>IF($AN499="","",AN499)</f>
        <v/>
      </c>
      <c r="CN499">
        <f>IF($AO499="","",AO499)</f>
        <v/>
      </c>
      <c r="CO499">
        <f>IF($AP499="","",AP499)</f>
        <v/>
      </c>
      <c r="CP499">
        <f>IF($CM499="","",IF($CM499="Aloe Vera Gel","Aloe Vera Gel "&amp;$CO499&amp;"g",CN499&amp;" "&amp;$CO499&amp;"g"))</f>
        <v/>
      </c>
      <c r="CQ499">
        <f>IF($AT499="",0,1)</f>
        <v/>
      </c>
      <c r="CR499">
        <f>IF($CQ499=0,"",AW499)</f>
        <v/>
      </c>
      <c r="CS499">
        <f>IF($CQ499=0,"",AX499)</f>
        <v/>
      </c>
      <c r="CT499">
        <f>IF($CQ499=0,"",AY499)</f>
        <v/>
      </c>
      <c r="CU499">
        <f>IF($CR499="","",IF($CR499="Aloe Vera Gel","Aloe Vera Gel "&amp;$CT499&amp;"g",CS499&amp;" "&amp;$CT499&amp;"g"))</f>
        <v/>
      </c>
      <c r="CV499">
        <f>IF($CQ499=0,"",IF($CP499=$CU499,"Repeat Exact",IF($CT499&gt;$CO499,"Upsized",IF($CT499&lt;$CO499,"Downsized",IF($CM499&lt;&gt;$CR499,"Lateral","Same Size Diff Variant")))))</f>
        <v/>
      </c>
      <c r="CW499">
        <f>IF($CQ499=0,"",AZ499-AQ499)</f>
        <v/>
      </c>
      <c r="CX499">
        <f>IF($CQ499=0,0,IF(CS499=CN499,1,0))</f>
        <v/>
      </c>
      <c r="CY499">
        <f>IF($CQ499=0,0,IF(CR499=CM499,1,0))</f>
        <v/>
      </c>
      <c r="CZ499">
        <f>IF($A499="","",IF(AND(IF(DASHBOARD!$C$4="All",TRUE,$CM499=DASHBOARD!$C$4),IF(DASHBOARD!$C$6="All",TRUE,$CP499=DASHBOARD!$C$6),IF(DASHBOARD!$C$8="All",TRUE,$AF499&gt;=DASHBOARD!$C$8),IF(DASHBOARD!$C$10="All",TRUE,$AF499&lt;=DASHBOARD!$C$10),IF(DASHBOARD!$C$12="All",TRUE,$AH499=VALUE(DASHBOARD!$C$12)),IF(DASHBOARD!$C$14="All",TRUE,$AJ499=DASHBOARD!$C$14)),1,0))</f>
        <v/>
      </c>
    </row>
    <row r="500">
      <c r="A500" t="n">
        <v>228356</v>
      </c>
      <c r="B500" t="inlineStr">
        <is>
          <t>Aloe Vera Gel</t>
        </is>
      </c>
      <c r="H500" t="inlineStr">
        <is>
          <t>Aloe Vera Gel - 40 gms</t>
        </is>
      </c>
      <c r="N500" t="inlineStr">
        <is>
          <t>FC-HG-PA-040</t>
        </is>
      </c>
      <c r="T500" t="inlineStr">
        <is>
          <t>Jan 17, 2024</t>
        </is>
      </c>
      <c r="AE500" t="inlineStr">
        <is>
          <t>Jodhpur</t>
        </is>
      </c>
      <c r="AF500" t="inlineStr">
        <is>
          <t>2024-01</t>
        </is>
      </c>
      <c r="AG500" t="n">
        <v>1</v>
      </c>
      <c r="AH500" t="n">
        <v>1</v>
      </c>
      <c r="AI500" t="n">
        <v>0</v>
      </c>
      <c r="AJ500">
        <f>IF($AE500="","",IFERROR(VLOOKUP(TRIM($AE500),DECODE!$H$3:$I$60,2,FALSE),"Rest of India"))</f>
        <v/>
      </c>
      <c r="AK500">
        <f>IF($N500="","",UPPER(TRIM(LEFT($N500&amp;",",FIND(",",$N500&amp;",")-1))))</f>
        <v/>
      </c>
      <c r="AL500">
        <f>IF($AK500="","",MID($AK500,4,FIND("~",SUBSTITUTE($AK500,"-","~",2))-4))</f>
        <v/>
      </c>
      <c r="AM500">
        <f>IF($AK500="","",MID($AK500,FIND("~",SUBSTITUTE($AK500,"-","~",2))+1,FIND("~",SUBSTITUTE($AK500,"-","~",3))-FIND("~",SUBSTITUTE($AK500,"-","~",2))-1))</f>
        <v/>
      </c>
      <c r="AN500">
        <f>IF($AL500="","",IFERROR(VLOOKUP($AL500,DECODE!$A$3:$C$8,3,FALSE),"?"))</f>
        <v/>
      </c>
      <c r="AO500">
        <f>IF($AM500="","",IFERROR(VLOOKUP($AL500&amp;"-"&amp;$AM500,DECODE!$E$3:$F$21,2,FALSE),"?"))</f>
        <v/>
      </c>
      <c r="AP500">
        <f>IF($AK500="","",IFERROR(VALUE(RIGHT($AK500,3)),""))</f>
        <v/>
      </c>
      <c r="AQ500">
        <f>IF($T500="","",IFERROR(IF(ISNUMBER($T500),$T500,DATEVALUE(TRIM($T500))),""))</f>
        <v/>
      </c>
      <c r="AR500">
        <f>IF($AQ500="","",IF(MONTH($AQ500)&gt;=12,"Cold Winter",IF(MONTH($AQ500)&gt;=10,"Post-Monsoon",IF(MONTH($AQ500)&gt;=6,"Hot Humid",IF(MONTH($AQ500)&gt;=3,"Hot Dry","Cold Winter")))))</f>
        <v/>
      </c>
      <c r="AS500">
        <f>IF($AL500="","",IFERROR(VLOOKUP($AL500,DECODE!$A$3:$C$8,2,FALSE),"?"))</f>
        <v/>
      </c>
      <c r="AT500">
        <f>IF($O500="","",UPPER(TRIM(LEFT($O500&amp;",",FIND(",",$O500&amp;",")-1))))</f>
        <v/>
      </c>
      <c r="AU500">
        <f>IF($AT500="","",MID($AT500,4,FIND("~",SUBSTITUTE($AT500,"-","~",2))-4))</f>
        <v/>
      </c>
      <c r="AV500">
        <f>IF($AT500="","",MID($AT500,FIND("~",SUBSTITUTE($AT500,"-","~",2))+1,FIND("~",SUBSTITUTE($AT500,"-","~",3))-FIND("~",SUBSTITUTE($AT500,"-","~",2))-1))</f>
        <v/>
      </c>
      <c r="AW500">
        <f>IF($AU500="","",IFERROR(VLOOKUP($AU500,DECODE!$A$3:$C$8,3,FALSE),"?"))</f>
        <v/>
      </c>
      <c r="AX500">
        <f>IF($AV500="","",IFERROR(VLOOKUP($AU500&amp;"-"&amp;$AV500,DECODE!$E$3:$F$21,2,FALSE),"?"))</f>
        <v/>
      </c>
      <c r="AY500">
        <f>IF($AT500="","",IFERROR(VALUE(RIGHT($AT500,3)),""))</f>
        <v/>
      </c>
      <c r="AZ500">
        <f>IF($U500="","",IFERROR(IF(ISNUMBER($U500),$U500,DATEVALUE(TRIM($U500))),""))</f>
        <v/>
      </c>
      <c r="BA500">
        <f>IF($AZ500="","",IF(MONTH($AZ500)&gt;=12,"Cold Winter",IF(MONTH($AZ500)&gt;=10,"Post-Monsoon",IF(MONTH($AZ500)&gt;=6,"Hot Humid",IF(MONTH($AZ500)&gt;=3,"Hot Dry","Cold Winter")))))</f>
        <v/>
      </c>
      <c r="BB500">
        <f>IF($AU500="","",IFERROR(VLOOKUP($AU500,DECODE!$A$3:$C$8,2,FALSE),"?"))</f>
        <v/>
      </c>
      <c r="BC500">
        <f>IF($P500="","",UPPER(TRIM(LEFT($P500&amp;",",FIND(",",$P500&amp;",")-1))))</f>
        <v/>
      </c>
      <c r="BD500">
        <f>IF($BC500="","",MID($BC500,4,FIND("~",SUBSTITUTE($BC500,"-","~",2))-4))</f>
        <v/>
      </c>
      <c r="BE500">
        <f>IF($BC500="","",MID($BC500,FIND("~",SUBSTITUTE($BC500,"-","~",2))+1,FIND("~",SUBSTITUTE($BC500,"-","~",3))-FIND("~",SUBSTITUTE($BC500,"-","~",2))-1))</f>
        <v/>
      </c>
      <c r="BF500">
        <f>IF($BD500="","",IFERROR(VLOOKUP($BD500,DECODE!$A$3:$C$8,3,FALSE),"?"))</f>
        <v/>
      </c>
      <c r="BG500">
        <f>IF($BE500="","",IFERROR(VLOOKUP($BD500&amp;"-"&amp;$BE500,DECODE!$E$3:$F$21,2,FALSE),"?"))</f>
        <v/>
      </c>
      <c r="BH500">
        <f>IF($BC500="","",IFERROR(VALUE(RIGHT($BC500,3)),""))</f>
        <v/>
      </c>
      <c r="BI500">
        <f>IF($V500="","",IFERROR(IF(ISNUMBER($V500),$V500,DATEVALUE(TRIM($V500))),""))</f>
        <v/>
      </c>
      <c r="BJ500">
        <f>IF($BI500="","",IF(MONTH($BI500)&gt;=12,"Cold Winter",IF(MONTH($BI500)&gt;=10,"Post-Monsoon",IF(MONTH($BI500)&gt;=6,"Hot Humid",IF(MONTH($BI500)&gt;=3,"Hot Dry","Cold Winter")))))</f>
        <v/>
      </c>
      <c r="BK500">
        <f>IF($BD500="","",IFERROR(VLOOKUP($BD500,DECODE!$A$3:$C$8,2,FALSE),"?"))</f>
        <v/>
      </c>
      <c r="BL500">
        <f>IF($Q500="","",UPPER(TRIM(LEFT($Q500&amp;",",FIND(",",$Q500&amp;",")-1))))</f>
        <v/>
      </c>
      <c r="BM500">
        <f>IF($BL500="","",MID($BL500,4,FIND("~",SUBSTITUTE($BL500,"-","~",2))-4))</f>
        <v/>
      </c>
      <c r="BN500">
        <f>IF($BL500="","",MID($BL500,FIND("~",SUBSTITUTE($BL500,"-","~",2))+1,FIND("~",SUBSTITUTE($BL500,"-","~",3))-FIND("~",SUBSTITUTE($BL500,"-","~",2))-1))</f>
        <v/>
      </c>
      <c r="BO500">
        <f>IF($BM500="","",IFERROR(VLOOKUP($BM500,DECODE!$A$3:$C$8,3,FALSE),"?"))</f>
        <v/>
      </c>
      <c r="BP500">
        <f>IF($BN500="","",IFERROR(VLOOKUP($BM500&amp;"-"&amp;$BN500,DECODE!$E$3:$F$21,2,FALSE),"?"))</f>
        <v/>
      </c>
      <c r="BQ500">
        <f>IF($BL500="","",IFERROR(VALUE(RIGHT($BL500,3)),""))</f>
        <v/>
      </c>
      <c r="BR500">
        <f>IF($W500="","",IFERROR(IF(ISNUMBER($W500),$W500,DATEVALUE(TRIM($W500))),""))</f>
        <v/>
      </c>
      <c r="BS500">
        <f>IF($BR500="","",IF(MONTH($BR500)&gt;=12,"Cold Winter",IF(MONTH($BR500)&gt;=10,"Post-Monsoon",IF(MONTH($BR500)&gt;=6,"Hot Humid",IF(MONTH($BR500)&gt;=3,"Hot Dry","Cold Winter")))))</f>
        <v/>
      </c>
      <c r="BT500">
        <f>IF($BM500="","",IFERROR(VLOOKUP($BM500,DECODE!$A$3:$C$8,2,FALSE),"?"))</f>
        <v/>
      </c>
      <c r="BU500">
        <f>IF($R500="","",UPPER(TRIM(LEFT($R500&amp;",",FIND(",",$R500&amp;",")-1))))</f>
        <v/>
      </c>
      <c r="BV500">
        <f>IF($BU500="","",MID($BU500,4,FIND("~",SUBSTITUTE($BU500,"-","~",2))-4))</f>
        <v/>
      </c>
      <c r="BW500">
        <f>IF($BU500="","",MID($BU500,FIND("~",SUBSTITUTE($BU500,"-","~",2))+1,FIND("~",SUBSTITUTE($BU500,"-","~",3))-FIND("~",SUBSTITUTE($BU500,"-","~",2))-1))</f>
        <v/>
      </c>
      <c r="BX500">
        <f>IF($BV500="","",IFERROR(VLOOKUP($BV500,DECODE!$A$3:$C$8,3,FALSE),"?"))</f>
        <v/>
      </c>
      <c r="BY500">
        <f>IF($BW500="","",IFERROR(VLOOKUP($BV500&amp;"-"&amp;$BW500,DECODE!$E$3:$F$21,2,FALSE),"?"))</f>
        <v/>
      </c>
      <c r="BZ500">
        <f>IF($BU500="","",IFERROR(VALUE(RIGHT($BU500,3)),""))</f>
        <v/>
      </c>
      <c r="CA500">
        <f>IF($X500="","",IFERROR(IF(ISNUMBER($X500),$X500,DATEVALUE(TRIM($X500))),""))</f>
        <v/>
      </c>
      <c r="CB500">
        <f>IF($CA500="","",IF(MONTH($CA500)&gt;=12,"Cold Winter",IF(MONTH($CA500)&gt;=10,"Post-Monsoon",IF(MONTH($CA500)&gt;=6,"Hot Humid",IF(MONTH($CA500)&gt;=3,"Hot Dry","Cold Winter")))))</f>
        <v/>
      </c>
      <c r="CC500">
        <f>IF($BV500="","",IFERROR(VLOOKUP($BV500,DECODE!$A$3:$C$8,2,FALSE),"?"))</f>
        <v/>
      </c>
      <c r="CD500">
        <f>IF($S500="","",UPPER(TRIM(LEFT($S500&amp;",",FIND(",",$S500&amp;",")-1))))</f>
        <v/>
      </c>
      <c r="CE500">
        <f>IF($CD500="","",MID($CD500,4,FIND("~",SUBSTITUTE($CD500,"-","~",2))-4))</f>
        <v/>
      </c>
      <c r="CF500">
        <f>IF($CD500="","",MID($CD500,FIND("~",SUBSTITUTE($CD500,"-","~",2))+1,FIND("~",SUBSTITUTE($CD500,"-","~",3))-FIND("~",SUBSTITUTE($CD500,"-","~",2))-1))</f>
        <v/>
      </c>
      <c r="CG500">
        <f>IF($CE500="","",IFERROR(VLOOKUP($CE500,DECODE!$A$3:$C$8,3,FALSE),"?"))</f>
        <v/>
      </c>
      <c r="CH500">
        <f>IF($CF500="","",IFERROR(VLOOKUP($CE500&amp;"-"&amp;$CF500,DECODE!$E$3:$F$21,2,FALSE),"?"))</f>
        <v/>
      </c>
      <c r="CI500">
        <f>IF($CD500="","",IFERROR(VALUE(RIGHT($CD500,3)),""))</f>
        <v/>
      </c>
      <c r="CJ500">
        <f>IF($Y500="","",IFERROR(IF(ISNUMBER($Y500),$Y500,DATEVALUE(TRIM($Y500))),""))</f>
        <v/>
      </c>
      <c r="CK500">
        <f>IF($CJ500="","",IF(MONTH($CJ500)&gt;=12,"Cold Winter",IF(MONTH($CJ500)&gt;=10,"Post-Monsoon",IF(MONTH($CJ500)&gt;=6,"Hot Humid",IF(MONTH($CJ500)&gt;=3,"Hot Dry","Cold Winter")))))</f>
        <v/>
      </c>
      <c r="CL500">
        <f>IF($CE500="","",IFERROR(VLOOKUP($CE500,DECODE!$A$3:$C$8,2,FALSE),"?"))</f>
        <v/>
      </c>
      <c r="CM500">
        <f>IF($AN500="","",AN500)</f>
        <v/>
      </c>
      <c r="CN500">
        <f>IF($AO500="","",AO500)</f>
        <v/>
      </c>
      <c r="CO500">
        <f>IF($AP500="","",AP500)</f>
        <v/>
      </c>
      <c r="CP500">
        <f>IF($CM500="","",IF($CM500="Aloe Vera Gel","Aloe Vera Gel "&amp;$CO500&amp;"g",CN500&amp;" "&amp;$CO500&amp;"g"))</f>
        <v/>
      </c>
      <c r="CQ500">
        <f>IF($AT500="",0,1)</f>
        <v/>
      </c>
      <c r="CR500">
        <f>IF($CQ500=0,"",AW500)</f>
        <v/>
      </c>
      <c r="CS500">
        <f>IF($CQ500=0,"",AX500)</f>
        <v/>
      </c>
      <c r="CT500">
        <f>IF($CQ500=0,"",AY500)</f>
        <v/>
      </c>
      <c r="CU500">
        <f>IF($CR500="","",IF($CR500="Aloe Vera Gel","Aloe Vera Gel "&amp;$CT500&amp;"g",CS500&amp;" "&amp;$CT500&amp;"g"))</f>
        <v/>
      </c>
      <c r="CV500">
        <f>IF($CQ500=0,"",IF($CP500=$CU500,"Repeat Exact",IF($CT500&gt;$CO500,"Upsized",IF($CT500&lt;$CO500,"Downsized",IF($CM500&lt;&gt;$CR500,"Lateral","Same Size Diff Variant")))))</f>
        <v/>
      </c>
      <c r="CW500">
        <f>IF($CQ500=0,"",AZ500-AQ500)</f>
        <v/>
      </c>
      <c r="CX500">
        <f>IF($CQ500=0,0,IF(CS500=CN500,1,0))</f>
        <v/>
      </c>
      <c r="CY500">
        <f>IF($CQ500=0,0,IF(CR500=CM500,1,0))</f>
        <v/>
      </c>
      <c r="CZ500">
        <f>IF($A500="","",IF(AND(IF(DASHBOARD!$C$4="All",TRUE,$CM500=DASHBOARD!$C$4),IF(DASHBOARD!$C$6="All",TRUE,$CP500=DASHBOARD!$C$6),IF(DASHBOARD!$C$8="All",TRUE,$AF500&gt;=DASHBOARD!$C$8),IF(DASHBOARD!$C$10="All",TRUE,$AF500&lt;=DASHBOARD!$C$10),IF(DASHBOARD!$C$12="All",TRUE,$AH500=VALUE(DASHBOARD!$C$12)),IF(DASHBOARD!$C$14="All",TRUE,$AJ500=DASHBOARD!$C$14)),1,0))</f>
        <v/>
      </c>
    </row>
    <row r="501">
      <c r="A501" t="n">
        <v>228397</v>
      </c>
      <c r="B501" t="inlineStr">
        <is>
          <t>Aloe Vera Gel</t>
        </is>
      </c>
      <c r="H501" t="inlineStr">
        <is>
          <t>Aloe Vera Gel - 40 gms</t>
        </is>
      </c>
      <c r="N501" t="inlineStr">
        <is>
          <t>FC-HG-PA-040</t>
        </is>
      </c>
      <c r="T501" t="inlineStr">
        <is>
          <t>Oct 9, 2024</t>
        </is>
      </c>
      <c r="AE501" t="inlineStr">
        <is>
          <t>Mumbai</t>
        </is>
      </c>
      <c r="AF501" t="inlineStr">
        <is>
          <t>2024-10</t>
        </is>
      </c>
      <c r="AG501" t="n">
        <v>10</v>
      </c>
      <c r="AH501" t="n">
        <v>1</v>
      </c>
      <c r="AI501" t="n">
        <v>0</v>
      </c>
      <c r="AJ501">
        <f>IF($AE501="","",IFERROR(VLOOKUP(TRIM($AE501),DECODE!$H$3:$I$60,2,FALSE),"Rest of India"))</f>
        <v/>
      </c>
      <c r="AK501">
        <f>IF($N501="","",UPPER(TRIM(LEFT($N501&amp;",",FIND(",",$N501&amp;",")-1))))</f>
        <v/>
      </c>
      <c r="AL501">
        <f>IF($AK501="","",MID($AK501,4,FIND("~",SUBSTITUTE($AK501,"-","~",2))-4))</f>
        <v/>
      </c>
      <c r="AM501">
        <f>IF($AK501="","",MID($AK501,FIND("~",SUBSTITUTE($AK501,"-","~",2))+1,FIND("~",SUBSTITUTE($AK501,"-","~",3))-FIND("~",SUBSTITUTE($AK501,"-","~",2))-1))</f>
        <v/>
      </c>
      <c r="AN501">
        <f>IF($AL501="","",IFERROR(VLOOKUP($AL501,DECODE!$A$3:$C$8,3,FALSE),"?"))</f>
        <v/>
      </c>
      <c r="AO501">
        <f>IF($AM501="","",IFERROR(VLOOKUP($AL501&amp;"-"&amp;$AM501,DECODE!$E$3:$F$21,2,FALSE),"?"))</f>
        <v/>
      </c>
      <c r="AP501">
        <f>IF($AK501="","",IFERROR(VALUE(RIGHT($AK501,3)),""))</f>
        <v/>
      </c>
      <c r="AQ501">
        <f>IF($T501="","",IFERROR(IF(ISNUMBER($T501),$T501,DATEVALUE(TRIM($T501))),""))</f>
        <v/>
      </c>
      <c r="AR501">
        <f>IF($AQ501="","",IF(MONTH($AQ501)&gt;=12,"Cold Winter",IF(MONTH($AQ501)&gt;=10,"Post-Monsoon",IF(MONTH($AQ501)&gt;=6,"Hot Humid",IF(MONTH($AQ501)&gt;=3,"Hot Dry","Cold Winter")))))</f>
        <v/>
      </c>
      <c r="AS501">
        <f>IF($AL501="","",IFERROR(VLOOKUP($AL501,DECODE!$A$3:$C$8,2,FALSE),"?"))</f>
        <v/>
      </c>
      <c r="AT501">
        <f>IF($O501="","",UPPER(TRIM(LEFT($O501&amp;",",FIND(",",$O501&amp;",")-1))))</f>
        <v/>
      </c>
      <c r="AU501">
        <f>IF($AT501="","",MID($AT501,4,FIND("~",SUBSTITUTE($AT501,"-","~",2))-4))</f>
        <v/>
      </c>
      <c r="AV501">
        <f>IF($AT501="","",MID($AT501,FIND("~",SUBSTITUTE($AT501,"-","~",2))+1,FIND("~",SUBSTITUTE($AT501,"-","~",3))-FIND("~",SUBSTITUTE($AT501,"-","~",2))-1))</f>
        <v/>
      </c>
      <c r="AW501">
        <f>IF($AU501="","",IFERROR(VLOOKUP($AU501,DECODE!$A$3:$C$8,3,FALSE),"?"))</f>
        <v/>
      </c>
      <c r="AX501">
        <f>IF($AV501="","",IFERROR(VLOOKUP($AU501&amp;"-"&amp;$AV501,DECODE!$E$3:$F$21,2,FALSE),"?"))</f>
        <v/>
      </c>
      <c r="AY501">
        <f>IF($AT501="","",IFERROR(VALUE(RIGHT($AT501,3)),""))</f>
        <v/>
      </c>
      <c r="AZ501">
        <f>IF($U501="","",IFERROR(IF(ISNUMBER($U501),$U501,DATEVALUE(TRIM($U501))),""))</f>
        <v/>
      </c>
      <c r="BA501">
        <f>IF($AZ501="","",IF(MONTH($AZ501)&gt;=12,"Cold Winter",IF(MONTH($AZ501)&gt;=10,"Post-Monsoon",IF(MONTH($AZ501)&gt;=6,"Hot Humid",IF(MONTH($AZ501)&gt;=3,"Hot Dry","Cold Winter")))))</f>
        <v/>
      </c>
      <c r="BB501">
        <f>IF($AU501="","",IFERROR(VLOOKUP($AU501,DECODE!$A$3:$C$8,2,FALSE),"?"))</f>
        <v/>
      </c>
      <c r="BC501">
        <f>IF($P501="","",UPPER(TRIM(LEFT($P501&amp;",",FIND(",",$P501&amp;",")-1))))</f>
        <v/>
      </c>
      <c r="BD501">
        <f>IF($BC501="","",MID($BC501,4,FIND("~",SUBSTITUTE($BC501,"-","~",2))-4))</f>
        <v/>
      </c>
      <c r="BE501">
        <f>IF($BC501="","",MID($BC501,FIND("~",SUBSTITUTE($BC501,"-","~",2))+1,FIND("~",SUBSTITUTE($BC501,"-","~",3))-FIND("~",SUBSTITUTE($BC501,"-","~",2))-1))</f>
        <v/>
      </c>
      <c r="BF501">
        <f>IF($BD501="","",IFERROR(VLOOKUP($BD501,DECODE!$A$3:$C$8,3,FALSE),"?"))</f>
        <v/>
      </c>
      <c r="BG501">
        <f>IF($BE501="","",IFERROR(VLOOKUP($BD501&amp;"-"&amp;$BE501,DECODE!$E$3:$F$21,2,FALSE),"?"))</f>
        <v/>
      </c>
      <c r="BH501">
        <f>IF($BC501="","",IFERROR(VALUE(RIGHT($BC501,3)),""))</f>
        <v/>
      </c>
      <c r="BI501">
        <f>IF($V501="","",IFERROR(IF(ISNUMBER($V501),$V501,DATEVALUE(TRIM($V501))),""))</f>
        <v/>
      </c>
      <c r="BJ501">
        <f>IF($BI501="","",IF(MONTH($BI501)&gt;=12,"Cold Winter",IF(MONTH($BI501)&gt;=10,"Post-Monsoon",IF(MONTH($BI501)&gt;=6,"Hot Humid",IF(MONTH($BI501)&gt;=3,"Hot Dry","Cold Winter")))))</f>
        <v/>
      </c>
      <c r="BK501">
        <f>IF($BD501="","",IFERROR(VLOOKUP($BD501,DECODE!$A$3:$C$8,2,FALSE),"?"))</f>
        <v/>
      </c>
      <c r="BL501">
        <f>IF($Q501="","",UPPER(TRIM(LEFT($Q501&amp;",",FIND(",",$Q501&amp;",")-1))))</f>
        <v/>
      </c>
      <c r="BM501">
        <f>IF($BL501="","",MID($BL501,4,FIND("~",SUBSTITUTE($BL501,"-","~",2))-4))</f>
        <v/>
      </c>
      <c r="BN501">
        <f>IF($BL501="","",MID($BL501,FIND("~",SUBSTITUTE($BL501,"-","~",2))+1,FIND("~",SUBSTITUTE($BL501,"-","~",3))-FIND("~",SUBSTITUTE($BL501,"-","~",2))-1))</f>
        <v/>
      </c>
      <c r="BO501">
        <f>IF($BM501="","",IFERROR(VLOOKUP($BM501,DECODE!$A$3:$C$8,3,FALSE),"?"))</f>
        <v/>
      </c>
      <c r="BP501">
        <f>IF($BN501="","",IFERROR(VLOOKUP($BM501&amp;"-"&amp;$BN501,DECODE!$E$3:$F$21,2,FALSE),"?"))</f>
        <v/>
      </c>
      <c r="BQ501">
        <f>IF($BL501="","",IFERROR(VALUE(RIGHT($BL501,3)),""))</f>
        <v/>
      </c>
      <c r="BR501">
        <f>IF($W501="","",IFERROR(IF(ISNUMBER($W501),$W501,DATEVALUE(TRIM($W501))),""))</f>
        <v/>
      </c>
      <c r="BS501">
        <f>IF($BR501="","",IF(MONTH($BR501)&gt;=12,"Cold Winter",IF(MONTH($BR501)&gt;=10,"Post-Monsoon",IF(MONTH($BR501)&gt;=6,"Hot Humid",IF(MONTH($BR501)&gt;=3,"Hot Dry","Cold Winter")))))</f>
        <v/>
      </c>
      <c r="BT501">
        <f>IF($BM501="","",IFERROR(VLOOKUP($BM501,DECODE!$A$3:$C$8,2,FALSE),"?"))</f>
        <v/>
      </c>
      <c r="BU501">
        <f>IF($R501="","",UPPER(TRIM(LEFT($R501&amp;",",FIND(",",$R501&amp;",")-1))))</f>
        <v/>
      </c>
      <c r="BV501">
        <f>IF($BU501="","",MID($BU501,4,FIND("~",SUBSTITUTE($BU501,"-","~",2))-4))</f>
        <v/>
      </c>
      <c r="BW501">
        <f>IF($BU501="","",MID($BU501,FIND("~",SUBSTITUTE($BU501,"-","~",2))+1,FIND("~",SUBSTITUTE($BU501,"-","~",3))-FIND("~",SUBSTITUTE($BU501,"-","~",2))-1))</f>
        <v/>
      </c>
      <c r="BX501">
        <f>IF($BV501="","",IFERROR(VLOOKUP($BV501,DECODE!$A$3:$C$8,3,FALSE),"?"))</f>
        <v/>
      </c>
      <c r="BY501">
        <f>IF($BW501="","",IFERROR(VLOOKUP($BV501&amp;"-"&amp;$BW501,DECODE!$E$3:$F$21,2,FALSE),"?"))</f>
        <v/>
      </c>
      <c r="BZ501">
        <f>IF($BU501="","",IFERROR(VALUE(RIGHT($BU501,3)),""))</f>
        <v/>
      </c>
      <c r="CA501">
        <f>IF($X501="","",IFERROR(IF(ISNUMBER($X501),$X501,DATEVALUE(TRIM($X501))),""))</f>
        <v/>
      </c>
      <c r="CB501">
        <f>IF($CA501="","",IF(MONTH($CA501)&gt;=12,"Cold Winter",IF(MONTH($CA501)&gt;=10,"Post-Monsoon",IF(MONTH($CA501)&gt;=6,"Hot Humid",IF(MONTH($CA501)&gt;=3,"Hot Dry","Cold Winter")))))</f>
        <v/>
      </c>
      <c r="CC501">
        <f>IF($BV501="","",IFERROR(VLOOKUP($BV501,DECODE!$A$3:$C$8,2,FALSE),"?"))</f>
        <v/>
      </c>
      <c r="CD501">
        <f>IF($S501="","",UPPER(TRIM(LEFT($S501&amp;",",FIND(",",$S501&amp;",")-1))))</f>
        <v/>
      </c>
      <c r="CE501">
        <f>IF($CD501="","",MID($CD501,4,FIND("~",SUBSTITUTE($CD501,"-","~",2))-4))</f>
        <v/>
      </c>
      <c r="CF501">
        <f>IF($CD501="","",MID($CD501,FIND("~",SUBSTITUTE($CD501,"-","~",2))+1,FIND("~",SUBSTITUTE($CD501,"-","~",3))-FIND("~",SUBSTITUTE($CD501,"-","~",2))-1))</f>
        <v/>
      </c>
      <c r="CG501">
        <f>IF($CE501="","",IFERROR(VLOOKUP($CE501,DECODE!$A$3:$C$8,3,FALSE),"?"))</f>
        <v/>
      </c>
      <c r="CH501">
        <f>IF($CF501="","",IFERROR(VLOOKUP($CE501&amp;"-"&amp;$CF501,DECODE!$E$3:$F$21,2,FALSE),"?"))</f>
        <v/>
      </c>
      <c r="CI501">
        <f>IF($CD501="","",IFERROR(VALUE(RIGHT($CD501,3)),""))</f>
        <v/>
      </c>
      <c r="CJ501">
        <f>IF($Y501="","",IFERROR(IF(ISNUMBER($Y501),$Y501,DATEVALUE(TRIM($Y501))),""))</f>
        <v/>
      </c>
      <c r="CK501">
        <f>IF($CJ501="","",IF(MONTH($CJ501)&gt;=12,"Cold Winter",IF(MONTH($CJ501)&gt;=10,"Post-Monsoon",IF(MONTH($CJ501)&gt;=6,"Hot Humid",IF(MONTH($CJ501)&gt;=3,"Hot Dry","Cold Winter")))))</f>
        <v/>
      </c>
      <c r="CL501">
        <f>IF($CE501="","",IFERROR(VLOOKUP($CE501,DECODE!$A$3:$C$8,2,FALSE),"?"))</f>
        <v/>
      </c>
      <c r="CM501">
        <f>IF($AN501="","",AN501)</f>
        <v/>
      </c>
      <c r="CN501">
        <f>IF($AO501="","",AO501)</f>
        <v/>
      </c>
      <c r="CO501">
        <f>IF($AP501="","",AP501)</f>
        <v/>
      </c>
      <c r="CP501">
        <f>IF($CM501="","",IF($CM501="Aloe Vera Gel","Aloe Vera Gel "&amp;$CO501&amp;"g",CN501&amp;" "&amp;$CO501&amp;"g"))</f>
        <v/>
      </c>
      <c r="CQ501">
        <f>IF($AT501="",0,1)</f>
        <v/>
      </c>
      <c r="CR501">
        <f>IF($CQ501=0,"",AW501)</f>
        <v/>
      </c>
      <c r="CS501">
        <f>IF($CQ501=0,"",AX501)</f>
        <v/>
      </c>
      <c r="CT501">
        <f>IF($CQ501=0,"",AY501)</f>
        <v/>
      </c>
      <c r="CU501">
        <f>IF($CR501="","",IF($CR501="Aloe Vera Gel","Aloe Vera Gel "&amp;$CT501&amp;"g",CS501&amp;" "&amp;$CT501&amp;"g"))</f>
        <v/>
      </c>
      <c r="CV501">
        <f>IF($CQ501=0,"",IF($CP501=$CU501,"Repeat Exact",IF($CT501&gt;$CO501,"Upsized",IF($CT501&lt;$CO501,"Downsized",IF($CM501&lt;&gt;$CR501,"Lateral","Same Size Diff Variant")))))</f>
        <v/>
      </c>
      <c r="CW501">
        <f>IF($CQ501=0,"",AZ501-AQ501)</f>
        <v/>
      </c>
      <c r="CX501">
        <f>IF($CQ501=0,0,IF(CS501=CN501,1,0))</f>
        <v/>
      </c>
      <c r="CY501">
        <f>IF($CQ501=0,0,IF(CR501=CM501,1,0))</f>
        <v/>
      </c>
      <c r="CZ501">
        <f>IF($A501="","",IF(AND(IF(DASHBOARD!$C$4="All",TRUE,$CM501=DASHBOARD!$C$4),IF(DASHBOARD!$C$6="All",TRUE,$CP501=DASHBOARD!$C$6),IF(DASHBOARD!$C$8="All",TRUE,$AF501&gt;=DASHBOARD!$C$8),IF(DASHBOARD!$C$10="All",TRUE,$AF501&lt;=DASHBOARD!$C$10),IF(DASHBOARD!$C$12="All",TRUE,$AH501=VALUE(DASHBOARD!$C$12)),IF(DASHBOARD!$C$14="All",TRUE,$AJ501=DASHBOARD!$C$14)),1,0))</f>
        <v/>
      </c>
    </row>
    <row r="502">
      <c r="A502" t="n">
        <v>228673</v>
      </c>
      <c r="B502" t="inlineStr">
        <is>
          <t>Active Gel, Face Malai</t>
        </is>
      </c>
      <c r="H502" t="inlineStr">
        <is>
          <t>Flax Bakuchi (Hot Dry) 35+ Face Malai - 30g, Active Olive Vit-E Night Gel</t>
        </is>
      </c>
      <c r="N502" t="inlineStr">
        <is>
          <t>FC-AC-OV-050, FC-HDDM-FB-030</t>
        </is>
      </c>
      <c r="T502" t="inlineStr">
        <is>
          <t>Jan 14, 2024</t>
        </is>
      </c>
      <c r="AE502" t="inlineStr">
        <is>
          <t>Bengaluru</t>
        </is>
      </c>
      <c r="AF502" t="inlineStr">
        <is>
          <t>2024-01</t>
        </is>
      </c>
      <c r="AG502" t="n">
        <v>1</v>
      </c>
      <c r="AH502" t="n">
        <v>1</v>
      </c>
      <c r="AI502" t="n">
        <v>0</v>
      </c>
      <c r="AJ502">
        <f>IF($AE502="","",IFERROR(VLOOKUP(TRIM($AE502),DECODE!$H$3:$I$60,2,FALSE),"Rest of India"))</f>
        <v/>
      </c>
      <c r="AK502">
        <f>IF($N502="","",UPPER(TRIM(LEFT($N502&amp;",",FIND(",",$N502&amp;",")-1))))</f>
        <v/>
      </c>
      <c r="AL502">
        <f>IF($AK502="","",MID($AK502,4,FIND("~",SUBSTITUTE($AK502,"-","~",2))-4))</f>
        <v/>
      </c>
      <c r="AM502">
        <f>IF($AK502="","",MID($AK502,FIND("~",SUBSTITUTE($AK502,"-","~",2))+1,FIND("~",SUBSTITUTE($AK502,"-","~",3))-FIND("~",SUBSTITUTE($AK502,"-","~",2))-1))</f>
        <v/>
      </c>
      <c r="AN502">
        <f>IF($AL502="","",IFERROR(VLOOKUP($AL502,DECODE!$A$3:$C$8,3,FALSE),"?"))</f>
        <v/>
      </c>
      <c r="AO502">
        <f>IF($AM502="","",IFERROR(VLOOKUP($AL502&amp;"-"&amp;$AM502,DECODE!$E$3:$F$21,2,FALSE),"?"))</f>
        <v/>
      </c>
      <c r="AP502">
        <f>IF($AK502="","",IFERROR(VALUE(RIGHT($AK502,3)),""))</f>
        <v/>
      </c>
      <c r="AQ502">
        <f>IF($T502="","",IFERROR(IF(ISNUMBER($T502),$T502,DATEVALUE(TRIM($T502))),""))</f>
        <v/>
      </c>
      <c r="AR502">
        <f>IF($AQ502="","",IF(MONTH($AQ502)&gt;=12,"Cold Winter",IF(MONTH($AQ502)&gt;=10,"Post-Monsoon",IF(MONTH($AQ502)&gt;=6,"Hot Humid",IF(MONTH($AQ502)&gt;=3,"Hot Dry","Cold Winter")))))</f>
        <v/>
      </c>
      <c r="AS502">
        <f>IF($AL502="","",IFERROR(VLOOKUP($AL502,DECODE!$A$3:$C$8,2,FALSE),"?"))</f>
        <v/>
      </c>
      <c r="AT502">
        <f>IF($O502="","",UPPER(TRIM(LEFT($O502&amp;",",FIND(",",$O502&amp;",")-1))))</f>
        <v/>
      </c>
      <c r="AU502">
        <f>IF($AT502="","",MID($AT502,4,FIND("~",SUBSTITUTE($AT502,"-","~",2))-4))</f>
        <v/>
      </c>
      <c r="AV502">
        <f>IF($AT502="","",MID($AT502,FIND("~",SUBSTITUTE($AT502,"-","~",2))+1,FIND("~",SUBSTITUTE($AT502,"-","~",3))-FIND("~",SUBSTITUTE($AT502,"-","~",2))-1))</f>
        <v/>
      </c>
      <c r="AW502">
        <f>IF($AU502="","",IFERROR(VLOOKUP($AU502,DECODE!$A$3:$C$8,3,FALSE),"?"))</f>
        <v/>
      </c>
      <c r="AX502">
        <f>IF($AV502="","",IFERROR(VLOOKUP($AU502&amp;"-"&amp;$AV502,DECODE!$E$3:$F$21,2,FALSE),"?"))</f>
        <v/>
      </c>
      <c r="AY502">
        <f>IF($AT502="","",IFERROR(VALUE(RIGHT($AT502,3)),""))</f>
        <v/>
      </c>
      <c r="AZ502">
        <f>IF($U502="","",IFERROR(IF(ISNUMBER($U502),$U502,DATEVALUE(TRIM($U502))),""))</f>
        <v/>
      </c>
      <c r="BA502">
        <f>IF($AZ502="","",IF(MONTH($AZ502)&gt;=12,"Cold Winter",IF(MONTH($AZ502)&gt;=10,"Post-Monsoon",IF(MONTH($AZ502)&gt;=6,"Hot Humid",IF(MONTH($AZ502)&gt;=3,"Hot Dry","Cold Winter")))))</f>
        <v/>
      </c>
      <c r="BB502">
        <f>IF($AU502="","",IFERROR(VLOOKUP($AU502,DECODE!$A$3:$C$8,2,FALSE),"?"))</f>
        <v/>
      </c>
      <c r="BC502">
        <f>IF($P502="","",UPPER(TRIM(LEFT($P502&amp;",",FIND(",",$P502&amp;",")-1))))</f>
        <v/>
      </c>
      <c r="BD502">
        <f>IF($BC502="","",MID($BC502,4,FIND("~",SUBSTITUTE($BC502,"-","~",2))-4))</f>
        <v/>
      </c>
      <c r="BE502">
        <f>IF($BC502="","",MID($BC502,FIND("~",SUBSTITUTE($BC502,"-","~",2))+1,FIND("~",SUBSTITUTE($BC502,"-","~",3))-FIND("~",SUBSTITUTE($BC502,"-","~",2))-1))</f>
        <v/>
      </c>
      <c r="BF502">
        <f>IF($BD502="","",IFERROR(VLOOKUP($BD502,DECODE!$A$3:$C$8,3,FALSE),"?"))</f>
        <v/>
      </c>
      <c r="BG502">
        <f>IF($BE502="","",IFERROR(VLOOKUP($BD502&amp;"-"&amp;$BE502,DECODE!$E$3:$F$21,2,FALSE),"?"))</f>
        <v/>
      </c>
      <c r="BH502">
        <f>IF($BC502="","",IFERROR(VALUE(RIGHT($BC502,3)),""))</f>
        <v/>
      </c>
      <c r="BI502">
        <f>IF($V502="","",IFERROR(IF(ISNUMBER($V502),$V502,DATEVALUE(TRIM($V502))),""))</f>
        <v/>
      </c>
      <c r="BJ502">
        <f>IF($BI502="","",IF(MONTH($BI502)&gt;=12,"Cold Winter",IF(MONTH($BI502)&gt;=10,"Post-Monsoon",IF(MONTH($BI502)&gt;=6,"Hot Humid",IF(MONTH($BI502)&gt;=3,"Hot Dry","Cold Winter")))))</f>
        <v/>
      </c>
      <c r="BK502">
        <f>IF($BD502="","",IFERROR(VLOOKUP($BD502,DECODE!$A$3:$C$8,2,FALSE),"?"))</f>
        <v/>
      </c>
      <c r="BL502">
        <f>IF($Q502="","",UPPER(TRIM(LEFT($Q502&amp;",",FIND(",",$Q502&amp;",")-1))))</f>
        <v/>
      </c>
      <c r="BM502">
        <f>IF($BL502="","",MID($BL502,4,FIND("~",SUBSTITUTE($BL502,"-","~",2))-4))</f>
        <v/>
      </c>
      <c r="BN502">
        <f>IF($BL502="","",MID($BL502,FIND("~",SUBSTITUTE($BL502,"-","~",2))+1,FIND("~",SUBSTITUTE($BL502,"-","~",3))-FIND("~",SUBSTITUTE($BL502,"-","~",2))-1))</f>
        <v/>
      </c>
      <c r="BO502">
        <f>IF($BM502="","",IFERROR(VLOOKUP($BM502,DECODE!$A$3:$C$8,3,FALSE),"?"))</f>
        <v/>
      </c>
      <c r="BP502">
        <f>IF($BN502="","",IFERROR(VLOOKUP($BM502&amp;"-"&amp;$BN502,DECODE!$E$3:$F$21,2,FALSE),"?"))</f>
        <v/>
      </c>
      <c r="BQ502">
        <f>IF($BL502="","",IFERROR(VALUE(RIGHT($BL502,3)),""))</f>
        <v/>
      </c>
      <c r="BR502">
        <f>IF($W502="","",IFERROR(IF(ISNUMBER($W502),$W502,DATEVALUE(TRIM($W502))),""))</f>
        <v/>
      </c>
      <c r="BS502">
        <f>IF($BR502="","",IF(MONTH($BR502)&gt;=12,"Cold Winter",IF(MONTH($BR502)&gt;=10,"Post-Monsoon",IF(MONTH($BR502)&gt;=6,"Hot Humid",IF(MONTH($BR502)&gt;=3,"Hot Dry","Cold Winter")))))</f>
        <v/>
      </c>
      <c r="BT502">
        <f>IF($BM502="","",IFERROR(VLOOKUP($BM502,DECODE!$A$3:$C$8,2,FALSE),"?"))</f>
        <v/>
      </c>
      <c r="BU502">
        <f>IF($R502="","",UPPER(TRIM(LEFT($R502&amp;",",FIND(",",$R502&amp;",")-1))))</f>
        <v/>
      </c>
      <c r="BV502">
        <f>IF($BU502="","",MID($BU502,4,FIND("~",SUBSTITUTE($BU502,"-","~",2))-4))</f>
        <v/>
      </c>
      <c r="BW502">
        <f>IF($BU502="","",MID($BU502,FIND("~",SUBSTITUTE($BU502,"-","~",2))+1,FIND("~",SUBSTITUTE($BU502,"-","~",3))-FIND("~",SUBSTITUTE($BU502,"-","~",2))-1))</f>
        <v/>
      </c>
      <c r="BX502">
        <f>IF($BV502="","",IFERROR(VLOOKUP($BV502,DECODE!$A$3:$C$8,3,FALSE),"?"))</f>
        <v/>
      </c>
      <c r="BY502">
        <f>IF($BW502="","",IFERROR(VLOOKUP($BV502&amp;"-"&amp;$BW502,DECODE!$E$3:$F$21,2,FALSE),"?"))</f>
        <v/>
      </c>
      <c r="BZ502">
        <f>IF($BU502="","",IFERROR(VALUE(RIGHT($BU502,3)),""))</f>
        <v/>
      </c>
      <c r="CA502">
        <f>IF($X502="","",IFERROR(IF(ISNUMBER($X502),$X502,DATEVALUE(TRIM($X502))),""))</f>
        <v/>
      </c>
      <c r="CB502">
        <f>IF($CA502="","",IF(MONTH($CA502)&gt;=12,"Cold Winter",IF(MONTH($CA502)&gt;=10,"Post-Monsoon",IF(MONTH($CA502)&gt;=6,"Hot Humid",IF(MONTH($CA502)&gt;=3,"Hot Dry","Cold Winter")))))</f>
        <v/>
      </c>
      <c r="CC502">
        <f>IF($BV502="","",IFERROR(VLOOKUP($BV502,DECODE!$A$3:$C$8,2,FALSE),"?"))</f>
        <v/>
      </c>
      <c r="CD502">
        <f>IF($S502="","",UPPER(TRIM(LEFT($S502&amp;",",FIND(",",$S502&amp;",")-1))))</f>
        <v/>
      </c>
      <c r="CE502">
        <f>IF($CD502="","",MID($CD502,4,FIND("~",SUBSTITUTE($CD502,"-","~",2))-4))</f>
        <v/>
      </c>
      <c r="CF502">
        <f>IF($CD502="","",MID($CD502,FIND("~",SUBSTITUTE($CD502,"-","~",2))+1,FIND("~",SUBSTITUTE($CD502,"-","~",3))-FIND("~",SUBSTITUTE($CD502,"-","~",2))-1))</f>
        <v/>
      </c>
      <c r="CG502">
        <f>IF($CE502="","",IFERROR(VLOOKUP($CE502,DECODE!$A$3:$C$8,3,FALSE),"?"))</f>
        <v/>
      </c>
      <c r="CH502">
        <f>IF($CF502="","",IFERROR(VLOOKUP($CE502&amp;"-"&amp;$CF502,DECODE!$E$3:$F$21,2,FALSE),"?"))</f>
        <v/>
      </c>
      <c r="CI502">
        <f>IF($CD502="","",IFERROR(VALUE(RIGHT($CD502,3)),""))</f>
        <v/>
      </c>
      <c r="CJ502">
        <f>IF($Y502="","",IFERROR(IF(ISNUMBER($Y502),$Y502,DATEVALUE(TRIM($Y502))),""))</f>
        <v/>
      </c>
      <c r="CK502">
        <f>IF($CJ502="","",IF(MONTH($CJ502)&gt;=12,"Cold Winter",IF(MONTH($CJ502)&gt;=10,"Post-Monsoon",IF(MONTH($CJ502)&gt;=6,"Hot Humid",IF(MONTH($CJ502)&gt;=3,"Hot Dry","Cold Winter")))))</f>
        <v/>
      </c>
      <c r="CL502">
        <f>IF($CE502="","",IFERROR(VLOOKUP($CE502,DECODE!$A$3:$C$8,2,FALSE),"?"))</f>
        <v/>
      </c>
      <c r="CM502">
        <f>IF($AN502="","",AN502)</f>
        <v/>
      </c>
      <c r="CN502">
        <f>IF($AO502="","",AO502)</f>
        <v/>
      </c>
      <c r="CO502">
        <f>IF($AP502="","",AP502)</f>
        <v/>
      </c>
      <c r="CP502">
        <f>IF($CM502="","",IF($CM502="Aloe Vera Gel","Aloe Vera Gel "&amp;$CO502&amp;"g",CN502&amp;" "&amp;$CO502&amp;"g"))</f>
        <v/>
      </c>
      <c r="CQ502">
        <f>IF($AT502="",0,1)</f>
        <v/>
      </c>
      <c r="CR502">
        <f>IF($CQ502=0,"",AW502)</f>
        <v/>
      </c>
      <c r="CS502">
        <f>IF($CQ502=0,"",AX502)</f>
        <v/>
      </c>
      <c r="CT502">
        <f>IF($CQ502=0,"",AY502)</f>
        <v/>
      </c>
      <c r="CU502">
        <f>IF($CR502="","",IF($CR502="Aloe Vera Gel","Aloe Vera Gel "&amp;$CT502&amp;"g",CS502&amp;" "&amp;$CT502&amp;"g"))</f>
        <v/>
      </c>
      <c r="CV502">
        <f>IF($CQ502=0,"",IF($CP502=$CU502,"Repeat Exact",IF($CT502&gt;$CO502,"Upsized",IF($CT502&lt;$CO502,"Downsized",IF($CM502&lt;&gt;$CR502,"Lateral","Same Size Diff Variant")))))</f>
        <v/>
      </c>
      <c r="CW502">
        <f>IF($CQ502=0,"",AZ502-AQ502)</f>
        <v/>
      </c>
      <c r="CX502">
        <f>IF($CQ502=0,0,IF(CS502=CN502,1,0))</f>
        <v/>
      </c>
      <c r="CY502">
        <f>IF($CQ502=0,0,IF(CR502=CM502,1,0))</f>
        <v/>
      </c>
      <c r="CZ502">
        <f>IF($A502="","",IF(AND(IF(DASHBOARD!$C$4="All",TRUE,$CM502=DASHBOARD!$C$4),IF(DASHBOARD!$C$6="All",TRUE,$CP502=DASHBOARD!$C$6),IF(DASHBOARD!$C$8="All",TRUE,$AF502&gt;=DASHBOARD!$C$8),IF(DASHBOARD!$C$10="All",TRUE,$AF502&lt;=DASHBOARD!$C$10),IF(DASHBOARD!$C$12="All",TRUE,$AH502=VALUE(DASHBOARD!$C$12)),IF(DASHBOARD!$C$14="All",TRUE,$AJ502=DASHBOARD!$C$14)),1,0))</f>
        <v/>
      </c>
    </row>
    <row r="503">
      <c r="A503" t="n">
        <v>228781</v>
      </c>
      <c r="B503" t="inlineStr">
        <is>
          <t>Face Malai</t>
        </is>
      </c>
      <c r="H503" t="inlineStr">
        <is>
          <t>Turmeric Nutmeg (Pigmentation)  Face Malai - 30g</t>
        </is>
      </c>
      <c r="N503" t="inlineStr">
        <is>
          <t>FC-DM-PG-030</t>
        </is>
      </c>
      <c r="T503" t="inlineStr">
        <is>
          <t>Aug 13, 2024</t>
        </is>
      </c>
      <c r="AE503" t="inlineStr">
        <is>
          <t>Mumbai</t>
        </is>
      </c>
      <c r="AF503" t="inlineStr">
        <is>
          <t>2024-08</t>
        </is>
      </c>
      <c r="AG503" t="n">
        <v>8</v>
      </c>
      <c r="AH503" t="n">
        <v>1</v>
      </c>
      <c r="AI503" t="n">
        <v>0</v>
      </c>
      <c r="AJ503">
        <f>IF($AE503="","",IFERROR(VLOOKUP(TRIM($AE503),DECODE!$H$3:$I$60,2,FALSE),"Rest of India"))</f>
        <v/>
      </c>
      <c r="AK503">
        <f>IF($N503="","",UPPER(TRIM(LEFT($N503&amp;",",FIND(",",$N503&amp;",")-1))))</f>
        <v/>
      </c>
      <c r="AL503">
        <f>IF($AK503="","",MID($AK503,4,FIND("~",SUBSTITUTE($AK503,"-","~",2))-4))</f>
        <v/>
      </c>
      <c r="AM503">
        <f>IF($AK503="","",MID($AK503,FIND("~",SUBSTITUTE($AK503,"-","~",2))+1,FIND("~",SUBSTITUTE($AK503,"-","~",3))-FIND("~",SUBSTITUTE($AK503,"-","~",2))-1))</f>
        <v/>
      </c>
      <c r="AN503">
        <f>IF($AL503="","",IFERROR(VLOOKUP($AL503,DECODE!$A$3:$C$8,3,FALSE),"?"))</f>
        <v/>
      </c>
      <c r="AO503">
        <f>IF($AM503="","",IFERROR(VLOOKUP($AL503&amp;"-"&amp;$AM503,DECODE!$E$3:$F$21,2,FALSE),"?"))</f>
        <v/>
      </c>
      <c r="AP503">
        <f>IF($AK503="","",IFERROR(VALUE(RIGHT($AK503,3)),""))</f>
        <v/>
      </c>
      <c r="AQ503">
        <f>IF($T503="","",IFERROR(IF(ISNUMBER($T503),$T503,DATEVALUE(TRIM($T503))),""))</f>
        <v/>
      </c>
      <c r="AR503">
        <f>IF($AQ503="","",IF(MONTH($AQ503)&gt;=12,"Cold Winter",IF(MONTH($AQ503)&gt;=10,"Post-Monsoon",IF(MONTH($AQ503)&gt;=6,"Hot Humid",IF(MONTH($AQ503)&gt;=3,"Hot Dry","Cold Winter")))))</f>
        <v/>
      </c>
      <c r="AS503">
        <f>IF($AL503="","",IFERROR(VLOOKUP($AL503,DECODE!$A$3:$C$8,2,FALSE),"?"))</f>
        <v/>
      </c>
      <c r="AT503">
        <f>IF($O503="","",UPPER(TRIM(LEFT($O503&amp;",",FIND(",",$O503&amp;",")-1))))</f>
        <v/>
      </c>
      <c r="AU503">
        <f>IF($AT503="","",MID($AT503,4,FIND("~",SUBSTITUTE($AT503,"-","~",2))-4))</f>
        <v/>
      </c>
      <c r="AV503">
        <f>IF($AT503="","",MID($AT503,FIND("~",SUBSTITUTE($AT503,"-","~",2))+1,FIND("~",SUBSTITUTE($AT503,"-","~",3))-FIND("~",SUBSTITUTE($AT503,"-","~",2))-1))</f>
        <v/>
      </c>
      <c r="AW503">
        <f>IF($AU503="","",IFERROR(VLOOKUP($AU503,DECODE!$A$3:$C$8,3,FALSE),"?"))</f>
        <v/>
      </c>
      <c r="AX503">
        <f>IF($AV503="","",IFERROR(VLOOKUP($AU503&amp;"-"&amp;$AV503,DECODE!$E$3:$F$21,2,FALSE),"?"))</f>
        <v/>
      </c>
      <c r="AY503">
        <f>IF($AT503="","",IFERROR(VALUE(RIGHT($AT503,3)),""))</f>
        <v/>
      </c>
      <c r="AZ503">
        <f>IF($U503="","",IFERROR(IF(ISNUMBER($U503),$U503,DATEVALUE(TRIM($U503))),""))</f>
        <v/>
      </c>
      <c r="BA503">
        <f>IF($AZ503="","",IF(MONTH($AZ503)&gt;=12,"Cold Winter",IF(MONTH($AZ503)&gt;=10,"Post-Monsoon",IF(MONTH($AZ503)&gt;=6,"Hot Humid",IF(MONTH($AZ503)&gt;=3,"Hot Dry","Cold Winter")))))</f>
        <v/>
      </c>
      <c r="BB503">
        <f>IF($AU503="","",IFERROR(VLOOKUP($AU503,DECODE!$A$3:$C$8,2,FALSE),"?"))</f>
        <v/>
      </c>
      <c r="BC503">
        <f>IF($P503="","",UPPER(TRIM(LEFT($P503&amp;",",FIND(",",$P503&amp;",")-1))))</f>
        <v/>
      </c>
      <c r="BD503">
        <f>IF($BC503="","",MID($BC503,4,FIND("~",SUBSTITUTE($BC503,"-","~",2))-4))</f>
        <v/>
      </c>
      <c r="BE503">
        <f>IF($BC503="","",MID($BC503,FIND("~",SUBSTITUTE($BC503,"-","~",2))+1,FIND("~",SUBSTITUTE($BC503,"-","~",3))-FIND("~",SUBSTITUTE($BC503,"-","~",2))-1))</f>
        <v/>
      </c>
      <c r="BF503">
        <f>IF($BD503="","",IFERROR(VLOOKUP($BD503,DECODE!$A$3:$C$8,3,FALSE),"?"))</f>
        <v/>
      </c>
      <c r="BG503">
        <f>IF($BE503="","",IFERROR(VLOOKUP($BD503&amp;"-"&amp;$BE503,DECODE!$E$3:$F$21,2,FALSE),"?"))</f>
        <v/>
      </c>
      <c r="BH503">
        <f>IF($BC503="","",IFERROR(VALUE(RIGHT($BC503,3)),""))</f>
        <v/>
      </c>
      <c r="BI503">
        <f>IF($V503="","",IFERROR(IF(ISNUMBER($V503),$V503,DATEVALUE(TRIM($V503))),""))</f>
        <v/>
      </c>
      <c r="BJ503">
        <f>IF($BI503="","",IF(MONTH($BI503)&gt;=12,"Cold Winter",IF(MONTH($BI503)&gt;=10,"Post-Monsoon",IF(MONTH($BI503)&gt;=6,"Hot Humid",IF(MONTH($BI503)&gt;=3,"Hot Dry","Cold Winter")))))</f>
        <v/>
      </c>
      <c r="BK503">
        <f>IF($BD503="","",IFERROR(VLOOKUP($BD503,DECODE!$A$3:$C$8,2,FALSE),"?"))</f>
        <v/>
      </c>
      <c r="BL503">
        <f>IF($Q503="","",UPPER(TRIM(LEFT($Q503&amp;",",FIND(",",$Q503&amp;",")-1))))</f>
        <v/>
      </c>
      <c r="BM503">
        <f>IF($BL503="","",MID($BL503,4,FIND("~",SUBSTITUTE($BL503,"-","~",2))-4))</f>
        <v/>
      </c>
      <c r="BN503">
        <f>IF($BL503="","",MID($BL503,FIND("~",SUBSTITUTE($BL503,"-","~",2))+1,FIND("~",SUBSTITUTE($BL503,"-","~",3))-FIND("~",SUBSTITUTE($BL503,"-","~",2))-1))</f>
        <v/>
      </c>
      <c r="BO503">
        <f>IF($BM503="","",IFERROR(VLOOKUP($BM503,DECODE!$A$3:$C$8,3,FALSE),"?"))</f>
        <v/>
      </c>
      <c r="BP503">
        <f>IF($BN503="","",IFERROR(VLOOKUP($BM503&amp;"-"&amp;$BN503,DECODE!$E$3:$F$21,2,FALSE),"?"))</f>
        <v/>
      </c>
      <c r="BQ503">
        <f>IF($BL503="","",IFERROR(VALUE(RIGHT($BL503,3)),""))</f>
        <v/>
      </c>
      <c r="BR503">
        <f>IF($W503="","",IFERROR(IF(ISNUMBER($W503),$W503,DATEVALUE(TRIM($W503))),""))</f>
        <v/>
      </c>
      <c r="BS503">
        <f>IF($BR503="","",IF(MONTH($BR503)&gt;=12,"Cold Winter",IF(MONTH($BR503)&gt;=10,"Post-Monsoon",IF(MONTH($BR503)&gt;=6,"Hot Humid",IF(MONTH($BR503)&gt;=3,"Hot Dry","Cold Winter")))))</f>
        <v/>
      </c>
      <c r="BT503">
        <f>IF($BM503="","",IFERROR(VLOOKUP($BM503,DECODE!$A$3:$C$8,2,FALSE),"?"))</f>
        <v/>
      </c>
      <c r="BU503">
        <f>IF($R503="","",UPPER(TRIM(LEFT($R503&amp;",",FIND(",",$R503&amp;",")-1))))</f>
        <v/>
      </c>
      <c r="BV503">
        <f>IF($BU503="","",MID($BU503,4,FIND("~",SUBSTITUTE($BU503,"-","~",2))-4))</f>
        <v/>
      </c>
      <c r="BW503">
        <f>IF($BU503="","",MID($BU503,FIND("~",SUBSTITUTE($BU503,"-","~",2))+1,FIND("~",SUBSTITUTE($BU503,"-","~",3))-FIND("~",SUBSTITUTE($BU503,"-","~",2))-1))</f>
        <v/>
      </c>
      <c r="BX503">
        <f>IF($BV503="","",IFERROR(VLOOKUP($BV503,DECODE!$A$3:$C$8,3,FALSE),"?"))</f>
        <v/>
      </c>
      <c r="BY503">
        <f>IF($BW503="","",IFERROR(VLOOKUP($BV503&amp;"-"&amp;$BW503,DECODE!$E$3:$F$21,2,FALSE),"?"))</f>
        <v/>
      </c>
      <c r="BZ503">
        <f>IF($BU503="","",IFERROR(VALUE(RIGHT($BU503,3)),""))</f>
        <v/>
      </c>
      <c r="CA503">
        <f>IF($X503="","",IFERROR(IF(ISNUMBER($X503),$X503,DATEVALUE(TRIM($X503))),""))</f>
        <v/>
      </c>
      <c r="CB503">
        <f>IF($CA503="","",IF(MONTH($CA503)&gt;=12,"Cold Winter",IF(MONTH($CA503)&gt;=10,"Post-Monsoon",IF(MONTH($CA503)&gt;=6,"Hot Humid",IF(MONTH($CA503)&gt;=3,"Hot Dry","Cold Winter")))))</f>
        <v/>
      </c>
      <c r="CC503">
        <f>IF($BV503="","",IFERROR(VLOOKUP($BV503,DECODE!$A$3:$C$8,2,FALSE),"?"))</f>
        <v/>
      </c>
      <c r="CD503">
        <f>IF($S503="","",UPPER(TRIM(LEFT($S503&amp;",",FIND(",",$S503&amp;",")-1))))</f>
        <v/>
      </c>
      <c r="CE503">
        <f>IF($CD503="","",MID($CD503,4,FIND("~",SUBSTITUTE($CD503,"-","~",2))-4))</f>
        <v/>
      </c>
      <c r="CF503">
        <f>IF($CD503="","",MID($CD503,FIND("~",SUBSTITUTE($CD503,"-","~",2))+1,FIND("~",SUBSTITUTE($CD503,"-","~",3))-FIND("~",SUBSTITUTE($CD503,"-","~",2))-1))</f>
        <v/>
      </c>
      <c r="CG503">
        <f>IF($CE503="","",IFERROR(VLOOKUP($CE503,DECODE!$A$3:$C$8,3,FALSE),"?"))</f>
        <v/>
      </c>
      <c r="CH503">
        <f>IF($CF503="","",IFERROR(VLOOKUP($CE503&amp;"-"&amp;$CF503,DECODE!$E$3:$F$21,2,FALSE),"?"))</f>
        <v/>
      </c>
      <c r="CI503">
        <f>IF($CD503="","",IFERROR(VALUE(RIGHT($CD503,3)),""))</f>
        <v/>
      </c>
      <c r="CJ503">
        <f>IF($Y503="","",IFERROR(IF(ISNUMBER($Y503),$Y503,DATEVALUE(TRIM($Y503))),""))</f>
        <v/>
      </c>
      <c r="CK503">
        <f>IF($CJ503="","",IF(MONTH($CJ503)&gt;=12,"Cold Winter",IF(MONTH($CJ503)&gt;=10,"Post-Monsoon",IF(MONTH($CJ503)&gt;=6,"Hot Humid",IF(MONTH($CJ503)&gt;=3,"Hot Dry","Cold Winter")))))</f>
        <v/>
      </c>
      <c r="CL503">
        <f>IF($CE503="","",IFERROR(VLOOKUP($CE503,DECODE!$A$3:$C$8,2,FALSE),"?"))</f>
        <v/>
      </c>
      <c r="CM503">
        <f>IF($AN503="","",AN503)</f>
        <v/>
      </c>
      <c r="CN503">
        <f>IF($AO503="","",AO503)</f>
        <v/>
      </c>
      <c r="CO503">
        <f>IF($AP503="","",AP503)</f>
        <v/>
      </c>
      <c r="CP503">
        <f>IF($CM503="","",IF($CM503="Aloe Vera Gel","Aloe Vera Gel "&amp;$CO503&amp;"g",CN503&amp;" "&amp;$CO503&amp;"g"))</f>
        <v/>
      </c>
      <c r="CQ503">
        <f>IF($AT503="",0,1)</f>
        <v/>
      </c>
      <c r="CR503">
        <f>IF($CQ503=0,"",AW503)</f>
        <v/>
      </c>
      <c r="CS503">
        <f>IF($CQ503=0,"",AX503)</f>
        <v/>
      </c>
      <c r="CT503">
        <f>IF($CQ503=0,"",AY503)</f>
        <v/>
      </c>
      <c r="CU503">
        <f>IF($CR503="","",IF($CR503="Aloe Vera Gel","Aloe Vera Gel "&amp;$CT503&amp;"g",CS503&amp;" "&amp;$CT503&amp;"g"))</f>
        <v/>
      </c>
      <c r="CV503">
        <f>IF($CQ503=0,"",IF($CP503=$CU503,"Repeat Exact",IF($CT503&gt;$CO503,"Upsized",IF($CT503&lt;$CO503,"Downsized",IF($CM503&lt;&gt;$CR503,"Lateral","Same Size Diff Variant")))))</f>
        <v/>
      </c>
      <c r="CW503">
        <f>IF($CQ503=0,"",AZ503-AQ503)</f>
        <v/>
      </c>
      <c r="CX503">
        <f>IF($CQ503=0,0,IF(CS503=CN503,1,0))</f>
        <v/>
      </c>
      <c r="CY503">
        <f>IF($CQ503=0,0,IF(CR503=CM503,1,0))</f>
        <v/>
      </c>
      <c r="CZ503">
        <f>IF($A503="","",IF(AND(IF(DASHBOARD!$C$4="All",TRUE,$CM503=DASHBOARD!$C$4),IF(DASHBOARD!$C$6="All",TRUE,$CP503=DASHBOARD!$C$6),IF(DASHBOARD!$C$8="All",TRUE,$AF503&gt;=DASHBOARD!$C$8),IF(DASHBOARD!$C$10="All",TRUE,$AF503&lt;=DASHBOARD!$C$10),IF(DASHBOARD!$C$12="All",TRUE,$AH503=VALUE(DASHBOARD!$C$12)),IF(DASHBOARD!$C$14="All",TRUE,$AJ503=DASHBOARD!$C$14)),1,0))</f>
        <v/>
      </c>
    </row>
    <row r="504">
      <c r="A504" t="n">
        <v>228855</v>
      </c>
      <c r="B504" t="inlineStr">
        <is>
          <t>Face Malai</t>
        </is>
      </c>
      <c r="H504" t="inlineStr">
        <is>
          <t>Clove Tea-Tree (Anti-Acne) Face Malai</t>
        </is>
      </c>
      <c r="N504" t="inlineStr">
        <is>
          <t>FC-DM-AA-030</t>
        </is>
      </c>
      <c r="T504" t="inlineStr">
        <is>
          <t>Jul 11, 2024</t>
        </is>
      </c>
      <c r="AE504" t="inlineStr">
        <is>
          <t>Kolkata</t>
        </is>
      </c>
      <c r="AF504" t="inlineStr">
        <is>
          <t>2024-07</t>
        </is>
      </c>
      <c r="AG504" t="n">
        <v>7</v>
      </c>
      <c r="AH504" t="n">
        <v>1</v>
      </c>
      <c r="AI504" t="n">
        <v>0</v>
      </c>
      <c r="AJ504">
        <f>IF($AE504="","",IFERROR(VLOOKUP(TRIM($AE504),DECODE!$H$3:$I$60,2,FALSE),"Rest of India"))</f>
        <v/>
      </c>
      <c r="AK504">
        <f>IF($N504="","",UPPER(TRIM(LEFT($N504&amp;",",FIND(",",$N504&amp;",")-1))))</f>
        <v/>
      </c>
      <c r="AL504">
        <f>IF($AK504="","",MID($AK504,4,FIND("~",SUBSTITUTE($AK504,"-","~",2))-4))</f>
        <v/>
      </c>
      <c r="AM504">
        <f>IF($AK504="","",MID($AK504,FIND("~",SUBSTITUTE($AK504,"-","~",2))+1,FIND("~",SUBSTITUTE($AK504,"-","~",3))-FIND("~",SUBSTITUTE($AK504,"-","~",2))-1))</f>
        <v/>
      </c>
      <c r="AN504">
        <f>IF($AL504="","",IFERROR(VLOOKUP($AL504,DECODE!$A$3:$C$8,3,FALSE),"?"))</f>
        <v/>
      </c>
      <c r="AO504">
        <f>IF($AM504="","",IFERROR(VLOOKUP($AL504&amp;"-"&amp;$AM504,DECODE!$E$3:$F$21,2,FALSE),"?"))</f>
        <v/>
      </c>
      <c r="AP504">
        <f>IF($AK504="","",IFERROR(VALUE(RIGHT($AK504,3)),""))</f>
        <v/>
      </c>
      <c r="AQ504">
        <f>IF($T504="","",IFERROR(IF(ISNUMBER($T504),$T504,DATEVALUE(TRIM($T504))),""))</f>
        <v/>
      </c>
      <c r="AR504">
        <f>IF($AQ504="","",IF(MONTH($AQ504)&gt;=12,"Cold Winter",IF(MONTH($AQ504)&gt;=10,"Post-Monsoon",IF(MONTH($AQ504)&gt;=6,"Hot Humid",IF(MONTH($AQ504)&gt;=3,"Hot Dry","Cold Winter")))))</f>
        <v/>
      </c>
      <c r="AS504">
        <f>IF($AL504="","",IFERROR(VLOOKUP($AL504,DECODE!$A$3:$C$8,2,FALSE),"?"))</f>
        <v/>
      </c>
      <c r="AT504">
        <f>IF($O504="","",UPPER(TRIM(LEFT($O504&amp;",",FIND(",",$O504&amp;",")-1))))</f>
        <v/>
      </c>
      <c r="AU504">
        <f>IF($AT504="","",MID($AT504,4,FIND("~",SUBSTITUTE($AT504,"-","~",2))-4))</f>
        <v/>
      </c>
      <c r="AV504">
        <f>IF($AT504="","",MID($AT504,FIND("~",SUBSTITUTE($AT504,"-","~",2))+1,FIND("~",SUBSTITUTE($AT504,"-","~",3))-FIND("~",SUBSTITUTE($AT504,"-","~",2))-1))</f>
        <v/>
      </c>
      <c r="AW504">
        <f>IF($AU504="","",IFERROR(VLOOKUP($AU504,DECODE!$A$3:$C$8,3,FALSE),"?"))</f>
        <v/>
      </c>
      <c r="AX504">
        <f>IF($AV504="","",IFERROR(VLOOKUP($AU504&amp;"-"&amp;$AV504,DECODE!$E$3:$F$21,2,FALSE),"?"))</f>
        <v/>
      </c>
      <c r="AY504">
        <f>IF($AT504="","",IFERROR(VALUE(RIGHT($AT504,3)),""))</f>
        <v/>
      </c>
      <c r="AZ504">
        <f>IF($U504="","",IFERROR(IF(ISNUMBER($U504),$U504,DATEVALUE(TRIM($U504))),""))</f>
        <v/>
      </c>
      <c r="BA504">
        <f>IF($AZ504="","",IF(MONTH($AZ504)&gt;=12,"Cold Winter",IF(MONTH($AZ504)&gt;=10,"Post-Monsoon",IF(MONTH($AZ504)&gt;=6,"Hot Humid",IF(MONTH($AZ504)&gt;=3,"Hot Dry","Cold Winter")))))</f>
        <v/>
      </c>
      <c r="BB504">
        <f>IF($AU504="","",IFERROR(VLOOKUP($AU504,DECODE!$A$3:$C$8,2,FALSE),"?"))</f>
        <v/>
      </c>
      <c r="BC504">
        <f>IF($P504="","",UPPER(TRIM(LEFT($P504&amp;",",FIND(",",$P504&amp;",")-1))))</f>
        <v/>
      </c>
      <c r="BD504">
        <f>IF($BC504="","",MID($BC504,4,FIND("~",SUBSTITUTE($BC504,"-","~",2))-4))</f>
        <v/>
      </c>
      <c r="BE504">
        <f>IF($BC504="","",MID($BC504,FIND("~",SUBSTITUTE($BC504,"-","~",2))+1,FIND("~",SUBSTITUTE($BC504,"-","~",3))-FIND("~",SUBSTITUTE($BC504,"-","~",2))-1))</f>
        <v/>
      </c>
      <c r="BF504">
        <f>IF($BD504="","",IFERROR(VLOOKUP($BD504,DECODE!$A$3:$C$8,3,FALSE),"?"))</f>
        <v/>
      </c>
      <c r="BG504">
        <f>IF($BE504="","",IFERROR(VLOOKUP($BD504&amp;"-"&amp;$BE504,DECODE!$E$3:$F$21,2,FALSE),"?"))</f>
        <v/>
      </c>
      <c r="BH504">
        <f>IF($BC504="","",IFERROR(VALUE(RIGHT($BC504,3)),""))</f>
        <v/>
      </c>
      <c r="BI504">
        <f>IF($V504="","",IFERROR(IF(ISNUMBER($V504),$V504,DATEVALUE(TRIM($V504))),""))</f>
        <v/>
      </c>
      <c r="BJ504">
        <f>IF($BI504="","",IF(MONTH($BI504)&gt;=12,"Cold Winter",IF(MONTH($BI504)&gt;=10,"Post-Monsoon",IF(MONTH($BI504)&gt;=6,"Hot Humid",IF(MONTH($BI504)&gt;=3,"Hot Dry","Cold Winter")))))</f>
        <v/>
      </c>
      <c r="BK504">
        <f>IF($BD504="","",IFERROR(VLOOKUP($BD504,DECODE!$A$3:$C$8,2,FALSE),"?"))</f>
        <v/>
      </c>
      <c r="BL504">
        <f>IF($Q504="","",UPPER(TRIM(LEFT($Q504&amp;",",FIND(",",$Q504&amp;",")-1))))</f>
        <v/>
      </c>
      <c r="BM504">
        <f>IF($BL504="","",MID($BL504,4,FIND("~",SUBSTITUTE($BL504,"-","~",2))-4))</f>
        <v/>
      </c>
      <c r="BN504">
        <f>IF($BL504="","",MID($BL504,FIND("~",SUBSTITUTE($BL504,"-","~",2))+1,FIND("~",SUBSTITUTE($BL504,"-","~",3))-FIND("~",SUBSTITUTE($BL504,"-","~",2))-1))</f>
        <v/>
      </c>
      <c r="BO504">
        <f>IF($BM504="","",IFERROR(VLOOKUP($BM504,DECODE!$A$3:$C$8,3,FALSE),"?"))</f>
        <v/>
      </c>
      <c r="BP504">
        <f>IF($BN504="","",IFERROR(VLOOKUP($BM504&amp;"-"&amp;$BN504,DECODE!$E$3:$F$21,2,FALSE),"?"))</f>
        <v/>
      </c>
      <c r="BQ504">
        <f>IF($BL504="","",IFERROR(VALUE(RIGHT($BL504,3)),""))</f>
        <v/>
      </c>
      <c r="BR504">
        <f>IF($W504="","",IFERROR(IF(ISNUMBER($W504),$W504,DATEVALUE(TRIM($W504))),""))</f>
        <v/>
      </c>
      <c r="BS504">
        <f>IF($BR504="","",IF(MONTH($BR504)&gt;=12,"Cold Winter",IF(MONTH($BR504)&gt;=10,"Post-Monsoon",IF(MONTH($BR504)&gt;=6,"Hot Humid",IF(MONTH($BR504)&gt;=3,"Hot Dry","Cold Winter")))))</f>
        <v/>
      </c>
      <c r="BT504">
        <f>IF($BM504="","",IFERROR(VLOOKUP($BM504,DECODE!$A$3:$C$8,2,FALSE),"?"))</f>
        <v/>
      </c>
      <c r="BU504">
        <f>IF($R504="","",UPPER(TRIM(LEFT($R504&amp;",",FIND(",",$R504&amp;",")-1))))</f>
        <v/>
      </c>
      <c r="BV504">
        <f>IF($BU504="","",MID($BU504,4,FIND("~",SUBSTITUTE($BU504,"-","~",2))-4))</f>
        <v/>
      </c>
      <c r="BW504">
        <f>IF($BU504="","",MID($BU504,FIND("~",SUBSTITUTE($BU504,"-","~",2))+1,FIND("~",SUBSTITUTE($BU504,"-","~",3))-FIND("~",SUBSTITUTE($BU504,"-","~",2))-1))</f>
        <v/>
      </c>
      <c r="BX504">
        <f>IF($BV504="","",IFERROR(VLOOKUP($BV504,DECODE!$A$3:$C$8,3,FALSE),"?"))</f>
        <v/>
      </c>
      <c r="BY504">
        <f>IF($BW504="","",IFERROR(VLOOKUP($BV504&amp;"-"&amp;$BW504,DECODE!$E$3:$F$21,2,FALSE),"?"))</f>
        <v/>
      </c>
      <c r="BZ504">
        <f>IF($BU504="","",IFERROR(VALUE(RIGHT($BU504,3)),""))</f>
        <v/>
      </c>
      <c r="CA504">
        <f>IF($X504="","",IFERROR(IF(ISNUMBER($X504),$X504,DATEVALUE(TRIM($X504))),""))</f>
        <v/>
      </c>
      <c r="CB504">
        <f>IF($CA504="","",IF(MONTH($CA504)&gt;=12,"Cold Winter",IF(MONTH($CA504)&gt;=10,"Post-Monsoon",IF(MONTH($CA504)&gt;=6,"Hot Humid",IF(MONTH($CA504)&gt;=3,"Hot Dry","Cold Winter")))))</f>
        <v/>
      </c>
      <c r="CC504">
        <f>IF($BV504="","",IFERROR(VLOOKUP($BV504,DECODE!$A$3:$C$8,2,FALSE),"?"))</f>
        <v/>
      </c>
      <c r="CD504">
        <f>IF($S504="","",UPPER(TRIM(LEFT($S504&amp;",",FIND(",",$S504&amp;",")-1))))</f>
        <v/>
      </c>
      <c r="CE504">
        <f>IF($CD504="","",MID($CD504,4,FIND("~",SUBSTITUTE($CD504,"-","~",2))-4))</f>
        <v/>
      </c>
      <c r="CF504">
        <f>IF($CD504="","",MID($CD504,FIND("~",SUBSTITUTE($CD504,"-","~",2))+1,FIND("~",SUBSTITUTE($CD504,"-","~",3))-FIND("~",SUBSTITUTE($CD504,"-","~",2))-1))</f>
        <v/>
      </c>
      <c r="CG504">
        <f>IF($CE504="","",IFERROR(VLOOKUP($CE504,DECODE!$A$3:$C$8,3,FALSE),"?"))</f>
        <v/>
      </c>
      <c r="CH504">
        <f>IF($CF504="","",IFERROR(VLOOKUP($CE504&amp;"-"&amp;$CF504,DECODE!$E$3:$F$21,2,FALSE),"?"))</f>
        <v/>
      </c>
      <c r="CI504">
        <f>IF($CD504="","",IFERROR(VALUE(RIGHT($CD504,3)),""))</f>
        <v/>
      </c>
      <c r="CJ504">
        <f>IF($Y504="","",IFERROR(IF(ISNUMBER($Y504),$Y504,DATEVALUE(TRIM($Y504))),""))</f>
        <v/>
      </c>
      <c r="CK504">
        <f>IF($CJ504="","",IF(MONTH($CJ504)&gt;=12,"Cold Winter",IF(MONTH($CJ504)&gt;=10,"Post-Monsoon",IF(MONTH($CJ504)&gt;=6,"Hot Humid",IF(MONTH($CJ504)&gt;=3,"Hot Dry","Cold Winter")))))</f>
        <v/>
      </c>
      <c r="CL504">
        <f>IF($CE504="","",IFERROR(VLOOKUP($CE504,DECODE!$A$3:$C$8,2,FALSE),"?"))</f>
        <v/>
      </c>
      <c r="CM504">
        <f>IF($AN504="","",AN504)</f>
        <v/>
      </c>
      <c r="CN504">
        <f>IF($AO504="","",AO504)</f>
        <v/>
      </c>
      <c r="CO504">
        <f>IF($AP504="","",AP504)</f>
        <v/>
      </c>
      <c r="CP504">
        <f>IF($CM504="","",IF($CM504="Aloe Vera Gel","Aloe Vera Gel "&amp;$CO504&amp;"g",CN504&amp;" "&amp;$CO504&amp;"g"))</f>
        <v/>
      </c>
      <c r="CQ504">
        <f>IF($AT504="",0,1)</f>
        <v/>
      </c>
      <c r="CR504">
        <f>IF($CQ504=0,"",AW504)</f>
        <v/>
      </c>
      <c r="CS504">
        <f>IF($CQ504=0,"",AX504)</f>
        <v/>
      </c>
      <c r="CT504">
        <f>IF($CQ504=0,"",AY504)</f>
        <v/>
      </c>
      <c r="CU504">
        <f>IF($CR504="","",IF($CR504="Aloe Vera Gel","Aloe Vera Gel "&amp;$CT504&amp;"g",CS504&amp;" "&amp;$CT504&amp;"g"))</f>
        <v/>
      </c>
      <c r="CV504">
        <f>IF($CQ504=0,"",IF($CP504=$CU504,"Repeat Exact",IF($CT504&gt;$CO504,"Upsized",IF($CT504&lt;$CO504,"Downsized",IF($CM504&lt;&gt;$CR504,"Lateral","Same Size Diff Variant")))))</f>
        <v/>
      </c>
      <c r="CW504">
        <f>IF($CQ504=0,"",AZ504-AQ504)</f>
        <v/>
      </c>
      <c r="CX504">
        <f>IF($CQ504=0,0,IF(CS504=CN504,1,0))</f>
        <v/>
      </c>
      <c r="CY504">
        <f>IF($CQ504=0,0,IF(CR504=CM504,1,0))</f>
        <v/>
      </c>
      <c r="CZ504">
        <f>IF($A504="","",IF(AND(IF(DASHBOARD!$C$4="All",TRUE,$CM504=DASHBOARD!$C$4),IF(DASHBOARD!$C$6="All",TRUE,$CP504=DASHBOARD!$C$6),IF(DASHBOARD!$C$8="All",TRUE,$AF504&gt;=DASHBOARD!$C$8),IF(DASHBOARD!$C$10="All",TRUE,$AF504&lt;=DASHBOARD!$C$10),IF(DASHBOARD!$C$12="All",TRUE,$AH504=VALUE(DASHBOARD!$C$12)),IF(DASHBOARD!$C$14="All",TRUE,$AJ504=DASHBOARD!$C$14)),1,0))</f>
        <v/>
      </c>
    </row>
    <row r="505">
      <c r="A505" t="n">
        <v>228916</v>
      </c>
      <c r="B505" t="inlineStr">
        <is>
          <t>Face Malai</t>
        </is>
      </c>
      <c r="H505" t="inlineStr">
        <is>
          <t>Turmeric Nutmeg (Pigmentation)  Face Malai - 30g</t>
        </is>
      </c>
      <c r="N505" t="inlineStr">
        <is>
          <t>FC-DM-PG-030</t>
        </is>
      </c>
      <c r="T505" t="inlineStr">
        <is>
          <t>Jan 27, 2026</t>
        </is>
      </c>
      <c r="AE505" t="inlineStr">
        <is>
          <t>Nilgiris</t>
        </is>
      </c>
      <c r="AF505" t="inlineStr">
        <is>
          <t>2026-01</t>
        </is>
      </c>
      <c r="AG505" t="n">
        <v>1</v>
      </c>
      <c r="AH505" t="n">
        <v>1</v>
      </c>
      <c r="AI505" t="n">
        <v>0</v>
      </c>
      <c r="AJ505">
        <f>IF($AE505="","",IFERROR(VLOOKUP(TRIM($AE505),DECODE!$H$3:$I$60,2,FALSE),"Rest of India"))</f>
        <v/>
      </c>
      <c r="AK505">
        <f>IF($N505="","",UPPER(TRIM(LEFT($N505&amp;",",FIND(",",$N505&amp;",")-1))))</f>
        <v/>
      </c>
      <c r="AL505">
        <f>IF($AK505="","",MID($AK505,4,FIND("~",SUBSTITUTE($AK505,"-","~",2))-4))</f>
        <v/>
      </c>
      <c r="AM505">
        <f>IF($AK505="","",MID($AK505,FIND("~",SUBSTITUTE($AK505,"-","~",2))+1,FIND("~",SUBSTITUTE($AK505,"-","~",3))-FIND("~",SUBSTITUTE($AK505,"-","~",2))-1))</f>
        <v/>
      </c>
      <c r="AN505">
        <f>IF($AL505="","",IFERROR(VLOOKUP($AL505,DECODE!$A$3:$C$8,3,FALSE),"?"))</f>
        <v/>
      </c>
      <c r="AO505">
        <f>IF($AM505="","",IFERROR(VLOOKUP($AL505&amp;"-"&amp;$AM505,DECODE!$E$3:$F$21,2,FALSE),"?"))</f>
        <v/>
      </c>
      <c r="AP505">
        <f>IF($AK505="","",IFERROR(VALUE(RIGHT($AK505,3)),""))</f>
        <v/>
      </c>
      <c r="AQ505">
        <f>IF($T505="","",IFERROR(IF(ISNUMBER($T505),$T505,DATEVALUE(TRIM($T505))),""))</f>
        <v/>
      </c>
      <c r="AR505">
        <f>IF($AQ505="","",IF(MONTH($AQ505)&gt;=12,"Cold Winter",IF(MONTH($AQ505)&gt;=10,"Post-Monsoon",IF(MONTH($AQ505)&gt;=6,"Hot Humid",IF(MONTH($AQ505)&gt;=3,"Hot Dry","Cold Winter")))))</f>
        <v/>
      </c>
      <c r="AS505">
        <f>IF($AL505="","",IFERROR(VLOOKUP($AL505,DECODE!$A$3:$C$8,2,FALSE),"?"))</f>
        <v/>
      </c>
      <c r="AT505">
        <f>IF($O505="","",UPPER(TRIM(LEFT($O505&amp;",",FIND(",",$O505&amp;",")-1))))</f>
        <v/>
      </c>
      <c r="AU505">
        <f>IF($AT505="","",MID($AT505,4,FIND("~",SUBSTITUTE($AT505,"-","~",2))-4))</f>
        <v/>
      </c>
      <c r="AV505">
        <f>IF($AT505="","",MID($AT505,FIND("~",SUBSTITUTE($AT505,"-","~",2))+1,FIND("~",SUBSTITUTE($AT505,"-","~",3))-FIND("~",SUBSTITUTE($AT505,"-","~",2))-1))</f>
        <v/>
      </c>
      <c r="AW505">
        <f>IF($AU505="","",IFERROR(VLOOKUP($AU505,DECODE!$A$3:$C$8,3,FALSE),"?"))</f>
        <v/>
      </c>
      <c r="AX505">
        <f>IF($AV505="","",IFERROR(VLOOKUP($AU505&amp;"-"&amp;$AV505,DECODE!$E$3:$F$21,2,FALSE),"?"))</f>
        <v/>
      </c>
      <c r="AY505">
        <f>IF($AT505="","",IFERROR(VALUE(RIGHT($AT505,3)),""))</f>
        <v/>
      </c>
      <c r="AZ505">
        <f>IF($U505="","",IFERROR(IF(ISNUMBER($U505),$U505,DATEVALUE(TRIM($U505))),""))</f>
        <v/>
      </c>
      <c r="BA505">
        <f>IF($AZ505="","",IF(MONTH($AZ505)&gt;=12,"Cold Winter",IF(MONTH($AZ505)&gt;=10,"Post-Monsoon",IF(MONTH($AZ505)&gt;=6,"Hot Humid",IF(MONTH($AZ505)&gt;=3,"Hot Dry","Cold Winter")))))</f>
        <v/>
      </c>
      <c r="BB505">
        <f>IF($AU505="","",IFERROR(VLOOKUP($AU505,DECODE!$A$3:$C$8,2,FALSE),"?"))</f>
        <v/>
      </c>
      <c r="BC505">
        <f>IF($P505="","",UPPER(TRIM(LEFT($P505&amp;",",FIND(",",$P505&amp;",")-1))))</f>
        <v/>
      </c>
      <c r="BD505">
        <f>IF($BC505="","",MID($BC505,4,FIND("~",SUBSTITUTE($BC505,"-","~",2))-4))</f>
        <v/>
      </c>
      <c r="BE505">
        <f>IF($BC505="","",MID($BC505,FIND("~",SUBSTITUTE($BC505,"-","~",2))+1,FIND("~",SUBSTITUTE($BC505,"-","~",3))-FIND("~",SUBSTITUTE($BC505,"-","~",2))-1))</f>
        <v/>
      </c>
      <c r="BF505">
        <f>IF($BD505="","",IFERROR(VLOOKUP($BD505,DECODE!$A$3:$C$8,3,FALSE),"?"))</f>
        <v/>
      </c>
      <c r="BG505">
        <f>IF($BE505="","",IFERROR(VLOOKUP($BD505&amp;"-"&amp;$BE505,DECODE!$E$3:$F$21,2,FALSE),"?"))</f>
        <v/>
      </c>
      <c r="BH505">
        <f>IF($BC505="","",IFERROR(VALUE(RIGHT($BC505,3)),""))</f>
        <v/>
      </c>
      <c r="BI505">
        <f>IF($V505="","",IFERROR(IF(ISNUMBER($V505),$V505,DATEVALUE(TRIM($V505))),""))</f>
        <v/>
      </c>
      <c r="BJ505">
        <f>IF($BI505="","",IF(MONTH($BI505)&gt;=12,"Cold Winter",IF(MONTH($BI505)&gt;=10,"Post-Monsoon",IF(MONTH($BI505)&gt;=6,"Hot Humid",IF(MONTH($BI505)&gt;=3,"Hot Dry","Cold Winter")))))</f>
        <v/>
      </c>
      <c r="BK505">
        <f>IF($BD505="","",IFERROR(VLOOKUP($BD505,DECODE!$A$3:$C$8,2,FALSE),"?"))</f>
        <v/>
      </c>
      <c r="BL505">
        <f>IF($Q505="","",UPPER(TRIM(LEFT($Q505&amp;",",FIND(",",$Q505&amp;",")-1))))</f>
        <v/>
      </c>
      <c r="BM505">
        <f>IF($BL505="","",MID($BL505,4,FIND("~",SUBSTITUTE($BL505,"-","~",2))-4))</f>
        <v/>
      </c>
      <c r="BN505">
        <f>IF($BL505="","",MID($BL505,FIND("~",SUBSTITUTE($BL505,"-","~",2))+1,FIND("~",SUBSTITUTE($BL505,"-","~",3))-FIND("~",SUBSTITUTE($BL505,"-","~",2))-1))</f>
        <v/>
      </c>
      <c r="BO505">
        <f>IF($BM505="","",IFERROR(VLOOKUP($BM505,DECODE!$A$3:$C$8,3,FALSE),"?"))</f>
        <v/>
      </c>
      <c r="BP505">
        <f>IF($BN505="","",IFERROR(VLOOKUP($BM505&amp;"-"&amp;$BN505,DECODE!$E$3:$F$21,2,FALSE),"?"))</f>
        <v/>
      </c>
      <c r="BQ505">
        <f>IF($BL505="","",IFERROR(VALUE(RIGHT($BL505,3)),""))</f>
        <v/>
      </c>
      <c r="BR505">
        <f>IF($W505="","",IFERROR(IF(ISNUMBER($W505),$W505,DATEVALUE(TRIM($W505))),""))</f>
        <v/>
      </c>
      <c r="BS505">
        <f>IF($BR505="","",IF(MONTH($BR505)&gt;=12,"Cold Winter",IF(MONTH($BR505)&gt;=10,"Post-Monsoon",IF(MONTH($BR505)&gt;=6,"Hot Humid",IF(MONTH($BR505)&gt;=3,"Hot Dry","Cold Winter")))))</f>
        <v/>
      </c>
      <c r="BT505">
        <f>IF($BM505="","",IFERROR(VLOOKUP($BM505,DECODE!$A$3:$C$8,2,FALSE),"?"))</f>
        <v/>
      </c>
      <c r="BU505">
        <f>IF($R505="","",UPPER(TRIM(LEFT($R505&amp;",",FIND(",",$R505&amp;",")-1))))</f>
        <v/>
      </c>
      <c r="BV505">
        <f>IF($BU505="","",MID($BU505,4,FIND("~",SUBSTITUTE($BU505,"-","~",2))-4))</f>
        <v/>
      </c>
      <c r="BW505">
        <f>IF($BU505="","",MID($BU505,FIND("~",SUBSTITUTE($BU505,"-","~",2))+1,FIND("~",SUBSTITUTE($BU505,"-","~",3))-FIND("~",SUBSTITUTE($BU505,"-","~",2))-1))</f>
        <v/>
      </c>
      <c r="BX505">
        <f>IF($BV505="","",IFERROR(VLOOKUP($BV505,DECODE!$A$3:$C$8,3,FALSE),"?"))</f>
        <v/>
      </c>
      <c r="BY505">
        <f>IF($BW505="","",IFERROR(VLOOKUP($BV505&amp;"-"&amp;$BW505,DECODE!$E$3:$F$21,2,FALSE),"?"))</f>
        <v/>
      </c>
      <c r="BZ505">
        <f>IF($BU505="","",IFERROR(VALUE(RIGHT($BU505,3)),""))</f>
        <v/>
      </c>
      <c r="CA505">
        <f>IF($X505="","",IFERROR(IF(ISNUMBER($X505),$X505,DATEVALUE(TRIM($X505))),""))</f>
        <v/>
      </c>
      <c r="CB505">
        <f>IF($CA505="","",IF(MONTH($CA505)&gt;=12,"Cold Winter",IF(MONTH($CA505)&gt;=10,"Post-Monsoon",IF(MONTH($CA505)&gt;=6,"Hot Humid",IF(MONTH($CA505)&gt;=3,"Hot Dry","Cold Winter")))))</f>
        <v/>
      </c>
      <c r="CC505">
        <f>IF($BV505="","",IFERROR(VLOOKUP($BV505,DECODE!$A$3:$C$8,2,FALSE),"?"))</f>
        <v/>
      </c>
      <c r="CD505">
        <f>IF($S505="","",UPPER(TRIM(LEFT($S505&amp;",",FIND(",",$S505&amp;",")-1))))</f>
        <v/>
      </c>
      <c r="CE505">
        <f>IF($CD505="","",MID($CD505,4,FIND("~",SUBSTITUTE($CD505,"-","~",2))-4))</f>
        <v/>
      </c>
      <c r="CF505">
        <f>IF($CD505="","",MID($CD505,FIND("~",SUBSTITUTE($CD505,"-","~",2))+1,FIND("~",SUBSTITUTE($CD505,"-","~",3))-FIND("~",SUBSTITUTE($CD505,"-","~",2))-1))</f>
        <v/>
      </c>
      <c r="CG505">
        <f>IF($CE505="","",IFERROR(VLOOKUP($CE505,DECODE!$A$3:$C$8,3,FALSE),"?"))</f>
        <v/>
      </c>
      <c r="CH505">
        <f>IF($CF505="","",IFERROR(VLOOKUP($CE505&amp;"-"&amp;$CF505,DECODE!$E$3:$F$21,2,FALSE),"?"))</f>
        <v/>
      </c>
      <c r="CI505">
        <f>IF($CD505="","",IFERROR(VALUE(RIGHT($CD505,3)),""))</f>
        <v/>
      </c>
      <c r="CJ505">
        <f>IF($Y505="","",IFERROR(IF(ISNUMBER($Y505),$Y505,DATEVALUE(TRIM($Y505))),""))</f>
        <v/>
      </c>
      <c r="CK505">
        <f>IF($CJ505="","",IF(MONTH($CJ505)&gt;=12,"Cold Winter",IF(MONTH($CJ505)&gt;=10,"Post-Monsoon",IF(MONTH($CJ505)&gt;=6,"Hot Humid",IF(MONTH($CJ505)&gt;=3,"Hot Dry","Cold Winter")))))</f>
        <v/>
      </c>
      <c r="CL505">
        <f>IF($CE505="","",IFERROR(VLOOKUP($CE505,DECODE!$A$3:$C$8,2,FALSE),"?"))</f>
        <v/>
      </c>
      <c r="CM505">
        <f>IF($AN505="","",AN505)</f>
        <v/>
      </c>
      <c r="CN505">
        <f>IF($AO505="","",AO505)</f>
        <v/>
      </c>
      <c r="CO505">
        <f>IF($AP505="","",AP505)</f>
        <v/>
      </c>
      <c r="CP505">
        <f>IF($CM505="","",IF($CM505="Aloe Vera Gel","Aloe Vera Gel "&amp;$CO505&amp;"g",CN505&amp;" "&amp;$CO505&amp;"g"))</f>
        <v/>
      </c>
      <c r="CQ505">
        <f>IF($AT505="",0,1)</f>
        <v/>
      </c>
      <c r="CR505">
        <f>IF($CQ505=0,"",AW505)</f>
        <v/>
      </c>
      <c r="CS505">
        <f>IF($CQ505=0,"",AX505)</f>
        <v/>
      </c>
      <c r="CT505">
        <f>IF($CQ505=0,"",AY505)</f>
        <v/>
      </c>
      <c r="CU505">
        <f>IF($CR505="","",IF($CR505="Aloe Vera Gel","Aloe Vera Gel "&amp;$CT505&amp;"g",CS505&amp;" "&amp;$CT505&amp;"g"))</f>
        <v/>
      </c>
      <c r="CV505">
        <f>IF($CQ505=0,"",IF($CP505=$CU505,"Repeat Exact",IF($CT505&gt;$CO505,"Upsized",IF($CT505&lt;$CO505,"Downsized",IF($CM505&lt;&gt;$CR505,"Lateral","Same Size Diff Variant")))))</f>
        <v/>
      </c>
      <c r="CW505">
        <f>IF($CQ505=0,"",AZ505-AQ505)</f>
        <v/>
      </c>
      <c r="CX505">
        <f>IF($CQ505=0,0,IF(CS505=CN505,1,0))</f>
        <v/>
      </c>
      <c r="CY505">
        <f>IF($CQ505=0,0,IF(CR505=CM505,1,0))</f>
        <v/>
      </c>
      <c r="CZ505">
        <f>IF($A505="","",IF(AND(IF(DASHBOARD!$C$4="All",TRUE,$CM505=DASHBOARD!$C$4),IF(DASHBOARD!$C$6="All",TRUE,$CP505=DASHBOARD!$C$6),IF(DASHBOARD!$C$8="All",TRUE,$AF505&gt;=DASHBOARD!$C$8),IF(DASHBOARD!$C$10="All",TRUE,$AF505&lt;=DASHBOARD!$C$10),IF(DASHBOARD!$C$12="All",TRUE,$AH505=VALUE(DASHBOARD!$C$12)),IF(DASHBOARD!$C$14="All",TRUE,$AJ505=DASHBOARD!$C$14)),1,0))</f>
        <v/>
      </c>
    </row>
    <row r="506">
      <c r="A506" t="n">
        <v>229343</v>
      </c>
      <c r="B506" t="inlineStr">
        <is>
          <t>Active Gel</t>
        </is>
      </c>
      <c r="H506" t="inlineStr">
        <is>
          <t>Active Beetroot Tomato Vit-A Gel</t>
        </is>
      </c>
      <c r="N506" t="inlineStr">
        <is>
          <t>FC-AC-BT-050</t>
        </is>
      </c>
      <c r="T506" t="inlineStr">
        <is>
          <t>Apr 10, 2025</t>
        </is>
      </c>
      <c r="AE506" t="inlineStr">
        <is>
          <t>Pune</t>
        </is>
      </c>
      <c r="AF506" t="inlineStr">
        <is>
          <t>2025-04</t>
        </is>
      </c>
      <c r="AG506" t="n">
        <v>4</v>
      </c>
      <c r="AH506" t="n">
        <v>1</v>
      </c>
      <c r="AI506" t="n">
        <v>0</v>
      </c>
      <c r="AJ506">
        <f>IF($AE506="","",IFERROR(VLOOKUP(TRIM($AE506),DECODE!$H$3:$I$60,2,FALSE),"Rest of India"))</f>
        <v/>
      </c>
      <c r="AK506">
        <f>IF($N506="","",UPPER(TRIM(LEFT($N506&amp;",",FIND(",",$N506&amp;",")-1))))</f>
        <v/>
      </c>
      <c r="AL506">
        <f>IF($AK506="","",MID($AK506,4,FIND("~",SUBSTITUTE($AK506,"-","~",2))-4))</f>
        <v/>
      </c>
      <c r="AM506">
        <f>IF($AK506="","",MID($AK506,FIND("~",SUBSTITUTE($AK506,"-","~",2))+1,FIND("~",SUBSTITUTE($AK506,"-","~",3))-FIND("~",SUBSTITUTE($AK506,"-","~",2))-1))</f>
        <v/>
      </c>
      <c r="AN506">
        <f>IF($AL506="","",IFERROR(VLOOKUP($AL506,DECODE!$A$3:$C$8,3,FALSE),"?"))</f>
        <v/>
      </c>
      <c r="AO506">
        <f>IF($AM506="","",IFERROR(VLOOKUP($AL506&amp;"-"&amp;$AM506,DECODE!$E$3:$F$21,2,FALSE),"?"))</f>
        <v/>
      </c>
      <c r="AP506">
        <f>IF($AK506="","",IFERROR(VALUE(RIGHT($AK506,3)),""))</f>
        <v/>
      </c>
      <c r="AQ506">
        <f>IF($T506="","",IFERROR(IF(ISNUMBER($T506),$T506,DATEVALUE(TRIM($T506))),""))</f>
        <v/>
      </c>
      <c r="AR506">
        <f>IF($AQ506="","",IF(MONTH($AQ506)&gt;=12,"Cold Winter",IF(MONTH($AQ506)&gt;=10,"Post-Monsoon",IF(MONTH($AQ506)&gt;=6,"Hot Humid",IF(MONTH($AQ506)&gt;=3,"Hot Dry","Cold Winter")))))</f>
        <v/>
      </c>
      <c r="AS506">
        <f>IF($AL506="","",IFERROR(VLOOKUP($AL506,DECODE!$A$3:$C$8,2,FALSE),"?"))</f>
        <v/>
      </c>
      <c r="AT506">
        <f>IF($O506="","",UPPER(TRIM(LEFT($O506&amp;",",FIND(",",$O506&amp;",")-1))))</f>
        <v/>
      </c>
      <c r="AU506">
        <f>IF($AT506="","",MID($AT506,4,FIND("~",SUBSTITUTE($AT506,"-","~",2))-4))</f>
        <v/>
      </c>
      <c r="AV506">
        <f>IF($AT506="","",MID($AT506,FIND("~",SUBSTITUTE($AT506,"-","~",2))+1,FIND("~",SUBSTITUTE($AT506,"-","~",3))-FIND("~",SUBSTITUTE($AT506,"-","~",2))-1))</f>
        <v/>
      </c>
      <c r="AW506">
        <f>IF($AU506="","",IFERROR(VLOOKUP($AU506,DECODE!$A$3:$C$8,3,FALSE),"?"))</f>
        <v/>
      </c>
      <c r="AX506">
        <f>IF($AV506="","",IFERROR(VLOOKUP($AU506&amp;"-"&amp;$AV506,DECODE!$E$3:$F$21,2,FALSE),"?"))</f>
        <v/>
      </c>
      <c r="AY506">
        <f>IF($AT506="","",IFERROR(VALUE(RIGHT($AT506,3)),""))</f>
        <v/>
      </c>
      <c r="AZ506">
        <f>IF($U506="","",IFERROR(IF(ISNUMBER($U506),$U506,DATEVALUE(TRIM($U506))),""))</f>
        <v/>
      </c>
      <c r="BA506">
        <f>IF($AZ506="","",IF(MONTH($AZ506)&gt;=12,"Cold Winter",IF(MONTH($AZ506)&gt;=10,"Post-Monsoon",IF(MONTH($AZ506)&gt;=6,"Hot Humid",IF(MONTH($AZ506)&gt;=3,"Hot Dry","Cold Winter")))))</f>
        <v/>
      </c>
      <c r="BB506">
        <f>IF($AU506="","",IFERROR(VLOOKUP($AU506,DECODE!$A$3:$C$8,2,FALSE),"?"))</f>
        <v/>
      </c>
      <c r="BC506">
        <f>IF($P506="","",UPPER(TRIM(LEFT($P506&amp;",",FIND(",",$P506&amp;",")-1))))</f>
        <v/>
      </c>
      <c r="BD506">
        <f>IF($BC506="","",MID($BC506,4,FIND("~",SUBSTITUTE($BC506,"-","~",2))-4))</f>
        <v/>
      </c>
      <c r="BE506">
        <f>IF($BC506="","",MID($BC506,FIND("~",SUBSTITUTE($BC506,"-","~",2))+1,FIND("~",SUBSTITUTE($BC506,"-","~",3))-FIND("~",SUBSTITUTE($BC506,"-","~",2))-1))</f>
        <v/>
      </c>
      <c r="BF506">
        <f>IF($BD506="","",IFERROR(VLOOKUP($BD506,DECODE!$A$3:$C$8,3,FALSE),"?"))</f>
        <v/>
      </c>
      <c r="BG506">
        <f>IF($BE506="","",IFERROR(VLOOKUP($BD506&amp;"-"&amp;$BE506,DECODE!$E$3:$F$21,2,FALSE),"?"))</f>
        <v/>
      </c>
      <c r="BH506">
        <f>IF($BC506="","",IFERROR(VALUE(RIGHT($BC506,3)),""))</f>
        <v/>
      </c>
      <c r="BI506">
        <f>IF($V506="","",IFERROR(IF(ISNUMBER($V506),$V506,DATEVALUE(TRIM($V506))),""))</f>
        <v/>
      </c>
      <c r="BJ506">
        <f>IF($BI506="","",IF(MONTH($BI506)&gt;=12,"Cold Winter",IF(MONTH($BI506)&gt;=10,"Post-Monsoon",IF(MONTH($BI506)&gt;=6,"Hot Humid",IF(MONTH($BI506)&gt;=3,"Hot Dry","Cold Winter")))))</f>
        <v/>
      </c>
      <c r="BK506">
        <f>IF($BD506="","",IFERROR(VLOOKUP($BD506,DECODE!$A$3:$C$8,2,FALSE),"?"))</f>
        <v/>
      </c>
      <c r="BL506">
        <f>IF($Q506="","",UPPER(TRIM(LEFT($Q506&amp;",",FIND(",",$Q506&amp;",")-1))))</f>
        <v/>
      </c>
      <c r="BM506">
        <f>IF($BL506="","",MID($BL506,4,FIND("~",SUBSTITUTE($BL506,"-","~",2))-4))</f>
        <v/>
      </c>
      <c r="BN506">
        <f>IF($BL506="","",MID($BL506,FIND("~",SUBSTITUTE($BL506,"-","~",2))+1,FIND("~",SUBSTITUTE($BL506,"-","~",3))-FIND("~",SUBSTITUTE($BL506,"-","~",2))-1))</f>
        <v/>
      </c>
      <c r="BO506">
        <f>IF($BM506="","",IFERROR(VLOOKUP($BM506,DECODE!$A$3:$C$8,3,FALSE),"?"))</f>
        <v/>
      </c>
      <c r="BP506">
        <f>IF($BN506="","",IFERROR(VLOOKUP($BM506&amp;"-"&amp;$BN506,DECODE!$E$3:$F$21,2,FALSE),"?"))</f>
        <v/>
      </c>
      <c r="BQ506">
        <f>IF($BL506="","",IFERROR(VALUE(RIGHT($BL506,3)),""))</f>
        <v/>
      </c>
      <c r="BR506">
        <f>IF($W506="","",IFERROR(IF(ISNUMBER($W506),$W506,DATEVALUE(TRIM($W506))),""))</f>
        <v/>
      </c>
      <c r="BS506">
        <f>IF($BR506="","",IF(MONTH($BR506)&gt;=12,"Cold Winter",IF(MONTH($BR506)&gt;=10,"Post-Monsoon",IF(MONTH($BR506)&gt;=6,"Hot Humid",IF(MONTH($BR506)&gt;=3,"Hot Dry","Cold Winter")))))</f>
        <v/>
      </c>
      <c r="BT506">
        <f>IF($BM506="","",IFERROR(VLOOKUP($BM506,DECODE!$A$3:$C$8,2,FALSE),"?"))</f>
        <v/>
      </c>
      <c r="BU506">
        <f>IF($R506="","",UPPER(TRIM(LEFT($R506&amp;",",FIND(",",$R506&amp;",")-1))))</f>
        <v/>
      </c>
      <c r="BV506">
        <f>IF($BU506="","",MID($BU506,4,FIND("~",SUBSTITUTE($BU506,"-","~",2))-4))</f>
        <v/>
      </c>
      <c r="BW506">
        <f>IF($BU506="","",MID($BU506,FIND("~",SUBSTITUTE($BU506,"-","~",2))+1,FIND("~",SUBSTITUTE($BU506,"-","~",3))-FIND("~",SUBSTITUTE($BU506,"-","~",2))-1))</f>
        <v/>
      </c>
      <c r="BX506">
        <f>IF($BV506="","",IFERROR(VLOOKUP($BV506,DECODE!$A$3:$C$8,3,FALSE),"?"))</f>
        <v/>
      </c>
      <c r="BY506">
        <f>IF($BW506="","",IFERROR(VLOOKUP($BV506&amp;"-"&amp;$BW506,DECODE!$E$3:$F$21,2,FALSE),"?"))</f>
        <v/>
      </c>
      <c r="BZ506">
        <f>IF($BU506="","",IFERROR(VALUE(RIGHT($BU506,3)),""))</f>
        <v/>
      </c>
      <c r="CA506">
        <f>IF($X506="","",IFERROR(IF(ISNUMBER($X506),$X506,DATEVALUE(TRIM($X506))),""))</f>
        <v/>
      </c>
      <c r="CB506">
        <f>IF($CA506="","",IF(MONTH($CA506)&gt;=12,"Cold Winter",IF(MONTH($CA506)&gt;=10,"Post-Monsoon",IF(MONTH($CA506)&gt;=6,"Hot Humid",IF(MONTH($CA506)&gt;=3,"Hot Dry","Cold Winter")))))</f>
        <v/>
      </c>
      <c r="CC506">
        <f>IF($BV506="","",IFERROR(VLOOKUP($BV506,DECODE!$A$3:$C$8,2,FALSE),"?"))</f>
        <v/>
      </c>
      <c r="CD506">
        <f>IF($S506="","",UPPER(TRIM(LEFT($S506&amp;",",FIND(",",$S506&amp;",")-1))))</f>
        <v/>
      </c>
      <c r="CE506">
        <f>IF($CD506="","",MID($CD506,4,FIND("~",SUBSTITUTE($CD506,"-","~",2))-4))</f>
        <v/>
      </c>
      <c r="CF506">
        <f>IF($CD506="","",MID($CD506,FIND("~",SUBSTITUTE($CD506,"-","~",2))+1,FIND("~",SUBSTITUTE($CD506,"-","~",3))-FIND("~",SUBSTITUTE($CD506,"-","~",2))-1))</f>
        <v/>
      </c>
      <c r="CG506">
        <f>IF($CE506="","",IFERROR(VLOOKUP($CE506,DECODE!$A$3:$C$8,3,FALSE),"?"))</f>
        <v/>
      </c>
      <c r="CH506">
        <f>IF($CF506="","",IFERROR(VLOOKUP($CE506&amp;"-"&amp;$CF506,DECODE!$E$3:$F$21,2,FALSE),"?"))</f>
        <v/>
      </c>
      <c r="CI506">
        <f>IF($CD506="","",IFERROR(VALUE(RIGHT($CD506,3)),""))</f>
        <v/>
      </c>
      <c r="CJ506">
        <f>IF($Y506="","",IFERROR(IF(ISNUMBER($Y506),$Y506,DATEVALUE(TRIM($Y506))),""))</f>
        <v/>
      </c>
      <c r="CK506">
        <f>IF($CJ506="","",IF(MONTH($CJ506)&gt;=12,"Cold Winter",IF(MONTH($CJ506)&gt;=10,"Post-Monsoon",IF(MONTH($CJ506)&gt;=6,"Hot Humid",IF(MONTH($CJ506)&gt;=3,"Hot Dry","Cold Winter")))))</f>
        <v/>
      </c>
      <c r="CL506">
        <f>IF($CE506="","",IFERROR(VLOOKUP($CE506,DECODE!$A$3:$C$8,2,FALSE),"?"))</f>
        <v/>
      </c>
      <c r="CM506">
        <f>IF($AN506="","",AN506)</f>
        <v/>
      </c>
      <c r="CN506">
        <f>IF($AO506="","",AO506)</f>
        <v/>
      </c>
      <c r="CO506">
        <f>IF($AP506="","",AP506)</f>
        <v/>
      </c>
      <c r="CP506">
        <f>IF($CM506="","",IF($CM506="Aloe Vera Gel","Aloe Vera Gel "&amp;$CO506&amp;"g",CN506&amp;" "&amp;$CO506&amp;"g"))</f>
        <v/>
      </c>
      <c r="CQ506">
        <f>IF($AT506="",0,1)</f>
        <v/>
      </c>
      <c r="CR506">
        <f>IF($CQ506=0,"",AW506)</f>
        <v/>
      </c>
      <c r="CS506">
        <f>IF($CQ506=0,"",AX506)</f>
        <v/>
      </c>
      <c r="CT506">
        <f>IF($CQ506=0,"",AY506)</f>
        <v/>
      </c>
      <c r="CU506">
        <f>IF($CR506="","",IF($CR506="Aloe Vera Gel","Aloe Vera Gel "&amp;$CT506&amp;"g",CS506&amp;" "&amp;$CT506&amp;"g"))</f>
        <v/>
      </c>
      <c r="CV506">
        <f>IF($CQ506=0,"",IF($CP506=$CU506,"Repeat Exact",IF($CT506&gt;$CO506,"Upsized",IF($CT506&lt;$CO506,"Downsized",IF($CM506&lt;&gt;$CR506,"Lateral","Same Size Diff Variant")))))</f>
        <v/>
      </c>
      <c r="CW506">
        <f>IF($CQ506=0,"",AZ506-AQ506)</f>
        <v/>
      </c>
      <c r="CX506">
        <f>IF($CQ506=0,0,IF(CS506=CN506,1,0))</f>
        <v/>
      </c>
      <c r="CY506">
        <f>IF($CQ506=0,0,IF(CR506=CM506,1,0))</f>
        <v/>
      </c>
      <c r="CZ506">
        <f>IF($A506="","",IF(AND(IF(DASHBOARD!$C$4="All",TRUE,$CM506=DASHBOARD!$C$4),IF(DASHBOARD!$C$6="All",TRUE,$CP506=DASHBOARD!$C$6),IF(DASHBOARD!$C$8="All",TRUE,$AF506&gt;=DASHBOARD!$C$8),IF(DASHBOARD!$C$10="All",TRUE,$AF506&lt;=DASHBOARD!$C$10),IF(DASHBOARD!$C$12="All",TRUE,$AH506=VALUE(DASHBOARD!$C$12)),IF(DASHBOARD!$C$14="All",TRUE,$AJ506=DASHBOARD!$C$14)),1,0))</f>
        <v/>
      </c>
    </row>
    <row r="507">
      <c r="A507" t="n">
        <v>229389</v>
      </c>
      <c r="B507" t="inlineStr">
        <is>
          <t>Face Malai</t>
        </is>
      </c>
      <c r="H507" t="inlineStr">
        <is>
          <t>Flax Carrot (Hot Humid) 35+ Face Malai - 30g</t>
        </is>
      </c>
      <c r="N507" t="inlineStr">
        <is>
          <t>FC-HHDM-FC-030</t>
        </is>
      </c>
      <c r="T507" t="inlineStr">
        <is>
          <t>May 7, 2026</t>
        </is>
      </c>
      <c r="AE507" t="inlineStr">
        <is>
          <t>Bhubaneswar</t>
        </is>
      </c>
      <c r="AF507" t="inlineStr">
        <is>
          <t>2026-05</t>
        </is>
      </c>
      <c r="AG507" t="n">
        <v>5</v>
      </c>
      <c r="AH507" t="n">
        <v>1</v>
      </c>
      <c r="AI507" t="n">
        <v>0</v>
      </c>
      <c r="AJ507">
        <f>IF($AE507="","",IFERROR(VLOOKUP(TRIM($AE507),DECODE!$H$3:$I$60,2,FALSE),"Rest of India"))</f>
        <v/>
      </c>
      <c r="AK507">
        <f>IF($N507="","",UPPER(TRIM(LEFT($N507&amp;",",FIND(",",$N507&amp;",")-1))))</f>
        <v/>
      </c>
      <c r="AL507">
        <f>IF($AK507="","",MID($AK507,4,FIND("~",SUBSTITUTE($AK507,"-","~",2))-4))</f>
        <v/>
      </c>
      <c r="AM507">
        <f>IF($AK507="","",MID($AK507,FIND("~",SUBSTITUTE($AK507,"-","~",2))+1,FIND("~",SUBSTITUTE($AK507,"-","~",3))-FIND("~",SUBSTITUTE($AK507,"-","~",2))-1))</f>
        <v/>
      </c>
      <c r="AN507">
        <f>IF($AL507="","",IFERROR(VLOOKUP($AL507,DECODE!$A$3:$C$8,3,FALSE),"?"))</f>
        <v/>
      </c>
      <c r="AO507">
        <f>IF($AM507="","",IFERROR(VLOOKUP($AL507&amp;"-"&amp;$AM507,DECODE!$E$3:$F$21,2,FALSE),"?"))</f>
        <v/>
      </c>
      <c r="AP507">
        <f>IF($AK507="","",IFERROR(VALUE(RIGHT($AK507,3)),""))</f>
        <v/>
      </c>
      <c r="AQ507">
        <f>IF($T507="","",IFERROR(IF(ISNUMBER($T507),$T507,DATEVALUE(TRIM($T507))),""))</f>
        <v/>
      </c>
      <c r="AR507">
        <f>IF($AQ507="","",IF(MONTH($AQ507)&gt;=12,"Cold Winter",IF(MONTH($AQ507)&gt;=10,"Post-Monsoon",IF(MONTH($AQ507)&gt;=6,"Hot Humid",IF(MONTH($AQ507)&gt;=3,"Hot Dry","Cold Winter")))))</f>
        <v/>
      </c>
      <c r="AS507">
        <f>IF($AL507="","",IFERROR(VLOOKUP($AL507,DECODE!$A$3:$C$8,2,FALSE),"?"))</f>
        <v/>
      </c>
      <c r="AT507">
        <f>IF($O507="","",UPPER(TRIM(LEFT($O507&amp;",",FIND(",",$O507&amp;",")-1))))</f>
        <v/>
      </c>
      <c r="AU507">
        <f>IF($AT507="","",MID($AT507,4,FIND("~",SUBSTITUTE($AT507,"-","~",2))-4))</f>
        <v/>
      </c>
      <c r="AV507">
        <f>IF($AT507="","",MID($AT507,FIND("~",SUBSTITUTE($AT507,"-","~",2))+1,FIND("~",SUBSTITUTE($AT507,"-","~",3))-FIND("~",SUBSTITUTE($AT507,"-","~",2))-1))</f>
        <v/>
      </c>
      <c r="AW507">
        <f>IF($AU507="","",IFERROR(VLOOKUP($AU507,DECODE!$A$3:$C$8,3,FALSE),"?"))</f>
        <v/>
      </c>
      <c r="AX507">
        <f>IF($AV507="","",IFERROR(VLOOKUP($AU507&amp;"-"&amp;$AV507,DECODE!$E$3:$F$21,2,FALSE),"?"))</f>
        <v/>
      </c>
      <c r="AY507">
        <f>IF($AT507="","",IFERROR(VALUE(RIGHT($AT507,3)),""))</f>
        <v/>
      </c>
      <c r="AZ507">
        <f>IF($U507="","",IFERROR(IF(ISNUMBER($U507),$U507,DATEVALUE(TRIM($U507))),""))</f>
        <v/>
      </c>
      <c r="BA507">
        <f>IF($AZ507="","",IF(MONTH($AZ507)&gt;=12,"Cold Winter",IF(MONTH($AZ507)&gt;=10,"Post-Monsoon",IF(MONTH($AZ507)&gt;=6,"Hot Humid",IF(MONTH($AZ507)&gt;=3,"Hot Dry","Cold Winter")))))</f>
        <v/>
      </c>
      <c r="BB507">
        <f>IF($AU507="","",IFERROR(VLOOKUP($AU507,DECODE!$A$3:$C$8,2,FALSE),"?"))</f>
        <v/>
      </c>
      <c r="BC507">
        <f>IF($P507="","",UPPER(TRIM(LEFT($P507&amp;",",FIND(",",$P507&amp;",")-1))))</f>
        <v/>
      </c>
      <c r="BD507">
        <f>IF($BC507="","",MID($BC507,4,FIND("~",SUBSTITUTE($BC507,"-","~",2))-4))</f>
        <v/>
      </c>
      <c r="BE507">
        <f>IF($BC507="","",MID($BC507,FIND("~",SUBSTITUTE($BC507,"-","~",2))+1,FIND("~",SUBSTITUTE($BC507,"-","~",3))-FIND("~",SUBSTITUTE($BC507,"-","~",2))-1))</f>
        <v/>
      </c>
      <c r="BF507">
        <f>IF($BD507="","",IFERROR(VLOOKUP($BD507,DECODE!$A$3:$C$8,3,FALSE),"?"))</f>
        <v/>
      </c>
      <c r="BG507">
        <f>IF($BE507="","",IFERROR(VLOOKUP($BD507&amp;"-"&amp;$BE507,DECODE!$E$3:$F$21,2,FALSE),"?"))</f>
        <v/>
      </c>
      <c r="BH507">
        <f>IF($BC507="","",IFERROR(VALUE(RIGHT($BC507,3)),""))</f>
        <v/>
      </c>
      <c r="BI507">
        <f>IF($V507="","",IFERROR(IF(ISNUMBER($V507),$V507,DATEVALUE(TRIM($V507))),""))</f>
        <v/>
      </c>
      <c r="BJ507">
        <f>IF($BI507="","",IF(MONTH($BI507)&gt;=12,"Cold Winter",IF(MONTH($BI507)&gt;=10,"Post-Monsoon",IF(MONTH($BI507)&gt;=6,"Hot Humid",IF(MONTH($BI507)&gt;=3,"Hot Dry","Cold Winter")))))</f>
        <v/>
      </c>
      <c r="BK507">
        <f>IF($BD507="","",IFERROR(VLOOKUP($BD507,DECODE!$A$3:$C$8,2,FALSE),"?"))</f>
        <v/>
      </c>
      <c r="BL507">
        <f>IF($Q507="","",UPPER(TRIM(LEFT($Q507&amp;",",FIND(",",$Q507&amp;",")-1))))</f>
        <v/>
      </c>
      <c r="BM507">
        <f>IF($BL507="","",MID($BL507,4,FIND("~",SUBSTITUTE($BL507,"-","~",2))-4))</f>
        <v/>
      </c>
      <c r="BN507">
        <f>IF($BL507="","",MID($BL507,FIND("~",SUBSTITUTE($BL507,"-","~",2))+1,FIND("~",SUBSTITUTE($BL507,"-","~",3))-FIND("~",SUBSTITUTE($BL507,"-","~",2))-1))</f>
        <v/>
      </c>
      <c r="BO507">
        <f>IF($BM507="","",IFERROR(VLOOKUP($BM507,DECODE!$A$3:$C$8,3,FALSE),"?"))</f>
        <v/>
      </c>
      <c r="BP507">
        <f>IF($BN507="","",IFERROR(VLOOKUP($BM507&amp;"-"&amp;$BN507,DECODE!$E$3:$F$21,2,FALSE),"?"))</f>
        <v/>
      </c>
      <c r="BQ507">
        <f>IF($BL507="","",IFERROR(VALUE(RIGHT($BL507,3)),""))</f>
        <v/>
      </c>
      <c r="BR507">
        <f>IF($W507="","",IFERROR(IF(ISNUMBER($W507),$W507,DATEVALUE(TRIM($W507))),""))</f>
        <v/>
      </c>
      <c r="BS507">
        <f>IF($BR507="","",IF(MONTH($BR507)&gt;=12,"Cold Winter",IF(MONTH($BR507)&gt;=10,"Post-Monsoon",IF(MONTH($BR507)&gt;=6,"Hot Humid",IF(MONTH($BR507)&gt;=3,"Hot Dry","Cold Winter")))))</f>
        <v/>
      </c>
      <c r="BT507">
        <f>IF($BM507="","",IFERROR(VLOOKUP($BM507,DECODE!$A$3:$C$8,2,FALSE),"?"))</f>
        <v/>
      </c>
      <c r="BU507">
        <f>IF($R507="","",UPPER(TRIM(LEFT($R507&amp;",",FIND(",",$R507&amp;",")-1))))</f>
        <v/>
      </c>
      <c r="BV507">
        <f>IF($BU507="","",MID($BU507,4,FIND("~",SUBSTITUTE($BU507,"-","~",2))-4))</f>
        <v/>
      </c>
      <c r="BW507">
        <f>IF($BU507="","",MID($BU507,FIND("~",SUBSTITUTE($BU507,"-","~",2))+1,FIND("~",SUBSTITUTE($BU507,"-","~",3))-FIND("~",SUBSTITUTE($BU507,"-","~",2))-1))</f>
        <v/>
      </c>
      <c r="BX507">
        <f>IF($BV507="","",IFERROR(VLOOKUP($BV507,DECODE!$A$3:$C$8,3,FALSE),"?"))</f>
        <v/>
      </c>
      <c r="BY507">
        <f>IF($BW507="","",IFERROR(VLOOKUP($BV507&amp;"-"&amp;$BW507,DECODE!$E$3:$F$21,2,FALSE),"?"))</f>
        <v/>
      </c>
      <c r="BZ507">
        <f>IF($BU507="","",IFERROR(VALUE(RIGHT($BU507,3)),""))</f>
        <v/>
      </c>
      <c r="CA507">
        <f>IF($X507="","",IFERROR(IF(ISNUMBER($X507),$X507,DATEVALUE(TRIM($X507))),""))</f>
        <v/>
      </c>
      <c r="CB507">
        <f>IF($CA507="","",IF(MONTH($CA507)&gt;=12,"Cold Winter",IF(MONTH($CA507)&gt;=10,"Post-Monsoon",IF(MONTH($CA507)&gt;=6,"Hot Humid",IF(MONTH($CA507)&gt;=3,"Hot Dry","Cold Winter")))))</f>
        <v/>
      </c>
      <c r="CC507">
        <f>IF($BV507="","",IFERROR(VLOOKUP($BV507,DECODE!$A$3:$C$8,2,FALSE),"?"))</f>
        <v/>
      </c>
      <c r="CD507">
        <f>IF($S507="","",UPPER(TRIM(LEFT($S507&amp;",",FIND(",",$S507&amp;",")-1))))</f>
        <v/>
      </c>
      <c r="CE507">
        <f>IF($CD507="","",MID($CD507,4,FIND("~",SUBSTITUTE($CD507,"-","~",2))-4))</f>
        <v/>
      </c>
      <c r="CF507">
        <f>IF($CD507="","",MID($CD507,FIND("~",SUBSTITUTE($CD507,"-","~",2))+1,FIND("~",SUBSTITUTE($CD507,"-","~",3))-FIND("~",SUBSTITUTE($CD507,"-","~",2))-1))</f>
        <v/>
      </c>
      <c r="CG507">
        <f>IF($CE507="","",IFERROR(VLOOKUP($CE507,DECODE!$A$3:$C$8,3,FALSE),"?"))</f>
        <v/>
      </c>
      <c r="CH507">
        <f>IF($CF507="","",IFERROR(VLOOKUP($CE507&amp;"-"&amp;$CF507,DECODE!$E$3:$F$21,2,FALSE),"?"))</f>
        <v/>
      </c>
      <c r="CI507">
        <f>IF($CD507="","",IFERROR(VALUE(RIGHT($CD507,3)),""))</f>
        <v/>
      </c>
      <c r="CJ507">
        <f>IF($Y507="","",IFERROR(IF(ISNUMBER($Y507),$Y507,DATEVALUE(TRIM($Y507))),""))</f>
        <v/>
      </c>
      <c r="CK507">
        <f>IF($CJ507="","",IF(MONTH($CJ507)&gt;=12,"Cold Winter",IF(MONTH($CJ507)&gt;=10,"Post-Monsoon",IF(MONTH($CJ507)&gt;=6,"Hot Humid",IF(MONTH($CJ507)&gt;=3,"Hot Dry","Cold Winter")))))</f>
        <v/>
      </c>
      <c r="CL507">
        <f>IF($CE507="","",IFERROR(VLOOKUP($CE507,DECODE!$A$3:$C$8,2,FALSE),"?"))</f>
        <v/>
      </c>
      <c r="CM507">
        <f>IF($AN507="","",AN507)</f>
        <v/>
      </c>
      <c r="CN507">
        <f>IF($AO507="","",AO507)</f>
        <v/>
      </c>
      <c r="CO507">
        <f>IF($AP507="","",AP507)</f>
        <v/>
      </c>
      <c r="CP507">
        <f>IF($CM507="","",IF($CM507="Aloe Vera Gel","Aloe Vera Gel "&amp;$CO507&amp;"g",CN507&amp;" "&amp;$CO507&amp;"g"))</f>
        <v/>
      </c>
      <c r="CQ507">
        <f>IF($AT507="",0,1)</f>
        <v/>
      </c>
      <c r="CR507">
        <f>IF($CQ507=0,"",AW507)</f>
        <v/>
      </c>
      <c r="CS507">
        <f>IF($CQ507=0,"",AX507)</f>
        <v/>
      </c>
      <c r="CT507">
        <f>IF($CQ507=0,"",AY507)</f>
        <v/>
      </c>
      <c r="CU507">
        <f>IF($CR507="","",IF($CR507="Aloe Vera Gel","Aloe Vera Gel "&amp;$CT507&amp;"g",CS507&amp;" "&amp;$CT507&amp;"g"))</f>
        <v/>
      </c>
      <c r="CV507">
        <f>IF($CQ507=0,"",IF($CP507=$CU507,"Repeat Exact",IF($CT507&gt;$CO507,"Upsized",IF($CT507&lt;$CO507,"Downsized",IF($CM507&lt;&gt;$CR507,"Lateral","Same Size Diff Variant")))))</f>
        <v/>
      </c>
      <c r="CW507">
        <f>IF($CQ507=0,"",AZ507-AQ507)</f>
        <v/>
      </c>
      <c r="CX507">
        <f>IF($CQ507=0,0,IF(CS507=CN507,1,0))</f>
        <v/>
      </c>
      <c r="CY507">
        <f>IF($CQ507=0,0,IF(CR507=CM507,1,0))</f>
        <v/>
      </c>
      <c r="CZ507">
        <f>IF($A507="","",IF(AND(IF(DASHBOARD!$C$4="All",TRUE,$CM507=DASHBOARD!$C$4),IF(DASHBOARD!$C$6="All",TRUE,$CP507=DASHBOARD!$C$6),IF(DASHBOARD!$C$8="All",TRUE,$AF507&gt;=DASHBOARD!$C$8),IF(DASHBOARD!$C$10="All",TRUE,$AF507&lt;=DASHBOARD!$C$10),IF(DASHBOARD!$C$12="All",TRUE,$AH507=VALUE(DASHBOARD!$C$12)),IF(DASHBOARD!$C$14="All",TRUE,$AJ507=DASHBOARD!$C$14)),1,0))</f>
        <v/>
      </c>
    </row>
    <row r="508">
      <c r="A508" t="n">
        <v>229404</v>
      </c>
      <c r="B508" t="inlineStr">
        <is>
          <t>Face Malai</t>
        </is>
      </c>
      <c r="C508" t="inlineStr">
        <is>
          <t>Aloe Vera Gel</t>
        </is>
      </c>
      <c r="D508" t="inlineStr">
        <is>
          <t>Aloe Vera Gel</t>
        </is>
      </c>
      <c r="H508" t="inlineStr">
        <is>
          <t>Tomato Rosehip (Hot Dry) 20 - 35 Yrs Face Malai - 30g, Cocoa Mogra (Overnight) Face Malai - 30g</t>
        </is>
      </c>
      <c r="I508" t="inlineStr">
        <is>
          <t>Aloe Vera Gel - 80 gms</t>
        </is>
      </c>
      <c r="J508" t="inlineStr">
        <is>
          <t>Aloe Vera Gel - 80 gms</t>
        </is>
      </c>
      <c r="N508" t="inlineStr">
        <is>
          <t>FC-HDDM-TR-030, FC-DM-NR-030</t>
        </is>
      </c>
      <c r="O508" t="inlineStr">
        <is>
          <t>FC-HG-PA-080</t>
        </is>
      </c>
      <c r="P508" t="inlineStr">
        <is>
          <t>FC-HG-PA-080</t>
        </is>
      </c>
      <c r="T508" t="inlineStr">
        <is>
          <t>Aug 8, 2025</t>
        </is>
      </c>
      <c r="U508" t="inlineStr">
        <is>
          <t>Aug 13, 2025</t>
        </is>
      </c>
      <c r="V508" t="inlineStr">
        <is>
          <t>Sep 6, 2025</t>
        </is>
      </c>
      <c r="Z508" t="n">
        <v>5</v>
      </c>
      <c r="AA508" t="n">
        <v>24</v>
      </c>
      <c r="AE508" t="inlineStr">
        <is>
          <t>Hooghly</t>
        </is>
      </c>
      <c r="AF508" t="inlineStr">
        <is>
          <t>2025-08</t>
        </is>
      </c>
      <c r="AG508" t="n">
        <v>8</v>
      </c>
      <c r="AH508" t="n">
        <v>3</v>
      </c>
      <c r="AI508" t="n">
        <v>1</v>
      </c>
      <c r="AJ508">
        <f>IF($AE508="","",IFERROR(VLOOKUP(TRIM($AE508),DECODE!$H$3:$I$60,2,FALSE),"Rest of India"))</f>
        <v/>
      </c>
      <c r="AK508">
        <f>IF($N508="","",UPPER(TRIM(LEFT($N508&amp;",",FIND(",",$N508&amp;",")-1))))</f>
        <v/>
      </c>
      <c r="AL508">
        <f>IF($AK508="","",MID($AK508,4,FIND("~",SUBSTITUTE($AK508,"-","~",2))-4))</f>
        <v/>
      </c>
      <c r="AM508">
        <f>IF($AK508="","",MID($AK508,FIND("~",SUBSTITUTE($AK508,"-","~",2))+1,FIND("~",SUBSTITUTE($AK508,"-","~",3))-FIND("~",SUBSTITUTE($AK508,"-","~",2))-1))</f>
        <v/>
      </c>
      <c r="AN508">
        <f>IF($AL508="","",IFERROR(VLOOKUP($AL508,DECODE!$A$3:$C$8,3,FALSE),"?"))</f>
        <v/>
      </c>
      <c r="AO508">
        <f>IF($AM508="","",IFERROR(VLOOKUP($AL508&amp;"-"&amp;$AM508,DECODE!$E$3:$F$21,2,FALSE),"?"))</f>
        <v/>
      </c>
      <c r="AP508">
        <f>IF($AK508="","",IFERROR(VALUE(RIGHT($AK508,3)),""))</f>
        <v/>
      </c>
      <c r="AQ508">
        <f>IF($T508="","",IFERROR(IF(ISNUMBER($T508),$T508,DATEVALUE(TRIM($T508))),""))</f>
        <v/>
      </c>
      <c r="AR508">
        <f>IF($AQ508="","",IF(MONTH($AQ508)&gt;=12,"Cold Winter",IF(MONTH($AQ508)&gt;=10,"Post-Monsoon",IF(MONTH($AQ508)&gt;=6,"Hot Humid",IF(MONTH($AQ508)&gt;=3,"Hot Dry","Cold Winter")))))</f>
        <v/>
      </c>
      <c r="AS508">
        <f>IF($AL508="","",IFERROR(VLOOKUP($AL508,DECODE!$A$3:$C$8,2,FALSE),"?"))</f>
        <v/>
      </c>
      <c r="AT508">
        <f>IF($O508="","",UPPER(TRIM(LEFT($O508&amp;",",FIND(",",$O508&amp;",")-1))))</f>
        <v/>
      </c>
      <c r="AU508">
        <f>IF($AT508="","",MID($AT508,4,FIND("~",SUBSTITUTE($AT508,"-","~",2))-4))</f>
        <v/>
      </c>
      <c r="AV508">
        <f>IF($AT508="","",MID($AT508,FIND("~",SUBSTITUTE($AT508,"-","~",2))+1,FIND("~",SUBSTITUTE($AT508,"-","~",3))-FIND("~",SUBSTITUTE($AT508,"-","~",2))-1))</f>
        <v/>
      </c>
      <c r="AW508">
        <f>IF($AU508="","",IFERROR(VLOOKUP($AU508,DECODE!$A$3:$C$8,3,FALSE),"?"))</f>
        <v/>
      </c>
      <c r="AX508">
        <f>IF($AV508="","",IFERROR(VLOOKUP($AU508&amp;"-"&amp;$AV508,DECODE!$E$3:$F$21,2,FALSE),"?"))</f>
        <v/>
      </c>
      <c r="AY508">
        <f>IF($AT508="","",IFERROR(VALUE(RIGHT($AT508,3)),""))</f>
        <v/>
      </c>
      <c r="AZ508">
        <f>IF($U508="","",IFERROR(IF(ISNUMBER($U508),$U508,DATEVALUE(TRIM($U508))),""))</f>
        <v/>
      </c>
      <c r="BA508">
        <f>IF($AZ508="","",IF(MONTH($AZ508)&gt;=12,"Cold Winter",IF(MONTH($AZ508)&gt;=10,"Post-Monsoon",IF(MONTH($AZ508)&gt;=6,"Hot Humid",IF(MONTH($AZ508)&gt;=3,"Hot Dry","Cold Winter")))))</f>
        <v/>
      </c>
      <c r="BB508">
        <f>IF($AU508="","",IFERROR(VLOOKUP($AU508,DECODE!$A$3:$C$8,2,FALSE),"?"))</f>
        <v/>
      </c>
      <c r="BC508">
        <f>IF($P508="","",UPPER(TRIM(LEFT($P508&amp;",",FIND(",",$P508&amp;",")-1))))</f>
        <v/>
      </c>
      <c r="BD508">
        <f>IF($BC508="","",MID($BC508,4,FIND("~",SUBSTITUTE($BC508,"-","~",2))-4))</f>
        <v/>
      </c>
      <c r="BE508">
        <f>IF($BC508="","",MID($BC508,FIND("~",SUBSTITUTE($BC508,"-","~",2))+1,FIND("~",SUBSTITUTE($BC508,"-","~",3))-FIND("~",SUBSTITUTE($BC508,"-","~",2))-1))</f>
        <v/>
      </c>
      <c r="BF508">
        <f>IF($BD508="","",IFERROR(VLOOKUP($BD508,DECODE!$A$3:$C$8,3,FALSE),"?"))</f>
        <v/>
      </c>
      <c r="BG508">
        <f>IF($BE508="","",IFERROR(VLOOKUP($BD508&amp;"-"&amp;$BE508,DECODE!$E$3:$F$21,2,FALSE),"?"))</f>
        <v/>
      </c>
      <c r="BH508">
        <f>IF($BC508="","",IFERROR(VALUE(RIGHT($BC508,3)),""))</f>
        <v/>
      </c>
      <c r="BI508">
        <f>IF($V508="","",IFERROR(IF(ISNUMBER($V508),$V508,DATEVALUE(TRIM($V508))),""))</f>
        <v/>
      </c>
      <c r="BJ508">
        <f>IF($BI508="","",IF(MONTH($BI508)&gt;=12,"Cold Winter",IF(MONTH($BI508)&gt;=10,"Post-Monsoon",IF(MONTH($BI508)&gt;=6,"Hot Humid",IF(MONTH($BI508)&gt;=3,"Hot Dry","Cold Winter")))))</f>
        <v/>
      </c>
      <c r="BK508">
        <f>IF($BD508="","",IFERROR(VLOOKUP($BD508,DECODE!$A$3:$C$8,2,FALSE),"?"))</f>
        <v/>
      </c>
      <c r="BL508">
        <f>IF($Q508="","",UPPER(TRIM(LEFT($Q508&amp;",",FIND(",",$Q508&amp;",")-1))))</f>
        <v/>
      </c>
      <c r="BM508">
        <f>IF($BL508="","",MID($BL508,4,FIND("~",SUBSTITUTE($BL508,"-","~",2))-4))</f>
        <v/>
      </c>
      <c r="BN508">
        <f>IF($BL508="","",MID($BL508,FIND("~",SUBSTITUTE($BL508,"-","~",2))+1,FIND("~",SUBSTITUTE($BL508,"-","~",3))-FIND("~",SUBSTITUTE($BL508,"-","~",2))-1))</f>
        <v/>
      </c>
      <c r="BO508">
        <f>IF($BM508="","",IFERROR(VLOOKUP($BM508,DECODE!$A$3:$C$8,3,FALSE),"?"))</f>
        <v/>
      </c>
      <c r="BP508">
        <f>IF($BN508="","",IFERROR(VLOOKUP($BM508&amp;"-"&amp;$BN508,DECODE!$E$3:$F$21,2,FALSE),"?"))</f>
        <v/>
      </c>
      <c r="BQ508">
        <f>IF($BL508="","",IFERROR(VALUE(RIGHT($BL508,3)),""))</f>
        <v/>
      </c>
      <c r="BR508">
        <f>IF($W508="","",IFERROR(IF(ISNUMBER($W508),$W508,DATEVALUE(TRIM($W508))),""))</f>
        <v/>
      </c>
      <c r="BS508">
        <f>IF($BR508="","",IF(MONTH($BR508)&gt;=12,"Cold Winter",IF(MONTH($BR508)&gt;=10,"Post-Monsoon",IF(MONTH($BR508)&gt;=6,"Hot Humid",IF(MONTH($BR508)&gt;=3,"Hot Dry","Cold Winter")))))</f>
        <v/>
      </c>
      <c r="BT508">
        <f>IF($BM508="","",IFERROR(VLOOKUP($BM508,DECODE!$A$3:$C$8,2,FALSE),"?"))</f>
        <v/>
      </c>
      <c r="BU508">
        <f>IF($R508="","",UPPER(TRIM(LEFT($R508&amp;",",FIND(",",$R508&amp;",")-1))))</f>
        <v/>
      </c>
      <c r="BV508">
        <f>IF($BU508="","",MID($BU508,4,FIND("~",SUBSTITUTE($BU508,"-","~",2))-4))</f>
        <v/>
      </c>
      <c r="BW508">
        <f>IF($BU508="","",MID($BU508,FIND("~",SUBSTITUTE($BU508,"-","~",2))+1,FIND("~",SUBSTITUTE($BU508,"-","~",3))-FIND("~",SUBSTITUTE($BU508,"-","~",2))-1))</f>
        <v/>
      </c>
      <c r="BX508">
        <f>IF($BV508="","",IFERROR(VLOOKUP($BV508,DECODE!$A$3:$C$8,3,FALSE),"?"))</f>
        <v/>
      </c>
      <c r="BY508">
        <f>IF($BW508="","",IFERROR(VLOOKUP($BV508&amp;"-"&amp;$BW508,DECODE!$E$3:$F$21,2,FALSE),"?"))</f>
        <v/>
      </c>
      <c r="BZ508">
        <f>IF($BU508="","",IFERROR(VALUE(RIGHT($BU508,3)),""))</f>
        <v/>
      </c>
      <c r="CA508">
        <f>IF($X508="","",IFERROR(IF(ISNUMBER($X508),$X508,DATEVALUE(TRIM($X508))),""))</f>
        <v/>
      </c>
      <c r="CB508">
        <f>IF($CA508="","",IF(MONTH($CA508)&gt;=12,"Cold Winter",IF(MONTH($CA508)&gt;=10,"Post-Monsoon",IF(MONTH($CA508)&gt;=6,"Hot Humid",IF(MONTH($CA508)&gt;=3,"Hot Dry","Cold Winter")))))</f>
        <v/>
      </c>
      <c r="CC508">
        <f>IF($BV508="","",IFERROR(VLOOKUP($BV508,DECODE!$A$3:$C$8,2,FALSE),"?"))</f>
        <v/>
      </c>
      <c r="CD508">
        <f>IF($S508="","",UPPER(TRIM(LEFT($S508&amp;",",FIND(",",$S508&amp;",")-1))))</f>
        <v/>
      </c>
      <c r="CE508">
        <f>IF($CD508="","",MID($CD508,4,FIND("~",SUBSTITUTE($CD508,"-","~",2))-4))</f>
        <v/>
      </c>
      <c r="CF508">
        <f>IF($CD508="","",MID($CD508,FIND("~",SUBSTITUTE($CD508,"-","~",2))+1,FIND("~",SUBSTITUTE($CD508,"-","~",3))-FIND("~",SUBSTITUTE($CD508,"-","~",2))-1))</f>
        <v/>
      </c>
      <c r="CG508">
        <f>IF($CE508="","",IFERROR(VLOOKUP($CE508,DECODE!$A$3:$C$8,3,FALSE),"?"))</f>
        <v/>
      </c>
      <c r="CH508">
        <f>IF($CF508="","",IFERROR(VLOOKUP($CE508&amp;"-"&amp;$CF508,DECODE!$E$3:$F$21,2,FALSE),"?"))</f>
        <v/>
      </c>
      <c r="CI508">
        <f>IF($CD508="","",IFERROR(VALUE(RIGHT($CD508,3)),""))</f>
        <v/>
      </c>
      <c r="CJ508">
        <f>IF($Y508="","",IFERROR(IF(ISNUMBER($Y508),$Y508,DATEVALUE(TRIM($Y508))),""))</f>
        <v/>
      </c>
      <c r="CK508">
        <f>IF($CJ508="","",IF(MONTH($CJ508)&gt;=12,"Cold Winter",IF(MONTH($CJ508)&gt;=10,"Post-Monsoon",IF(MONTH($CJ508)&gt;=6,"Hot Humid",IF(MONTH($CJ508)&gt;=3,"Hot Dry","Cold Winter")))))</f>
        <v/>
      </c>
      <c r="CL508">
        <f>IF($CE508="","",IFERROR(VLOOKUP($CE508,DECODE!$A$3:$C$8,2,FALSE),"?"))</f>
        <v/>
      </c>
      <c r="CM508">
        <f>IF($AN508="","",AN508)</f>
        <v/>
      </c>
      <c r="CN508">
        <f>IF($AO508="","",AO508)</f>
        <v/>
      </c>
      <c r="CO508">
        <f>IF($AP508="","",AP508)</f>
        <v/>
      </c>
      <c r="CP508">
        <f>IF($CM508="","",IF($CM508="Aloe Vera Gel","Aloe Vera Gel "&amp;$CO508&amp;"g",CN508&amp;" "&amp;$CO508&amp;"g"))</f>
        <v/>
      </c>
      <c r="CQ508">
        <f>IF($AT508="",0,1)</f>
        <v/>
      </c>
      <c r="CR508">
        <f>IF($CQ508=0,"",AW508)</f>
        <v/>
      </c>
      <c r="CS508">
        <f>IF($CQ508=0,"",AX508)</f>
        <v/>
      </c>
      <c r="CT508">
        <f>IF($CQ508=0,"",AY508)</f>
        <v/>
      </c>
      <c r="CU508">
        <f>IF($CR508="","",IF($CR508="Aloe Vera Gel","Aloe Vera Gel "&amp;$CT508&amp;"g",CS508&amp;" "&amp;$CT508&amp;"g"))</f>
        <v/>
      </c>
      <c r="CV508">
        <f>IF($CQ508=0,"",IF($CP508=$CU508,"Repeat Exact",IF($CT508&gt;$CO508,"Upsized",IF($CT508&lt;$CO508,"Downsized",IF($CM508&lt;&gt;$CR508,"Lateral","Same Size Diff Variant")))))</f>
        <v/>
      </c>
      <c r="CW508">
        <f>IF($CQ508=0,"",AZ508-AQ508)</f>
        <v/>
      </c>
      <c r="CX508">
        <f>IF($CQ508=0,0,IF(CS508=CN508,1,0))</f>
        <v/>
      </c>
      <c r="CY508">
        <f>IF($CQ508=0,0,IF(CR508=CM508,1,0))</f>
        <v/>
      </c>
      <c r="CZ508">
        <f>IF($A508="","",IF(AND(IF(DASHBOARD!$C$4="All",TRUE,$CM508=DASHBOARD!$C$4),IF(DASHBOARD!$C$6="All",TRUE,$CP508=DASHBOARD!$C$6),IF(DASHBOARD!$C$8="All",TRUE,$AF508&gt;=DASHBOARD!$C$8),IF(DASHBOARD!$C$10="All",TRUE,$AF508&lt;=DASHBOARD!$C$10),IF(DASHBOARD!$C$12="All",TRUE,$AH508=VALUE(DASHBOARD!$C$12)),IF(DASHBOARD!$C$14="All",TRUE,$AJ508=DASHBOARD!$C$14)),1,0))</f>
        <v/>
      </c>
    </row>
    <row r="509">
      <c r="A509" t="n">
        <v>230080</v>
      </c>
      <c r="B509" t="inlineStr">
        <is>
          <t>Aloe Vera Gel</t>
        </is>
      </c>
      <c r="H509" t="inlineStr">
        <is>
          <t>Aloe Vera Gel - 40 gms</t>
        </is>
      </c>
      <c r="N509" t="inlineStr">
        <is>
          <t>FC-HG-PA-040</t>
        </is>
      </c>
      <c r="T509" t="inlineStr">
        <is>
          <t>Apr 3, 2024</t>
        </is>
      </c>
      <c r="AE509" t="inlineStr">
        <is>
          <t>Ahmedabad</t>
        </is>
      </c>
      <c r="AF509" t="inlineStr">
        <is>
          <t>2024-04</t>
        </is>
      </c>
      <c r="AG509" t="n">
        <v>4</v>
      </c>
      <c r="AH509" t="n">
        <v>1</v>
      </c>
      <c r="AI509" t="n">
        <v>0</v>
      </c>
      <c r="AJ509">
        <f>IF($AE509="","",IFERROR(VLOOKUP(TRIM($AE509),DECODE!$H$3:$I$60,2,FALSE),"Rest of India"))</f>
        <v/>
      </c>
      <c r="AK509">
        <f>IF($N509="","",UPPER(TRIM(LEFT($N509&amp;",",FIND(",",$N509&amp;",")-1))))</f>
        <v/>
      </c>
      <c r="AL509">
        <f>IF($AK509="","",MID($AK509,4,FIND("~",SUBSTITUTE($AK509,"-","~",2))-4))</f>
        <v/>
      </c>
      <c r="AM509">
        <f>IF($AK509="","",MID($AK509,FIND("~",SUBSTITUTE($AK509,"-","~",2))+1,FIND("~",SUBSTITUTE($AK509,"-","~",3))-FIND("~",SUBSTITUTE($AK509,"-","~",2))-1))</f>
        <v/>
      </c>
      <c r="AN509">
        <f>IF($AL509="","",IFERROR(VLOOKUP($AL509,DECODE!$A$3:$C$8,3,FALSE),"?"))</f>
        <v/>
      </c>
      <c r="AO509">
        <f>IF($AM509="","",IFERROR(VLOOKUP($AL509&amp;"-"&amp;$AM509,DECODE!$E$3:$F$21,2,FALSE),"?"))</f>
        <v/>
      </c>
      <c r="AP509">
        <f>IF($AK509="","",IFERROR(VALUE(RIGHT($AK509,3)),""))</f>
        <v/>
      </c>
      <c r="AQ509">
        <f>IF($T509="","",IFERROR(IF(ISNUMBER($T509),$T509,DATEVALUE(TRIM($T509))),""))</f>
        <v/>
      </c>
      <c r="AR509">
        <f>IF($AQ509="","",IF(MONTH($AQ509)&gt;=12,"Cold Winter",IF(MONTH($AQ509)&gt;=10,"Post-Monsoon",IF(MONTH($AQ509)&gt;=6,"Hot Humid",IF(MONTH($AQ509)&gt;=3,"Hot Dry","Cold Winter")))))</f>
        <v/>
      </c>
      <c r="AS509">
        <f>IF($AL509="","",IFERROR(VLOOKUP($AL509,DECODE!$A$3:$C$8,2,FALSE),"?"))</f>
        <v/>
      </c>
      <c r="AT509">
        <f>IF($O509="","",UPPER(TRIM(LEFT($O509&amp;",",FIND(",",$O509&amp;",")-1))))</f>
        <v/>
      </c>
      <c r="AU509">
        <f>IF($AT509="","",MID($AT509,4,FIND("~",SUBSTITUTE($AT509,"-","~",2))-4))</f>
        <v/>
      </c>
      <c r="AV509">
        <f>IF($AT509="","",MID($AT509,FIND("~",SUBSTITUTE($AT509,"-","~",2))+1,FIND("~",SUBSTITUTE($AT509,"-","~",3))-FIND("~",SUBSTITUTE($AT509,"-","~",2))-1))</f>
        <v/>
      </c>
      <c r="AW509">
        <f>IF($AU509="","",IFERROR(VLOOKUP($AU509,DECODE!$A$3:$C$8,3,FALSE),"?"))</f>
        <v/>
      </c>
      <c r="AX509">
        <f>IF($AV509="","",IFERROR(VLOOKUP($AU509&amp;"-"&amp;$AV509,DECODE!$E$3:$F$21,2,FALSE),"?"))</f>
        <v/>
      </c>
      <c r="AY509">
        <f>IF($AT509="","",IFERROR(VALUE(RIGHT($AT509,3)),""))</f>
        <v/>
      </c>
      <c r="AZ509">
        <f>IF($U509="","",IFERROR(IF(ISNUMBER($U509),$U509,DATEVALUE(TRIM($U509))),""))</f>
        <v/>
      </c>
      <c r="BA509">
        <f>IF($AZ509="","",IF(MONTH($AZ509)&gt;=12,"Cold Winter",IF(MONTH($AZ509)&gt;=10,"Post-Monsoon",IF(MONTH($AZ509)&gt;=6,"Hot Humid",IF(MONTH($AZ509)&gt;=3,"Hot Dry","Cold Winter")))))</f>
        <v/>
      </c>
      <c r="BB509">
        <f>IF($AU509="","",IFERROR(VLOOKUP($AU509,DECODE!$A$3:$C$8,2,FALSE),"?"))</f>
        <v/>
      </c>
      <c r="BC509">
        <f>IF($P509="","",UPPER(TRIM(LEFT($P509&amp;",",FIND(",",$P509&amp;",")-1))))</f>
        <v/>
      </c>
      <c r="BD509">
        <f>IF($BC509="","",MID($BC509,4,FIND("~",SUBSTITUTE($BC509,"-","~",2))-4))</f>
        <v/>
      </c>
      <c r="BE509">
        <f>IF($BC509="","",MID($BC509,FIND("~",SUBSTITUTE($BC509,"-","~",2))+1,FIND("~",SUBSTITUTE($BC509,"-","~",3))-FIND("~",SUBSTITUTE($BC509,"-","~",2))-1))</f>
        <v/>
      </c>
      <c r="BF509">
        <f>IF($BD509="","",IFERROR(VLOOKUP($BD509,DECODE!$A$3:$C$8,3,FALSE),"?"))</f>
        <v/>
      </c>
      <c r="BG509">
        <f>IF($BE509="","",IFERROR(VLOOKUP($BD509&amp;"-"&amp;$BE509,DECODE!$E$3:$F$21,2,FALSE),"?"))</f>
        <v/>
      </c>
      <c r="BH509">
        <f>IF($BC509="","",IFERROR(VALUE(RIGHT($BC509,3)),""))</f>
        <v/>
      </c>
      <c r="BI509">
        <f>IF($V509="","",IFERROR(IF(ISNUMBER($V509),$V509,DATEVALUE(TRIM($V509))),""))</f>
        <v/>
      </c>
      <c r="BJ509">
        <f>IF($BI509="","",IF(MONTH($BI509)&gt;=12,"Cold Winter",IF(MONTH($BI509)&gt;=10,"Post-Monsoon",IF(MONTH($BI509)&gt;=6,"Hot Humid",IF(MONTH($BI509)&gt;=3,"Hot Dry","Cold Winter")))))</f>
        <v/>
      </c>
      <c r="BK509">
        <f>IF($BD509="","",IFERROR(VLOOKUP($BD509,DECODE!$A$3:$C$8,2,FALSE),"?"))</f>
        <v/>
      </c>
      <c r="BL509">
        <f>IF($Q509="","",UPPER(TRIM(LEFT($Q509&amp;",",FIND(",",$Q509&amp;",")-1))))</f>
        <v/>
      </c>
      <c r="BM509">
        <f>IF($BL509="","",MID($BL509,4,FIND("~",SUBSTITUTE($BL509,"-","~",2))-4))</f>
        <v/>
      </c>
      <c r="BN509">
        <f>IF($BL509="","",MID($BL509,FIND("~",SUBSTITUTE($BL509,"-","~",2))+1,FIND("~",SUBSTITUTE($BL509,"-","~",3))-FIND("~",SUBSTITUTE($BL509,"-","~",2))-1))</f>
        <v/>
      </c>
      <c r="BO509">
        <f>IF($BM509="","",IFERROR(VLOOKUP($BM509,DECODE!$A$3:$C$8,3,FALSE),"?"))</f>
        <v/>
      </c>
      <c r="BP509">
        <f>IF($BN509="","",IFERROR(VLOOKUP($BM509&amp;"-"&amp;$BN509,DECODE!$E$3:$F$21,2,FALSE),"?"))</f>
        <v/>
      </c>
      <c r="BQ509">
        <f>IF($BL509="","",IFERROR(VALUE(RIGHT($BL509,3)),""))</f>
        <v/>
      </c>
      <c r="BR509">
        <f>IF($W509="","",IFERROR(IF(ISNUMBER($W509),$W509,DATEVALUE(TRIM($W509))),""))</f>
        <v/>
      </c>
      <c r="BS509">
        <f>IF($BR509="","",IF(MONTH($BR509)&gt;=12,"Cold Winter",IF(MONTH($BR509)&gt;=10,"Post-Monsoon",IF(MONTH($BR509)&gt;=6,"Hot Humid",IF(MONTH($BR509)&gt;=3,"Hot Dry","Cold Winter")))))</f>
        <v/>
      </c>
      <c r="BT509">
        <f>IF($BM509="","",IFERROR(VLOOKUP($BM509,DECODE!$A$3:$C$8,2,FALSE),"?"))</f>
        <v/>
      </c>
      <c r="BU509">
        <f>IF($R509="","",UPPER(TRIM(LEFT($R509&amp;",",FIND(",",$R509&amp;",")-1))))</f>
        <v/>
      </c>
      <c r="BV509">
        <f>IF($BU509="","",MID($BU509,4,FIND("~",SUBSTITUTE($BU509,"-","~",2))-4))</f>
        <v/>
      </c>
      <c r="BW509">
        <f>IF($BU509="","",MID($BU509,FIND("~",SUBSTITUTE($BU509,"-","~",2))+1,FIND("~",SUBSTITUTE($BU509,"-","~",3))-FIND("~",SUBSTITUTE($BU509,"-","~",2))-1))</f>
        <v/>
      </c>
      <c r="BX509">
        <f>IF($BV509="","",IFERROR(VLOOKUP($BV509,DECODE!$A$3:$C$8,3,FALSE),"?"))</f>
        <v/>
      </c>
      <c r="BY509">
        <f>IF($BW509="","",IFERROR(VLOOKUP($BV509&amp;"-"&amp;$BW509,DECODE!$E$3:$F$21,2,FALSE),"?"))</f>
        <v/>
      </c>
      <c r="BZ509">
        <f>IF($BU509="","",IFERROR(VALUE(RIGHT($BU509,3)),""))</f>
        <v/>
      </c>
      <c r="CA509">
        <f>IF($X509="","",IFERROR(IF(ISNUMBER($X509),$X509,DATEVALUE(TRIM($X509))),""))</f>
        <v/>
      </c>
      <c r="CB509">
        <f>IF($CA509="","",IF(MONTH($CA509)&gt;=12,"Cold Winter",IF(MONTH($CA509)&gt;=10,"Post-Monsoon",IF(MONTH($CA509)&gt;=6,"Hot Humid",IF(MONTH($CA509)&gt;=3,"Hot Dry","Cold Winter")))))</f>
        <v/>
      </c>
      <c r="CC509">
        <f>IF($BV509="","",IFERROR(VLOOKUP($BV509,DECODE!$A$3:$C$8,2,FALSE),"?"))</f>
        <v/>
      </c>
      <c r="CD509">
        <f>IF($S509="","",UPPER(TRIM(LEFT($S509&amp;",",FIND(",",$S509&amp;",")-1))))</f>
        <v/>
      </c>
      <c r="CE509">
        <f>IF($CD509="","",MID($CD509,4,FIND("~",SUBSTITUTE($CD509,"-","~",2))-4))</f>
        <v/>
      </c>
      <c r="CF509">
        <f>IF($CD509="","",MID($CD509,FIND("~",SUBSTITUTE($CD509,"-","~",2))+1,FIND("~",SUBSTITUTE($CD509,"-","~",3))-FIND("~",SUBSTITUTE($CD509,"-","~",2))-1))</f>
        <v/>
      </c>
      <c r="CG509">
        <f>IF($CE509="","",IFERROR(VLOOKUP($CE509,DECODE!$A$3:$C$8,3,FALSE),"?"))</f>
        <v/>
      </c>
      <c r="CH509">
        <f>IF($CF509="","",IFERROR(VLOOKUP($CE509&amp;"-"&amp;$CF509,DECODE!$E$3:$F$21,2,FALSE),"?"))</f>
        <v/>
      </c>
      <c r="CI509">
        <f>IF($CD509="","",IFERROR(VALUE(RIGHT($CD509,3)),""))</f>
        <v/>
      </c>
      <c r="CJ509">
        <f>IF($Y509="","",IFERROR(IF(ISNUMBER($Y509),$Y509,DATEVALUE(TRIM($Y509))),""))</f>
        <v/>
      </c>
      <c r="CK509">
        <f>IF($CJ509="","",IF(MONTH($CJ509)&gt;=12,"Cold Winter",IF(MONTH($CJ509)&gt;=10,"Post-Monsoon",IF(MONTH($CJ509)&gt;=6,"Hot Humid",IF(MONTH($CJ509)&gt;=3,"Hot Dry","Cold Winter")))))</f>
        <v/>
      </c>
      <c r="CL509">
        <f>IF($CE509="","",IFERROR(VLOOKUP($CE509,DECODE!$A$3:$C$8,2,FALSE),"?"))</f>
        <v/>
      </c>
      <c r="CM509">
        <f>IF($AN509="","",AN509)</f>
        <v/>
      </c>
      <c r="CN509">
        <f>IF($AO509="","",AO509)</f>
        <v/>
      </c>
      <c r="CO509">
        <f>IF($AP509="","",AP509)</f>
        <v/>
      </c>
      <c r="CP509">
        <f>IF($CM509="","",IF($CM509="Aloe Vera Gel","Aloe Vera Gel "&amp;$CO509&amp;"g",CN509&amp;" "&amp;$CO509&amp;"g"))</f>
        <v/>
      </c>
      <c r="CQ509">
        <f>IF($AT509="",0,1)</f>
        <v/>
      </c>
      <c r="CR509">
        <f>IF($CQ509=0,"",AW509)</f>
        <v/>
      </c>
      <c r="CS509">
        <f>IF($CQ509=0,"",AX509)</f>
        <v/>
      </c>
      <c r="CT509">
        <f>IF($CQ509=0,"",AY509)</f>
        <v/>
      </c>
      <c r="CU509">
        <f>IF($CR509="","",IF($CR509="Aloe Vera Gel","Aloe Vera Gel "&amp;$CT509&amp;"g",CS509&amp;" "&amp;$CT509&amp;"g"))</f>
        <v/>
      </c>
      <c r="CV509">
        <f>IF($CQ509=0,"",IF($CP509=$CU509,"Repeat Exact",IF($CT509&gt;$CO509,"Upsized",IF($CT509&lt;$CO509,"Downsized",IF($CM509&lt;&gt;$CR509,"Lateral","Same Size Diff Variant")))))</f>
        <v/>
      </c>
      <c r="CW509">
        <f>IF($CQ509=0,"",AZ509-AQ509)</f>
        <v/>
      </c>
      <c r="CX509">
        <f>IF($CQ509=0,0,IF(CS509=CN509,1,0))</f>
        <v/>
      </c>
      <c r="CY509">
        <f>IF($CQ509=0,0,IF(CR509=CM509,1,0))</f>
        <v/>
      </c>
      <c r="CZ509">
        <f>IF($A509="","",IF(AND(IF(DASHBOARD!$C$4="All",TRUE,$CM509=DASHBOARD!$C$4),IF(DASHBOARD!$C$6="All",TRUE,$CP509=DASHBOARD!$C$6),IF(DASHBOARD!$C$8="All",TRUE,$AF509&gt;=DASHBOARD!$C$8),IF(DASHBOARD!$C$10="All",TRUE,$AF509&lt;=DASHBOARD!$C$10),IF(DASHBOARD!$C$12="All",TRUE,$AH509=VALUE(DASHBOARD!$C$12)),IF(DASHBOARD!$C$14="All",TRUE,$AJ509=DASHBOARD!$C$14)),1,0))</f>
        <v/>
      </c>
    </row>
    <row r="510">
      <c r="A510" t="n">
        <v>230258</v>
      </c>
      <c r="B510" t="inlineStr">
        <is>
          <t>Face Malai</t>
        </is>
      </c>
      <c r="C510" t="inlineStr">
        <is>
          <t>Face Malai</t>
        </is>
      </c>
      <c r="D510" t="inlineStr">
        <is>
          <t>Face Malai</t>
        </is>
      </c>
      <c r="E510" t="inlineStr">
        <is>
          <t>Face Malai</t>
        </is>
      </c>
      <c r="H510" t="inlineStr">
        <is>
          <t>Flax Carrot (Hot Humid) 35+ Face Malai - 30g</t>
        </is>
      </c>
      <c r="I510" t="inlineStr">
        <is>
          <t>Flax Carrot (Hot Humid) 35+ Face Malai - 30g</t>
        </is>
      </c>
      <c r="J510" t="inlineStr">
        <is>
          <t>Flax Walnut (Cold) 35+ Face Malai</t>
        </is>
      </c>
      <c r="K510" t="inlineStr">
        <is>
          <t>Turmeric Nutmeg (Pigmentation)  Face Malai - 30g</t>
        </is>
      </c>
      <c r="N510" t="inlineStr">
        <is>
          <t>FC-HHDM-FC-030</t>
        </is>
      </c>
      <c r="O510" t="inlineStr">
        <is>
          <t>FC-HHDM-FC-030</t>
        </is>
      </c>
      <c r="P510" t="inlineStr">
        <is>
          <t>FC-CWDM-FW-030</t>
        </is>
      </c>
      <c r="Q510" t="inlineStr">
        <is>
          <t>FC-DM-PG-030</t>
        </is>
      </c>
      <c r="T510" t="inlineStr">
        <is>
          <t>Jan 29, 2025</t>
        </is>
      </c>
      <c r="U510" t="inlineStr">
        <is>
          <t>Jul 28, 2025</t>
        </is>
      </c>
      <c r="V510" t="inlineStr">
        <is>
          <t>Dec 24, 2025</t>
        </is>
      </c>
      <c r="W510" t="inlineStr">
        <is>
          <t>Mar 21, 2026</t>
        </is>
      </c>
      <c r="Z510" t="n">
        <v>180</v>
      </c>
      <c r="AA510" t="n">
        <v>149</v>
      </c>
      <c r="AB510" t="n">
        <v>87</v>
      </c>
      <c r="AE510" t="inlineStr">
        <is>
          <t>Mumbai</t>
        </is>
      </c>
      <c r="AF510" t="inlineStr">
        <is>
          <t>2025-01</t>
        </is>
      </c>
      <c r="AG510" t="n">
        <v>1</v>
      </c>
      <c r="AH510" t="n">
        <v>4</v>
      </c>
      <c r="AI510" t="n">
        <v>1</v>
      </c>
      <c r="AJ510">
        <f>IF($AE510="","",IFERROR(VLOOKUP(TRIM($AE510),DECODE!$H$3:$I$60,2,FALSE),"Rest of India"))</f>
        <v/>
      </c>
      <c r="AK510">
        <f>IF($N510="","",UPPER(TRIM(LEFT($N510&amp;",",FIND(",",$N510&amp;",")-1))))</f>
        <v/>
      </c>
      <c r="AL510">
        <f>IF($AK510="","",MID($AK510,4,FIND("~",SUBSTITUTE($AK510,"-","~",2))-4))</f>
        <v/>
      </c>
      <c r="AM510">
        <f>IF($AK510="","",MID($AK510,FIND("~",SUBSTITUTE($AK510,"-","~",2))+1,FIND("~",SUBSTITUTE($AK510,"-","~",3))-FIND("~",SUBSTITUTE($AK510,"-","~",2))-1))</f>
        <v/>
      </c>
      <c r="AN510">
        <f>IF($AL510="","",IFERROR(VLOOKUP($AL510,DECODE!$A$3:$C$8,3,FALSE),"?"))</f>
        <v/>
      </c>
      <c r="AO510">
        <f>IF($AM510="","",IFERROR(VLOOKUP($AL510&amp;"-"&amp;$AM510,DECODE!$E$3:$F$21,2,FALSE),"?"))</f>
        <v/>
      </c>
      <c r="AP510">
        <f>IF($AK510="","",IFERROR(VALUE(RIGHT($AK510,3)),""))</f>
        <v/>
      </c>
      <c r="AQ510">
        <f>IF($T510="","",IFERROR(IF(ISNUMBER($T510),$T510,DATEVALUE(TRIM($T510))),""))</f>
        <v/>
      </c>
      <c r="AR510">
        <f>IF($AQ510="","",IF(MONTH($AQ510)&gt;=12,"Cold Winter",IF(MONTH($AQ510)&gt;=10,"Post-Monsoon",IF(MONTH($AQ510)&gt;=6,"Hot Humid",IF(MONTH($AQ510)&gt;=3,"Hot Dry","Cold Winter")))))</f>
        <v/>
      </c>
      <c r="AS510">
        <f>IF($AL510="","",IFERROR(VLOOKUP($AL510,DECODE!$A$3:$C$8,2,FALSE),"?"))</f>
        <v/>
      </c>
      <c r="AT510">
        <f>IF($O510="","",UPPER(TRIM(LEFT($O510&amp;",",FIND(",",$O510&amp;",")-1))))</f>
        <v/>
      </c>
      <c r="AU510">
        <f>IF($AT510="","",MID($AT510,4,FIND("~",SUBSTITUTE($AT510,"-","~",2))-4))</f>
        <v/>
      </c>
      <c r="AV510">
        <f>IF($AT510="","",MID($AT510,FIND("~",SUBSTITUTE($AT510,"-","~",2))+1,FIND("~",SUBSTITUTE($AT510,"-","~",3))-FIND("~",SUBSTITUTE($AT510,"-","~",2))-1))</f>
        <v/>
      </c>
      <c r="AW510">
        <f>IF($AU510="","",IFERROR(VLOOKUP($AU510,DECODE!$A$3:$C$8,3,FALSE),"?"))</f>
        <v/>
      </c>
      <c r="AX510">
        <f>IF($AV510="","",IFERROR(VLOOKUP($AU510&amp;"-"&amp;$AV510,DECODE!$E$3:$F$21,2,FALSE),"?"))</f>
        <v/>
      </c>
      <c r="AY510">
        <f>IF($AT510="","",IFERROR(VALUE(RIGHT($AT510,3)),""))</f>
        <v/>
      </c>
      <c r="AZ510">
        <f>IF($U510="","",IFERROR(IF(ISNUMBER($U510),$U510,DATEVALUE(TRIM($U510))),""))</f>
        <v/>
      </c>
      <c r="BA510">
        <f>IF($AZ510="","",IF(MONTH($AZ510)&gt;=12,"Cold Winter",IF(MONTH($AZ510)&gt;=10,"Post-Monsoon",IF(MONTH($AZ510)&gt;=6,"Hot Humid",IF(MONTH($AZ510)&gt;=3,"Hot Dry","Cold Winter")))))</f>
        <v/>
      </c>
      <c r="BB510">
        <f>IF($AU510="","",IFERROR(VLOOKUP($AU510,DECODE!$A$3:$C$8,2,FALSE),"?"))</f>
        <v/>
      </c>
      <c r="BC510">
        <f>IF($P510="","",UPPER(TRIM(LEFT($P510&amp;",",FIND(",",$P510&amp;",")-1))))</f>
        <v/>
      </c>
      <c r="BD510">
        <f>IF($BC510="","",MID($BC510,4,FIND("~",SUBSTITUTE($BC510,"-","~",2))-4))</f>
        <v/>
      </c>
      <c r="BE510">
        <f>IF($BC510="","",MID($BC510,FIND("~",SUBSTITUTE($BC510,"-","~",2))+1,FIND("~",SUBSTITUTE($BC510,"-","~",3))-FIND("~",SUBSTITUTE($BC510,"-","~",2))-1))</f>
        <v/>
      </c>
      <c r="BF510">
        <f>IF($BD510="","",IFERROR(VLOOKUP($BD510,DECODE!$A$3:$C$8,3,FALSE),"?"))</f>
        <v/>
      </c>
      <c r="BG510">
        <f>IF($BE510="","",IFERROR(VLOOKUP($BD510&amp;"-"&amp;$BE510,DECODE!$E$3:$F$21,2,FALSE),"?"))</f>
        <v/>
      </c>
      <c r="BH510">
        <f>IF($BC510="","",IFERROR(VALUE(RIGHT($BC510,3)),""))</f>
        <v/>
      </c>
      <c r="BI510">
        <f>IF($V510="","",IFERROR(IF(ISNUMBER($V510),$V510,DATEVALUE(TRIM($V510))),""))</f>
        <v/>
      </c>
      <c r="BJ510">
        <f>IF($BI510="","",IF(MONTH($BI510)&gt;=12,"Cold Winter",IF(MONTH($BI510)&gt;=10,"Post-Monsoon",IF(MONTH($BI510)&gt;=6,"Hot Humid",IF(MONTH($BI510)&gt;=3,"Hot Dry","Cold Winter")))))</f>
        <v/>
      </c>
      <c r="BK510">
        <f>IF($BD510="","",IFERROR(VLOOKUP($BD510,DECODE!$A$3:$C$8,2,FALSE),"?"))</f>
        <v/>
      </c>
      <c r="BL510">
        <f>IF($Q510="","",UPPER(TRIM(LEFT($Q510&amp;",",FIND(",",$Q510&amp;",")-1))))</f>
        <v/>
      </c>
      <c r="BM510">
        <f>IF($BL510="","",MID($BL510,4,FIND("~",SUBSTITUTE($BL510,"-","~",2))-4))</f>
        <v/>
      </c>
      <c r="BN510">
        <f>IF($BL510="","",MID($BL510,FIND("~",SUBSTITUTE($BL510,"-","~",2))+1,FIND("~",SUBSTITUTE($BL510,"-","~",3))-FIND("~",SUBSTITUTE($BL510,"-","~",2))-1))</f>
        <v/>
      </c>
      <c r="BO510">
        <f>IF($BM510="","",IFERROR(VLOOKUP($BM510,DECODE!$A$3:$C$8,3,FALSE),"?"))</f>
        <v/>
      </c>
      <c r="BP510">
        <f>IF($BN510="","",IFERROR(VLOOKUP($BM510&amp;"-"&amp;$BN510,DECODE!$E$3:$F$21,2,FALSE),"?"))</f>
        <v/>
      </c>
      <c r="BQ510">
        <f>IF($BL510="","",IFERROR(VALUE(RIGHT($BL510,3)),""))</f>
        <v/>
      </c>
      <c r="BR510">
        <f>IF($W510="","",IFERROR(IF(ISNUMBER($W510),$W510,DATEVALUE(TRIM($W510))),""))</f>
        <v/>
      </c>
      <c r="BS510">
        <f>IF($BR510="","",IF(MONTH($BR510)&gt;=12,"Cold Winter",IF(MONTH($BR510)&gt;=10,"Post-Monsoon",IF(MONTH($BR510)&gt;=6,"Hot Humid",IF(MONTH($BR510)&gt;=3,"Hot Dry","Cold Winter")))))</f>
        <v/>
      </c>
      <c r="BT510">
        <f>IF($BM510="","",IFERROR(VLOOKUP($BM510,DECODE!$A$3:$C$8,2,FALSE),"?"))</f>
        <v/>
      </c>
      <c r="BU510">
        <f>IF($R510="","",UPPER(TRIM(LEFT($R510&amp;",",FIND(",",$R510&amp;",")-1))))</f>
        <v/>
      </c>
      <c r="BV510">
        <f>IF($BU510="","",MID($BU510,4,FIND("~",SUBSTITUTE($BU510,"-","~",2))-4))</f>
        <v/>
      </c>
      <c r="BW510">
        <f>IF($BU510="","",MID($BU510,FIND("~",SUBSTITUTE($BU510,"-","~",2))+1,FIND("~",SUBSTITUTE($BU510,"-","~",3))-FIND("~",SUBSTITUTE($BU510,"-","~",2))-1))</f>
        <v/>
      </c>
      <c r="BX510">
        <f>IF($BV510="","",IFERROR(VLOOKUP($BV510,DECODE!$A$3:$C$8,3,FALSE),"?"))</f>
        <v/>
      </c>
      <c r="BY510">
        <f>IF($BW510="","",IFERROR(VLOOKUP($BV510&amp;"-"&amp;$BW510,DECODE!$E$3:$F$21,2,FALSE),"?"))</f>
        <v/>
      </c>
      <c r="BZ510">
        <f>IF($BU510="","",IFERROR(VALUE(RIGHT($BU510,3)),""))</f>
        <v/>
      </c>
      <c r="CA510">
        <f>IF($X510="","",IFERROR(IF(ISNUMBER($X510),$X510,DATEVALUE(TRIM($X510))),""))</f>
        <v/>
      </c>
      <c r="CB510">
        <f>IF($CA510="","",IF(MONTH($CA510)&gt;=12,"Cold Winter",IF(MONTH($CA510)&gt;=10,"Post-Monsoon",IF(MONTH($CA510)&gt;=6,"Hot Humid",IF(MONTH($CA510)&gt;=3,"Hot Dry","Cold Winter")))))</f>
        <v/>
      </c>
      <c r="CC510">
        <f>IF($BV510="","",IFERROR(VLOOKUP($BV510,DECODE!$A$3:$C$8,2,FALSE),"?"))</f>
        <v/>
      </c>
      <c r="CD510">
        <f>IF($S510="","",UPPER(TRIM(LEFT($S510&amp;",",FIND(",",$S510&amp;",")-1))))</f>
        <v/>
      </c>
      <c r="CE510">
        <f>IF($CD510="","",MID($CD510,4,FIND("~",SUBSTITUTE($CD510,"-","~",2))-4))</f>
        <v/>
      </c>
      <c r="CF510">
        <f>IF($CD510="","",MID($CD510,FIND("~",SUBSTITUTE($CD510,"-","~",2))+1,FIND("~",SUBSTITUTE($CD510,"-","~",3))-FIND("~",SUBSTITUTE($CD510,"-","~",2))-1))</f>
        <v/>
      </c>
      <c r="CG510">
        <f>IF($CE510="","",IFERROR(VLOOKUP($CE510,DECODE!$A$3:$C$8,3,FALSE),"?"))</f>
        <v/>
      </c>
      <c r="CH510">
        <f>IF($CF510="","",IFERROR(VLOOKUP($CE510&amp;"-"&amp;$CF510,DECODE!$E$3:$F$21,2,FALSE),"?"))</f>
        <v/>
      </c>
      <c r="CI510">
        <f>IF($CD510="","",IFERROR(VALUE(RIGHT($CD510,3)),""))</f>
        <v/>
      </c>
      <c r="CJ510">
        <f>IF($Y510="","",IFERROR(IF(ISNUMBER($Y510),$Y510,DATEVALUE(TRIM($Y510))),""))</f>
        <v/>
      </c>
      <c r="CK510">
        <f>IF($CJ510="","",IF(MONTH($CJ510)&gt;=12,"Cold Winter",IF(MONTH($CJ510)&gt;=10,"Post-Monsoon",IF(MONTH($CJ510)&gt;=6,"Hot Humid",IF(MONTH($CJ510)&gt;=3,"Hot Dry","Cold Winter")))))</f>
        <v/>
      </c>
      <c r="CL510">
        <f>IF($CE510="","",IFERROR(VLOOKUP($CE510,DECODE!$A$3:$C$8,2,FALSE),"?"))</f>
        <v/>
      </c>
      <c r="CM510">
        <f>IF($AN510="","",AN510)</f>
        <v/>
      </c>
      <c r="CN510">
        <f>IF($AO510="","",AO510)</f>
        <v/>
      </c>
      <c r="CO510">
        <f>IF($AP510="","",AP510)</f>
        <v/>
      </c>
      <c r="CP510">
        <f>IF($CM510="","",IF($CM510="Aloe Vera Gel","Aloe Vera Gel "&amp;$CO510&amp;"g",CN510&amp;" "&amp;$CO510&amp;"g"))</f>
        <v/>
      </c>
      <c r="CQ510">
        <f>IF($AT510="",0,1)</f>
        <v/>
      </c>
      <c r="CR510">
        <f>IF($CQ510=0,"",AW510)</f>
        <v/>
      </c>
      <c r="CS510">
        <f>IF($CQ510=0,"",AX510)</f>
        <v/>
      </c>
      <c r="CT510">
        <f>IF($CQ510=0,"",AY510)</f>
        <v/>
      </c>
      <c r="CU510">
        <f>IF($CR510="","",IF($CR510="Aloe Vera Gel","Aloe Vera Gel "&amp;$CT510&amp;"g",CS510&amp;" "&amp;$CT510&amp;"g"))</f>
        <v/>
      </c>
      <c r="CV510">
        <f>IF($CQ510=0,"",IF($CP510=$CU510,"Repeat Exact",IF($CT510&gt;$CO510,"Upsized",IF($CT510&lt;$CO510,"Downsized",IF($CM510&lt;&gt;$CR510,"Lateral","Same Size Diff Variant")))))</f>
        <v/>
      </c>
      <c r="CW510">
        <f>IF($CQ510=0,"",AZ510-AQ510)</f>
        <v/>
      </c>
      <c r="CX510">
        <f>IF($CQ510=0,0,IF(CS510=CN510,1,0))</f>
        <v/>
      </c>
      <c r="CY510">
        <f>IF($CQ510=0,0,IF(CR510=CM510,1,0))</f>
        <v/>
      </c>
      <c r="CZ510">
        <f>IF($A510="","",IF(AND(IF(DASHBOARD!$C$4="All",TRUE,$CM510=DASHBOARD!$C$4),IF(DASHBOARD!$C$6="All",TRUE,$CP510=DASHBOARD!$C$6),IF(DASHBOARD!$C$8="All",TRUE,$AF510&gt;=DASHBOARD!$C$8),IF(DASHBOARD!$C$10="All",TRUE,$AF510&lt;=DASHBOARD!$C$10),IF(DASHBOARD!$C$12="All",TRUE,$AH510=VALUE(DASHBOARD!$C$12)),IF(DASHBOARD!$C$14="All",TRUE,$AJ510=DASHBOARD!$C$14)),1,0))</f>
        <v/>
      </c>
    </row>
    <row r="511">
      <c r="A511" t="n">
        <v>230551</v>
      </c>
      <c r="B511" t="inlineStr">
        <is>
          <t>Face Malai</t>
        </is>
      </c>
      <c r="H511" t="inlineStr">
        <is>
          <t>Flax Walnut (Cold) 35+ Face Malai, Cocoa Mogra (Overnight) Face Malai - 30g</t>
        </is>
      </c>
      <c r="N511" t="inlineStr">
        <is>
          <t>FC-CWDM-FW-030, FC-DM-NR-030</t>
        </is>
      </c>
      <c r="T511" t="inlineStr">
        <is>
          <t>Nov 11, 2025</t>
        </is>
      </c>
      <c r="AE511" t="inlineStr">
        <is>
          <t>Darjeeling</t>
        </is>
      </c>
      <c r="AF511" t="inlineStr">
        <is>
          <t>2025-11</t>
        </is>
      </c>
      <c r="AG511" t="n">
        <v>11</v>
      </c>
      <c r="AH511" t="n">
        <v>1</v>
      </c>
      <c r="AI511" t="n">
        <v>0</v>
      </c>
      <c r="AJ511">
        <f>IF($AE511="","",IFERROR(VLOOKUP(TRIM($AE511),DECODE!$H$3:$I$60,2,FALSE),"Rest of India"))</f>
        <v/>
      </c>
      <c r="AK511">
        <f>IF($N511="","",UPPER(TRIM(LEFT($N511&amp;",",FIND(",",$N511&amp;",")-1))))</f>
        <v/>
      </c>
      <c r="AL511">
        <f>IF($AK511="","",MID($AK511,4,FIND("~",SUBSTITUTE($AK511,"-","~",2))-4))</f>
        <v/>
      </c>
      <c r="AM511">
        <f>IF($AK511="","",MID($AK511,FIND("~",SUBSTITUTE($AK511,"-","~",2))+1,FIND("~",SUBSTITUTE($AK511,"-","~",3))-FIND("~",SUBSTITUTE($AK511,"-","~",2))-1))</f>
        <v/>
      </c>
      <c r="AN511">
        <f>IF($AL511="","",IFERROR(VLOOKUP($AL511,DECODE!$A$3:$C$8,3,FALSE),"?"))</f>
        <v/>
      </c>
      <c r="AO511">
        <f>IF($AM511="","",IFERROR(VLOOKUP($AL511&amp;"-"&amp;$AM511,DECODE!$E$3:$F$21,2,FALSE),"?"))</f>
        <v/>
      </c>
      <c r="AP511">
        <f>IF($AK511="","",IFERROR(VALUE(RIGHT($AK511,3)),""))</f>
        <v/>
      </c>
      <c r="AQ511">
        <f>IF($T511="","",IFERROR(IF(ISNUMBER($T511),$T511,DATEVALUE(TRIM($T511))),""))</f>
        <v/>
      </c>
      <c r="AR511">
        <f>IF($AQ511="","",IF(MONTH($AQ511)&gt;=12,"Cold Winter",IF(MONTH($AQ511)&gt;=10,"Post-Monsoon",IF(MONTH($AQ511)&gt;=6,"Hot Humid",IF(MONTH($AQ511)&gt;=3,"Hot Dry","Cold Winter")))))</f>
        <v/>
      </c>
      <c r="AS511">
        <f>IF($AL511="","",IFERROR(VLOOKUP($AL511,DECODE!$A$3:$C$8,2,FALSE),"?"))</f>
        <v/>
      </c>
      <c r="AT511">
        <f>IF($O511="","",UPPER(TRIM(LEFT($O511&amp;",",FIND(",",$O511&amp;",")-1))))</f>
        <v/>
      </c>
      <c r="AU511">
        <f>IF($AT511="","",MID($AT511,4,FIND("~",SUBSTITUTE($AT511,"-","~",2))-4))</f>
        <v/>
      </c>
      <c r="AV511">
        <f>IF($AT511="","",MID($AT511,FIND("~",SUBSTITUTE($AT511,"-","~",2))+1,FIND("~",SUBSTITUTE($AT511,"-","~",3))-FIND("~",SUBSTITUTE($AT511,"-","~",2))-1))</f>
        <v/>
      </c>
      <c r="AW511">
        <f>IF($AU511="","",IFERROR(VLOOKUP($AU511,DECODE!$A$3:$C$8,3,FALSE),"?"))</f>
        <v/>
      </c>
      <c r="AX511">
        <f>IF($AV511="","",IFERROR(VLOOKUP($AU511&amp;"-"&amp;$AV511,DECODE!$E$3:$F$21,2,FALSE),"?"))</f>
        <v/>
      </c>
      <c r="AY511">
        <f>IF($AT511="","",IFERROR(VALUE(RIGHT($AT511,3)),""))</f>
        <v/>
      </c>
      <c r="AZ511">
        <f>IF($U511="","",IFERROR(IF(ISNUMBER($U511),$U511,DATEVALUE(TRIM($U511))),""))</f>
        <v/>
      </c>
      <c r="BA511">
        <f>IF($AZ511="","",IF(MONTH($AZ511)&gt;=12,"Cold Winter",IF(MONTH($AZ511)&gt;=10,"Post-Monsoon",IF(MONTH($AZ511)&gt;=6,"Hot Humid",IF(MONTH($AZ511)&gt;=3,"Hot Dry","Cold Winter")))))</f>
        <v/>
      </c>
      <c r="BB511">
        <f>IF($AU511="","",IFERROR(VLOOKUP($AU511,DECODE!$A$3:$C$8,2,FALSE),"?"))</f>
        <v/>
      </c>
      <c r="BC511">
        <f>IF($P511="","",UPPER(TRIM(LEFT($P511&amp;",",FIND(",",$P511&amp;",")-1))))</f>
        <v/>
      </c>
      <c r="BD511">
        <f>IF($BC511="","",MID($BC511,4,FIND("~",SUBSTITUTE($BC511,"-","~",2))-4))</f>
        <v/>
      </c>
      <c r="BE511">
        <f>IF($BC511="","",MID($BC511,FIND("~",SUBSTITUTE($BC511,"-","~",2))+1,FIND("~",SUBSTITUTE($BC511,"-","~",3))-FIND("~",SUBSTITUTE($BC511,"-","~",2))-1))</f>
        <v/>
      </c>
      <c r="BF511">
        <f>IF($BD511="","",IFERROR(VLOOKUP($BD511,DECODE!$A$3:$C$8,3,FALSE),"?"))</f>
        <v/>
      </c>
      <c r="BG511">
        <f>IF($BE511="","",IFERROR(VLOOKUP($BD511&amp;"-"&amp;$BE511,DECODE!$E$3:$F$21,2,FALSE),"?"))</f>
        <v/>
      </c>
      <c r="BH511">
        <f>IF($BC511="","",IFERROR(VALUE(RIGHT($BC511,3)),""))</f>
        <v/>
      </c>
      <c r="BI511">
        <f>IF($V511="","",IFERROR(IF(ISNUMBER($V511),$V511,DATEVALUE(TRIM($V511))),""))</f>
        <v/>
      </c>
      <c r="BJ511">
        <f>IF($BI511="","",IF(MONTH($BI511)&gt;=12,"Cold Winter",IF(MONTH($BI511)&gt;=10,"Post-Monsoon",IF(MONTH($BI511)&gt;=6,"Hot Humid",IF(MONTH($BI511)&gt;=3,"Hot Dry","Cold Winter")))))</f>
        <v/>
      </c>
      <c r="BK511">
        <f>IF($BD511="","",IFERROR(VLOOKUP($BD511,DECODE!$A$3:$C$8,2,FALSE),"?"))</f>
        <v/>
      </c>
      <c r="BL511">
        <f>IF($Q511="","",UPPER(TRIM(LEFT($Q511&amp;",",FIND(",",$Q511&amp;",")-1))))</f>
        <v/>
      </c>
      <c r="BM511">
        <f>IF($BL511="","",MID($BL511,4,FIND("~",SUBSTITUTE($BL511,"-","~",2))-4))</f>
        <v/>
      </c>
      <c r="BN511">
        <f>IF($BL511="","",MID($BL511,FIND("~",SUBSTITUTE($BL511,"-","~",2))+1,FIND("~",SUBSTITUTE($BL511,"-","~",3))-FIND("~",SUBSTITUTE($BL511,"-","~",2))-1))</f>
        <v/>
      </c>
      <c r="BO511">
        <f>IF($BM511="","",IFERROR(VLOOKUP($BM511,DECODE!$A$3:$C$8,3,FALSE),"?"))</f>
        <v/>
      </c>
      <c r="BP511">
        <f>IF($BN511="","",IFERROR(VLOOKUP($BM511&amp;"-"&amp;$BN511,DECODE!$E$3:$F$21,2,FALSE),"?"))</f>
        <v/>
      </c>
      <c r="BQ511">
        <f>IF($BL511="","",IFERROR(VALUE(RIGHT($BL511,3)),""))</f>
        <v/>
      </c>
      <c r="BR511">
        <f>IF($W511="","",IFERROR(IF(ISNUMBER($W511),$W511,DATEVALUE(TRIM($W511))),""))</f>
        <v/>
      </c>
      <c r="BS511">
        <f>IF($BR511="","",IF(MONTH($BR511)&gt;=12,"Cold Winter",IF(MONTH($BR511)&gt;=10,"Post-Monsoon",IF(MONTH($BR511)&gt;=6,"Hot Humid",IF(MONTH($BR511)&gt;=3,"Hot Dry","Cold Winter")))))</f>
        <v/>
      </c>
      <c r="BT511">
        <f>IF($BM511="","",IFERROR(VLOOKUP($BM511,DECODE!$A$3:$C$8,2,FALSE),"?"))</f>
        <v/>
      </c>
      <c r="BU511">
        <f>IF($R511="","",UPPER(TRIM(LEFT($R511&amp;",",FIND(",",$R511&amp;",")-1))))</f>
        <v/>
      </c>
      <c r="BV511">
        <f>IF($BU511="","",MID($BU511,4,FIND("~",SUBSTITUTE($BU511,"-","~",2))-4))</f>
        <v/>
      </c>
      <c r="BW511">
        <f>IF($BU511="","",MID($BU511,FIND("~",SUBSTITUTE($BU511,"-","~",2))+1,FIND("~",SUBSTITUTE($BU511,"-","~",3))-FIND("~",SUBSTITUTE($BU511,"-","~",2))-1))</f>
        <v/>
      </c>
      <c r="BX511">
        <f>IF($BV511="","",IFERROR(VLOOKUP($BV511,DECODE!$A$3:$C$8,3,FALSE),"?"))</f>
        <v/>
      </c>
      <c r="BY511">
        <f>IF($BW511="","",IFERROR(VLOOKUP($BV511&amp;"-"&amp;$BW511,DECODE!$E$3:$F$21,2,FALSE),"?"))</f>
        <v/>
      </c>
      <c r="BZ511">
        <f>IF($BU511="","",IFERROR(VALUE(RIGHT($BU511,3)),""))</f>
        <v/>
      </c>
      <c r="CA511">
        <f>IF($X511="","",IFERROR(IF(ISNUMBER($X511),$X511,DATEVALUE(TRIM($X511))),""))</f>
        <v/>
      </c>
      <c r="CB511">
        <f>IF($CA511="","",IF(MONTH($CA511)&gt;=12,"Cold Winter",IF(MONTH($CA511)&gt;=10,"Post-Monsoon",IF(MONTH($CA511)&gt;=6,"Hot Humid",IF(MONTH($CA511)&gt;=3,"Hot Dry","Cold Winter")))))</f>
        <v/>
      </c>
      <c r="CC511">
        <f>IF($BV511="","",IFERROR(VLOOKUP($BV511,DECODE!$A$3:$C$8,2,FALSE),"?"))</f>
        <v/>
      </c>
      <c r="CD511">
        <f>IF($S511="","",UPPER(TRIM(LEFT($S511&amp;",",FIND(",",$S511&amp;",")-1))))</f>
        <v/>
      </c>
      <c r="CE511">
        <f>IF($CD511="","",MID($CD511,4,FIND("~",SUBSTITUTE($CD511,"-","~",2))-4))</f>
        <v/>
      </c>
      <c r="CF511">
        <f>IF($CD511="","",MID($CD511,FIND("~",SUBSTITUTE($CD511,"-","~",2))+1,FIND("~",SUBSTITUTE($CD511,"-","~",3))-FIND("~",SUBSTITUTE($CD511,"-","~",2))-1))</f>
        <v/>
      </c>
      <c r="CG511">
        <f>IF($CE511="","",IFERROR(VLOOKUP($CE511,DECODE!$A$3:$C$8,3,FALSE),"?"))</f>
        <v/>
      </c>
      <c r="CH511">
        <f>IF($CF511="","",IFERROR(VLOOKUP($CE511&amp;"-"&amp;$CF511,DECODE!$E$3:$F$21,2,FALSE),"?"))</f>
        <v/>
      </c>
      <c r="CI511">
        <f>IF($CD511="","",IFERROR(VALUE(RIGHT($CD511,3)),""))</f>
        <v/>
      </c>
      <c r="CJ511">
        <f>IF($Y511="","",IFERROR(IF(ISNUMBER($Y511),$Y511,DATEVALUE(TRIM($Y511))),""))</f>
        <v/>
      </c>
      <c r="CK511">
        <f>IF($CJ511="","",IF(MONTH($CJ511)&gt;=12,"Cold Winter",IF(MONTH($CJ511)&gt;=10,"Post-Monsoon",IF(MONTH($CJ511)&gt;=6,"Hot Humid",IF(MONTH($CJ511)&gt;=3,"Hot Dry","Cold Winter")))))</f>
        <v/>
      </c>
      <c r="CL511">
        <f>IF($CE511="","",IFERROR(VLOOKUP($CE511,DECODE!$A$3:$C$8,2,FALSE),"?"))</f>
        <v/>
      </c>
      <c r="CM511">
        <f>IF($AN511="","",AN511)</f>
        <v/>
      </c>
      <c r="CN511">
        <f>IF($AO511="","",AO511)</f>
        <v/>
      </c>
      <c r="CO511">
        <f>IF($AP511="","",AP511)</f>
        <v/>
      </c>
      <c r="CP511">
        <f>IF($CM511="","",IF($CM511="Aloe Vera Gel","Aloe Vera Gel "&amp;$CO511&amp;"g",CN511&amp;" "&amp;$CO511&amp;"g"))</f>
        <v/>
      </c>
      <c r="CQ511">
        <f>IF($AT511="",0,1)</f>
        <v/>
      </c>
      <c r="CR511">
        <f>IF($CQ511=0,"",AW511)</f>
        <v/>
      </c>
      <c r="CS511">
        <f>IF($CQ511=0,"",AX511)</f>
        <v/>
      </c>
      <c r="CT511">
        <f>IF($CQ511=0,"",AY511)</f>
        <v/>
      </c>
      <c r="CU511">
        <f>IF($CR511="","",IF($CR511="Aloe Vera Gel","Aloe Vera Gel "&amp;$CT511&amp;"g",CS511&amp;" "&amp;$CT511&amp;"g"))</f>
        <v/>
      </c>
      <c r="CV511">
        <f>IF($CQ511=0,"",IF($CP511=$CU511,"Repeat Exact",IF($CT511&gt;$CO511,"Upsized",IF($CT511&lt;$CO511,"Downsized",IF($CM511&lt;&gt;$CR511,"Lateral","Same Size Diff Variant")))))</f>
        <v/>
      </c>
      <c r="CW511">
        <f>IF($CQ511=0,"",AZ511-AQ511)</f>
        <v/>
      </c>
      <c r="CX511">
        <f>IF($CQ511=0,0,IF(CS511=CN511,1,0))</f>
        <v/>
      </c>
      <c r="CY511">
        <f>IF($CQ511=0,0,IF(CR511=CM511,1,0))</f>
        <v/>
      </c>
      <c r="CZ511">
        <f>IF($A511="","",IF(AND(IF(DASHBOARD!$C$4="All",TRUE,$CM511=DASHBOARD!$C$4),IF(DASHBOARD!$C$6="All",TRUE,$CP511=DASHBOARD!$C$6),IF(DASHBOARD!$C$8="All",TRUE,$AF511&gt;=DASHBOARD!$C$8),IF(DASHBOARD!$C$10="All",TRUE,$AF511&lt;=DASHBOARD!$C$10),IF(DASHBOARD!$C$12="All",TRUE,$AH511=VALUE(DASHBOARD!$C$12)),IF(DASHBOARD!$C$14="All",TRUE,$AJ511=DASHBOARD!$C$14)),1,0))</f>
        <v/>
      </c>
    </row>
    <row r="512">
      <c r="A512" t="n">
        <v>230966</v>
      </c>
      <c r="B512" t="inlineStr">
        <is>
          <t>Face Malai</t>
        </is>
      </c>
      <c r="H512" t="inlineStr">
        <is>
          <t>Tomato Rosehip (Hot Dry) 20 - 35 Yrs Face Malai - 30g</t>
        </is>
      </c>
      <c r="N512" t="inlineStr">
        <is>
          <t>FC-HDDM-TR-030</t>
        </is>
      </c>
      <c r="T512" t="inlineStr">
        <is>
          <t>Apr 14, 2025</t>
        </is>
      </c>
      <c r="AE512" t="inlineStr">
        <is>
          <t>Pune</t>
        </is>
      </c>
      <c r="AF512" t="inlineStr">
        <is>
          <t>2025-04</t>
        </is>
      </c>
      <c r="AG512" t="n">
        <v>4</v>
      </c>
      <c r="AH512" t="n">
        <v>1</v>
      </c>
      <c r="AI512" t="n">
        <v>0</v>
      </c>
      <c r="AJ512">
        <f>IF($AE512="","",IFERROR(VLOOKUP(TRIM($AE512),DECODE!$H$3:$I$60,2,FALSE),"Rest of India"))</f>
        <v/>
      </c>
      <c r="AK512">
        <f>IF($N512="","",UPPER(TRIM(LEFT($N512&amp;",",FIND(",",$N512&amp;",")-1))))</f>
        <v/>
      </c>
      <c r="AL512">
        <f>IF($AK512="","",MID($AK512,4,FIND("~",SUBSTITUTE($AK512,"-","~",2))-4))</f>
        <v/>
      </c>
      <c r="AM512">
        <f>IF($AK512="","",MID($AK512,FIND("~",SUBSTITUTE($AK512,"-","~",2))+1,FIND("~",SUBSTITUTE($AK512,"-","~",3))-FIND("~",SUBSTITUTE($AK512,"-","~",2))-1))</f>
        <v/>
      </c>
      <c r="AN512">
        <f>IF($AL512="","",IFERROR(VLOOKUP($AL512,DECODE!$A$3:$C$8,3,FALSE),"?"))</f>
        <v/>
      </c>
      <c r="AO512">
        <f>IF($AM512="","",IFERROR(VLOOKUP($AL512&amp;"-"&amp;$AM512,DECODE!$E$3:$F$21,2,FALSE),"?"))</f>
        <v/>
      </c>
      <c r="AP512">
        <f>IF($AK512="","",IFERROR(VALUE(RIGHT($AK512,3)),""))</f>
        <v/>
      </c>
      <c r="AQ512">
        <f>IF($T512="","",IFERROR(IF(ISNUMBER($T512),$T512,DATEVALUE(TRIM($T512))),""))</f>
        <v/>
      </c>
      <c r="AR512">
        <f>IF($AQ512="","",IF(MONTH($AQ512)&gt;=12,"Cold Winter",IF(MONTH($AQ512)&gt;=10,"Post-Monsoon",IF(MONTH($AQ512)&gt;=6,"Hot Humid",IF(MONTH($AQ512)&gt;=3,"Hot Dry","Cold Winter")))))</f>
        <v/>
      </c>
      <c r="AS512">
        <f>IF($AL512="","",IFERROR(VLOOKUP($AL512,DECODE!$A$3:$C$8,2,FALSE),"?"))</f>
        <v/>
      </c>
      <c r="AT512">
        <f>IF($O512="","",UPPER(TRIM(LEFT($O512&amp;",",FIND(",",$O512&amp;",")-1))))</f>
        <v/>
      </c>
      <c r="AU512">
        <f>IF($AT512="","",MID($AT512,4,FIND("~",SUBSTITUTE($AT512,"-","~",2))-4))</f>
        <v/>
      </c>
      <c r="AV512">
        <f>IF($AT512="","",MID($AT512,FIND("~",SUBSTITUTE($AT512,"-","~",2))+1,FIND("~",SUBSTITUTE($AT512,"-","~",3))-FIND("~",SUBSTITUTE($AT512,"-","~",2))-1))</f>
        <v/>
      </c>
      <c r="AW512">
        <f>IF($AU512="","",IFERROR(VLOOKUP($AU512,DECODE!$A$3:$C$8,3,FALSE),"?"))</f>
        <v/>
      </c>
      <c r="AX512">
        <f>IF($AV512="","",IFERROR(VLOOKUP($AU512&amp;"-"&amp;$AV512,DECODE!$E$3:$F$21,2,FALSE),"?"))</f>
        <v/>
      </c>
      <c r="AY512">
        <f>IF($AT512="","",IFERROR(VALUE(RIGHT($AT512,3)),""))</f>
        <v/>
      </c>
      <c r="AZ512">
        <f>IF($U512="","",IFERROR(IF(ISNUMBER($U512),$U512,DATEVALUE(TRIM($U512))),""))</f>
        <v/>
      </c>
      <c r="BA512">
        <f>IF($AZ512="","",IF(MONTH($AZ512)&gt;=12,"Cold Winter",IF(MONTH($AZ512)&gt;=10,"Post-Monsoon",IF(MONTH($AZ512)&gt;=6,"Hot Humid",IF(MONTH($AZ512)&gt;=3,"Hot Dry","Cold Winter")))))</f>
        <v/>
      </c>
      <c r="BB512">
        <f>IF($AU512="","",IFERROR(VLOOKUP($AU512,DECODE!$A$3:$C$8,2,FALSE),"?"))</f>
        <v/>
      </c>
      <c r="BC512">
        <f>IF($P512="","",UPPER(TRIM(LEFT($P512&amp;",",FIND(",",$P512&amp;",")-1))))</f>
        <v/>
      </c>
      <c r="BD512">
        <f>IF($BC512="","",MID($BC512,4,FIND("~",SUBSTITUTE($BC512,"-","~",2))-4))</f>
        <v/>
      </c>
      <c r="BE512">
        <f>IF($BC512="","",MID($BC512,FIND("~",SUBSTITUTE($BC512,"-","~",2))+1,FIND("~",SUBSTITUTE($BC512,"-","~",3))-FIND("~",SUBSTITUTE($BC512,"-","~",2))-1))</f>
        <v/>
      </c>
      <c r="BF512">
        <f>IF($BD512="","",IFERROR(VLOOKUP($BD512,DECODE!$A$3:$C$8,3,FALSE),"?"))</f>
        <v/>
      </c>
      <c r="BG512">
        <f>IF($BE512="","",IFERROR(VLOOKUP($BD512&amp;"-"&amp;$BE512,DECODE!$E$3:$F$21,2,FALSE),"?"))</f>
        <v/>
      </c>
      <c r="BH512">
        <f>IF($BC512="","",IFERROR(VALUE(RIGHT($BC512,3)),""))</f>
        <v/>
      </c>
      <c r="BI512">
        <f>IF($V512="","",IFERROR(IF(ISNUMBER($V512),$V512,DATEVALUE(TRIM($V512))),""))</f>
        <v/>
      </c>
      <c r="BJ512">
        <f>IF($BI512="","",IF(MONTH($BI512)&gt;=12,"Cold Winter",IF(MONTH($BI512)&gt;=10,"Post-Monsoon",IF(MONTH($BI512)&gt;=6,"Hot Humid",IF(MONTH($BI512)&gt;=3,"Hot Dry","Cold Winter")))))</f>
        <v/>
      </c>
      <c r="BK512">
        <f>IF($BD512="","",IFERROR(VLOOKUP($BD512,DECODE!$A$3:$C$8,2,FALSE),"?"))</f>
        <v/>
      </c>
      <c r="BL512">
        <f>IF($Q512="","",UPPER(TRIM(LEFT($Q512&amp;",",FIND(",",$Q512&amp;",")-1))))</f>
        <v/>
      </c>
      <c r="BM512">
        <f>IF($BL512="","",MID($BL512,4,FIND("~",SUBSTITUTE($BL512,"-","~",2))-4))</f>
        <v/>
      </c>
      <c r="BN512">
        <f>IF($BL512="","",MID($BL512,FIND("~",SUBSTITUTE($BL512,"-","~",2))+1,FIND("~",SUBSTITUTE($BL512,"-","~",3))-FIND("~",SUBSTITUTE($BL512,"-","~",2))-1))</f>
        <v/>
      </c>
      <c r="BO512">
        <f>IF($BM512="","",IFERROR(VLOOKUP($BM512,DECODE!$A$3:$C$8,3,FALSE),"?"))</f>
        <v/>
      </c>
      <c r="BP512">
        <f>IF($BN512="","",IFERROR(VLOOKUP($BM512&amp;"-"&amp;$BN512,DECODE!$E$3:$F$21,2,FALSE),"?"))</f>
        <v/>
      </c>
      <c r="BQ512">
        <f>IF($BL512="","",IFERROR(VALUE(RIGHT($BL512,3)),""))</f>
        <v/>
      </c>
      <c r="BR512">
        <f>IF($W512="","",IFERROR(IF(ISNUMBER($W512),$W512,DATEVALUE(TRIM($W512))),""))</f>
        <v/>
      </c>
      <c r="BS512">
        <f>IF($BR512="","",IF(MONTH($BR512)&gt;=12,"Cold Winter",IF(MONTH($BR512)&gt;=10,"Post-Monsoon",IF(MONTH($BR512)&gt;=6,"Hot Humid",IF(MONTH($BR512)&gt;=3,"Hot Dry","Cold Winter")))))</f>
        <v/>
      </c>
      <c r="BT512">
        <f>IF($BM512="","",IFERROR(VLOOKUP($BM512,DECODE!$A$3:$C$8,2,FALSE),"?"))</f>
        <v/>
      </c>
      <c r="BU512">
        <f>IF($R512="","",UPPER(TRIM(LEFT($R512&amp;",",FIND(",",$R512&amp;",")-1))))</f>
        <v/>
      </c>
      <c r="BV512">
        <f>IF($BU512="","",MID($BU512,4,FIND("~",SUBSTITUTE($BU512,"-","~",2))-4))</f>
        <v/>
      </c>
      <c r="BW512">
        <f>IF($BU512="","",MID($BU512,FIND("~",SUBSTITUTE($BU512,"-","~",2))+1,FIND("~",SUBSTITUTE($BU512,"-","~",3))-FIND("~",SUBSTITUTE($BU512,"-","~",2))-1))</f>
        <v/>
      </c>
      <c r="BX512">
        <f>IF($BV512="","",IFERROR(VLOOKUP($BV512,DECODE!$A$3:$C$8,3,FALSE),"?"))</f>
        <v/>
      </c>
      <c r="BY512">
        <f>IF($BW512="","",IFERROR(VLOOKUP($BV512&amp;"-"&amp;$BW512,DECODE!$E$3:$F$21,2,FALSE),"?"))</f>
        <v/>
      </c>
      <c r="BZ512">
        <f>IF($BU512="","",IFERROR(VALUE(RIGHT($BU512,3)),""))</f>
        <v/>
      </c>
      <c r="CA512">
        <f>IF($X512="","",IFERROR(IF(ISNUMBER($X512),$X512,DATEVALUE(TRIM($X512))),""))</f>
        <v/>
      </c>
      <c r="CB512">
        <f>IF($CA512="","",IF(MONTH($CA512)&gt;=12,"Cold Winter",IF(MONTH($CA512)&gt;=10,"Post-Monsoon",IF(MONTH($CA512)&gt;=6,"Hot Humid",IF(MONTH($CA512)&gt;=3,"Hot Dry","Cold Winter")))))</f>
        <v/>
      </c>
      <c r="CC512">
        <f>IF($BV512="","",IFERROR(VLOOKUP($BV512,DECODE!$A$3:$C$8,2,FALSE),"?"))</f>
        <v/>
      </c>
      <c r="CD512">
        <f>IF($S512="","",UPPER(TRIM(LEFT($S512&amp;",",FIND(",",$S512&amp;",")-1))))</f>
        <v/>
      </c>
      <c r="CE512">
        <f>IF($CD512="","",MID($CD512,4,FIND("~",SUBSTITUTE($CD512,"-","~",2))-4))</f>
        <v/>
      </c>
      <c r="CF512">
        <f>IF($CD512="","",MID($CD512,FIND("~",SUBSTITUTE($CD512,"-","~",2))+1,FIND("~",SUBSTITUTE($CD512,"-","~",3))-FIND("~",SUBSTITUTE($CD512,"-","~",2))-1))</f>
        <v/>
      </c>
      <c r="CG512">
        <f>IF($CE512="","",IFERROR(VLOOKUP($CE512,DECODE!$A$3:$C$8,3,FALSE),"?"))</f>
        <v/>
      </c>
      <c r="CH512">
        <f>IF($CF512="","",IFERROR(VLOOKUP($CE512&amp;"-"&amp;$CF512,DECODE!$E$3:$F$21,2,FALSE),"?"))</f>
        <v/>
      </c>
      <c r="CI512">
        <f>IF($CD512="","",IFERROR(VALUE(RIGHT($CD512,3)),""))</f>
        <v/>
      </c>
      <c r="CJ512">
        <f>IF($Y512="","",IFERROR(IF(ISNUMBER($Y512),$Y512,DATEVALUE(TRIM($Y512))),""))</f>
        <v/>
      </c>
      <c r="CK512">
        <f>IF($CJ512="","",IF(MONTH($CJ512)&gt;=12,"Cold Winter",IF(MONTH($CJ512)&gt;=10,"Post-Monsoon",IF(MONTH($CJ512)&gt;=6,"Hot Humid",IF(MONTH($CJ512)&gt;=3,"Hot Dry","Cold Winter")))))</f>
        <v/>
      </c>
      <c r="CL512">
        <f>IF($CE512="","",IFERROR(VLOOKUP($CE512,DECODE!$A$3:$C$8,2,FALSE),"?"))</f>
        <v/>
      </c>
      <c r="CM512">
        <f>IF($AN512="","",AN512)</f>
        <v/>
      </c>
      <c r="CN512">
        <f>IF($AO512="","",AO512)</f>
        <v/>
      </c>
      <c r="CO512">
        <f>IF($AP512="","",AP512)</f>
        <v/>
      </c>
      <c r="CP512">
        <f>IF($CM512="","",IF($CM512="Aloe Vera Gel","Aloe Vera Gel "&amp;$CO512&amp;"g",CN512&amp;" "&amp;$CO512&amp;"g"))</f>
        <v/>
      </c>
      <c r="CQ512">
        <f>IF($AT512="",0,1)</f>
        <v/>
      </c>
      <c r="CR512">
        <f>IF($CQ512=0,"",AW512)</f>
        <v/>
      </c>
      <c r="CS512">
        <f>IF($CQ512=0,"",AX512)</f>
        <v/>
      </c>
      <c r="CT512">
        <f>IF($CQ512=0,"",AY512)</f>
        <v/>
      </c>
      <c r="CU512">
        <f>IF($CR512="","",IF($CR512="Aloe Vera Gel","Aloe Vera Gel "&amp;$CT512&amp;"g",CS512&amp;" "&amp;$CT512&amp;"g"))</f>
        <v/>
      </c>
      <c r="CV512">
        <f>IF($CQ512=0,"",IF($CP512=$CU512,"Repeat Exact",IF($CT512&gt;$CO512,"Upsized",IF($CT512&lt;$CO512,"Downsized",IF($CM512&lt;&gt;$CR512,"Lateral","Same Size Diff Variant")))))</f>
        <v/>
      </c>
      <c r="CW512">
        <f>IF($CQ512=0,"",AZ512-AQ512)</f>
        <v/>
      </c>
      <c r="CX512">
        <f>IF($CQ512=0,0,IF(CS512=CN512,1,0))</f>
        <v/>
      </c>
      <c r="CY512">
        <f>IF($CQ512=0,0,IF(CR512=CM512,1,0))</f>
        <v/>
      </c>
      <c r="CZ512">
        <f>IF($A512="","",IF(AND(IF(DASHBOARD!$C$4="All",TRUE,$CM512=DASHBOARD!$C$4),IF(DASHBOARD!$C$6="All",TRUE,$CP512=DASHBOARD!$C$6),IF(DASHBOARD!$C$8="All",TRUE,$AF512&gt;=DASHBOARD!$C$8),IF(DASHBOARD!$C$10="All",TRUE,$AF512&lt;=DASHBOARD!$C$10),IF(DASHBOARD!$C$12="All",TRUE,$AH512=VALUE(DASHBOARD!$C$12)),IF(DASHBOARD!$C$14="All",TRUE,$AJ512=DASHBOARD!$C$14)),1,0))</f>
        <v/>
      </c>
    </row>
    <row r="513">
      <c r="A513" t="n">
        <v>232004</v>
      </c>
      <c r="B513" t="inlineStr">
        <is>
          <t>Face Malai</t>
        </is>
      </c>
      <c r="H513" t="inlineStr">
        <is>
          <t xml:space="preserve">Honey Multi-Nut (Dry &amp; Peeling Skin) Face Malai, Tomato Patchouli (Cold) 20 - 35 Yrs Face Malai, Cocoa Mogra (Overnight) Face Malai - 50g </t>
        </is>
      </c>
      <c r="N513" t="inlineStr">
        <is>
          <t>FC-CWDM-TP-030, FC-DM-NR-050, FC-DM-DP-030</t>
        </is>
      </c>
      <c r="T513" t="inlineStr">
        <is>
          <t>Dec 12, 2024</t>
        </is>
      </c>
      <c r="AE513" t="inlineStr">
        <is>
          <t>Kurukshetra</t>
        </is>
      </c>
      <c r="AF513" t="inlineStr">
        <is>
          <t>2024-12</t>
        </is>
      </c>
      <c r="AG513" t="n">
        <v>12</v>
      </c>
      <c r="AH513" t="n">
        <v>1</v>
      </c>
      <c r="AI513" t="n">
        <v>0</v>
      </c>
      <c r="AJ513">
        <f>IF($AE513="","",IFERROR(VLOOKUP(TRIM($AE513),DECODE!$H$3:$I$60,2,FALSE),"Rest of India"))</f>
        <v/>
      </c>
      <c r="AK513">
        <f>IF($N513="","",UPPER(TRIM(LEFT($N513&amp;",",FIND(",",$N513&amp;",")-1))))</f>
        <v/>
      </c>
      <c r="AL513">
        <f>IF($AK513="","",MID($AK513,4,FIND("~",SUBSTITUTE($AK513,"-","~",2))-4))</f>
        <v/>
      </c>
      <c r="AM513">
        <f>IF($AK513="","",MID($AK513,FIND("~",SUBSTITUTE($AK513,"-","~",2))+1,FIND("~",SUBSTITUTE($AK513,"-","~",3))-FIND("~",SUBSTITUTE($AK513,"-","~",2))-1))</f>
        <v/>
      </c>
      <c r="AN513">
        <f>IF($AL513="","",IFERROR(VLOOKUP($AL513,DECODE!$A$3:$C$8,3,FALSE),"?"))</f>
        <v/>
      </c>
      <c r="AO513">
        <f>IF($AM513="","",IFERROR(VLOOKUP($AL513&amp;"-"&amp;$AM513,DECODE!$E$3:$F$21,2,FALSE),"?"))</f>
        <v/>
      </c>
      <c r="AP513">
        <f>IF($AK513="","",IFERROR(VALUE(RIGHT($AK513,3)),""))</f>
        <v/>
      </c>
      <c r="AQ513">
        <f>IF($T513="","",IFERROR(IF(ISNUMBER($T513),$T513,DATEVALUE(TRIM($T513))),""))</f>
        <v/>
      </c>
      <c r="AR513">
        <f>IF($AQ513="","",IF(MONTH($AQ513)&gt;=12,"Cold Winter",IF(MONTH($AQ513)&gt;=10,"Post-Monsoon",IF(MONTH($AQ513)&gt;=6,"Hot Humid",IF(MONTH($AQ513)&gt;=3,"Hot Dry","Cold Winter")))))</f>
        <v/>
      </c>
      <c r="AS513">
        <f>IF($AL513="","",IFERROR(VLOOKUP($AL513,DECODE!$A$3:$C$8,2,FALSE),"?"))</f>
        <v/>
      </c>
      <c r="AT513">
        <f>IF($O513="","",UPPER(TRIM(LEFT($O513&amp;",",FIND(",",$O513&amp;",")-1))))</f>
        <v/>
      </c>
      <c r="AU513">
        <f>IF($AT513="","",MID($AT513,4,FIND("~",SUBSTITUTE($AT513,"-","~",2))-4))</f>
        <v/>
      </c>
      <c r="AV513">
        <f>IF($AT513="","",MID($AT513,FIND("~",SUBSTITUTE($AT513,"-","~",2))+1,FIND("~",SUBSTITUTE($AT513,"-","~",3))-FIND("~",SUBSTITUTE($AT513,"-","~",2))-1))</f>
        <v/>
      </c>
      <c r="AW513">
        <f>IF($AU513="","",IFERROR(VLOOKUP($AU513,DECODE!$A$3:$C$8,3,FALSE),"?"))</f>
        <v/>
      </c>
      <c r="AX513">
        <f>IF($AV513="","",IFERROR(VLOOKUP($AU513&amp;"-"&amp;$AV513,DECODE!$E$3:$F$21,2,FALSE),"?"))</f>
        <v/>
      </c>
      <c r="AY513">
        <f>IF($AT513="","",IFERROR(VALUE(RIGHT($AT513,3)),""))</f>
        <v/>
      </c>
      <c r="AZ513">
        <f>IF($U513="","",IFERROR(IF(ISNUMBER($U513),$U513,DATEVALUE(TRIM($U513))),""))</f>
        <v/>
      </c>
      <c r="BA513">
        <f>IF($AZ513="","",IF(MONTH($AZ513)&gt;=12,"Cold Winter",IF(MONTH($AZ513)&gt;=10,"Post-Monsoon",IF(MONTH($AZ513)&gt;=6,"Hot Humid",IF(MONTH($AZ513)&gt;=3,"Hot Dry","Cold Winter")))))</f>
        <v/>
      </c>
      <c r="BB513">
        <f>IF($AU513="","",IFERROR(VLOOKUP($AU513,DECODE!$A$3:$C$8,2,FALSE),"?"))</f>
        <v/>
      </c>
      <c r="BC513">
        <f>IF($P513="","",UPPER(TRIM(LEFT($P513&amp;",",FIND(",",$P513&amp;",")-1))))</f>
        <v/>
      </c>
      <c r="BD513">
        <f>IF($BC513="","",MID($BC513,4,FIND("~",SUBSTITUTE($BC513,"-","~",2))-4))</f>
        <v/>
      </c>
      <c r="BE513">
        <f>IF($BC513="","",MID($BC513,FIND("~",SUBSTITUTE($BC513,"-","~",2))+1,FIND("~",SUBSTITUTE($BC513,"-","~",3))-FIND("~",SUBSTITUTE($BC513,"-","~",2))-1))</f>
        <v/>
      </c>
      <c r="BF513">
        <f>IF($BD513="","",IFERROR(VLOOKUP($BD513,DECODE!$A$3:$C$8,3,FALSE),"?"))</f>
        <v/>
      </c>
      <c r="BG513">
        <f>IF($BE513="","",IFERROR(VLOOKUP($BD513&amp;"-"&amp;$BE513,DECODE!$E$3:$F$21,2,FALSE),"?"))</f>
        <v/>
      </c>
      <c r="BH513">
        <f>IF($BC513="","",IFERROR(VALUE(RIGHT($BC513,3)),""))</f>
        <v/>
      </c>
      <c r="BI513">
        <f>IF($V513="","",IFERROR(IF(ISNUMBER($V513),$V513,DATEVALUE(TRIM($V513))),""))</f>
        <v/>
      </c>
      <c r="BJ513">
        <f>IF($BI513="","",IF(MONTH($BI513)&gt;=12,"Cold Winter",IF(MONTH($BI513)&gt;=10,"Post-Monsoon",IF(MONTH($BI513)&gt;=6,"Hot Humid",IF(MONTH($BI513)&gt;=3,"Hot Dry","Cold Winter")))))</f>
        <v/>
      </c>
      <c r="BK513">
        <f>IF($BD513="","",IFERROR(VLOOKUP($BD513,DECODE!$A$3:$C$8,2,FALSE),"?"))</f>
        <v/>
      </c>
      <c r="BL513">
        <f>IF($Q513="","",UPPER(TRIM(LEFT($Q513&amp;",",FIND(",",$Q513&amp;",")-1))))</f>
        <v/>
      </c>
      <c r="BM513">
        <f>IF($BL513="","",MID($BL513,4,FIND("~",SUBSTITUTE($BL513,"-","~",2))-4))</f>
        <v/>
      </c>
      <c r="BN513">
        <f>IF($BL513="","",MID($BL513,FIND("~",SUBSTITUTE($BL513,"-","~",2))+1,FIND("~",SUBSTITUTE($BL513,"-","~",3))-FIND("~",SUBSTITUTE($BL513,"-","~",2))-1))</f>
        <v/>
      </c>
      <c r="BO513">
        <f>IF($BM513="","",IFERROR(VLOOKUP($BM513,DECODE!$A$3:$C$8,3,FALSE),"?"))</f>
        <v/>
      </c>
      <c r="BP513">
        <f>IF($BN513="","",IFERROR(VLOOKUP($BM513&amp;"-"&amp;$BN513,DECODE!$E$3:$F$21,2,FALSE),"?"))</f>
        <v/>
      </c>
      <c r="BQ513">
        <f>IF($BL513="","",IFERROR(VALUE(RIGHT($BL513,3)),""))</f>
        <v/>
      </c>
      <c r="BR513">
        <f>IF($W513="","",IFERROR(IF(ISNUMBER($W513),$W513,DATEVALUE(TRIM($W513))),""))</f>
        <v/>
      </c>
      <c r="BS513">
        <f>IF($BR513="","",IF(MONTH($BR513)&gt;=12,"Cold Winter",IF(MONTH($BR513)&gt;=10,"Post-Monsoon",IF(MONTH($BR513)&gt;=6,"Hot Humid",IF(MONTH($BR513)&gt;=3,"Hot Dry","Cold Winter")))))</f>
        <v/>
      </c>
      <c r="BT513">
        <f>IF($BM513="","",IFERROR(VLOOKUP($BM513,DECODE!$A$3:$C$8,2,FALSE),"?"))</f>
        <v/>
      </c>
      <c r="BU513">
        <f>IF($R513="","",UPPER(TRIM(LEFT($R513&amp;",",FIND(",",$R513&amp;",")-1))))</f>
        <v/>
      </c>
      <c r="BV513">
        <f>IF($BU513="","",MID($BU513,4,FIND("~",SUBSTITUTE($BU513,"-","~",2))-4))</f>
        <v/>
      </c>
      <c r="BW513">
        <f>IF($BU513="","",MID($BU513,FIND("~",SUBSTITUTE($BU513,"-","~",2))+1,FIND("~",SUBSTITUTE($BU513,"-","~",3))-FIND("~",SUBSTITUTE($BU513,"-","~",2))-1))</f>
        <v/>
      </c>
      <c r="BX513">
        <f>IF($BV513="","",IFERROR(VLOOKUP($BV513,DECODE!$A$3:$C$8,3,FALSE),"?"))</f>
        <v/>
      </c>
      <c r="BY513">
        <f>IF($BW513="","",IFERROR(VLOOKUP($BV513&amp;"-"&amp;$BW513,DECODE!$E$3:$F$21,2,FALSE),"?"))</f>
        <v/>
      </c>
      <c r="BZ513">
        <f>IF($BU513="","",IFERROR(VALUE(RIGHT($BU513,3)),""))</f>
        <v/>
      </c>
      <c r="CA513">
        <f>IF($X513="","",IFERROR(IF(ISNUMBER($X513),$X513,DATEVALUE(TRIM($X513))),""))</f>
        <v/>
      </c>
      <c r="CB513">
        <f>IF($CA513="","",IF(MONTH($CA513)&gt;=12,"Cold Winter",IF(MONTH($CA513)&gt;=10,"Post-Monsoon",IF(MONTH($CA513)&gt;=6,"Hot Humid",IF(MONTH($CA513)&gt;=3,"Hot Dry","Cold Winter")))))</f>
        <v/>
      </c>
      <c r="CC513">
        <f>IF($BV513="","",IFERROR(VLOOKUP($BV513,DECODE!$A$3:$C$8,2,FALSE),"?"))</f>
        <v/>
      </c>
      <c r="CD513">
        <f>IF($S513="","",UPPER(TRIM(LEFT($S513&amp;",",FIND(",",$S513&amp;",")-1))))</f>
        <v/>
      </c>
      <c r="CE513">
        <f>IF($CD513="","",MID($CD513,4,FIND("~",SUBSTITUTE($CD513,"-","~",2))-4))</f>
        <v/>
      </c>
      <c r="CF513">
        <f>IF($CD513="","",MID($CD513,FIND("~",SUBSTITUTE($CD513,"-","~",2))+1,FIND("~",SUBSTITUTE($CD513,"-","~",3))-FIND("~",SUBSTITUTE($CD513,"-","~",2))-1))</f>
        <v/>
      </c>
      <c r="CG513">
        <f>IF($CE513="","",IFERROR(VLOOKUP($CE513,DECODE!$A$3:$C$8,3,FALSE),"?"))</f>
        <v/>
      </c>
      <c r="CH513">
        <f>IF($CF513="","",IFERROR(VLOOKUP($CE513&amp;"-"&amp;$CF513,DECODE!$E$3:$F$21,2,FALSE),"?"))</f>
        <v/>
      </c>
      <c r="CI513">
        <f>IF($CD513="","",IFERROR(VALUE(RIGHT($CD513,3)),""))</f>
        <v/>
      </c>
      <c r="CJ513">
        <f>IF($Y513="","",IFERROR(IF(ISNUMBER($Y513),$Y513,DATEVALUE(TRIM($Y513))),""))</f>
        <v/>
      </c>
      <c r="CK513">
        <f>IF($CJ513="","",IF(MONTH($CJ513)&gt;=12,"Cold Winter",IF(MONTH($CJ513)&gt;=10,"Post-Monsoon",IF(MONTH($CJ513)&gt;=6,"Hot Humid",IF(MONTH($CJ513)&gt;=3,"Hot Dry","Cold Winter")))))</f>
        <v/>
      </c>
      <c r="CL513">
        <f>IF($CE513="","",IFERROR(VLOOKUP($CE513,DECODE!$A$3:$C$8,2,FALSE),"?"))</f>
        <v/>
      </c>
      <c r="CM513">
        <f>IF($AN513="","",AN513)</f>
        <v/>
      </c>
      <c r="CN513">
        <f>IF($AO513="","",AO513)</f>
        <v/>
      </c>
      <c r="CO513">
        <f>IF($AP513="","",AP513)</f>
        <v/>
      </c>
      <c r="CP513">
        <f>IF($CM513="","",IF($CM513="Aloe Vera Gel","Aloe Vera Gel "&amp;$CO513&amp;"g",CN513&amp;" "&amp;$CO513&amp;"g"))</f>
        <v/>
      </c>
      <c r="CQ513">
        <f>IF($AT513="",0,1)</f>
        <v/>
      </c>
      <c r="CR513">
        <f>IF($CQ513=0,"",AW513)</f>
        <v/>
      </c>
      <c r="CS513">
        <f>IF($CQ513=0,"",AX513)</f>
        <v/>
      </c>
      <c r="CT513">
        <f>IF($CQ513=0,"",AY513)</f>
        <v/>
      </c>
      <c r="CU513">
        <f>IF($CR513="","",IF($CR513="Aloe Vera Gel","Aloe Vera Gel "&amp;$CT513&amp;"g",CS513&amp;" "&amp;$CT513&amp;"g"))</f>
        <v/>
      </c>
      <c r="CV513">
        <f>IF($CQ513=0,"",IF($CP513=$CU513,"Repeat Exact",IF($CT513&gt;$CO513,"Upsized",IF($CT513&lt;$CO513,"Downsized",IF($CM513&lt;&gt;$CR513,"Lateral","Same Size Diff Variant")))))</f>
        <v/>
      </c>
      <c r="CW513">
        <f>IF($CQ513=0,"",AZ513-AQ513)</f>
        <v/>
      </c>
      <c r="CX513">
        <f>IF($CQ513=0,0,IF(CS513=CN513,1,0))</f>
        <v/>
      </c>
      <c r="CY513">
        <f>IF($CQ513=0,0,IF(CR513=CM513,1,0))</f>
        <v/>
      </c>
      <c r="CZ513">
        <f>IF($A513="","",IF(AND(IF(DASHBOARD!$C$4="All",TRUE,$CM513=DASHBOARD!$C$4),IF(DASHBOARD!$C$6="All",TRUE,$CP513=DASHBOARD!$C$6),IF(DASHBOARD!$C$8="All",TRUE,$AF513&gt;=DASHBOARD!$C$8),IF(DASHBOARD!$C$10="All",TRUE,$AF513&lt;=DASHBOARD!$C$10),IF(DASHBOARD!$C$12="All",TRUE,$AH513=VALUE(DASHBOARD!$C$12)),IF(DASHBOARD!$C$14="All",TRUE,$AJ513=DASHBOARD!$C$14)),1,0))</f>
        <v/>
      </c>
    </row>
    <row r="514">
      <c r="A514" t="n">
        <v>233410</v>
      </c>
      <c r="B514" t="inlineStr">
        <is>
          <t>Aloe Vera Gel</t>
        </is>
      </c>
      <c r="H514" t="inlineStr">
        <is>
          <t>Aloe Vera Gel - 80 gms</t>
        </is>
      </c>
      <c r="N514" t="inlineStr">
        <is>
          <t>FC-HG-PA-080</t>
        </is>
      </c>
      <c r="T514" t="inlineStr">
        <is>
          <t>Apr 21, 2025</t>
        </is>
      </c>
      <c r="AE514" t="inlineStr">
        <is>
          <t>Meerut</t>
        </is>
      </c>
      <c r="AF514" t="inlineStr">
        <is>
          <t>2025-04</t>
        </is>
      </c>
      <c r="AG514" t="n">
        <v>4</v>
      </c>
      <c r="AH514" t="n">
        <v>1</v>
      </c>
      <c r="AI514" t="n">
        <v>0</v>
      </c>
      <c r="AJ514">
        <f>IF($AE514="","",IFERROR(VLOOKUP(TRIM($AE514),DECODE!$H$3:$I$60,2,FALSE),"Rest of India"))</f>
        <v/>
      </c>
      <c r="AK514">
        <f>IF($N514="","",UPPER(TRIM(LEFT($N514&amp;",",FIND(",",$N514&amp;",")-1))))</f>
        <v/>
      </c>
      <c r="AL514">
        <f>IF($AK514="","",MID($AK514,4,FIND("~",SUBSTITUTE($AK514,"-","~",2))-4))</f>
        <v/>
      </c>
      <c r="AM514">
        <f>IF($AK514="","",MID($AK514,FIND("~",SUBSTITUTE($AK514,"-","~",2))+1,FIND("~",SUBSTITUTE($AK514,"-","~",3))-FIND("~",SUBSTITUTE($AK514,"-","~",2))-1))</f>
        <v/>
      </c>
      <c r="AN514">
        <f>IF($AL514="","",IFERROR(VLOOKUP($AL514,DECODE!$A$3:$C$8,3,FALSE),"?"))</f>
        <v/>
      </c>
      <c r="AO514">
        <f>IF($AM514="","",IFERROR(VLOOKUP($AL514&amp;"-"&amp;$AM514,DECODE!$E$3:$F$21,2,FALSE),"?"))</f>
        <v/>
      </c>
      <c r="AP514">
        <f>IF($AK514="","",IFERROR(VALUE(RIGHT($AK514,3)),""))</f>
        <v/>
      </c>
      <c r="AQ514">
        <f>IF($T514="","",IFERROR(IF(ISNUMBER($T514),$T514,DATEVALUE(TRIM($T514))),""))</f>
        <v/>
      </c>
      <c r="AR514">
        <f>IF($AQ514="","",IF(MONTH($AQ514)&gt;=12,"Cold Winter",IF(MONTH($AQ514)&gt;=10,"Post-Monsoon",IF(MONTH($AQ514)&gt;=6,"Hot Humid",IF(MONTH($AQ514)&gt;=3,"Hot Dry","Cold Winter")))))</f>
        <v/>
      </c>
      <c r="AS514">
        <f>IF($AL514="","",IFERROR(VLOOKUP($AL514,DECODE!$A$3:$C$8,2,FALSE),"?"))</f>
        <v/>
      </c>
      <c r="AT514">
        <f>IF($O514="","",UPPER(TRIM(LEFT($O514&amp;",",FIND(",",$O514&amp;",")-1))))</f>
        <v/>
      </c>
      <c r="AU514">
        <f>IF($AT514="","",MID($AT514,4,FIND("~",SUBSTITUTE($AT514,"-","~",2))-4))</f>
        <v/>
      </c>
      <c r="AV514">
        <f>IF($AT514="","",MID($AT514,FIND("~",SUBSTITUTE($AT514,"-","~",2))+1,FIND("~",SUBSTITUTE($AT514,"-","~",3))-FIND("~",SUBSTITUTE($AT514,"-","~",2))-1))</f>
        <v/>
      </c>
      <c r="AW514">
        <f>IF($AU514="","",IFERROR(VLOOKUP($AU514,DECODE!$A$3:$C$8,3,FALSE),"?"))</f>
        <v/>
      </c>
      <c r="AX514">
        <f>IF($AV514="","",IFERROR(VLOOKUP($AU514&amp;"-"&amp;$AV514,DECODE!$E$3:$F$21,2,FALSE),"?"))</f>
        <v/>
      </c>
      <c r="AY514">
        <f>IF($AT514="","",IFERROR(VALUE(RIGHT($AT514,3)),""))</f>
        <v/>
      </c>
      <c r="AZ514">
        <f>IF($U514="","",IFERROR(IF(ISNUMBER($U514),$U514,DATEVALUE(TRIM($U514))),""))</f>
        <v/>
      </c>
      <c r="BA514">
        <f>IF($AZ514="","",IF(MONTH($AZ514)&gt;=12,"Cold Winter",IF(MONTH($AZ514)&gt;=10,"Post-Monsoon",IF(MONTH($AZ514)&gt;=6,"Hot Humid",IF(MONTH($AZ514)&gt;=3,"Hot Dry","Cold Winter")))))</f>
        <v/>
      </c>
      <c r="BB514">
        <f>IF($AU514="","",IFERROR(VLOOKUP($AU514,DECODE!$A$3:$C$8,2,FALSE),"?"))</f>
        <v/>
      </c>
      <c r="BC514">
        <f>IF($P514="","",UPPER(TRIM(LEFT($P514&amp;",",FIND(",",$P514&amp;",")-1))))</f>
        <v/>
      </c>
      <c r="BD514">
        <f>IF($BC514="","",MID($BC514,4,FIND("~",SUBSTITUTE($BC514,"-","~",2))-4))</f>
        <v/>
      </c>
      <c r="BE514">
        <f>IF($BC514="","",MID($BC514,FIND("~",SUBSTITUTE($BC514,"-","~",2))+1,FIND("~",SUBSTITUTE($BC514,"-","~",3))-FIND("~",SUBSTITUTE($BC514,"-","~",2))-1))</f>
        <v/>
      </c>
      <c r="BF514">
        <f>IF($BD514="","",IFERROR(VLOOKUP($BD514,DECODE!$A$3:$C$8,3,FALSE),"?"))</f>
        <v/>
      </c>
      <c r="BG514">
        <f>IF($BE514="","",IFERROR(VLOOKUP($BD514&amp;"-"&amp;$BE514,DECODE!$E$3:$F$21,2,FALSE),"?"))</f>
        <v/>
      </c>
      <c r="BH514">
        <f>IF($BC514="","",IFERROR(VALUE(RIGHT($BC514,3)),""))</f>
        <v/>
      </c>
      <c r="BI514">
        <f>IF($V514="","",IFERROR(IF(ISNUMBER($V514),$V514,DATEVALUE(TRIM($V514))),""))</f>
        <v/>
      </c>
      <c r="BJ514">
        <f>IF($BI514="","",IF(MONTH($BI514)&gt;=12,"Cold Winter",IF(MONTH($BI514)&gt;=10,"Post-Monsoon",IF(MONTH($BI514)&gt;=6,"Hot Humid",IF(MONTH($BI514)&gt;=3,"Hot Dry","Cold Winter")))))</f>
        <v/>
      </c>
      <c r="BK514">
        <f>IF($BD514="","",IFERROR(VLOOKUP($BD514,DECODE!$A$3:$C$8,2,FALSE),"?"))</f>
        <v/>
      </c>
      <c r="BL514">
        <f>IF($Q514="","",UPPER(TRIM(LEFT($Q514&amp;",",FIND(",",$Q514&amp;",")-1))))</f>
        <v/>
      </c>
      <c r="BM514">
        <f>IF($BL514="","",MID($BL514,4,FIND("~",SUBSTITUTE($BL514,"-","~",2))-4))</f>
        <v/>
      </c>
      <c r="BN514">
        <f>IF($BL514="","",MID($BL514,FIND("~",SUBSTITUTE($BL514,"-","~",2))+1,FIND("~",SUBSTITUTE($BL514,"-","~",3))-FIND("~",SUBSTITUTE($BL514,"-","~",2))-1))</f>
        <v/>
      </c>
      <c r="BO514">
        <f>IF($BM514="","",IFERROR(VLOOKUP($BM514,DECODE!$A$3:$C$8,3,FALSE),"?"))</f>
        <v/>
      </c>
      <c r="BP514">
        <f>IF($BN514="","",IFERROR(VLOOKUP($BM514&amp;"-"&amp;$BN514,DECODE!$E$3:$F$21,2,FALSE),"?"))</f>
        <v/>
      </c>
      <c r="BQ514">
        <f>IF($BL514="","",IFERROR(VALUE(RIGHT($BL514,3)),""))</f>
        <v/>
      </c>
      <c r="BR514">
        <f>IF($W514="","",IFERROR(IF(ISNUMBER($W514),$W514,DATEVALUE(TRIM($W514))),""))</f>
        <v/>
      </c>
      <c r="BS514">
        <f>IF($BR514="","",IF(MONTH($BR514)&gt;=12,"Cold Winter",IF(MONTH($BR514)&gt;=10,"Post-Monsoon",IF(MONTH($BR514)&gt;=6,"Hot Humid",IF(MONTH($BR514)&gt;=3,"Hot Dry","Cold Winter")))))</f>
        <v/>
      </c>
      <c r="BT514">
        <f>IF($BM514="","",IFERROR(VLOOKUP($BM514,DECODE!$A$3:$C$8,2,FALSE),"?"))</f>
        <v/>
      </c>
      <c r="BU514">
        <f>IF($R514="","",UPPER(TRIM(LEFT($R514&amp;",",FIND(",",$R514&amp;",")-1))))</f>
        <v/>
      </c>
      <c r="BV514">
        <f>IF($BU514="","",MID($BU514,4,FIND("~",SUBSTITUTE($BU514,"-","~",2))-4))</f>
        <v/>
      </c>
      <c r="BW514">
        <f>IF($BU514="","",MID($BU514,FIND("~",SUBSTITUTE($BU514,"-","~",2))+1,FIND("~",SUBSTITUTE($BU514,"-","~",3))-FIND("~",SUBSTITUTE($BU514,"-","~",2))-1))</f>
        <v/>
      </c>
      <c r="BX514">
        <f>IF($BV514="","",IFERROR(VLOOKUP($BV514,DECODE!$A$3:$C$8,3,FALSE),"?"))</f>
        <v/>
      </c>
      <c r="BY514">
        <f>IF($BW514="","",IFERROR(VLOOKUP($BV514&amp;"-"&amp;$BW514,DECODE!$E$3:$F$21,2,FALSE),"?"))</f>
        <v/>
      </c>
      <c r="BZ514">
        <f>IF($BU514="","",IFERROR(VALUE(RIGHT($BU514,3)),""))</f>
        <v/>
      </c>
      <c r="CA514">
        <f>IF($X514="","",IFERROR(IF(ISNUMBER($X514),$X514,DATEVALUE(TRIM($X514))),""))</f>
        <v/>
      </c>
      <c r="CB514">
        <f>IF($CA514="","",IF(MONTH($CA514)&gt;=12,"Cold Winter",IF(MONTH($CA514)&gt;=10,"Post-Monsoon",IF(MONTH($CA514)&gt;=6,"Hot Humid",IF(MONTH($CA514)&gt;=3,"Hot Dry","Cold Winter")))))</f>
        <v/>
      </c>
      <c r="CC514">
        <f>IF($BV514="","",IFERROR(VLOOKUP($BV514,DECODE!$A$3:$C$8,2,FALSE),"?"))</f>
        <v/>
      </c>
      <c r="CD514">
        <f>IF($S514="","",UPPER(TRIM(LEFT($S514&amp;",",FIND(",",$S514&amp;",")-1))))</f>
        <v/>
      </c>
      <c r="CE514">
        <f>IF($CD514="","",MID($CD514,4,FIND("~",SUBSTITUTE($CD514,"-","~",2))-4))</f>
        <v/>
      </c>
      <c r="CF514">
        <f>IF($CD514="","",MID($CD514,FIND("~",SUBSTITUTE($CD514,"-","~",2))+1,FIND("~",SUBSTITUTE($CD514,"-","~",3))-FIND("~",SUBSTITUTE($CD514,"-","~",2))-1))</f>
        <v/>
      </c>
      <c r="CG514">
        <f>IF($CE514="","",IFERROR(VLOOKUP($CE514,DECODE!$A$3:$C$8,3,FALSE),"?"))</f>
        <v/>
      </c>
      <c r="CH514">
        <f>IF($CF514="","",IFERROR(VLOOKUP($CE514&amp;"-"&amp;$CF514,DECODE!$E$3:$F$21,2,FALSE),"?"))</f>
        <v/>
      </c>
      <c r="CI514">
        <f>IF($CD514="","",IFERROR(VALUE(RIGHT($CD514,3)),""))</f>
        <v/>
      </c>
      <c r="CJ514">
        <f>IF($Y514="","",IFERROR(IF(ISNUMBER($Y514),$Y514,DATEVALUE(TRIM($Y514))),""))</f>
        <v/>
      </c>
      <c r="CK514">
        <f>IF($CJ514="","",IF(MONTH($CJ514)&gt;=12,"Cold Winter",IF(MONTH($CJ514)&gt;=10,"Post-Monsoon",IF(MONTH($CJ514)&gt;=6,"Hot Humid",IF(MONTH($CJ514)&gt;=3,"Hot Dry","Cold Winter")))))</f>
        <v/>
      </c>
      <c r="CL514">
        <f>IF($CE514="","",IFERROR(VLOOKUP($CE514,DECODE!$A$3:$C$8,2,FALSE),"?"))</f>
        <v/>
      </c>
      <c r="CM514">
        <f>IF($AN514="","",AN514)</f>
        <v/>
      </c>
      <c r="CN514">
        <f>IF($AO514="","",AO514)</f>
        <v/>
      </c>
      <c r="CO514">
        <f>IF($AP514="","",AP514)</f>
        <v/>
      </c>
      <c r="CP514">
        <f>IF($CM514="","",IF($CM514="Aloe Vera Gel","Aloe Vera Gel "&amp;$CO514&amp;"g",CN514&amp;" "&amp;$CO514&amp;"g"))</f>
        <v/>
      </c>
      <c r="CQ514">
        <f>IF($AT514="",0,1)</f>
        <v/>
      </c>
      <c r="CR514">
        <f>IF($CQ514=0,"",AW514)</f>
        <v/>
      </c>
      <c r="CS514">
        <f>IF($CQ514=0,"",AX514)</f>
        <v/>
      </c>
      <c r="CT514">
        <f>IF($CQ514=0,"",AY514)</f>
        <v/>
      </c>
      <c r="CU514">
        <f>IF($CR514="","",IF($CR514="Aloe Vera Gel","Aloe Vera Gel "&amp;$CT514&amp;"g",CS514&amp;" "&amp;$CT514&amp;"g"))</f>
        <v/>
      </c>
      <c r="CV514">
        <f>IF($CQ514=0,"",IF($CP514=$CU514,"Repeat Exact",IF($CT514&gt;$CO514,"Upsized",IF($CT514&lt;$CO514,"Downsized",IF($CM514&lt;&gt;$CR514,"Lateral","Same Size Diff Variant")))))</f>
        <v/>
      </c>
      <c r="CW514">
        <f>IF($CQ514=0,"",AZ514-AQ514)</f>
        <v/>
      </c>
      <c r="CX514">
        <f>IF($CQ514=0,0,IF(CS514=CN514,1,0))</f>
        <v/>
      </c>
      <c r="CY514">
        <f>IF($CQ514=0,0,IF(CR514=CM514,1,0))</f>
        <v/>
      </c>
      <c r="CZ514">
        <f>IF($A514="","",IF(AND(IF(DASHBOARD!$C$4="All",TRUE,$CM514=DASHBOARD!$C$4),IF(DASHBOARD!$C$6="All",TRUE,$CP514=DASHBOARD!$C$6),IF(DASHBOARD!$C$8="All",TRUE,$AF514&gt;=DASHBOARD!$C$8),IF(DASHBOARD!$C$10="All",TRUE,$AF514&lt;=DASHBOARD!$C$10),IF(DASHBOARD!$C$12="All",TRUE,$AH514=VALUE(DASHBOARD!$C$12)),IF(DASHBOARD!$C$14="All",TRUE,$AJ514=DASHBOARD!$C$14)),1,0))</f>
        <v/>
      </c>
    </row>
    <row r="515">
      <c r="A515" t="n">
        <v>233727</v>
      </c>
      <c r="B515" t="inlineStr">
        <is>
          <t>Face Malai</t>
        </is>
      </c>
      <c r="H515" t="inlineStr">
        <is>
          <t>Flax Walnut (Cold) 35+ Face Malai</t>
        </is>
      </c>
      <c r="N515" t="inlineStr">
        <is>
          <t>FC-CWDM-FW-030</t>
        </is>
      </c>
      <c r="T515" t="inlineStr">
        <is>
          <t>Dec 5, 2024</t>
        </is>
      </c>
      <c r="AE515" t="inlineStr">
        <is>
          <t>New Delhi</t>
        </is>
      </c>
      <c r="AF515" t="inlineStr">
        <is>
          <t>2024-12</t>
        </is>
      </c>
      <c r="AG515" t="n">
        <v>12</v>
      </c>
      <c r="AH515" t="n">
        <v>1</v>
      </c>
      <c r="AI515" t="n">
        <v>0</v>
      </c>
      <c r="AJ515">
        <f>IF($AE515="","",IFERROR(VLOOKUP(TRIM($AE515),DECODE!$H$3:$I$60,2,FALSE),"Rest of India"))</f>
        <v/>
      </c>
      <c r="AK515">
        <f>IF($N515="","",UPPER(TRIM(LEFT($N515&amp;",",FIND(",",$N515&amp;",")-1))))</f>
        <v/>
      </c>
      <c r="AL515">
        <f>IF($AK515="","",MID($AK515,4,FIND("~",SUBSTITUTE($AK515,"-","~",2))-4))</f>
        <v/>
      </c>
      <c r="AM515">
        <f>IF($AK515="","",MID($AK515,FIND("~",SUBSTITUTE($AK515,"-","~",2))+1,FIND("~",SUBSTITUTE($AK515,"-","~",3))-FIND("~",SUBSTITUTE($AK515,"-","~",2))-1))</f>
        <v/>
      </c>
      <c r="AN515">
        <f>IF($AL515="","",IFERROR(VLOOKUP($AL515,DECODE!$A$3:$C$8,3,FALSE),"?"))</f>
        <v/>
      </c>
      <c r="AO515">
        <f>IF($AM515="","",IFERROR(VLOOKUP($AL515&amp;"-"&amp;$AM515,DECODE!$E$3:$F$21,2,FALSE),"?"))</f>
        <v/>
      </c>
      <c r="AP515">
        <f>IF($AK515="","",IFERROR(VALUE(RIGHT($AK515,3)),""))</f>
        <v/>
      </c>
      <c r="AQ515">
        <f>IF($T515="","",IFERROR(IF(ISNUMBER($T515),$T515,DATEVALUE(TRIM($T515))),""))</f>
        <v/>
      </c>
      <c r="AR515">
        <f>IF($AQ515="","",IF(MONTH($AQ515)&gt;=12,"Cold Winter",IF(MONTH($AQ515)&gt;=10,"Post-Monsoon",IF(MONTH($AQ515)&gt;=6,"Hot Humid",IF(MONTH($AQ515)&gt;=3,"Hot Dry","Cold Winter")))))</f>
        <v/>
      </c>
      <c r="AS515">
        <f>IF($AL515="","",IFERROR(VLOOKUP($AL515,DECODE!$A$3:$C$8,2,FALSE),"?"))</f>
        <v/>
      </c>
      <c r="AT515">
        <f>IF($O515="","",UPPER(TRIM(LEFT($O515&amp;",",FIND(",",$O515&amp;",")-1))))</f>
        <v/>
      </c>
      <c r="AU515">
        <f>IF($AT515="","",MID($AT515,4,FIND("~",SUBSTITUTE($AT515,"-","~",2))-4))</f>
        <v/>
      </c>
      <c r="AV515">
        <f>IF($AT515="","",MID($AT515,FIND("~",SUBSTITUTE($AT515,"-","~",2))+1,FIND("~",SUBSTITUTE($AT515,"-","~",3))-FIND("~",SUBSTITUTE($AT515,"-","~",2))-1))</f>
        <v/>
      </c>
      <c r="AW515">
        <f>IF($AU515="","",IFERROR(VLOOKUP($AU515,DECODE!$A$3:$C$8,3,FALSE),"?"))</f>
        <v/>
      </c>
      <c r="AX515">
        <f>IF($AV515="","",IFERROR(VLOOKUP($AU515&amp;"-"&amp;$AV515,DECODE!$E$3:$F$21,2,FALSE),"?"))</f>
        <v/>
      </c>
      <c r="AY515">
        <f>IF($AT515="","",IFERROR(VALUE(RIGHT($AT515,3)),""))</f>
        <v/>
      </c>
      <c r="AZ515">
        <f>IF($U515="","",IFERROR(IF(ISNUMBER($U515),$U515,DATEVALUE(TRIM($U515))),""))</f>
        <v/>
      </c>
      <c r="BA515">
        <f>IF($AZ515="","",IF(MONTH($AZ515)&gt;=12,"Cold Winter",IF(MONTH($AZ515)&gt;=10,"Post-Monsoon",IF(MONTH($AZ515)&gt;=6,"Hot Humid",IF(MONTH($AZ515)&gt;=3,"Hot Dry","Cold Winter")))))</f>
        <v/>
      </c>
      <c r="BB515">
        <f>IF($AU515="","",IFERROR(VLOOKUP($AU515,DECODE!$A$3:$C$8,2,FALSE),"?"))</f>
        <v/>
      </c>
      <c r="BC515">
        <f>IF($P515="","",UPPER(TRIM(LEFT($P515&amp;",",FIND(",",$P515&amp;",")-1))))</f>
        <v/>
      </c>
      <c r="BD515">
        <f>IF($BC515="","",MID($BC515,4,FIND("~",SUBSTITUTE($BC515,"-","~",2))-4))</f>
        <v/>
      </c>
      <c r="BE515">
        <f>IF($BC515="","",MID($BC515,FIND("~",SUBSTITUTE($BC515,"-","~",2))+1,FIND("~",SUBSTITUTE($BC515,"-","~",3))-FIND("~",SUBSTITUTE($BC515,"-","~",2))-1))</f>
        <v/>
      </c>
      <c r="BF515">
        <f>IF($BD515="","",IFERROR(VLOOKUP($BD515,DECODE!$A$3:$C$8,3,FALSE),"?"))</f>
        <v/>
      </c>
      <c r="BG515">
        <f>IF($BE515="","",IFERROR(VLOOKUP($BD515&amp;"-"&amp;$BE515,DECODE!$E$3:$F$21,2,FALSE),"?"))</f>
        <v/>
      </c>
      <c r="BH515">
        <f>IF($BC515="","",IFERROR(VALUE(RIGHT($BC515,3)),""))</f>
        <v/>
      </c>
      <c r="BI515">
        <f>IF($V515="","",IFERROR(IF(ISNUMBER($V515),$V515,DATEVALUE(TRIM($V515))),""))</f>
        <v/>
      </c>
      <c r="BJ515">
        <f>IF($BI515="","",IF(MONTH($BI515)&gt;=12,"Cold Winter",IF(MONTH($BI515)&gt;=10,"Post-Monsoon",IF(MONTH($BI515)&gt;=6,"Hot Humid",IF(MONTH($BI515)&gt;=3,"Hot Dry","Cold Winter")))))</f>
        <v/>
      </c>
      <c r="BK515">
        <f>IF($BD515="","",IFERROR(VLOOKUP($BD515,DECODE!$A$3:$C$8,2,FALSE),"?"))</f>
        <v/>
      </c>
      <c r="BL515">
        <f>IF($Q515="","",UPPER(TRIM(LEFT($Q515&amp;",",FIND(",",$Q515&amp;",")-1))))</f>
        <v/>
      </c>
      <c r="BM515">
        <f>IF($BL515="","",MID($BL515,4,FIND("~",SUBSTITUTE($BL515,"-","~",2))-4))</f>
        <v/>
      </c>
      <c r="BN515">
        <f>IF($BL515="","",MID($BL515,FIND("~",SUBSTITUTE($BL515,"-","~",2))+1,FIND("~",SUBSTITUTE($BL515,"-","~",3))-FIND("~",SUBSTITUTE($BL515,"-","~",2))-1))</f>
        <v/>
      </c>
      <c r="BO515">
        <f>IF($BM515="","",IFERROR(VLOOKUP($BM515,DECODE!$A$3:$C$8,3,FALSE),"?"))</f>
        <v/>
      </c>
      <c r="BP515">
        <f>IF($BN515="","",IFERROR(VLOOKUP($BM515&amp;"-"&amp;$BN515,DECODE!$E$3:$F$21,2,FALSE),"?"))</f>
        <v/>
      </c>
      <c r="BQ515">
        <f>IF($BL515="","",IFERROR(VALUE(RIGHT($BL515,3)),""))</f>
        <v/>
      </c>
      <c r="BR515">
        <f>IF($W515="","",IFERROR(IF(ISNUMBER($W515),$W515,DATEVALUE(TRIM($W515))),""))</f>
        <v/>
      </c>
      <c r="BS515">
        <f>IF($BR515="","",IF(MONTH($BR515)&gt;=12,"Cold Winter",IF(MONTH($BR515)&gt;=10,"Post-Monsoon",IF(MONTH($BR515)&gt;=6,"Hot Humid",IF(MONTH($BR515)&gt;=3,"Hot Dry","Cold Winter")))))</f>
        <v/>
      </c>
      <c r="BT515">
        <f>IF($BM515="","",IFERROR(VLOOKUP($BM515,DECODE!$A$3:$C$8,2,FALSE),"?"))</f>
        <v/>
      </c>
      <c r="BU515">
        <f>IF($R515="","",UPPER(TRIM(LEFT($R515&amp;",",FIND(",",$R515&amp;",")-1))))</f>
        <v/>
      </c>
      <c r="BV515">
        <f>IF($BU515="","",MID($BU515,4,FIND("~",SUBSTITUTE($BU515,"-","~",2))-4))</f>
        <v/>
      </c>
      <c r="BW515">
        <f>IF($BU515="","",MID($BU515,FIND("~",SUBSTITUTE($BU515,"-","~",2))+1,FIND("~",SUBSTITUTE($BU515,"-","~",3))-FIND("~",SUBSTITUTE($BU515,"-","~",2))-1))</f>
        <v/>
      </c>
      <c r="BX515">
        <f>IF($BV515="","",IFERROR(VLOOKUP($BV515,DECODE!$A$3:$C$8,3,FALSE),"?"))</f>
        <v/>
      </c>
      <c r="BY515">
        <f>IF($BW515="","",IFERROR(VLOOKUP($BV515&amp;"-"&amp;$BW515,DECODE!$E$3:$F$21,2,FALSE),"?"))</f>
        <v/>
      </c>
      <c r="BZ515">
        <f>IF($BU515="","",IFERROR(VALUE(RIGHT($BU515,3)),""))</f>
        <v/>
      </c>
      <c r="CA515">
        <f>IF($X515="","",IFERROR(IF(ISNUMBER($X515),$X515,DATEVALUE(TRIM($X515))),""))</f>
        <v/>
      </c>
      <c r="CB515">
        <f>IF($CA515="","",IF(MONTH($CA515)&gt;=12,"Cold Winter",IF(MONTH($CA515)&gt;=10,"Post-Monsoon",IF(MONTH($CA515)&gt;=6,"Hot Humid",IF(MONTH($CA515)&gt;=3,"Hot Dry","Cold Winter")))))</f>
        <v/>
      </c>
      <c r="CC515">
        <f>IF($BV515="","",IFERROR(VLOOKUP($BV515,DECODE!$A$3:$C$8,2,FALSE),"?"))</f>
        <v/>
      </c>
      <c r="CD515">
        <f>IF($S515="","",UPPER(TRIM(LEFT($S515&amp;",",FIND(",",$S515&amp;",")-1))))</f>
        <v/>
      </c>
      <c r="CE515">
        <f>IF($CD515="","",MID($CD515,4,FIND("~",SUBSTITUTE($CD515,"-","~",2))-4))</f>
        <v/>
      </c>
      <c r="CF515">
        <f>IF($CD515="","",MID($CD515,FIND("~",SUBSTITUTE($CD515,"-","~",2))+1,FIND("~",SUBSTITUTE($CD515,"-","~",3))-FIND("~",SUBSTITUTE($CD515,"-","~",2))-1))</f>
        <v/>
      </c>
      <c r="CG515">
        <f>IF($CE515="","",IFERROR(VLOOKUP($CE515,DECODE!$A$3:$C$8,3,FALSE),"?"))</f>
        <v/>
      </c>
      <c r="CH515">
        <f>IF($CF515="","",IFERROR(VLOOKUP($CE515&amp;"-"&amp;$CF515,DECODE!$E$3:$F$21,2,FALSE),"?"))</f>
        <v/>
      </c>
      <c r="CI515">
        <f>IF($CD515="","",IFERROR(VALUE(RIGHT($CD515,3)),""))</f>
        <v/>
      </c>
      <c r="CJ515">
        <f>IF($Y515="","",IFERROR(IF(ISNUMBER($Y515),$Y515,DATEVALUE(TRIM($Y515))),""))</f>
        <v/>
      </c>
      <c r="CK515">
        <f>IF($CJ515="","",IF(MONTH($CJ515)&gt;=12,"Cold Winter",IF(MONTH($CJ515)&gt;=10,"Post-Monsoon",IF(MONTH($CJ515)&gt;=6,"Hot Humid",IF(MONTH($CJ515)&gt;=3,"Hot Dry","Cold Winter")))))</f>
        <v/>
      </c>
      <c r="CL515">
        <f>IF($CE515="","",IFERROR(VLOOKUP($CE515,DECODE!$A$3:$C$8,2,FALSE),"?"))</f>
        <v/>
      </c>
      <c r="CM515">
        <f>IF($AN515="","",AN515)</f>
        <v/>
      </c>
      <c r="CN515">
        <f>IF($AO515="","",AO515)</f>
        <v/>
      </c>
      <c r="CO515">
        <f>IF($AP515="","",AP515)</f>
        <v/>
      </c>
      <c r="CP515">
        <f>IF($CM515="","",IF($CM515="Aloe Vera Gel","Aloe Vera Gel "&amp;$CO515&amp;"g",CN515&amp;" "&amp;$CO515&amp;"g"))</f>
        <v/>
      </c>
      <c r="CQ515">
        <f>IF($AT515="",0,1)</f>
        <v/>
      </c>
      <c r="CR515">
        <f>IF($CQ515=0,"",AW515)</f>
        <v/>
      </c>
      <c r="CS515">
        <f>IF($CQ515=0,"",AX515)</f>
        <v/>
      </c>
      <c r="CT515">
        <f>IF($CQ515=0,"",AY515)</f>
        <v/>
      </c>
      <c r="CU515">
        <f>IF($CR515="","",IF($CR515="Aloe Vera Gel","Aloe Vera Gel "&amp;$CT515&amp;"g",CS515&amp;" "&amp;$CT515&amp;"g"))</f>
        <v/>
      </c>
      <c r="CV515">
        <f>IF($CQ515=0,"",IF($CP515=$CU515,"Repeat Exact",IF($CT515&gt;$CO515,"Upsized",IF($CT515&lt;$CO515,"Downsized",IF($CM515&lt;&gt;$CR515,"Lateral","Same Size Diff Variant")))))</f>
        <v/>
      </c>
      <c r="CW515">
        <f>IF($CQ515=0,"",AZ515-AQ515)</f>
        <v/>
      </c>
      <c r="CX515">
        <f>IF($CQ515=0,0,IF(CS515=CN515,1,0))</f>
        <v/>
      </c>
      <c r="CY515">
        <f>IF($CQ515=0,0,IF(CR515=CM515,1,0))</f>
        <v/>
      </c>
      <c r="CZ515">
        <f>IF($A515="","",IF(AND(IF(DASHBOARD!$C$4="All",TRUE,$CM515=DASHBOARD!$C$4),IF(DASHBOARD!$C$6="All",TRUE,$CP515=DASHBOARD!$C$6),IF(DASHBOARD!$C$8="All",TRUE,$AF515&gt;=DASHBOARD!$C$8),IF(DASHBOARD!$C$10="All",TRUE,$AF515&lt;=DASHBOARD!$C$10),IF(DASHBOARD!$C$12="All",TRUE,$AH515=VALUE(DASHBOARD!$C$12)),IF(DASHBOARD!$C$14="All",TRUE,$AJ515=DASHBOARD!$C$14)),1,0))</f>
        <v/>
      </c>
    </row>
    <row r="516">
      <c r="A516" t="n">
        <v>233823</v>
      </c>
      <c r="B516" t="inlineStr">
        <is>
          <t>Aloe Vera Gel</t>
        </is>
      </c>
      <c r="H516" t="inlineStr">
        <is>
          <t>Aloe Vera Gel - 80 gms</t>
        </is>
      </c>
      <c r="N516" t="inlineStr">
        <is>
          <t>FC-HG-PA-080</t>
        </is>
      </c>
      <c r="T516" t="inlineStr">
        <is>
          <t>Jan 28, 2025</t>
        </is>
      </c>
      <c r="AE516" t="inlineStr">
        <is>
          <t>Tirupur</t>
        </is>
      </c>
      <c r="AF516" t="inlineStr">
        <is>
          <t>2025-01</t>
        </is>
      </c>
      <c r="AG516" t="n">
        <v>1</v>
      </c>
      <c r="AH516" t="n">
        <v>1</v>
      </c>
      <c r="AI516" t="n">
        <v>0</v>
      </c>
      <c r="AJ516">
        <f>IF($AE516="","",IFERROR(VLOOKUP(TRIM($AE516),DECODE!$H$3:$I$60,2,FALSE),"Rest of India"))</f>
        <v/>
      </c>
      <c r="AK516">
        <f>IF($N516="","",UPPER(TRIM(LEFT($N516&amp;",",FIND(",",$N516&amp;",")-1))))</f>
        <v/>
      </c>
      <c r="AL516">
        <f>IF($AK516="","",MID($AK516,4,FIND("~",SUBSTITUTE($AK516,"-","~",2))-4))</f>
        <v/>
      </c>
      <c r="AM516">
        <f>IF($AK516="","",MID($AK516,FIND("~",SUBSTITUTE($AK516,"-","~",2))+1,FIND("~",SUBSTITUTE($AK516,"-","~",3))-FIND("~",SUBSTITUTE($AK516,"-","~",2))-1))</f>
        <v/>
      </c>
      <c r="AN516">
        <f>IF($AL516="","",IFERROR(VLOOKUP($AL516,DECODE!$A$3:$C$8,3,FALSE),"?"))</f>
        <v/>
      </c>
      <c r="AO516">
        <f>IF($AM516="","",IFERROR(VLOOKUP($AL516&amp;"-"&amp;$AM516,DECODE!$E$3:$F$21,2,FALSE),"?"))</f>
        <v/>
      </c>
      <c r="AP516">
        <f>IF($AK516="","",IFERROR(VALUE(RIGHT($AK516,3)),""))</f>
        <v/>
      </c>
      <c r="AQ516">
        <f>IF($T516="","",IFERROR(IF(ISNUMBER($T516),$T516,DATEVALUE(TRIM($T516))),""))</f>
        <v/>
      </c>
      <c r="AR516">
        <f>IF($AQ516="","",IF(MONTH($AQ516)&gt;=12,"Cold Winter",IF(MONTH($AQ516)&gt;=10,"Post-Monsoon",IF(MONTH($AQ516)&gt;=6,"Hot Humid",IF(MONTH($AQ516)&gt;=3,"Hot Dry","Cold Winter")))))</f>
        <v/>
      </c>
      <c r="AS516">
        <f>IF($AL516="","",IFERROR(VLOOKUP($AL516,DECODE!$A$3:$C$8,2,FALSE),"?"))</f>
        <v/>
      </c>
      <c r="AT516">
        <f>IF($O516="","",UPPER(TRIM(LEFT($O516&amp;",",FIND(",",$O516&amp;",")-1))))</f>
        <v/>
      </c>
      <c r="AU516">
        <f>IF($AT516="","",MID($AT516,4,FIND("~",SUBSTITUTE($AT516,"-","~",2))-4))</f>
        <v/>
      </c>
      <c r="AV516">
        <f>IF($AT516="","",MID($AT516,FIND("~",SUBSTITUTE($AT516,"-","~",2))+1,FIND("~",SUBSTITUTE($AT516,"-","~",3))-FIND("~",SUBSTITUTE($AT516,"-","~",2))-1))</f>
        <v/>
      </c>
      <c r="AW516">
        <f>IF($AU516="","",IFERROR(VLOOKUP($AU516,DECODE!$A$3:$C$8,3,FALSE),"?"))</f>
        <v/>
      </c>
      <c r="AX516">
        <f>IF($AV516="","",IFERROR(VLOOKUP($AU516&amp;"-"&amp;$AV516,DECODE!$E$3:$F$21,2,FALSE),"?"))</f>
        <v/>
      </c>
      <c r="AY516">
        <f>IF($AT516="","",IFERROR(VALUE(RIGHT($AT516,3)),""))</f>
        <v/>
      </c>
      <c r="AZ516">
        <f>IF($U516="","",IFERROR(IF(ISNUMBER($U516),$U516,DATEVALUE(TRIM($U516))),""))</f>
        <v/>
      </c>
      <c r="BA516">
        <f>IF($AZ516="","",IF(MONTH($AZ516)&gt;=12,"Cold Winter",IF(MONTH($AZ516)&gt;=10,"Post-Monsoon",IF(MONTH($AZ516)&gt;=6,"Hot Humid",IF(MONTH($AZ516)&gt;=3,"Hot Dry","Cold Winter")))))</f>
        <v/>
      </c>
      <c r="BB516">
        <f>IF($AU516="","",IFERROR(VLOOKUP($AU516,DECODE!$A$3:$C$8,2,FALSE),"?"))</f>
        <v/>
      </c>
      <c r="BC516">
        <f>IF($P516="","",UPPER(TRIM(LEFT($P516&amp;",",FIND(",",$P516&amp;",")-1))))</f>
        <v/>
      </c>
      <c r="BD516">
        <f>IF($BC516="","",MID($BC516,4,FIND("~",SUBSTITUTE($BC516,"-","~",2))-4))</f>
        <v/>
      </c>
      <c r="BE516">
        <f>IF($BC516="","",MID($BC516,FIND("~",SUBSTITUTE($BC516,"-","~",2))+1,FIND("~",SUBSTITUTE($BC516,"-","~",3))-FIND("~",SUBSTITUTE($BC516,"-","~",2))-1))</f>
        <v/>
      </c>
      <c r="BF516">
        <f>IF($BD516="","",IFERROR(VLOOKUP($BD516,DECODE!$A$3:$C$8,3,FALSE),"?"))</f>
        <v/>
      </c>
      <c r="BG516">
        <f>IF($BE516="","",IFERROR(VLOOKUP($BD516&amp;"-"&amp;$BE516,DECODE!$E$3:$F$21,2,FALSE),"?"))</f>
        <v/>
      </c>
      <c r="BH516">
        <f>IF($BC516="","",IFERROR(VALUE(RIGHT($BC516,3)),""))</f>
        <v/>
      </c>
      <c r="BI516">
        <f>IF($V516="","",IFERROR(IF(ISNUMBER($V516),$V516,DATEVALUE(TRIM($V516))),""))</f>
        <v/>
      </c>
      <c r="BJ516">
        <f>IF($BI516="","",IF(MONTH($BI516)&gt;=12,"Cold Winter",IF(MONTH($BI516)&gt;=10,"Post-Monsoon",IF(MONTH($BI516)&gt;=6,"Hot Humid",IF(MONTH($BI516)&gt;=3,"Hot Dry","Cold Winter")))))</f>
        <v/>
      </c>
      <c r="BK516">
        <f>IF($BD516="","",IFERROR(VLOOKUP($BD516,DECODE!$A$3:$C$8,2,FALSE),"?"))</f>
        <v/>
      </c>
      <c r="BL516">
        <f>IF($Q516="","",UPPER(TRIM(LEFT($Q516&amp;",",FIND(",",$Q516&amp;",")-1))))</f>
        <v/>
      </c>
      <c r="BM516">
        <f>IF($BL516="","",MID($BL516,4,FIND("~",SUBSTITUTE($BL516,"-","~",2))-4))</f>
        <v/>
      </c>
      <c r="BN516">
        <f>IF($BL516="","",MID($BL516,FIND("~",SUBSTITUTE($BL516,"-","~",2))+1,FIND("~",SUBSTITUTE($BL516,"-","~",3))-FIND("~",SUBSTITUTE($BL516,"-","~",2))-1))</f>
        <v/>
      </c>
      <c r="BO516">
        <f>IF($BM516="","",IFERROR(VLOOKUP($BM516,DECODE!$A$3:$C$8,3,FALSE),"?"))</f>
        <v/>
      </c>
      <c r="BP516">
        <f>IF($BN516="","",IFERROR(VLOOKUP($BM516&amp;"-"&amp;$BN516,DECODE!$E$3:$F$21,2,FALSE),"?"))</f>
        <v/>
      </c>
      <c r="BQ516">
        <f>IF($BL516="","",IFERROR(VALUE(RIGHT($BL516,3)),""))</f>
        <v/>
      </c>
      <c r="BR516">
        <f>IF($W516="","",IFERROR(IF(ISNUMBER($W516),$W516,DATEVALUE(TRIM($W516))),""))</f>
        <v/>
      </c>
      <c r="BS516">
        <f>IF($BR516="","",IF(MONTH($BR516)&gt;=12,"Cold Winter",IF(MONTH($BR516)&gt;=10,"Post-Monsoon",IF(MONTH($BR516)&gt;=6,"Hot Humid",IF(MONTH($BR516)&gt;=3,"Hot Dry","Cold Winter")))))</f>
        <v/>
      </c>
      <c r="BT516">
        <f>IF($BM516="","",IFERROR(VLOOKUP($BM516,DECODE!$A$3:$C$8,2,FALSE),"?"))</f>
        <v/>
      </c>
      <c r="BU516">
        <f>IF($R516="","",UPPER(TRIM(LEFT($R516&amp;",",FIND(",",$R516&amp;",")-1))))</f>
        <v/>
      </c>
      <c r="BV516">
        <f>IF($BU516="","",MID($BU516,4,FIND("~",SUBSTITUTE($BU516,"-","~",2))-4))</f>
        <v/>
      </c>
      <c r="BW516">
        <f>IF($BU516="","",MID($BU516,FIND("~",SUBSTITUTE($BU516,"-","~",2))+1,FIND("~",SUBSTITUTE($BU516,"-","~",3))-FIND("~",SUBSTITUTE($BU516,"-","~",2))-1))</f>
        <v/>
      </c>
      <c r="BX516">
        <f>IF($BV516="","",IFERROR(VLOOKUP($BV516,DECODE!$A$3:$C$8,3,FALSE),"?"))</f>
        <v/>
      </c>
      <c r="BY516">
        <f>IF($BW516="","",IFERROR(VLOOKUP($BV516&amp;"-"&amp;$BW516,DECODE!$E$3:$F$21,2,FALSE),"?"))</f>
        <v/>
      </c>
      <c r="BZ516">
        <f>IF($BU516="","",IFERROR(VALUE(RIGHT($BU516,3)),""))</f>
        <v/>
      </c>
      <c r="CA516">
        <f>IF($X516="","",IFERROR(IF(ISNUMBER($X516),$X516,DATEVALUE(TRIM($X516))),""))</f>
        <v/>
      </c>
      <c r="CB516">
        <f>IF($CA516="","",IF(MONTH($CA516)&gt;=12,"Cold Winter",IF(MONTH($CA516)&gt;=10,"Post-Monsoon",IF(MONTH($CA516)&gt;=6,"Hot Humid",IF(MONTH($CA516)&gt;=3,"Hot Dry","Cold Winter")))))</f>
        <v/>
      </c>
      <c r="CC516">
        <f>IF($BV516="","",IFERROR(VLOOKUP($BV516,DECODE!$A$3:$C$8,2,FALSE),"?"))</f>
        <v/>
      </c>
      <c r="CD516">
        <f>IF($S516="","",UPPER(TRIM(LEFT($S516&amp;",",FIND(",",$S516&amp;",")-1))))</f>
        <v/>
      </c>
      <c r="CE516">
        <f>IF($CD516="","",MID($CD516,4,FIND("~",SUBSTITUTE($CD516,"-","~",2))-4))</f>
        <v/>
      </c>
      <c r="CF516">
        <f>IF($CD516="","",MID($CD516,FIND("~",SUBSTITUTE($CD516,"-","~",2))+1,FIND("~",SUBSTITUTE($CD516,"-","~",3))-FIND("~",SUBSTITUTE($CD516,"-","~",2))-1))</f>
        <v/>
      </c>
      <c r="CG516">
        <f>IF($CE516="","",IFERROR(VLOOKUP($CE516,DECODE!$A$3:$C$8,3,FALSE),"?"))</f>
        <v/>
      </c>
      <c r="CH516">
        <f>IF($CF516="","",IFERROR(VLOOKUP($CE516&amp;"-"&amp;$CF516,DECODE!$E$3:$F$21,2,FALSE),"?"))</f>
        <v/>
      </c>
      <c r="CI516">
        <f>IF($CD516="","",IFERROR(VALUE(RIGHT($CD516,3)),""))</f>
        <v/>
      </c>
      <c r="CJ516">
        <f>IF($Y516="","",IFERROR(IF(ISNUMBER($Y516),$Y516,DATEVALUE(TRIM($Y516))),""))</f>
        <v/>
      </c>
      <c r="CK516">
        <f>IF($CJ516="","",IF(MONTH($CJ516)&gt;=12,"Cold Winter",IF(MONTH($CJ516)&gt;=10,"Post-Monsoon",IF(MONTH($CJ516)&gt;=6,"Hot Humid",IF(MONTH($CJ516)&gt;=3,"Hot Dry","Cold Winter")))))</f>
        <v/>
      </c>
      <c r="CL516">
        <f>IF($CE516="","",IFERROR(VLOOKUP($CE516,DECODE!$A$3:$C$8,2,FALSE),"?"))</f>
        <v/>
      </c>
      <c r="CM516">
        <f>IF($AN516="","",AN516)</f>
        <v/>
      </c>
      <c r="CN516">
        <f>IF($AO516="","",AO516)</f>
        <v/>
      </c>
      <c r="CO516">
        <f>IF($AP516="","",AP516)</f>
        <v/>
      </c>
      <c r="CP516">
        <f>IF($CM516="","",IF($CM516="Aloe Vera Gel","Aloe Vera Gel "&amp;$CO516&amp;"g",CN516&amp;" "&amp;$CO516&amp;"g"))</f>
        <v/>
      </c>
      <c r="CQ516">
        <f>IF($AT516="",0,1)</f>
        <v/>
      </c>
      <c r="CR516">
        <f>IF($CQ516=0,"",AW516)</f>
        <v/>
      </c>
      <c r="CS516">
        <f>IF($CQ516=0,"",AX516)</f>
        <v/>
      </c>
      <c r="CT516">
        <f>IF($CQ516=0,"",AY516)</f>
        <v/>
      </c>
      <c r="CU516">
        <f>IF($CR516="","",IF($CR516="Aloe Vera Gel","Aloe Vera Gel "&amp;$CT516&amp;"g",CS516&amp;" "&amp;$CT516&amp;"g"))</f>
        <v/>
      </c>
      <c r="CV516">
        <f>IF($CQ516=0,"",IF($CP516=$CU516,"Repeat Exact",IF($CT516&gt;$CO516,"Upsized",IF($CT516&lt;$CO516,"Downsized",IF($CM516&lt;&gt;$CR516,"Lateral","Same Size Diff Variant")))))</f>
        <v/>
      </c>
      <c r="CW516">
        <f>IF($CQ516=0,"",AZ516-AQ516)</f>
        <v/>
      </c>
      <c r="CX516">
        <f>IF($CQ516=0,0,IF(CS516=CN516,1,0))</f>
        <v/>
      </c>
      <c r="CY516">
        <f>IF($CQ516=0,0,IF(CR516=CM516,1,0))</f>
        <v/>
      </c>
      <c r="CZ516">
        <f>IF($A516="","",IF(AND(IF(DASHBOARD!$C$4="All",TRUE,$CM516=DASHBOARD!$C$4),IF(DASHBOARD!$C$6="All",TRUE,$CP516=DASHBOARD!$C$6),IF(DASHBOARD!$C$8="All",TRUE,$AF516&gt;=DASHBOARD!$C$8),IF(DASHBOARD!$C$10="All",TRUE,$AF516&lt;=DASHBOARD!$C$10),IF(DASHBOARD!$C$12="All",TRUE,$AH516=VALUE(DASHBOARD!$C$12)),IF(DASHBOARD!$C$14="All",TRUE,$AJ516=DASHBOARD!$C$14)),1,0))</f>
        <v/>
      </c>
    </row>
    <row r="517">
      <c r="A517" t="n">
        <v>234395</v>
      </c>
      <c r="B517" t="inlineStr">
        <is>
          <t>Face Malai</t>
        </is>
      </c>
      <c r="H517" t="inlineStr">
        <is>
          <t>Turmeric Nutmeg (Pigmentation)  Face Malai - 30g</t>
        </is>
      </c>
      <c r="N517" t="inlineStr">
        <is>
          <t>FC-DM-PG-030</t>
        </is>
      </c>
      <c r="T517" t="inlineStr">
        <is>
          <t>Aug 20, 2024</t>
        </is>
      </c>
      <c r="AE517" t="inlineStr">
        <is>
          <t>Sonipat</t>
        </is>
      </c>
      <c r="AF517" t="inlineStr">
        <is>
          <t>2024-08</t>
        </is>
      </c>
      <c r="AG517" t="n">
        <v>8</v>
      </c>
      <c r="AH517" t="n">
        <v>1</v>
      </c>
      <c r="AI517" t="n">
        <v>0</v>
      </c>
      <c r="AJ517">
        <f>IF($AE517="","",IFERROR(VLOOKUP(TRIM($AE517),DECODE!$H$3:$I$60,2,FALSE),"Rest of India"))</f>
        <v/>
      </c>
      <c r="AK517">
        <f>IF($N517="","",UPPER(TRIM(LEFT($N517&amp;",",FIND(",",$N517&amp;",")-1))))</f>
        <v/>
      </c>
      <c r="AL517">
        <f>IF($AK517="","",MID($AK517,4,FIND("~",SUBSTITUTE($AK517,"-","~",2))-4))</f>
        <v/>
      </c>
      <c r="AM517">
        <f>IF($AK517="","",MID($AK517,FIND("~",SUBSTITUTE($AK517,"-","~",2))+1,FIND("~",SUBSTITUTE($AK517,"-","~",3))-FIND("~",SUBSTITUTE($AK517,"-","~",2))-1))</f>
        <v/>
      </c>
      <c r="AN517">
        <f>IF($AL517="","",IFERROR(VLOOKUP($AL517,DECODE!$A$3:$C$8,3,FALSE),"?"))</f>
        <v/>
      </c>
      <c r="AO517">
        <f>IF($AM517="","",IFERROR(VLOOKUP($AL517&amp;"-"&amp;$AM517,DECODE!$E$3:$F$21,2,FALSE),"?"))</f>
        <v/>
      </c>
      <c r="AP517">
        <f>IF($AK517="","",IFERROR(VALUE(RIGHT($AK517,3)),""))</f>
        <v/>
      </c>
      <c r="AQ517">
        <f>IF($T517="","",IFERROR(IF(ISNUMBER($T517),$T517,DATEVALUE(TRIM($T517))),""))</f>
        <v/>
      </c>
      <c r="AR517">
        <f>IF($AQ517="","",IF(MONTH($AQ517)&gt;=12,"Cold Winter",IF(MONTH($AQ517)&gt;=10,"Post-Monsoon",IF(MONTH($AQ517)&gt;=6,"Hot Humid",IF(MONTH($AQ517)&gt;=3,"Hot Dry","Cold Winter")))))</f>
        <v/>
      </c>
      <c r="AS517">
        <f>IF($AL517="","",IFERROR(VLOOKUP($AL517,DECODE!$A$3:$C$8,2,FALSE),"?"))</f>
        <v/>
      </c>
      <c r="AT517">
        <f>IF($O517="","",UPPER(TRIM(LEFT($O517&amp;",",FIND(",",$O517&amp;",")-1))))</f>
        <v/>
      </c>
      <c r="AU517">
        <f>IF($AT517="","",MID($AT517,4,FIND("~",SUBSTITUTE($AT517,"-","~",2))-4))</f>
        <v/>
      </c>
      <c r="AV517">
        <f>IF($AT517="","",MID($AT517,FIND("~",SUBSTITUTE($AT517,"-","~",2))+1,FIND("~",SUBSTITUTE($AT517,"-","~",3))-FIND("~",SUBSTITUTE($AT517,"-","~",2))-1))</f>
        <v/>
      </c>
      <c r="AW517">
        <f>IF($AU517="","",IFERROR(VLOOKUP($AU517,DECODE!$A$3:$C$8,3,FALSE),"?"))</f>
        <v/>
      </c>
      <c r="AX517">
        <f>IF($AV517="","",IFERROR(VLOOKUP($AU517&amp;"-"&amp;$AV517,DECODE!$E$3:$F$21,2,FALSE),"?"))</f>
        <v/>
      </c>
      <c r="AY517">
        <f>IF($AT517="","",IFERROR(VALUE(RIGHT($AT517,3)),""))</f>
        <v/>
      </c>
      <c r="AZ517">
        <f>IF($U517="","",IFERROR(IF(ISNUMBER($U517),$U517,DATEVALUE(TRIM($U517))),""))</f>
        <v/>
      </c>
      <c r="BA517">
        <f>IF($AZ517="","",IF(MONTH($AZ517)&gt;=12,"Cold Winter",IF(MONTH($AZ517)&gt;=10,"Post-Monsoon",IF(MONTH($AZ517)&gt;=6,"Hot Humid",IF(MONTH($AZ517)&gt;=3,"Hot Dry","Cold Winter")))))</f>
        <v/>
      </c>
      <c r="BB517">
        <f>IF($AU517="","",IFERROR(VLOOKUP($AU517,DECODE!$A$3:$C$8,2,FALSE),"?"))</f>
        <v/>
      </c>
      <c r="BC517">
        <f>IF($P517="","",UPPER(TRIM(LEFT($P517&amp;",",FIND(",",$P517&amp;",")-1))))</f>
        <v/>
      </c>
      <c r="BD517">
        <f>IF($BC517="","",MID($BC517,4,FIND("~",SUBSTITUTE($BC517,"-","~",2))-4))</f>
        <v/>
      </c>
      <c r="BE517">
        <f>IF($BC517="","",MID($BC517,FIND("~",SUBSTITUTE($BC517,"-","~",2))+1,FIND("~",SUBSTITUTE($BC517,"-","~",3))-FIND("~",SUBSTITUTE($BC517,"-","~",2))-1))</f>
        <v/>
      </c>
      <c r="BF517">
        <f>IF($BD517="","",IFERROR(VLOOKUP($BD517,DECODE!$A$3:$C$8,3,FALSE),"?"))</f>
        <v/>
      </c>
      <c r="BG517">
        <f>IF($BE517="","",IFERROR(VLOOKUP($BD517&amp;"-"&amp;$BE517,DECODE!$E$3:$F$21,2,FALSE),"?"))</f>
        <v/>
      </c>
      <c r="BH517">
        <f>IF($BC517="","",IFERROR(VALUE(RIGHT($BC517,3)),""))</f>
        <v/>
      </c>
      <c r="BI517">
        <f>IF($V517="","",IFERROR(IF(ISNUMBER($V517),$V517,DATEVALUE(TRIM($V517))),""))</f>
        <v/>
      </c>
      <c r="BJ517">
        <f>IF($BI517="","",IF(MONTH($BI517)&gt;=12,"Cold Winter",IF(MONTH($BI517)&gt;=10,"Post-Monsoon",IF(MONTH($BI517)&gt;=6,"Hot Humid",IF(MONTH($BI517)&gt;=3,"Hot Dry","Cold Winter")))))</f>
        <v/>
      </c>
      <c r="BK517">
        <f>IF($BD517="","",IFERROR(VLOOKUP($BD517,DECODE!$A$3:$C$8,2,FALSE),"?"))</f>
        <v/>
      </c>
      <c r="BL517">
        <f>IF($Q517="","",UPPER(TRIM(LEFT($Q517&amp;",",FIND(",",$Q517&amp;",")-1))))</f>
        <v/>
      </c>
      <c r="BM517">
        <f>IF($BL517="","",MID($BL517,4,FIND("~",SUBSTITUTE($BL517,"-","~",2))-4))</f>
        <v/>
      </c>
      <c r="BN517">
        <f>IF($BL517="","",MID($BL517,FIND("~",SUBSTITUTE($BL517,"-","~",2))+1,FIND("~",SUBSTITUTE($BL517,"-","~",3))-FIND("~",SUBSTITUTE($BL517,"-","~",2))-1))</f>
        <v/>
      </c>
      <c r="BO517">
        <f>IF($BM517="","",IFERROR(VLOOKUP($BM517,DECODE!$A$3:$C$8,3,FALSE),"?"))</f>
        <v/>
      </c>
      <c r="BP517">
        <f>IF($BN517="","",IFERROR(VLOOKUP($BM517&amp;"-"&amp;$BN517,DECODE!$E$3:$F$21,2,FALSE),"?"))</f>
        <v/>
      </c>
      <c r="BQ517">
        <f>IF($BL517="","",IFERROR(VALUE(RIGHT($BL517,3)),""))</f>
        <v/>
      </c>
      <c r="BR517">
        <f>IF($W517="","",IFERROR(IF(ISNUMBER($W517),$W517,DATEVALUE(TRIM($W517))),""))</f>
        <v/>
      </c>
      <c r="BS517">
        <f>IF($BR517="","",IF(MONTH($BR517)&gt;=12,"Cold Winter",IF(MONTH($BR517)&gt;=10,"Post-Monsoon",IF(MONTH($BR517)&gt;=6,"Hot Humid",IF(MONTH($BR517)&gt;=3,"Hot Dry","Cold Winter")))))</f>
        <v/>
      </c>
      <c r="BT517">
        <f>IF($BM517="","",IFERROR(VLOOKUP($BM517,DECODE!$A$3:$C$8,2,FALSE),"?"))</f>
        <v/>
      </c>
      <c r="BU517">
        <f>IF($R517="","",UPPER(TRIM(LEFT($R517&amp;",",FIND(",",$R517&amp;",")-1))))</f>
        <v/>
      </c>
      <c r="BV517">
        <f>IF($BU517="","",MID($BU517,4,FIND("~",SUBSTITUTE($BU517,"-","~",2))-4))</f>
        <v/>
      </c>
      <c r="BW517">
        <f>IF($BU517="","",MID($BU517,FIND("~",SUBSTITUTE($BU517,"-","~",2))+1,FIND("~",SUBSTITUTE($BU517,"-","~",3))-FIND("~",SUBSTITUTE($BU517,"-","~",2))-1))</f>
        <v/>
      </c>
      <c r="BX517">
        <f>IF($BV517="","",IFERROR(VLOOKUP($BV517,DECODE!$A$3:$C$8,3,FALSE),"?"))</f>
        <v/>
      </c>
      <c r="BY517">
        <f>IF($BW517="","",IFERROR(VLOOKUP($BV517&amp;"-"&amp;$BW517,DECODE!$E$3:$F$21,2,FALSE),"?"))</f>
        <v/>
      </c>
      <c r="BZ517">
        <f>IF($BU517="","",IFERROR(VALUE(RIGHT($BU517,3)),""))</f>
        <v/>
      </c>
      <c r="CA517">
        <f>IF($X517="","",IFERROR(IF(ISNUMBER($X517),$X517,DATEVALUE(TRIM($X517))),""))</f>
        <v/>
      </c>
      <c r="CB517">
        <f>IF($CA517="","",IF(MONTH($CA517)&gt;=12,"Cold Winter",IF(MONTH($CA517)&gt;=10,"Post-Monsoon",IF(MONTH($CA517)&gt;=6,"Hot Humid",IF(MONTH($CA517)&gt;=3,"Hot Dry","Cold Winter")))))</f>
        <v/>
      </c>
      <c r="CC517">
        <f>IF($BV517="","",IFERROR(VLOOKUP($BV517,DECODE!$A$3:$C$8,2,FALSE),"?"))</f>
        <v/>
      </c>
      <c r="CD517">
        <f>IF($S517="","",UPPER(TRIM(LEFT($S517&amp;",",FIND(",",$S517&amp;",")-1))))</f>
        <v/>
      </c>
      <c r="CE517">
        <f>IF($CD517="","",MID($CD517,4,FIND("~",SUBSTITUTE($CD517,"-","~",2))-4))</f>
        <v/>
      </c>
      <c r="CF517">
        <f>IF($CD517="","",MID($CD517,FIND("~",SUBSTITUTE($CD517,"-","~",2))+1,FIND("~",SUBSTITUTE($CD517,"-","~",3))-FIND("~",SUBSTITUTE($CD517,"-","~",2))-1))</f>
        <v/>
      </c>
      <c r="CG517">
        <f>IF($CE517="","",IFERROR(VLOOKUP($CE517,DECODE!$A$3:$C$8,3,FALSE),"?"))</f>
        <v/>
      </c>
      <c r="CH517">
        <f>IF($CF517="","",IFERROR(VLOOKUP($CE517&amp;"-"&amp;$CF517,DECODE!$E$3:$F$21,2,FALSE),"?"))</f>
        <v/>
      </c>
      <c r="CI517">
        <f>IF($CD517="","",IFERROR(VALUE(RIGHT($CD517,3)),""))</f>
        <v/>
      </c>
      <c r="CJ517">
        <f>IF($Y517="","",IFERROR(IF(ISNUMBER($Y517),$Y517,DATEVALUE(TRIM($Y517))),""))</f>
        <v/>
      </c>
      <c r="CK517">
        <f>IF($CJ517="","",IF(MONTH($CJ517)&gt;=12,"Cold Winter",IF(MONTH($CJ517)&gt;=10,"Post-Monsoon",IF(MONTH($CJ517)&gt;=6,"Hot Humid",IF(MONTH($CJ517)&gt;=3,"Hot Dry","Cold Winter")))))</f>
        <v/>
      </c>
      <c r="CL517">
        <f>IF($CE517="","",IFERROR(VLOOKUP($CE517,DECODE!$A$3:$C$8,2,FALSE),"?"))</f>
        <v/>
      </c>
      <c r="CM517">
        <f>IF($AN517="","",AN517)</f>
        <v/>
      </c>
      <c r="CN517">
        <f>IF($AO517="","",AO517)</f>
        <v/>
      </c>
      <c r="CO517">
        <f>IF($AP517="","",AP517)</f>
        <v/>
      </c>
      <c r="CP517">
        <f>IF($CM517="","",IF($CM517="Aloe Vera Gel","Aloe Vera Gel "&amp;$CO517&amp;"g",CN517&amp;" "&amp;$CO517&amp;"g"))</f>
        <v/>
      </c>
      <c r="CQ517">
        <f>IF($AT517="",0,1)</f>
        <v/>
      </c>
      <c r="CR517">
        <f>IF($CQ517=0,"",AW517)</f>
        <v/>
      </c>
      <c r="CS517">
        <f>IF($CQ517=0,"",AX517)</f>
        <v/>
      </c>
      <c r="CT517">
        <f>IF($CQ517=0,"",AY517)</f>
        <v/>
      </c>
      <c r="CU517">
        <f>IF($CR517="","",IF($CR517="Aloe Vera Gel","Aloe Vera Gel "&amp;$CT517&amp;"g",CS517&amp;" "&amp;$CT517&amp;"g"))</f>
        <v/>
      </c>
      <c r="CV517">
        <f>IF($CQ517=0,"",IF($CP517=$CU517,"Repeat Exact",IF($CT517&gt;$CO517,"Upsized",IF($CT517&lt;$CO517,"Downsized",IF($CM517&lt;&gt;$CR517,"Lateral","Same Size Diff Variant")))))</f>
        <v/>
      </c>
      <c r="CW517">
        <f>IF($CQ517=0,"",AZ517-AQ517)</f>
        <v/>
      </c>
      <c r="CX517">
        <f>IF($CQ517=0,0,IF(CS517=CN517,1,0))</f>
        <v/>
      </c>
      <c r="CY517">
        <f>IF($CQ517=0,0,IF(CR517=CM517,1,0))</f>
        <v/>
      </c>
      <c r="CZ517">
        <f>IF($A517="","",IF(AND(IF(DASHBOARD!$C$4="All",TRUE,$CM517=DASHBOARD!$C$4),IF(DASHBOARD!$C$6="All",TRUE,$CP517=DASHBOARD!$C$6),IF(DASHBOARD!$C$8="All",TRUE,$AF517&gt;=DASHBOARD!$C$8),IF(DASHBOARD!$C$10="All",TRUE,$AF517&lt;=DASHBOARD!$C$10),IF(DASHBOARD!$C$12="All",TRUE,$AH517=VALUE(DASHBOARD!$C$12)),IF(DASHBOARD!$C$14="All",TRUE,$AJ517=DASHBOARD!$C$14)),1,0))</f>
        <v/>
      </c>
    </row>
    <row r="518">
      <c r="A518" t="n">
        <v>234489</v>
      </c>
      <c r="B518" t="inlineStr">
        <is>
          <t>Aloe Vera Gel</t>
        </is>
      </c>
      <c r="H518" t="inlineStr">
        <is>
          <t>Aloe Vera Gel - 40 gms</t>
        </is>
      </c>
      <c r="N518" t="inlineStr">
        <is>
          <t>FC-HG-PA-040</t>
        </is>
      </c>
      <c r="T518" t="inlineStr">
        <is>
          <t>Nov 11, 2024</t>
        </is>
      </c>
      <c r="AE518" t="inlineStr">
        <is>
          <t>New Delhi</t>
        </is>
      </c>
      <c r="AF518" t="inlineStr">
        <is>
          <t>2024-11</t>
        </is>
      </c>
      <c r="AG518" t="n">
        <v>11</v>
      </c>
      <c r="AH518" t="n">
        <v>1</v>
      </c>
      <c r="AI518" t="n">
        <v>0</v>
      </c>
      <c r="AJ518">
        <f>IF($AE518="","",IFERROR(VLOOKUP(TRIM($AE518),DECODE!$H$3:$I$60,2,FALSE),"Rest of India"))</f>
        <v/>
      </c>
      <c r="AK518">
        <f>IF($N518="","",UPPER(TRIM(LEFT($N518&amp;",",FIND(",",$N518&amp;",")-1))))</f>
        <v/>
      </c>
      <c r="AL518">
        <f>IF($AK518="","",MID($AK518,4,FIND("~",SUBSTITUTE($AK518,"-","~",2))-4))</f>
        <v/>
      </c>
      <c r="AM518">
        <f>IF($AK518="","",MID($AK518,FIND("~",SUBSTITUTE($AK518,"-","~",2))+1,FIND("~",SUBSTITUTE($AK518,"-","~",3))-FIND("~",SUBSTITUTE($AK518,"-","~",2))-1))</f>
        <v/>
      </c>
      <c r="AN518">
        <f>IF($AL518="","",IFERROR(VLOOKUP($AL518,DECODE!$A$3:$C$8,3,FALSE),"?"))</f>
        <v/>
      </c>
      <c r="AO518">
        <f>IF($AM518="","",IFERROR(VLOOKUP($AL518&amp;"-"&amp;$AM518,DECODE!$E$3:$F$21,2,FALSE),"?"))</f>
        <v/>
      </c>
      <c r="AP518">
        <f>IF($AK518="","",IFERROR(VALUE(RIGHT($AK518,3)),""))</f>
        <v/>
      </c>
      <c r="AQ518">
        <f>IF($T518="","",IFERROR(IF(ISNUMBER($T518),$T518,DATEVALUE(TRIM($T518))),""))</f>
        <v/>
      </c>
      <c r="AR518">
        <f>IF($AQ518="","",IF(MONTH($AQ518)&gt;=12,"Cold Winter",IF(MONTH($AQ518)&gt;=10,"Post-Monsoon",IF(MONTH($AQ518)&gt;=6,"Hot Humid",IF(MONTH($AQ518)&gt;=3,"Hot Dry","Cold Winter")))))</f>
        <v/>
      </c>
      <c r="AS518">
        <f>IF($AL518="","",IFERROR(VLOOKUP($AL518,DECODE!$A$3:$C$8,2,FALSE),"?"))</f>
        <v/>
      </c>
      <c r="AT518">
        <f>IF($O518="","",UPPER(TRIM(LEFT($O518&amp;",",FIND(",",$O518&amp;",")-1))))</f>
        <v/>
      </c>
      <c r="AU518">
        <f>IF($AT518="","",MID($AT518,4,FIND("~",SUBSTITUTE($AT518,"-","~",2))-4))</f>
        <v/>
      </c>
      <c r="AV518">
        <f>IF($AT518="","",MID($AT518,FIND("~",SUBSTITUTE($AT518,"-","~",2))+1,FIND("~",SUBSTITUTE($AT518,"-","~",3))-FIND("~",SUBSTITUTE($AT518,"-","~",2))-1))</f>
        <v/>
      </c>
      <c r="AW518">
        <f>IF($AU518="","",IFERROR(VLOOKUP($AU518,DECODE!$A$3:$C$8,3,FALSE),"?"))</f>
        <v/>
      </c>
      <c r="AX518">
        <f>IF($AV518="","",IFERROR(VLOOKUP($AU518&amp;"-"&amp;$AV518,DECODE!$E$3:$F$21,2,FALSE),"?"))</f>
        <v/>
      </c>
      <c r="AY518">
        <f>IF($AT518="","",IFERROR(VALUE(RIGHT($AT518,3)),""))</f>
        <v/>
      </c>
      <c r="AZ518">
        <f>IF($U518="","",IFERROR(IF(ISNUMBER($U518),$U518,DATEVALUE(TRIM($U518))),""))</f>
        <v/>
      </c>
      <c r="BA518">
        <f>IF($AZ518="","",IF(MONTH($AZ518)&gt;=12,"Cold Winter",IF(MONTH($AZ518)&gt;=10,"Post-Monsoon",IF(MONTH($AZ518)&gt;=6,"Hot Humid",IF(MONTH($AZ518)&gt;=3,"Hot Dry","Cold Winter")))))</f>
        <v/>
      </c>
      <c r="BB518">
        <f>IF($AU518="","",IFERROR(VLOOKUP($AU518,DECODE!$A$3:$C$8,2,FALSE),"?"))</f>
        <v/>
      </c>
      <c r="BC518">
        <f>IF($P518="","",UPPER(TRIM(LEFT($P518&amp;",",FIND(",",$P518&amp;",")-1))))</f>
        <v/>
      </c>
      <c r="BD518">
        <f>IF($BC518="","",MID($BC518,4,FIND("~",SUBSTITUTE($BC518,"-","~",2))-4))</f>
        <v/>
      </c>
      <c r="BE518">
        <f>IF($BC518="","",MID($BC518,FIND("~",SUBSTITUTE($BC518,"-","~",2))+1,FIND("~",SUBSTITUTE($BC518,"-","~",3))-FIND("~",SUBSTITUTE($BC518,"-","~",2))-1))</f>
        <v/>
      </c>
      <c r="BF518">
        <f>IF($BD518="","",IFERROR(VLOOKUP($BD518,DECODE!$A$3:$C$8,3,FALSE),"?"))</f>
        <v/>
      </c>
      <c r="BG518">
        <f>IF($BE518="","",IFERROR(VLOOKUP($BD518&amp;"-"&amp;$BE518,DECODE!$E$3:$F$21,2,FALSE),"?"))</f>
        <v/>
      </c>
      <c r="BH518">
        <f>IF($BC518="","",IFERROR(VALUE(RIGHT($BC518,3)),""))</f>
        <v/>
      </c>
      <c r="BI518">
        <f>IF($V518="","",IFERROR(IF(ISNUMBER($V518),$V518,DATEVALUE(TRIM($V518))),""))</f>
        <v/>
      </c>
      <c r="BJ518">
        <f>IF($BI518="","",IF(MONTH($BI518)&gt;=12,"Cold Winter",IF(MONTH($BI518)&gt;=10,"Post-Monsoon",IF(MONTH($BI518)&gt;=6,"Hot Humid",IF(MONTH($BI518)&gt;=3,"Hot Dry","Cold Winter")))))</f>
        <v/>
      </c>
      <c r="BK518">
        <f>IF($BD518="","",IFERROR(VLOOKUP($BD518,DECODE!$A$3:$C$8,2,FALSE),"?"))</f>
        <v/>
      </c>
      <c r="BL518">
        <f>IF($Q518="","",UPPER(TRIM(LEFT($Q518&amp;",",FIND(",",$Q518&amp;",")-1))))</f>
        <v/>
      </c>
      <c r="BM518">
        <f>IF($BL518="","",MID($BL518,4,FIND("~",SUBSTITUTE($BL518,"-","~",2))-4))</f>
        <v/>
      </c>
      <c r="BN518">
        <f>IF($BL518="","",MID($BL518,FIND("~",SUBSTITUTE($BL518,"-","~",2))+1,FIND("~",SUBSTITUTE($BL518,"-","~",3))-FIND("~",SUBSTITUTE($BL518,"-","~",2))-1))</f>
        <v/>
      </c>
      <c r="BO518">
        <f>IF($BM518="","",IFERROR(VLOOKUP($BM518,DECODE!$A$3:$C$8,3,FALSE),"?"))</f>
        <v/>
      </c>
      <c r="BP518">
        <f>IF($BN518="","",IFERROR(VLOOKUP($BM518&amp;"-"&amp;$BN518,DECODE!$E$3:$F$21,2,FALSE),"?"))</f>
        <v/>
      </c>
      <c r="BQ518">
        <f>IF($BL518="","",IFERROR(VALUE(RIGHT($BL518,3)),""))</f>
        <v/>
      </c>
      <c r="BR518">
        <f>IF($W518="","",IFERROR(IF(ISNUMBER($W518),$W518,DATEVALUE(TRIM($W518))),""))</f>
        <v/>
      </c>
      <c r="BS518">
        <f>IF($BR518="","",IF(MONTH($BR518)&gt;=12,"Cold Winter",IF(MONTH($BR518)&gt;=10,"Post-Monsoon",IF(MONTH($BR518)&gt;=6,"Hot Humid",IF(MONTH($BR518)&gt;=3,"Hot Dry","Cold Winter")))))</f>
        <v/>
      </c>
      <c r="BT518">
        <f>IF($BM518="","",IFERROR(VLOOKUP($BM518,DECODE!$A$3:$C$8,2,FALSE),"?"))</f>
        <v/>
      </c>
      <c r="BU518">
        <f>IF($R518="","",UPPER(TRIM(LEFT($R518&amp;",",FIND(",",$R518&amp;",")-1))))</f>
        <v/>
      </c>
      <c r="BV518">
        <f>IF($BU518="","",MID($BU518,4,FIND("~",SUBSTITUTE($BU518,"-","~",2))-4))</f>
        <v/>
      </c>
      <c r="BW518">
        <f>IF($BU518="","",MID($BU518,FIND("~",SUBSTITUTE($BU518,"-","~",2))+1,FIND("~",SUBSTITUTE($BU518,"-","~",3))-FIND("~",SUBSTITUTE($BU518,"-","~",2))-1))</f>
        <v/>
      </c>
      <c r="BX518">
        <f>IF($BV518="","",IFERROR(VLOOKUP($BV518,DECODE!$A$3:$C$8,3,FALSE),"?"))</f>
        <v/>
      </c>
      <c r="BY518">
        <f>IF($BW518="","",IFERROR(VLOOKUP($BV518&amp;"-"&amp;$BW518,DECODE!$E$3:$F$21,2,FALSE),"?"))</f>
        <v/>
      </c>
      <c r="BZ518">
        <f>IF($BU518="","",IFERROR(VALUE(RIGHT($BU518,3)),""))</f>
        <v/>
      </c>
      <c r="CA518">
        <f>IF($X518="","",IFERROR(IF(ISNUMBER($X518),$X518,DATEVALUE(TRIM($X518))),""))</f>
        <v/>
      </c>
      <c r="CB518">
        <f>IF($CA518="","",IF(MONTH($CA518)&gt;=12,"Cold Winter",IF(MONTH($CA518)&gt;=10,"Post-Monsoon",IF(MONTH($CA518)&gt;=6,"Hot Humid",IF(MONTH($CA518)&gt;=3,"Hot Dry","Cold Winter")))))</f>
        <v/>
      </c>
      <c r="CC518">
        <f>IF($BV518="","",IFERROR(VLOOKUP($BV518,DECODE!$A$3:$C$8,2,FALSE),"?"))</f>
        <v/>
      </c>
      <c r="CD518">
        <f>IF($S518="","",UPPER(TRIM(LEFT($S518&amp;",",FIND(",",$S518&amp;",")-1))))</f>
        <v/>
      </c>
      <c r="CE518">
        <f>IF($CD518="","",MID($CD518,4,FIND("~",SUBSTITUTE($CD518,"-","~",2))-4))</f>
        <v/>
      </c>
      <c r="CF518">
        <f>IF($CD518="","",MID($CD518,FIND("~",SUBSTITUTE($CD518,"-","~",2))+1,FIND("~",SUBSTITUTE($CD518,"-","~",3))-FIND("~",SUBSTITUTE($CD518,"-","~",2))-1))</f>
        <v/>
      </c>
      <c r="CG518">
        <f>IF($CE518="","",IFERROR(VLOOKUP($CE518,DECODE!$A$3:$C$8,3,FALSE),"?"))</f>
        <v/>
      </c>
      <c r="CH518">
        <f>IF($CF518="","",IFERROR(VLOOKUP($CE518&amp;"-"&amp;$CF518,DECODE!$E$3:$F$21,2,FALSE),"?"))</f>
        <v/>
      </c>
      <c r="CI518">
        <f>IF($CD518="","",IFERROR(VALUE(RIGHT($CD518,3)),""))</f>
        <v/>
      </c>
      <c r="CJ518">
        <f>IF($Y518="","",IFERROR(IF(ISNUMBER($Y518),$Y518,DATEVALUE(TRIM($Y518))),""))</f>
        <v/>
      </c>
      <c r="CK518">
        <f>IF($CJ518="","",IF(MONTH($CJ518)&gt;=12,"Cold Winter",IF(MONTH($CJ518)&gt;=10,"Post-Monsoon",IF(MONTH($CJ518)&gt;=6,"Hot Humid",IF(MONTH($CJ518)&gt;=3,"Hot Dry","Cold Winter")))))</f>
        <v/>
      </c>
      <c r="CL518">
        <f>IF($CE518="","",IFERROR(VLOOKUP($CE518,DECODE!$A$3:$C$8,2,FALSE),"?"))</f>
        <v/>
      </c>
      <c r="CM518">
        <f>IF($AN518="","",AN518)</f>
        <v/>
      </c>
      <c r="CN518">
        <f>IF($AO518="","",AO518)</f>
        <v/>
      </c>
      <c r="CO518">
        <f>IF($AP518="","",AP518)</f>
        <v/>
      </c>
      <c r="CP518">
        <f>IF($CM518="","",IF($CM518="Aloe Vera Gel","Aloe Vera Gel "&amp;$CO518&amp;"g",CN518&amp;" "&amp;$CO518&amp;"g"))</f>
        <v/>
      </c>
      <c r="CQ518">
        <f>IF($AT518="",0,1)</f>
        <v/>
      </c>
      <c r="CR518">
        <f>IF($CQ518=0,"",AW518)</f>
        <v/>
      </c>
      <c r="CS518">
        <f>IF($CQ518=0,"",AX518)</f>
        <v/>
      </c>
      <c r="CT518">
        <f>IF($CQ518=0,"",AY518)</f>
        <v/>
      </c>
      <c r="CU518">
        <f>IF($CR518="","",IF($CR518="Aloe Vera Gel","Aloe Vera Gel "&amp;$CT518&amp;"g",CS518&amp;" "&amp;$CT518&amp;"g"))</f>
        <v/>
      </c>
      <c r="CV518">
        <f>IF($CQ518=0,"",IF($CP518=$CU518,"Repeat Exact",IF($CT518&gt;$CO518,"Upsized",IF($CT518&lt;$CO518,"Downsized",IF($CM518&lt;&gt;$CR518,"Lateral","Same Size Diff Variant")))))</f>
        <v/>
      </c>
      <c r="CW518">
        <f>IF($CQ518=0,"",AZ518-AQ518)</f>
        <v/>
      </c>
      <c r="CX518">
        <f>IF($CQ518=0,0,IF(CS518=CN518,1,0))</f>
        <v/>
      </c>
      <c r="CY518">
        <f>IF($CQ518=0,0,IF(CR518=CM518,1,0))</f>
        <v/>
      </c>
      <c r="CZ518">
        <f>IF($A518="","",IF(AND(IF(DASHBOARD!$C$4="All",TRUE,$CM518=DASHBOARD!$C$4),IF(DASHBOARD!$C$6="All",TRUE,$CP518=DASHBOARD!$C$6),IF(DASHBOARD!$C$8="All",TRUE,$AF518&gt;=DASHBOARD!$C$8),IF(DASHBOARD!$C$10="All",TRUE,$AF518&lt;=DASHBOARD!$C$10),IF(DASHBOARD!$C$12="All",TRUE,$AH518=VALUE(DASHBOARD!$C$12)),IF(DASHBOARD!$C$14="All",TRUE,$AJ518=DASHBOARD!$C$14)),1,0))</f>
        <v/>
      </c>
    </row>
    <row r="519">
      <c r="A519" t="n">
        <v>234655</v>
      </c>
      <c r="B519" t="inlineStr">
        <is>
          <t>Face Malai</t>
        </is>
      </c>
      <c r="H519" t="inlineStr">
        <is>
          <t>Flax Carrot (Hot Humid) 35+ Face Malai - 30g</t>
        </is>
      </c>
      <c r="N519" t="inlineStr">
        <is>
          <t>FC-HHDM-FC-030</t>
        </is>
      </c>
      <c r="T519" t="inlineStr">
        <is>
          <t>Feb 9, 2025</t>
        </is>
      </c>
      <c r="AE519" t="inlineStr">
        <is>
          <t>Thane</t>
        </is>
      </c>
      <c r="AF519" t="inlineStr">
        <is>
          <t>2025-02</t>
        </is>
      </c>
      <c r="AG519" t="n">
        <v>2</v>
      </c>
      <c r="AH519" t="n">
        <v>1</v>
      </c>
      <c r="AI519" t="n">
        <v>0</v>
      </c>
      <c r="AJ519">
        <f>IF($AE519="","",IFERROR(VLOOKUP(TRIM($AE519),DECODE!$H$3:$I$60,2,FALSE),"Rest of India"))</f>
        <v/>
      </c>
      <c r="AK519">
        <f>IF($N519="","",UPPER(TRIM(LEFT($N519&amp;",",FIND(",",$N519&amp;",")-1))))</f>
        <v/>
      </c>
      <c r="AL519">
        <f>IF($AK519="","",MID($AK519,4,FIND("~",SUBSTITUTE($AK519,"-","~",2))-4))</f>
        <v/>
      </c>
      <c r="AM519">
        <f>IF($AK519="","",MID($AK519,FIND("~",SUBSTITUTE($AK519,"-","~",2))+1,FIND("~",SUBSTITUTE($AK519,"-","~",3))-FIND("~",SUBSTITUTE($AK519,"-","~",2))-1))</f>
        <v/>
      </c>
      <c r="AN519">
        <f>IF($AL519="","",IFERROR(VLOOKUP($AL519,DECODE!$A$3:$C$8,3,FALSE),"?"))</f>
        <v/>
      </c>
      <c r="AO519">
        <f>IF($AM519="","",IFERROR(VLOOKUP($AL519&amp;"-"&amp;$AM519,DECODE!$E$3:$F$21,2,FALSE),"?"))</f>
        <v/>
      </c>
      <c r="AP519">
        <f>IF($AK519="","",IFERROR(VALUE(RIGHT($AK519,3)),""))</f>
        <v/>
      </c>
      <c r="AQ519">
        <f>IF($T519="","",IFERROR(IF(ISNUMBER($T519),$T519,DATEVALUE(TRIM($T519))),""))</f>
        <v/>
      </c>
      <c r="AR519">
        <f>IF($AQ519="","",IF(MONTH($AQ519)&gt;=12,"Cold Winter",IF(MONTH($AQ519)&gt;=10,"Post-Monsoon",IF(MONTH($AQ519)&gt;=6,"Hot Humid",IF(MONTH($AQ519)&gt;=3,"Hot Dry","Cold Winter")))))</f>
        <v/>
      </c>
      <c r="AS519">
        <f>IF($AL519="","",IFERROR(VLOOKUP($AL519,DECODE!$A$3:$C$8,2,FALSE),"?"))</f>
        <v/>
      </c>
      <c r="AT519">
        <f>IF($O519="","",UPPER(TRIM(LEFT($O519&amp;",",FIND(",",$O519&amp;",")-1))))</f>
        <v/>
      </c>
      <c r="AU519">
        <f>IF($AT519="","",MID($AT519,4,FIND("~",SUBSTITUTE($AT519,"-","~",2))-4))</f>
        <v/>
      </c>
      <c r="AV519">
        <f>IF($AT519="","",MID($AT519,FIND("~",SUBSTITUTE($AT519,"-","~",2))+1,FIND("~",SUBSTITUTE($AT519,"-","~",3))-FIND("~",SUBSTITUTE($AT519,"-","~",2))-1))</f>
        <v/>
      </c>
      <c r="AW519">
        <f>IF($AU519="","",IFERROR(VLOOKUP($AU519,DECODE!$A$3:$C$8,3,FALSE),"?"))</f>
        <v/>
      </c>
      <c r="AX519">
        <f>IF($AV519="","",IFERROR(VLOOKUP($AU519&amp;"-"&amp;$AV519,DECODE!$E$3:$F$21,2,FALSE),"?"))</f>
        <v/>
      </c>
      <c r="AY519">
        <f>IF($AT519="","",IFERROR(VALUE(RIGHT($AT519,3)),""))</f>
        <v/>
      </c>
      <c r="AZ519">
        <f>IF($U519="","",IFERROR(IF(ISNUMBER($U519),$U519,DATEVALUE(TRIM($U519))),""))</f>
        <v/>
      </c>
      <c r="BA519">
        <f>IF($AZ519="","",IF(MONTH($AZ519)&gt;=12,"Cold Winter",IF(MONTH($AZ519)&gt;=10,"Post-Monsoon",IF(MONTH($AZ519)&gt;=6,"Hot Humid",IF(MONTH($AZ519)&gt;=3,"Hot Dry","Cold Winter")))))</f>
        <v/>
      </c>
      <c r="BB519">
        <f>IF($AU519="","",IFERROR(VLOOKUP($AU519,DECODE!$A$3:$C$8,2,FALSE),"?"))</f>
        <v/>
      </c>
      <c r="BC519">
        <f>IF($P519="","",UPPER(TRIM(LEFT($P519&amp;",",FIND(",",$P519&amp;",")-1))))</f>
        <v/>
      </c>
      <c r="BD519">
        <f>IF($BC519="","",MID($BC519,4,FIND("~",SUBSTITUTE($BC519,"-","~",2))-4))</f>
        <v/>
      </c>
      <c r="BE519">
        <f>IF($BC519="","",MID($BC519,FIND("~",SUBSTITUTE($BC519,"-","~",2))+1,FIND("~",SUBSTITUTE($BC519,"-","~",3))-FIND("~",SUBSTITUTE($BC519,"-","~",2))-1))</f>
        <v/>
      </c>
      <c r="BF519">
        <f>IF($BD519="","",IFERROR(VLOOKUP($BD519,DECODE!$A$3:$C$8,3,FALSE),"?"))</f>
        <v/>
      </c>
      <c r="BG519">
        <f>IF($BE519="","",IFERROR(VLOOKUP($BD519&amp;"-"&amp;$BE519,DECODE!$E$3:$F$21,2,FALSE),"?"))</f>
        <v/>
      </c>
      <c r="BH519">
        <f>IF($BC519="","",IFERROR(VALUE(RIGHT($BC519,3)),""))</f>
        <v/>
      </c>
      <c r="BI519">
        <f>IF($V519="","",IFERROR(IF(ISNUMBER($V519),$V519,DATEVALUE(TRIM($V519))),""))</f>
        <v/>
      </c>
      <c r="BJ519">
        <f>IF($BI519="","",IF(MONTH($BI519)&gt;=12,"Cold Winter",IF(MONTH($BI519)&gt;=10,"Post-Monsoon",IF(MONTH($BI519)&gt;=6,"Hot Humid",IF(MONTH($BI519)&gt;=3,"Hot Dry","Cold Winter")))))</f>
        <v/>
      </c>
      <c r="BK519">
        <f>IF($BD519="","",IFERROR(VLOOKUP($BD519,DECODE!$A$3:$C$8,2,FALSE),"?"))</f>
        <v/>
      </c>
      <c r="BL519">
        <f>IF($Q519="","",UPPER(TRIM(LEFT($Q519&amp;",",FIND(",",$Q519&amp;",")-1))))</f>
        <v/>
      </c>
      <c r="BM519">
        <f>IF($BL519="","",MID($BL519,4,FIND("~",SUBSTITUTE($BL519,"-","~",2))-4))</f>
        <v/>
      </c>
      <c r="BN519">
        <f>IF($BL519="","",MID($BL519,FIND("~",SUBSTITUTE($BL519,"-","~",2))+1,FIND("~",SUBSTITUTE($BL519,"-","~",3))-FIND("~",SUBSTITUTE($BL519,"-","~",2))-1))</f>
        <v/>
      </c>
      <c r="BO519">
        <f>IF($BM519="","",IFERROR(VLOOKUP($BM519,DECODE!$A$3:$C$8,3,FALSE),"?"))</f>
        <v/>
      </c>
      <c r="BP519">
        <f>IF($BN519="","",IFERROR(VLOOKUP($BM519&amp;"-"&amp;$BN519,DECODE!$E$3:$F$21,2,FALSE),"?"))</f>
        <v/>
      </c>
      <c r="BQ519">
        <f>IF($BL519="","",IFERROR(VALUE(RIGHT($BL519,3)),""))</f>
        <v/>
      </c>
      <c r="BR519">
        <f>IF($W519="","",IFERROR(IF(ISNUMBER($W519),$W519,DATEVALUE(TRIM($W519))),""))</f>
        <v/>
      </c>
      <c r="BS519">
        <f>IF($BR519="","",IF(MONTH($BR519)&gt;=12,"Cold Winter",IF(MONTH($BR519)&gt;=10,"Post-Monsoon",IF(MONTH($BR519)&gt;=6,"Hot Humid",IF(MONTH($BR519)&gt;=3,"Hot Dry","Cold Winter")))))</f>
        <v/>
      </c>
      <c r="BT519">
        <f>IF($BM519="","",IFERROR(VLOOKUP($BM519,DECODE!$A$3:$C$8,2,FALSE),"?"))</f>
        <v/>
      </c>
      <c r="BU519">
        <f>IF($R519="","",UPPER(TRIM(LEFT($R519&amp;",",FIND(",",$R519&amp;",")-1))))</f>
        <v/>
      </c>
      <c r="BV519">
        <f>IF($BU519="","",MID($BU519,4,FIND("~",SUBSTITUTE($BU519,"-","~",2))-4))</f>
        <v/>
      </c>
      <c r="BW519">
        <f>IF($BU519="","",MID($BU519,FIND("~",SUBSTITUTE($BU519,"-","~",2))+1,FIND("~",SUBSTITUTE($BU519,"-","~",3))-FIND("~",SUBSTITUTE($BU519,"-","~",2))-1))</f>
        <v/>
      </c>
      <c r="BX519">
        <f>IF($BV519="","",IFERROR(VLOOKUP($BV519,DECODE!$A$3:$C$8,3,FALSE),"?"))</f>
        <v/>
      </c>
      <c r="BY519">
        <f>IF($BW519="","",IFERROR(VLOOKUP($BV519&amp;"-"&amp;$BW519,DECODE!$E$3:$F$21,2,FALSE),"?"))</f>
        <v/>
      </c>
      <c r="BZ519">
        <f>IF($BU519="","",IFERROR(VALUE(RIGHT($BU519,3)),""))</f>
        <v/>
      </c>
      <c r="CA519">
        <f>IF($X519="","",IFERROR(IF(ISNUMBER($X519),$X519,DATEVALUE(TRIM($X519))),""))</f>
        <v/>
      </c>
      <c r="CB519">
        <f>IF($CA519="","",IF(MONTH($CA519)&gt;=12,"Cold Winter",IF(MONTH($CA519)&gt;=10,"Post-Monsoon",IF(MONTH($CA519)&gt;=6,"Hot Humid",IF(MONTH($CA519)&gt;=3,"Hot Dry","Cold Winter")))))</f>
        <v/>
      </c>
      <c r="CC519">
        <f>IF($BV519="","",IFERROR(VLOOKUP($BV519,DECODE!$A$3:$C$8,2,FALSE),"?"))</f>
        <v/>
      </c>
      <c r="CD519">
        <f>IF($S519="","",UPPER(TRIM(LEFT($S519&amp;",",FIND(",",$S519&amp;",")-1))))</f>
        <v/>
      </c>
      <c r="CE519">
        <f>IF($CD519="","",MID($CD519,4,FIND("~",SUBSTITUTE($CD519,"-","~",2))-4))</f>
        <v/>
      </c>
      <c r="CF519">
        <f>IF($CD519="","",MID($CD519,FIND("~",SUBSTITUTE($CD519,"-","~",2))+1,FIND("~",SUBSTITUTE($CD519,"-","~",3))-FIND("~",SUBSTITUTE($CD519,"-","~",2))-1))</f>
        <v/>
      </c>
      <c r="CG519">
        <f>IF($CE519="","",IFERROR(VLOOKUP($CE519,DECODE!$A$3:$C$8,3,FALSE),"?"))</f>
        <v/>
      </c>
      <c r="CH519">
        <f>IF($CF519="","",IFERROR(VLOOKUP($CE519&amp;"-"&amp;$CF519,DECODE!$E$3:$F$21,2,FALSE),"?"))</f>
        <v/>
      </c>
      <c r="CI519">
        <f>IF($CD519="","",IFERROR(VALUE(RIGHT($CD519,3)),""))</f>
        <v/>
      </c>
      <c r="CJ519">
        <f>IF($Y519="","",IFERROR(IF(ISNUMBER($Y519),$Y519,DATEVALUE(TRIM($Y519))),""))</f>
        <v/>
      </c>
      <c r="CK519">
        <f>IF($CJ519="","",IF(MONTH($CJ519)&gt;=12,"Cold Winter",IF(MONTH($CJ519)&gt;=10,"Post-Monsoon",IF(MONTH($CJ519)&gt;=6,"Hot Humid",IF(MONTH($CJ519)&gt;=3,"Hot Dry","Cold Winter")))))</f>
        <v/>
      </c>
      <c r="CL519">
        <f>IF($CE519="","",IFERROR(VLOOKUP($CE519,DECODE!$A$3:$C$8,2,FALSE),"?"))</f>
        <v/>
      </c>
      <c r="CM519">
        <f>IF($AN519="","",AN519)</f>
        <v/>
      </c>
      <c r="CN519">
        <f>IF($AO519="","",AO519)</f>
        <v/>
      </c>
      <c r="CO519">
        <f>IF($AP519="","",AP519)</f>
        <v/>
      </c>
      <c r="CP519">
        <f>IF($CM519="","",IF($CM519="Aloe Vera Gel","Aloe Vera Gel "&amp;$CO519&amp;"g",CN519&amp;" "&amp;$CO519&amp;"g"))</f>
        <v/>
      </c>
      <c r="CQ519">
        <f>IF($AT519="",0,1)</f>
        <v/>
      </c>
      <c r="CR519">
        <f>IF($CQ519=0,"",AW519)</f>
        <v/>
      </c>
      <c r="CS519">
        <f>IF($CQ519=0,"",AX519)</f>
        <v/>
      </c>
      <c r="CT519">
        <f>IF($CQ519=0,"",AY519)</f>
        <v/>
      </c>
      <c r="CU519">
        <f>IF($CR519="","",IF($CR519="Aloe Vera Gel","Aloe Vera Gel "&amp;$CT519&amp;"g",CS519&amp;" "&amp;$CT519&amp;"g"))</f>
        <v/>
      </c>
      <c r="CV519">
        <f>IF($CQ519=0,"",IF($CP519=$CU519,"Repeat Exact",IF($CT519&gt;$CO519,"Upsized",IF($CT519&lt;$CO519,"Downsized",IF($CM519&lt;&gt;$CR519,"Lateral","Same Size Diff Variant")))))</f>
        <v/>
      </c>
      <c r="CW519">
        <f>IF($CQ519=0,"",AZ519-AQ519)</f>
        <v/>
      </c>
      <c r="CX519">
        <f>IF($CQ519=0,0,IF(CS519=CN519,1,0))</f>
        <v/>
      </c>
      <c r="CY519">
        <f>IF($CQ519=0,0,IF(CR519=CM519,1,0))</f>
        <v/>
      </c>
      <c r="CZ519">
        <f>IF($A519="","",IF(AND(IF(DASHBOARD!$C$4="All",TRUE,$CM519=DASHBOARD!$C$4),IF(DASHBOARD!$C$6="All",TRUE,$CP519=DASHBOARD!$C$6),IF(DASHBOARD!$C$8="All",TRUE,$AF519&gt;=DASHBOARD!$C$8),IF(DASHBOARD!$C$10="All",TRUE,$AF519&lt;=DASHBOARD!$C$10),IF(DASHBOARD!$C$12="All",TRUE,$AH519=VALUE(DASHBOARD!$C$12)),IF(DASHBOARD!$C$14="All",TRUE,$AJ519=DASHBOARD!$C$14)),1,0))</f>
        <v/>
      </c>
    </row>
    <row r="520">
      <c r="A520" t="n">
        <v>234675</v>
      </c>
      <c r="B520" t="inlineStr">
        <is>
          <t>Aloe Vera Gel</t>
        </is>
      </c>
      <c r="H520" t="inlineStr">
        <is>
          <t>Aloe Vera Gel - 40 gms</t>
        </is>
      </c>
      <c r="N520" t="inlineStr">
        <is>
          <t>FC-HG-PA-040</t>
        </is>
      </c>
      <c r="T520" t="inlineStr">
        <is>
          <t>Dec 28, 2024</t>
        </is>
      </c>
      <c r="AE520" t="inlineStr">
        <is>
          <t>Surat</t>
        </is>
      </c>
      <c r="AF520" t="inlineStr">
        <is>
          <t>2024-12</t>
        </is>
      </c>
      <c r="AG520" t="n">
        <v>12</v>
      </c>
      <c r="AH520" t="n">
        <v>1</v>
      </c>
      <c r="AI520" t="n">
        <v>0</v>
      </c>
      <c r="AJ520">
        <f>IF($AE520="","",IFERROR(VLOOKUP(TRIM($AE520),DECODE!$H$3:$I$60,2,FALSE),"Rest of India"))</f>
        <v/>
      </c>
      <c r="AK520">
        <f>IF($N520="","",UPPER(TRIM(LEFT($N520&amp;",",FIND(",",$N520&amp;",")-1))))</f>
        <v/>
      </c>
      <c r="AL520">
        <f>IF($AK520="","",MID($AK520,4,FIND("~",SUBSTITUTE($AK520,"-","~",2))-4))</f>
        <v/>
      </c>
      <c r="AM520">
        <f>IF($AK520="","",MID($AK520,FIND("~",SUBSTITUTE($AK520,"-","~",2))+1,FIND("~",SUBSTITUTE($AK520,"-","~",3))-FIND("~",SUBSTITUTE($AK520,"-","~",2))-1))</f>
        <v/>
      </c>
      <c r="AN520">
        <f>IF($AL520="","",IFERROR(VLOOKUP($AL520,DECODE!$A$3:$C$8,3,FALSE),"?"))</f>
        <v/>
      </c>
      <c r="AO520">
        <f>IF($AM520="","",IFERROR(VLOOKUP($AL520&amp;"-"&amp;$AM520,DECODE!$E$3:$F$21,2,FALSE),"?"))</f>
        <v/>
      </c>
      <c r="AP520">
        <f>IF($AK520="","",IFERROR(VALUE(RIGHT($AK520,3)),""))</f>
        <v/>
      </c>
      <c r="AQ520">
        <f>IF($T520="","",IFERROR(IF(ISNUMBER($T520),$T520,DATEVALUE(TRIM($T520))),""))</f>
        <v/>
      </c>
      <c r="AR520">
        <f>IF($AQ520="","",IF(MONTH($AQ520)&gt;=12,"Cold Winter",IF(MONTH($AQ520)&gt;=10,"Post-Monsoon",IF(MONTH($AQ520)&gt;=6,"Hot Humid",IF(MONTH($AQ520)&gt;=3,"Hot Dry","Cold Winter")))))</f>
        <v/>
      </c>
      <c r="AS520">
        <f>IF($AL520="","",IFERROR(VLOOKUP($AL520,DECODE!$A$3:$C$8,2,FALSE),"?"))</f>
        <v/>
      </c>
      <c r="AT520">
        <f>IF($O520="","",UPPER(TRIM(LEFT($O520&amp;",",FIND(",",$O520&amp;",")-1))))</f>
        <v/>
      </c>
      <c r="AU520">
        <f>IF($AT520="","",MID($AT520,4,FIND("~",SUBSTITUTE($AT520,"-","~",2))-4))</f>
        <v/>
      </c>
      <c r="AV520">
        <f>IF($AT520="","",MID($AT520,FIND("~",SUBSTITUTE($AT520,"-","~",2))+1,FIND("~",SUBSTITUTE($AT520,"-","~",3))-FIND("~",SUBSTITUTE($AT520,"-","~",2))-1))</f>
        <v/>
      </c>
      <c r="AW520">
        <f>IF($AU520="","",IFERROR(VLOOKUP($AU520,DECODE!$A$3:$C$8,3,FALSE),"?"))</f>
        <v/>
      </c>
      <c r="AX520">
        <f>IF($AV520="","",IFERROR(VLOOKUP($AU520&amp;"-"&amp;$AV520,DECODE!$E$3:$F$21,2,FALSE),"?"))</f>
        <v/>
      </c>
      <c r="AY520">
        <f>IF($AT520="","",IFERROR(VALUE(RIGHT($AT520,3)),""))</f>
        <v/>
      </c>
      <c r="AZ520">
        <f>IF($U520="","",IFERROR(IF(ISNUMBER($U520),$U520,DATEVALUE(TRIM($U520))),""))</f>
        <v/>
      </c>
      <c r="BA520">
        <f>IF($AZ520="","",IF(MONTH($AZ520)&gt;=12,"Cold Winter",IF(MONTH($AZ520)&gt;=10,"Post-Monsoon",IF(MONTH($AZ520)&gt;=6,"Hot Humid",IF(MONTH($AZ520)&gt;=3,"Hot Dry","Cold Winter")))))</f>
        <v/>
      </c>
      <c r="BB520">
        <f>IF($AU520="","",IFERROR(VLOOKUP($AU520,DECODE!$A$3:$C$8,2,FALSE),"?"))</f>
        <v/>
      </c>
      <c r="BC520">
        <f>IF($P520="","",UPPER(TRIM(LEFT($P520&amp;",",FIND(",",$P520&amp;",")-1))))</f>
        <v/>
      </c>
      <c r="BD520">
        <f>IF($BC520="","",MID($BC520,4,FIND("~",SUBSTITUTE($BC520,"-","~",2))-4))</f>
        <v/>
      </c>
      <c r="BE520">
        <f>IF($BC520="","",MID($BC520,FIND("~",SUBSTITUTE($BC520,"-","~",2))+1,FIND("~",SUBSTITUTE($BC520,"-","~",3))-FIND("~",SUBSTITUTE($BC520,"-","~",2))-1))</f>
        <v/>
      </c>
      <c r="BF520">
        <f>IF($BD520="","",IFERROR(VLOOKUP($BD520,DECODE!$A$3:$C$8,3,FALSE),"?"))</f>
        <v/>
      </c>
      <c r="BG520">
        <f>IF($BE520="","",IFERROR(VLOOKUP($BD520&amp;"-"&amp;$BE520,DECODE!$E$3:$F$21,2,FALSE),"?"))</f>
        <v/>
      </c>
      <c r="BH520">
        <f>IF($BC520="","",IFERROR(VALUE(RIGHT($BC520,3)),""))</f>
        <v/>
      </c>
      <c r="BI520">
        <f>IF($V520="","",IFERROR(IF(ISNUMBER($V520),$V520,DATEVALUE(TRIM($V520))),""))</f>
        <v/>
      </c>
      <c r="BJ520">
        <f>IF($BI520="","",IF(MONTH($BI520)&gt;=12,"Cold Winter",IF(MONTH($BI520)&gt;=10,"Post-Monsoon",IF(MONTH($BI520)&gt;=6,"Hot Humid",IF(MONTH($BI520)&gt;=3,"Hot Dry","Cold Winter")))))</f>
        <v/>
      </c>
      <c r="BK520">
        <f>IF($BD520="","",IFERROR(VLOOKUP($BD520,DECODE!$A$3:$C$8,2,FALSE),"?"))</f>
        <v/>
      </c>
      <c r="BL520">
        <f>IF($Q520="","",UPPER(TRIM(LEFT($Q520&amp;",",FIND(",",$Q520&amp;",")-1))))</f>
        <v/>
      </c>
      <c r="BM520">
        <f>IF($BL520="","",MID($BL520,4,FIND("~",SUBSTITUTE($BL520,"-","~",2))-4))</f>
        <v/>
      </c>
      <c r="BN520">
        <f>IF($BL520="","",MID($BL520,FIND("~",SUBSTITUTE($BL520,"-","~",2))+1,FIND("~",SUBSTITUTE($BL520,"-","~",3))-FIND("~",SUBSTITUTE($BL520,"-","~",2))-1))</f>
        <v/>
      </c>
      <c r="BO520">
        <f>IF($BM520="","",IFERROR(VLOOKUP($BM520,DECODE!$A$3:$C$8,3,FALSE),"?"))</f>
        <v/>
      </c>
      <c r="BP520">
        <f>IF($BN520="","",IFERROR(VLOOKUP($BM520&amp;"-"&amp;$BN520,DECODE!$E$3:$F$21,2,FALSE),"?"))</f>
        <v/>
      </c>
      <c r="BQ520">
        <f>IF($BL520="","",IFERROR(VALUE(RIGHT($BL520,3)),""))</f>
        <v/>
      </c>
      <c r="BR520">
        <f>IF($W520="","",IFERROR(IF(ISNUMBER($W520),$W520,DATEVALUE(TRIM($W520))),""))</f>
        <v/>
      </c>
      <c r="BS520">
        <f>IF($BR520="","",IF(MONTH($BR520)&gt;=12,"Cold Winter",IF(MONTH($BR520)&gt;=10,"Post-Monsoon",IF(MONTH($BR520)&gt;=6,"Hot Humid",IF(MONTH($BR520)&gt;=3,"Hot Dry","Cold Winter")))))</f>
        <v/>
      </c>
      <c r="BT520">
        <f>IF($BM520="","",IFERROR(VLOOKUP($BM520,DECODE!$A$3:$C$8,2,FALSE),"?"))</f>
        <v/>
      </c>
      <c r="BU520">
        <f>IF($R520="","",UPPER(TRIM(LEFT($R520&amp;",",FIND(",",$R520&amp;",")-1))))</f>
        <v/>
      </c>
      <c r="BV520">
        <f>IF($BU520="","",MID($BU520,4,FIND("~",SUBSTITUTE($BU520,"-","~",2))-4))</f>
        <v/>
      </c>
      <c r="BW520">
        <f>IF($BU520="","",MID($BU520,FIND("~",SUBSTITUTE($BU520,"-","~",2))+1,FIND("~",SUBSTITUTE($BU520,"-","~",3))-FIND("~",SUBSTITUTE($BU520,"-","~",2))-1))</f>
        <v/>
      </c>
      <c r="BX520">
        <f>IF($BV520="","",IFERROR(VLOOKUP($BV520,DECODE!$A$3:$C$8,3,FALSE),"?"))</f>
        <v/>
      </c>
      <c r="BY520">
        <f>IF($BW520="","",IFERROR(VLOOKUP($BV520&amp;"-"&amp;$BW520,DECODE!$E$3:$F$21,2,FALSE),"?"))</f>
        <v/>
      </c>
      <c r="BZ520">
        <f>IF($BU520="","",IFERROR(VALUE(RIGHT($BU520,3)),""))</f>
        <v/>
      </c>
      <c r="CA520">
        <f>IF($X520="","",IFERROR(IF(ISNUMBER($X520),$X520,DATEVALUE(TRIM($X520))),""))</f>
        <v/>
      </c>
      <c r="CB520">
        <f>IF($CA520="","",IF(MONTH($CA520)&gt;=12,"Cold Winter",IF(MONTH($CA520)&gt;=10,"Post-Monsoon",IF(MONTH($CA520)&gt;=6,"Hot Humid",IF(MONTH($CA520)&gt;=3,"Hot Dry","Cold Winter")))))</f>
        <v/>
      </c>
      <c r="CC520">
        <f>IF($BV520="","",IFERROR(VLOOKUP($BV520,DECODE!$A$3:$C$8,2,FALSE),"?"))</f>
        <v/>
      </c>
      <c r="CD520">
        <f>IF($S520="","",UPPER(TRIM(LEFT($S520&amp;",",FIND(",",$S520&amp;",")-1))))</f>
        <v/>
      </c>
      <c r="CE520">
        <f>IF($CD520="","",MID($CD520,4,FIND("~",SUBSTITUTE($CD520,"-","~",2))-4))</f>
        <v/>
      </c>
      <c r="CF520">
        <f>IF($CD520="","",MID($CD520,FIND("~",SUBSTITUTE($CD520,"-","~",2))+1,FIND("~",SUBSTITUTE($CD520,"-","~",3))-FIND("~",SUBSTITUTE($CD520,"-","~",2))-1))</f>
        <v/>
      </c>
      <c r="CG520">
        <f>IF($CE520="","",IFERROR(VLOOKUP($CE520,DECODE!$A$3:$C$8,3,FALSE),"?"))</f>
        <v/>
      </c>
      <c r="CH520">
        <f>IF($CF520="","",IFERROR(VLOOKUP($CE520&amp;"-"&amp;$CF520,DECODE!$E$3:$F$21,2,FALSE),"?"))</f>
        <v/>
      </c>
      <c r="CI520">
        <f>IF($CD520="","",IFERROR(VALUE(RIGHT($CD520,3)),""))</f>
        <v/>
      </c>
      <c r="CJ520">
        <f>IF($Y520="","",IFERROR(IF(ISNUMBER($Y520),$Y520,DATEVALUE(TRIM($Y520))),""))</f>
        <v/>
      </c>
      <c r="CK520">
        <f>IF($CJ520="","",IF(MONTH($CJ520)&gt;=12,"Cold Winter",IF(MONTH($CJ520)&gt;=10,"Post-Monsoon",IF(MONTH($CJ520)&gt;=6,"Hot Humid",IF(MONTH($CJ520)&gt;=3,"Hot Dry","Cold Winter")))))</f>
        <v/>
      </c>
      <c r="CL520">
        <f>IF($CE520="","",IFERROR(VLOOKUP($CE520,DECODE!$A$3:$C$8,2,FALSE),"?"))</f>
        <v/>
      </c>
      <c r="CM520">
        <f>IF($AN520="","",AN520)</f>
        <v/>
      </c>
      <c r="CN520">
        <f>IF($AO520="","",AO520)</f>
        <v/>
      </c>
      <c r="CO520">
        <f>IF($AP520="","",AP520)</f>
        <v/>
      </c>
      <c r="CP520">
        <f>IF($CM520="","",IF($CM520="Aloe Vera Gel","Aloe Vera Gel "&amp;$CO520&amp;"g",CN520&amp;" "&amp;$CO520&amp;"g"))</f>
        <v/>
      </c>
      <c r="CQ520">
        <f>IF($AT520="",0,1)</f>
        <v/>
      </c>
      <c r="CR520">
        <f>IF($CQ520=0,"",AW520)</f>
        <v/>
      </c>
      <c r="CS520">
        <f>IF($CQ520=0,"",AX520)</f>
        <v/>
      </c>
      <c r="CT520">
        <f>IF($CQ520=0,"",AY520)</f>
        <v/>
      </c>
      <c r="CU520">
        <f>IF($CR520="","",IF($CR520="Aloe Vera Gel","Aloe Vera Gel "&amp;$CT520&amp;"g",CS520&amp;" "&amp;$CT520&amp;"g"))</f>
        <v/>
      </c>
      <c r="CV520">
        <f>IF($CQ520=0,"",IF($CP520=$CU520,"Repeat Exact",IF($CT520&gt;$CO520,"Upsized",IF($CT520&lt;$CO520,"Downsized",IF($CM520&lt;&gt;$CR520,"Lateral","Same Size Diff Variant")))))</f>
        <v/>
      </c>
      <c r="CW520">
        <f>IF($CQ520=0,"",AZ520-AQ520)</f>
        <v/>
      </c>
      <c r="CX520">
        <f>IF($CQ520=0,0,IF(CS520=CN520,1,0))</f>
        <v/>
      </c>
      <c r="CY520">
        <f>IF($CQ520=0,0,IF(CR520=CM520,1,0))</f>
        <v/>
      </c>
      <c r="CZ520">
        <f>IF($A520="","",IF(AND(IF(DASHBOARD!$C$4="All",TRUE,$CM520=DASHBOARD!$C$4),IF(DASHBOARD!$C$6="All",TRUE,$CP520=DASHBOARD!$C$6),IF(DASHBOARD!$C$8="All",TRUE,$AF520&gt;=DASHBOARD!$C$8),IF(DASHBOARD!$C$10="All",TRUE,$AF520&lt;=DASHBOARD!$C$10),IF(DASHBOARD!$C$12="All",TRUE,$AH520=VALUE(DASHBOARD!$C$12)),IF(DASHBOARD!$C$14="All",TRUE,$AJ520=DASHBOARD!$C$14)),1,0))</f>
        <v/>
      </c>
    </row>
    <row r="521">
      <c r="A521" t="n">
        <v>234740</v>
      </c>
      <c r="B521" t="inlineStr">
        <is>
          <t>Active Gel</t>
        </is>
      </c>
      <c r="C521" t="inlineStr">
        <is>
          <t>Face Malai</t>
        </is>
      </c>
      <c r="H521" t="inlineStr">
        <is>
          <t>Active Aloe Cactus Hydra Lift Gel</t>
        </is>
      </c>
      <c r="I521" t="inlineStr">
        <is>
          <t>Flax Carrot (Hot Humid) 35+ Face Malai - 30g</t>
        </is>
      </c>
      <c r="N521" t="inlineStr">
        <is>
          <t>FC-AC-AC-050</t>
        </is>
      </c>
      <c r="O521" t="inlineStr">
        <is>
          <t>FC-HHDM-FC-030</t>
        </is>
      </c>
      <c r="T521" t="inlineStr">
        <is>
          <t>Jan 2, 2024</t>
        </is>
      </c>
      <c r="U521" t="inlineStr">
        <is>
          <t>Feb 2, 2024</t>
        </is>
      </c>
      <c r="Z521" t="n">
        <v>31</v>
      </c>
      <c r="AE521" t="inlineStr">
        <is>
          <t>Thane</t>
        </is>
      </c>
      <c r="AF521" t="inlineStr">
        <is>
          <t>2024-01</t>
        </is>
      </c>
      <c r="AG521" t="n">
        <v>1</v>
      </c>
      <c r="AH521" t="n">
        <v>2</v>
      </c>
      <c r="AI521" t="n">
        <v>1</v>
      </c>
      <c r="AJ521">
        <f>IF($AE521="","",IFERROR(VLOOKUP(TRIM($AE521),DECODE!$H$3:$I$60,2,FALSE),"Rest of India"))</f>
        <v/>
      </c>
      <c r="AK521">
        <f>IF($N521="","",UPPER(TRIM(LEFT($N521&amp;",",FIND(",",$N521&amp;",")-1))))</f>
        <v/>
      </c>
      <c r="AL521">
        <f>IF($AK521="","",MID($AK521,4,FIND("~",SUBSTITUTE($AK521,"-","~",2))-4))</f>
        <v/>
      </c>
      <c r="AM521">
        <f>IF($AK521="","",MID($AK521,FIND("~",SUBSTITUTE($AK521,"-","~",2))+1,FIND("~",SUBSTITUTE($AK521,"-","~",3))-FIND("~",SUBSTITUTE($AK521,"-","~",2))-1))</f>
        <v/>
      </c>
      <c r="AN521">
        <f>IF($AL521="","",IFERROR(VLOOKUP($AL521,DECODE!$A$3:$C$8,3,FALSE),"?"))</f>
        <v/>
      </c>
      <c r="AO521">
        <f>IF($AM521="","",IFERROR(VLOOKUP($AL521&amp;"-"&amp;$AM521,DECODE!$E$3:$F$21,2,FALSE),"?"))</f>
        <v/>
      </c>
      <c r="AP521">
        <f>IF($AK521="","",IFERROR(VALUE(RIGHT($AK521,3)),""))</f>
        <v/>
      </c>
      <c r="AQ521">
        <f>IF($T521="","",IFERROR(IF(ISNUMBER($T521),$T521,DATEVALUE(TRIM($T521))),""))</f>
        <v/>
      </c>
      <c r="AR521">
        <f>IF($AQ521="","",IF(MONTH($AQ521)&gt;=12,"Cold Winter",IF(MONTH($AQ521)&gt;=10,"Post-Monsoon",IF(MONTH($AQ521)&gt;=6,"Hot Humid",IF(MONTH($AQ521)&gt;=3,"Hot Dry","Cold Winter")))))</f>
        <v/>
      </c>
      <c r="AS521">
        <f>IF($AL521="","",IFERROR(VLOOKUP($AL521,DECODE!$A$3:$C$8,2,FALSE),"?"))</f>
        <v/>
      </c>
      <c r="AT521">
        <f>IF($O521="","",UPPER(TRIM(LEFT($O521&amp;",",FIND(",",$O521&amp;",")-1))))</f>
        <v/>
      </c>
      <c r="AU521">
        <f>IF($AT521="","",MID($AT521,4,FIND("~",SUBSTITUTE($AT521,"-","~",2))-4))</f>
        <v/>
      </c>
      <c r="AV521">
        <f>IF($AT521="","",MID($AT521,FIND("~",SUBSTITUTE($AT521,"-","~",2))+1,FIND("~",SUBSTITUTE($AT521,"-","~",3))-FIND("~",SUBSTITUTE($AT521,"-","~",2))-1))</f>
        <v/>
      </c>
      <c r="AW521">
        <f>IF($AU521="","",IFERROR(VLOOKUP($AU521,DECODE!$A$3:$C$8,3,FALSE),"?"))</f>
        <v/>
      </c>
      <c r="AX521">
        <f>IF($AV521="","",IFERROR(VLOOKUP($AU521&amp;"-"&amp;$AV521,DECODE!$E$3:$F$21,2,FALSE),"?"))</f>
        <v/>
      </c>
      <c r="AY521">
        <f>IF($AT521="","",IFERROR(VALUE(RIGHT($AT521,3)),""))</f>
        <v/>
      </c>
      <c r="AZ521">
        <f>IF($U521="","",IFERROR(IF(ISNUMBER($U521),$U521,DATEVALUE(TRIM($U521))),""))</f>
        <v/>
      </c>
      <c r="BA521">
        <f>IF($AZ521="","",IF(MONTH($AZ521)&gt;=12,"Cold Winter",IF(MONTH($AZ521)&gt;=10,"Post-Monsoon",IF(MONTH($AZ521)&gt;=6,"Hot Humid",IF(MONTH($AZ521)&gt;=3,"Hot Dry","Cold Winter")))))</f>
        <v/>
      </c>
      <c r="BB521">
        <f>IF($AU521="","",IFERROR(VLOOKUP($AU521,DECODE!$A$3:$C$8,2,FALSE),"?"))</f>
        <v/>
      </c>
      <c r="BC521">
        <f>IF($P521="","",UPPER(TRIM(LEFT($P521&amp;",",FIND(",",$P521&amp;",")-1))))</f>
        <v/>
      </c>
      <c r="BD521">
        <f>IF($BC521="","",MID($BC521,4,FIND("~",SUBSTITUTE($BC521,"-","~",2))-4))</f>
        <v/>
      </c>
      <c r="BE521">
        <f>IF($BC521="","",MID($BC521,FIND("~",SUBSTITUTE($BC521,"-","~",2))+1,FIND("~",SUBSTITUTE($BC521,"-","~",3))-FIND("~",SUBSTITUTE($BC521,"-","~",2))-1))</f>
        <v/>
      </c>
      <c r="BF521">
        <f>IF($BD521="","",IFERROR(VLOOKUP($BD521,DECODE!$A$3:$C$8,3,FALSE),"?"))</f>
        <v/>
      </c>
      <c r="BG521">
        <f>IF($BE521="","",IFERROR(VLOOKUP($BD521&amp;"-"&amp;$BE521,DECODE!$E$3:$F$21,2,FALSE),"?"))</f>
        <v/>
      </c>
      <c r="BH521">
        <f>IF($BC521="","",IFERROR(VALUE(RIGHT($BC521,3)),""))</f>
        <v/>
      </c>
      <c r="BI521">
        <f>IF($V521="","",IFERROR(IF(ISNUMBER($V521),$V521,DATEVALUE(TRIM($V521))),""))</f>
        <v/>
      </c>
      <c r="BJ521">
        <f>IF($BI521="","",IF(MONTH($BI521)&gt;=12,"Cold Winter",IF(MONTH($BI521)&gt;=10,"Post-Monsoon",IF(MONTH($BI521)&gt;=6,"Hot Humid",IF(MONTH($BI521)&gt;=3,"Hot Dry","Cold Winter")))))</f>
        <v/>
      </c>
      <c r="BK521">
        <f>IF($BD521="","",IFERROR(VLOOKUP($BD521,DECODE!$A$3:$C$8,2,FALSE),"?"))</f>
        <v/>
      </c>
      <c r="BL521">
        <f>IF($Q521="","",UPPER(TRIM(LEFT($Q521&amp;",",FIND(",",$Q521&amp;",")-1))))</f>
        <v/>
      </c>
      <c r="BM521">
        <f>IF($BL521="","",MID($BL521,4,FIND("~",SUBSTITUTE($BL521,"-","~",2))-4))</f>
        <v/>
      </c>
      <c r="BN521">
        <f>IF($BL521="","",MID($BL521,FIND("~",SUBSTITUTE($BL521,"-","~",2))+1,FIND("~",SUBSTITUTE($BL521,"-","~",3))-FIND("~",SUBSTITUTE($BL521,"-","~",2))-1))</f>
        <v/>
      </c>
      <c r="BO521">
        <f>IF($BM521="","",IFERROR(VLOOKUP($BM521,DECODE!$A$3:$C$8,3,FALSE),"?"))</f>
        <v/>
      </c>
      <c r="BP521">
        <f>IF($BN521="","",IFERROR(VLOOKUP($BM521&amp;"-"&amp;$BN521,DECODE!$E$3:$F$21,2,FALSE),"?"))</f>
        <v/>
      </c>
      <c r="BQ521">
        <f>IF($BL521="","",IFERROR(VALUE(RIGHT($BL521,3)),""))</f>
        <v/>
      </c>
      <c r="BR521">
        <f>IF($W521="","",IFERROR(IF(ISNUMBER($W521),$W521,DATEVALUE(TRIM($W521))),""))</f>
        <v/>
      </c>
      <c r="BS521">
        <f>IF($BR521="","",IF(MONTH($BR521)&gt;=12,"Cold Winter",IF(MONTH($BR521)&gt;=10,"Post-Monsoon",IF(MONTH($BR521)&gt;=6,"Hot Humid",IF(MONTH($BR521)&gt;=3,"Hot Dry","Cold Winter")))))</f>
        <v/>
      </c>
      <c r="BT521">
        <f>IF($BM521="","",IFERROR(VLOOKUP($BM521,DECODE!$A$3:$C$8,2,FALSE),"?"))</f>
        <v/>
      </c>
      <c r="BU521">
        <f>IF($R521="","",UPPER(TRIM(LEFT($R521&amp;",",FIND(",",$R521&amp;",")-1))))</f>
        <v/>
      </c>
      <c r="BV521">
        <f>IF($BU521="","",MID($BU521,4,FIND("~",SUBSTITUTE($BU521,"-","~",2))-4))</f>
        <v/>
      </c>
      <c r="BW521">
        <f>IF($BU521="","",MID($BU521,FIND("~",SUBSTITUTE($BU521,"-","~",2))+1,FIND("~",SUBSTITUTE($BU521,"-","~",3))-FIND("~",SUBSTITUTE($BU521,"-","~",2))-1))</f>
        <v/>
      </c>
      <c r="BX521">
        <f>IF($BV521="","",IFERROR(VLOOKUP($BV521,DECODE!$A$3:$C$8,3,FALSE),"?"))</f>
        <v/>
      </c>
      <c r="BY521">
        <f>IF($BW521="","",IFERROR(VLOOKUP($BV521&amp;"-"&amp;$BW521,DECODE!$E$3:$F$21,2,FALSE),"?"))</f>
        <v/>
      </c>
      <c r="BZ521">
        <f>IF($BU521="","",IFERROR(VALUE(RIGHT($BU521,3)),""))</f>
        <v/>
      </c>
      <c r="CA521">
        <f>IF($X521="","",IFERROR(IF(ISNUMBER($X521),$X521,DATEVALUE(TRIM($X521))),""))</f>
        <v/>
      </c>
      <c r="CB521">
        <f>IF($CA521="","",IF(MONTH($CA521)&gt;=12,"Cold Winter",IF(MONTH($CA521)&gt;=10,"Post-Monsoon",IF(MONTH($CA521)&gt;=6,"Hot Humid",IF(MONTH($CA521)&gt;=3,"Hot Dry","Cold Winter")))))</f>
        <v/>
      </c>
      <c r="CC521">
        <f>IF($BV521="","",IFERROR(VLOOKUP($BV521,DECODE!$A$3:$C$8,2,FALSE),"?"))</f>
        <v/>
      </c>
      <c r="CD521">
        <f>IF($S521="","",UPPER(TRIM(LEFT($S521&amp;",",FIND(",",$S521&amp;",")-1))))</f>
        <v/>
      </c>
      <c r="CE521">
        <f>IF($CD521="","",MID($CD521,4,FIND("~",SUBSTITUTE($CD521,"-","~",2))-4))</f>
        <v/>
      </c>
      <c r="CF521">
        <f>IF($CD521="","",MID($CD521,FIND("~",SUBSTITUTE($CD521,"-","~",2))+1,FIND("~",SUBSTITUTE($CD521,"-","~",3))-FIND("~",SUBSTITUTE($CD521,"-","~",2))-1))</f>
        <v/>
      </c>
      <c r="CG521">
        <f>IF($CE521="","",IFERROR(VLOOKUP($CE521,DECODE!$A$3:$C$8,3,FALSE),"?"))</f>
        <v/>
      </c>
      <c r="CH521">
        <f>IF($CF521="","",IFERROR(VLOOKUP($CE521&amp;"-"&amp;$CF521,DECODE!$E$3:$F$21,2,FALSE),"?"))</f>
        <v/>
      </c>
      <c r="CI521">
        <f>IF($CD521="","",IFERROR(VALUE(RIGHT($CD521,3)),""))</f>
        <v/>
      </c>
      <c r="CJ521">
        <f>IF($Y521="","",IFERROR(IF(ISNUMBER($Y521),$Y521,DATEVALUE(TRIM($Y521))),""))</f>
        <v/>
      </c>
      <c r="CK521">
        <f>IF($CJ521="","",IF(MONTH($CJ521)&gt;=12,"Cold Winter",IF(MONTH($CJ521)&gt;=10,"Post-Monsoon",IF(MONTH($CJ521)&gt;=6,"Hot Humid",IF(MONTH($CJ521)&gt;=3,"Hot Dry","Cold Winter")))))</f>
        <v/>
      </c>
      <c r="CL521">
        <f>IF($CE521="","",IFERROR(VLOOKUP($CE521,DECODE!$A$3:$C$8,2,FALSE),"?"))</f>
        <v/>
      </c>
      <c r="CM521">
        <f>IF($AN521="","",AN521)</f>
        <v/>
      </c>
      <c r="CN521">
        <f>IF($AO521="","",AO521)</f>
        <v/>
      </c>
      <c r="CO521">
        <f>IF($AP521="","",AP521)</f>
        <v/>
      </c>
      <c r="CP521">
        <f>IF($CM521="","",IF($CM521="Aloe Vera Gel","Aloe Vera Gel "&amp;$CO521&amp;"g",CN521&amp;" "&amp;$CO521&amp;"g"))</f>
        <v/>
      </c>
      <c r="CQ521">
        <f>IF($AT521="",0,1)</f>
        <v/>
      </c>
      <c r="CR521">
        <f>IF($CQ521=0,"",AW521)</f>
        <v/>
      </c>
      <c r="CS521">
        <f>IF($CQ521=0,"",AX521)</f>
        <v/>
      </c>
      <c r="CT521">
        <f>IF($CQ521=0,"",AY521)</f>
        <v/>
      </c>
      <c r="CU521">
        <f>IF($CR521="","",IF($CR521="Aloe Vera Gel","Aloe Vera Gel "&amp;$CT521&amp;"g",CS521&amp;" "&amp;$CT521&amp;"g"))</f>
        <v/>
      </c>
      <c r="CV521">
        <f>IF($CQ521=0,"",IF($CP521=$CU521,"Repeat Exact",IF($CT521&gt;$CO521,"Upsized",IF($CT521&lt;$CO521,"Downsized",IF($CM521&lt;&gt;$CR521,"Lateral","Same Size Diff Variant")))))</f>
        <v/>
      </c>
      <c r="CW521">
        <f>IF($CQ521=0,"",AZ521-AQ521)</f>
        <v/>
      </c>
      <c r="CX521">
        <f>IF($CQ521=0,0,IF(CS521=CN521,1,0))</f>
        <v/>
      </c>
      <c r="CY521">
        <f>IF($CQ521=0,0,IF(CR521=CM521,1,0))</f>
        <v/>
      </c>
      <c r="CZ521">
        <f>IF($A521="","",IF(AND(IF(DASHBOARD!$C$4="All",TRUE,$CM521=DASHBOARD!$C$4),IF(DASHBOARD!$C$6="All",TRUE,$CP521=DASHBOARD!$C$6),IF(DASHBOARD!$C$8="All",TRUE,$AF521&gt;=DASHBOARD!$C$8),IF(DASHBOARD!$C$10="All",TRUE,$AF521&lt;=DASHBOARD!$C$10),IF(DASHBOARD!$C$12="All",TRUE,$AH521=VALUE(DASHBOARD!$C$12)),IF(DASHBOARD!$C$14="All",TRUE,$AJ521=DASHBOARD!$C$14)),1,0))</f>
        <v/>
      </c>
    </row>
    <row r="522">
      <c r="A522" t="n">
        <v>235194</v>
      </c>
      <c r="B522" t="inlineStr">
        <is>
          <t>Face Malai</t>
        </is>
      </c>
      <c r="H522" t="inlineStr">
        <is>
          <t>Flax Walnut (Cold) 35+ Face Malai</t>
        </is>
      </c>
      <c r="N522" t="inlineStr">
        <is>
          <t>FC-CWDM-FW-030</t>
        </is>
      </c>
      <c r="T522" t="inlineStr">
        <is>
          <t>Dec 17, 2024</t>
        </is>
      </c>
      <c r="AE522" t="inlineStr">
        <is>
          <t>New Delhi</t>
        </is>
      </c>
      <c r="AF522" t="inlineStr">
        <is>
          <t>2024-12</t>
        </is>
      </c>
      <c r="AG522" t="n">
        <v>12</v>
      </c>
      <c r="AH522" t="n">
        <v>1</v>
      </c>
      <c r="AI522" t="n">
        <v>0</v>
      </c>
      <c r="AJ522">
        <f>IF($AE522="","",IFERROR(VLOOKUP(TRIM($AE522),DECODE!$H$3:$I$60,2,FALSE),"Rest of India"))</f>
        <v/>
      </c>
      <c r="AK522">
        <f>IF($N522="","",UPPER(TRIM(LEFT($N522&amp;",",FIND(",",$N522&amp;",")-1))))</f>
        <v/>
      </c>
      <c r="AL522">
        <f>IF($AK522="","",MID($AK522,4,FIND("~",SUBSTITUTE($AK522,"-","~",2))-4))</f>
        <v/>
      </c>
      <c r="AM522">
        <f>IF($AK522="","",MID($AK522,FIND("~",SUBSTITUTE($AK522,"-","~",2))+1,FIND("~",SUBSTITUTE($AK522,"-","~",3))-FIND("~",SUBSTITUTE($AK522,"-","~",2))-1))</f>
        <v/>
      </c>
      <c r="AN522">
        <f>IF($AL522="","",IFERROR(VLOOKUP($AL522,DECODE!$A$3:$C$8,3,FALSE),"?"))</f>
        <v/>
      </c>
      <c r="AO522">
        <f>IF($AM522="","",IFERROR(VLOOKUP($AL522&amp;"-"&amp;$AM522,DECODE!$E$3:$F$21,2,FALSE),"?"))</f>
        <v/>
      </c>
      <c r="AP522">
        <f>IF($AK522="","",IFERROR(VALUE(RIGHT($AK522,3)),""))</f>
        <v/>
      </c>
      <c r="AQ522">
        <f>IF($T522="","",IFERROR(IF(ISNUMBER($T522),$T522,DATEVALUE(TRIM($T522))),""))</f>
        <v/>
      </c>
      <c r="AR522">
        <f>IF($AQ522="","",IF(MONTH($AQ522)&gt;=12,"Cold Winter",IF(MONTH($AQ522)&gt;=10,"Post-Monsoon",IF(MONTH($AQ522)&gt;=6,"Hot Humid",IF(MONTH($AQ522)&gt;=3,"Hot Dry","Cold Winter")))))</f>
        <v/>
      </c>
      <c r="AS522">
        <f>IF($AL522="","",IFERROR(VLOOKUP($AL522,DECODE!$A$3:$C$8,2,FALSE),"?"))</f>
        <v/>
      </c>
      <c r="AT522">
        <f>IF($O522="","",UPPER(TRIM(LEFT($O522&amp;",",FIND(",",$O522&amp;",")-1))))</f>
        <v/>
      </c>
      <c r="AU522">
        <f>IF($AT522="","",MID($AT522,4,FIND("~",SUBSTITUTE($AT522,"-","~",2))-4))</f>
        <v/>
      </c>
      <c r="AV522">
        <f>IF($AT522="","",MID($AT522,FIND("~",SUBSTITUTE($AT522,"-","~",2))+1,FIND("~",SUBSTITUTE($AT522,"-","~",3))-FIND("~",SUBSTITUTE($AT522,"-","~",2))-1))</f>
        <v/>
      </c>
      <c r="AW522">
        <f>IF($AU522="","",IFERROR(VLOOKUP($AU522,DECODE!$A$3:$C$8,3,FALSE),"?"))</f>
        <v/>
      </c>
      <c r="AX522">
        <f>IF($AV522="","",IFERROR(VLOOKUP($AU522&amp;"-"&amp;$AV522,DECODE!$E$3:$F$21,2,FALSE),"?"))</f>
        <v/>
      </c>
      <c r="AY522">
        <f>IF($AT522="","",IFERROR(VALUE(RIGHT($AT522,3)),""))</f>
        <v/>
      </c>
      <c r="AZ522">
        <f>IF($U522="","",IFERROR(IF(ISNUMBER($U522),$U522,DATEVALUE(TRIM($U522))),""))</f>
        <v/>
      </c>
      <c r="BA522">
        <f>IF($AZ522="","",IF(MONTH($AZ522)&gt;=12,"Cold Winter",IF(MONTH($AZ522)&gt;=10,"Post-Monsoon",IF(MONTH($AZ522)&gt;=6,"Hot Humid",IF(MONTH($AZ522)&gt;=3,"Hot Dry","Cold Winter")))))</f>
        <v/>
      </c>
      <c r="BB522">
        <f>IF($AU522="","",IFERROR(VLOOKUP($AU522,DECODE!$A$3:$C$8,2,FALSE),"?"))</f>
        <v/>
      </c>
      <c r="BC522">
        <f>IF($P522="","",UPPER(TRIM(LEFT($P522&amp;",",FIND(",",$P522&amp;",")-1))))</f>
        <v/>
      </c>
      <c r="BD522">
        <f>IF($BC522="","",MID($BC522,4,FIND("~",SUBSTITUTE($BC522,"-","~",2))-4))</f>
        <v/>
      </c>
      <c r="BE522">
        <f>IF($BC522="","",MID($BC522,FIND("~",SUBSTITUTE($BC522,"-","~",2))+1,FIND("~",SUBSTITUTE($BC522,"-","~",3))-FIND("~",SUBSTITUTE($BC522,"-","~",2))-1))</f>
        <v/>
      </c>
      <c r="BF522">
        <f>IF($BD522="","",IFERROR(VLOOKUP($BD522,DECODE!$A$3:$C$8,3,FALSE),"?"))</f>
        <v/>
      </c>
      <c r="BG522">
        <f>IF($BE522="","",IFERROR(VLOOKUP($BD522&amp;"-"&amp;$BE522,DECODE!$E$3:$F$21,2,FALSE),"?"))</f>
        <v/>
      </c>
      <c r="BH522">
        <f>IF($BC522="","",IFERROR(VALUE(RIGHT($BC522,3)),""))</f>
        <v/>
      </c>
      <c r="BI522">
        <f>IF($V522="","",IFERROR(IF(ISNUMBER($V522),$V522,DATEVALUE(TRIM($V522))),""))</f>
        <v/>
      </c>
      <c r="BJ522">
        <f>IF($BI522="","",IF(MONTH($BI522)&gt;=12,"Cold Winter",IF(MONTH($BI522)&gt;=10,"Post-Monsoon",IF(MONTH($BI522)&gt;=6,"Hot Humid",IF(MONTH($BI522)&gt;=3,"Hot Dry","Cold Winter")))))</f>
        <v/>
      </c>
      <c r="BK522">
        <f>IF($BD522="","",IFERROR(VLOOKUP($BD522,DECODE!$A$3:$C$8,2,FALSE),"?"))</f>
        <v/>
      </c>
      <c r="BL522">
        <f>IF($Q522="","",UPPER(TRIM(LEFT($Q522&amp;",",FIND(",",$Q522&amp;",")-1))))</f>
        <v/>
      </c>
      <c r="BM522">
        <f>IF($BL522="","",MID($BL522,4,FIND("~",SUBSTITUTE($BL522,"-","~",2))-4))</f>
        <v/>
      </c>
      <c r="BN522">
        <f>IF($BL522="","",MID($BL522,FIND("~",SUBSTITUTE($BL522,"-","~",2))+1,FIND("~",SUBSTITUTE($BL522,"-","~",3))-FIND("~",SUBSTITUTE($BL522,"-","~",2))-1))</f>
        <v/>
      </c>
      <c r="BO522">
        <f>IF($BM522="","",IFERROR(VLOOKUP($BM522,DECODE!$A$3:$C$8,3,FALSE),"?"))</f>
        <v/>
      </c>
      <c r="BP522">
        <f>IF($BN522="","",IFERROR(VLOOKUP($BM522&amp;"-"&amp;$BN522,DECODE!$E$3:$F$21,2,FALSE),"?"))</f>
        <v/>
      </c>
      <c r="BQ522">
        <f>IF($BL522="","",IFERROR(VALUE(RIGHT($BL522,3)),""))</f>
        <v/>
      </c>
      <c r="BR522">
        <f>IF($W522="","",IFERROR(IF(ISNUMBER($W522),$W522,DATEVALUE(TRIM($W522))),""))</f>
        <v/>
      </c>
      <c r="BS522">
        <f>IF($BR522="","",IF(MONTH($BR522)&gt;=12,"Cold Winter",IF(MONTH($BR522)&gt;=10,"Post-Monsoon",IF(MONTH($BR522)&gt;=6,"Hot Humid",IF(MONTH($BR522)&gt;=3,"Hot Dry","Cold Winter")))))</f>
        <v/>
      </c>
      <c r="BT522">
        <f>IF($BM522="","",IFERROR(VLOOKUP($BM522,DECODE!$A$3:$C$8,2,FALSE),"?"))</f>
        <v/>
      </c>
      <c r="BU522">
        <f>IF($R522="","",UPPER(TRIM(LEFT($R522&amp;",",FIND(",",$R522&amp;",")-1))))</f>
        <v/>
      </c>
      <c r="BV522">
        <f>IF($BU522="","",MID($BU522,4,FIND("~",SUBSTITUTE($BU522,"-","~",2))-4))</f>
        <v/>
      </c>
      <c r="BW522">
        <f>IF($BU522="","",MID($BU522,FIND("~",SUBSTITUTE($BU522,"-","~",2))+1,FIND("~",SUBSTITUTE($BU522,"-","~",3))-FIND("~",SUBSTITUTE($BU522,"-","~",2))-1))</f>
        <v/>
      </c>
      <c r="BX522">
        <f>IF($BV522="","",IFERROR(VLOOKUP($BV522,DECODE!$A$3:$C$8,3,FALSE),"?"))</f>
        <v/>
      </c>
      <c r="BY522">
        <f>IF($BW522="","",IFERROR(VLOOKUP($BV522&amp;"-"&amp;$BW522,DECODE!$E$3:$F$21,2,FALSE),"?"))</f>
        <v/>
      </c>
      <c r="BZ522">
        <f>IF($BU522="","",IFERROR(VALUE(RIGHT($BU522,3)),""))</f>
        <v/>
      </c>
      <c r="CA522">
        <f>IF($X522="","",IFERROR(IF(ISNUMBER($X522),$X522,DATEVALUE(TRIM($X522))),""))</f>
        <v/>
      </c>
      <c r="CB522">
        <f>IF($CA522="","",IF(MONTH($CA522)&gt;=12,"Cold Winter",IF(MONTH($CA522)&gt;=10,"Post-Monsoon",IF(MONTH($CA522)&gt;=6,"Hot Humid",IF(MONTH($CA522)&gt;=3,"Hot Dry","Cold Winter")))))</f>
        <v/>
      </c>
      <c r="CC522">
        <f>IF($BV522="","",IFERROR(VLOOKUP($BV522,DECODE!$A$3:$C$8,2,FALSE),"?"))</f>
        <v/>
      </c>
      <c r="CD522">
        <f>IF($S522="","",UPPER(TRIM(LEFT($S522&amp;",",FIND(",",$S522&amp;",")-1))))</f>
        <v/>
      </c>
      <c r="CE522">
        <f>IF($CD522="","",MID($CD522,4,FIND("~",SUBSTITUTE($CD522,"-","~",2))-4))</f>
        <v/>
      </c>
      <c r="CF522">
        <f>IF($CD522="","",MID($CD522,FIND("~",SUBSTITUTE($CD522,"-","~",2))+1,FIND("~",SUBSTITUTE($CD522,"-","~",3))-FIND("~",SUBSTITUTE($CD522,"-","~",2))-1))</f>
        <v/>
      </c>
      <c r="CG522">
        <f>IF($CE522="","",IFERROR(VLOOKUP($CE522,DECODE!$A$3:$C$8,3,FALSE),"?"))</f>
        <v/>
      </c>
      <c r="CH522">
        <f>IF($CF522="","",IFERROR(VLOOKUP($CE522&amp;"-"&amp;$CF522,DECODE!$E$3:$F$21,2,FALSE),"?"))</f>
        <v/>
      </c>
      <c r="CI522">
        <f>IF($CD522="","",IFERROR(VALUE(RIGHT($CD522,3)),""))</f>
        <v/>
      </c>
      <c r="CJ522">
        <f>IF($Y522="","",IFERROR(IF(ISNUMBER($Y522),$Y522,DATEVALUE(TRIM($Y522))),""))</f>
        <v/>
      </c>
      <c r="CK522">
        <f>IF($CJ522="","",IF(MONTH($CJ522)&gt;=12,"Cold Winter",IF(MONTH($CJ522)&gt;=10,"Post-Monsoon",IF(MONTH($CJ522)&gt;=6,"Hot Humid",IF(MONTH($CJ522)&gt;=3,"Hot Dry","Cold Winter")))))</f>
        <v/>
      </c>
      <c r="CL522">
        <f>IF($CE522="","",IFERROR(VLOOKUP($CE522,DECODE!$A$3:$C$8,2,FALSE),"?"))</f>
        <v/>
      </c>
      <c r="CM522">
        <f>IF($AN522="","",AN522)</f>
        <v/>
      </c>
      <c r="CN522">
        <f>IF($AO522="","",AO522)</f>
        <v/>
      </c>
      <c r="CO522">
        <f>IF($AP522="","",AP522)</f>
        <v/>
      </c>
      <c r="CP522">
        <f>IF($CM522="","",IF($CM522="Aloe Vera Gel","Aloe Vera Gel "&amp;$CO522&amp;"g",CN522&amp;" "&amp;$CO522&amp;"g"))</f>
        <v/>
      </c>
      <c r="CQ522">
        <f>IF($AT522="",0,1)</f>
        <v/>
      </c>
      <c r="CR522">
        <f>IF($CQ522=0,"",AW522)</f>
        <v/>
      </c>
      <c r="CS522">
        <f>IF($CQ522=0,"",AX522)</f>
        <v/>
      </c>
      <c r="CT522">
        <f>IF($CQ522=0,"",AY522)</f>
        <v/>
      </c>
      <c r="CU522">
        <f>IF($CR522="","",IF($CR522="Aloe Vera Gel","Aloe Vera Gel "&amp;$CT522&amp;"g",CS522&amp;" "&amp;$CT522&amp;"g"))</f>
        <v/>
      </c>
      <c r="CV522">
        <f>IF($CQ522=0,"",IF($CP522=$CU522,"Repeat Exact",IF($CT522&gt;$CO522,"Upsized",IF($CT522&lt;$CO522,"Downsized",IF($CM522&lt;&gt;$CR522,"Lateral","Same Size Diff Variant")))))</f>
        <v/>
      </c>
      <c r="CW522">
        <f>IF($CQ522=0,"",AZ522-AQ522)</f>
        <v/>
      </c>
      <c r="CX522">
        <f>IF($CQ522=0,0,IF(CS522=CN522,1,0))</f>
        <v/>
      </c>
      <c r="CY522">
        <f>IF($CQ522=0,0,IF(CR522=CM522,1,0))</f>
        <v/>
      </c>
      <c r="CZ522">
        <f>IF($A522="","",IF(AND(IF(DASHBOARD!$C$4="All",TRUE,$CM522=DASHBOARD!$C$4),IF(DASHBOARD!$C$6="All",TRUE,$CP522=DASHBOARD!$C$6),IF(DASHBOARD!$C$8="All",TRUE,$AF522&gt;=DASHBOARD!$C$8),IF(DASHBOARD!$C$10="All",TRUE,$AF522&lt;=DASHBOARD!$C$10),IF(DASHBOARD!$C$12="All",TRUE,$AH522=VALUE(DASHBOARD!$C$12)),IF(DASHBOARD!$C$14="All",TRUE,$AJ522=DASHBOARD!$C$14)),1,0))</f>
        <v/>
      </c>
    </row>
    <row r="523">
      <c r="A523" t="n">
        <v>235254</v>
      </c>
      <c r="B523" t="inlineStr">
        <is>
          <t>Active Gel</t>
        </is>
      </c>
      <c r="C523" t="inlineStr">
        <is>
          <t>Face Malai</t>
        </is>
      </c>
      <c r="H523" t="inlineStr">
        <is>
          <t>Active Orange Kiwi Vit-C Gel</t>
        </is>
      </c>
      <c r="I523" t="inlineStr">
        <is>
          <t>Flax Carrot (Hot Humid) 35+ Face Malai - 30g</t>
        </is>
      </c>
      <c r="N523" t="inlineStr">
        <is>
          <t>FC-AC-OK-050</t>
        </is>
      </c>
      <c r="O523" t="inlineStr">
        <is>
          <t>FC-HHDM-FC-030</t>
        </is>
      </c>
      <c r="T523" t="inlineStr">
        <is>
          <t>Jul 5, 2025</t>
        </is>
      </c>
      <c r="U523" t="inlineStr">
        <is>
          <t>Feb 7, 2026</t>
        </is>
      </c>
      <c r="Z523" t="n">
        <v>217</v>
      </c>
      <c r="AE523" t="inlineStr">
        <is>
          <t>Navi Mumbai</t>
        </is>
      </c>
      <c r="AF523" t="inlineStr">
        <is>
          <t>2025-07</t>
        </is>
      </c>
      <c r="AG523" t="n">
        <v>7</v>
      </c>
      <c r="AH523" t="n">
        <v>2</v>
      </c>
      <c r="AI523" t="n">
        <v>1</v>
      </c>
      <c r="AJ523">
        <f>IF($AE523="","",IFERROR(VLOOKUP(TRIM($AE523),DECODE!$H$3:$I$60,2,FALSE),"Rest of India"))</f>
        <v/>
      </c>
      <c r="AK523">
        <f>IF($N523="","",UPPER(TRIM(LEFT($N523&amp;",",FIND(",",$N523&amp;",")-1))))</f>
        <v/>
      </c>
      <c r="AL523">
        <f>IF($AK523="","",MID($AK523,4,FIND("~",SUBSTITUTE($AK523,"-","~",2))-4))</f>
        <v/>
      </c>
      <c r="AM523">
        <f>IF($AK523="","",MID($AK523,FIND("~",SUBSTITUTE($AK523,"-","~",2))+1,FIND("~",SUBSTITUTE($AK523,"-","~",3))-FIND("~",SUBSTITUTE($AK523,"-","~",2))-1))</f>
        <v/>
      </c>
      <c r="AN523">
        <f>IF($AL523="","",IFERROR(VLOOKUP($AL523,DECODE!$A$3:$C$8,3,FALSE),"?"))</f>
        <v/>
      </c>
      <c r="AO523">
        <f>IF($AM523="","",IFERROR(VLOOKUP($AL523&amp;"-"&amp;$AM523,DECODE!$E$3:$F$21,2,FALSE),"?"))</f>
        <v/>
      </c>
      <c r="AP523">
        <f>IF($AK523="","",IFERROR(VALUE(RIGHT($AK523,3)),""))</f>
        <v/>
      </c>
      <c r="AQ523">
        <f>IF($T523="","",IFERROR(IF(ISNUMBER($T523),$T523,DATEVALUE(TRIM($T523))),""))</f>
        <v/>
      </c>
      <c r="AR523">
        <f>IF($AQ523="","",IF(MONTH($AQ523)&gt;=12,"Cold Winter",IF(MONTH($AQ523)&gt;=10,"Post-Monsoon",IF(MONTH($AQ523)&gt;=6,"Hot Humid",IF(MONTH($AQ523)&gt;=3,"Hot Dry","Cold Winter")))))</f>
        <v/>
      </c>
      <c r="AS523">
        <f>IF($AL523="","",IFERROR(VLOOKUP($AL523,DECODE!$A$3:$C$8,2,FALSE),"?"))</f>
        <v/>
      </c>
      <c r="AT523">
        <f>IF($O523="","",UPPER(TRIM(LEFT($O523&amp;",",FIND(",",$O523&amp;",")-1))))</f>
        <v/>
      </c>
      <c r="AU523">
        <f>IF($AT523="","",MID($AT523,4,FIND("~",SUBSTITUTE($AT523,"-","~",2))-4))</f>
        <v/>
      </c>
      <c r="AV523">
        <f>IF($AT523="","",MID($AT523,FIND("~",SUBSTITUTE($AT523,"-","~",2))+1,FIND("~",SUBSTITUTE($AT523,"-","~",3))-FIND("~",SUBSTITUTE($AT523,"-","~",2))-1))</f>
        <v/>
      </c>
      <c r="AW523">
        <f>IF($AU523="","",IFERROR(VLOOKUP($AU523,DECODE!$A$3:$C$8,3,FALSE),"?"))</f>
        <v/>
      </c>
      <c r="AX523">
        <f>IF($AV523="","",IFERROR(VLOOKUP($AU523&amp;"-"&amp;$AV523,DECODE!$E$3:$F$21,2,FALSE),"?"))</f>
        <v/>
      </c>
      <c r="AY523">
        <f>IF($AT523="","",IFERROR(VALUE(RIGHT($AT523,3)),""))</f>
        <v/>
      </c>
      <c r="AZ523">
        <f>IF($U523="","",IFERROR(IF(ISNUMBER($U523),$U523,DATEVALUE(TRIM($U523))),""))</f>
        <v/>
      </c>
      <c r="BA523">
        <f>IF($AZ523="","",IF(MONTH($AZ523)&gt;=12,"Cold Winter",IF(MONTH($AZ523)&gt;=10,"Post-Monsoon",IF(MONTH($AZ523)&gt;=6,"Hot Humid",IF(MONTH($AZ523)&gt;=3,"Hot Dry","Cold Winter")))))</f>
        <v/>
      </c>
      <c r="BB523">
        <f>IF($AU523="","",IFERROR(VLOOKUP($AU523,DECODE!$A$3:$C$8,2,FALSE),"?"))</f>
        <v/>
      </c>
      <c r="BC523">
        <f>IF($P523="","",UPPER(TRIM(LEFT($P523&amp;",",FIND(",",$P523&amp;",")-1))))</f>
        <v/>
      </c>
      <c r="BD523">
        <f>IF($BC523="","",MID($BC523,4,FIND("~",SUBSTITUTE($BC523,"-","~",2))-4))</f>
        <v/>
      </c>
      <c r="BE523">
        <f>IF($BC523="","",MID($BC523,FIND("~",SUBSTITUTE($BC523,"-","~",2))+1,FIND("~",SUBSTITUTE($BC523,"-","~",3))-FIND("~",SUBSTITUTE($BC523,"-","~",2))-1))</f>
        <v/>
      </c>
      <c r="BF523">
        <f>IF($BD523="","",IFERROR(VLOOKUP($BD523,DECODE!$A$3:$C$8,3,FALSE),"?"))</f>
        <v/>
      </c>
      <c r="BG523">
        <f>IF($BE523="","",IFERROR(VLOOKUP($BD523&amp;"-"&amp;$BE523,DECODE!$E$3:$F$21,2,FALSE),"?"))</f>
        <v/>
      </c>
      <c r="BH523">
        <f>IF($BC523="","",IFERROR(VALUE(RIGHT($BC523,3)),""))</f>
        <v/>
      </c>
      <c r="BI523">
        <f>IF($V523="","",IFERROR(IF(ISNUMBER($V523),$V523,DATEVALUE(TRIM($V523))),""))</f>
        <v/>
      </c>
      <c r="BJ523">
        <f>IF($BI523="","",IF(MONTH($BI523)&gt;=12,"Cold Winter",IF(MONTH($BI523)&gt;=10,"Post-Monsoon",IF(MONTH($BI523)&gt;=6,"Hot Humid",IF(MONTH($BI523)&gt;=3,"Hot Dry","Cold Winter")))))</f>
        <v/>
      </c>
      <c r="BK523">
        <f>IF($BD523="","",IFERROR(VLOOKUP($BD523,DECODE!$A$3:$C$8,2,FALSE),"?"))</f>
        <v/>
      </c>
      <c r="BL523">
        <f>IF($Q523="","",UPPER(TRIM(LEFT($Q523&amp;",",FIND(",",$Q523&amp;",")-1))))</f>
        <v/>
      </c>
      <c r="BM523">
        <f>IF($BL523="","",MID($BL523,4,FIND("~",SUBSTITUTE($BL523,"-","~",2))-4))</f>
        <v/>
      </c>
      <c r="BN523">
        <f>IF($BL523="","",MID($BL523,FIND("~",SUBSTITUTE($BL523,"-","~",2))+1,FIND("~",SUBSTITUTE($BL523,"-","~",3))-FIND("~",SUBSTITUTE($BL523,"-","~",2))-1))</f>
        <v/>
      </c>
      <c r="BO523">
        <f>IF($BM523="","",IFERROR(VLOOKUP($BM523,DECODE!$A$3:$C$8,3,FALSE),"?"))</f>
        <v/>
      </c>
      <c r="BP523">
        <f>IF($BN523="","",IFERROR(VLOOKUP($BM523&amp;"-"&amp;$BN523,DECODE!$E$3:$F$21,2,FALSE),"?"))</f>
        <v/>
      </c>
      <c r="BQ523">
        <f>IF($BL523="","",IFERROR(VALUE(RIGHT($BL523,3)),""))</f>
        <v/>
      </c>
      <c r="BR523">
        <f>IF($W523="","",IFERROR(IF(ISNUMBER($W523),$W523,DATEVALUE(TRIM($W523))),""))</f>
        <v/>
      </c>
      <c r="BS523">
        <f>IF($BR523="","",IF(MONTH($BR523)&gt;=12,"Cold Winter",IF(MONTH($BR523)&gt;=10,"Post-Monsoon",IF(MONTH($BR523)&gt;=6,"Hot Humid",IF(MONTH($BR523)&gt;=3,"Hot Dry","Cold Winter")))))</f>
        <v/>
      </c>
      <c r="BT523">
        <f>IF($BM523="","",IFERROR(VLOOKUP($BM523,DECODE!$A$3:$C$8,2,FALSE),"?"))</f>
        <v/>
      </c>
      <c r="BU523">
        <f>IF($R523="","",UPPER(TRIM(LEFT($R523&amp;",",FIND(",",$R523&amp;",")-1))))</f>
        <v/>
      </c>
      <c r="BV523">
        <f>IF($BU523="","",MID($BU523,4,FIND("~",SUBSTITUTE($BU523,"-","~",2))-4))</f>
        <v/>
      </c>
      <c r="BW523">
        <f>IF($BU523="","",MID($BU523,FIND("~",SUBSTITUTE($BU523,"-","~",2))+1,FIND("~",SUBSTITUTE($BU523,"-","~",3))-FIND("~",SUBSTITUTE($BU523,"-","~",2))-1))</f>
        <v/>
      </c>
      <c r="BX523">
        <f>IF($BV523="","",IFERROR(VLOOKUP($BV523,DECODE!$A$3:$C$8,3,FALSE),"?"))</f>
        <v/>
      </c>
      <c r="BY523">
        <f>IF($BW523="","",IFERROR(VLOOKUP($BV523&amp;"-"&amp;$BW523,DECODE!$E$3:$F$21,2,FALSE),"?"))</f>
        <v/>
      </c>
      <c r="BZ523">
        <f>IF($BU523="","",IFERROR(VALUE(RIGHT($BU523,3)),""))</f>
        <v/>
      </c>
      <c r="CA523">
        <f>IF($X523="","",IFERROR(IF(ISNUMBER($X523),$X523,DATEVALUE(TRIM($X523))),""))</f>
        <v/>
      </c>
      <c r="CB523">
        <f>IF($CA523="","",IF(MONTH($CA523)&gt;=12,"Cold Winter",IF(MONTH($CA523)&gt;=10,"Post-Monsoon",IF(MONTH($CA523)&gt;=6,"Hot Humid",IF(MONTH($CA523)&gt;=3,"Hot Dry","Cold Winter")))))</f>
        <v/>
      </c>
      <c r="CC523">
        <f>IF($BV523="","",IFERROR(VLOOKUP($BV523,DECODE!$A$3:$C$8,2,FALSE),"?"))</f>
        <v/>
      </c>
      <c r="CD523">
        <f>IF($S523="","",UPPER(TRIM(LEFT($S523&amp;",",FIND(",",$S523&amp;",")-1))))</f>
        <v/>
      </c>
      <c r="CE523">
        <f>IF($CD523="","",MID($CD523,4,FIND("~",SUBSTITUTE($CD523,"-","~",2))-4))</f>
        <v/>
      </c>
      <c r="CF523">
        <f>IF($CD523="","",MID($CD523,FIND("~",SUBSTITUTE($CD523,"-","~",2))+1,FIND("~",SUBSTITUTE($CD523,"-","~",3))-FIND("~",SUBSTITUTE($CD523,"-","~",2))-1))</f>
        <v/>
      </c>
      <c r="CG523">
        <f>IF($CE523="","",IFERROR(VLOOKUP($CE523,DECODE!$A$3:$C$8,3,FALSE),"?"))</f>
        <v/>
      </c>
      <c r="CH523">
        <f>IF($CF523="","",IFERROR(VLOOKUP($CE523&amp;"-"&amp;$CF523,DECODE!$E$3:$F$21,2,FALSE),"?"))</f>
        <v/>
      </c>
      <c r="CI523">
        <f>IF($CD523="","",IFERROR(VALUE(RIGHT($CD523,3)),""))</f>
        <v/>
      </c>
      <c r="CJ523">
        <f>IF($Y523="","",IFERROR(IF(ISNUMBER($Y523),$Y523,DATEVALUE(TRIM($Y523))),""))</f>
        <v/>
      </c>
      <c r="CK523">
        <f>IF($CJ523="","",IF(MONTH($CJ523)&gt;=12,"Cold Winter",IF(MONTH($CJ523)&gt;=10,"Post-Monsoon",IF(MONTH($CJ523)&gt;=6,"Hot Humid",IF(MONTH($CJ523)&gt;=3,"Hot Dry","Cold Winter")))))</f>
        <v/>
      </c>
      <c r="CL523">
        <f>IF($CE523="","",IFERROR(VLOOKUP($CE523,DECODE!$A$3:$C$8,2,FALSE),"?"))</f>
        <v/>
      </c>
      <c r="CM523">
        <f>IF($AN523="","",AN523)</f>
        <v/>
      </c>
      <c r="CN523">
        <f>IF($AO523="","",AO523)</f>
        <v/>
      </c>
      <c r="CO523">
        <f>IF($AP523="","",AP523)</f>
        <v/>
      </c>
      <c r="CP523">
        <f>IF($CM523="","",IF($CM523="Aloe Vera Gel","Aloe Vera Gel "&amp;$CO523&amp;"g",CN523&amp;" "&amp;$CO523&amp;"g"))</f>
        <v/>
      </c>
      <c r="CQ523">
        <f>IF($AT523="",0,1)</f>
        <v/>
      </c>
      <c r="CR523">
        <f>IF($CQ523=0,"",AW523)</f>
        <v/>
      </c>
      <c r="CS523">
        <f>IF($CQ523=0,"",AX523)</f>
        <v/>
      </c>
      <c r="CT523">
        <f>IF($CQ523=0,"",AY523)</f>
        <v/>
      </c>
      <c r="CU523">
        <f>IF($CR523="","",IF($CR523="Aloe Vera Gel","Aloe Vera Gel "&amp;$CT523&amp;"g",CS523&amp;" "&amp;$CT523&amp;"g"))</f>
        <v/>
      </c>
      <c r="CV523">
        <f>IF($CQ523=0,"",IF($CP523=$CU523,"Repeat Exact",IF($CT523&gt;$CO523,"Upsized",IF($CT523&lt;$CO523,"Downsized",IF($CM523&lt;&gt;$CR523,"Lateral","Same Size Diff Variant")))))</f>
        <v/>
      </c>
      <c r="CW523">
        <f>IF($CQ523=0,"",AZ523-AQ523)</f>
        <v/>
      </c>
      <c r="CX523">
        <f>IF($CQ523=0,0,IF(CS523=CN523,1,0))</f>
        <v/>
      </c>
      <c r="CY523">
        <f>IF($CQ523=0,0,IF(CR523=CM523,1,0))</f>
        <v/>
      </c>
      <c r="CZ523">
        <f>IF($A523="","",IF(AND(IF(DASHBOARD!$C$4="All",TRUE,$CM523=DASHBOARD!$C$4),IF(DASHBOARD!$C$6="All",TRUE,$CP523=DASHBOARD!$C$6),IF(DASHBOARD!$C$8="All",TRUE,$AF523&gt;=DASHBOARD!$C$8),IF(DASHBOARD!$C$10="All",TRUE,$AF523&lt;=DASHBOARD!$C$10),IF(DASHBOARD!$C$12="All",TRUE,$AH523=VALUE(DASHBOARD!$C$12)),IF(DASHBOARD!$C$14="All",TRUE,$AJ523=DASHBOARD!$C$14)),1,0))</f>
        <v/>
      </c>
    </row>
    <row r="524">
      <c r="A524" t="n">
        <v>235351</v>
      </c>
      <c r="B524" t="inlineStr">
        <is>
          <t>Face Malai</t>
        </is>
      </c>
      <c r="H524" t="inlineStr">
        <is>
          <t>Honey Multi-Nut (Dry &amp; Peeling Skin) Face Malai</t>
        </is>
      </c>
      <c r="N524" t="inlineStr">
        <is>
          <t>FC-DM-DP-030</t>
        </is>
      </c>
      <c r="T524" t="inlineStr">
        <is>
          <t>Jan 26, 2024</t>
        </is>
      </c>
      <c r="AE524" t="inlineStr">
        <is>
          <t>Agartala</t>
        </is>
      </c>
      <c r="AF524" t="inlineStr">
        <is>
          <t>2024-01</t>
        </is>
      </c>
      <c r="AG524" t="n">
        <v>1</v>
      </c>
      <c r="AH524" t="n">
        <v>1</v>
      </c>
      <c r="AI524" t="n">
        <v>0</v>
      </c>
      <c r="AJ524">
        <f>IF($AE524="","",IFERROR(VLOOKUP(TRIM($AE524),DECODE!$H$3:$I$60,2,FALSE),"Rest of India"))</f>
        <v/>
      </c>
      <c r="AK524">
        <f>IF($N524="","",UPPER(TRIM(LEFT($N524&amp;",",FIND(",",$N524&amp;",")-1))))</f>
        <v/>
      </c>
      <c r="AL524">
        <f>IF($AK524="","",MID($AK524,4,FIND("~",SUBSTITUTE($AK524,"-","~",2))-4))</f>
        <v/>
      </c>
      <c r="AM524">
        <f>IF($AK524="","",MID($AK524,FIND("~",SUBSTITUTE($AK524,"-","~",2))+1,FIND("~",SUBSTITUTE($AK524,"-","~",3))-FIND("~",SUBSTITUTE($AK524,"-","~",2))-1))</f>
        <v/>
      </c>
      <c r="AN524">
        <f>IF($AL524="","",IFERROR(VLOOKUP($AL524,DECODE!$A$3:$C$8,3,FALSE),"?"))</f>
        <v/>
      </c>
      <c r="AO524">
        <f>IF($AM524="","",IFERROR(VLOOKUP($AL524&amp;"-"&amp;$AM524,DECODE!$E$3:$F$21,2,FALSE),"?"))</f>
        <v/>
      </c>
      <c r="AP524">
        <f>IF($AK524="","",IFERROR(VALUE(RIGHT($AK524,3)),""))</f>
        <v/>
      </c>
      <c r="AQ524">
        <f>IF($T524="","",IFERROR(IF(ISNUMBER($T524),$T524,DATEVALUE(TRIM($T524))),""))</f>
        <v/>
      </c>
      <c r="AR524">
        <f>IF($AQ524="","",IF(MONTH($AQ524)&gt;=12,"Cold Winter",IF(MONTH($AQ524)&gt;=10,"Post-Monsoon",IF(MONTH($AQ524)&gt;=6,"Hot Humid",IF(MONTH($AQ524)&gt;=3,"Hot Dry","Cold Winter")))))</f>
        <v/>
      </c>
      <c r="AS524">
        <f>IF($AL524="","",IFERROR(VLOOKUP($AL524,DECODE!$A$3:$C$8,2,FALSE),"?"))</f>
        <v/>
      </c>
      <c r="AT524">
        <f>IF($O524="","",UPPER(TRIM(LEFT($O524&amp;",",FIND(",",$O524&amp;",")-1))))</f>
        <v/>
      </c>
      <c r="AU524">
        <f>IF($AT524="","",MID($AT524,4,FIND("~",SUBSTITUTE($AT524,"-","~",2))-4))</f>
        <v/>
      </c>
      <c r="AV524">
        <f>IF($AT524="","",MID($AT524,FIND("~",SUBSTITUTE($AT524,"-","~",2))+1,FIND("~",SUBSTITUTE($AT524,"-","~",3))-FIND("~",SUBSTITUTE($AT524,"-","~",2))-1))</f>
        <v/>
      </c>
      <c r="AW524">
        <f>IF($AU524="","",IFERROR(VLOOKUP($AU524,DECODE!$A$3:$C$8,3,FALSE),"?"))</f>
        <v/>
      </c>
      <c r="AX524">
        <f>IF($AV524="","",IFERROR(VLOOKUP($AU524&amp;"-"&amp;$AV524,DECODE!$E$3:$F$21,2,FALSE),"?"))</f>
        <v/>
      </c>
      <c r="AY524">
        <f>IF($AT524="","",IFERROR(VALUE(RIGHT($AT524,3)),""))</f>
        <v/>
      </c>
      <c r="AZ524">
        <f>IF($U524="","",IFERROR(IF(ISNUMBER($U524),$U524,DATEVALUE(TRIM($U524))),""))</f>
        <v/>
      </c>
      <c r="BA524">
        <f>IF($AZ524="","",IF(MONTH($AZ524)&gt;=12,"Cold Winter",IF(MONTH($AZ524)&gt;=10,"Post-Monsoon",IF(MONTH($AZ524)&gt;=6,"Hot Humid",IF(MONTH($AZ524)&gt;=3,"Hot Dry","Cold Winter")))))</f>
        <v/>
      </c>
      <c r="BB524">
        <f>IF($AU524="","",IFERROR(VLOOKUP($AU524,DECODE!$A$3:$C$8,2,FALSE),"?"))</f>
        <v/>
      </c>
      <c r="BC524">
        <f>IF($P524="","",UPPER(TRIM(LEFT($P524&amp;",",FIND(",",$P524&amp;",")-1))))</f>
        <v/>
      </c>
      <c r="BD524">
        <f>IF($BC524="","",MID($BC524,4,FIND("~",SUBSTITUTE($BC524,"-","~",2))-4))</f>
        <v/>
      </c>
      <c r="BE524">
        <f>IF($BC524="","",MID($BC524,FIND("~",SUBSTITUTE($BC524,"-","~",2))+1,FIND("~",SUBSTITUTE($BC524,"-","~",3))-FIND("~",SUBSTITUTE($BC524,"-","~",2))-1))</f>
        <v/>
      </c>
      <c r="BF524">
        <f>IF($BD524="","",IFERROR(VLOOKUP($BD524,DECODE!$A$3:$C$8,3,FALSE),"?"))</f>
        <v/>
      </c>
      <c r="BG524">
        <f>IF($BE524="","",IFERROR(VLOOKUP($BD524&amp;"-"&amp;$BE524,DECODE!$E$3:$F$21,2,FALSE),"?"))</f>
        <v/>
      </c>
      <c r="BH524">
        <f>IF($BC524="","",IFERROR(VALUE(RIGHT($BC524,3)),""))</f>
        <v/>
      </c>
      <c r="BI524">
        <f>IF($V524="","",IFERROR(IF(ISNUMBER($V524),$V524,DATEVALUE(TRIM($V524))),""))</f>
        <v/>
      </c>
      <c r="BJ524">
        <f>IF($BI524="","",IF(MONTH($BI524)&gt;=12,"Cold Winter",IF(MONTH($BI524)&gt;=10,"Post-Monsoon",IF(MONTH($BI524)&gt;=6,"Hot Humid",IF(MONTH($BI524)&gt;=3,"Hot Dry","Cold Winter")))))</f>
        <v/>
      </c>
      <c r="BK524">
        <f>IF($BD524="","",IFERROR(VLOOKUP($BD524,DECODE!$A$3:$C$8,2,FALSE),"?"))</f>
        <v/>
      </c>
      <c r="BL524">
        <f>IF($Q524="","",UPPER(TRIM(LEFT($Q524&amp;",",FIND(",",$Q524&amp;",")-1))))</f>
        <v/>
      </c>
      <c r="BM524">
        <f>IF($BL524="","",MID($BL524,4,FIND("~",SUBSTITUTE($BL524,"-","~",2))-4))</f>
        <v/>
      </c>
      <c r="BN524">
        <f>IF($BL524="","",MID($BL524,FIND("~",SUBSTITUTE($BL524,"-","~",2))+1,FIND("~",SUBSTITUTE($BL524,"-","~",3))-FIND("~",SUBSTITUTE($BL524,"-","~",2))-1))</f>
        <v/>
      </c>
      <c r="BO524">
        <f>IF($BM524="","",IFERROR(VLOOKUP($BM524,DECODE!$A$3:$C$8,3,FALSE),"?"))</f>
        <v/>
      </c>
      <c r="BP524">
        <f>IF($BN524="","",IFERROR(VLOOKUP($BM524&amp;"-"&amp;$BN524,DECODE!$E$3:$F$21,2,FALSE),"?"))</f>
        <v/>
      </c>
      <c r="BQ524">
        <f>IF($BL524="","",IFERROR(VALUE(RIGHT($BL524,3)),""))</f>
        <v/>
      </c>
      <c r="BR524">
        <f>IF($W524="","",IFERROR(IF(ISNUMBER($W524),$W524,DATEVALUE(TRIM($W524))),""))</f>
        <v/>
      </c>
      <c r="BS524">
        <f>IF($BR524="","",IF(MONTH($BR524)&gt;=12,"Cold Winter",IF(MONTH($BR524)&gt;=10,"Post-Monsoon",IF(MONTH($BR524)&gt;=6,"Hot Humid",IF(MONTH($BR524)&gt;=3,"Hot Dry","Cold Winter")))))</f>
        <v/>
      </c>
      <c r="BT524">
        <f>IF($BM524="","",IFERROR(VLOOKUP($BM524,DECODE!$A$3:$C$8,2,FALSE),"?"))</f>
        <v/>
      </c>
      <c r="BU524">
        <f>IF($R524="","",UPPER(TRIM(LEFT($R524&amp;",",FIND(",",$R524&amp;",")-1))))</f>
        <v/>
      </c>
      <c r="BV524">
        <f>IF($BU524="","",MID($BU524,4,FIND("~",SUBSTITUTE($BU524,"-","~",2))-4))</f>
        <v/>
      </c>
      <c r="BW524">
        <f>IF($BU524="","",MID($BU524,FIND("~",SUBSTITUTE($BU524,"-","~",2))+1,FIND("~",SUBSTITUTE($BU524,"-","~",3))-FIND("~",SUBSTITUTE($BU524,"-","~",2))-1))</f>
        <v/>
      </c>
      <c r="BX524">
        <f>IF($BV524="","",IFERROR(VLOOKUP($BV524,DECODE!$A$3:$C$8,3,FALSE),"?"))</f>
        <v/>
      </c>
      <c r="BY524">
        <f>IF($BW524="","",IFERROR(VLOOKUP($BV524&amp;"-"&amp;$BW524,DECODE!$E$3:$F$21,2,FALSE),"?"))</f>
        <v/>
      </c>
      <c r="BZ524">
        <f>IF($BU524="","",IFERROR(VALUE(RIGHT($BU524,3)),""))</f>
        <v/>
      </c>
      <c r="CA524">
        <f>IF($X524="","",IFERROR(IF(ISNUMBER($X524),$X524,DATEVALUE(TRIM($X524))),""))</f>
        <v/>
      </c>
      <c r="CB524">
        <f>IF($CA524="","",IF(MONTH($CA524)&gt;=12,"Cold Winter",IF(MONTH($CA524)&gt;=10,"Post-Monsoon",IF(MONTH($CA524)&gt;=6,"Hot Humid",IF(MONTH($CA524)&gt;=3,"Hot Dry","Cold Winter")))))</f>
        <v/>
      </c>
      <c r="CC524">
        <f>IF($BV524="","",IFERROR(VLOOKUP($BV524,DECODE!$A$3:$C$8,2,FALSE),"?"))</f>
        <v/>
      </c>
      <c r="CD524">
        <f>IF($S524="","",UPPER(TRIM(LEFT($S524&amp;",",FIND(",",$S524&amp;",")-1))))</f>
        <v/>
      </c>
      <c r="CE524">
        <f>IF($CD524="","",MID($CD524,4,FIND("~",SUBSTITUTE($CD524,"-","~",2))-4))</f>
        <v/>
      </c>
      <c r="CF524">
        <f>IF($CD524="","",MID($CD524,FIND("~",SUBSTITUTE($CD524,"-","~",2))+1,FIND("~",SUBSTITUTE($CD524,"-","~",3))-FIND("~",SUBSTITUTE($CD524,"-","~",2))-1))</f>
        <v/>
      </c>
      <c r="CG524">
        <f>IF($CE524="","",IFERROR(VLOOKUP($CE524,DECODE!$A$3:$C$8,3,FALSE),"?"))</f>
        <v/>
      </c>
      <c r="CH524">
        <f>IF($CF524="","",IFERROR(VLOOKUP($CE524&amp;"-"&amp;$CF524,DECODE!$E$3:$F$21,2,FALSE),"?"))</f>
        <v/>
      </c>
      <c r="CI524">
        <f>IF($CD524="","",IFERROR(VALUE(RIGHT($CD524,3)),""))</f>
        <v/>
      </c>
      <c r="CJ524">
        <f>IF($Y524="","",IFERROR(IF(ISNUMBER($Y524),$Y524,DATEVALUE(TRIM($Y524))),""))</f>
        <v/>
      </c>
      <c r="CK524">
        <f>IF($CJ524="","",IF(MONTH($CJ524)&gt;=12,"Cold Winter",IF(MONTH($CJ524)&gt;=10,"Post-Monsoon",IF(MONTH($CJ524)&gt;=6,"Hot Humid",IF(MONTH($CJ524)&gt;=3,"Hot Dry","Cold Winter")))))</f>
        <v/>
      </c>
      <c r="CL524">
        <f>IF($CE524="","",IFERROR(VLOOKUP($CE524,DECODE!$A$3:$C$8,2,FALSE),"?"))</f>
        <v/>
      </c>
      <c r="CM524">
        <f>IF($AN524="","",AN524)</f>
        <v/>
      </c>
      <c r="CN524">
        <f>IF($AO524="","",AO524)</f>
        <v/>
      </c>
      <c r="CO524">
        <f>IF($AP524="","",AP524)</f>
        <v/>
      </c>
      <c r="CP524">
        <f>IF($CM524="","",IF($CM524="Aloe Vera Gel","Aloe Vera Gel "&amp;$CO524&amp;"g",CN524&amp;" "&amp;$CO524&amp;"g"))</f>
        <v/>
      </c>
      <c r="CQ524">
        <f>IF($AT524="",0,1)</f>
        <v/>
      </c>
      <c r="CR524">
        <f>IF($CQ524=0,"",AW524)</f>
        <v/>
      </c>
      <c r="CS524">
        <f>IF($CQ524=0,"",AX524)</f>
        <v/>
      </c>
      <c r="CT524">
        <f>IF($CQ524=0,"",AY524)</f>
        <v/>
      </c>
      <c r="CU524">
        <f>IF($CR524="","",IF($CR524="Aloe Vera Gel","Aloe Vera Gel "&amp;$CT524&amp;"g",CS524&amp;" "&amp;$CT524&amp;"g"))</f>
        <v/>
      </c>
      <c r="CV524">
        <f>IF($CQ524=0,"",IF($CP524=$CU524,"Repeat Exact",IF($CT524&gt;$CO524,"Upsized",IF($CT524&lt;$CO524,"Downsized",IF($CM524&lt;&gt;$CR524,"Lateral","Same Size Diff Variant")))))</f>
        <v/>
      </c>
      <c r="CW524">
        <f>IF($CQ524=0,"",AZ524-AQ524)</f>
        <v/>
      </c>
      <c r="CX524">
        <f>IF($CQ524=0,0,IF(CS524=CN524,1,0))</f>
        <v/>
      </c>
      <c r="CY524">
        <f>IF($CQ524=0,0,IF(CR524=CM524,1,0))</f>
        <v/>
      </c>
      <c r="CZ524">
        <f>IF($A524="","",IF(AND(IF(DASHBOARD!$C$4="All",TRUE,$CM524=DASHBOARD!$C$4),IF(DASHBOARD!$C$6="All",TRUE,$CP524=DASHBOARD!$C$6),IF(DASHBOARD!$C$8="All",TRUE,$AF524&gt;=DASHBOARD!$C$8),IF(DASHBOARD!$C$10="All",TRUE,$AF524&lt;=DASHBOARD!$C$10),IF(DASHBOARD!$C$12="All",TRUE,$AH524=VALUE(DASHBOARD!$C$12)),IF(DASHBOARD!$C$14="All",TRUE,$AJ524=DASHBOARD!$C$14)),1,0))</f>
        <v/>
      </c>
    </row>
    <row r="525">
      <c r="A525" t="n">
        <v>235562</v>
      </c>
      <c r="B525" t="inlineStr">
        <is>
          <t>Aloe Vera Gel</t>
        </is>
      </c>
      <c r="H525" t="inlineStr">
        <is>
          <t>Aloe Vera Gel - 40 gms</t>
        </is>
      </c>
      <c r="N525" t="inlineStr">
        <is>
          <t>FC-HG-PA-040</t>
        </is>
      </c>
      <c r="T525" t="inlineStr">
        <is>
          <t>Feb 2, 2024</t>
        </is>
      </c>
      <c r="AE525" t="inlineStr">
        <is>
          <t>Tenali</t>
        </is>
      </c>
      <c r="AF525" t="inlineStr">
        <is>
          <t>2024-02</t>
        </is>
      </c>
      <c r="AG525" t="n">
        <v>2</v>
      </c>
      <c r="AH525" t="n">
        <v>1</v>
      </c>
      <c r="AI525" t="n">
        <v>0</v>
      </c>
      <c r="AJ525">
        <f>IF($AE525="","",IFERROR(VLOOKUP(TRIM($AE525),DECODE!$H$3:$I$60,2,FALSE),"Rest of India"))</f>
        <v/>
      </c>
      <c r="AK525">
        <f>IF($N525="","",UPPER(TRIM(LEFT($N525&amp;",",FIND(",",$N525&amp;",")-1))))</f>
        <v/>
      </c>
      <c r="AL525">
        <f>IF($AK525="","",MID($AK525,4,FIND("~",SUBSTITUTE($AK525,"-","~",2))-4))</f>
        <v/>
      </c>
      <c r="AM525">
        <f>IF($AK525="","",MID($AK525,FIND("~",SUBSTITUTE($AK525,"-","~",2))+1,FIND("~",SUBSTITUTE($AK525,"-","~",3))-FIND("~",SUBSTITUTE($AK525,"-","~",2))-1))</f>
        <v/>
      </c>
      <c r="AN525">
        <f>IF($AL525="","",IFERROR(VLOOKUP($AL525,DECODE!$A$3:$C$8,3,FALSE),"?"))</f>
        <v/>
      </c>
      <c r="AO525">
        <f>IF($AM525="","",IFERROR(VLOOKUP($AL525&amp;"-"&amp;$AM525,DECODE!$E$3:$F$21,2,FALSE),"?"))</f>
        <v/>
      </c>
      <c r="AP525">
        <f>IF($AK525="","",IFERROR(VALUE(RIGHT($AK525,3)),""))</f>
        <v/>
      </c>
      <c r="AQ525">
        <f>IF($T525="","",IFERROR(IF(ISNUMBER($T525),$T525,DATEVALUE(TRIM($T525))),""))</f>
        <v/>
      </c>
      <c r="AR525">
        <f>IF($AQ525="","",IF(MONTH($AQ525)&gt;=12,"Cold Winter",IF(MONTH($AQ525)&gt;=10,"Post-Monsoon",IF(MONTH($AQ525)&gt;=6,"Hot Humid",IF(MONTH($AQ525)&gt;=3,"Hot Dry","Cold Winter")))))</f>
        <v/>
      </c>
      <c r="AS525">
        <f>IF($AL525="","",IFERROR(VLOOKUP($AL525,DECODE!$A$3:$C$8,2,FALSE),"?"))</f>
        <v/>
      </c>
      <c r="AT525">
        <f>IF($O525="","",UPPER(TRIM(LEFT($O525&amp;",",FIND(",",$O525&amp;",")-1))))</f>
        <v/>
      </c>
      <c r="AU525">
        <f>IF($AT525="","",MID($AT525,4,FIND("~",SUBSTITUTE($AT525,"-","~",2))-4))</f>
        <v/>
      </c>
      <c r="AV525">
        <f>IF($AT525="","",MID($AT525,FIND("~",SUBSTITUTE($AT525,"-","~",2))+1,FIND("~",SUBSTITUTE($AT525,"-","~",3))-FIND("~",SUBSTITUTE($AT525,"-","~",2))-1))</f>
        <v/>
      </c>
      <c r="AW525">
        <f>IF($AU525="","",IFERROR(VLOOKUP($AU525,DECODE!$A$3:$C$8,3,FALSE),"?"))</f>
        <v/>
      </c>
      <c r="AX525">
        <f>IF($AV525="","",IFERROR(VLOOKUP($AU525&amp;"-"&amp;$AV525,DECODE!$E$3:$F$21,2,FALSE),"?"))</f>
        <v/>
      </c>
      <c r="AY525">
        <f>IF($AT525="","",IFERROR(VALUE(RIGHT($AT525,3)),""))</f>
        <v/>
      </c>
      <c r="AZ525">
        <f>IF($U525="","",IFERROR(IF(ISNUMBER($U525),$U525,DATEVALUE(TRIM($U525))),""))</f>
        <v/>
      </c>
      <c r="BA525">
        <f>IF($AZ525="","",IF(MONTH($AZ525)&gt;=12,"Cold Winter",IF(MONTH($AZ525)&gt;=10,"Post-Monsoon",IF(MONTH($AZ525)&gt;=6,"Hot Humid",IF(MONTH($AZ525)&gt;=3,"Hot Dry","Cold Winter")))))</f>
        <v/>
      </c>
      <c r="BB525">
        <f>IF($AU525="","",IFERROR(VLOOKUP($AU525,DECODE!$A$3:$C$8,2,FALSE),"?"))</f>
        <v/>
      </c>
      <c r="BC525">
        <f>IF($P525="","",UPPER(TRIM(LEFT($P525&amp;",",FIND(",",$P525&amp;",")-1))))</f>
        <v/>
      </c>
      <c r="BD525">
        <f>IF($BC525="","",MID($BC525,4,FIND("~",SUBSTITUTE($BC525,"-","~",2))-4))</f>
        <v/>
      </c>
      <c r="BE525">
        <f>IF($BC525="","",MID($BC525,FIND("~",SUBSTITUTE($BC525,"-","~",2))+1,FIND("~",SUBSTITUTE($BC525,"-","~",3))-FIND("~",SUBSTITUTE($BC525,"-","~",2))-1))</f>
        <v/>
      </c>
      <c r="BF525">
        <f>IF($BD525="","",IFERROR(VLOOKUP($BD525,DECODE!$A$3:$C$8,3,FALSE),"?"))</f>
        <v/>
      </c>
      <c r="BG525">
        <f>IF($BE525="","",IFERROR(VLOOKUP($BD525&amp;"-"&amp;$BE525,DECODE!$E$3:$F$21,2,FALSE),"?"))</f>
        <v/>
      </c>
      <c r="BH525">
        <f>IF($BC525="","",IFERROR(VALUE(RIGHT($BC525,3)),""))</f>
        <v/>
      </c>
      <c r="BI525">
        <f>IF($V525="","",IFERROR(IF(ISNUMBER($V525),$V525,DATEVALUE(TRIM($V525))),""))</f>
        <v/>
      </c>
      <c r="BJ525">
        <f>IF($BI525="","",IF(MONTH($BI525)&gt;=12,"Cold Winter",IF(MONTH($BI525)&gt;=10,"Post-Monsoon",IF(MONTH($BI525)&gt;=6,"Hot Humid",IF(MONTH($BI525)&gt;=3,"Hot Dry","Cold Winter")))))</f>
        <v/>
      </c>
      <c r="BK525">
        <f>IF($BD525="","",IFERROR(VLOOKUP($BD525,DECODE!$A$3:$C$8,2,FALSE),"?"))</f>
        <v/>
      </c>
      <c r="BL525">
        <f>IF($Q525="","",UPPER(TRIM(LEFT($Q525&amp;",",FIND(",",$Q525&amp;",")-1))))</f>
        <v/>
      </c>
      <c r="BM525">
        <f>IF($BL525="","",MID($BL525,4,FIND("~",SUBSTITUTE($BL525,"-","~",2))-4))</f>
        <v/>
      </c>
      <c r="BN525">
        <f>IF($BL525="","",MID($BL525,FIND("~",SUBSTITUTE($BL525,"-","~",2))+1,FIND("~",SUBSTITUTE($BL525,"-","~",3))-FIND("~",SUBSTITUTE($BL525,"-","~",2))-1))</f>
        <v/>
      </c>
      <c r="BO525">
        <f>IF($BM525="","",IFERROR(VLOOKUP($BM525,DECODE!$A$3:$C$8,3,FALSE),"?"))</f>
        <v/>
      </c>
      <c r="BP525">
        <f>IF($BN525="","",IFERROR(VLOOKUP($BM525&amp;"-"&amp;$BN525,DECODE!$E$3:$F$21,2,FALSE),"?"))</f>
        <v/>
      </c>
      <c r="BQ525">
        <f>IF($BL525="","",IFERROR(VALUE(RIGHT($BL525,3)),""))</f>
        <v/>
      </c>
      <c r="BR525">
        <f>IF($W525="","",IFERROR(IF(ISNUMBER($W525),$W525,DATEVALUE(TRIM($W525))),""))</f>
        <v/>
      </c>
      <c r="BS525">
        <f>IF($BR525="","",IF(MONTH($BR525)&gt;=12,"Cold Winter",IF(MONTH($BR525)&gt;=10,"Post-Monsoon",IF(MONTH($BR525)&gt;=6,"Hot Humid",IF(MONTH($BR525)&gt;=3,"Hot Dry","Cold Winter")))))</f>
        <v/>
      </c>
      <c r="BT525">
        <f>IF($BM525="","",IFERROR(VLOOKUP($BM525,DECODE!$A$3:$C$8,2,FALSE),"?"))</f>
        <v/>
      </c>
      <c r="BU525">
        <f>IF($R525="","",UPPER(TRIM(LEFT($R525&amp;",",FIND(",",$R525&amp;",")-1))))</f>
        <v/>
      </c>
      <c r="BV525">
        <f>IF($BU525="","",MID($BU525,4,FIND("~",SUBSTITUTE($BU525,"-","~",2))-4))</f>
        <v/>
      </c>
      <c r="BW525">
        <f>IF($BU525="","",MID($BU525,FIND("~",SUBSTITUTE($BU525,"-","~",2))+1,FIND("~",SUBSTITUTE($BU525,"-","~",3))-FIND("~",SUBSTITUTE($BU525,"-","~",2))-1))</f>
        <v/>
      </c>
      <c r="BX525">
        <f>IF($BV525="","",IFERROR(VLOOKUP($BV525,DECODE!$A$3:$C$8,3,FALSE),"?"))</f>
        <v/>
      </c>
      <c r="BY525">
        <f>IF($BW525="","",IFERROR(VLOOKUP($BV525&amp;"-"&amp;$BW525,DECODE!$E$3:$F$21,2,FALSE),"?"))</f>
        <v/>
      </c>
      <c r="BZ525">
        <f>IF($BU525="","",IFERROR(VALUE(RIGHT($BU525,3)),""))</f>
        <v/>
      </c>
      <c r="CA525">
        <f>IF($X525="","",IFERROR(IF(ISNUMBER($X525),$X525,DATEVALUE(TRIM($X525))),""))</f>
        <v/>
      </c>
      <c r="CB525">
        <f>IF($CA525="","",IF(MONTH($CA525)&gt;=12,"Cold Winter",IF(MONTH($CA525)&gt;=10,"Post-Monsoon",IF(MONTH($CA525)&gt;=6,"Hot Humid",IF(MONTH($CA525)&gt;=3,"Hot Dry","Cold Winter")))))</f>
        <v/>
      </c>
      <c r="CC525">
        <f>IF($BV525="","",IFERROR(VLOOKUP($BV525,DECODE!$A$3:$C$8,2,FALSE),"?"))</f>
        <v/>
      </c>
      <c r="CD525">
        <f>IF($S525="","",UPPER(TRIM(LEFT($S525&amp;",",FIND(",",$S525&amp;",")-1))))</f>
        <v/>
      </c>
      <c r="CE525">
        <f>IF($CD525="","",MID($CD525,4,FIND("~",SUBSTITUTE($CD525,"-","~",2))-4))</f>
        <v/>
      </c>
      <c r="CF525">
        <f>IF($CD525="","",MID($CD525,FIND("~",SUBSTITUTE($CD525,"-","~",2))+1,FIND("~",SUBSTITUTE($CD525,"-","~",3))-FIND("~",SUBSTITUTE($CD525,"-","~",2))-1))</f>
        <v/>
      </c>
      <c r="CG525">
        <f>IF($CE525="","",IFERROR(VLOOKUP($CE525,DECODE!$A$3:$C$8,3,FALSE),"?"))</f>
        <v/>
      </c>
      <c r="CH525">
        <f>IF($CF525="","",IFERROR(VLOOKUP($CE525&amp;"-"&amp;$CF525,DECODE!$E$3:$F$21,2,FALSE),"?"))</f>
        <v/>
      </c>
      <c r="CI525">
        <f>IF($CD525="","",IFERROR(VALUE(RIGHT($CD525,3)),""))</f>
        <v/>
      </c>
      <c r="CJ525">
        <f>IF($Y525="","",IFERROR(IF(ISNUMBER($Y525),$Y525,DATEVALUE(TRIM($Y525))),""))</f>
        <v/>
      </c>
      <c r="CK525">
        <f>IF($CJ525="","",IF(MONTH($CJ525)&gt;=12,"Cold Winter",IF(MONTH($CJ525)&gt;=10,"Post-Monsoon",IF(MONTH($CJ525)&gt;=6,"Hot Humid",IF(MONTH($CJ525)&gt;=3,"Hot Dry","Cold Winter")))))</f>
        <v/>
      </c>
      <c r="CL525">
        <f>IF($CE525="","",IFERROR(VLOOKUP($CE525,DECODE!$A$3:$C$8,2,FALSE),"?"))</f>
        <v/>
      </c>
      <c r="CM525">
        <f>IF($AN525="","",AN525)</f>
        <v/>
      </c>
      <c r="CN525">
        <f>IF($AO525="","",AO525)</f>
        <v/>
      </c>
      <c r="CO525">
        <f>IF($AP525="","",AP525)</f>
        <v/>
      </c>
      <c r="CP525">
        <f>IF($CM525="","",IF($CM525="Aloe Vera Gel","Aloe Vera Gel "&amp;$CO525&amp;"g",CN525&amp;" "&amp;$CO525&amp;"g"))</f>
        <v/>
      </c>
      <c r="CQ525">
        <f>IF($AT525="",0,1)</f>
        <v/>
      </c>
      <c r="CR525">
        <f>IF($CQ525=0,"",AW525)</f>
        <v/>
      </c>
      <c r="CS525">
        <f>IF($CQ525=0,"",AX525)</f>
        <v/>
      </c>
      <c r="CT525">
        <f>IF($CQ525=0,"",AY525)</f>
        <v/>
      </c>
      <c r="CU525">
        <f>IF($CR525="","",IF($CR525="Aloe Vera Gel","Aloe Vera Gel "&amp;$CT525&amp;"g",CS525&amp;" "&amp;$CT525&amp;"g"))</f>
        <v/>
      </c>
      <c r="CV525">
        <f>IF($CQ525=0,"",IF($CP525=$CU525,"Repeat Exact",IF($CT525&gt;$CO525,"Upsized",IF($CT525&lt;$CO525,"Downsized",IF($CM525&lt;&gt;$CR525,"Lateral","Same Size Diff Variant")))))</f>
        <v/>
      </c>
      <c r="CW525">
        <f>IF($CQ525=0,"",AZ525-AQ525)</f>
        <v/>
      </c>
      <c r="CX525">
        <f>IF($CQ525=0,0,IF(CS525=CN525,1,0))</f>
        <v/>
      </c>
      <c r="CY525">
        <f>IF($CQ525=0,0,IF(CR525=CM525,1,0))</f>
        <v/>
      </c>
      <c r="CZ525">
        <f>IF($A525="","",IF(AND(IF(DASHBOARD!$C$4="All",TRUE,$CM525=DASHBOARD!$C$4),IF(DASHBOARD!$C$6="All",TRUE,$CP525=DASHBOARD!$C$6),IF(DASHBOARD!$C$8="All",TRUE,$AF525&gt;=DASHBOARD!$C$8),IF(DASHBOARD!$C$10="All",TRUE,$AF525&lt;=DASHBOARD!$C$10),IF(DASHBOARD!$C$12="All",TRUE,$AH525=VALUE(DASHBOARD!$C$12)),IF(DASHBOARD!$C$14="All",TRUE,$AJ525=DASHBOARD!$C$14)),1,0))</f>
        <v/>
      </c>
    </row>
    <row r="526">
      <c r="A526" t="n">
        <v>235722</v>
      </c>
      <c r="B526" t="inlineStr">
        <is>
          <t>Face Malai</t>
        </is>
      </c>
      <c r="H526" t="inlineStr">
        <is>
          <t>Turmeric Nutmeg (Pigmentation)  Face Malai - 30g</t>
        </is>
      </c>
      <c r="N526" t="inlineStr">
        <is>
          <t>FC-DM-PG-030</t>
        </is>
      </c>
      <c r="T526" t="inlineStr">
        <is>
          <t>Apr 2, 2026</t>
        </is>
      </c>
      <c r="AE526" t="inlineStr">
        <is>
          <t>Gautam Buddha Nagar</t>
        </is>
      </c>
      <c r="AF526" t="inlineStr">
        <is>
          <t>2026-04</t>
        </is>
      </c>
      <c r="AG526" t="n">
        <v>4</v>
      </c>
      <c r="AH526" t="n">
        <v>1</v>
      </c>
      <c r="AI526" t="n">
        <v>0</v>
      </c>
      <c r="AJ526">
        <f>IF($AE526="","",IFERROR(VLOOKUP(TRIM($AE526),DECODE!$H$3:$I$60,2,FALSE),"Rest of India"))</f>
        <v/>
      </c>
      <c r="AK526">
        <f>IF($N526="","",UPPER(TRIM(LEFT($N526&amp;",",FIND(",",$N526&amp;",")-1))))</f>
        <v/>
      </c>
      <c r="AL526">
        <f>IF($AK526="","",MID($AK526,4,FIND("~",SUBSTITUTE($AK526,"-","~",2))-4))</f>
        <v/>
      </c>
      <c r="AM526">
        <f>IF($AK526="","",MID($AK526,FIND("~",SUBSTITUTE($AK526,"-","~",2))+1,FIND("~",SUBSTITUTE($AK526,"-","~",3))-FIND("~",SUBSTITUTE($AK526,"-","~",2))-1))</f>
        <v/>
      </c>
      <c r="AN526">
        <f>IF($AL526="","",IFERROR(VLOOKUP($AL526,DECODE!$A$3:$C$8,3,FALSE),"?"))</f>
        <v/>
      </c>
      <c r="AO526">
        <f>IF($AM526="","",IFERROR(VLOOKUP($AL526&amp;"-"&amp;$AM526,DECODE!$E$3:$F$21,2,FALSE),"?"))</f>
        <v/>
      </c>
      <c r="AP526">
        <f>IF($AK526="","",IFERROR(VALUE(RIGHT($AK526,3)),""))</f>
        <v/>
      </c>
      <c r="AQ526">
        <f>IF($T526="","",IFERROR(IF(ISNUMBER($T526),$T526,DATEVALUE(TRIM($T526))),""))</f>
        <v/>
      </c>
      <c r="AR526">
        <f>IF($AQ526="","",IF(MONTH($AQ526)&gt;=12,"Cold Winter",IF(MONTH($AQ526)&gt;=10,"Post-Monsoon",IF(MONTH($AQ526)&gt;=6,"Hot Humid",IF(MONTH($AQ526)&gt;=3,"Hot Dry","Cold Winter")))))</f>
        <v/>
      </c>
      <c r="AS526">
        <f>IF($AL526="","",IFERROR(VLOOKUP($AL526,DECODE!$A$3:$C$8,2,FALSE),"?"))</f>
        <v/>
      </c>
      <c r="AT526">
        <f>IF($O526="","",UPPER(TRIM(LEFT($O526&amp;",",FIND(",",$O526&amp;",")-1))))</f>
        <v/>
      </c>
      <c r="AU526">
        <f>IF($AT526="","",MID($AT526,4,FIND("~",SUBSTITUTE($AT526,"-","~",2))-4))</f>
        <v/>
      </c>
      <c r="AV526">
        <f>IF($AT526="","",MID($AT526,FIND("~",SUBSTITUTE($AT526,"-","~",2))+1,FIND("~",SUBSTITUTE($AT526,"-","~",3))-FIND("~",SUBSTITUTE($AT526,"-","~",2))-1))</f>
        <v/>
      </c>
      <c r="AW526">
        <f>IF($AU526="","",IFERROR(VLOOKUP($AU526,DECODE!$A$3:$C$8,3,FALSE),"?"))</f>
        <v/>
      </c>
      <c r="AX526">
        <f>IF($AV526="","",IFERROR(VLOOKUP($AU526&amp;"-"&amp;$AV526,DECODE!$E$3:$F$21,2,FALSE),"?"))</f>
        <v/>
      </c>
      <c r="AY526">
        <f>IF($AT526="","",IFERROR(VALUE(RIGHT($AT526,3)),""))</f>
        <v/>
      </c>
      <c r="AZ526">
        <f>IF($U526="","",IFERROR(IF(ISNUMBER($U526),$U526,DATEVALUE(TRIM($U526))),""))</f>
        <v/>
      </c>
      <c r="BA526">
        <f>IF($AZ526="","",IF(MONTH($AZ526)&gt;=12,"Cold Winter",IF(MONTH($AZ526)&gt;=10,"Post-Monsoon",IF(MONTH($AZ526)&gt;=6,"Hot Humid",IF(MONTH($AZ526)&gt;=3,"Hot Dry","Cold Winter")))))</f>
        <v/>
      </c>
      <c r="BB526">
        <f>IF($AU526="","",IFERROR(VLOOKUP($AU526,DECODE!$A$3:$C$8,2,FALSE),"?"))</f>
        <v/>
      </c>
      <c r="BC526">
        <f>IF($P526="","",UPPER(TRIM(LEFT($P526&amp;",",FIND(",",$P526&amp;",")-1))))</f>
        <v/>
      </c>
      <c r="BD526">
        <f>IF($BC526="","",MID($BC526,4,FIND("~",SUBSTITUTE($BC526,"-","~",2))-4))</f>
        <v/>
      </c>
      <c r="BE526">
        <f>IF($BC526="","",MID($BC526,FIND("~",SUBSTITUTE($BC526,"-","~",2))+1,FIND("~",SUBSTITUTE($BC526,"-","~",3))-FIND("~",SUBSTITUTE($BC526,"-","~",2))-1))</f>
        <v/>
      </c>
      <c r="BF526">
        <f>IF($BD526="","",IFERROR(VLOOKUP($BD526,DECODE!$A$3:$C$8,3,FALSE),"?"))</f>
        <v/>
      </c>
      <c r="BG526">
        <f>IF($BE526="","",IFERROR(VLOOKUP($BD526&amp;"-"&amp;$BE526,DECODE!$E$3:$F$21,2,FALSE),"?"))</f>
        <v/>
      </c>
      <c r="BH526">
        <f>IF($BC526="","",IFERROR(VALUE(RIGHT($BC526,3)),""))</f>
        <v/>
      </c>
      <c r="BI526">
        <f>IF($V526="","",IFERROR(IF(ISNUMBER($V526),$V526,DATEVALUE(TRIM($V526))),""))</f>
        <v/>
      </c>
      <c r="BJ526">
        <f>IF($BI526="","",IF(MONTH($BI526)&gt;=12,"Cold Winter",IF(MONTH($BI526)&gt;=10,"Post-Monsoon",IF(MONTH($BI526)&gt;=6,"Hot Humid",IF(MONTH($BI526)&gt;=3,"Hot Dry","Cold Winter")))))</f>
        <v/>
      </c>
      <c r="BK526">
        <f>IF($BD526="","",IFERROR(VLOOKUP($BD526,DECODE!$A$3:$C$8,2,FALSE),"?"))</f>
        <v/>
      </c>
      <c r="BL526">
        <f>IF($Q526="","",UPPER(TRIM(LEFT($Q526&amp;",",FIND(",",$Q526&amp;",")-1))))</f>
        <v/>
      </c>
      <c r="BM526">
        <f>IF($BL526="","",MID($BL526,4,FIND("~",SUBSTITUTE($BL526,"-","~",2))-4))</f>
        <v/>
      </c>
      <c r="BN526">
        <f>IF($BL526="","",MID($BL526,FIND("~",SUBSTITUTE($BL526,"-","~",2))+1,FIND("~",SUBSTITUTE($BL526,"-","~",3))-FIND("~",SUBSTITUTE($BL526,"-","~",2))-1))</f>
        <v/>
      </c>
      <c r="BO526">
        <f>IF($BM526="","",IFERROR(VLOOKUP($BM526,DECODE!$A$3:$C$8,3,FALSE),"?"))</f>
        <v/>
      </c>
      <c r="BP526">
        <f>IF($BN526="","",IFERROR(VLOOKUP($BM526&amp;"-"&amp;$BN526,DECODE!$E$3:$F$21,2,FALSE),"?"))</f>
        <v/>
      </c>
      <c r="BQ526">
        <f>IF($BL526="","",IFERROR(VALUE(RIGHT($BL526,3)),""))</f>
        <v/>
      </c>
      <c r="BR526">
        <f>IF($W526="","",IFERROR(IF(ISNUMBER($W526),$W526,DATEVALUE(TRIM($W526))),""))</f>
        <v/>
      </c>
      <c r="BS526">
        <f>IF($BR526="","",IF(MONTH($BR526)&gt;=12,"Cold Winter",IF(MONTH($BR526)&gt;=10,"Post-Monsoon",IF(MONTH($BR526)&gt;=6,"Hot Humid",IF(MONTH($BR526)&gt;=3,"Hot Dry","Cold Winter")))))</f>
        <v/>
      </c>
      <c r="BT526">
        <f>IF($BM526="","",IFERROR(VLOOKUP($BM526,DECODE!$A$3:$C$8,2,FALSE),"?"))</f>
        <v/>
      </c>
      <c r="BU526">
        <f>IF($R526="","",UPPER(TRIM(LEFT($R526&amp;",",FIND(",",$R526&amp;",")-1))))</f>
        <v/>
      </c>
      <c r="BV526">
        <f>IF($BU526="","",MID($BU526,4,FIND("~",SUBSTITUTE($BU526,"-","~",2))-4))</f>
        <v/>
      </c>
      <c r="BW526">
        <f>IF($BU526="","",MID($BU526,FIND("~",SUBSTITUTE($BU526,"-","~",2))+1,FIND("~",SUBSTITUTE($BU526,"-","~",3))-FIND("~",SUBSTITUTE($BU526,"-","~",2))-1))</f>
        <v/>
      </c>
      <c r="BX526">
        <f>IF($BV526="","",IFERROR(VLOOKUP($BV526,DECODE!$A$3:$C$8,3,FALSE),"?"))</f>
        <v/>
      </c>
      <c r="BY526">
        <f>IF($BW526="","",IFERROR(VLOOKUP($BV526&amp;"-"&amp;$BW526,DECODE!$E$3:$F$21,2,FALSE),"?"))</f>
        <v/>
      </c>
      <c r="BZ526">
        <f>IF($BU526="","",IFERROR(VALUE(RIGHT($BU526,3)),""))</f>
        <v/>
      </c>
      <c r="CA526">
        <f>IF($X526="","",IFERROR(IF(ISNUMBER($X526),$X526,DATEVALUE(TRIM($X526))),""))</f>
        <v/>
      </c>
      <c r="CB526">
        <f>IF($CA526="","",IF(MONTH($CA526)&gt;=12,"Cold Winter",IF(MONTH($CA526)&gt;=10,"Post-Monsoon",IF(MONTH($CA526)&gt;=6,"Hot Humid",IF(MONTH($CA526)&gt;=3,"Hot Dry","Cold Winter")))))</f>
        <v/>
      </c>
      <c r="CC526">
        <f>IF($BV526="","",IFERROR(VLOOKUP($BV526,DECODE!$A$3:$C$8,2,FALSE),"?"))</f>
        <v/>
      </c>
      <c r="CD526">
        <f>IF($S526="","",UPPER(TRIM(LEFT($S526&amp;",",FIND(",",$S526&amp;",")-1))))</f>
        <v/>
      </c>
      <c r="CE526">
        <f>IF($CD526="","",MID($CD526,4,FIND("~",SUBSTITUTE($CD526,"-","~",2))-4))</f>
        <v/>
      </c>
      <c r="CF526">
        <f>IF($CD526="","",MID($CD526,FIND("~",SUBSTITUTE($CD526,"-","~",2))+1,FIND("~",SUBSTITUTE($CD526,"-","~",3))-FIND("~",SUBSTITUTE($CD526,"-","~",2))-1))</f>
        <v/>
      </c>
      <c r="CG526">
        <f>IF($CE526="","",IFERROR(VLOOKUP($CE526,DECODE!$A$3:$C$8,3,FALSE),"?"))</f>
        <v/>
      </c>
      <c r="CH526">
        <f>IF($CF526="","",IFERROR(VLOOKUP($CE526&amp;"-"&amp;$CF526,DECODE!$E$3:$F$21,2,FALSE),"?"))</f>
        <v/>
      </c>
      <c r="CI526">
        <f>IF($CD526="","",IFERROR(VALUE(RIGHT($CD526,3)),""))</f>
        <v/>
      </c>
      <c r="CJ526">
        <f>IF($Y526="","",IFERROR(IF(ISNUMBER($Y526),$Y526,DATEVALUE(TRIM($Y526))),""))</f>
        <v/>
      </c>
      <c r="CK526">
        <f>IF($CJ526="","",IF(MONTH($CJ526)&gt;=12,"Cold Winter",IF(MONTH($CJ526)&gt;=10,"Post-Monsoon",IF(MONTH($CJ526)&gt;=6,"Hot Humid",IF(MONTH($CJ526)&gt;=3,"Hot Dry","Cold Winter")))))</f>
        <v/>
      </c>
      <c r="CL526">
        <f>IF($CE526="","",IFERROR(VLOOKUP($CE526,DECODE!$A$3:$C$8,2,FALSE),"?"))</f>
        <v/>
      </c>
      <c r="CM526">
        <f>IF($AN526="","",AN526)</f>
        <v/>
      </c>
      <c r="CN526">
        <f>IF($AO526="","",AO526)</f>
        <v/>
      </c>
      <c r="CO526">
        <f>IF($AP526="","",AP526)</f>
        <v/>
      </c>
      <c r="CP526">
        <f>IF($CM526="","",IF($CM526="Aloe Vera Gel","Aloe Vera Gel "&amp;$CO526&amp;"g",CN526&amp;" "&amp;$CO526&amp;"g"))</f>
        <v/>
      </c>
      <c r="CQ526">
        <f>IF($AT526="",0,1)</f>
        <v/>
      </c>
      <c r="CR526">
        <f>IF($CQ526=0,"",AW526)</f>
        <v/>
      </c>
      <c r="CS526">
        <f>IF($CQ526=0,"",AX526)</f>
        <v/>
      </c>
      <c r="CT526">
        <f>IF($CQ526=0,"",AY526)</f>
        <v/>
      </c>
      <c r="CU526">
        <f>IF($CR526="","",IF($CR526="Aloe Vera Gel","Aloe Vera Gel "&amp;$CT526&amp;"g",CS526&amp;" "&amp;$CT526&amp;"g"))</f>
        <v/>
      </c>
      <c r="CV526">
        <f>IF($CQ526=0,"",IF($CP526=$CU526,"Repeat Exact",IF($CT526&gt;$CO526,"Upsized",IF($CT526&lt;$CO526,"Downsized",IF($CM526&lt;&gt;$CR526,"Lateral","Same Size Diff Variant")))))</f>
        <v/>
      </c>
      <c r="CW526">
        <f>IF($CQ526=0,"",AZ526-AQ526)</f>
        <v/>
      </c>
      <c r="CX526">
        <f>IF($CQ526=0,0,IF(CS526=CN526,1,0))</f>
        <v/>
      </c>
      <c r="CY526">
        <f>IF($CQ526=0,0,IF(CR526=CM526,1,0))</f>
        <v/>
      </c>
      <c r="CZ526">
        <f>IF($A526="","",IF(AND(IF(DASHBOARD!$C$4="All",TRUE,$CM526=DASHBOARD!$C$4),IF(DASHBOARD!$C$6="All",TRUE,$CP526=DASHBOARD!$C$6),IF(DASHBOARD!$C$8="All",TRUE,$AF526&gt;=DASHBOARD!$C$8),IF(DASHBOARD!$C$10="All",TRUE,$AF526&lt;=DASHBOARD!$C$10),IF(DASHBOARD!$C$12="All",TRUE,$AH526=VALUE(DASHBOARD!$C$12)),IF(DASHBOARD!$C$14="All",TRUE,$AJ526=DASHBOARD!$C$14)),1,0))</f>
        <v/>
      </c>
    </row>
    <row r="527">
      <c r="A527" t="n">
        <v>236109</v>
      </c>
      <c r="B527" t="inlineStr">
        <is>
          <t>Aloe Vera Gel</t>
        </is>
      </c>
      <c r="H527" t="inlineStr">
        <is>
          <t>Aloe Vera Gel - 40 gms</t>
        </is>
      </c>
      <c r="N527" t="inlineStr">
        <is>
          <t>FC-HG-PA-040</t>
        </is>
      </c>
      <c r="T527" t="inlineStr">
        <is>
          <t>Apr 5, 2024</t>
        </is>
      </c>
      <c r="AE527" t="inlineStr">
        <is>
          <t>Trivandrum</t>
        </is>
      </c>
      <c r="AF527" t="inlineStr">
        <is>
          <t>2024-04</t>
        </is>
      </c>
      <c r="AG527" t="n">
        <v>4</v>
      </c>
      <c r="AH527" t="n">
        <v>1</v>
      </c>
      <c r="AI527" t="n">
        <v>0</v>
      </c>
      <c r="AJ527">
        <f>IF($AE527="","",IFERROR(VLOOKUP(TRIM($AE527),DECODE!$H$3:$I$60,2,FALSE),"Rest of India"))</f>
        <v/>
      </c>
      <c r="AK527">
        <f>IF($N527="","",UPPER(TRIM(LEFT($N527&amp;",",FIND(",",$N527&amp;",")-1))))</f>
        <v/>
      </c>
      <c r="AL527">
        <f>IF($AK527="","",MID($AK527,4,FIND("~",SUBSTITUTE($AK527,"-","~",2))-4))</f>
        <v/>
      </c>
      <c r="AM527">
        <f>IF($AK527="","",MID($AK527,FIND("~",SUBSTITUTE($AK527,"-","~",2))+1,FIND("~",SUBSTITUTE($AK527,"-","~",3))-FIND("~",SUBSTITUTE($AK527,"-","~",2))-1))</f>
        <v/>
      </c>
      <c r="AN527">
        <f>IF($AL527="","",IFERROR(VLOOKUP($AL527,DECODE!$A$3:$C$8,3,FALSE),"?"))</f>
        <v/>
      </c>
      <c r="AO527">
        <f>IF($AM527="","",IFERROR(VLOOKUP($AL527&amp;"-"&amp;$AM527,DECODE!$E$3:$F$21,2,FALSE),"?"))</f>
        <v/>
      </c>
      <c r="AP527">
        <f>IF($AK527="","",IFERROR(VALUE(RIGHT($AK527,3)),""))</f>
        <v/>
      </c>
      <c r="AQ527">
        <f>IF($T527="","",IFERROR(IF(ISNUMBER($T527),$T527,DATEVALUE(TRIM($T527))),""))</f>
        <v/>
      </c>
      <c r="AR527">
        <f>IF($AQ527="","",IF(MONTH($AQ527)&gt;=12,"Cold Winter",IF(MONTH($AQ527)&gt;=10,"Post-Monsoon",IF(MONTH($AQ527)&gt;=6,"Hot Humid",IF(MONTH($AQ527)&gt;=3,"Hot Dry","Cold Winter")))))</f>
        <v/>
      </c>
      <c r="AS527">
        <f>IF($AL527="","",IFERROR(VLOOKUP($AL527,DECODE!$A$3:$C$8,2,FALSE),"?"))</f>
        <v/>
      </c>
      <c r="AT527">
        <f>IF($O527="","",UPPER(TRIM(LEFT($O527&amp;",",FIND(",",$O527&amp;",")-1))))</f>
        <v/>
      </c>
      <c r="AU527">
        <f>IF($AT527="","",MID($AT527,4,FIND("~",SUBSTITUTE($AT527,"-","~",2))-4))</f>
        <v/>
      </c>
      <c r="AV527">
        <f>IF($AT527="","",MID($AT527,FIND("~",SUBSTITUTE($AT527,"-","~",2))+1,FIND("~",SUBSTITUTE($AT527,"-","~",3))-FIND("~",SUBSTITUTE($AT527,"-","~",2))-1))</f>
        <v/>
      </c>
      <c r="AW527">
        <f>IF($AU527="","",IFERROR(VLOOKUP($AU527,DECODE!$A$3:$C$8,3,FALSE),"?"))</f>
        <v/>
      </c>
      <c r="AX527">
        <f>IF($AV527="","",IFERROR(VLOOKUP($AU527&amp;"-"&amp;$AV527,DECODE!$E$3:$F$21,2,FALSE),"?"))</f>
        <v/>
      </c>
      <c r="AY527">
        <f>IF($AT527="","",IFERROR(VALUE(RIGHT($AT527,3)),""))</f>
        <v/>
      </c>
      <c r="AZ527">
        <f>IF($U527="","",IFERROR(IF(ISNUMBER($U527),$U527,DATEVALUE(TRIM($U527))),""))</f>
        <v/>
      </c>
      <c r="BA527">
        <f>IF($AZ527="","",IF(MONTH($AZ527)&gt;=12,"Cold Winter",IF(MONTH($AZ527)&gt;=10,"Post-Monsoon",IF(MONTH($AZ527)&gt;=6,"Hot Humid",IF(MONTH($AZ527)&gt;=3,"Hot Dry","Cold Winter")))))</f>
        <v/>
      </c>
      <c r="BB527">
        <f>IF($AU527="","",IFERROR(VLOOKUP($AU527,DECODE!$A$3:$C$8,2,FALSE),"?"))</f>
        <v/>
      </c>
      <c r="BC527">
        <f>IF($P527="","",UPPER(TRIM(LEFT($P527&amp;",",FIND(",",$P527&amp;",")-1))))</f>
        <v/>
      </c>
      <c r="BD527">
        <f>IF($BC527="","",MID($BC527,4,FIND("~",SUBSTITUTE($BC527,"-","~",2))-4))</f>
        <v/>
      </c>
      <c r="BE527">
        <f>IF($BC527="","",MID($BC527,FIND("~",SUBSTITUTE($BC527,"-","~",2))+1,FIND("~",SUBSTITUTE($BC527,"-","~",3))-FIND("~",SUBSTITUTE($BC527,"-","~",2))-1))</f>
        <v/>
      </c>
      <c r="BF527">
        <f>IF($BD527="","",IFERROR(VLOOKUP($BD527,DECODE!$A$3:$C$8,3,FALSE),"?"))</f>
        <v/>
      </c>
      <c r="BG527">
        <f>IF($BE527="","",IFERROR(VLOOKUP($BD527&amp;"-"&amp;$BE527,DECODE!$E$3:$F$21,2,FALSE),"?"))</f>
        <v/>
      </c>
      <c r="BH527">
        <f>IF($BC527="","",IFERROR(VALUE(RIGHT($BC527,3)),""))</f>
        <v/>
      </c>
      <c r="BI527">
        <f>IF($V527="","",IFERROR(IF(ISNUMBER($V527),$V527,DATEVALUE(TRIM($V527))),""))</f>
        <v/>
      </c>
      <c r="BJ527">
        <f>IF($BI527="","",IF(MONTH($BI527)&gt;=12,"Cold Winter",IF(MONTH($BI527)&gt;=10,"Post-Monsoon",IF(MONTH($BI527)&gt;=6,"Hot Humid",IF(MONTH($BI527)&gt;=3,"Hot Dry","Cold Winter")))))</f>
        <v/>
      </c>
      <c r="BK527">
        <f>IF($BD527="","",IFERROR(VLOOKUP($BD527,DECODE!$A$3:$C$8,2,FALSE),"?"))</f>
        <v/>
      </c>
      <c r="BL527">
        <f>IF($Q527="","",UPPER(TRIM(LEFT($Q527&amp;",",FIND(",",$Q527&amp;",")-1))))</f>
        <v/>
      </c>
      <c r="BM527">
        <f>IF($BL527="","",MID($BL527,4,FIND("~",SUBSTITUTE($BL527,"-","~",2))-4))</f>
        <v/>
      </c>
      <c r="BN527">
        <f>IF($BL527="","",MID($BL527,FIND("~",SUBSTITUTE($BL527,"-","~",2))+1,FIND("~",SUBSTITUTE($BL527,"-","~",3))-FIND("~",SUBSTITUTE($BL527,"-","~",2))-1))</f>
        <v/>
      </c>
      <c r="BO527">
        <f>IF($BM527="","",IFERROR(VLOOKUP($BM527,DECODE!$A$3:$C$8,3,FALSE),"?"))</f>
        <v/>
      </c>
      <c r="BP527">
        <f>IF($BN527="","",IFERROR(VLOOKUP($BM527&amp;"-"&amp;$BN527,DECODE!$E$3:$F$21,2,FALSE),"?"))</f>
        <v/>
      </c>
      <c r="BQ527">
        <f>IF($BL527="","",IFERROR(VALUE(RIGHT($BL527,3)),""))</f>
        <v/>
      </c>
      <c r="BR527">
        <f>IF($W527="","",IFERROR(IF(ISNUMBER($W527),$W527,DATEVALUE(TRIM($W527))),""))</f>
        <v/>
      </c>
      <c r="BS527">
        <f>IF($BR527="","",IF(MONTH($BR527)&gt;=12,"Cold Winter",IF(MONTH($BR527)&gt;=10,"Post-Monsoon",IF(MONTH($BR527)&gt;=6,"Hot Humid",IF(MONTH($BR527)&gt;=3,"Hot Dry","Cold Winter")))))</f>
        <v/>
      </c>
      <c r="BT527">
        <f>IF($BM527="","",IFERROR(VLOOKUP($BM527,DECODE!$A$3:$C$8,2,FALSE),"?"))</f>
        <v/>
      </c>
      <c r="BU527">
        <f>IF($R527="","",UPPER(TRIM(LEFT($R527&amp;",",FIND(",",$R527&amp;",")-1))))</f>
        <v/>
      </c>
      <c r="BV527">
        <f>IF($BU527="","",MID($BU527,4,FIND("~",SUBSTITUTE($BU527,"-","~",2))-4))</f>
        <v/>
      </c>
      <c r="BW527">
        <f>IF($BU527="","",MID($BU527,FIND("~",SUBSTITUTE($BU527,"-","~",2))+1,FIND("~",SUBSTITUTE($BU527,"-","~",3))-FIND("~",SUBSTITUTE($BU527,"-","~",2))-1))</f>
        <v/>
      </c>
      <c r="BX527">
        <f>IF($BV527="","",IFERROR(VLOOKUP($BV527,DECODE!$A$3:$C$8,3,FALSE),"?"))</f>
        <v/>
      </c>
      <c r="BY527">
        <f>IF($BW527="","",IFERROR(VLOOKUP($BV527&amp;"-"&amp;$BW527,DECODE!$E$3:$F$21,2,FALSE),"?"))</f>
        <v/>
      </c>
      <c r="BZ527">
        <f>IF($BU527="","",IFERROR(VALUE(RIGHT($BU527,3)),""))</f>
        <v/>
      </c>
      <c r="CA527">
        <f>IF($X527="","",IFERROR(IF(ISNUMBER($X527),$X527,DATEVALUE(TRIM($X527))),""))</f>
        <v/>
      </c>
      <c r="CB527">
        <f>IF($CA527="","",IF(MONTH($CA527)&gt;=12,"Cold Winter",IF(MONTH($CA527)&gt;=10,"Post-Monsoon",IF(MONTH($CA527)&gt;=6,"Hot Humid",IF(MONTH($CA527)&gt;=3,"Hot Dry","Cold Winter")))))</f>
        <v/>
      </c>
      <c r="CC527">
        <f>IF($BV527="","",IFERROR(VLOOKUP($BV527,DECODE!$A$3:$C$8,2,FALSE),"?"))</f>
        <v/>
      </c>
      <c r="CD527">
        <f>IF($S527="","",UPPER(TRIM(LEFT($S527&amp;",",FIND(",",$S527&amp;",")-1))))</f>
        <v/>
      </c>
      <c r="CE527">
        <f>IF($CD527="","",MID($CD527,4,FIND("~",SUBSTITUTE($CD527,"-","~",2))-4))</f>
        <v/>
      </c>
      <c r="CF527">
        <f>IF($CD527="","",MID($CD527,FIND("~",SUBSTITUTE($CD527,"-","~",2))+1,FIND("~",SUBSTITUTE($CD527,"-","~",3))-FIND("~",SUBSTITUTE($CD527,"-","~",2))-1))</f>
        <v/>
      </c>
      <c r="CG527">
        <f>IF($CE527="","",IFERROR(VLOOKUP($CE527,DECODE!$A$3:$C$8,3,FALSE),"?"))</f>
        <v/>
      </c>
      <c r="CH527">
        <f>IF($CF527="","",IFERROR(VLOOKUP($CE527&amp;"-"&amp;$CF527,DECODE!$E$3:$F$21,2,FALSE),"?"))</f>
        <v/>
      </c>
      <c r="CI527">
        <f>IF($CD527="","",IFERROR(VALUE(RIGHT($CD527,3)),""))</f>
        <v/>
      </c>
      <c r="CJ527">
        <f>IF($Y527="","",IFERROR(IF(ISNUMBER($Y527),$Y527,DATEVALUE(TRIM($Y527))),""))</f>
        <v/>
      </c>
      <c r="CK527">
        <f>IF($CJ527="","",IF(MONTH($CJ527)&gt;=12,"Cold Winter",IF(MONTH($CJ527)&gt;=10,"Post-Monsoon",IF(MONTH($CJ527)&gt;=6,"Hot Humid",IF(MONTH($CJ527)&gt;=3,"Hot Dry","Cold Winter")))))</f>
        <v/>
      </c>
      <c r="CL527">
        <f>IF($CE527="","",IFERROR(VLOOKUP($CE527,DECODE!$A$3:$C$8,2,FALSE),"?"))</f>
        <v/>
      </c>
      <c r="CM527">
        <f>IF($AN527="","",AN527)</f>
        <v/>
      </c>
      <c r="CN527">
        <f>IF($AO527="","",AO527)</f>
        <v/>
      </c>
      <c r="CO527">
        <f>IF($AP527="","",AP527)</f>
        <v/>
      </c>
      <c r="CP527">
        <f>IF($CM527="","",IF($CM527="Aloe Vera Gel","Aloe Vera Gel "&amp;$CO527&amp;"g",CN527&amp;" "&amp;$CO527&amp;"g"))</f>
        <v/>
      </c>
      <c r="CQ527">
        <f>IF($AT527="",0,1)</f>
        <v/>
      </c>
      <c r="CR527">
        <f>IF($CQ527=0,"",AW527)</f>
        <v/>
      </c>
      <c r="CS527">
        <f>IF($CQ527=0,"",AX527)</f>
        <v/>
      </c>
      <c r="CT527">
        <f>IF($CQ527=0,"",AY527)</f>
        <v/>
      </c>
      <c r="CU527">
        <f>IF($CR527="","",IF($CR527="Aloe Vera Gel","Aloe Vera Gel "&amp;$CT527&amp;"g",CS527&amp;" "&amp;$CT527&amp;"g"))</f>
        <v/>
      </c>
      <c r="CV527">
        <f>IF($CQ527=0,"",IF($CP527=$CU527,"Repeat Exact",IF($CT527&gt;$CO527,"Upsized",IF($CT527&lt;$CO527,"Downsized",IF($CM527&lt;&gt;$CR527,"Lateral","Same Size Diff Variant")))))</f>
        <v/>
      </c>
      <c r="CW527">
        <f>IF($CQ527=0,"",AZ527-AQ527)</f>
        <v/>
      </c>
      <c r="CX527">
        <f>IF($CQ527=0,0,IF(CS527=CN527,1,0))</f>
        <v/>
      </c>
      <c r="CY527">
        <f>IF($CQ527=0,0,IF(CR527=CM527,1,0))</f>
        <v/>
      </c>
      <c r="CZ527">
        <f>IF($A527="","",IF(AND(IF(DASHBOARD!$C$4="All",TRUE,$CM527=DASHBOARD!$C$4),IF(DASHBOARD!$C$6="All",TRUE,$CP527=DASHBOARD!$C$6),IF(DASHBOARD!$C$8="All",TRUE,$AF527&gt;=DASHBOARD!$C$8),IF(DASHBOARD!$C$10="All",TRUE,$AF527&lt;=DASHBOARD!$C$10),IF(DASHBOARD!$C$12="All",TRUE,$AH527=VALUE(DASHBOARD!$C$12)),IF(DASHBOARD!$C$14="All",TRUE,$AJ527=DASHBOARD!$C$14)),1,0))</f>
        <v/>
      </c>
    </row>
    <row r="528">
      <c r="A528" t="n">
        <v>236397</v>
      </c>
      <c r="B528" t="inlineStr">
        <is>
          <t>Face Malai</t>
        </is>
      </c>
      <c r="H528" t="inlineStr">
        <is>
          <t>Turmeric Nutmeg (Pigmentation)  Face Malai - 30g</t>
        </is>
      </c>
      <c r="N528" t="inlineStr">
        <is>
          <t>FC-DM-PG-030</t>
        </is>
      </c>
      <c r="T528" t="inlineStr">
        <is>
          <t>Aug 27, 2024</t>
        </is>
      </c>
      <c r="AE528" t="inlineStr">
        <is>
          <t>Ghaziabad</t>
        </is>
      </c>
      <c r="AF528" t="inlineStr">
        <is>
          <t>2024-08</t>
        </is>
      </c>
      <c r="AG528" t="n">
        <v>8</v>
      </c>
      <c r="AH528" t="n">
        <v>1</v>
      </c>
      <c r="AI528" t="n">
        <v>0</v>
      </c>
      <c r="AJ528">
        <f>IF($AE528="","",IFERROR(VLOOKUP(TRIM($AE528),DECODE!$H$3:$I$60,2,FALSE),"Rest of India"))</f>
        <v/>
      </c>
      <c r="AK528">
        <f>IF($N528="","",UPPER(TRIM(LEFT($N528&amp;",",FIND(",",$N528&amp;",")-1))))</f>
        <v/>
      </c>
      <c r="AL528">
        <f>IF($AK528="","",MID($AK528,4,FIND("~",SUBSTITUTE($AK528,"-","~",2))-4))</f>
        <v/>
      </c>
      <c r="AM528">
        <f>IF($AK528="","",MID($AK528,FIND("~",SUBSTITUTE($AK528,"-","~",2))+1,FIND("~",SUBSTITUTE($AK528,"-","~",3))-FIND("~",SUBSTITUTE($AK528,"-","~",2))-1))</f>
        <v/>
      </c>
      <c r="AN528">
        <f>IF($AL528="","",IFERROR(VLOOKUP($AL528,DECODE!$A$3:$C$8,3,FALSE),"?"))</f>
        <v/>
      </c>
      <c r="AO528">
        <f>IF($AM528="","",IFERROR(VLOOKUP($AL528&amp;"-"&amp;$AM528,DECODE!$E$3:$F$21,2,FALSE),"?"))</f>
        <v/>
      </c>
      <c r="AP528">
        <f>IF($AK528="","",IFERROR(VALUE(RIGHT($AK528,3)),""))</f>
        <v/>
      </c>
      <c r="AQ528">
        <f>IF($T528="","",IFERROR(IF(ISNUMBER($T528),$T528,DATEVALUE(TRIM($T528))),""))</f>
        <v/>
      </c>
      <c r="AR528">
        <f>IF($AQ528="","",IF(MONTH($AQ528)&gt;=12,"Cold Winter",IF(MONTH($AQ528)&gt;=10,"Post-Monsoon",IF(MONTH($AQ528)&gt;=6,"Hot Humid",IF(MONTH($AQ528)&gt;=3,"Hot Dry","Cold Winter")))))</f>
        <v/>
      </c>
      <c r="AS528">
        <f>IF($AL528="","",IFERROR(VLOOKUP($AL528,DECODE!$A$3:$C$8,2,FALSE),"?"))</f>
        <v/>
      </c>
      <c r="AT528">
        <f>IF($O528="","",UPPER(TRIM(LEFT($O528&amp;",",FIND(",",$O528&amp;",")-1))))</f>
        <v/>
      </c>
      <c r="AU528">
        <f>IF($AT528="","",MID($AT528,4,FIND("~",SUBSTITUTE($AT528,"-","~",2))-4))</f>
        <v/>
      </c>
      <c r="AV528">
        <f>IF($AT528="","",MID($AT528,FIND("~",SUBSTITUTE($AT528,"-","~",2))+1,FIND("~",SUBSTITUTE($AT528,"-","~",3))-FIND("~",SUBSTITUTE($AT528,"-","~",2))-1))</f>
        <v/>
      </c>
      <c r="AW528">
        <f>IF($AU528="","",IFERROR(VLOOKUP($AU528,DECODE!$A$3:$C$8,3,FALSE),"?"))</f>
        <v/>
      </c>
      <c r="AX528">
        <f>IF($AV528="","",IFERROR(VLOOKUP($AU528&amp;"-"&amp;$AV528,DECODE!$E$3:$F$21,2,FALSE),"?"))</f>
        <v/>
      </c>
      <c r="AY528">
        <f>IF($AT528="","",IFERROR(VALUE(RIGHT($AT528,3)),""))</f>
        <v/>
      </c>
      <c r="AZ528">
        <f>IF($U528="","",IFERROR(IF(ISNUMBER($U528),$U528,DATEVALUE(TRIM($U528))),""))</f>
        <v/>
      </c>
      <c r="BA528">
        <f>IF($AZ528="","",IF(MONTH($AZ528)&gt;=12,"Cold Winter",IF(MONTH($AZ528)&gt;=10,"Post-Monsoon",IF(MONTH($AZ528)&gt;=6,"Hot Humid",IF(MONTH($AZ528)&gt;=3,"Hot Dry","Cold Winter")))))</f>
        <v/>
      </c>
      <c r="BB528">
        <f>IF($AU528="","",IFERROR(VLOOKUP($AU528,DECODE!$A$3:$C$8,2,FALSE),"?"))</f>
        <v/>
      </c>
      <c r="BC528">
        <f>IF($P528="","",UPPER(TRIM(LEFT($P528&amp;",",FIND(",",$P528&amp;",")-1))))</f>
        <v/>
      </c>
      <c r="BD528">
        <f>IF($BC528="","",MID($BC528,4,FIND("~",SUBSTITUTE($BC528,"-","~",2))-4))</f>
        <v/>
      </c>
      <c r="BE528">
        <f>IF($BC528="","",MID($BC528,FIND("~",SUBSTITUTE($BC528,"-","~",2))+1,FIND("~",SUBSTITUTE($BC528,"-","~",3))-FIND("~",SUBSTITUTE($BC528,"-","~",2))-1))</f>
        <v/>
      </c>
      <c r="BF528">
        <f>IF($BD528="","",IFERROR(VLOOKUP($BD528,DECODE!$A$3:$C$8,3,FALSE),"?"))</f>
        <v/>
      </c>
      <c r="BG528">
        <f>IF($BE528="","",IFERROR(VLOOKUP($BD528&amp;"-"&amp;$BE528,DECODE!$E$3:$F$21,2,FALSE),"?"))</f>
        <v/>
      </c>
      <c r="BH528">
        <f>IF($BC528="","",IFERROR(VALUE(RIGHT($BC528,3)),""))</f>
        <v/>
      </c>
      <c r="BI528">
        <f>IF($V528="","",IFERROR(IF(ISNUMBER($V528),$V528,DATEVALUE(TRIM($V528))),""))</f>
        <v/>
      </c>
      <c r="BJ528">
        <f>IF($BI528="","",IF(MONTH($BI528)&gt;=12,"Cold Winter",IF(MONTH($BI528)&gt;=10,"Post-Monsoon",IF(MONTH($BI528)&gt;=6,"Hot Humid",IF(MONTH($BI528)&gt;=3,"Hot Dry","Cold Winter")))))</f>
        <v/>
      </c>
      <c r="BK528">
        <f>IF($BD528="","",IFERROR(VLOOKUP($BD528,DECODE!$A$3:$C$8,2,FALSE),"?"))</f>
        <v/>
      </c>
      <c r="BL528">
        <f>IF($Q528="","",UPPER(TRIM(LEFT($Q528&amp;",",FIND(",",$Q528&amp;",")-1))))</f>
        <v/>
      </c>
      <c r="BM528">
        <f>IF($BL528="","",MID($BL528,4,FIND("~",SUBSTITUTE($BL528,"-","~",2))-4))</f>
        <v/>
      </c>
      <c r="BN528">
        <f>IF($BL528="","",MID($BL528,FIND("~",SUBSTITUTE($BL528,"-","~",2))+1,FIND("~",SUBSTITUTE($BL528,"-","~",3))-FIND("~",SUBSTITUTE($BL528,"-","~",2))-1))</f>
        <v/>
      </c>
      <c r="BO528">
        <f>IF($BM528="","",IFERROR(VLOOKUP($BM528,DECODE!$A$3:$C$8,3,FALSE),"?"))</f>
        <v/>
      </c>
      <c r="BP528">
        <f>IF($BN528="","",IFERROR(VLOOKUP($BM528&amp;"-"&amp;$BN528,DECODE!$E$3:$F$21,2,FALSE),"?"))</f>
        <v/>
      </c>
      <c r="BQ528">
        <f>IF($BL528="","",IFERROR(VALUE(RIGHT($BL528,3)),""))</f>
        <v/>
      </c>
      <c r="BR528">
        <f>IF($W528="","",IFERROR(IF(ISNUMBER($W528),$W528,DATEVALUE(TRIM($W528))),""))</f>
        <v/>
      </c>
      <c r="BS528">
        <f>IF($BR528="","",IF(MONTH($BR528)&gt;=12,"Cold Winter",IF(MONTH($BR528)&gt;=10,"Post-Monsoon",IF(MONTH($BR528)&gt;=6,"Hot Humid",IF(MONTH($BR528)&gt;=3,"Hot Dry","Cold Winter")))))</f>
        <v/>
      </c>
      <c r="BT528">
        <f>IF($BM528="","",IFERROR(VLOOKUP($BM528,DECODE!$A$3:$C$8,2,FALSE),"?"))</f>
        <v/>
      </c>
      <c r="BU528">
        <f>IF($R528="","",UPPER(TRIM(LEFT($R528&amp;",",FIND(",",$R528&amp;",")-1))))</f>
        <v/>
      </c>
      <c r="BV528">
        <f>IF($BU528="","",MID($BU528,4,FIND("~",SUBSTITUTE($BU528,"-","~",2))-4))</f>
        <v/>
      </c>
      <c r="BW528">
        <f>IF($BU528="","",MID($BU528,FIND("~",SUBSTITUTE($BU528,"-","~",2))+1,FIND("~",SUBSTITUTE($BU528,"-","~",3))-FIND("~",SUBSTITUTE($BU528,"-","~",2))-1))</f>
        <v/>
      </c>
      <c r="BX528">
        <f>IF($BV528="","",IFERROR(VLOOKUP($BV528,DECODE!$A$3:$C$8,3,FALSE),"?"))</f>
        <v/>
      </c>
      <c r="BY528">
        <f>IF($BW528="","",IFERROR(VLOOKUP($BV528&amp;"-"&amp;$BW528,DECODE!$E$3:$F$21,2,FALSE),"?"))</f>
        <v/>
      </c>
      <c r="BZ528">
        <f>IF($BU528="","",IFERROR(VALUE(RIGHT($BU528,3)),""))</f>
        <v/>
      </c>
      <c r="CA528">
        <f>IF($X528="","",IFERROR(IF(ISNUMBER($X528),$X528,DATEVALUE(TRIM($X528))),""))</f>
        <v/>
      </c>
      <c r="CB528">
        <f>IF($CA528="","",IF(MONTH($CA528)&gt;=12,"Cold Winter",IF(MONTH($CA528)&gt;=10,"Post-Monsoon",IF(MONTH($CA528)&gt;=6,"Hot Humid",IF(MONTH($CA528)&gt;=3,"Hot Dry","Cold Winter")))))</f>
        <v/>
      </c>
      <c r="CC528">
        <f>IF($BV528="","",IFERROR(VLOOKUP($BV528,DECODE!$A$3:$C$8,2,FALSE),"?"))</f>
        <v/>
      </c>
      <c r="CD528">
        <f>IF($S528="","",UPPER(TRIM(LEFT($S528&amp;",",FIND(",",$S528&amp;",")-1))))</f>
        <v/>
      </c>
      <c r="CE528">
        <f>IF($CD528="","",MID($CD528,4,FIND("~",SUBSTITUTE($CD528,"-","~",2))-4))</f>
        <v/>
      </c>
      <c r="CF528">
        <f>IF($CD528="","",MID($CD528,FIND("~",SUBSTITUTE($CD528,"-","~",2))+1,FIND("~",SUBSTITUTE($CD528,"-","~",3))-FIND("~",SUBSTITUTE($CD528,"-","~",2))-1))</f>
        <v/>
      </c>
      <c r="CG528">
        <f>IF($CE528="","",IFERROR(VLOOKUP($CE528,DECODE!$A$3:$C$8,3,FALSE),"?"))</f>
        <v/>
      </c>
      <c r="CH528">
        <f>IF($CF528="","",IFERROR(VLOOKUP($CE528&amp;"-"&amp;$CF528,DECODE!$E$3:$F$21,2,FALSE),"?"))</f>
        <v/>
      </c>
      <c r="CI528">
        <f>IF($CD528="","",IFERROR(VALUE(RIGHT($CD528,3)),""))</f>
        <v/>
      </c>
      <c r="CJ528">
        <f>IF($Y528="","",IFERROR(IF(ISNUMBER($Y528),$Y528,DATEVALUE(TRIM($Y528))),""))</f>
        <v/>
      </c>
      <c r="CK528">
        <f>IF($CJ528="","",IF(MONTH($CJ528)&gt;=12,"Cold Winter",IF(MONTH($CJ528)&gt;=10,"Post-Monsoon",IF(MONTH($CJ528)&gt;=6,"Hot Humid",IF(MONTH($CJ528)&gt;=3,"Hot Dry","Cold Winter")))))</f>
        <v/>
      </c>
      <c r="CL528">
        <f>IF($CE528="","",IFERROR(VLOOKUP($CE528,DECODE!$A$3:$C$8,2,FALSE),"?"))</f>
        <v/>
      </c>
      <c r="CM528">
        <f>IF($AN528="","",AN528)</f>
        <v/>
      </c>
      <c r="CN528">
        <f>IF($AO528="","",AO528)</f>
        <v/>
      </c>
      <c r="CO528">
        <f>IF($AP528="","",AP528)</f>
        <v/>
      </c>
      <c r="CP528">
        <f>IF($CM528="","",IF($CM528="Aloe Vera Gel","Aloe Vera Gel "&amp;$CO528&amp;"g",CN528&amp;" "&amp;$CO528&amp;"g"))</f>
        <v/>
      </c>
      <c r="CQ528">
        <f>IF($AT528="",0,1)</f>
        <v/>
      </c>
      <c r="CR528">
        <f>IF($CQ528=0,"",AW528)</f>
        <v/>
      </c>
      <c r="CS528">
        <f>IF($CQ528=0,"",AX528)</f>
        <v/>
      </c>
      <c r="CT528">
        <f>IF($CQ528=0,"",AY528)</f>
        <v/>
      </c>
      <c r="CU528">
        <f>IF($CR528="","",IF($CR528="Aloe Vera Gel","Aloe Vera Gel "&amp;$CT528&amp;"g",CS528&amp;" "&amp;$CT528&amp;"g"))</f>
        <v/>
      </c>
      <c r="CV528">
        <f>IF($CQ528=0,"",IF($CP528=$CU528,"Repeat Exact",IF($CT528&gt;$CO528,"Upsized",IF($CT528&lt;$CO528,"Downsized",IF($CM528&lt;&gt;$CR528,"Lateral","Same Size Diff Variant")))))</f>
        <v/>
      </c>
      <c r="CW528">
        <f>IF($CQ528=0,"",AZ528-AQ528)</f>
        <v/>
      </c>
      <c r="CX528">
        <f>IF($CQ528=0,0,IF(CS528=CN528,1,0))</f>
        <v/>
      </c>
      <c r="CY528">
        <f>IF($CQ528=0,0,IF(CR528=CM528,1,0))</f>
        <v/>
      </c>
      <c r="CZ528">
        <f>IF($A528="","",IF(AND(IF(DASHBOARD!$C$4="All",TRUE,$CM528=DASHBOARD!$C$4),IF(DASHBOARD!$C$6="All",TRUE,$CP528=DASHBOARD!$C$6),IF(DASHBOARD!$C$8="All",TRUE,$AF528&gt;=DASHBOARD!$C$8),IF(DASHBOARD!$C$10="All",TRUE,$AF528&lt;=DASHBOARD!$C$10),IF(DASHBOARD!$C$12="All",TRUE,$AH528=VALUE(DASHBOARD!$C$12)),IF(DASHBOARD!$C$14="All",TRUE,$AJ528=DASHBOARD!$C$14)),1,0))</f>
        <v/>
      </c>
    </row>
    <row r="529">
      <c r="A529" t="n">
        <v>237132</v>
      </c>
      <c r="B529" t="inlineStr">
        <is>
          <t>Face Malai</t>
        </is>
      </c>
      <c r="H529" t="inlineStr">
        <is>
          <t>Cocoa Mogra (Overnight) Face Malai - 30g, Tomato Vetiver (Hot Humid) 20 - 35 Yrs Face Malai - 50g</t>
        </is>
      </c>
      <c r="N529" t="inlineStr">
        <is>
          <t>FC-DM-NR-030, FC-HHDM-TV-050</t>
        </is>
      </c>
      <c r="T529" t="inlineStr">
        <is>
          <t>Mar 19, 2026</t>
        </is>
      </c>
      <c r="AE529" t="inlineStr">
        <is>
          <t>Birbhum</t>
        </is>
      </c>
      <c r="AF529" t="inlineStr">
        <is>
          <t>2026-03</t>
        </is>
      </c>
      <c r="AG529" t="n">
        <v>3</v>
      </c>
      <c r="AH529" t="n">
        <v>1</v>
      </c>
      <c r="AI529" t="n">
        <v>0</v>
      </c>
      <c r="AJ529">
        <f>IF($AE529="","",IFERROR(VLOOKUP(TRIM($AE529),DECODE!$H$3:$I$60,2,FALSE),"Rest of India"))</f>
        <v/>
      </c>
      <c r="AK529">
        <f>IF($N529="","",UPPER(TRIM(LEFT($N529&amp;",",FIND(",",$N529&amp;",")-1))))</f>
        <v/>
      </c>
      <c r="AL529">
        <f>IF($AK529="","",MID($AK529,4,FIND("~",SUBSTITUTE($AK529,"-","~",2))-4))</f>
        <v/>
      </c>
      <c r="AM529">
        <f>IF($AK529="","",MID($AK529,FIND("~",SUBSTITUTE($AK529,"-","~",2))+1,FIND("~",SUBSTITUTE($AK529,"-","~",3))-FIND("~",SUBSTITUTE($AK529,"-","~",2))-1))</f>
        <v/>
      </c>
      <c r="AN529">
        <f>IF($AL529="","",IFERROR(VLOOKUP($AL529,DECODE!$A$3:$C$8,3,FALSE),"?"))</f>
        <v/>
      </c>
      <c r="AO529">
        <f>IF($AM529="","",IFERROR(VLOOKUP($AL529&amp;"-"&amp;$AM529,DECODE!$E$3:$F$21,2,FALSE),"?"))</f>
        <v/>
      </c>
      <c r="AP529">
        <f>IF($AK529="","",IFERROR(VALUE(RIGHT($AK529,3)),""))</f>
        <v/>
      </c>
      <c r="AQ529">
        <f>IF($T529="","",IFERROR(IF(ISNUMBER($T529),$T529,DATEVALUE(TRIM($T529))),""))</f>
        <v/>
      </c>
      <c r="AR529">
        <f>IF($AQ529="","",IF(MONTH($AQ529)&gt;=12,"Cold Winter",IF(MONTH($AQ529)&gt;=10,"Post-Monsoon",IF(MONTH($AQ529)&gt;=6,"Hot Humid",IF(MONTH($AQ529)&gt;=3,"Hot Dry","Cold Winter")))))</f>
        <v/>
      </c>
      <c r="AS529">
        <f>IF($AL529="","",IFERROR(VLOOKUP($AL529,DECODE!$A$3:$C$8,2,FALSE),"?"))</f>
        <v/>
      </c>
      <c r="AT529">
        <f>IF($O529="","",UPPER(TRIM(LEFT($O529&amp;",",FIND(",",$O529&amp;",")-1))))</f>
        <v/>
      </c>
      <c r="AU529">
        <f>IF($AT529="","",MID($AT529,4,FIND("~",SUBSTITUTE($AT529,"-","~",2))-4))</f>
        <v/>
      </c>
      <c r="AV529">
        <f>IF($AT529="","",MID($AT529,FIND("~",SUBSTITUTE($AT529,"-","~",2))+1,FIND("~",SUBSTITUTE($AT529,"-","~",3))-FIND("~",SUBSTITUTE($AT529,"-","~",2))-1))</f>
        <v/>
      </c>
      <c r="AW529">
        <f>IF($AU529="","",IFERROR(VLOOKUP($AU529,DECODE!$A$3:$C$8,3,FALSE),"?"))</f>
        <v/>
      </c>
      <c r="AX529">
        <f>IF($AV529="","",IFERROR(VLOOKUP($AU529&amp;"-"&amp;$AV529,DECODE!$E$3:$F$21,2,FALSE),"?"))</f>
        <v/>
      </c>
      <c r="AY529">
        <f>IF($AT529="","",IFERROR(VALUE(RIGHT($AT529,3)),""))</f>
        <v/>
      </c>
      <c r="AZ529">
        <f>IF($U529="","",IFERROR(IF(ISNUMBER($U529),$U529,DATEVALUE(TRIM($U529))),""))</f>
        <v/>
      </c>
      <c r="BA529">
        <f>IF($AZ529="","",IF(MONTH($AZ529)&gt;=12,"Cold Winter",IF(MONTH($AZ529)&gt;=10,"Post-Monsoon",IF(MONTH($AZ529)&gt;=6,"Hot Humid",IF(MONTH($AZ529)&gt;=3,"Hot Dry","Cold Winter")))))</f>
        <v/>
      </c>
      <c r="BB529">
        <f>IF($AU529="","",IFERROR(VLOOKUP($AU529,DECODE!$A$3:$C$8,2,FALSE),"?"))</f>
        <v/>
      </c>
      <c r="BC529">
        <f>IF($P529="","",UPPER(TRIM(LEFT($P529&amp;",",FIND(",",$P529&amp;",")-1))))</f>
        <v/>
      </c>
      <c r="BD529">
        <f>IF($BC529="","",MID($BC529,4,FIND("~",SUBSTITUTE($BC529,"-","~",2))-4))</f>
        <v/>
      </c>
      <c r="BE529">
        <f>IF($BC529="","",MID($BC529,FIND("~",SUBSTITUTE($BC529,"-","~",2))+1,FIND("~",SUBSTITUTE($BC529,"-","~",3))-FIND("~",SUBSTITUTE($BC529,"-","~",2))-1))</f>
        <v/>
      </c>
      <c r="BF529">
        <f>IF($BD529="","",IFERROR(VLOOKUP($BD529,DECODE!$A$3:$C$8,3,FALSE),"?"))</f>
        <v/>
      </c>
      <c r="BG529">
        <f>IF($BE529="","",IFERROR(VLOOKUP($BD529&amp;"-"&amp;$BE529,DECODE!$E$3:$F$21,2,FALSE),"?"))</f>
        <v/>
      </c>
      <c r="BH529">
        <f>IF($BC529="","",IFERROR(VALUE(RIGHT($BC529,3)),""))</f>
        <v/>
      </c>
      <c r="BI529">
        <f>IF($V529="","",IFERROR(IF(ISNUMBER($V529),$V529,DATEVALUE(TRIM($V529))),""))</f>
        <v/>
      </c>
      <c r="BJ529">
        <f>IF($BI529="","",IF(MONTH($BI529)&gt;=12,"Cold Winter",IF(MONTH($BI529)&gt;=10,"Post-Monsoon",IF(MONTH($BI529)&gt;=6,"Hot Humid",IF(MONTH($BI529)&gt;=3,"Hot Dry","Cold Winter")))))</f>
        <v/>
      </c>
      <c r="BK529">
        <f>IF($BD529="","",IFERROR(VLOOKUP($BD529,DECODE!$A$3:$C$8,2,FALSE),"?"))</f>
        <v/>
      </c>
      <c r="BL529">
        <f>IF($Q529="","",UPPER(TRIM(LEFT($Q529&amp;",",FIND(",",$Q529&amp;",")-1))))</f>
        <v/>
      </c>
      <c r="BM529">
        <f>IF($BL529="","",MID($BL529,4,FIND("~",SUBSTITUTE($BL529,"-","~",2))-4))</f>
        <v/>
      </c>
      <c r="BN529">
        <f>IF($BL529="","",MID($BL529,FIND("~",SUBSTITUTE($BL529,"-","~",2))+1,FIND("~",SUBSTITUTE($BL529,"-","~",3))-FIND("~",SUBSTITUTE($BL529,"-","~",2))-1))</f>
        <v/>
      </c>
      <c r="BO529">
        <f>IF($BM529="","",IFERROR(VLOOKUP($BM529,DECODE!$A$3:$C$8,3,FALSE),"?"))</f>
        <v/>
      </c>
      <c r="BP529">
        <f>IF($BN529="","",IFERROR(VLOOKUP($BM529&amp;"-"&amp;$BN529,DECODE!$E$3:$F$21,2,FALSE),"?"))</f>
        <v/>
      </c>
      <c r="BQ529">
        <f>IF($BL529="","",IFERROR(VALUE(RIGHT($BL529,3)),""))</f>
        <v/>
      </c>
      <c r="BR529">
        <f>IF($W529="","",IFERROR(IF(ISNUMBER($W529),$W529,DATEVALUE(TRIM($W529))),""))</f>
        <v/>
      </c>
      <c r="BS529">
        <f>IF($BR529="","",IF(MONTH($BR529)&gt;=12,"Cold Winter",IF(MONTH($BR529)&gt;=10,"Post-Monsoon",IF(MONTH($BR529)&gt;=6,"Hot Humid",IF(MONTH($BR529)&gt;=3,"Hot Dry","Cold Winter")))))</f>
        <v/>
      </c>
      <c r="BT529">
        <f>IF($BM529="","",IFERROR(VLOOKUP($BM529,DECODE!$A$3:$C$8,2,FALSE),"?"))</f>
        <v/>
      </c>
      <c r="BU529">
        <f>IF($R529="","",UPPER(TRIM(LEFT($R529&amp;",",FIND(",",$R529&amp;",")-1))))</f>
        <v/>
      </c>
      <c r="BV529">
        <f>IF($BU529="","",MID($BU529,4,FIND("~",SUBSTITUTE($BU529,"-","~",2))-4))</f>
        <v/>
      </c>
      <c r="BW529">
        <f>IF($BU529="","",MID($BU529,FIND("~",SUBSTITUTE($BU529,"-","~",2))+1,FIND("~",SUBSTITUTE($BU529,"-","~",3))-FIND("~",SUBSTITUTE($BU529,"-","~",2))-1))</f>
        <v/>
      </c>
      <c r="BX529">
        <f>IF($BV529="","",IFERROR(VLOOKUP($BV529,DECODE!$A$3:$C$8,3,FALSE),"?"))</f>
        <v/>
      </c>
      <c r="BY529">
        <f>IF($BW529="","",IFERROR(VLOOKUP($BV529&amp;"-"&amp;$BW529,DECODE!$E$3:$F$21,2,FALSE),"?"))</f>
        <v/>
      </c>
      <c r="BZ529">
        <f>IF($BU529="","",IFERROR(VALUE(RIGHT($BU529,3)),""))</f>
        <v/>
      </c>
      <c r="CA529">
        <f>IF($X529="","",IFERROR(IF(ISNUMBER($X529),$X529,DATEVALUE(TRIM($X529))),""))</f>
        <v/>
      </c>
      <c r="CB529">
        <f>IF($CA529="","",IF(MONTH($CA529)&gt;=12,"Cold Winter",IF(MONTH($CA529)&gt;=10,"Post-Monsoon",IF(MONTH($CA529)&gt;=6,"Hot Humid",IF(MONTH($CA529)&gt;=3,"Hot Dry","Cold Winter")))))</f>
        <v/>
      </c>
      <c r="CC529">
        <f>IF($BV529="","",IFERROR(VLOOKUP($BV529,DECODE!$A$3:$C$8,2,FALSE),"?"))</f>
        <v/>
      </c>
      <c r="CD529">
        <f>IF($S529="","",UPPER(TRIM(LEFT($S529&amp;",",FIND(",",$S529&amp;",")-1))))</f>
        <v/>
      </c>
      <c r="CE529">
        <f>IF($CD529="","",MID($CD529,4,FIND("~",SUBSTITUTE($CD529,"-","~",2))-4))</f>
        <v/>
      </c>
      <c r="CF529">
        <f>IF($CD529="","",MID($CD529,FIND("~",SUBSTITUTE($CD529,"-","~",2))+1,FIND("~",SUBSTITUTE($CD529,"-","~",3))-FIND("~",SUBSTITUTE($CD529,"-","~",2))-1))</f>
        <v/>
      </c>
      <c r="CG529">
        <f>IF($CE529="","",IFERROR(VLOOKUP($CE529,DECODE!$A$3:$C$8,3,FALSE),"?"))</f>
        <v/>
      </c>
      <c r="CH529">
        <f>IF($CF529="","",IFERROR(VLOOKUP($CE529&amp;"-"&amp;$CF529,DECODE!$E$3:$F$21,2,FALSE),"?"))</f>
        <v/>
      </c>
      <c r="CI529">
        <f>IF($CD529="","",IFERROR(VALUE(RIGHT($CD529,3)),""))</f>
        <v/>
      </c>
      <c r="CJ529">
        <f>IF($Y529="","",IFERROR(IF(ISNUMBER($Y529),$Y529,DATEVALUE(TRIM($Y529))),""))</f>
        <v/>
      </c>
      <c r="CK529">
        <f>IF($CJ529="","",IF(MONTH($CJ529)&gt;=12,"Cold Winter",IF(MONTH($CJ529)&gt;=10,"Post-Monsoon",IF(MONTH($CJ529)&gt;=6,"Hot Humid",IF(MONTH($CJ529)&gt;=3,"Hot Dry","Cold Winter")))))</f>
        <v/>
      </c>
      <c r="CL529">
        <f>IF($CE529="","",IFERROR(VLOOKUP($CE529,DECODE!$A$3:$C$8,2,FALSE),"?"))</f>
        <v/>
      </c>
      <c r="CM529">
        <f>IF($AN529="","",AN529)</f>
        <v/>
      </c>
      <c r="CN529">
        <f>IF($AO529="","",AO529)</f>
        <v/>
      </c>
      <c r="CO529">
        <f>IF($AP529="","",AP529)</f>
        <v/>
      </c>
      <c r="CP529">
        <f>IF($CM529="","",IF($CM529="Aloe Vera Gel","Aloe Vera Gel "&amp;$CO529&amp;"g",CN529&amp;" "&amp;$CO529&amp;"g"))</f>
        <v/>
      </c>
      <c r="CQ529">
        <f>IF($AT529="",0,1)</f>
        <v/>
      </c>
      <c r="CR529">
        <f>IF($CQ529=0,"",AW529)</f>
        <v/>
      </c>
      <c r="CS529">
        <f>IF($CQ529=0,"",AX529)</f>
        <v/>
      </c>
      <c r="CT529">
        <f>IF($CQ529=0,"",AY529)</f>
        <v/>
      </c>
      <c r="CU529">
        <f>IF($CR529="","",IF($CR529="Aloe Vera Gel","Aloe Vera Gel "&amp;$CT529&amp;"g",CS529&amp;" "&amp;$CT529&amp;"g"))</f>
        <v/>
      </c>
      <c r="CV529">
        <f>IF($CQ529=0,"",IF($CP529=$CU529,"Repeat Exact",IF($CT529&gt;$CO529,"Upsized",IF($CT529&lt;$CO529,"Downsized",IF($CM529&lt;&gt;$CR529,"Lateral","Same Size Diff Variant")))))</f>
        <v/>
      </c>
      <c r="CW529">
        <f>IF($CQ529=0,"",AZ529-AQ529)</f>
        <v/>
      </c>
      <c r="CX529">
        <f>IF($CQ529=0,0,IF(CS529=CN529,1,0))</f>
        <v/>
      </c>
      <c r="CY529">
        <f>IF($CQ529=0,0,IF(CR529=CM529,1,0))</f>
        <v/>
      </c>
      <c r="CZ529">
        <f>IF($A529="","",IF(AND(IF(DASHBOARD!$C$4="All",TRUE,$CM529=DASHBOARD!$C$4),IF(DASHBOARD!$C$6="All",TRUE,$CP529=DASHBOARD!$C$6),IF(DASHBOARD!$C$8="All",TRUE,$AF529&gt;=DASHBOARD!$C$8),IF(DASHBOARD!$C$10="All",TRUE,$AF529&lt;=DASHBOARD!$C$10),IF(DASHBOARD!$C$12="All",TRUE,$AH529=VALUE(DASHBOARD!$C$12)),IF(DASHBOARD!$C$14="All",TRUE,$AJ529=DASHBOARD!$C$14)),1,0))</f>
        <v/>
      </c>
    </row>
    <row r="530">
      <c r="A530" t="n">
        <v>237835</v>
      </c>
      <c r="B530" t="inlineStr">
        <is>
          <t>Aloe Vera Gel</t>
        </is>
      </c>
      <c r="H530" t="inlineStr">
        <is>
          <t>Aloe Vera Gel - 40 gms</t>
        </is>
      </c>
      <c r="N530" t="inlineStr">
        <is>
          <t>FC-HG-PA-040</t>
        </is>
      </c>
      <c r="T530" t="inlineStr">
        <is>
          <t>Apr 25, 2024</t>
        </is>
      </c>
      <c r="AE530" t="inlineStr">
        <is>
          <t>Gwalior</t>
        </is>
      </c>
      <c r="AF530" t="inlineStr">
        <is>
          <t>2024-04</t>
        </is>
      </c>
      <c r="AG530" t="n">
        <v>4</v>
      </c>
      <c r="AH530" t="n">
        <v>1</v>
      </c>
      <c r="AI530" t="n">
        <v>0</v>
      </c>
      <c r="AJ530">
        <f>IF($AE530="","",IFERROR(VLOOKUP(TRIM($AE530),DECODE!$H$3:$I$60,2,FALSE),"Rest of India"))</f>
        <v/>
      </c>
      <c r="AK530">
        <f>IF($N530="","",UPPER(TRIM(LEFT($N530&amp;",",FIND(",",$N530&amp;",")-1))))</f>
        <v/>
      </c>
      <c r="AL530">
        <f>IF($AK530="","",MID($AK530,4,FIND("~",SUBSTITUTE($AK530,"-","~",2))-4))</f>
        <v/>
      </c>
      <c r="AM530">
        <f>IF($AK530="","",MID($AK530,FIND("~",SUBSTITUTE($AK530,"-","~",2))+1,FIND("~",SUBSTITUTE($AK530,"-","~",3))-FIND("~",SUBSTITUTE($AK530,"-","~",2))-1))</f>
        <v/>
      </c>
      <c r="AN530">
        <f>IF($AL530="","",IFERROR(VLOOKUP($AL530,DECODE!$A$3:$C$8,3,FALSE),"?"))</f>
        <v/>
      </c>
      <c r="AO530">
        <f>IF($AM530="","",IFERROR(VLOOKUP($AL530&amp;"-"&amp;$AM530,DECODE!$E$3:$F$21,2,FALSE),"?"))</f>
        <v/>
      </c>
      <c r="AP530">
        <f>IF($AK530="","",IFERROR(VALUE(RIGHT($AK530,3)),""))</f>
        <v/>
      </c>
      <c r="AQ530">
        <f>IF($T530="","",IFERROR(IF(ISNUMBER($T530),$T530,DATEVALUE(TRIM($T530))),""))</f>
        <v/>
      </c>
      <c r="AR530">
        <f>IF($AQ530="","",IF(MONTH($AQ530)&gt;=12,"Cold Winter",IF(MONTH($AQ530)&gt;=10,"Post-Monsoon",IF(MONTH($AQ530)&gt;=6,"Hot Humid",IF(MONTH($AQ530)&gt;=3,"Hot Dry","Cold Winter")))))</f>
        <v/>
      </c>
      <c r="AS530">
        <f>IF($AL530="","",IFERROR(VLOOKUP($AL530,DECODE!$A$3:$C$8,2,FALSE),"?"))</f>
        <v/>
      </c>
      <c r="AT530">
        <f>IF($O530="","",UPPER(TRIM(LEFT($O530&amp;",",FIND(",",$O530&amp;",")-1))))</f>
        <v/>
      </c>
      <c r="AU530">
        <f>IF($AT530="","",MID($AT530,4,FIND("~",SUBSTITUTE($AT530,"-","~",2))-4))</f>
        <v/>
      </c>
      <c r="AV530">
        <f>IF($AT530="","",MID($AT530,FIND("~",SUBSTITUTE($AT530,"-","~",2))+1,FIND("~",SUBSTITUTE($AT530,"-","~",3))-FIND("~",SUBSTITUTE($AT530,"-","~",2))-1))</f>
        <v/>
      </c>
      <c r="AW530">
        <f>IF($AU530="","",IFERROR(VLOOKUP($AU530,DECODE!$A$3:$C$8,3,FALSE),"?"))</f>
        <v/>
      </c>
      <c r="AX530">
        <f>IF($AV530="","",IFERROR(VLOOKUP($AU530&amp;"-"&amp;$AV530,DECODE!$E$3:$F$21,2,FALSE),"?"))</f>
        <v/>
      </c>
      <c r="AY530">
        <f>IF($AT530="","",IFERROR(VALUE(RIGHT($AT530,3)),""))</f>
        <v/>
      </c>
      <c r="AZ530">
        <f>IF($U530="","",IFERROR(IF(ISNUMBER($U530),$U530,DATEVALUE(TRIM($U530))),""))</f>
        <v/>
      </c>
      <c r="BA530">
        <f>IF($AZ530="","",IF(MONTH($AZ530)&gt;=12,"Cold Winter",IF(MONTH($AZ530)&gt;=10,"Post-Monsoon",IF(MONTH($AZ530)&gt;=6,"Hot Humid",IF(MONTH($AZ530)&gt;=3,"Hot Dry","Cold Winter")))))</f>
        <v/>
      </c>
      <c r="BB530">
        <f>IF($AU530="","",IFERROR(VLOOKUP($AU530,DECODE!$A$3:$C$8,2,FALSE),"?"))</f>
        <v/>
      </c>
      <c r="BC530">
        <f>IF($P530="","",UPPER(TRIM(LEFT($P530&amp;",",FIND(",",$P530&amp;",")-1))))</f>
        <v/>
      </c>
      <c r="BD530">
        <f>IF($BC530="","",MID($BC530,4,FIND("~",SUBSTITUTE($BC530,"-","~",2))-4))</f>
        <v/>
      </c>
      <c r="BE530">
        <f>IF($BC530="","",MID($BC530,FIND("~",SUBSTITUTE($BC530,"-","~",2))+1,FIND("~",SUBSTITUTE($BC530,"-","~",3))-FIND("~",SUBSTITUTE($BC530,"-","~",2))-1))</f>
        <v/>
      </c>
      <c r="BF530">
        <f>IF($BD530="","",IFERROR(VLOOKUP($BD530,DECODE!$A$3:$C$8,3,FALSE),"?"))</f>
        <v/>
      </c>
      <c r="BG530">
        <f>IF($BE530="","",IFERROR(VLOOKUP($BD530&amp;"-"&amp;$BE530,DECODE!$E$3:$F$21,2,FALSE),"?"))</f>
        <v/>
      </c>
      <c r="BH530">
        <f>IF($BC530="","",IFERROR(VALUE(RIGHT($BC530,3)),""))</f>
        <v/>
      </c>
      <c r="BI530">
        <f>IF($V530="","",IFERROR(IF(ISNUMBER($V530),$V530,DATEVALUE(TRIM($V530))),""))</f>
        <v/>
      </c>
      <c r="BJ530">
        <f>IF($BI530="","",IF(MONTH($BI530)&gt;=12,"Cold Winter",IF(MONTH($BI530)&gt;=10,"Post-Monsoon",IF(MONTH($BI530)&gt;=6,"Hot Humid",IF(MONTH($BI530)&gt;=3,"Hot Dry","Cold Winter")))))</f>
        <v/>
      </c>
      <c r="BK530">
        <f>IF($BD530="","",IFERROR(VLOOKUP($BD530,DECODE!$A$3:$C$8,2,FALSE),"?"))</f>
        <v/>
      </c>
      <c r="BL530">
        <f>IF($Q530="","",UPPER(TRIM(LEFT($Q530&amp;",",FIND(",",$Q530&amp;",")-1))))</f>
        <v/>
      </c>
      <c r="BM530">
        <f>IF($BL530="","",MID($BL530,4,FIND("~",SUBSTITUTE($BL530,"-","~",2))-4))</f>
        <v/>
      </c>
      <c r="BN530">
        <f>IF($BL530="","",MID($BL530,FIND("~",SUBSTITUTE($BL530,"-","~",2))+1,FIND("~",SUBSTITUTE($BL530,"-","~",3))-FIND("~",SUBSTITUTE($BL530,"-","~",2))-1))</f>
        <v/>
      </c>
      <c r="BO530">
        <f>IF($BM530="","",IFERROR(VLOOKUP($BM530,DECODE!$A$3:$C$8,3,FALSE),"?"))</f>
        <v/>
      </c>
      <c r="BP530">
        <f>IF($BN530="","",IFERROR(VLOOKUP($BM530&amp;"-"&amp;$BN530,DECODE!$E$3:$F$21,2,FALSE),"?"))</f>
        <v/>
      </c>
      <c r="BQ530">
        <f>IF($BL530="","",IFERROR(VALUE(RIGHT($BL530,3)),""))</f>
        <v/>
      </c>
      <c r="BR530">
        <f>IF($W530="","",IFERROR(IF(ISNUMBER($W530),$W530,DATEVALUE(TRIM($W530))),""))</f>
        <v/>
      </c>
      <c r="BS530">
        <f>IF($BR530="","",IF(MONTH($BR530)&gt;=12,"Cold Winter",IF(MONTH($BR530)&gt;=10,"Post-Monsoon",IF(MONTH($BR530)&gt;=6,"Hot Humid",IF(MONTH($BR530)&gt;=3,"Hot Dry","Cold Winter")))))</f>
        <v/>
      </c>
      <c r="BT530">
        <f>IF($BM530="","",IFERROR(VLOOKUP($BM530,DECODE!$A$3:$C$8,2,FALSE),"?"))</f>
        <v/>
      </c>
      <c r="BU530">
        <f>IF($R530="","",UPPER(TRIM(LEFT($R530&amp;",",FIND(",",$R530&amp;",")-1))))</f>
        <v/>
      </c>
      <c r="BV530">
        <f>IF($BU530="","",MID($BU530,4,FIND("~",SUBSTITUTE($BU530,"-","~",2))-4))</f>
        <v/>
      </c>
      <c r="BW530">
        <f>IF($BU530="","",MID($BU530,FIND("~",SUBSTITUTE($BU530,"-","~",2))+1,FIND("~",SUBSTITUTE($BU530,"-","~",3))-FIND("~",SUBSTITUTE($BU530,"-","~",2))-1))</f>
        <v/>
      </c>
      <c r="BX530">
        <f>IF($BV530="","",IFERROR(VLOOKUP($BV530,DECODE!$A$3:$C$8,3,FALSE),"?"))</f>
        <v/>
      </c>
      <c r="BY530">
        <f>IF($BW530="","",IFERROR(VLOOKUP($BV530&amp;"-"&amp;$BW530,DECODE!$E$3:$F$21,2,FALSE),"?"))</f>
        <v/>
      </c>
      <c r="BZ530">
        <f>IF($BU530="","",IFERROR(VALUE(RIGHT($BU530,3)),""))</f>
        <v/>
      </c>
      <c r="CA530">
        <f>IF($X530="","",IFERROR(IF(ISNUMBER($X530),$X530,DATEVALUE(TRIM($X530))),""))</f>
        <v/>
      </c>
      <c r="CB530">
        <f>IF($CA530="","",IF(MONTH($CA530)&gt;=12,"Cold Winter",IF(MONTH($CA530)&gt;=10,"Post-Monsoon",IF(MONTH($CA530)&gt;=6,"Hot Humid",IF(MONTH($CA530)&gt;=3,"Hot Dry","Cold Winter")))))</f>
        <v/>
      </c>
      <c r="CC530">
        <f>IF($BV530="","",IFERROR(VLOOKUP($BV530,DECODE!$A$3:$C$8,2,FALSE),"?"))</f>
        <v/>
      </c>
      <c r="CD530">
        <f>IF($S530="","",UPPER(TRIM(LEFT($S530&amp;",",FIND(",",$S530&amp;",")-1))))</f>
        <v/>
      </c>
      <c r="CE530">
        <f>IF($CD530="","",MID($CD530,4,FIND("~",SUBSTITUTE($CD530,"-","~",2))-4))</f>
        <v/>
      </c>
      <c r="CF530">
        <f>IF($CD530="","",MID($CD530,FIND("~",SUBSTITUTE($CD530,"-","~",2))+1,FIND("~",SUBSTITUTE($CD530,"-","~",3))-FIND("~",SUBSTITUTE($CD530,"-","~",2))-1))</f>
        <v/>
      </c>
      <c r="CG530">
        <f>IF($CE530="","",IFERROR(VLOOKUP($CE530,DECODE!$A$3:$C$8,3,FALSE),"?"))</f>
        <v/>
      </c>
      <c r="CH530">
        <f>IF($CF530="","",IFERROR(VLOOKUP($CE530&amp;"-"&amp;$CF530,DECODE!$E$3:$F$21,2,FALSE),"?"))</f>
        <v/>
      </c>
      <c r="CI530">
        <f>IF($CD530="","",IFERROR(VALUE(RIGHT($CD530,3)),""))</f>
        <v/>
      </c>
      <c r="CJ530">
        <f>IF($Y530="","",IFERROR(IF(ISNUMBER($Y530),$Y530,DATEVALUE(TRIM($Y530))),""))</f>
        <v/>
      </c>
      <c r="CK530">
        <f>IF($CJ530="","",IF(MONTH($CJ530)&gt;=12,"Cold Winter",IF(MONTH($CJ530)&gt;=10,"Post-Monsoon",IF(MONTH($CJ530)&gt;=6,"Hot Humid",IF(MONTH($CJ530)&gt;=3,"Hot Dry","Cold Winter")))))</f>
        <v/>
      </c>
      <c r="CL530">
        <f>IF($CE530="","",IFERROR(VLOOKUP($CE530,DECODE!$A$3:$C$8,2,FALSE),"?"))</f>
        <v/>
      </c>
      <c r="CM530">
        <f>IF($AN530="","",AN530)</f>
        <v/>
      </c>
      <c r="CN530">
        <f>IF($AO530="","",AO530)</f>
        <v/>
      </c>
      <c r="CO530">
        <f>IF($AP530="","",AP530)</f>
        <v/>
      </c>
      <c r="CP530">
        <f>IF($CM530="","",IF($CM530="Aloe Vera Gel","Aloe Vera Gel "&amp;$CO530&amp;"g",CN530&amp;" "&amp;$CO530&amp;"g"))</f>
        <v/>
      </c>
      <c r="CQ530">
        <f>IF($AT530="",0,1)</f>
        <v/>
      </c>
      <c r="CR530">
        <f>IF($CQ530=0,"",AW530)</f>
        <v/>
      </c>
      <c r="CS530">
        <f>IF($CQ530=0,"",AX530)</f>
        <v/>
      </c>
      <c r="CT530">
        <f>IF($CQ530=0,"",AY530)</f>
        <v/>
      </c>
      <c r="CU530">
        <f>IF($CR530="","",IF($CR530="Aloe Vera Gel","Aloe Vera Gel "&amp;$CT530&amp;"g",CS530&amp;" "&amp;$CT530&amp;"g"))</f>
        <v/>
      </c>
      <c r="CV530">
        <f>IF($CQ530=0,"",IF($CP530=$CU530,"Repeat Exact",IF($CT530&gt;$CO530,"Upsized",IF($CT530&lt;$CO530,"Downsized",IF($CM530&lt;&gt;$CR530,"Lateral","Same Size Diff Variant")))))</f>
        <v/>
      </c>
      <c r="CW530">
        <f>IF($CQ530=0,"",AZ530-AQ530)</f>
        <v/>
      </c>
      <c r="CX530">
        <f>IF($CQ530=0,0,IF(CS530=CN530,1,0))</f>
        <v/>
      </c>
      <c r="CY530">
        <f>IF($CQ530=0,0,IF(CR530=CM530,1,0))</f>
        <v/>
      </c>
      <c r="CZ530">
        <f>IF($A530="","",IF(AND(IF(DASHBOARD!$C$4="All",TRUE,$CM530=DASHBOARD!$C$4),IF(DASHBOARD!$C$6="All",TRUE,$CP530=DASHBOARD!$C$6),IF(DASHBOARD!$C$8="All",TRUE,$AF530&gt;=DASHBOARD!$C$8),IF(DASHBOARD!$C$10="All",TRUE,$AF530&lt;=DASHBOARD!$C$10),IF(DASHBOARD!$C$12="All",TRUE,$AH530=VALUE(DASHBOARD!$C$12)),IF(DASHBOARD!$C$14="All",TRUE,$AJ530=DASHBOARD!$C$14)),1,0))</f>
        <v/>
      </c>
    </row>
    <row r="531">
      <c r="A531" t="n">
        <v>237927</v>
      </c>
      <c r="B531" t="inlineStr">
        <is>
          <t>Aloe Vera Gel</t>
        </is>
      </c>
      <c r="H531" t="inlineStr">
        <is>
          <t>Aloe Vera Gel - 80 gms</t>
        </is>
      </c>
      <c r="N531" t="inlineStr">
        <is>
          <t>FC-HG-PA-080</t>
        </is>
      </c>
      <c r="T531" t="inlineStr">
        <is>
          <t>Jul 8, 2025</t>
        </is>
      </c>
      <c r="AE531" t="inlineStr">
        <is>
          <t>Bengaluru</t>
        </is>
      </c>
      <c r="AF531" t="inlineStr">
        <is>
          <t>2025-07</t>
        </is>
      </c>
      <c r="AG531" t="n">
        <v>7</v>
      </c>
      <c r="AH531" t="n">
        <v>1</v>
      </c>
      <c r="AI531" t="n">
        <v>0</v>
      </c>
      <c r="AJ531">
        <f>IF($AE531="","",IFERROR(VLOOKUP(TRIM($AE531),DECODE!$H$3:$I$60,2,FALSE),"Rest of India"))</f>
        <v/>
      </c>
      <c r="AK531">
        <f>IF($N531="","",UPPER(TRIM(LEFT($N531&amp;",",FIND(",",$N531&amp;",")-1))))</f>
        <v/>
      </c>
      <c r="AL531">
        <f>IF($AK531="","",MID($AK531,4,FIND("~",SUBSTITUTE($AK531,"-","~",2))-4))</f>
        <v/>
      </c>
      <c r="AM531">
        <f>IF($AK531="","",MID($AK531,FIND("~",SUBSTITUTE($AK531,"-","~",2))+1,FIND("~",SUBSTITUTE($AK531,"-","~",3))-FIND("~",SUBSTITUTE($AK531,"-","~",2))-1))</f>
        <v/>
      </c>
      <c r="AN531">
        <f>IF($AL531="","",IFERROR(VLOOKUP($AL531,DECODE!$A$3:$C$8,3,FALSE),"?"))</f>
        <v/>
      </c>
      <c r="AO531">
        <f>IF($AM531="","",IFERROR(VLOOKUP($AL531&amp;"-"&amp;$AM531,DECODE!$E$3:$F$21,2,FALSE),"?"))</f>
        <v/>
      </c>
      <c r="AP531">
        <f>IF($AK531="","",IFERROR(VALUE(RIGHT($AK531,3)),""))</f>
        <v/>
      </c>
      <c r="AQ531">
        <f>IF($T531="","",IFERROR(IF(ISNUMBER($T531),$T531,DATEVALUE(TRIM($T531))),""))</f>
        <v/>
      </c>
      <c r="AR531">
        <f>IF($AQ531="","",IF(MONTH($AQ531)&gt;=12,"Cold Winter",IF(MONTH($AQ531)&gt;=10,"Post-Monsoon",IF(MONTH($AQ531)&gt;=6,"Hot Humid",IF(MONTH($AQ531)&gt;=3,"Hot Dry","Cold Winter")))))</f>
        <v/>
      </c>
      <c r="AS531">
        <f>IF($AL531="","",IFERROR(VLOOKUP($AL531,DECODE!$A$3:$C$8,2,FALSE),"?"))</f>
        <v/>
      </c>
      <c r="AT531">
        <f>IF($O531="","",UPPER(TRIM(LEFT($O531&amp;",",FIND(",",$O531&amp;",")-1))))</f>
        <v/>
      </c>
      <c r="AU531">
        <f>IF($AT531="","",MID($AT531,4,FIND("~",SUBSTITUTE($AT531,"-","~",2))-4))</f>
        <v/>
      </c>
      <c r="AV531">
        <f>IF($AT531="","",MID($AT531,FIND("~",SUBSTITUTE($AT531,"-","~",2))+1,FIND("~",SUBSTITUTE($AT531,"-","~",3))-FIND("~",SUBSTITUTE($AT531,"-","~",2))-1))</f>
        <v/>
      </c>
      <c r="AW531">
        <f>IF($AU531="","",IFERROR(VLOOKUP($AU531,DECODE!$A$3:$C$8,3,FALSE),"?"))</f>
        <v/>
      </c>
      <c r="AX531">
        <f>IF($AV531="","",IFERROR(VLOOKUP($AU531&amp;"-"&amp;$AV531,DECODE!$E$3:$F$21,2,FALSE),"?"))</f>
        <v/>
      </c>
      <c r="AY531">
        <f>IF($AT531="","",IFERROR(VALUE(RIGHT($AT531,3)),""))</f>
        <v/>
      </c>
      <c r="AZ531">
        <f>IF($U531="","",IFERROR(IF(ISNUMBER($U531),$U531,DATEVALUE(TRIM($U531))),""))</f>
        <v/>
      </c>
      <c r="BA531">
        <f>IF($AZ531="","",IF(MONTH($AZ531)&gt;=12,"Cold Winter",IF(MONTH($AZ531)&gt;=10,"Post-Monsoon",IF(MONTH($AZ531)&gt;=6,"Hot Humid",IF(MONTH($AZ531)&gt;=3,"Hot Dry","Cold Winter")))))</f>
        <v/>
      </c>
      <c r="BB531">
        <f>IF($AU531="","",IFERROR(VLOOKUP($AU531,DECODE!$A$3:$C$8,2,FALSE),"?"))</f>
        <v/>
      </c>
      <c r="BC531">
        <f>IF($P531="","",UPPER(TRIM(LEFT($P531&amp;",",FIND(",",$P531&amp;",")-1))))</f>
        <v/>
      </c>
      <c r="BD531">
        <f>IF($BC531="","",MID($BC531,4,FIND("~",SUBSTITUTE($BC531,"-","~",2))-4))</f>
        <v/>
      </c>
      <c r="BE531">
        <f>IF($BC531="","",MID($BC531,FIND("~",SUBSTITUTE($BC531,"-","~",2))+1,FIND("~",SUBSTITUTE($BC531,"-","~",3))-FIND("~",SUBSTITUTE($BC531,"-","~",2))-1))</f>
        <v/>
      </c>
      <c r="BF531">
        <f>IF($BD531="","",IFERROR(VLOOKUP($BD531,DECODE!$A$3:$C$8,3,FALSE),"?"))</f>
        <v/>
      </c>
      <c r="BG531">
        <f>IF($BE531="","",IFERROR(VLOOKUP($BD531&amp;"-"&amp;$BE531,DECODE!$E$3:$F$21,2,FALSE),"?"))</f>
        <v/>
      </c>
      <c r="BH531">
        <f>IF($BC531="","",IFERROR(VALUE(RIGHT($BC531,3)),""))</f>
        <v/>
      </c>
      <c r="BI531">
        <f>IF($V531="","",IFERROR(IF(ISNUMBER($V531),$V531,DATEVALUE(TRIM($V531))),""))</f>
        <v/>
      </c>
      <c r="BJ531">
        <f>IF($BI531="","",IF(MONTH($BI531)&gt;=12,"Cold Winter",IF(MONTH($BI531)&gt;=10,"Post-Monsoon",IF(MONTH($BI531)&gt;=6,"Hot Humid",IF(MONTH($BI531)&gt;=3,"Hot Dry","Cold Winter")))))</f>
        <v/>
      </c>
      <c r="BK531">
        <f>IF($BD531="","",IFERROR(VLOOKUP($BD531,DECODE!$A$3:$C$8,2,FALSE),"?"))</f>
        <v/>
      </c>
      <c r="BL531">
        <f>IF($Q531="","",UPPER(TRIM(LEFT($Q531&amp;",",FIND(",",$Q531&amp;",")-1))))</f>
        <v/>
      </c>
      <c r="BM531">
        <f>IF($BL531="","",MID($BL531,4,FIND("~",SUBSTITUTE($BL531,"-","~",2))-4))</f>
        <v/>
      </c>
      <c r="BN531">
        <f>IF($BL531="","",MID($BL531,FIND("~",SUBSTITUTE($BL531,"-","~",2))+1,FIND("~",SUBSTITUTE($BL531,"-","~",3))-FIND("~",SUBSTITUTE($BL531,"-","~",2))-1))</f>
        <v/>
      </c>
      <c r="BO531">
        <f>IF($BM531="","",IFERROR(VLOOKUP($BM531,DECODE!$A$3:$C$8,3,FALSE),"?"))</f>
        <v/>
      </c>
      <c r="BP531">
        <f>IF($BN531="","",IFERROR(VLOOKUP($BM531&amp;"-"&amp;$BN531,DECODE!$E$3:$F$21,2,FALSE),"?"))</f>
        <v/>
      </c>
      <c r="BQ531">
        <f>IF($BL531="","",IFERROR(VALUE(RIGHT($BL531,3)),""))</f>
        <v/>
      </c>
      <c r="BR531">
        <f>IF($W531="","",IFERROR(IF(ISNUMBER($W531),$W531,DATEVALUE(TRIM($W531))),""))</f>
        <v/>
      </c>
      <c r="BS531">
        <f>IF($BR531="","",IF(MONTH($BR531)&gt;=12,"Cold Winter",IF(MONTH($BR531)&gt;=10,"Post-Monsoon",IF(MONTH($BR531)&gt;=6,"Hot Humid",IF(MONTH($BR531)&gt;=3,"Hot Dry","Cold Winter")))))</f>
        <v/>
      </c>
      <c r="BT531">
        <f>IF($BM531="","",IFERROR(VLOOKUP($BM531,DECODE!$A$3:$C$8,2,FALSE),"?"))</f>
        <v/>
      </c>
      <c r="BU531">
        <f>IF($R531="","",UPPER(TRIM(LEFT($R531&amp;",",FIND(",",$R531&amp;",")-1))))</f>
        <v/>
      </c>
      <c r="BV531">
        <f>IF($BU531="","",MID($BU531,4,FIND("~",SUBSTITUTE($BU531,"-","~",2))-4))</f>
        <v/>
      </c>
      <c r="BW531">
        <f>IF($BU531="","",MID($BU531,FIND("~",SUBSTITUTE($BU531,"-","~",2))+1,FIND("~",SUBSTITUTE($BU531,"-","~",3))-FIND("~",SUBSTITUTE($BU531,"-","~",2))-1))</f>
        <v/>
      </c>
      <c r="BX531">
        <f>IF($BV531="","",IFERROR(VLOOKUP($BV531,DECODE!$A$3:$C$8,3,FALSE),"?"))</f>
        <v/>
      </c>
      <c r="BY531">
        <f>IF($BW531="","",IFERROR(VLOOKUP($BV531&amp;"-"&amp;$BW531,DECODE!$E$3:$F$21,2,FALSE),"?"))</f>
        <v/>
      </c>
      <c r="BZ531">
        <f>IF($BU531="","",IFERROR(VALUE(RIGHT($BU531,3)),""))</f>
        <v/>
      </c>
      <c r="CA531">
        <f>IF($X531="","",IFERROR(IF(ISNUMBER($X531),$X531,DATEVALUE(TRIM($X531))),""))</f>
        <v/>
      </c>
      <c r="CB531">
        <f>IF($CA531="","",IF(MONTH($CA531)&gt;=12,"Cold Winter",IF(MONTH($CA531)&gt;=10,"Post-Monsoon",IF(MONTH($CA531)&gt;=6,"Hot Humid",IF(MONTH($CA531)&gt;=3,"Hot Dry","Cold Winter")))))</f>
        <v/>
      </c>
      <c r="CC531">
        <f>IF($BV531="","",IFERROR(VLOOKUP($BV531,DECODE!$A$3:$C$8,2,FALSE),"?"))</f>
        <v/>
      </c>
      <c r="CD531">
        <f>IF($S531="","",UPPER(TRIM(LEFT($S531&amp;",",FIND(",",$S531&amp;",")-1))))</f>
        <v/>
      </c>
      <c r="CE531">
        <f>IF($CD531="","",MID($CD531,4,FIND("~",SUBSTITUTE($CD531,"-","~",2))-4))</f>
        <v/>
      </c>
      <c r="CF531">
        <f>IF($CD531="","",MID($CD531,FIND("~",SUBSTITUTE($CD531,"-","~",2))+1,FIND("~",SUBSTITUTE($CD531,"-","~",3))-FIND("~",SUBSTITUTE($CD531,"-","~",2))-1))</f>
        <v/>
      </c>
      <c r="CG531">
        <f>IF($CE531="","",IFERROR(VLOOKUP($CE531,DECODE!$A$3:$C$8,3,FALSE),"?"))</f>
        <v/>
      </c>
      <c r="CH531">
        <f>IF($CF531="","",IFERROR(VLOOKUP($CE531&amp;"-"&amp;$CF531,DECODE!$E$3:$F$21,2,FALSE),"?"))</f>
        <v/>
      </c>
      <c r="CI531">
        <f>IF($CD531="","",IFERROR(VALUE(RIGHT($CD531,3)),""))</f>
        <v/>
      </c>
      <c r="CJ531">
        <f>IF($Y531="","",IFERROR(IF(ISNUMBER($Y531),$Y531,DATEVALUE(TRIM($Y531))),""))</f>
        <v/>
      </c>
      <c r="CK531">
        <f>IF($CJ531="","",IF(MONTH($CJ531)&gt;=12,"Cold Winter",IF(MONTH($CJ531)&gt;=10,"Post-Monsoon",IF(MONTH($CJ531)&gt;=6,"Hot Humid",IF(MONTH($CJ531)&gt;=3,"Hot Dry","Cold Winter")))))</f>
        <v/>
      </c>
      <c r="CL531">
        <f>IF($CE531="","",IFERROR(VLOOKUP($CE531,DECODE!$A$3:$C$8,2,FALSE),"?"))</f>
        <v/>
      </c>
      <c r="CM531">
        <f>IF($AN531="","",AN531)</f>
        <v/>
      </c>
      <c r="CN531">
        <f>IF($AO531="","",AO531)</f>
        <v/>
      </c>
      <c r="CO531">
        <f>IF($AP531="","",AP531)</f>
        <v/>
      </c>
      <c r="CP531">
        <f>IF($CM531="","",IF($CM531="Aloe Vera Gel","Aloe Vera Gel "&amp;$CO531&amp;"g",CN531&amp;" "&amp;$CO531&amp;"g"))</f>
        <v/>
      </c>
      <c r="CQ531">
        <f>IF($AT531="",0,1)</f>
        <v/>
      </c>
      <c r="CR531">
        <f>IF($CQ531=0,"",AW531)</f>
        <v/>
      </c>
      <c r="CS531">
        <f>IF($CQ531=0,"",AX531)</f>
        <v/>
      </c>
      <c r="CT531">
        <f>IF($CQ531=0,"",AY531)</f>
        <v/>
      </c>
      <c r="CU531">
        <f>IF($CR531="","",IF($CR531="Aloe Vera Gel","Aloe Vera Gel "&amp;$CT531&amp;"g",CS531&amp;" "&amp;$CT531&amp;"g"))</f>
        <v/>
      </c>
      <c r="CV531">
        <f>IF($CQ531=0,"",IF($CP531=$CU531,"Repeat Exact",IF($CT531&gt;$CO531,"Upsized",IF($CT531&lt;$CO531,"Downsized",IF($CM531&lt;&gt;$CR531,"Lateral","Same Size Diff Variant")))))</f>
        <v/>
      </c>
      <c r="CW531">
        <f>IF($CQ531=0,"",AZ531-AQ531)</f>
        <v/>
      </c>
      <c r="CX531">
        <f>IF($CQ531=0,0,IF(CS531=CN531,1,0))</f>
        <v/>
      </c>
      <c r="CY531">
        <f>IF($CQ531=0,0,IF(CR531=CM531,1,0))</f>
        <v/>
      </c>
      <c r="CZ531">
        <f>IF($A531="","",IF(AND(IF(DASHBOARD!$C$4="All",TRUE,$CM531=DASHBOARD!$C$4),IF(DASHBOARD!$C$6="All",TRUE,$CP531=DASHBOARD!$C$6),IF(DASHBOARD!$C$8="All",TRUE,$AF531&gt;=DASHBOARD!$C$8),IF(DASHBOARD!$C$10="All",TRUE,$AF531&lt;=DASHBOARD!$C$10),IF(DASHBOARD!$C$12="All",TRUE,$AH531=VALUE(DASHBOARD!$C$12)),IF(DASHBOARD!$C$14="All",TRUE,$AJ531=DASHBOARD!$C$14)),1,0))</f>
        <v/>
      </c>
    </row>
    <row r="532">
      <c r="A532" t="n">
        <v>237997</v>
      </c>
      <c r="B532" t="inlineStr">
        <is>
          <t>Active Gel</t>
        </is>
      </c>
      <c r="H532" t="inlineStr">
        <is>
          <t>Active Orange Kiwi Vit-C Gel</t>
        </is>
      </c>
      <c r="N532" t="inlineStr">
        <is>
          <t>FC-AC-OK-050</t>
        </is>
      </c>
      <c r="T532" t="inlineStr">
        <is>
          <t>Apr 24, 2026</t>
        </is>
      </c>
      <c r="AE532" t="inlineStr">
        <is>
          <t>Hoshiarpur</t>
        </is>
      </c>
      <c r="AF532" t="inlineStr">
        <is>
          <t>2026-04</t>
        </is>
      </c>
      <c r="AG532" t="n">
        <v>4</v>
      </c>
      <c r="AH532" t="n">
        <v>1</v>
      </c>
      <c r="AI532" t="n">
        <v>0</v>
      </c>
      <c r="AJ532">
        <f>IF($AE532="","",IFERROR(VLOOKUP(TRIM($AE532),DECODE!$H$3:$I$60,2,FALSE),"Rest of India"))</f>
        <v/>
      </c>
      <c r="AK532">
        <f>IF($N532="","",UPPER(TRIM(LEFT($N532&amp;",",FIND(",",$N532&amp;",")-1))))</f>
        <v/>
      </c>
      <c r="AL532">
        <f>IF($AK532="","",MID($AK532,4,FIND("~",SUBSTITUTE($AK532,"-","~",2))-4))</f>
        <v/>
      </c>
      <c r="AM532">
        <f>IF($AK532="","",MID($AK532,FIND("~",SUBSTITUTE($AK532,"-","~",2))+1,FIND("~",SUBSTITUTE($AK532,"-","~",3))-FIND("~",SUBSTITUTE($AK532,"-","~",2))-1))</f>
        <v/>
      </c>
      <c r="AN532">
        <f>IF($AL532="","",IFERROR(VLOOKUP($AL532,DECODE!$A$3:$C$8,3,FALSE),"?"))</f>
        <v/>
      </c>
      <c r="AO532">
        <f>IF($AM532="","",IFERROR(VLOOKUP($AL532&amp;"-"&amp;$AM532,DECODE!$E$3:$F$21,2,FALSE),"?"))</f>
        <v/>
      </c>
      <c r="AP532">
        <f>IF($AK532="","",IFERROR(VALUE(RIGHT($AK532,3)),""))</f>
        <v/>
      </c>
      <c r="AQ532">
        <f>IF($T532="","",IFERROR(IF(ISNUMBER($T532),$T532,DATEVALUE(TRIM($T532))),""))</f>
        <v/>
      </c>
      <c r="AR532">
        <f>IF($AQ532="","",IF(MONTH($AQ532)&gt;=12,"Cold Winter",IF(MONTH($AQ532)&gt;=10,"Post-Monsoon",IF(MONTH($AQ532)&gt;=6,"Hot Humid",IF(MONTH($AQ532)&gt;=3,"Hot Dry","Cold Winter")))))</f>
        <v/>
      </c>
      <c r="AS532">
        <f>IF($AL532="","",IFERROR(VLOOKUP($AL532,DECODE!$A$3:$C$8,2,FALSE),"?"))</f>
        <v/>
      </c>
      <c r="AT532">
        <f>IF($O532="","",UPPER(TRIM(LEFT($O532&amp;",",FIND(",",$O532&amp;",")-1))))</f>
        <v/>
      </c>
      <c r="AU532">
        <f>IF($AT532="","",MID($AT532,4,FIND("~",SUBSTITUTE($AT532,"-","~",2))-4))</f>
        <v/>
      </c>
      <c r="AV532">
        <f>IF($AT532="","",MID($AT532,FIND("~",SUBSTITUTE($AT532,"-","~",2))+1,FIND("~",SUBSTITUTE($AT532,"-","~",3))-FIND("~",SUBSTITUTE($AT532,"-","~",2))-1))</f>
        <v/>
      </c>
      <c r="AW532">
        <f>IF($AU532="","",IFERROR(VLOOKUP($AU532,DECODE!$A$3:$C$8,3,FALSE),"?"))</f>
        <v/>
      </c>
      <c r="AX532">
        <f>IF($AV532="","",IFERROR(VLOOKUP($AU532&amp;"-"&amp;$AV532,DECODE!$E$3:$F$21,2,FALSE),"?"))</f>
        <v/>
      </c>
      <c r="AY532">
        <f>IF($AT532="","",IFERROR(VALUE(RIGHT($AT532,3)),""))</f>
        <v/>
      </c>
      <c r="AZ532">
        <f>IF($U532="","",IFERROR(IF(ISNUMBER($U532),$U532,DATEVALUE(TRIM($U532))),""))</f>
        <v/>
      </c>
      <c r="BA532">
        <f>IF($AZ532="","",IF(MONTH($AZ532)&gt;=12,"Cold Winter",IF(MONTH($AZ532)&gt;=10,"Post-Monsoon",IF(MONTH($AZ532)&gt;=6,"Hot Humid",IF(MONTH($AZ532)&gt;=3,"Hot Dry","Cold Winter")))))</f>
        <v/>
      </c>
      <c r="BB532">
        <f>IF($AU532="","",IFERROR(VLOOKUP($AU532,DECODE!$A$3:$C$8,2,FALSE),"?"))</f>
        <v/>
      </c>
      <c r="BC532">
        <f>IF($P532="","",UPPER(TRIM(LEFT($P532&amp;",",FIND(",",$P532&amp;",")-1))))</f>
        <v/>
      </c>
      <c r="BD532">
        <f>IF($BC532="","",MID($BC532,4,FIND("~",SUBSTITUTE($BC532,"-","~",2))-4))</f>
        <v/>
      </c>
      <c r="BE532">
        <f>IF($BC532="","",MID($BC532,FIND("~",SUBSTITUTE($BC532,"-","~",2))+1,FIND("~",SUBSTITUTE($BC532,"-","~",3))-FIND("~",SUBSTITUTE($BC532,"-","~",2))-1))</f>
        <v/>
      </c>
      <c r="BF532">
        <f>IF($BD532="","",IFERROR(VLOOKUP($BD532,DECODE!$A$3:$C$8,3,FALSE),"?"))</f>
        <v/>
      </c>
      <c r="BG532">
        <f>IF($BE532="","",IFERROR(VLOOKUP($BD532&amp;"-"&amp;$BE532,DECODE!$E$3:$F$21,2,FALSE),"?"))</f>
        <v/>
      </c>
      <c r="BH532">
        <f>IF($BC532="","",IFERROR(VALUE(RIGHT($BC532,3)),""))</f>
        <v/>
      </c>
      <c r="BI532">
        <f>IF($V532="","",IFERROR(IF(ISNUMBER($V532),$V532,DATEVALUE(TRIM($V532))),""))</f>
        <v/>
      </c>
      <c r="BJ532">
        <f>IF($BI532="","",IF(MONTH($BI532)&gt;=12,"Cold Winter",IF(MONTH($BI532)&gt;=10,"Post-Monsoon",IF(MONTH($BI532)&gt;=6,"Hot Humid",IF(MONTH($BI532)&gt;=3,"Hot Dry","Cold Winter")))))</f>
        <v/>
      </c>
      <c r="BK532">
        <f>IF($BD532="","",IFERROR(VLOOKUP($BD532,DECODE!$A$3:$C$8,2,FALSE),"?"))</f>
        <v/>
      </c>
      <c r="BL532">
        <f>IF($Q532="","",UPPER(TRIM(LEFT($Q532&amp;",",FIND(",",$Q532&amp;",")-1))))</f>
        <v/>
      </c>
      <c r="BM532">
        <f>IF($BL532="","",MID($BL532,4,FIND("~",SUBSTITUTE($BL532,"-","~",2))-4))</f>
        <v/>
      </c>
      <c r="BN532">
        <f>IF($BL532="","",MID($BL532,FIND("~",SUBSTITUTE($BL532,"-","~",2))+1,FIND("~",SUBSTITUTE($BL532,"-","~",3))-FIND("~",SUBSTITUTE($BL532,"-","~",2))-1))</f>
        <v/>
      </c>
      <c r="BO532">
        <f>IF($BM532="","",IFERROR(VLOOKUP($BM532,DECODE!$A$3:$C$8,3,FALSE),"?"))</f>
        <v/>
      </c>
      <c r="BP532">
        <f>IF($BN532="","",IFERROR(VLOOKUP($BM532&amp;"-"&amp;$BN532,DECODE!$E$3:$F$21,2,FALSE),"?"))</f>
        <v/>
      </c>
      <c r="BQ532">
        <f>IF($BL532="","",IFERROR(VALUE(RIGHT($BL532,3)),""))</f>
        <v/>
      </c>
      <c r="BR532">
        <f>IF($W532="","",IFERROR(IF(ISNUMBER($W532),$W532,DATEVALUE(TRIM($W532))),""))</f>
        <v/>
      </c>
      <c r="BS532">
        <f>IF($BR532="","",IF(MONTH($BR532)&gt;=12,"Cold Winter",IF(MONTH($BR532)&gt;=10,"Post-Monsoon",IF(MONTH($BR532)&gt;=6,"Hot Humid",IF(MONTH($BR532)&gt;=3,"Hot Dry","Cold Winter")))))</f>
        <v/>
      </c>
      <c r="BT532">
        <f>IF($BM532="","",IFERROR(VLOOKUP($BM532,DECODE!$A$3:$C$8,2,FALSE),"?"))</f>
        <v/>
      </c>
      <c r="BU532">
        <f>IF($R532="","",UPPER(TRIM(LEFT($R532&amp;",",FIND(",",$R532&amp;",")-1))))</f>
        <v/>
      </c>
      <c r="BV532">
        <f>IF($BU532="","",MID($BU532,4,FIND("~",SUBSTITUTE($BU532,"-","~",2))-4))</f>
        <v/>
      </c>
      <c r="BW532">
        <f>IF($BU532="","",MID($BU532,FIND("~",SUBSTITUTE($BU532,"-","~",2))+1,FIND("~",SUBSTITUTE($BU532,"-","~",3))-FIND("~",SUBSTITUTE($BU532,"-","~",2))-1))</f>
        <v/>
      </c>
      <c r="BX532">
        <f>IF($BV532="","",IFERROR(VLOOKUP($BV532,DECODE!$A$3:$C$8,3,FALSE),"?"))</f>
        <v/>
      </c>
      <c r="BY532">
        <f>IF($BW532="","",IFERROR(VLOOKUP($BV532&amp;"-"&amp;$BW532,DECODE!$E$3:$F$21,2,FALSE),"?"))</f>
        <v/>
      </c>
      <c r="BZ532">
        <f>IF($BU532="","",IFERROR(VALUE(RIGHT($BU532,3)),""))</f>
        <v/>
      </c>
      <c r="CA532">
        <f>IF($X532="","",IFERROR(IF(ISNUMBER($X532),$X532,DATEVALUE(TRIM($X532))),""))</f>
        <v/>
      </c>
      <c r="CB532">
        <f>IF($CA532="","",IF(MONTH($CA532)&gt;=12,"Cold Winter",IF(MONTH($CA532)&gt;=10,"Post-Monsoon",IF(MONTH($CA532)&gt;=6,"Hot Humid",IF(MONTH($CA532)&gt;=3,"Hot Dry","Cold Winter")))))</f>
        <v/>
      </c>
      <c r="CC532">
        <f>IF($BV532="","",IFERROR(VLOOKUP($BV532,DECODE!$A$3:$C$8,2,FALSE),"?"))</f>
        <v/>
      </c>
      <c r="CD532">
        <f>IF($S532="","",UPPER(TRIM(LEFT($S532&amp;",",FIND(",",$S532&amp;",")-1))))</f>
        <v/>
      </c>
      <c r="CE532">
        <f>IF($CD532="","",MID($CD532,4,FIND("~",SUBSTITUTE($CD532,"-","~",2))-4))</f>
        <v/>
      </c>
      <c r="CF532">
        <f>IF($CD532="","",MID($CD532,FIND("~",SUBSTITUTE($CD532,"-","~",2))+1,FIND("~",SUBSTITUTE($CD532,"-","~",3))-FIND("~",SUBSTITUTE($CD532,"-","~",2))-1))</f>
        <v/>
      </c>
      <c r="CG532">
        <f>IF($CE532="","",IFERROR(VLOOKUP($CE532,DECODE!$A$3:$C$8,3,FALSE),"?"))</f>
        <v/>
      </c>
      <c r="CH532">
        <f>IF($CF532="","",IFERROR(VLOOKUP($CE532&amp;"-"&amp;$CF532,DECODE!$E$3:$F$21,2,FALSE),"?"))</f>
        <v/>
      </c>
      <c r="CI532">
        <f>IF($CD532="","",IFERROR(VALUE(RIGHT($CD532,3)),""))</f>
        <v/>
      </c>
      <c r="CJ532">
        <f>IF($Y532="","",IFERROR(IF(ISNUMBER($Y532),$Y532,DATEVALUE(TRIM($Y532))),""))</f>
        <v/>
      </c>
      <c r="CK532">
        <f>IF($CJ532="","",IF(MONTH($CJ532)&gt;=12,"Cold Winter",IF(MONTH($CJ532)&gt;=10,"Post-Monsoon",IF(MONTH($CJ532)&gt;=6,"Hot Humid",IF(MONTH($CJ532)&gt;=3,"Hot Dry","Cold Winter")))))</f>
        <v/>
      </c>
      <c r="CL532">
        <f>IF($CE532="","",IFERROR(VLOOKUP($CE532,DECODE!$A$3:$C$8,2,FALSE),"?"))</f>
        <v/>
      </c>
      <c r="CM532">
        <f>IF($AN532="","",AN532)</f>
        <v/>
      </c>
      <c r="CN532">
        <f>IF($AO532="","",AO532)</f>
        <v/>
      </c>
      <c r="CO532">
        <f>IF($AP532="","",AP532)</f>
        <v/>
      </c>
      <c r="CP532">
        <f>IF($CM532="","",IF($CM532="Aloe Vera Gel","Aloe Vera Gel "&amp;$CO532&amp;"g",CN532&amp;" "&amp;$CO532&amp;"g"))</f>
        <v/>
      </c>
      <c r="CQ532">
        <f>IF($AT532="",0,1)</f>
        <v/>
      </c>
      <c r="CR532">
        <f>IF($CQ532=0,"",AW532)</f>
        <v/>
      </c>
      <c r="CS532">
        <f>IF($CQ532=0,"",AX532)</f>
        <v/>
      </c>
      <c r="CT532">
        <f>IF($CQ532=0,"",AY532)</f>
        <v/>
      </c>
      <c r="CU532">
        <f>IF($CR532="","",IF($CR532="Aloe Vera Gel","Aloe Vera Gel "&amp;$CT532&amp;"g",CS532&amp;" "&amp;$CT532&amp;"g"))</f>
        <v/>
      </c>
      <c r="CV532">
        <f>IF($CQ532=0,"",IF($CP532=$CU532,"Repeat Exact",IF($CT532&gt;$CO532,"Upsized",IF($CT532&lt;$CO532,"Downsized",IF($CM532&lt;&gt;$CR532,"Lateral","Same Size Diff Variant")))))</f>
        <v/>
      </c>
      <c r="CW532">
        <f>IF($CQ532=0,"",AZ532-AQ532)</f>
        <v/>
      </c>
      <c r="CX532">
        <f>IF($CQ532=0,0,IF(CS532=CN532,1,0))</f>
        <v/>
      </c>
      <c r="CY532">
        <f>IF($CQ532=0,0,IF(CR532=CM532,1,0))</f>
        <v/>
      </c>
      <c r="CZ532">
        <f>IF($A532="","",IF(AND(IF(DASHBOARD!$C$4="All",TRUE,$CM532=DASHBOARD!$C$4),IF(DASHBOARD!$C$6="All",TRUE,$CP532=DASHBOARD!$C$6),IF(DASHBOARD!$C$8="All",TRUE,$AF532&gt;=DASHBOARD!$C$8),IF(DASHBOARD!$C$10="All",TRUE,$AF532&lt;=DASHBOARD!$C$10),IF(DASHBOARD!$C$12="All",TRUE,$AH532=VALUE(DASHBOARD!$C$12)),IF(DASHBOARD!$C$14="All",TRUE,$AJ532=DASHBOARD!$C$14)),1,0))</f>
        <v/>
      </c>
    </row>
    <row r="533">
      <c r="A533" t="n">
        <v>238174</v>
      </c>
      <c r="B533" t="inlineStr">
        <is>
          <t>Face Malai</t>
        </is>
      </c>
      <c r="H533" t="inlineStr">
        <is>
          <t>Turmeric Nutmeg (Pigmentation)  Face Malai - 50g</t>
        </is>
      </c>
      <c r="N533" t="inlineStr">
        <is>
          <t>FC-DM-PG-050</t>
        </is>
      </c>
      <c r="T533" t="inlineStr">
        <is>
          <t>Nov 14, 2024</t>
        </is>
      </c>
      <c r="AE533" t="inlineStr">
        <is>
          <t>Thane</t>
        </is>
      </c>
      <c r="AF533" t="inlineStr">
        <is>
          <t>2024-11</t>
        </is>
      </c>
      <c r="AG533" t="n">
        <v>11</v>
      </c>
      <c r="AH533" t="n">
        <v>1</v>
      </c>
      <c r="AI533" t="n">
        <v>0</v>
      </c>
      <c r="AJ533">
        <f>IF($AE533="","",IFERROR(VLOOKUP(TRIM($AE533),DECODE!$H$3:$I$60,2,FALSE),"Rest of India"))</f>
        <v/>
      </c>
      <c r="AK533">
        <f>IF($N533="","",UPPER(TRIM(LEFT($N533&amp;",",FIND(",",$N533&amp;",")-1))))</f>
        <v/>
      </c>
      <c r="AL533">
        <f>IF($AK533="","",MID($AK533,4,FIND("~",SUBSTITUTE($AK533,"-","~",2))-4))</f>
        <v/>
      </c>
      <c r="AM533">
        <f>IF($AK533="","",MID($AK533,FIND("~",SUBSTITUTE($AK533,"-","~",2))+1,FIND("~",SUBSTITUTE($AK533,"-","~",3))-FIND("~",SUBSTITUTE($AK533,"-","~",2))-1))</f>
        <v/>
      </c>
      <c r="AN533">
        <f>IF($AL533="","",IFERROR(VLOOKUP($AL533,DECODE!$A$3:$C$8,3,FALSE),"?"))</f>
        <v/>
      </c>
      <c r="AO533">
        <f>IF($AM533="","",IFERROR(VLOOKUP($AL533&amp;"-"&amp;$AM533,DECODE!$E$3:$F$21,2,FALSE),"?"))</f>
        <v/>
      </c>
      <c r="AP533">
        <f>IF($AK533="","",IFERROR(VALUE(RIGHT($AK533,3)),""))</f>
        <v/>
      </c>
      <c r="AQ533">
        <f>IF($T533="","",IFERROR(IF(ISNUMBER($T533),$T533,DATEVALUE(TRIM($T533))),""))</f>
        <v/>
      </c>
      <c r="AR533">
        <f>IF($AQ533="","",IF(MONTH($AQ533)&gt;=12,"Cold Winter",IF(MONTH($AQ533)&gt;=10,"Post-Monsoon",IF(MONTH($AQ533)&gt;=6,"Hot Humid",IF(MONTH($AQ533)&gt;=3,"Hot Dry","Cold Winter")))))</f>
        <v/>
      </c>
      <c r="AS533">
        <f>IF($AL533="","",IFERROR(VLOOKUP($AL533,DECODE!$A$3:$C$8,2,FALSE),"?"))</f>
        <v/>
      </c>
      <c r="AT533">
        <f>IF($O533="","",UPPER(TRIM(LEFT($O533&amp;",",FIND(",",$O533&amp;",")-1))))</f>
        <v/>
      </c>
      <c r="AU533">
        <f>IF($AT533="","",MID($AT533,4,FIND("~",SUBSTITUTE($AT533,"-","~",2))-4))</f>
        <v/>
      </c>
      <c r="AV533">
        <f>IF($AT533="","",MID($AT533,FIND("~",SUBSTITUTE($AT533,"-","~",2))+1,FIND("~",SUBSTITUTE($AT533,"-","~",3))-FIND("~",SUBSTITUTE($AT533,"-","~",2))-1))</f>
        <v/>
      </c>
      <c r="AW533">
        <f>IF($AU533="","",IFERROR(VLOOKUP($AU533,DECODE!$A$3:$C$8,3,FALSE),"?"))</f>
        <v/>
      </c>
      <c r="AX533">
        <f>IF($AV533="","",IFERROR(VLOOKUP($AU533&amp;"-"&amp;$AV533,DECODE!$E$3:$F$21,2,FALSE),"?"))</f>
        <v/>
      </c>
      <c r="AY533">
        <f>IF($AT533="","",IFERROR(VALUE(RIGHT($AT533,3)),""))</f>
        <v/>
      </c>
      <c r="AZ533">
        <f>IF($U533="","",IFERROR(IF(ISNUMBER($U533),$U533,DATEVALUE(TRIM($U533))),""))</f>
        <v/>
      </c>
      <c r="BA533">
        <f>IF($AZ533="","",IF(MONTH($AZ533)&gt;=12,"Cold Winter",IF(MONTH($AZ533)&gt;=10,"Post-Monsoon",IF(MONTH($AZ533)&gt;=6,"Hot Humid",IF(MONTH($AZ533)&gt;=3,"Hot Dry","Cold Winter")))))</f>
        <v/>
      </c>
      <c r="BB533">
        <f>IF($AU533="","",IFERROR(VLOOKUP($AU533,DECODE!$A$3:$C$8,2,FALSE),"?"))</f>
        <v/>
      </c>
      <c r="BC533">
        <f>IF($P533="","",UPPER(TRIM(LEFT($P533&amp;",",FIND(",",$P533&amp;",")-1))))</f>
        <v/>
      </c>
      <c r="BD533">
        <f>IF($BC533="","",MID($BC533,4,FIND("~",SUBSTITUTE($BC533,"-","~",2))-4))</f>
        <v/>
      </c>
      <c r="BE533">
        <f>IF($BC533="","",MID($BC533,FIND("~",SUBSTITUTE($BC533,"-","~",2))+1,FIND("~",SUBSTITUTE($BC533,"-","~",3))-FIND("~",SUBSTITUTE($BC533,"-","~",2))-1))</f>
        <v/>
      </c>
      <c r="BF533">
        <f>IF($BD533="","",IFERROR(VLOOKUP($BD533,DECODE!$A$3:$C$8,3,FALSE),"?"))</f>
        <v/>
      </c>
      <c r="BG533">
        <f>IF($BE533="","",IFERROR(VLOOKUP($BD533&amp;"-"&amp;$BE533,DECODE!$E$3:$F$21,2,FALSE),"?"))</f>
        <v/>
      </c>
      <c r="BH533">
        <f>IF($BC533="","",IFERROR(VALUE(RIGHT($BC533,3)),""))</f>
        <v/>
      </c>
      <c r="BI533">
        <f>IF($V533="","",IFERROR(IF(ISNUMBER($V533),$V533,DATEVALUE(TRIM($V533))),""))</f>
        <v/>
      </c>
      <c r="BJ533">
        <f>IF($BI533="","",IF(MONTH($BI533)&gt;=12,"Cold Winter",IF(MONTH($BI533)&gt;=10,"Post-Monsoon",IF(MONTH($BI533)&gt;=6,"Hot Humid",IF(MONTH($BI533)&gt;=3,"Hot Dry","Cold Winter")))))</f>
        <v/>
      </c>
      <c r="BK533">
        <f>IF($BD533="","",IFERROR(VLOOKUP($BD533,DECODE!$A$3:$C$8,2,FALSE),"?"))</f>
        <v/>
      </c>
      <c r="BL533">
        <f>IF($Q533="","",UPPER(TRIM(LEFT($Q533&amp;",",FIND(",",$Q533&amp;",")-1))))</f>
        <v/>
      </c>
      <c r="BM533">
        <f>IF($BL533="","",MID($BL533,4,FIND("~",SUBSTITUTE($BL533,"-","~",2))-4))</f>
        <v/>
      </c>
      <c r="BN533">
        <f>IF($BL533="","",MID($BL533,FIND("~",SUBSTITUTE($BL533,"-","~",2))+1,FIND("~",SUBSTITUTE($BL533,"-","~",3))-FIND("~",SUBSTITUTE($BL533,"-","~",2))-1))</f>
        <v/>
      </c>
      <c r="BO533">
        <f>IF($BM533="","",IFERROR(VLOOKUP($BM533,DECODE!$A$3:$C$8,3,FALSE),"?"))</f>
        <v/>
      </c>
      <c r="BP533">
        <f>IF($BN533="","",IFERROR(VLOOKUP($BM533&amp;"-"&amp;$BN533,DECODE!$E$3:$F$21,2,FALSE),"?"))</f>
        <v/>
      </c>
      <c r="BQ533">
        <f>IF($BL533="","",IFERROR(VALUE(RIGHT($BL533,3)),""))</f>
        <v/>
      </c>
      <c r="BR533">
        <f>IF($W533="","",IFERROR(IF(ISNUMBER($W533),$W533,DATEVALUE(TRIM($W533))),""))</f>
        <v/>
      </c>
      <c r="BS533">
        <f>IF($BR533="","",IF(MONTH($BR533)&gt;=12,"Cold Winter",IF(MONTH($BR533)&gt;=10,"Post-Monsoon",IF(MONTH($BR533)&gt;=6,"Hot Humid",IF(MONTH($BR533)&gt;=3,"Hot Dry","Cold Winter")))))</f>
        <v/>
      </c>
      <c r="BT533">
        <f>IF($BM533="","",IFERROR(VLOOKUP($BM533,DECODE!$A$3:$C$8,2,FALSE),"?"))</f>
        <v/>
      </c>
      <c r="BU533">
        <f>IF($R533="","",UPPER(TRIM(LEFT($R533&amp;",",FIND(",",$R533&amp;",")-1))))</f>
        <v/>
      </c>
      <c r="BV533">
        <f>IF($BU533="","",MID($BU533,4,FIND("~",SUBSTITUTE($BU533,"-","~",2))-4))</f>
        <v/>
      </c>
      <c r="BW533">
        <f>IF($BU533="","",MID($BU533,FIND("~",SUBSTITUTE($BU533,"-","~",2))+1,FIND("~",SUBSTITUTE($BU533,"-","~",3))-FIND("~",SUBSTITUTE($BU533,"-","~",2))-1))</f>
        <v/>
      </c>
      <c r="BX533">
        <f>IF($BV533="","",IFERROR(VLOOKUP($BV533,DECODE!$A$3:$C$8,3,FALSE),"?"))</f>
        <v/>
      </c>
      <c r="BY533">
        <f>IF($BW533="","",IFERROR(VLOOKUP($BV533&amp;"-"&amp;$BW533,DECODE!$E$3:$F$21,2,FALSE),"?"))</f>
        <v/>
      </c>
      <c r="BZ533">
        <f>IF($BU533="","",IFERROR(VALUE(RIGHT($BU533,3)),""))</f>
        <v/>
      </c>
      <c r="CA533">
        <f>IF($X533="","",IFERROR(IF(ISNUMBER($X533),$X533,DATEVALUE(TRIM($X533))),""))</f>
        <v/>
      </c>
      <c r="CB533">
        <f>IF($CA533="","",IF(MONTH($CA533)&gt;=12,"Cold Winter",IF(MONTH($CA533)&gt;=10,"Post-Monsoon",IF(MONTH($CA533)&gt;=6,"Hot Humid",IF(MONTH($CA533)&gt;=3,"Hot Dry","Cold Winter")))))</f>
        <v/>
      </c>
      <c r="CC533">
        <f>IF($BV533="","",IFERROR(VLOOKUP($BV533,DECODE!$A$3:$C$8,2,FALSE),"?"))</f>
        <v/>
      </c>
      <c r="CD533">
        <f>IF($S533="","",UPPER(TRIM(LEFT($S533&amp;",",FIND(",",$S533&amp;",")-1))))</f>
        <v/>
      </c>
      <c r="CE533">
        <f>IF($CD533="","",MID($CD533,4,FIND("~",SUBSTITUTE($CD533,"-","~",2))-4))</f>
        <v/>
      </c>
      <c r="CF533">
        <f>IF($CD533="","",MID($CD533,FIND("~",SUBSTITUTE($CD533,"-","~",2))+1,FIND("~",SUBSTITUTE($CD533,"-","~",3))-FIND("~",SUBSTITUTE($CD533,"-","~",2))-1))</f>
        <v/>
      </c>
      <c r="CG533">
        <f>IF($CE533="","",IFERROR(VLOOKUP($CE533,DECODE!$A$3:$C$8,3,FALSE),"?"))</f>
        <v/>
      </c>
      <c r="CH533">
        <f>IF($CF533="","",IFERROR(VLOOKUP($CE533&amp;"-"&amp;$CF533,DECODE!$E$3:$F$21,2,FALSE),"?"))</f>
        <v/>
      </c>
      <c r="CI533">
        <f>IF($CD533="","",IFERROR(VALUE(RIGHT($CD533,3)),""))</f>
        <v/>
      </c>
      <c r="CJ533">
        <f>IF($Y533="","",IFERROR(IF(ISNUMBER($Y533),$Y533,DATEVALUE(TRIM($Y533))),""))</f>
        <v/>
      </c>
      <c r="CK533">
        <f>IF($CJ533="","",IF(MONTH($CJ533)&gt;=12,"Cold Winter",IF(MONTH($CJ533)&gt;=10,"Post-Monsoon",IF(MONTH($CJ533)&gt;=6,"Hot Humid",IF(MONTH($CJ533)&gt;=3,"Hot Dry","Cold Winter")))))</f>
        <v/>
      </c>
      <c r="CL533">
        <f>IF($CE533="","",IFERROR(VLOOKUP($CE533,DECODE!$A$3:$C$8,2,FALSE),"?"))</f>
        <v/>
      </c>
      <c r="CM533">
        <f>IF($AN533="","",AN533)</f>
        <v/>
      </c>
      <c r="CN533">
        <f>IF($AO533="","",AO533)</f>
        <v/>
      </c>
      <c r="CO533">
        <f>IF($AP533="","",AP533)</f>
        <v/>
      </c>
      <c r="CP533">
        <f>IF($CM533="","",IF($CM533="Aloe Vera Gel","Aloe Vera Gel "&amp;$CO533&amp;"g",CN533&amp;" "&amp;$CO533&amp;"g"))</f>
        <v/>
      </c>
      <c r="CQ533">
        <f>IF($AT533="",0,1)</f>
        <v/>
      </c>
      <c r="CR533">
        <f>IF($CQ533=0,"",AW533)</f>
        <v/>
      </c>
      <c r="CS533">
        <f>IF($CQ533=0,"",AX533)</f>
        <v/>
      </c>
      <c r="CT533">
        <f>IF($CQ533=0,"",AY533)</f>
        <v/>
      </c>
      <c r="CU533">
        <f>IF($CR533="","",IF($CR533="Aloe Vera Gel","Aloe Vera Gel "&amp;$CT533&amp;"g",CS533&amp;" "&amp;$CT533&amp;"g"))</f>
        <v/>
      </c>
      <c r="CV533">
        <f>IF($CQ533=0,"",IF($CP533=$CU533,"Repeat Exact",IF($CT533&gt;$CO533,"Upsized",IF($CT533&lt;$CO533,"Downsized",IF($CM533&lt;&gt;$CR533,"Lateral","Same Size Diff Variant")))))</f>
        <v/>
      </c>
      <c r="CW533">
        <f>IF($CQ533=0,"",AZ533-AQ533)</f>
        <v/>
      </c>
      <c r="CX533">
        <f>IF($CQ533=0,0,IF(CS533=CN533,1,0))</f>
        <v/>
      </c>
      <c r="CY533">
        <f>IF($CQ533=0,0,IF(CR533=CM533,1,0))</f>
        <v/>
      </c>
      <c r="CZ533">
        <f>IF($A533="","",IF(AND(IF(DASHBOARD!$C$4="All",TRUE,$CM533=DASHBOARD!$C$4),IF(DASHBOARD!$C$6="All",TRUE,$CP533=DASHBOARD!$C$6),IF(DASHBOARD!$C$8="All",TRUE,$AF533&gt;=DASHBOARD!$C$8),IF(DASHBOARD!$C$10="All",TRUE,$AF533&lt;=DASHBOARD!$C$10),IF(DASHBOARD!$C$12="All",TRUE,$AH533=VALUE(DASHBOARD!$C$12)),IF(DASHBOARD!$C$14="All",TRUE,$AJ533=DASHBOARD!$C$14)),1,0))</f>
        <v/>
      </c>
    </row>
    <row r="534">
      <c r="A534" t="n">
        <v>238180</v>
      </c>
      <c r="B534" t="inlineStr">
        <is>
          <t>Face Malai</t>
        </is>
      </c>
      <c r="H534" t="inlineStr">
        <is>
          <t>Tomato Vetiver (Hot Humid) 20 - 35 Yrs Face Malai</t>
        </is>
      </c>
      <c r="N534" t="inlineStr">
        <is>
          <t>FC-HHDM-TV-030</t>
        </is>
      </c>
      <c r="T534" t="inlineStr">
        <is>
          <t>Apr 1, 2025</t>
        </is>
      </c>
      <c r="AE534" t="inlineStr">
        <is>
          <t>Navi Mumbai</t>
        </is>
      </c>
      <c r="AF534" t="inlineStr">
        <is>
          <t>2025-04</t>
        </is>
      </c>
      <c r="AG534" t="n">
        <v>4</v>
      </c>
      <c r="AH534" t="n">
        <v>1</v>
      </c>
      <c r="AI534" t="n">
        <v>0</v>
      </c>
      <c r="AJ534">
        <f>IF($AE534="","",IFERROR(VLOOKUP(TRIM($AE534),DECODE!$H$3:$I$60,2,FALSE),"Rest of India"))</f>
        <v/>
      </c>
      <c r="AK534">
        <f>IF($N534="","",UPPER(TRIM(LEFT($N534&amp;",",FIND(",",$N534&amp;",")-1))))</f>
        <v/>
      </c>
      <c r="AL534">
        <f>IF($AK534="","",MID($AK534,4,FIND("~",SUBSTITUTE($AK534,"-","~",2))-4))</f>
        <v/>
      </c>
      <c r="AM534">
        <f>IF($AK534="","",MID($AK534,FIND("~",SUBSTITUTE($AK534,"-","~",2))+1,FIND("~",SUBSTITUTE($AK534,"-","~",3))-FIND("~",SUBSTITUTE($AK534,"-","~",2))-1))</f>
        <v/>
      </c>
      <c r="AN534">
        <f>IF($AL534="","",IFERROR(VLOOKUP($AL534,DECODE!$A$3:$C$8,3,FALSE),"?"))</f>
        <v/>
      </c>
      <c r="AO534">
        <f>IF($AM534="","",IFERROR(VLOOKUP($AL534&amp;"-"&amp;$AM534,DECODE!$E$3:$F$21,2,FALSE),"?"))</f>
        <v/>
      </c>
      <c r="AP534">
        <f>IF($AK534="","",IFERROR(VALUE(RIGHT($AK534,3)),""))</f>
        <v/>
      </c>
      <c r="AQ534">
        <f>IF($T534="","",IFERROR(IF(ISNUMBER($T534),$T534,DATEVALUE(TRIM($T534))),""))</f>
        <v/>
      </c>
      <c r="AR534">
        <f>IF($AQ534="","",IF(MONTH($AQ534)&gt;=12,"Cold Winter",IF(MONTH($AQ534)&gt;=10,"Post-Monsoon",IF(MONTH($AQ534)&gt;=6,"Hot Humid",IF(MONTH($AQ534)&gt;=3,"Hot Dry","Cold Winter")))))</f>
        <v/>
      </c>
      <c r="AS534">
        <f>IF($AL534="","",IFERROR(VLOOKUP($AL534,DECODE!$A$3:$C$8,2,FALSE),"?"))</f>
        <v/>
      </c>
      <c r="AT534">
        <f>IF($O534="","",UPPER(TRIM(LEFT($O534&amp;",",FIND(",",$O534&amp;",")-1))))</f>
        <v/>
      </c>
      <c r="AU534">
        <f>IF($AT534="","",MID($AT534,4,FIND("~",SUBSTITUTE($AT534,"-","~",2))-4))</f>
        <v/>
      </c>
      <c r="AV534">
        <f>IF($AT534="","",MID($AT534,FIND("~",SUBSTITUTE($AT534,"-","~",2))+1,FIND("~",SUBSTITUTE($AT534,"-","~",3))-FIND("~",SUBSTITUTE($AT534,"-","~",2))-1))</f>
        <v/>
      </c>
      <c r="AW534">
        <f>IF($AU534="","",IFERROR(VLOOKUP($AU534,DECODE!$A$3:$C$8,3,FALSE),"?"))</f>
        <v/>
      </c>
      <c r="AX534">
        <f>IF($AV534="","",IFERROR(VLOOKUP($AU534&amp;"-"&amp;$AV534,DECODE!$E$3:$F$21,2,FALSE),"?"))</f>
        <v/>
      </c>
      <c r="AY534">
        <f>IF($AT534="","",IFERROR(VALUE(RIGHT($AT534,3)),""))</f>
        <v/>
      </c>
      <c r="AZ534">
        <f>IF($U534="","",IFERROR(IF(ISNUMBER($U534),$U534,DATEVALUE(TRIM($U534))),""))</f>
        <v/>
      </c>
      <c r="BA534">
        <f>IF($AZ534="","",IF(MONTH($AZ534)&gt;=12,"Cold Winter",IF(MONTH($AZ534)&gt;=10,"Post-Monsoon",IF(MONTH($AZ534)&gt;=6,"Hot Humid",IF(MONTH($AZ534)&gt;=3,"Hot Dry","Cold Winter")))))</f>
        <v/>
      </c>
      <c r="BB534">
        <f>IF($AU534="","",IFERROR(VLOOKUP($AU534,DECODE!$A$3:$C$8,2,FALSE),"?"))</f>
        <v/>
      </c>
      <c r="BC534">
        <f>IF($P534="","",UPPER(TRIM(LEFT($P534&amp;",",FIND(",",$P534&amp;",")-1))))</f>
        <v/>
      </c>
      <c r="BD534">
        <f>IF($BC534="","",MID($BC534,4,FIND("~",SUBSTITUTE($BC534,"-","~",2))-4))</f>
        <v/>
      </c>
      <c r="BE534">
        <f>IF($BC534="","",MID($BC534,FIND("~",SUBSTITUTE($BC534,"-","~",2))+1,FIND("~",SUBSTITUTE($BC534,"-","~",3))-FIND("~",SUBSTITUTE($BC534,"-","~",2))-1))</f>
        <v/>
      </c>
      <c r="BF534">
        <f>IF($BD534="","",IFERROR(VLOOKUP($BD534,DECODE!$A$3:$C$8,3,FALSE),"?"))</f>
        <v/>
      </c>
      <c r="BG534">
        <f>IF($BE534="","",IFERROR(VLOOKUP($BD534&amp;"-"&amp;$BE534,DECODE!$E$3:$F$21,2,FALSE),"?"))</f>
        <v/>
      </c>
      <c r="BH534">
        <f>IF($BC534="","",IFERROR(VALUE(RIGHT($BC534,3)),""))</f>
        <v/>
      </c>
      <c r="BI534">
        <f>IF($V534="","",IFERROR(IF(ISNUMBER($V534),$V534,DATEVALUE(TRIM($V534))),""))</f>
        <v/>
      </c>
      <c r="BJ534">
        <f>IF($BI534="","",IF(MONTH($BI534)&gt;=12,"Cold Winter",IF(MONTH($BI534)&gt;=10,"Post-Monsoon",IF(MONTH($BI534)&gt;=6,"Hot Humid",IF(MONTH($BI534)&gt;=3,"Hot Dry","Cold Winter")))))</f>
        <v/>
      </c>
      <c r="BK534">
        <f>IF($BD534="","",IFERROR(VLOOKUP($BD534,DECODE!$A$3:$C$8,2,FALSE),"?"))</f>
        <v/>
      </c>
      <c r="BL534">
        <f>IF($Q534="","",UPPER(TRIM(LEFT($Q534&amp;",",FIND(",",$Q534&amp;",")-1))))</f>
        <v/>
      </c>
      <c r="BM534">
        <f>IF($BL534="","",MID($BL534,4,FIND("~",SUBSTITUTE($BL534,"-","~",2))-4))</f>
        <v/>
      </c>
      <c r="BN534">
        <f>IF($BL534="","",MID($BL534,FIND("~",SUBSTITUTE($BL534,"-","~",2))+1,FIND("~",SUBSTITUTE($BL534,"-","~",3))-FIND("~",SUBSTITUTE($BL534,"-","~",2))-1))</f>
        <v/>
      </c>
      <c r="BO534">
        <f>IF($BM534="","",IFERROR(VLOOKUP($BM534,DECODE!$A$3:$C$8,3,FALSE),"?"))</f>
        <v/>
      </c>
      <c r="BP534">
        <f>IF($BN534="","",IFERROR(VLOOKUP($BM534&amp;"-"&amp;$BN534,DECODE!$E$3:$F$21,2,FALSE),"?"))</f>
        <v/>
      </c>
      <c r="BQ534">
        <f>IF($BL534="","",IFERROR(VALUE(RIGHT($BL534,3)),""))</f>
        <v/>
      </c>
      <c r="BR534">
        <f>IF($W534="","",IFERROR(IF(ISNUMBER($W534),$W534,DATEVALUE(TRIM($W534))),""))</f>
        <v/>
      </c>
      <c r="BS534">
        <f>IF($BR534="","",IF(MONTH($BR534)&gt;=12,"Cold Winter",IF(MONTH($BR534)&gt;=10,"Post-Monsoon",IF(MONTH($BR534)&gt;=6,"Hot Humid",IF(MONTH($BR534)&gt;=3,"Hot Dry","Cold Winter")))))</f>
        <v/>
      </c>
      <c r="BT534">
        <f>IF($BM534="","",IFERROR(VLOOKUP($BM534,DECODE!$A$3:$C$8,2,FALSE),"?"))</f>
        <v/>
      </c>
      <c r="BU534">
        <f>IF($R534="","",UPPER(TRIM(LEFT($R534&amp;",",FIND(",",$R534&amp;",")-1))))</f>
        <v/>
      </c>
      <c r="BV534">
        <f>IF($BU534="","",MID($BU534,4,FIND("~",SUBSTITUTE($BU534,"-","~",2))-4))</f>
        <v/>
      </c>
      <c r="BW534">
        <f>IF($BU534="","",MID($BU534,FIND("~",SUBSTITUTE($BU534,"-","~",2))+1,FIND("~",SUBSTITUTE($BU534,"-","~",3))-FIND("~",SUBSTITUTE($BU534,"-","~",2))-1))</f>
        <v/>
      </c>
      <c r="BX534">
        <f>IF($BV534="","",IFERROR(VLOOKUP($BV534,DECODE!$A$3:$C$8,3,FALSE),"?"))</f>
        <v/>
      </c>
      <c r="BY534">
        <f>IF($BW534="","",IFERROR(VLOOKUP($BV534&amp;"-"&amp;$BW534,DECODE!$E$3:$F$21,2,FALSE),"?"))</f>
        <v/>
      </c>
      <c r="BZ534">
        <f>IF($BU534="","",IFERROR(VALUE(RIGHT($BU534,3)),""))</f>
        <v/>
      </c>
      <c r="CA534">
        <f>IF($X534="","",IFERROR(IF(ISNUMBER($X534),$X534,DATEVALUE(TRIM($X534))),""))</f>
        <v/>
      </c>
      <c r="CB534">
        <f>IF($CA534="","",IF(MONTH($CA534)&gt;=12,"Cold Winter",IF(MONTH($CA534)&gt;=10,"Post-Monsoon",IF(MONTH($CA534)&gt;=6,"Hot Humid",IF(MONTH($CA534)&gt;=3,"Hot Dry","Cold Winter")))))</f>
        <v/>
      </c>
      <c r="CC534">
        <f>IF($BV534="","",IFERROR(VLOOKUP($BV534,DECODE!$A$3:$C$8,2,FALSE),"?"))</f>
        <v/>
      </c>
      <c r="CD534">
        <f>IF($S534="","",UPPER(TRIM(LEFT($S534&amp;",",FIND(",",$S534&amp;",")-1))))</f>
        <v/>
      </c>
      <c r="CE534">
        <f>IF($CD534="","",MID($CD534,4,FIND("~",SUBSTITUTE($CD534,"-","~",2))-4))</f>
        <v/>
      </c>
      <c r="CF534">
        <f>IF($CD534="","",MID($CD534,FIND("~",SUBSTITUTE($CD534,"-","~",2))+1,FIND("~",SUBSTITUTE($CD534,"-","~",3))-FIND("~",SUBSTITUTE($CD534,"-","~",2))-1))</f>
        <v/>
      </c>
      <c r="CG534">
        <f>IF($CE534="","",IFERROR(VLOOKUP($CE534,DECODE!$A$3:$C$8,3,FALSE),"?"))</f>
        <v/>
      </c>
      <c r="CH534">
        <f>IF($CF534="","",IFERROR(VLOOKUP($CE534&amp;"-"&amp;$CF534,DECODE!$E$3:$F$21,2,FALSE),"?"))</f>
        <v/>
      </c>
      <c r="CI534">
        <f>IF($CD534="","",IFERROR(VALUE(RIGHT($CD534,3)),""))</f>
        <v/>
      </c>
      <c r="CJ534">
        <f>IF($Y534="","",IFERROR(IF(ISNUMBER($Y534),$Y534,DATEVALUE(TRIM($Y534))),""))</f>
        <v/>
      </c>
      <c r="CK534">
        <f>IF($CJ534="","",IF(MONTH($CJ534)&gt;=12,"Cold Winter",IF(MONTH($CJ534)&gt;=10,"Post-Monsoon",IF(MONTH($CJ534)&gt;=6,"Hot Humid",IF(MONTH($CJ534)&gt;=3,"Hot Dry","Cold Winter")))))</f>
        <v/>
      </c>
      <c r="CL534">
        <f>IF($CE534="","",IFERROR(VLOOKUP($CE534,DECODE!$A$3:$C$8,2,FALSE),"?"))</f>
        <v/>
      </c>
      <c r="CM534">
        <f>IF($AN534="","",AN534)</f>
        <v/>
      </c>
      <c r="CN534">
        <f>IF($AO534="","",AO534)</f>
        <v/>
      </c>
      <c r="CO534">
        <f>IF($AP534="","",AP534)</f>
        <v/>
      </c>
      <c r="CP534">
        <f>IF($CM534="","",IF($CM534="Aloe Vera Gel","Aloe Vera Gel "&amp;$CO534&amp;"g",CN534&amp;" "&amp;$CO534&amp;"g"))</f>
        <v/>
      </c>
      <c r="CQ534">
        <f>IF($AT534="",0,1)</f>
        <v/>
      </c>
      <c r="CR534">
        <f>IF($CQ534=0,"",AW534)</f>
        <v/>
      </c>
      <c r="CS534">
        <f>IF($CQ534=0,"",AX534)</f>
        <v/>
      </c>
      <c r="CT534">
        <f>IF($CQ534=0,"",AY534)</f>
        <v/>
      </c>
      <c r="CU534">
        <f>IF($CR534="","",IF($CR534="Aloe Vera Gel","Aloe Vera Gel "&amp;$CT534&amp;"g",CS534&amp;" "&amp;$CT534&amp;"g"))</f>
        <v/>
      </c>
      <c r="CV534">
        <f>IF($CQ534=0,"",IF($CP534=$CU534,"Repeat Exact",IF($CT534&gt;$CO534,"Upsized",IF($CT534&lt;$CO534,"Downsized",IF($CM534&lt;&gt;$CR534,"Lateral","Same Size Diff Variant")))))</f>
        <v/>
      </c>
      <c r="CW534">
        <f>IF($CQ534=0,"",AZ534-AQ534)</f>
        <v/>
      </c>
      <c r="CX534">
        <f>IF($CQ534=0,0,IF(CS534=CN534,1,0))</f>
        <v/>
      </c>
      <c r="CY534">
        <f>IF($CQ534=0,0,IF(CR534=CM534,1,0))</f>
        <v/>
      </c>
      <c r="CZ534">
        <f>IF($A534="","",IF(AND(IF(DASHBOARD!$C$4="All",TRUE,$CM534=DASHBOARD!$C$4),IF(DASHBOARD!$C$6="All",TRUE,$CP534=DASHBOARD!$C$6),IF(DASHBOARD!$C$8="All",TRUE,$AF534&gt;=DASHBOARD!$C$8),IF(DASHBOARD!$C$10="All",TRUE,$AF534&lt;=DASHBOARD!$C$10),IF(DASHBOARD!$C$12="All",TRUE,$AH534=VALUE(DASHBOARD!$C$12)),IF(DASHBOARD!$C$14="All",TRUE,$AJ534=DASHBOARD!$C$14)),1,0))</f>
        <v/>
      </c>
    </row>
    <row r="535">
      <c r="A535" t="n">
        <v>239234</v>
      </c>
      <c r="B535" t="inlineStr">
        <is>
          <t>Face Malai</t>
        </is>
      </c>
      <c r="H535" t="inlineStr">
        <is>
          <t>Tomato Patchouli (Cold) 20 - 35 Yrs Face Malai</t>
        </is>
      </c>
      <c r="N535" t="inlineStr">
        <is>
          <t>FC-CWDM-TP-030</t>
        </is>
      </c>
      <c r="T535" t="inlineStr">
        <is>
          <t>Dec 1, 2025</t>
        </is>
      </c>
      <c r="AE535" t="inlineStr">
        <is>
          <t>Thane</t>
        </is>
      </c>
      <c r="AF535" t="inlineStr">
        <is>
          <t>2025-12</t>
        </is>
      </c>
      <c r="AG535" t="n">
        <v>12</v>
      </c>
      <c r="AH535" t="n">
        <v>1</v>
      </c>
      <c r="AI535" t="n">
        <v>0</v>
      </c>
      <c r="AJ535">
        <f>IF($AE535="","",IFERROR(VLOOKUP(TRIM($AE535),DECODE!$H$3:$I$60,2,FALSE),"Rest of India"))</f>
        <v/>
      </c>
      <c r="AK535">
        <f>IF($N535="","",UPPER(TRIM(LEFT($N535&amp;",",FIND(",",$N535&amp;",")-1))))</f>
        <v/>
      </c>
      <c r="AL535">
        <f>IF($AK535="","",MID($AK535,4,FIND("~",SUBSTITUTE($AK535,"-","~",2))-4))</f>
        <v/>
      </c>
      <c r="AM535">
        <f>IF($AK535="","",MID($AK535,FIND("~",SUBSTITUTE($AK535,"-","~",2))+1,FIND("~",SUBSTITUTE($AK535,"-","~",3))-FIND("~",SUBSTITUTE($AK535,"-","~",2))-1))</f>
        <v/>
      </c>
      <c r="AN535">
        <f>IF($AL535="","",IFERROR(VLOOKUP($AL535,DECODE!$A$3:$C$8,3,FALSE),"?"))</f>
        <v/>
      </c>
      <c r="AO535">
        <f>IF($AM535="","",IFERROR(VLOOKUP($AL535&amp;"-"&amp;$AM535,DECODE!$E$3:$F$21,2,FALSE),"?"))</f>
        <v/>
      </c>
      <c r="AP535">
        <f>IF($AK535="","",IFERROR(VALUE(RIGHT($AK535,3)),""))</f>
        <v/>
      </c>
      <c r="AQ535">
        <f>IF($T535="","",IFERROR(IF(ISNUMBER($T535),$T535,DATEVALUE(TRIM($T535))),""))</f>
        <v/>
      </c>
      <c r="AR535">
        <f>IF($AQ535="","",IF(MONTH($AQ535)&gt;=12,"Cold Winter",IF(MONTH($AQ535)&gt;=10,"Post-Monsoon",IF(MONTH($AQ535)&gt;=6,"Hot Humid",IF(MONTH($AQ535)&gt;=3,"Hot Dry","Cold Winter")))))</f>
        <v/>
      </c>
      <c r="AS535">
        <f>IF($AL535="","",IFERROR(VLOOKUP($AL535,DECODE!$A$3:$C$8,2,FALSE),"?"))</f>
        <v/>
      </c>
      <c r="AT535">
        <f>IF($O535="","",UPPER(TRIM(LEFT($O535&amp;",",FIND(",",$O535&amp;",")-1))))</f>
        <v/>
      </c>
      <c r="AU535">
        <f>IF($AT535="","",MID($AT535,4,FIND("~",SUBSTITUTE($AT535,"-","~",2))-4))</f>
        <v/>
      </c>
      <c r="AV535">
        <f>IF($AT535="","",MID($AT535,FIND("~",SUBSTITUTE($AT535,"-","~",2))+1,FIND("~",SUBSTITUTE($AT535,"-","~",3))-FIND("~",SUBSTITUTE($AT535,"-","~",2))-1))</f>
        <v/>
      </c>
      <c r="AW535">
        <f>IF($AU535="","",IFERROR(VLOOKUP($AU535,DECODE!$A$3:$C$8,3,FALSE),"?"))</f>
        <v/>
      </c>
      <c r="AX535">
        <f>IF($AV535="","",IFERROR(VLOOKUP($AU535&amp;"-"&amp;$AV535,DECODE!$E$3:$F$21,2,FALSE),"?"))</f>
        <v/>
      </c>
      <c r="AY535">
        <f>IF($AT535="","",IFERROR(VALUE(RIGHT($AT535,3)),""))</f>
        <v/>
      </c>
      <c r="AZ535">
        <f>IF($U535="","",IFERROR(IF(ISNUMBER($U535),$U535,DATEVALUE(TRIM($U535))),""))</f>
        <v/>
      </c>
      <c r="BA535">
        <f>IF($AZ535="","",IF(MONTH($AZ535)&gt;=12,"Cold Winter",IF(MONTH($AZ535)&gt;=10,"Post-Monsoon",IF(MONTH($AZ535)&gt;=6,"Hot Humid",IF(MONTH($AZ535)&gt;=3,"Hot Dry","Cold Winter")))))</f>
        <v/>
      </c>
      <c r="BB535">
        <f>IF($AU535="","",IFERROR(VLOOKUP($AU535,DECODE!$A$3:$C$8,2,FALSE),"?"))</f>
        <v/>
      </c>
      <c r="BC535">
        <f>IF($P535="","",UPPER(TRIM(LEFT($P535&amp;",",FIND(",",$P535&amp;",")-1))))</f>
        <v/>
      </c>
      <c r="BD535">
        <f>IF($BC535="","",MID($BC535,4,FIND("~",SUBSTITUTE($BC535,"-","~",2))-4))</f>
        <v/>
      </c>
      <c r="BE535">
        <f>IF($BC535="","",MID($BC535,FIND("~",SUBSTITUTE($BC535,"-","~",2))+1,FIND("~",SUBSTITUTE($BC535,"-","~",3))-FIND("~",SUBSTITUTE($BC535,"-","~",2))-1))</f>
        <v/>
      </c>
      <c r="BF535">
        <f>IF($BD535="","",IFERROR(VLOOKUP($BD535,DECODE!$A$3:$C$8,3,FALSE),"?"))</f>
        <v/>
      </c>
      <c r="BG535">
        <f>IF($BE535="","",IFERROR(VLOOKUP($BD535&amp;"-"&amp;$BE535,DECODE!$E$3:$F$21,2,FALSE),"?"))</f>
        <v/>
      </c>
      <c r="BH535">
        <f>IF($BC535="","",IFERROR(VALUE(RIGHT($BC535,3)),""))</f>
        <v/>
      </c>
      <c r="BI535">
        <f>IF($V535="","",IFERROR(IF(ISNUMBER($V535),$V535,DATEVALUE(TRIM($V535))),""))</f>
        <v/>
      </c>
      <c r="BJ535">
        <f>IF($BI535="","",IF(MONTH($BI535)&gt;=12,"Cold Winter",IF(MONTH($BI535)&gt;=10,"Post-Monsoon",IF(MONTH($BI535)&gt;=6,"Hot Humid",IF(MONTH($BI535)&gt;=3,"Hot Dry","Cold Winter")))))</f>
        <v/>
      </c>
      <c r="BK535">
        <f>IF($BD535="","",IFERROR(VLOOKUP($BD535,DECODE!$A$3:$C$8,2,FALSE),"?"))</f>
        <v/>
      </c>
      <c r="BL535">
        <f>IF($Q535="","",UPPER(TRIM(LEFT($Q535&amp;",",FIND(",",$Q535&amp;",")-1))))</f>
        <v/>
      </c>
      <c r="BM535">
        <f>IF($BL535="","",MID($BL535,4,FIND("~",SUBSTITUTE($BL535,"-","~",2))-4))</f>
        <v/>
      </c>
      <c r="BN535">
        <f>IF($BL535="","",MID($BL535,FIND("~",SUBSTITUTE($BL535,"-","~",2))+1,FIND("~",SUBSTITUTE($BL535,"-","~",3))-FIND("~",SUBSTITUTE($BL535,"-","~",2))-1))</f>
        <v/>
      </c>
      <c r="BO535">
        <f>IF($BM535="","",IFERROR(VLOOKUP($BM535,DECODE!$A$3:$C$8,3,FALSE),"?"))</f>
        <v/>
      </c>
      <c r="BP535">
        <f>IF($BN535="","",IFERROR(VLOOKUP($BM535&amp;"-"&amp;$BN535,DECODE!$E$3:$F$21,2,FALSE),"?"))</f>
        <v/>
      </c>
      <c r="BQ535">
        <f>IF($BL535="","",IFERROR(VALUE(RIGHT($BL535,3)),""))</f>
        <v/>
      </c>
      <c r="BR535">
        <f>IF($W535="","",IFERROR(IF(ISNUMBER($W535),$W535,DATEVALUE(TRIM($W535))),""))</f>
        <v/>
      </c>
      <c r="BS535">
        <f>IF($BR535="","",IF(MONTH($BR535)&gt;=12,"Cold Winter",IF(MONTH($BR535)&gt;=10,"Post-Monsoon",IF(MONTH($BR535)&gt;=6,"Hot Humid",IF(MONTH($BR535)&gt;=3,"Hot Dry","Cold Winter")))))</f>
        <v/>
      </c>
      <c r="BT535">
        <f>IF($BM535="","",IFERROR(VLOOKUP($BM535,DECODE!$A$3:$C$8,2,FALSE),"?"))</f>
        <v/>
      </c>
      <c r="BU535">
        <f>IF($R535="","",UPPER(TRIM(LEFT($R535&amp;",",FIND(",",$R535&amp;",")-1))))</f>
        <v/>
      </c>
      <c r="BV535">
        <f>IF($BU535="","",MID($BU535,4,FIND("~",SUBSTITUTE($BU535,"-","~",2))-4))</f>
        <v/>
      </c>
      <c r="BW535">
        <f>IF($BU535="","",MID($BU535,FIND("~",SUBSTITUTE($BU535,"-","~",2))+1,FIND("~",SUBSTITUTE($BU535,"-","~",3))-FIND("~",SUBSTITUTE($BU535,"-","~",2))-1))</f>
        <v/>
      </c>
      <c r="BX535">
        <f>IF($BV535="","",IFERROR(VLOOKUP($BV535,DECODE!$A$3:$C$8,3,FALSE),"?"))</f>
        <v/>
      </c>
      <c r="BY535">
        <f>IF($BW535="","",IFERROR(VLOOKUP($BV535&amp;"-"&amp;$BW535,DECODE!$E$3:$F$21,2,FALSE),"?"))</f>
        <v/>
      </c>
      <c r="BZ535">
        <f>IF($BU535="","",IFERROR(VALUE(RIGHT($BU535,3)),""))</f>
        <v/>
      </c>
      <c r="CA535">
        <f>IF($X535="","",IFERROR(IF(ISNUMBER($X535),$X535,DATEVALUE(TRIM($X535))),""))</f>
        <v/>
      </c>
      <c r="CB535">
        <f>IF($CA535="","",IF(MONTH($CA535)&gt;=12,"Cold Winter",IF(MONTH($CA535)&gt;=10,"Post-Monsoon",IF(MONTH($CA535)&gt;=6,"Hot Humid",IF(MONTH($CA535)&gt;=3,"Hot Dry","Cold Winter")))))</f>
        <v/>
      </c>
      <c r="CC535">
        <f>IF($BV535="","",IFERROR(VLOOKUP($BV535,DECODE!$A$3:$C$8,2,FALSE),"?"))</f>
        <v/>
      </c>
      <c r="CD535">
        <f>IF($S535="","",UPPER(TRIM(LEFT($S535&amp;",",FIND(",",$S535&amp;",")-1))))</f>
        <v/>
      </c>
      <c r="CE535">
        <f>IF($CD535="","",MID($CD535,4,FIND("~",SUBSTITUTE($CD535,"-","~",2))-4))</f>
        <v/>
      </c>
      <c r="CF535">
        <f>IF($CD535="","",MID($CD535,FIND("~",SUBSTITUTE($CD535,"-","~",2))+1,FIND("~",SUBSTITUTE($CD535,"-","~",3))-FIND("~",SUBSTITUTE($CD535,"-","~",2))-1))</f>
        <v/>
      </c>
      <c r="CG535">
        <f>IF($CE535="","",IFERROR(VLOOKUP($CE535,DECODE!$A$3:$C$8,3,FALSE),"?"))</f>
        <v/>
      </c>
      <c r="CH535">
        <f>IF($CF535="","",IFERROR(VLOOKUP($CE535&amp;"-"&amp;$CF535,DECODE!$E$3:$F$21,2,FALSE),"?"))</f>
        <v/>
      </c>
      <c r="CI535">
        <f>IF($CD535="","",IFERROR(VALUE(RIGHT($CD535,3)),""))</f>
        <v/>
      </c>
      <c r="CJ535">
        <f>IF($Y535="","",IFERROR(IF(ISNUMBER($Y535),$Y535,DATEVALUE(TRIM($Y535))),""))</f>
        <v/>
      </c>
      <c r="CK535">
        <f>IF($CJ535="","",IF(MONTH($CJ535)&gt;=12,"Cold Winter",IF(MONTH($CJ535)&gt;=10,"Post-Monsoon",IF(MONTH($CJ535)&gt;=6,"Hot Humid",IF(MONTH($CJ535)&gt;=3,"Hot Dry","Cold Winter")))))</f>
        <v/>
      </c>
      <c r="CL535">
        <f>IF($CE535="","",IFERROR(VLOOKUP($CE535,DECODE!$A$3:$C$8,2,FALSE),"?"))</f>
        <v/>
      </c>
      <c r="CM535">
        <f>IF($AN535="","",AN535)</f>
        <v/>
      </c>
      <c r="CN535">
        <f>IF($AO535="","",AO535)</f>
        <v/>
      </c>
      <c r="CO535">
        <f>IF($AP535="","",AP535)</f>
        <v/>
      </c>
      <c r="CP535">
        <f>IF($CM535="","",IF($CM535="Aloe Vera Gel","Aloe Vera Gel "&amp;$CO535&amp;"g",CN535&amp;" "&amp;$CO535&amp;"g"))</f>
        <v/>
      </c>
      <c r="CQ535">
        <f>IF($AT535="",0,1)</f>
        <v/>
      </c>
      <c r="CR535">
        <f>IF($CQ535=0,"",AW535)</f>
        <v/>
      </c>
      <c r="CS535">
        <f>IF($CQ535=0,"",AX535)</f>
        <v/>
      </c>
      <c r="CT535">
        <f>IF($CQ535=0,"",AY535)</f>
        <v/>
      </c>
      <c r="CU535">
        <f>IF($CR535="","",IF($CR535="Aloe Vera Gel","Aloe Vera Gel "&amp;$CT535&amp;"g",CS535&amp;" "&amp;$CT535&amp;"g"))</f>
        <v/>
      </c>
      <c r="CV535">
        <f>IF($CQ535=0,"",IF($CP535=$CU535,"Repeat Exact",IF($CT535&gt;$CO535,"Upsized",IF($CT535&lt;$CO535,"Downsized",IF($CM535&lt;&gt;$CR535,"Lateral","Same Size Diff Variant")))))</f>
        <v/>
      </c>
      <c r="CW535">
        <f>IF($CQ535=0,"",AZ535-AQ535)</f>
        <v/>
      </c>
      <c r="CX535">
        <f>IF($CQ535=0,0,IF(CS535=CN535,1,0))</f>
        <v/>
      </c>
      <c r="CY535">
        <f>IF($CQ535=0,0,IF(CR535=CM535,1,0))</f>
        <v/>
      </c>
      <c r="CZ535">
        <f>IF($A535="","",IF(AND(IF(DASHBOARD!$C$4="All",TRUE,$CM535=DASHBOARD!$C$4),IF(DASHBOARD!$C$6="All",TRUE,$CP535=DASHBOARD!$C$6),IF(DASHBOARD!$C$8="All",TRUE,$AF535&gt;=DASHBOARD!$C$8),IF(DASHBOARD!$C$10="All",TRUE,$AF535&lt;=DASHBOARD!$C$10),IF(DASHBOARD!$C$12="All",TRUE,$AH535=VALUE(DASHBOARD!$C$12)),IF(DASHBOARD!$C$14="All",TRUE,$AJ535=DASHBOARD!$C$14)),1,0))</f>
        <v/>
      </c>
    </row>
    <row r="536">
      <c r="A536" t="n">
        <v>239283</v>
      </c>
      <c r="B536" t="inlineStr">
        <is>
          <t>Aloe Vera Gel</t>
        </is>
      </c>
      <c r="H536" t="inlineStr">
        <is>
          <t>Aloe Vera Gel - 40 gms</t>
        </is>
      </c>
      <c r="N536" t="inlineStr">
        <is>
          <t>FC-HG-PA-040</t>
        </is>
      </c>
      <c r="T536" t="inlineStr">
        <is>
          <t>Jun 21, 2024</t>
        </is>
      </c>
      <c r="AE536" t="inlineStr">
        <is>
          <t>Indore</t>
        </is>
      </c>
      <c r="AF536" t="inlineStr">
        <is>
          <t>2024-06</t>
        </is>
      </c>
      <c r="AG536" t="n">
        <v>6</v>
      </c>
      <c r="AH536" t="n">
        <v>1</v>
      </c>
      <c r="AI536" t="n">
        <v>0</v>
      </c>
      <c r="AJ536">
        <f>IF($AE536="","",IFERROR(VLOOKUP(TRIM($AE536),DECODE!$H$3:$I$60,2,FALSE),"Rest of India"))</f>
        <v/>
      </c>
      <c r="AK536">
        <f>IF($N536="","",UPPER(TRIM(LEFT($N536&amp;",",FIND(",",$N536&amp;",")-1))))</f>
        <v/>
      </c>
      <c r="AL536">
        <f>IF($AK536="","",MID($AK536,4,FIND("~",SUBSTITUTE($AK536,"-","~",2))-4))</f>
        <v/>
      </c>
      <c r="AM536">
        <f>IF($AK536="","",MID($AK536,FIND("~",SUBSTITUTE($AK536,"-","~",2))+1,FIND("~",SUBSTITUTE($AK536,"-","~",3))-FIND("~",SUBSTITUTE($AK536,"-","~",2))-1))</f>
        <v/>
      </c>
      <c r="AN536">
        <f>IF($AL536="","",IFERROR(VLOOKUP($AL536,DECODE!$A$3:$C$8,3,FALSE),"?"))</f>
        <v/>
      </c>
      <c r="AO536">
        <f>IF($AM536="","",IFERROR(VLOOKUP($AL536&amp;"-"&amp;$AM536,DECODE!$E$3:$F$21,2,FALSE),"?"))</f>
        <v/>
      </c>
      <c r="AP536">
        <f>IF($AK536="","",IFERROR(VALUE(RIGHT($AK536,3)),""))</f>
        <v/>
      </c>
      <c r="AQ536">
        <f>IF($T536="","",IFERROR(IF(ISNUMBER($T536),$T536,DATEVALUE(TRIM($T536))),""))</f>
        <v/>
      </c>
      <c r="AR536">
        <f>IF($AQ536="","",IF(MONTH($AQ536)&gt;=12,"Cold Winter",IF(MONTH($AQ536)&gt;=10,"Post-Monsoon",IF(MONTH($AQ536)&gt;=6,"Hot Humid",IF(MONTH($AQ536)&gt;=3,"Hot Dry","Cold Winter")))))</f>
        <v/>
      </c>
      <c r="AS536">
        <f>IF($AL536="","",IFERROR(VLOOKUP($AL536,DECODE!$A$3:$C$8,2,FALSE),"?"))</f>
        <v/>
      </c>
      <c r="AT536">
        <f>IF($O536="","",UPPER(TRIM(LEFT($O536&amp;",",FIND(",",$O536&amp;",")-1))))</f>
        <v/>
      </c>
      <c r="AU536">
        <f>IF($AT536="","",MID($AT536,4,FIND("~",SUBSTITUTE($AT536,"-","~",2))-4))</f>
        <v/>
      </c>
      <c r="AV536">
        <f>IF($AT536="","",MID($AT536,FIND("~",SUBSTITUTE($AT536,"-","~",2))+1,FIND("~",SUBSTITUTE($AT536,"-","~",3))-FIND("~",SUBSTITUTE($AT536,"-","~",2))-1))</f>
        <v/>
      </c>
      <c r="AW536">
        <f>IF($AU536="","",IFERROR(VLOOKUP($AU536,DECODE!$A$3:$C$8,3,FALSE),"?"))</f>
        <v/>
      </c>
      <c r="AX536">
        <f>IF($AV536="","",IFERROR(VLOOKUP($AU536&amp;"-"&amp;$AV536,DECODE!$E$3:$F$21,2,FALSE),"?"))</f>
        <v/>
      </c>
      <c r="AY536">
        <f>IF($AT536="","",IFERROR(VALUE(RIGHT($AT536,3)),""))</f>
        <v/>
      </c>
      <c r="AZ536">
        <f>IF($U536="","",IFERROR(IF(ISNUMBER($U536),$U536,DATEVALUE(TRIM($U536))),""))</f>
        <v/>
      </c>
      <c r="BA536">
        <f>IF($AZ536="","",IF(MONTH($AZ536)&gt;=12,"Cold Winter",IF(MONTH($AZ536)&gt;=10,"Post-Monsoon",IF(MONTH($AZ536)&gt;=6,"Hot Humid",IF(MONTH($AZ536)&gt;=3,"Hot Dry","Cold Winter")))))</f>
        <v/>
      </c>
      <c r="BB536">
        <f>IF($AU536="","",IFERROR(VLOOKUP($AU536,DECODE!$A$3:$C$8,2,FALSE),"?"))</f>
        <v/>
      </c>
      <c r="BC536">
        <f>IF($P536="","",UPPER(TRIM(LEFT($P536&amp;",",FIND(",",$P536&amp;",")-1))))</f>
        <v/>
      </c>
      <c r="BD536">
        <f>IF($BC536="","",MID($BC536,4,FIND("~",SUBSTITUTE($BC536,"-","~",2))-4))</f>
        <v/>
      </c>
      <c r="BE536">
        <f>IF($BC536="","",MID($BC536,FIND("~",SUBSTITUTE($BC536,"-","~",2))+1,FIND("~",SUBSTITUTE($BC536,"-","~",3))-FIND("~",SUBSTITUTE($BC536,"-","~",2))-1))</f>
        <v/>
      </c>
      <c r="BF536">
        <f>IF($BD536="","",IFERROR(VLOOKUP($BD536,DECODE!$A$3:$C$8,3,FALSE),"?"))</f>
        <v/>
      </c>
      <c r="BG536">
        <f>IF($BE536="","",IFERROR(VLOOKUP($BD536&amp;"-"&amp;$BE536,DECODE!$E$3:$F$21,2,FALSE),"?"))</f>
        <v/>
      </c>
      <c r="BH536">
        <f>IF($BC536="","",IFERROR(VALUE(RIGHT($BC536,3)),""))</f>
        <v/>
      </c>
      <c r="BI536">
        <f>IF($V536="","",IFERROR(IF(ISNUMBER($V536),$V536,DATEVALUE(TRIM($V536))),""))</f>
        <v/>
      </c>
      <c r="BJ536">
        <f>IF($BI536="","",IF(MONTH($BI536)&gt;=12,"Cold Winter",IF(MONTH($BI536)&gt;=10,"Post-Monsoon",IF(MONTH($BI536)&gt;=6,"Hot Humid",IF(MONTH($BI536)&gt;=3,"Hot Dry","Cold Winter")))))</f>
        <v/>
      </c>
      <c r="BK536">
        <f>IF($BD536="","",IFERROR(VLOOKUP($BD536,DECODE!$A$3:$C$8,2,FALSE),"?"))</f>
        <v/>
      </c>
      <c r="BL536">
        <f>IF($Q536="","",UPPER(TRIM(LEFT($Q536&amp;",",FIND(",",$Q536&amp;",")-1))))</f>
        <v/>
      </c>
      <c r="BM536">
        <f>IF($BL536="","",MID($BL536,4,FIND("~",SUBSTITUTE($BL536,"-","~",2))-4))</f>
        <v/>
      </c>
      <c r="BN536">
        <f>IF($BL536="","",MID($BL536,FIND("~",SUBSTITUTE($BL536,"-","~",2))+1,FIND("~",SUBSTITUTE($BL536,"-","~",3))-FIND("~",SUBSTITUTE($BL536,"-","~",2))-1))</f>
        <v/>
      </c>
      <c r="BO536">
        <f>IF($BM536="","",IFERROR(VLOOKUP($BM536,DECODE!$A$3:$C$8,3,FALSE),"?"))</f>
        <v/>
      </c>
      <c r="BP536">
        <f>IF($BN536="","",IFERROR(VLOOKUP($BM536&amp;"-"&amp;$BN536,DECODE!$E$3:$F$21,2,FALSE),"?"))</f>
        <v/>
      </c>
      <c r="BQ536">
        <f>IF($BL536="","",IFERROR(VALUE(RIGHT($BL536,3)),""))</f>
        <v/>
      </c>
      <c r="BR536">
        <f>IF($W536="","",IFERROR(IF(ISNUMBER($W536),$W536,DATEVALUE(TRIM($W536))),""))</f>
        <v/>
      </c>
      <c r="BS536">
        <f>IF($BR536="","",IF(MONTH($BR536)&gt;=12,"Cold Winter",IF(MONTH($BR536)&gt;=10,"Post-Monsoon",IF(MONTH($BR536)&gt;=6,"Hot Humid",IF(MONTH($BR536)&gt;=3,"Hot Dry","Cold Winter")))))</f>
        <v/>
      </c>
      <c r="BT536">
        <f>IF($BM536="","",IFERROR(VLOOKUP($BM536,DECODE!$A$3:$C$8,2,FALSE),"?"))</f>
        <v/>
      </c>
      <c r="BU536">
        <f>IF($R536="","",UPPER(TRIM(LEFT($R536&amp;",",FIND(",",$R536&amp;",")-1))))</f>
        <v/>
      </c>
      <c r="BV536">
        <f>IF($BU536="","",MID($BU536,4,FIND("~",SUBSTITUTE($BU536,"-","~",2))-4))</f>
        <v/>
      </c>
      <c r="BW536">
        <f>IF($BU536="","",MID($BU536,FIND("~",SUBSTITUTE($BU536,"-","~",2))+1,FIND("~",SUBSTITUTE($BU536,"-","~",3))-FIND("~",SUBSTITUTE($BU536,"-","~",2))-1))</f>
        <v/>
      </c>
      <c r="BX536">
        <f>IF($BV536="","",IFERROR(VLOOKUP($BV536,DECODE!$A$3:$C$8,3,FALSE),"?"))</f>
        <v/>
      </c>
      <c r="BY536">
        <f>IF($BW536="","",IFERROR(VLOOKUP($BV536&amp;"-"&amp;$BW536,DECODE!$E$3:$F$21,2,FALSE),"?"))</f>
        <v/>
      </c>
      <c r="BZ536">
        <f>IF($BU536="","",IFERROR(VALUE(RIGHT($BU536,3)),""))</f>
        <v/>
      </c>
      <c r="CA536">
        <f>IF($X536="","",IFERROR(IF(ISNUMBER($X536),$X536,DATEVALUE(TRIM($X536))),""))</f>
        <v/>
      </c>
      <c r="CB536">
        <f>IF($CA536="","",IF(MONTH($CA536)&gt;=12,"Cold Winter",IF(MONTH($CA536)&gt;=10,"Post-Monsoon",IF(MONTH($CA536)&gt;=6,"Hot Humid",IF(MONTH($CA536)&gt;=3,"Hot Dry","Cold Winter")))))</f>
        <v/>
      </c>
      <c r="CC536">
        <f>IF($BV536="","",IFERROR(VLOOKUP($BV536,DECODE!$A$3:$C$8,2,FALSE),"?"))</f>
        <v/>
      </c>
      <c r="CD536">
        <f>IF($S536="","",UPPER(TRIM(LEFT($S536&amp;",",FIND(",",$S536&amp;",")-1))))</f>
        <v/>
      </c>
      <c r="CE536">
        <f>IF($CD536="","",MID($CD536,4,FIND("~",SUBSTITUTE($CD536,"-","~",2))-4))</f>
        <v/>
      </c>
      <c r="CF536">
        <f>IF($CD536="","",MID($CD536,FIND("~",SUBSTITUTE($CD536,"-","~",2))+1,FIND("~",SUBSTITUTE($CD536,"-","~",3))-FIND("~",SUBSTITUTE($CD536,"-","~",2))-1))</f>
        <v/>
      </c>
      <c r="CG536">
        <f>IF($CE536="","",IFERROR(VLOOKUP($CE536,DECODE!$A$3:$C$8,3,FALSE),"?"))</f>
        <v/>
      </c>
      <c r="CH536">
        <f>IF($CF536="","",IFERROR(VLOOKUP($CE536&amp;"-"&amp;$CF536,DECODE!$E$3:$F$21,2,FALSE),"?"))</f>
        <v/>
      </c>
      <c r="CI536">
        <f>IF($CD536="","",IFERROR(VALUE(RIGHT($CD536,3)),""))</f>
        <v/>
      </c>
      <c r="CJ536">
        <f>IF($Y536="","",IFERROR(IF(ISNUMBER($Y536),$Y536,DATEVALUE(TRIM($Y536))),""))</f>
        <v/>
      </c>
      <c r="CK536">
        <f>IF($CJ536="","",IF(MONTH($CJ536)&gt;=12,"Cold Winter",IF(MONTH($CJ536)&gt;=10,"Post-Monsoon",IF(MONTH($CJ536)&gt;=6,"Hot Humid",IF(MONTH($CJ536)&gt;=3,"Hot Dry","Cold Winter")))))</f>
        <v/>
      </c>
      <c r="CL536">
        <f>IF($CE536="","",IFERROR(VLOOKUP($CE536,DECODE!$A$3:$C$8,2,FALSE),"?"))</f>
        <v/>
      </c>
      <c r="CM536">
        <f>IF($AN536="","",AN536)</f>
        <v/>
      </c>
      <c r="CN536">
        <f>IF($AO536="","",AO536)</f>
        <v/>
      </c>
      <c r="CO536">
        <f>IF($AP536="","",AP536)</f>
        <v/>
      </c>
      <c r="CP536">
        <f>IF($CM536="","",IF($CM536="Aloe Vera Gel","Aloe Vera Gel "&amp;$CO536&amp;"g",CN536&amp;" "&amp;$CO536&amp;"g"))</f>
        <v/>
      </c>
      <c r="CQ536">
        <f>IF($AT536="",0,1)</f>
        <v/>
      </c>
      <c r="CR536">
        <f>IF($CQ536=0,"",AW536)</f>
        <v/>
      </c>
      <c r="CS536">
        <f>IF($CQ536=0,"",AX536)</f>
        <v/>
      </c>
      <c r="CT536">
        <f>IF($CQ536=0,"",AY536)</f>
        <v/>
      </c>
      <c r="CU536">
        <f>IF($CR536="","",IF($CR536="Aloe Vera Gel","Aloe Vera Gel "&amp;$CT536&amp;"g",CS536&amp;" "&amp;$CT536&amp;"g"))</f>
        <v/>
      </c>
      <c r="CV536">
        <f>IF($CQ536=0,"",IF($CP536=$CU536,"Repeat Exact",IF($CT536&gt;$CO536,"Upsized",IF($CT536&lt;$CO536,"Downsized",IF($CM536&lt;&gt;$CR536,"Lateral","Same Size Diff Variant")))))</f>
        <v/>
      </c>
      <c r="CW536">
        <f>IF($CQ536=0,"",AZ536-AQ536)</f>
        <v/>
      </c>
      <c r="CX536">
        <f>IF($CQ536=0,0,IF(CS536=CN536,1,0))</f>
        <v/>
      </c>
      <c r="CY536">
        <f>IF($CQ536=0,0,IF(CR536=CM536,1,0))</f>
        <v/>
      </c>
      <c r="CZ536">
        <f>IF($A536="","",IF(AND(IF(DASHBOARD!$C$4="All",TRUE,$CM536=DASHBOARD!$C$4),IF(DASHBOARD!$C$6="All",TRUE,$CP536=DASHBOARD!$C$6),IF(DASHBOARD!$C$8="All",TRUE,$AF536&gt;=DASHBOARD!$C$8),IF(DASHBOARD!$C$10="All",TRUE,$AF536&lt;=DASHBOARD!$C$10),IF(DASHBOARD!$C$12="All",TRUE,$AH536=VALUE(DASHBOARD!$C$12)),IF(DASHBOARD!$C$14="All",TRUE,$AJ536=DASHBOARD!$C$14)),1,0))</f>
        <v/>
      </c>
    </row>
    <row r="537">
      <c r="A537" t="n">
        <v>239334</v>
      </c>
      <c r="B537" t="inlineStr">
        <is>
          <t>Face Malai</t>
        </is>
      </c>
      <c r="H537" t="inlineStr">
        <is>
          <t>Flax Walnut (Cold) 35+ Face Malai</t>
        </is>
      </c>
      <c r="N537" t="inlineStr">
        <is>
          <t>FC-CWDM-FW-030</t>
        </is>
      </c>
      <c r="T537" t="inlineStr">
        <is>
          <t>Nov 10, 2025</t>
        </is>
      </c>
      <c r="AE537" t="inlineStr">
        <is>
          <t>Jalandhar</t>
        </is>
      </c>
      <c r="AF537" t="inlineStr">
        <is>
          <t>2025-11</t>
        </is>
      </c>
      <c r="AG537" t="n">
        <v>11</v>
      </c>
      <c r="AH537" t="n">
        <v>1</v>
      </c>
      <c r="AI537" t="n">
        <v>0</v>
      </c>
      <c r="AJ537">
        <f>IF($AE537="","",IFERROR(VLOOKUP(TRIM($AE537),DECODE!$H$3:$I$60,2,FALSE),"Rest of India"))</f>
        <v/>
      </c>
      <c r="AK537">
        <f>IF($N537="","",UPPER(TRIM(LEFT($N537&amp;",",FIND(",",$N537&amp;",")-1))))</f>
        <v/>
      </c>
      <c r="AL537">
        <f>IF($AK537="","",MID($AK537,4,FIND("~",SUBSTITUTE($AK537,"-","~",2))-4))</f>
        <v/>
      </c>
      <c r="AM537">
        <f>IF($AK537="","",MID($AK537,FIND("~",SUBSTITUTE($AK537,"-","~",2))+1,FIND("~",SUBSTITUTE($AK537,"-","~",3))-FIND("~",SUBSTITUTE($AK537,"-","~",2))-1))</f>
        <v/>
      </c>
      <c r="AN537">
        <f>IF($AL537="","",IFERROR(VLOOKUP($AL537,DECODE!$A$3:$C$8,3,FALSE),"?"))</f>
        <v/>
      </c>
      <c r="AO537">
        <f>IF($AM537="","",IFERROR(VLOOKUP($AL537&amp;"-"&amp;$AM537,DECODE!$E$3:$F$21,2,FALSE),"?"))</f>
        <v/>
      </c>
      <c r="AP537">
        <f>IF($AK537="","",IFERROR(VALUE(RIGHT($AK537,3)),""))</f>
        <v/>
      </c>
      <c r="AQ537">
        <f>IF($T537="","",IFERROR(IF(ISNUMBER($T537),$T537,DATEVALUE(TRIM($T537))),""))</f>
        <v/>
      </c>
      <c r="AR537">
        <f>IF($AQ537="","",IF(MONTH($AQ537)&gt;=12,"Cold Winter",IF(MONTH($AQ537)&gt;=10,"Post-Monsoon",IF(MONTH($AQ537)&gt;=6,"Hot Humid",IF(MONTH($AQ537)&gt;=3,"Hot Dry","Cold Winter")))))</f>
        <v/>
      </c>
      <c r="AS537">
        <f>IF($AL537="","",IFERROR(VLOOKUP($AL537,DECODE!$A$3:$C$8,2,FALSE),"?"))</f>
        <v/>
      </c>
      <c r="AT537">
        <f>IF($O537="","",UPPER(TRIM(LEFT($O537&amp;",",FIND(",",$O537&amp;",")-1))))</f>
        <v/>
      </c>
      <c r="AU537">
        <f>IF($AT537="","",MID($AT537,4,FIND("~",SUBSTITUTE($AT537,"-","~",2))-4))</f>
        <v/>
      </c>
      <c r="AV537">
        <f>IF($AT537="","",MID($AT537,FIND("~",SUBSTITUTE($AT537,"-","~",2))+1,FIND("~",SUBSTITUTE($AT537,"-","~",3))-FIND("~",SUBSTITUTE($AT537,"-","~",2))-1))</f>
        <v/>
      </c>
      <c r="AW537">
        <f>IF($AU537="","",IFERROR(VLOOKUP($AU537,DECODE!$A$3:$C$8,3,FALSE),"?"))</f>
        <v/>
      </c>
      <c r="AX537">
        <f>IF($AV537="","",IFERROR(VLOOKUP($AU537&amp;"-"&amp;$AV537,DECODE!$E$3:$F$21,2,FALSE),"?"))</f>
        <v/>
      </c>
      <c r="AY537">
        <f>IF($AT537="","",IFERROR(VALUE(RIGHT($AT537,3)),""))</f>
        <v/>
      </c>
      <c r="AZ537">
        <f>IF($U537="","",IFERROR(IF(ISNUMBER($U537),$U537,DATEVALUE(TRIM($U537))),""))</f>
        <v/>
      </c>
      <c r="BA537">
        <f>IF($AZ537="","",IF(MONTH($AZ537)&gt;=12,"Cold Winter",IF(MONTH($AZ537)&gt;=10,"Post-Monsoon",IF(MONTH($AZ537)&gt;=6,"Hot Humid",IF(MONTH($AZ537)&gt;=3,"Hot Dry","Cold Winter")))))</f>
        <v/>
      </c>
      <c r="BB537">
        <f>IF($AU537="","",IFERROR(VLOOKUP($AU537,DECODE!$A$3:$C$8,2,FALSE),"?"))</f>
        <v/>
      </c>
      <c r="BC537">
        <f>IF($P537="","",UPPER(TRIM(LEFT($P537&amp;",",FIND(",",$P537&amp;",")-1))))</f>
        <v/>
      </c>
      <c r="BD537">
        <f>IF($BC537="","",MID($BC537,4,FIND("~",SUBSTITUTE($BC537,"-","~",2))-4))</f>
        <v/>
      </c>
      <c r="BE537">
        <f>IF($BC537="","",MID($BC537,FIND("~",SUBSTITUTE($BC537,"-","~",2))+1,FIND("~",SUBSTITUTE($BC537,"-","~",3))-FIND("~",SUBSTITUTE($BC537,"-","~",2))-1))</f>
        <v/>
      </c>
      <c r="BF537">
        <f>IF($BD537="","",IFERROR(VLOOKUP($BD537,DECODE!$A$3:$C$8,3,FALSE),"?"))</f>
        <v/>
      </c>
      <c r="BG537">
        <f>IF($BE537="","",IFERROR(VLOOKUP($BD537&amp;"-"&amp;$BE537,DECODE!$E$3:$F$21,2,FALSE),"?"))</f>
        <v/>
      </c>
      <c r="BH537">
        <f>IF($BC537="","",IFERROR(VALUE(RIGHT($BC537,3)),""))</f>
        <v/>
      </c>
      <c r="BI537">
        <f>IF($V537="","",IFERROR(IF(ISNUMBER($V537),$V537,DATEVALUE(TRIM($V537))),""))</f>
        <v/>
      </c>
      <c r="BJ537">
        <f>IF($BI537="","",IF(MONTH($BI537)&gt;=12,"Cold Winter",IF(MONTH($BI537)&gt;=10,"Post-Monsoon",IF(MONTH($BI537)&gt;=6,"Hot Humid",IF(MONTH($BI537)&gt;=3,"Hot Dry","Cold Winter")))))</f>
        <v/>
      </c>
      <c r="BK537">
        <f>IF($BD537="","",IFERROR(VLOOKUP($BD537,DECODE!$A$3:$C$8,2,FALSE),"?"))</f>
        <v/>
      </c>
      <c r="BL537">
        <f>IF($Q537="","",UPPER(TRIM(LEFT($Q537&amp;",",FIND(",",$Q537&amp;",")-1))))</f>
        <v/>
      </c>
      <c r="BM537">
        <f>IF($BL537="","",MID($BL537,4,FIND("~",SUBSTITUTE($BL537,"-","~",2))-4))</f>
        <v/>
      </c>
      <c r="BN537">
        <f>IF($BL537="","",MID($BL537,FIND("~",SUBSTITUTE($BL537,"-","~",2))+1,FIND("~",SUBSTITUTE($BL537,"-","~",3))-FIND("~",SUBSTITUTE($BL537,"-","~",2))-1))</f>
        <v/>
      </c>
      <c r="BO537">
        <f>IF($BM537="","",IFERROR(VLOOKUP($BM537,DECODE!$A$3:$C$8,3,FALSE),"?"))</f>
        <v/>
      </c>
      <c r="BP537">
        <f>IF($BN537="","",IFERROR(VLOOKUP($BM537&amp;"-"&amp;$BN537,DECODE!$E$3:$F$21,2,FALSE),"?"))</f>
        <v/>
      </c>
      <c r="BQ537">
        <f>IF($BL537="","",IFERROR(VALUE(RIGHT($BL537,3)),""))</f>
        <v/>
      </c>
      <c r="BR537">
        <f>IF($W537="","",IFERROR(IF(ISNUMBER($W537),$W537,DATEVALUE(TRIM($W537))),""))</f>
        <v/>
      </c>
      <c r="BS537">
        <f>IF($BR537="","",IF(MONTH($BR537)&gt;=12,"Cold Winter",IF(MONTH($BR537)&gt;=10,"Post-Monsoon",IF(MONTH($BR537)&gt;=6,"Hot Humid",IF(MONTH($BR537)&gt;=3,"Hot Dry","Cold Winter")))))</f>
        <v/>
      </c>
      <c r="BT537">
        <f>IF($BM537="","",IFERROR(VLOOKUP($BM537,DECODE!$A$3:$C$8,2,FALSE),"?"))</f>
        <v/>
      </c>
      <c r="BU537">
        <f>IF($R537="","",UPPER(TRIM(LEFT($R537&amp;",",FIND(",",$R537&amp;",")-1))))</f>
        <v/>
      </c>
      <c r="BV537">
        <f>IF($BU537="","",MID($BU537,4,FIND("~",SUBSTITUTE($BU537,"-","~",2))-4))</f>
        <v/>
      </c>
      <c r="BW537">
        <f>IF($BU537="","",MID($BU537,FIND("~",SUBSTITUTE($BU537,"-","~",2))+1,FIND("~",SUBSTITUTE($BU537,"-","~",3))-FIND("~",SUBSTITUTE($BU537,"-","~",2))-1))</f>
        <v/>
      </c>
      <c r="BX537">
        <f>IF($BV537="","",IFERROR(VLOOKUP($BV537,DECODE!$A$3:$C$8,3,FALSE),"?"))</f>
        <v/>
      </c>
      <c r="BY537">
        <f>IF($BW537="","",IFERROR(VLOOKUP($BV537&amp;"-"&amp;$BW537,DECODE!$E$3:$F$21,2,FALSE),"?"))</f>
        <v/>
      </c>
      <c r="BZ537">
        <f>IF($BU537="","",IFERROR(VALUE(RIGHT($BU537,3)),""))</f>
        <v/>
      </c>
      <c r="CA537">
        <f>IF($X537="","",IFERROR(IF(ISNUMBER($X537),$X537,DATEVALUE(TRIM($X537))),""))</f>
        <v/>
      </c>
      <c r="CB537">
        <f>IF($CA537="","",IF(MONTH($CA537)&gt;=12,"Cold Winter",IF(MONTH($CA537)&gt;=10,"Post-Monsoon",IF(MONTH($CA537)&gt;=6,"Hot Humid",IF(MONTH($CA537)&gt;=3,"Hot Dry","Cold Winter")))))</f>
        <v/>
      </c>
      <c r="CC537">
        <f>IF($BV537="","",IFERROR(VLOOKUP($BV537,DECODE!$A$3:$C$8,2,FALSE),"?"))</f>
        <v/>
      </c>
      <c r="CD537">
        <f>IF($S537="","",UPPER(TRIM(LEFT($S537&amp;",",FIND(",",$S537&amp;",")-1))))</f>
        <v/>
      </c>
      <c r="CE537">
        <f>IF($CD537="","",MID($CD537,4,FIND("~",SUBSTITUTE($CD537,"-","~",2))-4))</f>
        <v/>
      </c>
      <c r="CF537">
        <f>IF($CD537="","",MID($CD537,FIND("~",SUBSTITUTE($CD537,"-","~",2))+1,FIND("~",SUBSTITUTE($CD537,"-","~",3))-FIND("~",SUBSTITUTE($CD537,"-","~",2))-1))</f>
        <v/>
      </c>
      <c r="CG537">
        <f>IF($CE537="","",IFERROR(VLOOKUP($CE537,DECODE!$A$3:$C$8,3,FALSE),"?"))</f>
        <v/>
      </c>
      <c r="CH537">
        <f>IF($CF537="","",IFERROR(VLOOKUP($CE537&amp;"-"&amp;$CF537,DECODE!$E$3:$F$21,2,FALSE),"?"))</f>
        <v/>
      </c>
      <c r="CI537">
        <f>IF($CD537="","",IFERROR(VALUE(RIGHT($CD537,3)),""))</f>
        <v/>
      </c>
      <c r="CJ537">
        <f>IF($Y537="","",IFERROR(IF(ISNUMBER($Y537),$Y537,DATEVALUE(TRIM($Y537))),""))</f>
        <v/>
      </c>
      <c r="CK537">
        <f>IF($CJ537="","",IF(MONTH($CJ537)&gt;=12,"Cold Winter",IF(MONTH($CJ537)&gt;=10,"Post-Monsoon",IF(MONTH($CJ537)&gt;=6,"Hot Humid",IF(MONTH($CJ537)&gt;=3,"Hot Dry","Cold Winter")))))</f>
        <v/>
      </c>
      <c r="CL537">
        <f>IF($CE537="","",IFERROR(VLOOKUP($CE537,DECODE!$A$3:$C$8,2,FALSE),"?"))</f>
        <v/>
      </c>
      <c r="CM537">
        <f>IF($AN537="","",AN537)</f>
        <v/>
      </c>
      <c r="CN537">
        <f>IF($AO537="","",AO537)</f>
        <v/>
      </c>
      <c r="CO537">
        <f>IF($AP537="","",AP537)</f>
        <v/>
      </c>
      <c r="CP537">
        <f>IF($CM537="","",IF($CM537="Aloe Vera Gel","Aloe Vera Gel "&amp;$CO537&amp;"g",CN537&amp;" "&amp;$CO537&amp;"g"))</f>
        <v/>
      </c>
      <c r="CQ537">
        <f>IF($AT537="",0,1)</f>
        <v/>
      </c>
      <c r="CR537">
        <f>IF($CQ537=0,"",AW537)</f>
        <v/>
      </c>
      <c r="CS537">
        <f>IF($CQ537=0,"",AX537)</f>
        <v/>
      </c>
      <c r="CT537">
        <f>IF($CQ537=0,"",AY537)</f>
        <v/>
      </c>
      <c r="CU537">
        <f>IF($CR537="","",IF($CR537="Aloe Vera Gel","Aloe Vera Gel "&amp;$CT537&amp;"g",CS537&amp;" "&amp;$CT537&amp;"g"))</f>
        <v/>
      </c>
      <c r="CV537">
        <f>IF($CQ537=0,"",IF($CP537=$CU537,"Repeat Exact",IF($CT537&gt;$CO537,"Upsized",IF($CT537&lt;$CO537,"Downsized",IF($CM537&lt;&gt;$CR537,"Lateral","Same Size Diff Variant")))))</f>
        <v/>
      </c>
      <c r="CW537">
        <f>IF($CQ537=0,"",AZ537-AQ537)</f>
        <v/>
      </c>
      <c r="CX537">
        <f>IF($CQ537=0,0,IF(CS537=CN537,1,0))</f>
        <v/>
      </c>
      <c r="CY537">
        <f>IF($CQ537=0,0,IF(CR537=CM537,1,0))</f>
        <v/>
      </c>
      <c r="CZ537">
        <f>IF($A537="","",IF(AND(IF(DASHBOARD!$C$4="All",TRUE,$CM537=DASHBOARD!$C$4),IF(DASHBOARD!$C$6="All",TRUE,$CP537=DASHBOARD!$C$6),IF(DASHBOARD!$C$8="All",TRUE,$AF537&gt;=DASHBOARD!$C$8),IF(DASHBOARD!$C$10="All",TRUE,$AF537&lt;=DASHBOARD!$C$10),IF(DASHBOARD!$C$12="All",TRUE,$AH537=VALUE(DASHBOARD!$C$12)),IF(DASHBOARD!$C$14="All",TRUE,$AJ537=DASHBOARD!$C$14)),1,0))</f>
        <v/>
      </c>
    </row>
    <row r="538">
      <c r="A538" t="n">
        <v>239670</v>
      </c>
      <c r="B538" t="inlineStr">
        <is>
          <t>Aloe Vera Gel</t>
        </is>
      </c>
      <c r="H538" t="inlineStr">
        <is>
          <t>Aloe Vera Gel - 80 gms</t>
        </is>
      </c>
      <c r="N538" t="inlineStr">
        <is>
          <t>FC-HG-PA-080</t>
        </is>
      </c>
      <c r="T538" t="inlineStr">
        <is>
          <t>Apr 17, 2025</t>
        </is>
      </c>
      <c r="AE538" t="inlineStr">
        <is>
          <t>Bengaluru</t>
        </is>
      </c>
      <c r="AF538" t="inlineStr">
        <is>
          <t>2025-04</t>
        </is>
      </c>
      <c r="AG538" t="n">
        <v>4</v>
      </c>
      <c r="AH538" t="n">
        <v>1</v>
      </c>
      <c r="AI538" t="n">
        <v>0</v>
      </c>
      <c r="AJ538">
        <f>IF($AE538="","",IFERROR(VLOOKUP(TRIM($AE538),DECODE!$H$3:$I$60,2,FALSE),"Rest of India"))</f>
        <v/>
      </c>
      <c r="AK538">
        <f>IF($N538="","",UPPER(TRIM(LEFT($N538&amp;",",FIND(",",$N538&amp;",")-1))))</f>
        <v/>
      </c>
      <c r="AL538">
        <f>IF($AK538="","",MID($AK538,4,FIND("~",SUBSTITUTE($AK538,"-","~",2))-4))</f>
        <v/>
      </c>
      <c r="AM538">
        <f>IF($AK538="","",MID($AK538,FIND("~",SUBSTITUTE($AK538,"-","~",2))+1,FIND("~",SUBSTITUTE($AK538,"-","~",3))-FIND("~",SUBSTITUTE($AK538,"-","~",2))-1))</f>
        <v/>
      </c>
      <c r="AN538">
        <f>IF($AL538="","",IFERROR(VLOOKUP($AL538,DECODE!$A$3:$C$8,3,FALSE),"?"))</f>
        <v/>
      </c>
      <c r="AO538">
        <f>IF($AM538="","",IFERROR(VLOOKUP($AL538&amp;"-"&amp;$AM538,DECODE!$E$3:$F$21,2,FALSE),"?"))</f>
        <v/>
      </c>
      <c r="AP538">
        <f>IF($AK538="","",IFERROR(VALUE(RIGHT($AK538,3)),""))</f>
        <v/>
      </c>
      <c r="AQ538">
        <f>IF($T538="","",IFERROR(IF(ISNUMBER($T538),$T538,DATEVALUE(TRIM($T538))),""))</f>
        <v/>
      </c>
      <c r="AR538">
        <f>IF($AQ538="","",IF(MONTH($AQ538)&gt;=12,"Cold Winter",IF(MONTH($AQ538)&gt;=10,"Post-Monsoon",IF(MONTH($AQ538)&gt;=6,"Hot Humid",IF(MONTH($AQ538)&gt;=3,"Hot Dry","Cold Winter")))))</f>
        <v/>
      </c>
      <c r="AS538">
        <f>IF($AL538="","",IFERROR(VLOOKUP($AL538,DECODE!$A$3:$C$8,2,FALSE),"?"))</f>
        <v/>
      </c>
      <c r="AT538">
        <f>IF($O538="","",UPPER(TRIM(LEFT($O538&amp;",",FIND(",",$O538&amp;",")-1))))</f>
        <v/>
      </c>
      <c r="AU538">
        <f>IF($AT538="","",MID($AT538,4,FIND("~",SUBSTITUTE($AT538,"-","~",2))-4))</f>
        <v/>
      </c>
      <c r="AV538">
        <f>IF($AT538="","",MID($AT538,FIND("~",SUBSTITUTE($AT538,"-","~",2))+1,FIND("~",SUBSTITUTE($AT538,"-","~",3))-FIND("~",SUBSTITUTE($AT538,"-","~",2))-1))</f>
        <v/>
      </c>
      <c r="AW538">
        <f>IF($AU538="","",IFERROR(VLOOKUP($AU538,DECODE!$A$3:$C$8,3,FALSE),"?"))</f>
        <v/>
      </c>
      <c r="AX538">
        <f>IF($AV538="","",IFERROR(VLOOKUP($AU538&amp;"-"&amp;$AV538,DECODE!$E$3:$F$21,2,FALSE),"?"))</f>
        <v/>
      </c>
      <c r="AY538">
        <f>IF($AT538="","",IFERROR(VALUE(RIGHT($AT538,3)),""))</f>
        <v/>
      </c>
      <c r="AZ538">
        <f>IF($U538="","",IFERROR(IF(ISNUMBER($U538),$U538,DATEVALUE(TRIM($U538))),""))</f>
        <v/>
      </c>
      <c r="BA538">
        <f>IF($AZ538="","",IF(MONTH($AZ538)&gt;=12,"Cold Winter",IF(MONTH($AZ538)&gt;=10,"Post-Monsoon",IF(MONTH($AZ538)&gt;=6,"Hot Humid",IF(MONTH($AZ538)&gt;=3,"Hot Dry","Cold Winter")))))</f>
        <v/>
      </c>
      <c r="BB538">
        <f>IF($AU538="","",IFERROR(VLOOKUP($AU538,DECODE!$A$3:$C$8,2,FALSE),"?"))</f>
        <v/>
      </c>
      <c r="BC538">
        <f>IF($P538="","",UPPER(TRIM(LEFT($P538&amp;",",FIND(",",$P538&amp;",")-1))))</f>
        <v/>
      </c>
      <c r="BD538">
        <f>IF($BC538="","",MID($BC538,4,FIND("~",SUBSTITUTE($BC538,"-","~",2))-4))</f>
        <v/>
      </c>
      <c r="BE538">
        <f>IF($BC538="","",MID($BC538,FIND("~",SUBSTITUTE($BC538,"-","~",2))+1,FIND("~",SUBSTITUTE($BC538,"-","~",3))-FIND("~",SUBSTITUTE($BC538,"-","~",2))-1))</f>
        <v/>
      </c>
      <c r="BF538">
        <f>IF($BD538="","",IFERROR(VLOOKUP($BD538,DECODE!$A$3:$C$8,3,FALSE),"?"))</f>
        <v/>
      </c>
      <c r="BG538">
        <f>IF($BE538="","",IFERROR(VLOOKUP($BD538&amp;"-"&amp;$BE538,DECODE!$E$3:$F$21,2,FALSE),"?"))</f>
        <v/>
      </c>
      <c r="BH538">
        <f>IF($BC538="","",IFERROR(VALUE(RIGHT($BC538,3)),""))</f>
        <v/>
      </c>
      <c r="BI538">
        <f>IF($V538="","",IFERROR(IF(ISNUMBER($V538),$V538,DATEVALUE(TRIM($V538))),""))</f>
        <v/>
      </c>
      <c r="BJ538">
        <f>IF($BI538="","",IF(MONTH($BI538)&gt;=12,"Cold Winter",IF(MONTH($BI538)&gt;=10,"Post-Monsoon",IF(MONTH($BI538)&gt;=6,"Hot Humid",IF(MONTH($BI538)&gt;=3,"Hot Dry","Cold Winter")))))</f>
        <v/>
      </c>
      <c r="BK538">
        <f>IF($BD538="","",IFERROR(VLOOKUP($BD538,DECODE!$A$3:$C$8,2,FALSE),"?"))</f>
        <v/>
      </c>
      <c r="BL538">
        <f>IF($Q538="","",UPPER(TRIM(LEFT($Q538&amp;",",FIND(",",$Q538&amp;",")-1))))</f>
        <v/>
      </c>
      <c r="BM538">
        <f>IF($BL538="","",MID($BL538,4,FIND("~",SUBSTITUTE($BL538,"-","~",2))-4))</f>
        <v/>
      </c>
      <c r="BN538">
        <f>IF($BL538="","",MID($BL538,FIND("~",SUBSTITUTE($BL538,"-","~",2))+1,FIND("~",SUBSTITUTE($BL538,"-","~",3))-FIND("~",SUBSTITUTE($BL538,"-","~",2))-1))</f>
        <v/>
      </c>
      <c r="BO538">
        <f>IF($BM538="","",IFERROR(VLOOKUP($BM538,DECODE!$A$3:$C$8,3,FALSE),"?"))</f>
        <v/>
      </c>
      <c r="BP538">
        <f>IF($BN538="","",IFERROR(VLOOKUP($BM538&amp;"-"&amp;$BN538,DECODE!$E$3:$F$21,2,FALSE),"?"))</f>
        <v/>
      </c>
      <c r="BQ538">
        <f>IF($BL538="","",IFERROR(VALUE(RIGHT($BL538,3)),""))</f>
        <v/>
      </c>
      <c r="BR538">
        <f>IF($W538="","",IFERROR(IF(ISNUMBER($W538),$W538,DATEVALUE(TRIM($W538))),""))</f>
        <v/>
      </c>
      <c r="BS538">
        <f>IF($BR538="","",IF(MONTH($BR538)&gt;=12,"Cold Winter",IF(MONTH($BR538)&gt;=10,"Post-Monsoon",IF(MONTH($BR538)&gt;=6,"Hot Humid",IF(MONTH($BR538)&gt;=3,"Hot Dry","Cold Winter")))))</f>
        <v/>
      </c>
      <c r="BT538">
        <f>IF($BM538="","",IFERROR(VLOOKUP($BM538,DECODE!$A$3:$C$8,2,FALSE),"?"))</f>
        <v/>
      </c>
      <c r="BU538">
        <f>IF($R538="","",UPPER(TRIM(LEFT($R538&amp;",",FIND(",",$R538&amp;",")-1))))</f>
        <v/>
      </c>
      <c r="BV538">
        <f>IF($BU538="","",MID($BU538,4,FIND("~",SUBSTITUTE($BU538,"-","~",2))-4))</f>
        <v/>
      </c>
      <c r="BW538">
        <f>IF($BU538="","",MID($BU538,FIND("~",SUBSTITUTE($BU538,"-","~",2))+1,FIND("~",SUBSTITUTE($BU538,"-","~",3))-FIND("~",SUBSTITUTE($BU538,"-","~",2))-1))</f>
        <v/>
      </c>
      <c r="BX538">
        <f>IF($BV538="","",IFERROR(VLOOKUP($BV538,DECODE!$A$3:$C$8,3,FALSE),"?"))</f>
        <v/>
      </c>
      <c r="BY538">
        <f>IF($BW538="","",IFERROR(VLOOKUP($BV538&amp;"-"&amp;$BW538,DECODE!$E$3:$F$21,2,FALSE),"?"))</f>
        <v/>
      </c>
      <c r="BZ538">
        <f>IF($BU538="","",IFERROR(VALUE(RIGHT($BU538,3)),""))</f>
        <v/>
      </c>
      <c r="CA538">
        <f>IF($X538="","",IFERROR(IF(ISNUMBER($X538),$X538,DATEVALUE(TRIM($X538))),""))</f>
        <v/>
      </c>
      <c r="CB538">
        <f>IF($CA538="","",IF(MONTH($CA538)&gt;=12,"Cold Winter",IF(MONTH($CA538)&gt;=10,"Post-Monsoon",IF(MONTH($CA538)&gt;=6,"Hot Humid",IF(MONTH($CA538)&gt;=3,"Hot Dry","Cold Winter")))))</f>
        <v/>
      </c>
      <c r="CC538">
        <f>IF($BV538="","",IFERROR(VLOOKUP($BV538,DECODE!$A$3:$C$8,2,FALSE),"?"))</f>
        <v/>
      </c>
      <c r="CD538">
        <f>IF($S538="","",UPPER(TRIM(LEFT($S538&amp;",",FIND(",",$S538&amp;",")-1))))</f>
        <v/>
      </c>
      <c r="CE538">
        <f>IF($CD538="","",MID($CD538,4,FIND("~",SUBSTITUTE($CD538,"-","~",2))-4))</f>
        <v/>
      </c>
      <c r="CF538">
        <f>IF($CD538="","",MID($CD538,FIND("~",SUBSTITUTE($CD538,"-","~",2))+1,FIND("~",SUBSTITUTE($CD538,"-","~",3))-FIND("~",SUBSTITUTE($CD538,"-","~",2))-1))</f>
        <v/>
      </c>
      <c r="CG538">
        <f>IF($CE538="","",IFERROR(VLOOKUP($CE538,DECODE!$A$3:$C$8,3,FALSE),"?"))</f>
        <v/>
      </c>
      <c r="CH538">
        <f>IF($CF538="","",IFERROR(VLOOKUP($CE538&amp;"-"&amp;$CF538,DECODE!$E$3:$F$21,2,FALSE),"?"))</f>
        <v/>
      </c>
      <c r="CI538">
        <f>IF($CD538="","",IFERROR(VALUE(RIGHT($CD538,3)),""))</f>
        <v/>
      </c>
      <c r="CJ538">
        <f>IF($Y538="","",IFERROR(IF(ISNUMBER($Y538),$Y538,DATEVALUE(TRIM($Y538))),""))</f>
        <v/>
      </c>
      <c r="CK538">
        <f>IF($CJ538="","",IF(MONTH($CJ538)&gt;=12,"Cold Winter",IF(MONTH($CJ538)&gt;=10,"Post-Monsoon",IF(MONTH($CJ538)&gt;=6,"Hot Humid",IF(MONTH($CJ538)&gt;=3,"Hot Dry","Cold Winter")))))</f>
        <v/>
      </c>
      <c r="CL538">
        <f>IF($CE538="","",IFERROR(VLOOKUP($CE538,DECODE!$A$3:$C$8,2,FALSE),"?"))</f>
        <v/>
      </c>
      <c r="CM538">
        <f>IF($AN538="","",AN538)</f>
        <v/>
      </c>
      <c r="CN538">
        <f>IF($AO538="","",AO538)</f>
        <v/>
      </c>
      <c r="CO538">
        <f>IF($AP538="","",AP538)</f>
        <v/>
      </c>
      <c r="CP538">
        <f>IF($CM538="","",IF($CM538="Aloe Vera Gel","Aloe Vera Gel "&amp;$CO538&amp;"g",CN538&amp;" "&amp;$CO538&amp;"g"))</f>
        <v/>
      </c>
      <c r="CQ538">
        <f>IF($AT538="",0,1)</f>
        <v/>
      </c>
      <c r="CR538">
        <f>IF($CQ538=0,"",AW538)</f>
        <v/>
      </c>
      <c r="CS538">
        <f>IF($CQ538=0,"",AX538)</f>
        <v/>
      </c>
      <c r="CT538">
        <f>IF($CQ538=0,"",AY538)</f>
        <v/>
      </c>
      <c r="CU538">
        <f>IF($CR538="","",IF($CR538="Aloe Vera Gel","Aloe Vera Gel "&amp;$CT538&amp;"g",CS538&amp;" "&amp;$CT538&amp;"g"))</f>
        <v/>
      </c>
      <c r="CV538">
        <f>IF($CQ538=0,"",IF($CP538=$CU538,"Repeat Exact",IF($CT538&gt;$CO538,"Upsized",IF($CT538&lt;$CO538,"Downsized",IF($CM538&lt;&gt;$CR538,"Lateral","Same Size Diff Variant")))))</f>
        <v/>
      </c>
      <c r="CW538">
        <f>IF($CQ538=0,"",AZ538-AQ538)</f>
        <v/>
      </c>
      <c r="CX538">
        <f>IF($CQ538=0,0,IF(CS538=CN538,1,0))</f>
        <v/>
      </c>
      <c r="CY538">
        <f>IF($CQ538=0,0,IF(CR538=CM538,1,0))</f>
        <v/>
      </c>
      <c r="CZ538">
        <f>IF($A538="","",IF(AND(IF(DASHBOARD!$C$4="All",TRUE,$CM538=DASHBOARD!$C$4),IF(DASHBOARD!$C$6="All",TRUE,$CP538=DASHBOARD!$C$6),IF(DASHBOARD!$C$8="All",TRUE,$AF538&gt;=DASHBOARD!$C$8),IF(DASHBOARD!$C$10="All",TRUE,$AF538&lt;=DASHBOARD!$C$10),IF(DASHBOARD!$C$12="All",TRUE,$AH538=VALUE(DASHBOARD!$C$12)),IF(DASHBOARD!$C$14="All",TRUE,$AJ538=DASHBOARD!$C$14)),1,0))</f>
        <v/>
      </c>
    </row>
    <row r="539">
      <c r="A539" t="n">
        <v>240694</v>
      </c>
      <c r="B539" t="inlineStr">
        <is>
          <t>Face Malai</t>
        </is>
      </c>
      <c r="H539" t="inlineStr">
        <is>
          <t xml:space="preserve">Turmeric Nutmeg (Pigmentation)  Face Malai - 50g , Cocoa Mogra (Overnight) Face Malai - 50g </t>
        </is>
      </c>
      <c r="N539" t="inlineStr">
        <is>
          <t>FC-DM-PG-050, FC-DM-NR-050</t>
        </is>
      </c>
      <c r="T539" t="inlineStr">
        <is>
          <t>Aug 9, 2025</t>
        </is>
      </c>
      <c r="AE539" t="inlineStr">
        <is>
          <t>Mumbai</t>
        </is>
      </c>
      <c r="AF539" t="inlineStr">
        <is>
          <t>2025-08</t>
        </is>
      </c>
      <c r="AG539" t="n">
        <v>8</v>
      </c>
      <c r="AH539" t="n">
        <v>1</v>
      </c>
      <c r="AI539" t="n">
        <v>0</v>
      </c>
      <c r="AJ539">
        <f>IF($AE539="","",IFERROR(VLOOKUP(TRIM($AE539),DECODE!$H$3:$I$60,2,FALSE),"Rest of India"))</f>
        <v/>
      </c>
      <c r="AK539">
        <f>IF($N539="","",UPPER(TRIM(LEFT($N539&amp;",",FIND(",",$N539&amp;",")-1))))</f>
        <v/>
      </c>
      <c r="AL539">
        <f>IF($AK539="","",MID($AK539,4,FIND("~",SUBSTITUTE($AK539,"-","~",2))-4))</f>
        <v/>
      </c>
      <c r="AM539">
        <f>IF($AK539="","",MID($AK539,FIND("~",SUBSTITUTE($AK539,"-","~",2))+1,FIND("~",SUBSTITUTE($AK539,"-","~",3))-FIND("~",SUBSTITUTE($AK539,"-","~",2))-1))</f>
        <v/>
      </c>
      <c r="AN539">
        <f>IF($AL539="","",IFERROR(VLOOKUP($AL539,DECODE!$A$3:$C$8,3,FALSE),"?"))</f>
        <v/>
      </c>
      <c r="AO539">
        <f>IF($AM539="","",IFERROR(VLOOKUP($AL539&amp;"-"&amp;$AM539,DECODE!$E$3:$F$21,2,FALSE),"?"))</f>
        <v/>
      </c>
      <c r="AP539">
        <f>IF($AK539="","",IFERROR(VALUE(RIGHT($AK539,3)),""))</f>
        <v/>
      </c>
      <c r="AQ539">
        <f>IF($T539="","",IFERROR(IF(ISNUMBER($T539),$T539,DATEVALUE(TRIM($T539))),""))</f>
        <v/>
      </c>
      <c r="AR539">
        <f>IF($AQ539="","",IF(MONTH($AQ539)&gt;=12,"Cold Winter",IF(MONTH($AQ539)&gt;=10,"Post-Monsoon",IF(MONTH($AQ539)&gt;=6,"Hot Humid",IF(MONTH($AQ539)&gt;=3,"Hot Dry","Cold Winter")))))</f>
        <v/>
      </c>
      <c r="AS539">
        <f>IF($AL539="","",IFERROR(VLOOKUP($AL539,DECODE!$A$3:$C$8,2,FALSE),"?"))</f>
        <v/>
      </c>
      <c r="AT539">
        <f>IF($O539="","",UPPER(TRIM(LEFT($O539&amp;",",FIND(",",$O539&amp;",")-1))))</f>
        <v/>
      </c>
      <c r="AU539">
        <f>IF($AT539="","",MID($AT539,4,FIND("~",SUBSTITUTE($AT539,"-","~",2))-4))</f>
        <v/>
      </c>
      <c r="AV539">
        <f>IF($AT539="","",MID($AT539,FIND("~",SUBSTITUTE($AT539,"-","~",2))+1,FIND("~",SUBSTITUTE($AT539,"-","~",3))-FIND("~",SUBSTITUTE($AT539,"-","~",2))-1))</f>
        <v/>
      </c>
      <c r="AW539">
        <f>IF($AU539="","",IFERROR(VLOOKUP($AU539,DECODE!$A$3:$C$8,3,FALSE),"?"))</f>
        <v/>
      </c>
      <c r="AX539">
        <f>IF($AV539="","",IFERROR(VLOOKUP($AU539&amp;"-"&amp;$AV539,DECODE!$E$3:$F$21,2,FALSE),"?"))</f>
        <v/>
      </c>
      <c r="AY539">
        <f>IF($AT539="","",IFERROR(VALUE(RIGHT($AT539,3)),""))</f>
        <v/>
      </c>
      <c r="AZ539">
        <f>IF($U539="","",IFERROR(IF(ISNUMBER($U539),$U539,DATEVALUE(TRIM($U539))),""))</f>
        <v/>
      </c>
      <c r="BA539">
        <f>IF($AZ539="","",IF(MONTH($AZ539)&gt;=12,"Cold Winter",IF(MONTH($AZ539)&gt;=10,"Post-Monsoon",IF(MONTH($AZ539)&gt;=6,"Hot Humid",IF(MONTH($AZ539)&gt;=3,"Hot Dry","Cold Winter")))))</f>
        <v/>
      </c>
      <c r="BB539">
        <f>IF($AU539="","",IFERROR(VLOOKUP($AU539,DECODE!$A$3:$C$8,2,FALSE),"?"))</f>
        <v/>
      </c>
      <c r="BC539">
        <f>IF($P539="","",UPPER(TRIM(LEFT($P539&amp;",",FIND(",",$P539&amp;",")-1))))</f>
        <v/>
      </c>
      <c r="BD539">
        <f>IF($BC539="","",MID($BC539,4,FIND("~",SUBSTITUTE($BC539,"-","~",2))-4))</f>
        <v/>
      </c>
      <c r="BE539">
        <f>IF($BC539="","",MID($BC539,FIND("~",SUBSTITUTE($BC539,"-","~",2))+1,FIND("~",SUBSTITUTE($BC539,"-","~",3))-FIND("~",SUBSTITUTE($BC539,"-","~",2))-1))</f>
        <v/>
      </c>
      <c r="BF539">
        <f>IF($BD539="","",IFERROR(VLOOKUP($BD539,DECODE!$A$3:$C$8,3,FALSE),"?"))</f>
        <v/>
      </c>
      <c r="BG539">
        <f>IF($BE539="","",IFERROR(VLOOKUP($BD539&amp;"-"&amp;$BE539,DECODE!$E$3:$F$21,2,FALSE),"?"))</f>
        <v/>
      </c>
      <c r="BH539">
        <f>IF($BC539="","",IFERROR(VALUE(RIGHT($BC539,3)),""))</f>
        <v/>
      </c>
      <c r="BI539">
        <f>IF($V539="","",IFERROR(IF(ISNUMBER($V539),$V539,DATEVALUE(TRIM($V539))),""))</f>
        <v/>
      </c>
      <c r="BJ539">
        <f>IF($BI539="","",IF(MONTH($BI539)&gt;=12,"Cold Winter",IF(MONTH($BI539)&gt;=10,"Post-Monsoon",IF(MONTH($BI539)&gt;=6,"Hot Humid",IF(MONTH($BI539)&gt;=3,"Hot Dry","Cold Winter")))))</f>
        <v/>
      </c>
      <c r="BK539">
        <f>IF($BD539="","",IFERROR(VLOOKUP($BD539,DECODE!$A$3:$C$8,2,FALSE),"?"))</f>
        <v/>
      </c>
      <c r="BL539">
        <f>IF($Q539="","",UPPER(TRIM(LEFT($Q539&amp;",",FIND(",",$Q539&amp;",")-1))))</f>
        <v/>
      </c>
      <c r="BM539">
        <f>IF($BL539="","",MID($BL539,4,FIND("~",SUBSTITUTE($BL539,"-","~",2))-4))</f>
        <v/>
      </c>
      <c r="BN539">
        <f>IF($BL539="","",MID($BL539,FIND("~",SUBSTITUTE($BL539,"-","~",2))+1,FIND("~",SUBSTITUTE($BL539,"-","~",3))-FIND("~",SUBSTITUTE($BL539,"-","~",2))-1))</f>
        <v/>
      </c>
      <c r="BO539">
        <f>IF($BM539="","",IFERROR(VLOOKUP($BM539,DECODE!$A$3:$C$8,3,FALSE),"?"))</f>
        <v/>
      </c>
      <c r="BP539">
        <f>IF($BN539="","",IFERROR(VLOOKUP($BM539&amp;"-"&amp;$BN539,DECODE!$E$3:$F$21,2,FALSE),"?"))</f>
        <v/>
      </c>
      <c r="BQ539">
        <f>IF($BL539="","",IFERROR(VALUE(RIGHT($BL539,3)),""))</f>
        <v/>
      </c>
      <c r="BR539">
        <f>IF($W539="","",IFERROR(IF(ISNUMBER($W539),$W539,DATEVALUE(TRIM($W539))),""))</f>
        <v/>
      </c>
      <c r="BS539">
        <f>IF($BR539="","",IF(MONTH($BR539)&gt;=12,"Cold Winter",IF(MONTH($BR539)&gt;=10,"Post-Monsoon",IF(MONTH($BR539)&gt;=6,"Hot Humid",IF(MONTH($BR539)&gt;=3,"Hot Dry","Cold Winter")))))</f>
        <v/>
      </c>
      <c r="BT539">
        <f>IF($BM539="","",IFERROR(VLOOKUP($BM539,DECODE!$A$3:$C$8,2,FALSE),"?"))</f>
        <v/>
      </c>
      <c r="BU539">
        <f>IF($R539="","",UPPER(TRIM(LEFT($R539&amp;",",FIND(",",$R539&amp;",")-1))))</f>
        <v/>
      </c>
      <c r="BV539">
        <f>IF($BU539="","",MID($BU539,4,FIND("~",SUBSTITUTE($BU539,"-","~",2))-4))</f>
        <v/>
      </c>
      <c r="BW539">
        <f>IF($BU539="","",MID($BU539,FIND("~",SUBSTITUTE($BU539,"-","~",2))+1,FIND("~",SUBSTITUTE($BU539,"-","~",3))-FIND("~",SUBSTITUTE($BU539,"-","~",2))-1))</f>
        <v/>
      </c>
      <c r="BX539">
        <f>IF($BV539="","",IFERROR(VLOOKUP($BV539,DECODE!$A$3:$C$8,3,FALSE),"?"))</f>
        <v/>
      </c>
      <c r="BY539">
        <f>IF($BW539="","",IFERROR(VLOOKUP($BV539&amp;"-"&amp;$BW539,DECODE!$E$3:$F$21,2,FALSE),"?"))</f>
        <v/>
      </c>
      <c r="BZ539">
        <f>IF($BU539="","",IFERROR(VALUE(RIGHT($BU539,3)),""))</f>
        <v/>
      </c>
      <c r="CA539">
        <f>IF($X539="","",IFERROR(IF(ISNUMBER($X539),$X539,DATEVALUE(TRIM($X539))),""))</f>
        <v/>
      </c>
      <c r="CB539">
        <f>IF($CA539="","",IF(MONTH($CA539)&gt;=12,"Cold Winter",IF(MONTH($CA539)&gt;=10,"Post-Monsoon",IF(MONTH($CA539)&gt;=6,"Hot Humid",IF(MONTH($CA539)&gt;=3,"Hot Dry","Cold Winter")))))</f>
        <v/>
      </c>
      <c r="CC539">
        <f>IF($BV539="","",IFERROR(VLOOKUP($BV539,DECODE!$A$3:$C$8,2,FALSE),"?"))</f>
        <v/>
      </c>
      <c r="CD539">
        <f>IF($S539="","",UPPER(TRIM(LEFT($S539&amp;",",FIND(",",$S539&amp;",")-1))))</f>
        <v/>
      </c>
      <c r="CE539">
        <f>IF($CD539="","",MID($CD539,4,FIND("~",SUBSTITUTE($CD539,"-","~",2))-4))</f>
        <v/>
      </c>
      <c r="CF539">
        <f>IF($CD539="","",MID($CD539,FIND("~",SUBSTITUTE($CD539,"-","~",2))+1,FIND("~",SUBSTITUTE($CD539,"-","~",3))-FIND("~",SUBSTITUTE($CD539,"-","~",2))-1))</f>
        <v/>
      </c>
      <c r="CG539">
        <f>IF($CE539="","",IFERROR(VLOOKUP($CE539,DECODE!$A$3:$C$8,3,FALSE),"?"))</f>
        <v/>
      </c>
      <c r="CH539">
        <f>IF($CF539="","",IFERROR(VLOOKUP($CE539&amp;"-"&amp;$CF539,DECODE!$E$3:$F$21,2,FALSE),"?"))</f>
        <v/>
      </c>
      <c r="CI539">
        <f>IF($CD539="","",IFERROR(VALUE(RIGHT($CD539,3)),""))</f>
        <v/>
      </c>
      <c r="CJ539">
        <f>IF($Y539="","",IFERROR(IF(ISNUMBER($Y539),$Y539,DATEVALUE(TRIM($Y539))),""))</f>
        <v/>
      </c>
      <c r="CK539">
        <f>IF($CJ539="","",IF(MONTH($CJ539)&gt;=12,"Cold Winter",IF(MONTH($CJ539)&gt;=10,"Post-Monsoon",IF(MONTH($CJ539)&gt;=6,"Hot Humid",IF(MONTH($CJ539)&gt;=3,"Hot Dry","Cold Winter")))))</f>
        <v/>
      </c>
      <c r="CL539">
        <f>IF($CE539="","",IFERROR(VLOOKUP($CE539,DECODE!$A$3:$C$8,2,FALSE),"?"))</f>
        <v/>
      </c>
      <c r="CM539">
        <f>IF($AN539="","",AN539)</f>
        <v/>
      </c>
      <c r="CN539">
        <f>IF($AO539="","",AO539)</f>
        <v/>
      </c>
      <c r="CO539">
        <f>IF($AP539="","",AP539)</f>
        <v/>
      </c>
      <c r="CP539">
        <f>IF($CM539="","",IF($CM539="Aloe Vera Gel","Aloe Vera Gel "&amp;$CO539&amp;"g",CN539&amp;" "&amp;$CO539&amp;"g"))</f>
        <v/>
      </c>
      <c r="CQ539">
        <f>IF($AT539="",0,1)</f>
        <v/>
      </c>
      <c r="CR539">
        <f>IF($CQ539=0,"",AW539)</f>
        <v/>
      </c>
      <c r="CS539">
        <f>IF($CQ539=0,"",AX539)</f>
        <v/>
      </c>
      <c r="CT539">
        <f>IF($CQ539=0,"",AY539)</f>
        <v/>
      </c>
      <c r="CU539">
        <f>IF($CR539="","",IF($CR539="Aloe Vera Gel","Aloe Vera Gel "&amp;$CT539&amp;"g",CS539&amp;" "&amp;$CT539&amp;"g"))</f>
        <v/>
      </c>
      <c r="CV539">
        <f>IF($CQ539=0,"",IF($CP539=$CU539,"Repeat Exact",IF($CT539&gt;$CO539,"Upsized",IF($CT539&lt;$CO539,"Downsized",IF($CM539&lt;&gt;$CR539,"Lateral","Same Size Diff Variant")))))</f>
        <v/>
      </c>
      <c r="CW539">
        <f>IF($CQ539=0,"",AZ539-AQ539)</f>
        <v/>
      </c>
      <c r="CX539">
        <f>IF($CQ539=0,0,IF(CS539=CN539,1,0))</f>
        <v/>
      </c>
      <c r="CY539">
        <f>IF($CQ539=0,0,IF(CR539=CM539,1,0))</f>
        <v/>
      </c>
      <c r="CZ539">
        <f>IF($A539="","",IF(AND(IF(DASHBOARD!$C$4="All",TRUE,$CM539=DASHBOARD!$C$4),IF(DASHBOARD!$C$6="All",TRUE,$CP539=DASHBOARD!$C$6),IF(DASHBOARD!$C$8="All",TRUE,$AF539&gt;=DASHBOARD!$C$8),IF(DASHBOARD!$C$10="All",TRUE,$AF539&lt;=DASHBOARD!$C$10),IF(DASHBOARD!$C$12="All",TRUE,$AH539=VALUE(DASHBOARD!$C$12)),IF(DASHBOARD!$C$14="All",TRUE,$AJ539=DASHBOARD!$C$14)),1,0))</f>
        <v/>
      </c>
    </row>
    <row r="540">
      <c r="A540" t="n">
        <v>240775</v>
      </c>
      <c r="B540" t="inlineStr">
        <is>
          <t>Face Malai</t>
        </is>
      </c>
      <c r="H540" t="inlineStr">
        <is>
          <t>Flax Walnut (Cold) 35+ Face Malai</t>
        </is>
      </c>
      <c r="N540" t="inlineStr">
        <is>
          <t>FC-CWDM-FW-030</t>
        </is>
      </c>
      <c r="T540" t="inlineStr">
        <is>
          <t>Nov 16, 2025</t>
        </is>
      </c>
      <c r="AE540" t="inlineStr">
        <is>
          <t>New Delhi</t>
        </is>
      </c>
      <c r="AF540" t="inlineStr">
        <is>
          <t>2025-11</t>
        </is>
      </c>
      <c r="AG540" t="n">
        <v>11</v>
      </c>
      <c r="AH540" t="n">
        <v>1</v>
      </c>
      <c r="AI540" t="n">
        <v>0</v>
      </c>
      <c r="AJ540">
        <f>IF($AE540="","",IFERROR(VLOOKUP(TRIM($AE540),DECODE!$H$3:$I$60,2,FALSE),"Rest of India"))</f>
        <v/>
      </c>
      <c r="AK540">
        <f>IF($N540="","",UPPER(TRIM(LEFT($N540&amp;",",FIND(",",$N540&amp;",")-1))))</f>
        <v/>
      </c>
      <c r="AL540">
        <f>IF($AK540="","",MID($AK540,4,FIND("~",SUBSTITUTE($AK540,"-","~",2))-4))</f>
        <v/>
      </c>
      <c r="AM540">
        <f>IF($AK540="","",MID($AK540,FIND("~",SUBSTITUTE($AK540,"-","~",2))+1,FIND("~",SUBSTITUTE($AK540,"-","~",3))-FIND("~",SUBSTITUTE($AK540,"-","~",2))-1))</f>
        <v/>
      </c>
      <c r="AN540">
        <f>IF($AL540="","",IFERROR(VLOOKUP($AL540,DECODE!$A$3:$C$8,3,FALSE),"?"))</f>
        <v/>
      </c>
      <c r="AO540">
        <f>IF($AM540="","",IFERROR(VLOOKUP($AL540&amp;"-"&amp;$AM540,DECODE!$E$3:$F$21,2,FALSE),"?"))</f>
        <v/>
      </c>
      <c r="AP540">
        <f>IF($AK540="","",IFERROR(VALUE(RIGHT($AK540,3)),""))</f>
        <v/>
      </c>
      <c r="AQ540">
        <f>IF($T540="","",IFERROR(IF(ISNUMBER($T540),$T540,DATEVALUE(TRIM($T540))),""))</f>
        <v/>
      </c>
      <c r="AR540">
        <f>IF($AQ540="","",IF(MONTH($AQ540)&gt;=12,"Cold Winter",IF(MONTH($AQ540)&gt;=10,"Post-Monsoon",IF(MONTH($AQ540)&gt;=6,"Hot Humid",IF(MONTH($AQ540)&gt;=3,"Hot Dry","Cold Winter")))))</f>
        <v/>
      </c>
      <c r="AS540">
        <f>IF($AL540="","",IFERROR(VLOOKUP($AL540,DECODE!$A$3:$C$8,2,FALSE),"?"))</f>
        <v/>
      </c>
      <c r="AT540">
        <f>IF($O540="","",UPPER(TRIM(LEFT($O540&amp;",",FIND(",",$O540&amp;",")-1))))</f>
        <v/>
      </c>
      <c r="AU540">
        <f>IF($AT540="","",MID($AT540,4,FIND("~",SUBSTITUTE($AT540,"-","~",2))-4))</f>
        <v/>
      </c>
      <c r="AV540">
        <f>IF($AT540="","",MID($AT540,FIND("~",SUBSTITUTE($AT540,"-","~",2))+1,FIND("~",SUBSTITUTE($AT540,"-","~",3))-FIND("~",SUBSTITUTE($AT540,"-","~",2))-1))</f>
        <v/>
      </c>
      <c r="AW540">
        <f>IF($AU540="","",IFERROR(VLOOKUP($AU540,DECODE!$A$3:$C$8,3,FALSE),"?"))</f>
        <v/>
      </c>
      <c r="AX540">
        <f>IF($AV540="","",IFERROR(VLOOKUP($AU540&amp;"-"&amp;$AV540,DECODE!$E$3:$F$21,2,FALSE),"?"))</f>
        <v/>
      </c>
      <c r="AY540">
        <f>IF($AT540="","",IFERROR(VALUE(RIGHT($AT540,3)),""))</f>
        <v/>
      </c>
      <c r="AZ540">
        <f>IF($U540="","",IFERROR(IF(ISNUMBER($U540),$U540,DATEVALUE(TRIM($U540))),""))</f>
        <v/>
      </c>
      <c r="BA540">
        <f>IF($AZ540="","",IF(MONTH($AZ540)&gt;=12,"Cold Winter",IF(MONTH($AZ540)&gt;=10,"Post-Monsoon",IF(MONTH($AZ540)&gt;=6,"Hot Humid",IF(MONTH($AZ540)&gt;=3,"Hot Dry","Cold Winter")))))</f>
        <v/>
      </c>
      <c r="BB540">
        <f>IF($AU540="","",IFERROR(VLOOKUP($AU540,DECODE!$A$3:$C$8,2,FALSE),"?"))</f>
        <v/>
      </c>
      <c r="BC540">
        <f>IF($P540="","",UPPER(TRIM(LEFT($P540&amp;",",FIND(",",$P540&amp;",")-1))))</f>
        <v/>
      </c>
      <c r="BD540">
        <f>IF($BC540="","",MID($BC540,4,FIND("~",SUBSTITUTE($BC540,"-","~",2))-4))</f>
        <v/>
      </c>
      <c r="BE540">
        <f>IF($BC540="","",MID($BC540,FIND("~",SUBSTITUTE($BC540,"-","~",2))+1,FIND("~",SUBSTITUTE($BC540,"-","~",3))-FIND("~",SUBSTITUTE($BC540,"-","~",2))-1))</f>
        <v/>
      </c>
      <c r="BF540">
        <f>IF($BD540="","",IFERROR(VLOOKUP($BD540,DECODE!$A$3:$C$8,3,FALSE),"?"))</f>
        <v/>
      </c>
      <c r="BG540">
        <f>IF($BE540="","",IFERROR(VLOOKUP($BD540&amp;"-"&amp;$BE540,DECODE!$E$3:$F$21,2,FALSE),"?"))</f>
        <v/>
      </c>
      <c r="BH540">
        <f>IF($BC540="","",IFERROR(VALUE(RIGHT($BC540,3)),""))</f>
        <v/>
      </c>
      <c r="BI540">
        <f>IF($V540="","",IFERROR(IF(ISNUMBER($V540),$V540,DATEVALUE(TRIM($V540))),""))</f>
        <v/>
      </c>
      <c r="BJ540">
        <f>IF($BI540="","",IF(MONTH($BI540)&gt;=12,"Cold Winter",IF(MONTH($BI540)&gt;=10,"Post-Monsoon",IF(MONTH($BI540)&gt;=6,"Hot Humid",IF(MONTH($BI540)&gt;=3,"Hot Dry","Cold Winter")))))</f>
        <v/>
      </c>
      <c r="BK540">
        <f>IF($BD540="","",IFERROR(VLOOKUP($BD540,DECODE!$A$3:$C$8,2,FALSE),"?"))</f>
        <v/>
      </c>
      <c r="BL540">
        <f>IF($Q540="","",UPPER(TRIM(LEFT($Q540&amp;",",FIND(",",$Q540&amp;",")-1))))</f>
        <v/>
      </c>
      <c r="BM540">
        <f>IF($BL540="","",MID($BL540,4,FIND("~",SUBSTITUTE($BL540,"-","~",2))-4))</f>
        <v/>
      </c>
      <c r="BN540">
        <f>IF($BL540="","",MID($BL540,FIND("~",SUBSTITUTE($BL540,"-","~",2))+1,FIND("~",SUBSTITUTE($BL540,"-","~",3))-FIND("~",SUBSTITUTE($BL540,"-","~",2))-1))</f>
        <v/>
      </c>
      <c r="BO540">
        <f>IF($BM540="","",IFERROR(VLOOKUP($BM540,DECODE!$A$3:$C$8,3,FALSE),"?"))</f>
        <v/>
      </c>
      <c r="BP540">
        <f>IF($BN540="","",IFERROR(VLOOKUP($BM540&amp;"-"&amp;$BN540,DECODE!$E$3:$F$21,2,FALSE),"?"))</f>
        <v/>
      </c>
      <c r="BQ540">
        <f>IF($BL540="","",IFERROR(VALUE(RIGHT($BL540,3)),""))</f>
        <v/>
      </c>
      <c r="BR540">
        <f>IF($W540="","",IFERROR(IF(ISNUMBER($W540),$W540,DATEVALUE(TRIM($W540))),""))</f>
        <v/>
      </c>
      <c r="BS540">
        <f>IF($BR540="","",IF(MONTH($BR540)&gt;=12,"Cold Winter",IF(MONTH($BR540)&gt;=10,"Post-Monsoon",IF(MONTH($BR540)&gt;=6,"Hot Humid",IF(MONTH($BR540)&gt;=3,"Hot Dry","Cold Winter")))))</f>
        <v/>
      </c>
      <c r="BT540">
        <f>IF($BM540="","",IFERROR(VLOOKUP($BM540,DECODE!$A$3:$C$8,2,FALSE),"?"))</f>
        <v/>
      </c>
      <c r="BU540">
        <f>IF($R540="","",UPPER(TRIM(LEFT($R540&amp;",",FIND(",",$R540&amp;",")-1))))</f>
        <v/>
      </c>
      <c r="BV540">
        <f>IF($BU540="","",MID($BU540,4,FIND("~",SUBSTITUTE($BU540,"-","~",2))-4))</f>
        <v/>
      </c>
      <c r="BW540">
        <f>IF($BU540="","",MID($BU540,FIND("~",SUBSTITUTE($BU540,"-","~",2))+1,FIND("~",SUBSTITUTE($BU540,"-","~",3))-FIND("~",SUBSTITUTE($BU540,"-","~",2))-1))</f>
        <v/>
      </c>
      <c r="BX540">
        <f>IF($BV540="","",IFERROR(VLOOKUP($BV540,DECODE!$A$3:$C$8,3,FALSE),"?"))</f>
        <v/>
      </c>
      <c r="BY540">
        <f>IF($BW540="","",IFERROR(VLOOKUP($BV540&amp;"-"&amp;$BW540,DECODE!$E$3:$F$21,2,FALSE),"?"))</f>
        <v/>
      </c>
      <c r="BZ540">
        <f>IF($BU540="","",IFERROR(VALUE(RIGHT($BU540,3)),""))</f>
        <v/>
      </c>
      <c r="CA540">
        <f>IF($X540="","",IFERROR(IF(ISNUMBER($X540),$X540,DATEVALUE(TRIM($X540))),""))</f>
        <v/>
      </c>
      <c r="CB540">
        <f>IF($CA540="","",IF(MONTH($CA540)&gt;=12,"Cold Winter",IF(MONTH($CA540)&gt;=10,"Post-Monsoon",IF(MONTH($CA540)&gt;=6,"Hot Humid",IF(MONTH($CA540)&gt;=3,"Hot Dry","Cold Winter")))))</f>
        <v/>
      </c>
      <c r="CC540">
        <f>IF($BV540="","",IFERROR(VLOOKUP($BV540,DECODE!$A$3:$C$8,2,FALSE),"?"))</f>
        <v/>
      </c>
      <c r="CD540">
        <f>IF($S540="","",UPPER(TRIM(LEFT($S540&amp;",",FIND(",",$S540&amp;",")-1))))</f>
        <v/>
      </c>
      <c r="CE540">
        <f>IF($CD540="","",MID($CD540,4,FIND("~",SUBSTITUTE($CD540,"-","~",2))-4))</f>
        <v/>
      </c>
      <c r="CF540">
        <f>IF($CD540="","",MID($CD540,FIND("~",SUBSTITUTE($CD540,"-","~",2))+1,FIND("~",SUBSTITUTE($CD540,"-","~",3))-FIND("~",SUBSTITUTE($CD540,"-","~",2))-1))</f>
        <v/>
      </c>
      <c r="CG540">
        <f>IF($CE540="","",IFERROR(VLOOKUP($CE540,DECODE!$A$3:$C$8,3,FALSE),"?"))</f>
        <v/>
      </c>
      <c r="CH540">
        <f>IF($CF540="","",IFERROR(VLOOKUP($CE540&amp;"-"&amp;$CF540,DECODE!$E$3:$F$21,2,FALSE),"?"))</f>
        <v/>
      </c>
      <c r="CI540">
        <f>IF($CD540="","",IFERROR(VALUE(RIGHT($CD540,3)),""))</f>
        <v/>
      </c>
      <c r="CJ540">
        <f>IF($Y540="","",IFERROR(IF(ISNUMBER($Y540),$Y540,DATEVALUE(TRIM($Y540))),""))</f>
        <v/>
      </c>
      <c r="CK540">
        <f>IF($CJ540="","",IF(MONTH($CJ540)&gt;=12,"Cold Winter",IF(MONTH($CJ540)&gt;=10,"Post-Monsoon",IF(MONTH($CJ540)&gt;=6,"Hot Humid",IF(MONTH($CJ540)&gt;=3,"Hot Dry","Cold Winter")))))</f>
        <v/>
      </c>
      <c r="CL540">
        <f>IF($CE540="","",IFERROR(VLOOKUP($CE540,DECODE!$A$3:$C$8,2,FALSE),"?"))</f>
        <v/>
      </c>
      <c r="CM540">
        <f>IF($AN540="","",AN540)</f>
        <v/>
      </c>
      <c r="CN540">
        <f>IF($AO540="","",AO540)</f>
        <v/>
      </c>
      <c r="CO540">
        <f>IF($AP540="","",AP540)</f>
        <v/>
      </c>
      <c r="CP540">
        <f>IF($CM540="","",IF($CM540="Aloe Vera Gel","Aloe Vera Gel "&amp;$CO540&amp;"g",CN540&amp;" "&amp;$CO540&amp;"g"))</f>
        <v/>
      </c>
      <c r="CQ540">
        <f>IF($AT540="",0,1)</f>
        <v/>
      </c>
      <c r="CR540">
        <f>IF($CQ540=0,"",AW540)</f>
        <v/>
      </c>
      <c r="CS540">
        <f>IF($CQ540=0,"",AX540)</f>
        <v/>
      </c>
      <c r="CT540">
        <f>IF($CQ540=0,"",AY540)</f>
        <v/>
      </c>
      <c r="CU540">
        <f>IF($CR540="","",IF($CR540="Aloe Vera Gel","Aloe Vera Gel "&amp;$CT540&amp;"g",CS540&amp;" "&amp;$CT540&amp;"g"))</f>
        <v/>
      </c>
      <c r="CV540">
        <f>IF($CQ540=0,"",IF($CP540=$CU540,"Repeat Exact",IF($CT540&gt;$CO540,"Upsized",IF($CT540&lt;$CO540,"Downsized",IF($CM540&lt;&gt;$CR540,"Lateral","Same Size Diff Variant")))))</f>
        <v/>
      </c>
      <c r="CW540">
        <f>IF($CQ540=0,"",AZ540-AQ540)</f>
        <v/>
      </c>
      <c r="CX540">
        <f>IF($CQ540=0,0,IF(CS540=CN540,1,0))</f>
        <v/>
      </c>
      <c r="CY540">
        <f>IF($CQ540=0,0,IF(CR540=CM540,1,0))</f>
        <v/>
      </c>
      <c r="CZ540">
        <f>IF($A540="","",IF(AND(IF(DASHBOARD!$C$4="All",TRUE,$CM540=DASHBOARD!$C$4),IF(DASHBOARD!$C$6="All",TRUE,$CP540=DASHBOARD!$C$6),IF(DASHBOARD!$C$8="All",TRUE,$AF540&gt;=DASHBOARD!$C$8),IF(DASHBOARD!$C$10="All",TRUE,$AF540&lt;=DASHBOARD!$C$10),IF(DASHBOARD!$C$12="All",TRUE,$AH540=VALUE(DASHBOARD!$C$12)),IF(DASHBOARD!$C$14="All",TRUE,$AJ540=DASHBOARD!$C$14)),1,0))</f>
        <v/>
      </c>
    </row>
    <row r="541">
      <c r="A541" t="n">
        <v>241127</v>
      </c>
      <c r="B541" t="inlineStr">
        <is>
          <t>Face Malai</t>
        </is>
      </c>
      <c r="H541" t="inlineStr">
        <is>
          <t>Winter Blackseed Tulsi (Cold) 13 - 19 Yrs Face Malai</t>
        </is>
      </c>
      <c r="N541" t="inlineStr">
        <is>
          <t>FC-CWDM-BT-030</t>
        </is>
      </c>
      <c r="T541" t="inlineStr">
        <is>
          <t>Oct 29, 2025</t>
        </is>
      </c>
      <c r="AE541" t="inlineStr">
        <is>
          <t>Bhopal</t>
        </is>
      </c>
      <c r="AF541" t="inlineStr">
        <is>
          <t>2025-10</t>
        </is>
      </c>
      <c r="AG541" t="n">
        <v>10</v>
      </c>
      <c r="AH541" t="n">
        <v>1</v>
      </c>
      <c r="AI541" t="n">
        <v>0</v>
      </c>
      <c r="AJ541">
        <f>IF($AE541="","",IFERROR(VLOOKUP(TRIM($AE541),DECODE!$H$3:$I$60,2,FALSE),"Rest of India"))</f>
        <v/>
      </c>
      <c r="AK541">
        <f>IF($N541="","",UPPER(TRIM(LEFT($N541&amp;",",FIND(",",$N541&amp;",")-1))))</f>
        <v/>
      </c>
      <c r="AL541">
        <f>IF($AK541="","",MID($AK541,4,FIND("~",SUBSTITUTE($AK541,"-","~",2))-4))</f>
        <v/>
      </c>
      <c r="AM541">
        <f>IF($AK541="","",MID($AK541,FIND("~",SUBSTITUTE($AK541,"-","~",2))+1,FIND("~",SUBSTITUTE($AK541,"-","~",3))-FIND("~",SUBSTITUTE($AK541,"-","~",2))-1))</f>
        <v/>
      </c>
      <c r="AN541">
        <f>IF($AL541="","",IFERROR(VLOOKUP($AL541,DECODE!$A$3:$C$8,3,FALSE),"?"))</f>
        <v/>
      </c>
      <c r="AO541">
        <f>IF($AM541="","",IFERROR(VLOOKUP($AL541&amp;"-"&amp;$AM541,DECODE!$E$3:$F$21,2,FALSE),"?"))</f>
        <v/>
      </c>
      <c r="AP541">
        <f>IF($AK541="","",IFERROR(VALUE(RIGHT($AK541,3)),""))</f>
        <v/>
      </c>
      <c r="AQ541">
        <f>IF($T541="","",IFERROR(IF(ISNUMBER($T541),$T541,DATEVALUE(TRIM($T541))),""))</f>
        <v/>
      </c>
      <c r="AR541">
        <f>IF($AQ541="","",IF(MONTH($AQ541)&gt;=12,"Cold Winter",IF(MONTH($AQ541)&gt;=10,"Post-Monsoon",IF(MONTH($AQ541)&gt;=6,"Hot Humid",IF(MONTH($AQ541)&gt;=3,"Hot Dry","Cold Winter")))))</f>
        <v/>
      </c>
      <c r="AS541">
        <f>IF($AL541="","",IFERROR(VLOOKUP($AL541,DECODE!$A$3:$C$8,2,FALSE),"?"))</f>
        <v/>
      </c>
      <c r="AT541">
        <f>IF($O541="","",UPPER(TRIM(LEFT($O541&amp;",",FIND(",",$O541&amp;",")-1))))</f>
        <v/>
      </c>
      <c r="AU541">
        <f>IF($AT541="","",MID($AT541,4,FIND("~",SUBSTITUTE($AT541,"-","~",2))-4))</f>
        <v/>
      </c>
      <c r="AV541">
        <f>IF($AT541="","",MID($AT541,FIND("~",SUBSTITUTE($AT541,"-","~",2))+1,FIND("~",SUBSTITUTE($AT541,"-","~",3))-FIND("~",SUBSTITUTE($AT541,"-","~",2))-1))</f>
        <v/>
      </c>
      <c r="AW541">
        <f>IF($AU541="","",IFERROR(VLOOKUP($AU541,DECODE!$A$3:$C$8,3,FALSE),"?"))</f>
        <v/>
      </c>
      <c r="AX541">
        <f>IF($AV541="","",IFERROR(VLOOKUP($AU541&amp;"-"&amp;$AV541,DECODE!$E$3:$F$21,2,FALSE),"?"))</f>
        <v/>
      </c>
      <c r="AY541">
        <f>IF($AT541="","",IFERROR(VALUE(RIGHT($AT541,3)),""))</f>
        <v/>
      </c>
      <c r="AZ541">
        <f>IF($U541="","",IFERROR(IF(ISNUMBER($U541),$U541,DATEVALUE(TRIM($U541))),""))</f>
        <v/>
      </c>
      <c r="BA541">
        <f>IF($AZ541="","",IF(MONTH($AZ541)&gt;=12,"Cold Winter",IF(MONTH($AZ541)&gt;=10,"Post-Monsoon",IF(MONTH($AZ541)&gt;=6,"Hot Humid",IF(MONTH($AZ541)&gt;=3,"Hot Dry","Cold Winter")))))</f>
        <v/>
      </c>
      <c r="BB541">
        <f>IF($AU541="","",IFERROR(VLOOKUP($AU541,DECODE!$A$3:$C$8,2,FALSE),"?"))</f>
        <v/>
      </c>
      <c r="BC541">
        <f>IF($P541="","",UPPER(TRIM(LEFT($P541&amp;",",FIND(",",$P541&amp;",")-1))))</f>
        <v/>
      </c>
      <c r="BD541">
        <f>IF($BC541="","",MID($BC541,4,FIND("~",SUBSTITUTE($BC541,"-","~",2))-4))</f>
        <v/>
      </c>
      <c r="BE541">
        <f>IF($BC541="","",MID($BC541,FIND("~",SUBSTITUTE($BC541,"-","~",2))+1,FIND("~",SUBSTITUTE($BC541,"-","~",3))-FIND("~",SUBSTITUTE($BC541,"-","~",2))-1))</f>
        <v/>
      </c>
      <c r="BF541">
        <f>IF($BD541="","",IFERROR(VLOOKUP($BD541,DECODE!$A$3:$C$8,3,FALSE),"?"))</f>
        <v/>
      </c>
      <c r="BG541">
        <f>IF($BE541="","",IFERROR(VLOOKUP($BD541&amp;"-"&amp;$BE541,DECODE!$E$3:$F$21,2,FALSE),"?"))</f>
        <v/>
      </c>
      <c r="BH541">
        <f>IF($BC541="","",IFERROR(VALUE(RIGHT($BC541,3)),""))</f>
        <v/>
      </c>
      <c r="BI541">
        <f>IF($V541="","",IFERROR(IF(ISNUMBER($V541),$V541,DATEVALUE(TRIM($V541))),""))</f>
        <v/>
      </c>
      <c r="BJ541">
        <f>IF($BI541="","",IF(MONTH($BI541)&gt;=12,"Cold Winter",IF(MONTH($BI541)&gt;=10,"Post-Monsoon",IF(MONTH($BI541)&gt;=6,"Hot Humid",IF(MONTH($BI541)&gt;=3,"Hot Dry","Cold Winter")))))</f>
        <v/>
      </c>
      <c r="BK541">
        <f>IF($BD541="","",IFERROR(VLOOKUP($BD541,DECODE!$A$3:$C$8,2,FALSE),"?"))</f>
        <v/>
      </c>
      <c r="BL541">
        <f>IF($Q541="","",UPPER(TRIM(LEFT($Q541&amp;",",FIND(",",$Q541&amp;",")-1))))</f>
        <v/>
      </c>
      <c r="BM541">
        <f>IF($BL541="","",MID($BL541,4,FIND("~",SUBSTITUTE($BL541,"-","~",2))-4))</f>
        <v/>
      </c>
      <c r="BN541">
        <f>IF($BL541="","",MID($BL541,FIND("~",SUBSTITUTE($BL541,"-","~",2))+1,FIND("~",SUBSTITUTE($BL541,"-","~",3))-FIND("~",SUBSTITUTE($BL541,"-","~",2))-1))</f>
        <v/>
      </c>
      <c r="BO541">
        <f>IF($BM541="","",IFERROR(VLOOKUP($BM541,DECODE!$A$3:$C$8,3,FALSE),"?"))</f>
        <v/>
      </c>
      <c r="BP541">
        <f>IF($BN541="","",IFERROR(VLOOKUP($BM541&amp;"-"&amp;$BN541,DECODE!$E$3:$F$21,2,FALSE),"?"))</f>
        <v/>
      </c>
      <c r="BQ541">
        <f>IF($BL541="","",IFERROR(VALUE(RIGHT($BL541,3)),""))</f>
        <v/>
      </c>
      <c r="BR541">
        <f>IF($W541="","",IFERROR(IF(ISNUMBER($W541),$W541,DATEVALUE(TRIM($W541))),""))</f>
        <v/>
      </c>
      <c r="BS541">
        <f>IF($BR541="","",IF(MONTH($BR541)&gt;=12,"Cold Winter",IF(MONTH($BR541)&gt;=10,"Post-Monsoon",IF(MONTH($BR541)&gt;=6,"Hot Humid",IF(MONTH($BR541)&gt;=3,"Hot Dry","Cold Winter")))))</f>
        <v/>
      </c>
      <c r="BT541">
        <f>IF($BM541="","",IFERROR(VLOOKUP($BM541,DECODE!$A$3:$C$8,2,FALSE),"?"))</f>
        <v/>
      </c>
      <c r="BU541">
        <f>IF($R541="","",UPPER(TRIM(LEFT($R541&amp;",",FIND(",",$R541&amp;",")-1))))</f>
        <v/>
      </c>
      <c r="BV541">
        <f>IF($BU541="","",MID($BU541,4,FIND("~",SUBSTITUTE($BU541,"-","~",2))-4))</f>
        <v/>
      </c>
      <c r="BW541">
        <f>IF($BU541="","",MID($BU541,FIND("~",SUBSTITUTE($BU541,"-","~",2))+1,FIND("~",SUBSTITUTE($BU541,"-","~",3))-FIND("~",SUBSTITUTE($BU541,"-","~",2))-1))</f>
        <v/>
      </c>
      <c r="BX541">
        <f>IF($BV541="","",IFERROR(VLOOKUP($BV541,DECODE!$A$3:$C$8,3,FALSE),"?"))</f>
        <v/>
      </c>
      <c r="BY541">
        <f>IF($BW541="","",IFERROR(VLOOKUP($BV541&amp;"-"&amp;$BW541,DECODE!$E$3:$F$21,2,FALSE),"?"))</f>
        <v/>
      </c>
      <c r="BZ541">
        <f>IF($BU541="","",IFERROR(VALUE(RIGHT($BU541,3)),""))</f>
        <v/>
      </c>
      <c r="CA541">
        <f>IF($X541="","",IFERROR(IF(ISNUMBER($X541),$X541,DATEVALUE(TRIM($X541))),""))</f>
        <v/>
      </c>
      <c r="CB541">
        <f>IF($CA541="","",IF(MONTH($CA541)&gt;=12,"Cold Winter",IF(MONTH($CA541)&gt;=10,"Post-Monsoon",IF(MONTH($CA541)&gt;=6,"Hot Humid",IF(MONTH($CA541)&gt;=3,"Hot Dry","Cold Winter")))))</f>
        <v/>
      </c>
      <c r="CC541">
        <f>IF($BV541="","",IFERROR(VLOOKUP($BV541,DECODE!$A$3:$C$8,2,FALSE),"?"))</f>
        <v/>
      </c>
      <c r="CD541">
        <f>IF($S541="","",UPPER(TRIM(LEFT($S541&amp;",",FIND(",",$S541&amp;",")-1))))</f>
        <v/>
      </c>
      <c r="CE541">
        <f>IF($CD541="","",MID($CD541,4,FIND("~",SUBSTITUTE($CD541,"-","~",2))-4))</f>
        <v/>
      </c>
      <c r="CF541">
        <f>IF($CD541="","",MID($CD541,FIND("~",SUBSTITUTE($CD541,"-","~",2))+1,FIND("~",SUBSTITUTE($CD541,"-","~",3))-FIND("~",SUBSTITUTE($CD541,"-","~",2))-1))</f>
        <v/>
      </c>
      <c r="CG541">
        <f>IF($CE541="","",IFERROR(VLOOKUP($CE541,DECODE!$A$3:$C$8,3,FALSE),"?"))</f>
        <v/>
      </c>
      <c r="CH541">
        <f>IF($CF541="","",IFERROR(VLOOKUP($CE541&amp;"-"&amp;$CF541,DECODE!$E$3:$F$21,2,FALSE),"?"))</f>
        <v/>
      </c>
      <c r="CI541">
        <f>IF($CD541="","",IFERROR(VALUE(RIGHT($CD541,3)),""))</f>
        <v/>
      </c>
      <c r="CJ541">
        <f>IF($Y541="","",IFERROR(IF(ISNUMBER($Y541),$Y541,DATEVALUE(TRIM($Y541))),""))</f>
        <v/>
      </c>
      <c r="CK541">
        <f>IF($CJ541="","",IF(MONTH($CJ541)&gt;=12,"Cold Winter",IF(MONTH($CJ541)&gt;=10,"Post-Monsoon",IF(MONTH($CJ541)&gt;=6,"Hot Humid",IF(MONTH($CJ541)&gt;=3,"Hot Dry","Cold Winter")))))</f>
        <v/>
      </c>
      <c r="CL541">
        <f>IF($CE541="","",IFERROR(VLOOKUP($CE541,DECODE!$A$3:$C$8,2,FALSE),"?"))</f>
        <v/>
      </c>
      <c r="CM541">
        <f>IF($AN541="","",AN541)</f>
        <v/>
      </c>
      <c r="CN541">
        <f>IF($AO541="","",AO541)</f>
        <v/>
      </c>
      <c r="CO541">
        <f>IF($AP541="","",AP541)</f>
        <v/>
      </c>
      <c r="CP541">
        <f>IF($CM541="","",IF($CM541="Aloe Vera Gel","Aloe Vera Gel "&amp;$CO541&amp;"g",CN541&amp;" "&amp;$CO541&amp;"g"))</f>
        <v/>
      </c>
      <c r="CQ541">
        <f>IF($AT541="",0,1)</f>
        <v/>
      </c>
      <c r="CR541">
        <f>IF($CQ541=0,"",AW541)</f>
        <v/>
      </c>
      <c r="CS541">
        <f>IF($CQ541=0,"",AX541)</f>
        <v/>
      </c>
      <c r="CT541">
        <f>IF($CQ541=0,"",AY541)</f>
        <v/>
      </c>
      <c r="CU541">
        <f>IF($CR541="","",IF($CR541="Aloe Vera Gel","Aloe Vera Gel "&amp;$CT541&amp;"g",CS541&amp;" "&amp;$CT541&amp;"g"))</f>
        <v/>
      </c>
      <c r="CV541">
        <f>IF($CQ541=0,"",IF($CP541=$CU541,"Repeat Exact",IF($CT541&gt;$CO541,"Upsized",IF($CT541&lt;$CO541,"Downsized",IF($CM541&lt;&gt;$CR541,"Lateral","Same Size Diff Variant")))))</f>
        <v/>
      </c>
      <c r="CW541">
        <f>IF($CQ541=0,"",AZ541-AQ541)</f>
        <v/>
      </c>
      <c r="CX541">
        <f>IF($CQ541=0,0,IF(CS541=CN541,1,0))</f>
        <v/>
      </c>
      <c r="CY541">
        <f>IF($CQ541=0,0,IF(CR541=CM541,1,0))</f>
        <v/>
      </c>
      <c r="CZ541">
        <f>IF($A541="","",IF(AND(IF(DASHBOARD!$C$4="All",TRUE,$CM541=DASHBOARD!$C$4),IF(DASHBOARD!$C$6="All",TRUE,$CP541=DASHBOARD!$C$6),IF(DASHBOARD!$C$8="All",TRUE,$AF541&gt;=DASHBOARD!$C$8),IF(DASHBOARD!$C$10="All",TRUE,$AF541&lt;=DASHBOARD!$C$10),IF(DASHBOARD!$C$12="All",TRUE,$AH541=VALUE(DASHBOARD!$C$12)),IF(DASHBOARD!$C$14="All",TRUE,$AJ541=DASHBOARD!$C$14)),1,0))</f>
        <v/>
      </c>
    </row>
    <row r="542">
      <c r="A542" t="n">
        <v>241521</v>
      </c>
      <c r="B542" t="inlineStr">
        <is>
          <t>Face Malai</t>
        </is>
      </c>
      <c r="H542" t="inlineStr">
        <is>
          <t>Flax Carrot (Hot Humid) 35+ Face Malai - 30g</t>
        </is>
      </c>
      <c r="N542" t="inlineStr">
        <is>
          <t>FC-HHDM-FC-030</t>
        </is>
      </c>
      <c r="T542" t="inlineStr">
        <is>
          <t>Mar 16, 2025</t>
        </is>
      </c>
      <c r="AE542" t="inlineStr">
        <is>
          <t>Mumbai</t>
        </is>
      </c>
      <c r="AF542" t="inlineStr">
        <is>
          <t>2025-03</t>
        </is>
      </c>
      <c r="AG542" t="n">
        <v>3</v>
      </c>
      <c r="AH542" t="n">
        <v>1</v>
      </c>
      <c r="AI542" t="n">
        <v>0</v>
      </c>
      <c r="AJ542">
        <f>IF($AE542="","",IFERROR(VLOOKUP(TRIM($AE542),DECODE!$H$3:$I$60,2,FALSE),"Rest of India"))</f>
        <v/>
      </c>
      <c r="AK542">
        <f>IF($N542="","",UPPER(TRIM(LEFT($N542&amp;",",FIND(",",$N542&amp;",")-1))))</f>
        <v/>
      </c>
      <c r="AL542">
        <f>IF($AK542="","",MID($AK542,4,FIND("~",SUBSTITUTE($AK542,"-","~",2))-4))</f>
        <v/>
      </c>
      <c r="AM542">
        <f>IF($AK542="","",MID($AK542,FIND("~",SUBSTITUTE($AK542,"-","~",2))+1,FIND("~",SUBSTITUTE($AK542,"-","~",3))-FIND("~",SUBSTITUTE($AK542,"-","~",2))-1))</f>
        <v/>
      </c>
      <c r="AN542">
        <f>IF($AL542="","",IFERROR(VLOOKUP($AL542,DECODE!$A$3:$C$8,3,FALSE),"?"))</f>
        <v/>
      </c>
      <c r="AO542">
        <f>IF($AM542="","",IFERROR(VLOOKUP($AL542&amp;"-"&amp;$AM542,DECODE!$E$3:$F$21,2,FALSE),"?"))</f>
        <v/>
      </c>
      <c r="AP542">
        <f>IF($AK542="","",IFERROR(VALUE(RIGHT($AK542,3)),""))</f>
        <v/>
      </c>
      <c r="AQ542">
        <f>IF($T542="","",IFERROR(IF(ISNUMBER($T542),$T542,DATEVALUE(TRIM($T542))),""))</f>
        <v/>
      </c>
      <c r="AR542">
        <f>IF($AQ542="","",IF(MONTH($AQ542)&gt;=12,"Cold Winter",IF(MONTH($AQ542)&gt;=10,"Post-Monsoon",IF(MONTH($AQ542)&gt;=6,"Hot Humid",IF(MONTH($AQ542)&gt;=3,"Hot Dry","Cold Winter")))))</f>
        <v/>
      </c>
      <c r="AS542">
        <f>IF($AL542="","",IFERROR(VLOOKUP($AL542,DECODE!$A$3:$C$8,2,FALSE),"?"))</f>
        <v/>
      </c>
      <c r="AT542">
        <f>IF($O542="","",UPPER(TRIM(LEFT($O542&amp;",",FIND(",",$O542&amp;",")-1))))</f>
        <v/>
      </c>
      <c r="AU542">
        <f>IF($AT542="","",MID($AT542,4,FIND("~",SUBSTITUTE($AT542,"-","~",2))-4))</f>
        <v/>
      </c>
      <c r="AV542">
        <f>IF($AT542="","",MID($AT542,FIND("~",SUBSTITUTE($AT542,"-","~",2))+1,FIND("~",SUBSTITUTE($AT542,"-","~",3))-FIND("~",SUBSTITUTE($AT542,"-","~",2))-1))</f>
        <v/>
      </c>
      <c r="AW542">
        <f>IF($AU542="","",IFERROR(VLOOKUP($AU542,DECODE!$A$3:$C$8,3,FALSE),"?"))</f>
        <v/>
      </c>
      <c r="AX542">
        <f>IF($AV542="","",IFERROR(VLOOKUP($AU542&amp;"-"&amp;$AV542,DECODE!$E$3:$F$21,2,FALSE),"?"))</f>
        <v/>
      </c>
      <c r="AY542">
        <f>IF($AT542="","",IFERROR(VALUE(RIGHT($AT542,3)),""))</f>
        <v/>
      </c>
      <c r="AZ542">
        <f>IF($U542="","",IFERROR(IF(ISNUMBER($U542),$U542,DATEVALUE(TRIM($U542))),""))</f>
        <v/>
      </c>
      <c r="BA542">
        <f>IF($AZ542="","",IF(MONTH($AZ542)&gt;=12,"Cold Winter",IF(MONTH($AZ542)&gt;=10,"Post-Monsoon",IF(MONTH($AZ542)&gt;=6,"Hot Humid",IF(MONTH($AZ542)&gt;=3,"Hot Dry","Cold Winter")))))</f>
        <v/>
      </c>
      <c r="BB542">
        <f>IF($AU542="","",IFERROR(VLOOKUP($AU542,DECODE!$A$3:$C$8,2,FALSE),"?"))</f>
        <v/>
      </c>
      <c r="BC542">
        <f>IF($P542="","",UPPER(TRIM(LEFT($P542&amp;",",FIND(",",$P542&amp;",")-1))))</f>
        <v/>
      </c>
      <c r="BD542">
        <f>IF($BC542="","",MID($BC542,4,FIND("~",SUBSTITUTE($BC542,"-","~",2))-4))</f>
        <v/>
      </c>
      <c r="BE542">
        <f>IF($BC542="","",MID($BC542,FIND("~",SUBSTITUTE($BC542,"-","~",2))+1,FIND("~",SUBSTITUTE($BC542,"-","~",3))-FIND("~",SUBSTITUTE($BC542,"-","~",2))-1))</f>
        <v/>
      </c>
      <c r="BF542">
        <f>IF($BD542="","",IFERROR(VLOOKUP($BD542,DECODE!$A$3:$C$8,3,FALSE),"?"))</f>
        <v/>
      </c>
      <c r="BG542">
        <f>IF($BE542="","",IFERROR(VLOOKUP($BD542&amp;"-"&amp;$BE542,DECODE!$E$3:$F$21,2,FALSE),"?"))</f>
        <v/>
      </c>
      <c r="BH542">
        <f>IF($BC542="","",IFERROR(VALUE(RIGHT($BC542,3)),""))</f>
        <v/>
      </c>
      <c r="BI542">
        <f>IF($V542="","",IFERROR(IF(ISNUMBER($V542),$V542,DATEVALUE(TRIM($V542))),""))</f>
        <v/>
      </c>
      <c r="BJ542">
        <f>IF($BI542="","",IF(MONTH($BI542)&gt;=12,"Cold Winter",IF(MONTH($BI542)&gt;=10,"Post-Monsoon",IF(MONTH($BI542)&gt;=6,"Hot Humid",IF(MONTH($BI542)&gt;=3,"Hot Dry","Cold Winter")))))</f>
        <v/>
      </c>
      <c r="BK542">
        <f>IF($BD542="","",IFERROR(VLOOKUP($BD542,DECODE!$A$3:$C$8,2,FALSE),"?"))</f>
        <v/>
      </c>
      <c r="BL542">
        <f>IF($Q542="","",UPPER(TRIM(LEFT($Q542&amp;",",FIND(",",$Q542&amp;",")-1))))</f>
        <v/>
      </c>
      <c r="BM542">
        <f>IF($BL542="","",MID($BL542,4,FIND("~",SUBSTITUTE($BL542,"-","~",2))-4))</f>
        <v/>
      </c>
      <c r="BN542">
        <f>IF($BL542="","",MID($BL542,FIND("~",SUBSTITUTE($BL542,"-","~",2))+1,FIND("~",SUBSTITUTE($BL542,"-","~",3))-FIND("~",SUBSTITUTE($BL542,"-","~",2))-1))</f>
        <v/>
      </c>
      <c r="BO542">
        <f>IF($BM542="","",IFERROR(VLOOKUP($BM542,DECODE!$A$3:$C$8,3,FALSE),"?"))</f>
        <v/>
      </c>
      <c r="BP542">
        <f>IF($BN542="","",IFERROR(VLOOKUP($BM542&amp;"-"&amp;$BN542,DECODE!$E$3:$F$21,2,FALSE),"?"))</f>
        <v/>
      </c>
      <c r="BQ542">
        <f>IF($BL542="","",IFERROR(VALUE(RIGHT($BL542,3)),""))</f>
        <v/>
      </c>
      <c r="BR542">
        <f>IF($W542="","",IFERROR(IF(ISNUMBER($W542),$W542,DATEVALUE(TRIM($W542))),""))</f>
        <v/>
      </c>
      <c r="BS542">
        <f>IF($BR542="","",IF(MONTH($BR542)&gt;=12,"Cold Winter",IF(MONTH($BR542)&gt;=10,"Post-Monsoon",IF(MONTH($BR542)&gt;=6,"Hot Humid",IF(MONTH($BR542)&gt;=3,"Hot Dry","Cold Winter")))))</f>
        <v/>
      </c>
      <c r="BT542">
        <f>IF($BM542="","",IFERROR(VLOOKUP($BM542,DECODE!$A$3:$C$8,2,FALSE),"?"))</f>
        <v/>
      </c>
      <c r="BU542">
        <f>IF($R542="","",UPPER(TRIM(LEFT($R542&amp;",",FIND(",",$R542&amp;",")-1))))</f>
        <v/>
      </c>
      <c r="BV542">
        <f>IF($BU542="","",MID($BU542,4,FIND("~",SUBSTITUTE($BU542,"-","~",2))-4))</f>
        <v/>
      </c>
      <c r="BW542">
        <f>IF($BU542="","",MID($BU542,FIND("~",SUBSTITUTE($BU542,"-","~",2))+1,FIND("~",SUBSTITUTE($BU542,"-","~",3))-FIND("~",SUBSTITUTE($BU542,"-","~",2))-1))</f>
        <v/>
      </c>
      <c r="BX542">
        <f>IF($BV542="","",IFERROR(VLOOKUP($BV542,DECODE!$A$3:$C$8,3,FALSE),"?"))</f>
        <v/>
      </c>
      <c r="BY542">
        <f>IF($BW542="","",IFERROR(VLOOKUP($BV542&amp;"-"&amp;$BW542,DECODE!$E$3:$F$21,2,FALSE),"?"))</f>
        <v/>
      </c>
      <c r="BZ542">
        <f>IF($BU542="","",IFERROR(VALUE(RIGHT($BU542,3)),""))</f>
        <v/>
      </c>
      <c r="CA542">
        <f>IF($X542="","",IFERROR(IF(ISNUMBER($X542),$X542,DATEVALUE(TRIM($X542))),""))</f>
        <v/>
      </c>
      <c r="CB542">
        <f>IF($CA542="","",IF(MONTH($CA542)&gt;=12,"Cold Winter",IF(MONTH($CA542)&gt;=10,"Post-Monsoon",IF(MONTH($CA542)&gt;=6,"Hot Humid",IF(MONTH($CA542)&gt;=3,"Hot Dry","Cold Winter")))))</f>
        <v/>
      </c>
      <c r="CC542">
        <f>IF($BV542="","",IFERROR(VLOOKUP($BV542,DECODE!$A$3:$C$8,2,FALSE),"?"))</f>
        <v/>
      </c>
      <c r="CD542">
        <f>IF($S542="","",UPPER(TRIM(LEFT($S542&amp;",",FIND(",",$S542&amp;",")-1))))</f>
        <v/>
      </c>
      <c r="CE542">
        <f>IF($CD542="","",MID($CD542,4,FIND("~",SUBSTITUTE($CD542,"-","~",2))-4))</f>
        <v/>
      </c>
      <c r="CF542">
        <f>IF($CD542="","",MID($CD542,FIND("~",SUBSTITUTE($CD542,"-","~",2))+1,FIND("~",SUBSTITUTE($CD542,"-","~",3))-FIND("~",SUBSTITUTE($CD542,"-","~",2))-1))</f>
        <v/>
      </c>
      <c r="CG542">
        <f>IF($CE542="","",IFERROR(VLOOKUP($CE542,DECODE!$A$3:$C$8,3,FALSE),"?"))</f>
        <v/>
      </c>
      <c r="CH542">
        <f>IF($CF542="","",IFERROR(VLOOKUP($CE542&amp;"-"&amp;$CF542,DECODE!$E$3:$F$21,2,FALSE),"?"))</f>
        <v/>
      </c>
      <c r="CI542">
        <f>IF($CD542="","",IFERROR(VALUE(RIGHT($CD542,3)),""))</f>
        <v/>
      </c>
      <c r="CJ542">
        <f>IF($Y542="","",IFERROR(IF(ISNUMBER($Y542),$Y542,DATEVALUE(TRIM($Y542))),""))</f>
        <v/>
      </c>
      <c r="CK542">
        <f>IF($CJ542="","",IF(MONTH($CJ542)&gt;=12,"Cold Winter",IF(MONTH($CJ542)&gt;=10,"Post-Monsoon",IF(MONTH($CJ542)&gt;=6,"Hot Humid",IF(MONTH($CJ542)&gt;=3,"Hot Dry","Cold Winter")))))</f>
        <v/>
      </c>
      <c r="CL542">
        <f>IF($CE542="","",IFERROR(VLOOKUP($CE542,DECODE!$A$3:$C$8,2,FALSE),"?"))</f>
        <v/>
      </c>
      <c r="CM542">
        <f>IF($AN542="","",AN542)</f>
        <v/>
      </c>
      <c r="CN542">
        <f>IF($AO542="","",AO542)</f>
        <v/>
      </c>
      <c r="CO542">
        <f>IF($AP542="","",AP542)</f>
        <v/>
      </c>
      <c r="CP542">
        <f>IF($CM542="","",IF($CM542="Aloe Vera Gel","Aloe Vera Gel "&amp;$CO542&amp;"g",CN542&amp;" "&amp;$CO542&amp;"g"))</f>
        <v/>
      </c>
      <c r="CQ542">
        <f>IF($AT542="",0,1)</f>
        <v/>
      </c>
      <c r="CR542">
        <f>IF($CQ542=0,"",AW542)</f>
        <v/>
      </c>
      <c r="CS542">
        <f>IF($CQ542=0,"",AX542)</f>
        <v/>
      </c>
      <c r="CT542">
        <f>IF($CQ542=0,"",AY542)</f>
        <v/>
      </c>
      <c r="CU542">
        <f>IF($CR542="","",IF($CR542="Aloe Vera Gel","Aloe Vera Gel "&amp;$CT542&amp;"g",CS542&amp;" "&amp;$CT542&amp;"g"))</f>
        <v/>
      </c>
      <c r="CV542">
        <f>IF($CQ542=0,"",IF($CP542=$CU542,"Repeat Exact",IF($CT542&gt;$CO542,"Upsized",IF($CT542&lt;$CO542,"Downsized",IF($CM542&lt;&gt;$CR542,"Lateral","Same Size Diff Variant")))))</f>
        <v/>
      </c>
      <c r="CW542">
        <f>IF($CQ542=0,"",AZ542-AQ542)</f>
        <v/>
      </c>
      <c r="CX542">
        <f>IF($CQ542=0,0,IF(CS542=CN542,1,0))</f>
        <v/>
      </c>
      <c r="CY542">
        <f>IF($CQ542=0,0,IF(CR542=CM542,1,0))</f>
        <v/>
      </c>
      <c r="CZ542">
        <f>IF($A542="","",IF(AND(IF(DASHBOARD!$C$4="All",TRUE,$CM542=DASHBOARD!$C$4),IF(DASHBOARD!$C$6="All",TRUE,$CP542=DASHBOARD!$C$6),IF(DASHBOARD!$C$8="All",TRUE,$AF542&gt;=DASHBOARD!$C$8),IF(DASHBOARD!$C$10="All",TRUE,$AF542&lt;=DASHBOARD!$C$10),IF(DASHBOARD!$C$12="All",TRUE,$AH542=VALUE(DASHBOARD!$C$12)),IF(DASHBOARD!$C$14="All",TRUE,$AJ542=DASHBOARD!$C$14)),1,0))</f>
        <v/>
      </c>
    </row>
    <row r="543">
      <c r="A543" t="n">
        <v>241666</v>
      </c>
      <c r="B543" t="inlineStr">
        <is>
          <t>Aloe Vera Gel</t>
        </is>
      </c>
      <c r="H543" t="inlineStr">
        <is>
          <t>Aloe Vera Gel - 80 gms</t>
        </is>
      </c>
      <c r="N543" t="inlineStr">
        <is>
          <t>FC-HG-PA-080</t>
        </is>
      </c>
      <c r="T543" t="inlineStr">
        <is>
          <t>May 11, 2025</t>
        </is>
      </c>
      <c r="AE543" t="inlineStr">
        <is>
          <t>Thane</t>
        </is>
      </c>
      <c r="AF543" t="inlineStr">
        <is>
          <t>2025-05</t>
        </is>
      </c>
      <c r="AG543" t="n">
        <v>5</v>
      </c>
      <c r="AH543" t="n">
        <v>1</v>
      </c>
      <c r="AI543" t="n">
        <v>0</v>
      </c>
      <c r="AJ543">
        <f>IF($AE543="","",IFERROR(VLOOKUP(TRIM($AE543),DECODE!$H$3:$I$60,2,FALSE),"Rest of India"))</f>
        <v/>
      </c>
      <c r="AK543">
        <f>IF($N543="","",UPPER(TRIM(LEFT($N543&amp;",",FIND(",",$N543&amp;",")-1))))</f>
        <v/>
      </c>
      <c r="AL543">
        <f>IF($AK543="","",MID($AK543,4,FIND("~",SUBSTITUTE($AK543,"-","~",2))-4))</f>
        <v/>
      </c>
      <c r="AM543">
        <f>IF($AK543="","",MID($AK543,FIND("~",SUBSTITUTE($AK543,"-","~",2))+1,FIND("~",SUBSTITUTE($AK543,"-","~",3))-FIND("~",SUBSTITUTE($AK543,"-","~",2))-1))</f>
        <v/>
      </c>
      <c r="AN543">
        <f>IF($AL543="","",IFERROR(VLOOKUP($AL543,DECODE!$A$3:$C$8,3,FALSE),"?"))</f>
        <v/>
      </c>
      <c r="AO543">
        <f>IF($AM543="","",IFERROR(VLOOKUP($AL543&amp;"-"&amp;$AM543,DECODE!$E$3:$F$21,2,FALSE),"?"))</f>
        <v/>
      </c>
      <c r="AP543">
        <f>IF($AK543="","",IFERROR(VALUE(RIGHT($AK543,3)),""))</f>
        <v/>
      </c>
      <c r="AQ543">
        <f>IF($T543="","",IFERROR(IF(ISNUMBER($T543),$T543,DATEVALUE(TRIM($T543))),""))</f>
        <v/>
      </c>
      <c r="AR543">
        <f>IF($AQ543="","",IF(MONTH($AQ543)&gt;=12,"Cold Winter",IF(MONTH($AQ543)&gt;=10,"Post-Monsoon",IF(MONTH($AQ543)&gt;=6,"Hot Humid",IF(MONTH($AQ543)&gt;=3,"Hot Dry","Cold Winter")))))</f>
        <v/>
      </c>
      <c r="AS543">
        <f>IF($AL543="","",IFERROR(VLOOKUP($AL543,DECODE!$A$3:$C$8,2,FALSE),"?"))</f>
        <v/>
      </c>
      <c r="AT543">
        <f>IF($O543="","",UPPER(TRIM(LEFT($O543&amp;",",FIND(",",$O543&amp;",")-1))))</f>
        <v/>
      </c>
      <c r="AU543">
        <f>IF($AT543="","",MID($AT543,4,FIND("~",SUBSTITUTE($AT543,"-","~",2))-4))</f>
        <v/>
      </c>
      <c r="AV543">
        <f>IF($AT543="","",MID($AT543,FIND("~",SUBSTITUTE($AT543,"-","~",2))+1,FIND("~",SUBSTITUTE($AT543,"-","~",3))-FIND("~",SUBSTITUTE($AT543,"-","~",2))-1))</f>
        <v/>
      </c>
      <c r="AW543">
        <f>IF($AU543="","",IFERROR(VLOOKUP($AU543,DECODE!$A$3:$C$8,3,FALSE),"?"))</f>
        <v/>
      </c>
      <c r="AX543">
        <f>IF($AV543="","",IFERROR(VLOOKUP($AU543&amp;"-"&amp;$AV543,DECODE!$E$3:$F$21,2,FALSE),"?"))</f>
        <v/>
      </c>
      <c r="AY543">
        <f>IF($AT543="","",IFERROR(VALUE(RIGHT($AT543,3)),""))</f>
        <v/>
      </c>
      <c r="AZ543">
        <f>IF($U543="","",IFERROR(IF(ISNUMBER($U543),$U543,DATEVALUE(TRIM($U543))),""))</f>
        <v/>
      </c>
      <c r="BA543">
        <f>IF($AZ543="","",IF(MONTH($AZ543)&gt;=12,"Cold Winter",IF(MONTH($AZ543)&gt;=10,"Post-Monsoon",IF(MONTH($AZ543)&gt;=6,"Hot Humid",IF(MONTH($AZ543)&gt;=3,"Hot Dry","Cold Winter")))))</f>
        <v/>
      </c>
      <c r="BB543">
        <f>IF($AU543="","",IFERROR(VLOOKUP($AU543,DECODE!$A$3:$C$8,2,FALSE),"?"))</f>
        <v/>
      </c>
      <c r="BC543">
        <f>IF($P543="","",UPPER(TRIM(LEFT($P543&amp;",",FIND(",",$P543&amp;",")-1))))</f>
        <v/>
      </c>
      <c r="BD543">
        <f>IF($BC543="","",MID($BC543,4,FIND("~",SUBSTITUTE($BC543,"-","~",2))-4))</f>
        <v/>
      </c>
      <c r="BE543">
        <f>IF($BC543="","",MID($BC543,FIND("~",SUBSTITUTE($BC543,"-","~",2))+1,FIND("~",SUBSTITUTE($BC543,"-","~",3))-FIND("~",SUBSTITUTE($BC543,"-","~",2))-1))</f>
        <v/>
      </c>
      <c r="BF543">
        <f>IF($BD543="","",IFERROR(VLOOKUP($BD543,DECODE!$A$3:$C$8,3,FALSE),"?"))</f>
        <v/>
      </c>
      <c r="BG543">
        <f>IF($BE543="","",IFERROR(VLOOKUP($BD543&amp;"-"&amp;$BE543,DECODE!$E$3:$F$21,2,FALSE),"?"))</f>
        <v/>
      </c>
      <c r="BH543">
        <f>IF($BC543="","",IFERROR(VALUE(RIGHT($BC543,3)),""))</f>
        <v/>
      </c>
      <c r="BI543">
        <f>IF($V543="","",IFERROR(IF(ISNUMBER($V543),$V543,DATEVALUE(TRIM($V543))),""))</f>
        <v/>
      </c>
      <c r="BJ543">
        <f>IF($BI543="","",IF(MONTH($BI543)&gt;=12,"Cold Winter",IF(MONTH($BI543)&gt;=10,"Post-Monsoon",IF(MONTH($BI543)&gt;=6,"Hot Humid",IF(MONTH($BI543)&gt;=3,"Hot Dry","Cold Winter")))))</f>
        <v/>
      </c>
      <c r="BK543">
        <f>IF($BD543="","",IFERROR(VLOOKUP($BD543,DECODE!$A$3:$C$8,2,FALSE),"?"))</f>
        <v/>
      </c>
      <c r="BL543">
        <f>IF($Q543="","",UPPER(TRIM(LEFT($Q543&amp;",",FIND(",",$Q543&amp;",")-1))))</f>
        <v/>
      </c>
      <c r="BM543">
        <f>IF($BL543="","",MID($BL543,4,FIND("~",SUBSTITUTE($BL543,"-","~",2))-4))</f>
        <v/>
      </c>
      <c r="BN543">
        <f>IF($BL543="","",MID($BL543,FIND("~",SUBSTITUTE($BL543,"-","~",2))+1,FIND("~",SUBSTITUTE($BL543,"-","~",3))-FIND("~",SUBSTITUTE($BL543,"-","~",2))-1))</f>
        <v/>
      </c>
      <c r="BO543">
        <f>IF($BM543="","",IFERROR(VLOOKUP($BM543,DECODE!$A$3:$C$8,3,FALSE),"?"))</f>
        <v/>
      </c>
      <c r="BP543">
        <f>IF($BN543="","",IFERROR(VLOOKUP($BM543&amp;"-"&amp;$BN543,DECODE!$E$3:$F$21,2,FALSE),"?"))</f>
        <v/>
      </c>
      <c r="BQ543">
        <f>IF($BL543="","",IFERROR(VALUE(RIGHT($BL543,3)),""))</f>
        <v/>
      </c>
      <c r="BR543">
        <f>IF($W543="","",IFERROR(IF(ISNUMBER($W543),$W543,DATEVALUE(TRIM($W543))),""))</f>
        <v/>
      </c>
      <c r="BS543">
        <f>IF($BR543="","",IF(MONTH($BR543)&gt;=12,"Cold Winter",IF(MONTH($BR543)&gt;=10,"Post-Monsoon",IF(MONTH($BR543)&gt;=6,"Hot Humid",IF(MONTH($BR543)&gt;=3,"Hot Dry","Cold Winter")))))</f>
        <v/>
      </c>
      <c r="BT543">
        <f>IF($BM543="","",IFERROR(VLOOKUP($BM543,DECODE!$A$3:$C$8,2,FALSE),"?"))</f>
        <v/>
      </c>
      <c r="BU543">
        <f>IF($R543="","",UPPER(TRIM(LEFT($R543&amp;",",FIND(",",$R543&amp;",")-1))))</f>
        <v/>
      </c>
      <c r="BV543">
        <f>IF($BU543="","",MID($BU543,4,FIND("~",SUBSTITUTE($BU543,"-","~",2))-4))</f>
        <v/>
      </c>
      <c r="BW543">
        <f>IF($BU543="","",MID($BU543,FIND("~",SUBSTITUTE($BU543,"-","~",2))+1,FIND("~",SUBSTITUTE($BU543,"-","~",3))-FIND("~",SUBSTITUTE($BU543,"-","~",2))-1))</f>
        <v/>
      </c>
      <c r="BX543">
        <f>IF($BV543="","",IFERROR(VLOOKUP($BV543,DECODE!$A$3:$C$8,3,FALSE),"?"))</f>
        <v/>
      </c>
      <c r="BY543">
        <f>IF($BW543="","",IFERROR(VLOOKUP($BV543&amp;"-"&amp;$BW543,DECODE!$E$3:$F$21,2,FALSE),"?"))</f>
        <v/>
      </c>
      <c r="BZ543">
        <f>IF($BU543="","",IFERROR(VALUE(RIGHT($BU543,3)),""))</f>
        <v/>
      </c>
      <c r="CA543">
        <f>IF($X543="","",IFERROR(IF(ISNUMBER($X543),$X543,DATEVALUE(TRIM($X543))),""))</f>
        <v/>
      </c>
      <c r="CB543">
        <f>IF($CA543="","",IF(MONTH($CA543)&gt;=12,"Cold Winter",IF(MONTH($CA543)&gt;=10,"Post-Monsoon",IF(MONTH($CA543)&gt;=6,"Hot Humid",IF(MONTH($CA543)&gt;=3,"Hot Dry","Cold Winter")))))</f>
        <v/>
      </c>
      <c r="CC543">
        <f>IF($BV543="","",IFERROR(VLOOKUP($BV543,DECODE!$A$3:$C$8,2,FALSE),"?"))</f>
        <v/>
      </c>
      <c r="CD543">
        <f>IF($S543="","",UPPER(TRIM(LEFT($S543&amp;",",FIND(",",$S543&amp;",")-1))))</f>
        <v/>
      </c>
      <c r="CE543">
        <f>IF($CD543="","",MID($CD543,4,FIND("~",SUBSTITUTE($CD543,"-","~",2))-4))</f>
        <v/>
      </c>
      <c r="CF543">
        <f>IF($CD543="","",MID($CD543,FIND("~",SUBSTITUTE($CD543,"-","~",2))+1,FIND("~",SUBSTITUTE($CD543,"-","~",3))-FIND("~",SUBSTITUTE($CD543,"-","~",2))-1))</f>
        <v/>
      </c>
      <c r="CG543">
        <f>IF($CE543="","",IFERROR(VLOOKUP($CE543,DECODE!$A$3:$C$8,3,FALSE),"?"))</f>
        <v/>
      </c>
      <c r="CH543">
        <f>IF($CF543="","",IFERROR(VLOOKUP($CE543&amp;"-"&amp;$CF543,DECODE!$E$3:$F$21,2,FALSE),"?"))</f>
        <v/>
      </c>
      <c r="CI543">
        <f>IF($CD543="","",IFERROR(VALUE(RIGHT($CD543,3)),""))</f>
        <v/>
      </c>
      <c r="CJ543">
        <f>IF($Y543="","",IFERROR(IF(ISNUMBER($Y543),$Y543,DATEVALUE(TRIM($Y543))),""))</f>
        <v/>
      </c>
      <c r="CK543">
        <f>IF($CJ543="","",IF(MONTH($CJ543)&gt;=12,"Cold Winter",IF(MONTH($CJ543)&gt;=10,"Post-Monsoon",IF(MONTH($CJ543)&gt;=6,"Hot Humid",IF(MONTH($CJ543)&gt;=3,"Hot Dry","Cold Winter")))))</f>
        <v/>
      </c>
      <c r="CL543">
        <f>IF($CE543="","",IFERROR(VLOOKUP($CE543,DECODE!$A$3:$C$8,2,FALSE),"?"))</f>
        <v/>
      </c>
      <c r="CM543">
        <f>IF($AN543="","",AN543)</f>
        <v/>
      </c>
      <c r="CN543">
        <f>IF($AO543="","",AO543)</f>
        <v/>
      </c>
      <c r="CO543">
        <f>IF($AP543="","",AP543)</f>
        <v/>
      </c>
      <c r="CP543">
        <f>IF($CM543="","",IF($CM543="Aloe Vera Gel","Aloe Vera Gel "&amp;$CO543&amp;"g",CN543&amp;" "&amp;$CO543&amp;"g"))</f>
        <v/>
      </c>
      <c r="CQ543">
        <f>IF($AT543="",0,1)</f>
        <v/>
      </c>
      <c r="CR543">
        <f>IF($CQ543=0,"",AW543)</f>
        <v/>
      </c>
      <c r="CS543">
        <f>IF($CQ543=0,"",AX543)</f>
        <v/>
      </c>
      <c r="CT543">
        <f>IF($CQ543=0,"",AY543)</f>
        <v/>
      </c>
      <c r="CU543">
        <f>IF($CR543="","",IF($CR543="Aloe Vera Gel","Aloe Vera Gel "&amp;$CT543&amp;"g",CS543&amp;" "&amp;$CT543&amp;"g"))</f>
        <v/>
      </c>
      <c r="CV543">
        <f>IF($CQ543=0,"",IF($CP543=$CU543,"Repeat Exact",IF($CT543&gt;$CO543,"Upsized",IF($CT543&lt;$CO543,"Downsized",IF($CM543&lt;&gt;$CR543,"Lateral","Same Size Diff Variant")))))</f>
        <v/>
      </c>
      <c r="CW543">
        <f>IF($CQ543=0,"",AZ543-AQ543)</f>
        <v/>
      </c>
      <c r="CX543">
        <f>IF($CQ543=0,0,IF(CS543=CN543,1,0))</f>
        <v/>
      </c>
      <c r="CY543">
        <f>IF($CQ543=0,0,IF(CR543=CM543,1,0))</f>
        <v/>
      </c>
      <c r="CZ543">
        <f>IF($A543="","",IF(AND(IF(DASHBOARD!$C$4="All",TRUE,$CM543=DASHBOARD!$C$4),IF(DASHBOARD!$C$6="All",TRUE,$CP543=DASHBOARD!$C$6),IF(DASHBOARD!$C$8="All",TRUE,$AF543&gt;=DASHBOARD!$C$8),IF(DASHBOARD!$C$10="All",TRUE,$AF543&lt;=DASHBOARD!$C$10),IF(DASHBOARD!$C$12="All",TRUE,$AH543=VALUE(DASHBOARD!$C$12)),IF(DASHBOARD!$C$14="All",TRUE,$AJ543=DASHBOARD!$C$14)),1,0))</f>
        <v/>
      </c>
    </row>
    <row r="544">
      <c r="A544" t="n">
        <v>241900</v>
      </c>
      <c r="B544" t="inlineStr">
        <is>
          <t>Active Gel</t>
        </is>
      </c>
      <c r="H544" t="inlineStr">
        <is>
          <t>Active Orange Kiwi Vit-C Gel</t>
        </is>
      </c>
      <c r="N544" t="inlineStr">
        <is>
          <t>FC-AC-OK-050</t>
        </is>
      </c>
      <c r="T544" t="inlineStr">
        <is>
          <t>May 10, 2025</t>
        </is>
      </c>
      <c r="AE544" t="inlineStr">
        <is>
          <t>Bengaluru</t>
        </is>
      </c>
      <c r="AF544" t="inlineStr">
        <is>
          <t>2025-05</t>
        </is>
      </c>
      <c r="AG544" t="n">
        <v>5</v>
      </c>
      <c r="AH544" t="n">
        <v>1</v>
      </c>
      <c r="AI544" t="n">
        <v>0</v>
      </c>
      <c r="AJ544">
        <f>IF($AE544="","",IFERROR(VLOOKUP(TRIM($AE544),DECODE!$H$3:$I$60,2,FALSE),"Rest of India"))</f>
        <v/>
      </c>
      <c r="AK544">
        <f>IF($N544="","",UPPER(TRIM(LEFT($N544&amp;",",FIND(",",$N544&amp;",")-1))))</f>
        <v/>
      </c>
      <c r="AL544">
        <f>IF($AK544="","",MID($AK544,4,FIND("~",SUBSTITUTE($AK544,"-","~",2))-4))</f>
        <v/>
      </c>
      <c r="AM544">
        <f>IF($AK544="","",MID($AK544,FIND("~",SUBSTITUTE($AK544,"-","~",2))+1,FIND("~",SUBSTITUTE($AK544,"-","~",3))-FIND("~",SUBSTITUTE($AK544,"-","~",2))-1))</f>
        <v/>
      </c>
      <c r="AN544">
        <f>IF($AL544="","",IFERROR(VLOOKUP($AL544,DECODE!$A$3:$C$8,3,FALSE),"?"))</f>
        <v/>
      </c>
      <c r="AO544">
        <f>IF($AM544="","",IFERROR(VLOOKUP($AL544&amp;"-"&amp;$AM544,DECODE!$E$3:$F$21,2,FALSE),"?"))</f>
        <v/>
      </c>
      <c r="AP544">
        <f>IF($AK544="","",IFERROR(VALUE(RIGHT($AK544,3)),""))</f>
        <v/>
      </c>
      <c r="AQ544">
        <f>IF($T544="","",IFERROR(IF(ISNUMBER($T544),$T544,DATEVALUE(TRIM($T544))),""))</f>
        <v/>
      </c>
      <c r="AR544">
        <f>IF($AQ544="","",IF(MONTH($AQ544)&gt;=12,"Cold Winter",IF(MONTH($AQ544)&gt;=10,"Post-Monsoon",IF(MONTH($AQ544)&gt;=6,"Hot Humid",IF(MONTH($AQ544)&gt;=3,"Hot Dry","Cold Winter")))))</f>
        <v/>
      </c>
      <c r="AS544">
        <f>IF($AL544="","",IFERROR(VLOOKUP($AL544,DECODE!$A$3:$C$8,2,FALSE),"?"))</f>
        <v/>
      </c>
      <c r="AT544">
        <f>IF($O544="","",UPPER(TRIM(LEFT($O544&amp;",",FIND(",",$O544&amp;",")-1))))</f>
        <v/>
      </c>
      <c r="AU544">
        <f>IF($AT544="","",MID($AT544,4,FIND("~",SUBSTITUTE($AT544,"-","~",2))-4))</f>
        <v/>
      </c>
      <c r="AV544">
        <f>IF($AT544="","",MID($AT544,FIND("~",SUBSTITUTE($AT544,"-","~",2))+1,FIND("~",SUBSTITUTE($AT544,"-","~",3))-FIND("~",SUBSTITUTE($AT544,"-","~",2))-1))</f>
        <v/>
      </c>
      <c r="AW544">
        <f>IF($AU544="","",IFERROR(VLOOKUP($AU544,DECODE!$A$3:$C$8,3,FALSE),"?"))</f>
        <v/>
      </c>
      <c r="AX544">
        <f>IF($AV544="","",IFERROR(VLOOKUP($AU544&amp;"-"&amp;$AV544,DECODE!$E$3:$F$21,2,FALSE),"?"))</f>
        <v/>
      </c>
      <c r="AY544">
        <f>IF($AT544="","",IFERROR(VALUE(RIGHT($AT544,3)),""))</f>
        <v/>
      </c>
      <c r="AZ544">
        <f>IF($U544="","",IFERROR(IF(ISNUMBER($U544),$U544,DATEVALUE(TRIM($U544))),""))</f>
        <v/>
      </c>
      <c r="BA544">
        <f>IF($AZ544="","",IF(MONTH($AZ544)&gt;=12,"Cold Winter",IF(MONTH($AZ544)&gt;=10,"Post-Monsoon",IF(MONTH($AZ544)&gt;=6,"Hot Humid",IF(MONTH($AZ544)&gt;=3,"Hot Dry","Cold Winter")))))</f>
        <v/>
      </c>
      <c r="BB544">
        <f>IF($AU544="","",IFERROR(VLOOKUP($AU544,DECODE!$A$3:$C$8,2,FALSE),"?"))</f>
        <v/>
      </c>
      <c r="BC544">
        <f>IF($P544="","",UPPER(TRIM(LEFT($P544&amp;",",FIND(",",$P544&amp;",")-1))))</f>
        <v/>
      </c>
      <c r="BD544">
        <f>IF($BC544="","",MID($BC544,4,FIND("~",SUBSTITUTE($BC544,"-","~",2))-4))</f>
        <v/>
      </c>
      <c r="BE544">
        <f>IF($BC544="","",MID($BC544,FIND("~",SUBSTITUTE($BC544,"-","~",2))+1,FIND("~",SUBSTITUTE($BC544,"-","~",3))-FIND("~",SUBSTITUTE($BC544,"-","~",2))-1))</f>
        <v/>
      </c>
      <c r="BF544">
        <f>IF($BD544="","",IFERROR(VLOOKUP($BD544,DECODE!$A$3:$C$8,3,FALSE),"?"))</f>
        <v/>
      </c>
      <c r="BG544">
        <f>IF($BE544="","",IFERROR(VLOOKUP($BD544&amp;"-"&amp;$BE544,DECODE!$E$3:$F$21,2,FALSE),"?"))</f>
        <v/>
      </c>
      <c r="BH544">
        <f>IF($BC544="","",IFERROR(VALUE(RIGHT($BC544,3)),""))</f>
        <v/>
      </c>
      <c r="BI544">
        <f>IF($V544="","",IFERROR(IF(ISNUMBER($V544),$V544,DATEVALUE(TRIM($V544))),""))</f>
        <v/>
      </c>
      <c r="BJ544">
        <f>IF($BI544="","",IF(MONTH($BI544)&gt;=12,"Cold Winter",IF(MONTH($BI544)&gt;=10,"Post-Monsoon",IF(MONTH($BI544)&gt;=6,"Hot Humid",IF(MONTH($BI544)&gt;=3,"Hot Dry","Cold Winter")))))</f>
        <v/>
      </c>
      <c r="BK544">
        <f>IF($BD544="","",IFERROR(VLOOKUP($BD544,DECODE!$A$3:$C$8,2,FALSE),"?"))</f>
        <v/>
      </c>
      <c r="BL544">
        <f>IF($Q544="","",UPPER(TRIM(LEFT($Q544&amp;",",FIND(",",$Q544&amp;",")-1))))</f>
        <v/>
      </c>
      <c r="BM544">
        <f>IF($BL544="","",MID($BL544,4,FIND("~",SUBSTITUTE($BL544,"-","~",2))-4))</f>
        <v/>
      </c>
      <c r="BN544">
        <f>IF($BL544="","",MID($BL544,FIND("~",SUBSTITUTE($BL544,"-","~",2))+1,FIND("~",SUBSTITUTE($BL544,"-","~",3))-FIND("~",SUBSTITUTE($BL544,"-","~",2))-1))</f>
        <v/>
      </c>
      <c r="BO544">
        <f>IF($BM544="","",IFERROR(VLOOKUP($BM544,DECODE!$A$3:$C$8,3,FALSE),"?"))</f>
        <v/>
      </c>
      <c r="BP544">
        <f>IF($BN544="","",IFERROR(VLOOKUP($BM544&amp;"-"&amp;$BN544,DECODE!$E$3:$F$21,2,FALSE),"?"))</f>
        <v/>
      </c>
      <c r="BQ544">
        <f>IF($BL544="","",IFERROR(VALUE(RIGHT($BL544,3)),""))</f>
        <v/>
      </c>
      <c r="BR544">
        <f>IF($W544="","",IFERROR(IF(ISNUMBER($W544),$W544,DATEVALUE(TRIM($W544))),""))</f>
        <v/>
      </c>
      <c r="BS544">
        <f>IF($BR544="","",IF(MONTH($BR544)&gt;=12,"Cold Winter",IF(MONTH($BR544)&gt;=10,"Post-Monsoon",IF(MONTH($BR544)&gt;=6,"Hot Humid",IF(MONTH($BR544)&gt;=3,"Hot Dry","Cold Winter")))))</f>
        <v/>
      </c>
      <c r="BT544">
        <f>IF($BM544="","",IFERROR(VLOOKUP($BM544,DECODE!$A$3:$C$8,2,FALSE),"?"))</f>
        <v/>
      </c>
      <c r="BU544">
        <f>IF($R544="","",UPPER(TRIM(LEFT($R544&amp;",",FIND(",",$R544&amp;",")-1))))</f>
        <v/>
      </c>
      <c r="BV544">
        <f>IF($BU544="","",MID($BU544,4,FIND("~",SUBSTITUTE($BU544,"-","~",2))-4))</f>
        <v/>
      </c>
      <c r="BW544">
        <f>IF($BU544="","",MID($BU544,FIND("~",SUBSTITUTE($BU544,"-","~",2))+1,FIND("~",SUBSTITUTE($BU544,"-","~",3))-FIND("~",SUBSTITUTE($BU544,"-","~",2))-1))</f>
        <v/>
      </c>
      <c r="BX544">
        <f>IF($BV544="","",IFERROR(VLOOKUP($BV544,DECODE!$A$3:$C$8,3,FALSE),"?"))</f>
        <v/>
      </c>
      <c r="BY544">
        <f>IF($BW544="","",IFERROR(VLOOKUP($BV544&amp;"-"&amp;$BW544,DECODE!$E$3:$F$21,2,FALSE),"?"))</f>
        <v/>
      </c>
      <c r="BZ544">
        <f>IF($BU544="","",IFERROR(VALUE(RIGHT($BU544,3)),""))</f>
        <v/>
      </c>
      <c r="CA544">
        <f>IF($X544="","",IFERROR(IF(ISNUMBER($X544),$X544,DATEVALUE(TRIM($X544))),""))</f>
        <v/>
      </c>
      <c r="CB544">
        <f>IF($CA544="","",IF(MONTH($CA544)&gt;=12,"Cold Winter",IF(MONTH($CA544)&gt;=10,"Post-Monsoon",IF(MONTH($CA544)&gt;=6,"Hot Humid",IF(MONTH($CA544)&gt;=3,"Hot Dry","Cold Winter")))))</f>
        <v/>
      </c>
      <c r="CC544">
        <f>IF($BV544="","",IFERROR(VLOOKUP($BV544,DECODE!$A$3:$C$8,2,FALSE),"?"))</f>
        <v/>
      </c>
      <c r="CD544">
        <f>IF($S544="","",UPPER(TRIM(LEFT($S544&amp;",",FIND(",",$S544&amp;",")-1))))</f>
        <v/>
      </c>
      <c r="CE544">
        <f>IF($CD544="","",MID($CD544,4,FIND("~",SUBSTITUTE($CD544,"-","~",2))-4))</f>
        <v/>
      </c>
      <c r="CF544">
        <f>IF($CD544="","",MID($CD544,FIND("~",SUBSTITUTE($CD544,"-","~",2))+1,FIND("~",SUBSTITUTE($CD544,"-","~",3))-FIND("~",SUBSTITUTE($CD544,"-","~",2))-1))</f>
        <v/>
      </c>
      <c r="CG544">
        <f>IF($CE544="","",IFERROR(VLOOKUP($CE544,DECODE!$A$3:$C$8,3,FALSE),"?"))</f>
        <v/>
      </c>
      <c r="CH544">
        <f>IF($CF544="","",IFERROR(VLOOKUP($CE544&amp;"-"&amp;$CF544,DECODE!$E$3:$F$21,2,FALSE),"?"))</f>
        <v/>
      </c>
      <c r="CI544">
        <f>IF($CD544="","",IFERROR(VALUE(RIGHT($CD544,3)),""))</f>
        <v/>
      </c>
      <c r="CJ544">
        <f>IF($Y544="","",IFERROR(IF(ISNUMBER($Y544),$Y544,DATEVALUE(TRIM($Y544))),""))</f>
        <v/>
      </c>
      <c r="CK544">
        <f>IF($CJ544="","",IF(MONTH($CJ544)&gt;=12,"Cold Winter",IF(MONTH($CJ544)&gt;=10,"Post-Monsoon",IF(MONTH($CJ544)&gt;=6,"Hot Humid",IF(MONTH($CJ544)&gt;=3,"Hot Dry","Cold Winter")))))</f>
        <v/>
      </c>
      <c r="CL544">
        <f>IF($CE544="","",IFERROR(VLOOKUP($CE544,DECODE!$A$3:$C$8,2,FALSE),"?"))</f>
        <v/>
      </c>
      <c r="CM544">
        <f>IF($AN544="","",AN544)</f>
        <v/>
      </c>
      <c r="CN544">
        <f>IF($AO544="","",AO544)</f>
        <v/>
      </c>
      <c r="CO544">
        <f>IF($AP544="","",AP544)</f>
        <v/>
      </c>
      <c r="CP544">
        <f>IF($CM544="","",IF($CM544="Aloe Vera Gel","Aloe Vera Gel "&amp;$CO544&amp;"g",CN544&amp;" "&amp;$CO544&amp;"g"))</f>
        <v/>
      </c>
      <c r="CQ544">
        <f>IF($AT544="",0,1)</f>
        <v/>
      </c>
      <c r="CR544">
        <f>IF($CQ544=0,"",AW544)</f>
        <v/>
      </c>
      <c r="CS544">
        <f>IF($CQ544=0,"",AX544)</f>
        <v/>
      </c>
      <c r="CT544">
        <f>IF($CQ544=0,"",AY544)</f>
        <v/>
      </c>
      <c r="CU544">
        <f>IF($CR544="","",IF($CR544="Aloe Vera Gel","Aloe Vera Gel "&amp;$CT544&amp;"g",CS544&amp;" "&amp;$CT544&amp;"g"))</f>
        <v/>
      </c>
      <c r="CV544">
        <f>IF($CQ544=0,"",IF($CP544=$CU544,"Repeat Exact",IF($CT544&gt;$CO544,"Upsized",IF($CT544&lt;$CO544,"Downsized",IF($CM544&lt;&gt;$CR544,"Lateral","Same Size Diff Variant")))))</f>
        <v/>
      </c>
      <c r="CW544">
        <f>IF($CQ544=0,"",AZ544-AQ544)</f>
        <v/>
      </c>
      <c r="CX544">
        <f>IF($CQ544=0,0,IF(CS544=CN544,1,0))</f>
        <v/>
      </c>
      <c r="CY544">
        <f>IF($CQ544=0,0,IF(CR544=CM544,1,0))</f>
        <v/>
      </c>
      <c r="CZ544">
        <f>IF($A544="","",IF(AND(IF(DASHBOARD!$C$4="All",TRUE,$CM544=DASHBOARD!$C$4),IF(DASHBOARD!$C$6="All",TRUE,$CP544=DASHBOARD!$C$6),IF(DASHBOARD!$C$8="All",TRUE,$AF544&gt;=DASHBOARD!$C$8),IF(DASHBOARD!$C$10="All",TRUE,$AF544&lt;=DASHBOARD!$C$10),IF(DASHBOARD!$C$12="All",TRUE,$AH544=VALUE(DASHBOARD!$C$12)),IF(DASHBOARD!$C$14="All",TRUE,$AJ544=DASHBOARD!$C$14)),1,0))</f>
        <v/>
      </c>
    </row>
    <row r="545">
      <c r="A545" t="n">
        <v>242032</v>
      </c>
      <c r="B545" t="inlineStr">
        <is>
          <t>Face Malai</t>
        </is>
      </c>
      <c r="C545" t="inlineStr">
        <is>
          <t>Face Malai</t>
        </is>
      </c>
      <c r="H545" t="inlineStr">
        <is>
          <t>Flax Bakuchi (Hot Dry) 35+ Face Malai - 30g</t>
        </is>
      </c>
      <c r="I545" t="inlineStr">
        <is>
          <t>Flax Bakuchi (Hot Dry) 35+ Face Malai - 30g</t>
        </is>
      </c>
      <c r="N545" t="inlineStr">
        <is>
          <t>FC-HDDM-FB-030</t>
        </is>
      </c>
      <c r="O545" t="inlineStr">
        <is>
          <t>FC-HDDM-FB-030</t>
        </is>
      </c>
      <c r="T545" t="inlineStr">
        <is>
          <t>Oct 5, 2024</t>
        </is>
      </c>
      <c r="U545" t="inlineStr">
        <is>
          <t>Nov 15, 2024</t>
        </is>
      </c>
      <c r="Z545" t="n">
        <v>41</v>
      </c>
      <c r="AE545" t="inlineStr">
        <is>
          <t>Kasaragod</t>
        </is>
      </c>
      <c r="AF545" t="inlineStr">
        <is>
          <t>2024-10</t>
        </is>
      </c>
      <c r="AG545" t="n">
        <v>10</v>
      </c>
      <c r="AH545" t="n">
        <v>2</v>
      </c>
      <c r="AI545" t="n">
        <v>1</v>
      </c>
      <c r="AJ545">
        <f>IF($AE545="","",IFERROR(VLOOKUP(TRIM($AE545),DECODE!$H$3:$I$60,2,FALSE),"Rest of India"))</f>
        <v/>
      </c>
      <c r="AK545">
        <f>IF($N545="","",UPPER(TRIM(LEFT($N545&amp;",",FIND(",",$N545&amp;",")-1))))</f>
        <v/>
      </c>
      <c r="AL545">
        <f>IF($AK545="","",MID($AK545,4,FIND("~",SUBSTITUTE($AK545,"-","~",2))-4))</f>
        <v/>
      </c>
      <c r="AM545">
        <f>IF($AK545="","",MID($AK545,FIND("~",SUBSTITUTE($AK545,"-","~",2))+1,FIND("~",SUBSTITUTE($AK545,"-","~",3))-FIND("~",SUBSTITUTE($AK545,"-","~",2))-1))</f>
        <v/>
      </c>
      <c r="AN545">
        <f>IF($AL545="","",IFERROR(VLOOKUP($AL545,DECODE!$A$3:$C$8,3,FALSE),"?"))</f>
        <v/>
      </c>
      <c r="AO545">
        <f>IF($AM545="","",IFERROR(VLOOKUP($AL545&amp;"-"&amp;$AM545,DECODE!$E$3:$F$21,2,FALSE),"?"))</f>
        <v/>
      </c>
      <c r="AP545">
        <f>IF($AK545="","",IFERROR(VALUE(RIGHT($AK545,3)),""))</f>
        <v/>
      </c>
      <c r="AQ545">
        <f>IF($T545="","",IFERROR(IF(ISNUMBER($T545),$T545,DATEVALUE(TRIM($T545))),""))</f>
        <v/>
      </c>
      <c r="AR545">
        <f>IF($AQ545="","",IF(MONTH($AQ545)&gt;=12,"Cold Winter",IF(MONTH($AQ545)&gt;=10,"Post-Monsoon",IF(MONTH($AQ545)&gt;=6,"Hot Humid",IF(MONTH($AQ545)&gt;=3,"Hot Dry","Cold Winter")))))</f>
        <v/>
      </c>
      <c r="AS545">
        <f>IF($AL545="","",IFERROR(VLOOKUP($AL545,DECODE!$A$3:$C$8,2,FALSE),"?"))</f>
        <v/>
      </c>
      <c r="AT545">
        <f>IF($O545="","",UPPER(TRIM(LEFT($O545&amp;",",FIND(",",$O545&amp;",")-1))))</f>
        <v/>
      </c>
      <c r="AU545">
        <f>IF($AT545="","",MID($AT545,4,FIND("~",SUBSTITUTE($AT545,"-","~",2))-4))</f>
        <v/>
      </c>
      <c r="AV545">
        <f>IF($AT545="","",MID($AT545,FIND("~",SUBSTITUTE($AT545,"-","~",2))+1,FIND("~",SUBSTITUTE($AT545,"-","~",3))-FIND("~",SUBSTITUTE($AT545,"-","~",2))-1))</f>
        <v/>
      </c>
      <c r="AW545">
        <f>IF($AU545="","",IFERROR(VLOOKUP($AU545,DECODE!$A$3:$C$8,3,FALSE),"?"))</f>
        <v/>
      </c>
      <c r="AX545">
        <f>IF($AV545="","",IFERROR(VLOOKUP($AU545&amp;"-"&amp;$AV545,DECODE!$E$3:$F$21,2,FALSE),"?"))</f>
        <v/>
      </c>
      <c r="AY545">
        <f>IF($AT545="","",IFERROR(VALUE(RIGHT($AT545,3)),""))</f>
        <v/>
      </c>
      <c r="AZ545">
        <f>IF($U545="","",IFERROR(IF(ISNUMBER($U545),$U545,DATEVALUE(TRIM($U545))),""))</f>
        <v/>
      </c>
      <c r="BA545">
        <f>IF($AZ545="","",IF(MONTH($AZ545)&gt;=12,"Cold Winter",IF(MONTH($AZ545)&gt;=10,"Post-Monsoon",IF(MONTH($AZ545)&gt;=6,"Hot Humid",IF(MONTH($AZ545)&gt;=3,"Hot Dry","Cold Winter")))))</f>
        <v/>
      </c>
      <c r="BB545">
        <f>IF($AU545="","",IFERROR(VLOOKUP($AU545,DECODE!$A$3:$C$8,2,FALSE),"?"))</f>
        <v/>
      </c>
      <c r="BC545">
        <f>IF($P545="","",UPPER(TRIM(LEFT($P545&amp;",",FIND(",",$P545&amp;",")-1))))</f>
        <v/>
      </c>
      <c r="BD545">
        <f>IF($BC545="","",MID($BC545,4,FIND("~",SUBSTITUTE($BC545,"-","~",2))-4))</f>
        <v/>
      </c>
      <c r="BE545">
        <f>IF($BC545="","",MID($BC545,FIND("~",SUBSTITUTE($BC545,"-","~",2))+1,FIND("~",SUBSTITUTE($BC545,"-","~",3))-FIND("~",SUBSTITUTE($BC545,"-","~",2))-1))</f>
        <v/>
      </c>
      <c r="BF545">
        <f>IF($BD545="","",IFERROR(VLOOKUP($BD545,DECODE!$A$3:$C$8,3,FALSE),"?"))</f>
        <v/>
      </c>
      <c r="BG545">
        <f>IF($BE545="","",IFERROR(VLOOKUP($BD545&amp;"-"&amp;$BE545,DECODE!$E$3:$F$21,2,FALSE),"?"))</f>
        <v/>
      </c>
      <c r="BH545">
        <f>IF($BC545="","",IFERROR(VALUE(RIGHT($BC545,3)),""))</f>
        <v/>
      </c>
      <c r="BI545">
        <f>IF($V545="","",IFERROR(IF(ISNUMBER($V545),$V545,DATEVALUE(TRIM($V545))),""))</f>
        <v/>
      </c>
      <c r="BJ545">
        <f>IF($BI545="","",IF(MONTH($BI545)&gt;=12,"Cold Winter",IF(MONTH($BI545)&gt;=10,"Post-Monsoon",IF(MONTH($BI545)&gt;=6,"Hot Humid",IF(MONTH($BI545)&gt;=3,"Hot Dry","Cold Winter")))))</f>
        <v/>
      </c>
      <c r="BK545">
        <f>IF($BD545="","",IFERROR(VLOOKUP($BD545,DECODE!$A$3:$C$8,2,FALSE),"?"))</f>
        <v/>
      </c>
      <c r="BL545">
        <f>IF($Q545="","",UPPER(TRIM(LEFT($Q545&amp;",",FIND(",",$Q545&amp;",")-1))))</f>
        <v/>
      </c>
      <c r="BM545">
        <f>IF($BL545="","",MID($BL545,4,FIND("~",SUBSTITUTE($BL545,"-","~",2))-4))</f>
        <v/>
      </c>
      <c r="BN545">
        <f>IF($BL545="","",MID($BL545,FIND("~",SUBSTITUTE($BL545,"-","~",2))+1,FIND("~",SUBSTITUTE($BL545,"-","~",3))-FIND("~",SUBSTITUTE($BL545,"-","~",2))-1))</f>
        <v/>
      </c>
      <c r="BO545">
        <f>IF($BM545="","",IFERROR(VLOOKUP($BM545,DECODE!$A$3:$C$8,3,FALSE),"?"))</f>
        <v/>
      </c>
      <c r="BP545">
        <f>IF($BN545="","",IFERROR(VLOOKUP($BM545&amp;"-"&amp;$BN545,DECODE!$E$3:$F$21,2,FALSE),"?"))</f>
        <v/>
      </c>
      <c r="BQ545">
        <f>IF($BL545="","",IFERROR(VALUE(RIGHT($BL545,3)),""))</f>
        <v/>
      </c>
      <c r="BR545">
        <f>IF($W545="","",IFERROR(IF(ISNUMBER($W545),$W545,DATEVALUE(TRIM($W545))),""))</f>
        <v/>
      </c>
      <c r="BS545">
        <f>IF($BR545="","",IF(MONTH($BR545)&gt;=12,"Cold Winter",IF(MONTH($BR545)&gt;=10,"Post-Monsoon",IF(MONTH($BR545)&gt;=6,"Hot Humid",IF(MONTH($BR545)&gt;=3,"Hot Dry","Cold Winter")))))</f>
        <v/>
      </c>
      <c r="BT545">
        <f>IF($BM545="","",IFERROR(VLOOKUP($BM545,DECODE!$A$3:$C$8,2,FALSE),"?"))</f>
        <v/>
      </c>
      <c r="BU545">
        <f>IF($R545="","",UPPER(TRIM(LEFT($R545&amp;",",FIND(",",$R545&amp;",")-1))))</f>
        <v/>
      </c>
      <c r="BV545">
        <f>IF($BU545="","",MID($BU545,4,FIND("~",SUBSTITUTE($BU545,"-","~",2))-4))</f>
        <v/>
      </c>
      <c r="BW545">
        <f>IF($BU545="","",MID($BU545,FIND("~",SUBSTITUTE($BU545,"-","~",2))+1,FIND("~",SUBSTITUTE($BU545,"-","~",3))-FIND("~",SUBSTITUTE($BU545,"-","~",2))-1))</f>
        <v/>
      </c>
      <c r="BX545">
        <f>IF($BV545="","",IFERROR(VLOOKUP($BV545,DECODE!$A$3:$C$8,3,FALSE),"?"))</f>
        <v/>
      </c>
      <c r="BY545">
        <f>IF($BW545="","",IFERROR(VLOOKUP($BV545&amp;"-"&amp;$BW545,DECODE!$E$3:$F$21,2,FALSE),"?"))</f>
        <v/>
      </c>
      <c r="BZ545">
        <f>IF($BU545="","",IFERROR(VALUE(RIGHT($BU545,3)),""))</f>
        <v/>
      </c>
      <c r="CA545">
        <f>IF($X545="","",IFERROR(IF(ISNUMBER($X545),$X545,DATEVALUE(TRIM($X545))),""))</f>
        <v/>
      </c>
      <c r="CB545">
        <f>IF($CA545="","",IF(MONTH($CA545)&gt;=12,"Cold Winter",IF(MONTH($CA545)&gt;=10,"Post-Monsoon",IF(MONTH($CA545)&gt;=6,"Hot Humid",IF(MONTH($CA545)&gt;=3,"Hot Dry","Cold Winter")))))</f>
        <v/>
      </c>
      <c r="CC545">
        <f>IF($BV545="","",IFERROR(VLOOKUP($BV545,DECODE!$A$3:$C$8,2,FALSE),"?"))</f>
        <v/>
      </c>
      <c r="CD545">
        <f>IF($S545="","",UPPER(TRIM(LEFT($S545&amp;",",FIND(",",$S545&amp;",")-1))))</f>
        <v/>
      </c>
      <c r="CE545">
        <f>IF($CD545="","",MID($CD545,4,FIND("~",SUBSTITUTE($CD545,"-","~",2))-4))</f>
        <v/>
      </c>
      <c r="CF545">
        <f>IF($CD545="","",MID($CD545,FIND("~",SUBSTITUTE($CD545,"-","~",2))+1,FIND("~",SUBSTITUTE($CD545,"-","~",3))-FIND("~",SUBSTITUTE($CD545,"-","~",2))-1))</f>
        <v/>
      </c>
      <c r="CG545">
        <f>IF($CE545="","",IFERROR(VLOOKUP($CE545,DECODE!$A$3:$C$8,3,FALSE),"?"))</f>
        <v/>
      </c>
      <c r="CH545">
        <f>IF($CF545="","",IFERROR(VLOOKUP($CE545&amp;"-"&amp;$CF545,DECODE!$E$3:$F$21,2,FALSE),"?"))</f>
        <v/>
      </c>
      <c r="CI545">
        <f>IF($CD545="","",IFERROR(VALUE(RIGHT($CD545,3)),""))</f>
        <v/>
      </c>
      <c r="CJ545">
        <f>IF($Y545="","",IFERROR(IF(ISNUMBER($Y545),$Y545,DATEVALUE(TRIM($Y545))),""))</f>
        <v/>
      </c>
      <c r="CK545">
        <f>IF($CJ545="","",IF(MONTH($CJ545)&gt;=12,"Cold Winter",IF(MONTH($CJ545)&gt;=10,"Post-Monsoon",IF(MONTH($CJ545)&gt;=6,"Hot Humid",IF(MONTH($CJ545)&gt;=3,"Hot Dry","Cold Winter")))))</f>
        <v/>
      </c>
      <c r="CL545">
        <f>IF($CE545="","",IFERROR(VLOOKUP($CE545,DECODE!$A$3:$C$8,2,FALSE),"?"))</f>
        <v/>
      </c>
      <c r="CM545">
        <f>IF($AN545="","",AN545)</f>
        <v/>
      </c>
      <c r="CN545">
        <f>IF($AO545="","",AO545)</f>
        <v/>
      </c>
      <c r="CO545">
        <f>IF($AP545="","",AP545)</f>
        <v/>
      </c>
      <c r="CP545">
        <f>IF($CM545="","",IF($CM545="Aloe Vera Gel","Aloe Vera Gel "&amp;$CO545&amp;"g",CN545&amp;" "&amp;$CO545&amp;"g"))</f>
        <v/>
      </c>
      <c r="CQ545">
        <f>IF($AT545="",0,1)</f>
        <v/>
      </c>
      <c r="CR545">
        <f>IF($CQ545=0,"",AW545)</f>
        <v/>
      </c>
      <c r="CS545">
        <f>IF($CQ545=0,"",AX545)</f>
        <v/>
      </c>
      <c r="CT545">
        <f>IF($CQ545=0,"",AY545)</f>
        <v/>
      </c>
      <c r="CU545">
        <f>IF($CR545="","",IF($CR545="Aloe Vera Gel","Aloe Vera Gel "&amp;$CT545&amp;"g",CS545&amp;" "&amp;$CT545&amp;"g"))</f>
        <v/>
      </c>
      <c r="CV545">
        <f>IF($CQ545=0,"",IF($CP545=$CU545,"Repeat Exact",IF($CT545&gt;$CO545,"Upsized",IF($CT545&lt;$CO545,"Downsized",IF($CM545&lt;&gt;$CR545,"Lateral","Same Size Diff Variant")))))</f>
        <v/>
      </c>
      <c r="CW545">
        <f>IF($CQ545=0,"",AZ545-AQ545)</f>
        <v/>
      </c>
      <c r="CX545">
        <f>IF($CQ545=0,0,IF(CS545=CN545,1,0))</f>
        <v/>
      </c>
      <c r="CY545">
        <f>IF($CQ545=0,0,IF(CR545=CM545,1,0))</f>
        <v/>
      </c>
      <c r="CZ545">
        <f>IF($A545="","",IF(AND(IF(DASHBOARD!$C$4="All",TRUE,$CM545=DASHBOARD!$C$4),IF(DASHBOARD!$C$6="All",TRUE,$CP545=DASHBOARD!$C$6),IF(DASHBOARD!$C$8="All",TRUE,$AF545&gt;=DASHBOARD!$C$8),IF(DASHBOARD!$C$10="All",TRUE,$AF545&lt;=DASHBOARD!$C$10),IF(DASHBOARD!$C$12="All",TRUE,$AH545=VALUE(DASHBOARD!$C$12)),IF(DASHBOARD!$C$14="All",TRUE,$AJ545=DASHBOARD!$C$14)),1,0))</f>
        <v/>
      </c>
    </row>
    <row r="546">
      <c r="A546" t="n">
        <v>242092</v>
      </c>
      <c r="B546" t="inlineStr">
        <is>
          <t>Aloe Vera Gel</t>
        </is>
      </c>
      <c r="H546" t="inlineStr">
        <is>
          <t>Aloe Vera Gel - 40 gms</t>
        </is>
      </c>
      <c r="N546" t="inlineStr">
        <is>
          <t>FC-HG-PA-040</t>
        </is>
      </c>
      <c r="T546" t="inlineStr">
        <is>
          <t>Aug 12, 2024</t>
        </is>
      </c>
      <c r="AE546" t="inlineStr">
        <is>
          <t>Darjeeling</t>
        </is>
      </c>
      <c r="AF546" t="inlineStr">
        <is>
          <t>2024-08</t>
        </is>
      </c>
      <c r="AG546" t="n">
        <v>8</v>
      </c>
      <c r="AH546" t="n">
        <v>1</v>
      </c>
      <c r="AI546" t="n">
        <v>0</v>
      </c>
      <c r="AJ546">
        <f>IF($AE546="","",IFERROR(VLOOKUP(TRIM($AE546),DECODE!$H$3:$I$60,2,FALSE),"Rest of India"))</f>
        <v/>
      </c>
      <c r="AK546">
        <f>IF($N546="","",UPPER(TRIM(LEFT($N546&amp;",",FIND(",",$N546&amp;",")-1))))</f>
        <v/>
      </c>
      <c r="AL546">
        <f>IF($AK546="","",MID($AK546,4,FIND("~",SUBSTITUTE($AK546,"-","~",2))-4))</f>
        <v/>
      </c>
      <c r="AM546">
        <f>IF($AK546="","",MID($AK546,FIND("~",SUBSTITUTE($AK546,"-","~",2))+1,FIND("~",SUBSTITUTE($AK546,"-","~",3))-FIND("~",SUBSTITUTE($AK546,"-","~",2))-1))</f>
        <v/>
      </c>
      <c r="AN546">
        <f>IF($AL546="","",IFERROR(VLOOKUP($AL546,DECODE!$A$3:$C$8,3,FALSE),"?"))</f>
        <v/>
      </c>
      <c r="AO546">
        <f>IF($AM546="","",IFERROR(VLOOKUP($AL546&amp;"-"&amp;$AM546,DECODE!$E$3:$F$21,2,FALSE),"?"))</f>
        <v/>
      </c>
      <c r="AP546">
        <f>IF($AK546="","",IFERROR(VALUE(RIGHT($AK546,3)),""))</f>
        <v/>
      </c>
      <c r="AQ546">
        <f>IF($T546="","",IFERROR(IF(ISNUMBER($T546),$T546,DATEVALUE(TRIM($T546))),""))</f>
        <v/>
      </c>
      <c r="AR546">
        <f>IF($AQ546="","",IF(MONTH($AQ546)&gt;=12,"Cold Winter",IF(MONTH($AQ546)&gt;=10,"Post-Monsoon",IF(MONTH($AQ546)&gt;=6,"Hot Humid",IF(MONTH($AQ546)&gt;=3,"Hot Dry","Cold Winter")))))</f>
        <v/>
      </c>
      <c r="AS546">
        <f>IF($AL546="","",IFERROR(VLOOKUP($AL546,DECODE!$A$3:$C$8,2,FALSE),"?"))</f>
        <v/>
      </c>
      <c r="AT546">
        <f>IF($O546="","",UPPER(TRIM(LEFT($O546&amp;",",FIND(",",$O546&amp;",")-1))))</f>
        <v/>
      </c>
      <c r="AU546">
        <f>IF($AT546="","",MID($AT546,4,FIND("~",SUBSTITUTE($AT546,"-","~",2))-4))</f>
        <v/>
      </c>
      <c r="AV546">
        <f>IF($AT546="","",MID($AT546,FIND("~",SUBSTITUTE($AT546,"-","~",2))+1,FIND("~",SUBSTITUTE($AT546,"-","~",3))-FIND("~",SUBSTITUTE($AT546,"-","~",2))-1))</f>
        <v/>
      </c>
      <c r="AW546">
        <f>IF($AU546="","",IFERROR(VLOOKUP($AU546,DECODE!$A$3:$C$8,3,FALSE),"?"))</f>
        <v/>
      </c>
      <c r="AX546">
        <f>IF($AV546="","",IFERROR(VLOOKUP($AU546&amp;"-"&amp;$AV546,DECODE!$E$3:$F$21,2,FALSE),"?"))</f>
        <v/>
      </c>
      <c r="AY546">
        <f>IF($AT546="","",IFERROR(VALUE(RIGHT($AT546,3)),""))</f>
        <v/>
      </c>
      <c r="AZ546">
        <f>IF($U546="","",IFERROR(IF(ISNUMBER($U546),$U546,DATEVALUE(TRIM($U546))),""))</f>
        <v/>
      </c>
      <c r="BA546">
        <f>IF($AZ546="","",IF(MONTH($AZ546)&gt;=12,"Cold Winter",IF(MONTH($AZ546)&gt;=10,"Post-Monsoon",IF(MONTH($AZ546)&gt;=6,"Hot Humid",IF(MONTH($AZ546)&gt;=3,"Hot Dry","Cold Winter")))))</f>
        <v/>
      </c>
      <c r="BB546">
        <f>IF($AU546="","",IFERROR(VLOOKUP($AU546,DECODE!$A$3:$C$8,2,FALSE),"?"))</f>
        <v/>
      </c>
      <c r="BC546">
        <f>IF($P546="","",UPPER(TRIM(LEFT($P546&amp;",",FIND(",",$P546&amp;",")-1))))</f>
        <v/>
      </c>
      <c r="BD546">
        <f>IF($BC546="","",MID($BC546,4,FIND("~",SUBSTITUTE($BC546,"-","~",2))-4))</f>
        <v/>
      </c>
      <c r="BE546">
        <f>IF($BC546="","",MID($BC546,FIND("~",SUBSTITUTE($BC546,"-","~",2))+1,FIND("~",SUBSTITUTE($BC546,"-","~",3))-FIND("~",SUBSTITUTE($BC546,"-","~",2))-1))</f>
        <v/>
      </c>
      <c r="BF546">
        <f>IF($BD546="","",IFERROR(VLOOKUP($BD546,DECODE!$A$3:$C$8,3,FALSE),"?"))</f>
        <v/>
      </c>
      <c r="BG546">
        <f>IF($BE546="","",IFERROR(VLOOKUP($BD546&amp;"-"&amp;$BE546,DECODE!$E$3:$F$21,2,FALSE),"?"))</f>
        <v/>
      </c>
      <c r="BH546">
        <f>IF($BC546="","",IFERROR(VALUE(RIGHT($BC546,3)),""))</f>
        <v/>
      </c>
      <c r="BI546">
        <f>IF($V546="","",IFERROR(IF(ISNUMBER($V546),$V546,DATEVALUE(TRIM($V546))),""))</f>
        <v/>
      </c>
      <c r="BJ546">
        <f>IF($BI546="","",IF(MONTH($BI546)&gt;=12,"Cold Winter",IF(MONTH($BI546)&gt;=10,"Post-Monsoon",IF(MONTH($BI546)&gt;=6,"Hot Humid",IF(MONTH($BI546)&gt;=3,"Hot Dry","Cold Winter")))))</f>
        <v/>
      </c>
      <c r="BK546">
        <f>IF($BD546="","",IFERROR(VLOOKUP($BD546,DECODE!$A$3:$C$8,2,FALSE),"?"))</f>
        <v/>
      </c>
      <c r="BL546">
        <f>IF($Q546="","",UPPER(TRIM(LEFT($Q546&amp;",",FIND(",",$Q546&amp;",")-1))))</f>
        <v/>
      </c>
      <c r="BM546">
        <f>IF($BL546="","",MID($BL546,4,FIND("~",SUBSTITUTE($BL546,"-","~",2))-4))</f>
        <v/>
      </c>
      <c r="BN546">
        <f>IF($BL546="","",MID($BL546,FIND("~",SUBSTITUTE($BL546,"-","~",2))+1,FIND("~",SUBSTITUTE($BL546,"-","~",3))-FIND("~",SUBSTITUTE($BL546,"-","~",2))-1))</f>
        <v/>
      </c>
      <c r="BO546">
        <f>IF($BM546="","",IFERROR(VLOOKUP($BM546,DECODE!$A$3:$C$8,3,FALSE),"?"))</f>
        <v/>
      </c>
      <c r="BP546">
        <f>IF($BN546="","",IFERROR(VLOOKUP($BM546&amp;"-"&amp;$BN546,DECODE!$E$3:$F$21,2,FALSE),"?"))</f>
        <v/>
      </c>
      <c r="BQ546">
        <f>IF($BL546="","",IFERROR(VALUE(RIGHT($BL546,3)),""))</f>
        <v/>
      </c>
      <c r="BR546">
        <f>IF($W546="","",IFERROR(IF(ISNUMBER($W546),$W546,DATEVALUE(TRIM($W546))),""))</f>
        <v/>
      </c>
      <c r="BS546">
        <f>IF($BR546="","",IF(MONTH($BR546)&gt;=12,"Cold Winter",IF(MONTH($BR546)&gt;=10,"Post-Monsoon",IF(MONTH($BR546)&gt;=6,"Hot Humid",IF(MONTH($BR546)&gt;=3,"Hot Dry","Cold Winter")))))</f>
        <v/>
      </c>
      <c r="BT546">
        <f>IF($BM546="","",IFERROR(VLOOKUP($BM546,DECODE!$A$3:$C$8,2,FALSE),"?"))</f>
        <v/>
      </c>
      <c r="BU546">
        <f>IF($R546="","",UPPER(TRIM(LEFT($R546&amp;",",FIND(",",$R546&amp;",")-1))))</f>
        <v/>
      </c>
      <c r="BV546">
        <f>IF($BU546="","",MID($BU546,4,FIND("~",SUBSTITUTE($BU546,"-","~",2))-4))</f>
        <v/>
      </c>
      <c r="BW546">
        <f>IF($BU546="","",MID($BU546,FIND("~",SUBSTITUTE($BU546,"-","~",2))+1,FIND("~",SUBSTITUTE($BU546,"-","~",3))-FIND("~",SUBSTITUTE($BU546,"-","~",2))-1))</f>
        <v/>
      </c>
      <c r="BX546">
        <f>IF($BV546="","",IFERROR(VLOOKUP($BV546,DECODE!$A$3:$C$8,3,FALSE),"?"))</f>
        <v/>
      </c>
      <c r="BY546">
        <f>IF($BW546="","",IFERROR(VLOOKUP($BV546&amp;"-"&amp;$BW546,DECODE!$E$3:$F$21,2,FALSE),"?"))</f>
        <v/>
      </c>
      <c r="BZ546">
        <f>IF($BU546="","",IFERROR(VALUE(RIGHT($BU546,3)),""))</f>
        <v/>
      </c>
      <c r="CA546">
        <f>IF($X546="","",IFERROR(IF(ISNUMBER($X546),$X546,DATEVALUE(TRIM($X546))),""))</f>
        <v/>
      </c>
      <c r="CB546">
        <f>IF($CA546="","",IF(MONTH($CA546)&gt;=12,"Cold Winter",IF(MONTH($CA546)&gt;=10,"Post-Monsoon",IF(MONTH($CA546)&gt;=6,"Hot Humid",IF(MONTH($CA546)&gt;=3,"Hot Dry","Cold Winter")))))</f>
        <v/>
      </c>
      <c r="CC546">
        <f>IF($BV546="","",IFERROR(VLOOKUP($BV546,DECODE!$A$3:$C$8,2,FALSE),"?"))</f>
        <v/>
      </c>
      <c r="CD546">
        <f>IF($S546="","",UPPER(TRIM(LEFT($S546&amp;",",FIND(",",$S546&amp;",")-1))))</f>
        <v/>
      </c>
      <c r="CE546">
        <f>IF($CD546="","",MID($CD546,4,FIND("~",SUBSTITUTE($CD546,"-","~",2))-4))</f>
        <v/>
      </c>
      <c r="CF546">
        <f>IF($CD546="","",MID($CD546,FIND("~",SUBSTITUTE($CD546,"-","~",2))+1,FIND("~",SUBSTITUTE($CD546,"-","~",3))-FIND("~",SUBSTITUTE($CD546,"-","~",2))-1))</f>
        <v/>
      </c>
      <c r="CG546">
        <f>IF($CE546="","",IFERROR(VLOOKUP($CE546,DECODE!$A$3:$C$8,3,FALSE),"?"))</f>
        <v/>
      </c>
      <c r="CH546">
        <f>IF($CF546="","",IFERROR(VLOOKUP($CE546&amp;"-"&amp;$CF546,DECODE!$E$3:$F$21,2,FALSE),"?"))</f>
        <v/>
      </c>
      <c r="CI546">
        <f>IF($CD546="","",IFERROR(VALUE(RIGHT($CD546,3)),""))</f>
        <v/>
      </c>
      <c r="CJ546">
        <f>IF($Y546="","",IFERROR(IF(ISNUMBER($Y546),$Y546,DATEVALUE(TRIM($Y546))),""))</f>
        <v/>
      </c>
      <c r="CK546">
        <f>IF($CJ546="","",IF(MONTH($CJ546)&gt;=12,"Cold Winter",IF(MONTH($CJ546)&gt;=10,"Post-Monsoon",IF(MONTH($CJ546)&gt;=6,"Hot Humid",IF(MONTH($CJ546)&gt;=3,"Hot Dry","Cold Winter")))))</f>
        <v/>
      </c>
      <c r="CL546">
        <f>IF($CE546="","",IFERROR(VLOOKUP($CE546,DECODE!$A$3:$C$8,2,FALSE),"?"))</f>
        <v/>
      </c>
      <c r="CM546">
        <f>IF($AN546="","",AN546)</f>
        <v/>
      </c>
      <c r="CN546">
        <f>IF($AO546="","",AO546)</f>
        <v/>
      </c>
      <c r="CO546">
        <f>IF($AP546="","",AP546)</f>
        <v/>
      </c>
      <c r="CP546">
        <f>IF($CM546="","",IF($CM546="Aloe Vera Gel","Aloe Vera Gel "&amp;$CO546&amp;"g",CN546&amp;" "&amp;$CO546&amp;"g"))</f>
        <v/>
      </c>
      <c r="CQ546">
        <f>IF($AT546="",0,1)</f>
        <v/>
      </c>
      <c r="CR546">
        <f>IF($CQ546=0,"",AW546)</f>
        <v/>
      </c>
      <c r="CS546">
        <f>IF($CQ546=0,"",AX546)</f>
        <v/>
      </c>
      <c r="CT546">
        <f>IF($CQ546=0,"",AY546)</f>
        <v/>
      </c>
      <c r="CU546">
        <f>IF($CR546="","",IF($CR546="Aloe Vera Gel","Aloe Vera Gel "&amp;$CT546&amp;"g",CS546&amp;" "&amp;$CT546&amp;"g"))</f>
        <v/>
      </c>
      <c r="CV546">
        <f>IF($CQ546=0,"",IF($CP546=$CU546,"Repeat Exact",IF($CT546&gt;$CO546,"Upsized",IF($CT546&lt;$CO546,"Downsized",IF($CM546&lt;&gt;$CR546,"Lateral","Same Size Diff Variant")))))</f>
        <v/>
      </c>
      <c r="CW546">
        <f>IF($CQ546=0,"",AZ546-AQ546)</f>
        <v/>
      </c>
      <c r="CX546">
        <f>IF($CQ546=0,0,IF(CS546=CN546,1,0))</f>
        <v/>
      </c>
      <c r="CY546">
        <f>IF($CQ546=0,0,IF(CR546=CM546,1,0))</f>
        <v/>
      </c>
      <c r="CZ546">
        <f>IF($A546="","",IF(AND(IF(DASHBOARD!$C$4="All",TRUE,$CM546=DASHBOARD!$C$4),IF(DASHBOARD!$C$6="All",TRUE,$CP546=DASHBOARD!$C$6),IF(DASHBOARD!$C$8="All",TRUE,$AF546&gt;=DASHBOARD!$C$8),IF(DASHBOARD!$C$10="All",TRUE,$AF546&lt;=DASHBOARD!$C$10),IF(DASHBOARD!$C$12="All",TRUE,$AH546=VALUE(DASHBOARD!$C$12)),IF(DASHBOARD!$C$14="All",TRUE,$AJ546=DASHBOARD!$C$14)),1,0))</f>
        <v/>
      </c>
    </row>
    <row r="547">
      <c r="A547" t="n">
        <v>242215</v>
      </c>
      <c r="B547" t="inlineStr">
        <is>
          <t>Face Malai</t>
        </is>
      </c>
      <c r="H547" t="inlineStr">
        <is>
          <t>Winter Blackseed Tulsi (Cold) 13 - 19 Yrs Face Malai</t>
        </is>
      </c>
      <c r="N547" t="inlineStr">
        <is>
          <t>FC-CWDM-BT-030</t>
        </is>
      </c>
      <c r="T547" t="inlineStr">
        <is>
          <t>Nov 17, 2025</t>
        </is>
      </c>
      <c r="AE547" t="inlineStr">
        <is>
          <t>Ranchi</t>
        </is>
      </c>
      <c r="AF547" t="inlineStr">
        <is>
          <t>2025-11</t>
        </is>
      </c>
      <c r="AG547" t="n">
        <v>11</v>
      </c>
      <c r="AH547" t="n">
        <v>1</v>
      </c>
      <c r="AI547" t="n">
        <v>0</v>
      </c>
      <c r="AJ547">
        <f>IF($AE547="","",IFERROR(VLOOKUP(TRIM($AE547),DECODE!$H$3:$I$60,2,FALSE),"Rest of India"))</f>
        <v/>
      </c>
      <c r="AK547">
        <f>IF($N547="","",UPPER(TRIM(LEFT($N547&amp;",",FIND(",",$N547&amp;",")-1))))</f>
        <v/>
      </c>
      <c r="AL547">
        <f>IF($AK547="","",MID($AK547,4,FIND("~",SUBSTITUTE($AK547,"-","~",2))-4))</f>
        <v/>
      </c>
      <c r="AM547">
        <f>IF($AK547="","",MID($AK547,FIND("~",SUBSTITUTE($AK547,"-","~",2))+1,FIND("~",SUBSTITUTE($AK547,"-","~",3))-FIND("~",SUBSTITUTE($AK547,"-","~",2))-1))</f>
        <v/>
      </c>
      <c r="AN547">
        <f>IF($AL547="","",IFERROR(VLOOKUP($AL547,DECODE!$A$3:$C$8,3,FALSE),"?"))</f>
        <v/>
      </c>
      <c r="AO547">
        <f>IF($AM547="","",IFERROR(VLOOKUP($AL547&amp;"-"&amp;$AM547,DECODE!$E$3:$F$21,2,FALSE),"?"))</f>
        <v/>
      </c>
      <c r="AP547">
        <f>IF($AK547="","",IFERROR(VALUE(RIGHT($AK547,3)),""))</f>
        <v/>
      </c>
      <c r="AQ547">
        <f>IF($T547="","",IFERROR(IF(ISNUMBER($T547),$T547,DATEVALUE(TRIM($T547))),""))</f>
        <v/>
      </c>
      <c r="AR547">
        <f>IF($AQ547="","",IF(MONTH($AQ547)&gt;=12,"Cold Winter",IF(MONTH($AQ547)&gt;=10,"Post-Monsoon",IF(MONTH($AQ547)&gt;=6,"Hot Humid",IF(MONTH($AQ547)&gt;=3,"Hot Dry","Cold Winter")))))</f>
        <v/>
      </c>
      <c r="AS547">
        <f>IF($AL547="","",IFERROR(VLOOKUP($AL547,DECODE!$A$3:$C$8,2,FALSE),"?"))</f>
        <v/>
      </c>
      <c r="AT547">
        <f>IF($O547="","",UPPER(TRIM(LEFT($O547&amp;",",FIND(",",$O547&amp;",")-1))))</f>
        <v/>
      </c>
      <c r="AU547">
        <f>IF($AT547="","",MID($AT547,4,FIND("~",SUBSTITUTE($AT547,"-","~",2))-4))</f>
        <v/>
      </c>
      <c r="AV547">
        <f>IF($AT547="","",MID($AT547,FIND("~",SUBSTITUTE($AT547,"-","~",2))+1,FIND("~",SUBSTITUTE($AT547,"-","~",3))-FIND("~",SUBSTITUTE($AT547,"-","~",2))-1))</f>
        <v/>
      </c>
      <c r="AW547">
        <f>IF($AU547="","",IFERROR(VLOOKUP($AU547,DECODE!$A$3:$C$8,3,FALSE),"?"))</f>
        <v/>
      </c>
      <c r="AX547">
        <f>IF($AV547="","",IFERROR(VLOOKUP($AU547&amp;"-"&amp;$AV547,DECODE!$E$3:$F$21,2,FALSE),"?"))</f>
        <v/>
      </c>
      <c r="AY547">
        <f>IF($AT547="","",IFERROR(VALUE(RIGHT($AT547,3)),""))</f>
        <v/>
      </c>
      <c r="AZ547">
        <f>IF($U547="","",IFERROR(IF(ISNUMBER($U547),$U547,DATEVALUE(TRIM($U547))),""))</f>
        <v/>
      </c>
      <c r="BA547">
        <f>IF($AZ547="","",IF(MONTH($AZ547)&gt;=12,"Cold Winter",IF(MONTH($AZ547)&gt;=10,"Post-Monsoon",IF(MONTH($AZ547)&gt;=6,"Hot Humid",IF(MONTH($AZ547)&gt;=3,"Hot Dry","Cold Winter")))))</f>
        <v/>
      </c>
      <c r="BB547">
        <f>IF($AU547="","",IFERROR(VLOOKUP($AU547,DECODE!$A$3:$C$8,2,FALSE),"?"))</f>
        <v/>
      </c>
      <c r="BC547">
        <f>IF($P547="","",UPPER(TRIM(LEFT($P547&amp;",",FIND(",",$P547&amp;",")-1))))</f>
        <v/>
      </c>
      <c r="BD547">
        <f>IF($BC547="","",MID($BC547,4,FIND("~",SUBSTITUTE($BC547,"-","~",2))-4))</f>
        <v/>
      </c>
      <c r="BE547">
        <f>IF($BC547="","",MID($BC547,FIND("~",SUBSTITUTE($BC547,"-","~",2))+1,FIND("~",SUBSTITUTE($BC547,"-","~",3))-FIND("~",SUBSTITUTE($BC547,"-","~",2))-1))</f>
        <v/>
      </c>
      <c r="BF547">
        <f>IF($BD547="","",IFERROR(VLOOKUP($BD547,DECODE!$A$3:$C$8,3,FALSE),"?"))</f>
        <v/>
      </c>
      <c r="BG547">
        <f>IF($BE547="","",IFERROR(VLOOKUP($BD547&amp;"-"&amp;$BE547,DECODE!$E$3:$F$21,2,FALSE),"?"))</f>
        <v/>
      </c>
      <c r="BH547">
        <f>IF($BC547="","",IFERROR(VALUE(RIGHT($BC547,3)),""))</f>
        <v/>
      </c>
      <c r="BI547">
        <f>IF($V547="","",IFERROR(IF(ISNUMBER($V547),$V547,DATEVALUE(TRIM($V547))),""))</f>
        <v/>
      </c>
      <c r="BJ547">
        <f>IF($BI547="","",IF(MONTH($BI547)&gt;=12,"Cold Winter",IF(MONTH($BI547)&gt;=10,"Post-Monsoon",IF(MONTH($BI547)&gt;=6,"Hot Humid",IF(MONTH($BI547)&gt;=3,"Hot Dry","Cold Winter")))))</f>
        <v/>
      </c>
      <c r="BK547">
        <f>IF($BD547="","",IFERROR(VLOOKUP($BD547,DECODE!$A$3:$C$8,2,FALSE),"?"))</f>
        <v/>
      </c>
      <c r="BL547">
        <f>IF($Q547="","",UPPER(TRIM(LEFT($Q547&amp;",",FIND(",",$Q547&amp;",")-1))))</f>
        <v/>
      </c>
      <c r="BM547">
        <f>IF($BL547="","",MID($BL547,4,FIND("~",SUBSTITUTE($BL547,"-","~",2))-4))</f>
        <v/>
      </c>
      <c r="BN547">
        <f>IF($BL547="","",MID($BL547,FIND("~",SUBSTITUTE($BL547,"-","~",2))+1,FIND("~",SUBSTITUTE($BL547,"-","~",3))-FIND("~",SUBSTITUTE($BL547,"-","~",2))-1))</f>
        <v/>
      </c>
      <c r="BO547">
        <f>IF($BM547="","",IFERROR(VLOOKUP($BM547,DECODE!$A$3:$C$8,3,FALSE),"?"))</f>
        <v/>
      </c>
      <c r="BP547">
        <f>IF($BN547="","",IFERROR(VLOOKUP($BM547&amp;"-"&amp;$BN547,DECODE!$E$3:$F$21,2,FALSE),"?"))</f>
        <v/>
      </c>
      <c r="BQ547">
        <f>IF($BL547="","",IFERROR(VALUE(RIGHT($BL547,3)),""))</f>
        <v/>
      </c>
      <c r="BR547">
        <f>IF($W547="","",IFERROR(IF(ISNUMBER($W547),$W547,DATEVALUE(TRIM($W547))),""))</f>
        <v/>
      </c>
      <c r="BS547">
        <f>IF($BR547="","",IF(MONTH($BR547)&gt;=12,"Cold Winter",IF(MONTH($BR547)&gt;=10,"Post-Monsoon",IF(MONTH($BR547)&gt;=6,"Hot Humid",IF(MONTH($BR547)&gt;=3,"Hot Dry","Cold Winter")))))</f>
        <v/>
      </c>
      <c r="BT547">
        <f>IF($BM547="","",IFERROR(VLOOKUP($BM547,DECODE!$A$3:$C$8,2,FALSE),"?"))</f>
        <v/>
      </c>
      <c r="BU547">
        <f>IF($R547="","",UPPER(TRIM(LEFT($R547&amp;",",FIND(",",$R547&amp;",")-1))))</f>
        <v/>
      </c>
      <c r="BV547">
        <f>IF($BU547="","",MID($BU547,4,FIND("~",SUBSTITUTE($BU547,"-","~",2))-4))</f>
        <v/>
      </c>
      <c r="BW547">
        <f>IF($BU547="","",MID($BU547,FIND("~",SUBSTITUTE($BU547,"-","~",2))+1,FIND("~",SUBSTITUTE($BU547,"-","~",3))-FIND("~",SUBSTITUTE($BU547,"-","~",2))-1))</f>
        <v/>
      </c>
      <c r="BX547">
        <f>IF($BV547="","",IFERROR(VLOOKUP($BV547,DECODE!$A$3:$C$8,3,FALSE),"?"))</f>
        <v/>
      </c>
      <c r="BY547">
        <f>IF($BW547="","",IFERROR(VLOOKUP($BV547&amp;"-"&amp;$BW547,DECODE!$E$3:$F$21,2,FALSE),"?"))</f>
        <v/>
      </c>
      <c r="BZ547">
        <f>IF($BU547="","",IFERROR(VALUE(RIGHT($BU547,3)),""))</f>
        <v/>
      </c>
      <c r="CA547">
        <f>IF($X547="","",IFERROR(IF(ISNUMBER($X547),$X547,DATEVALUE(TRIM($X547))),""))</f>
        <v/>
      </c>
      <c r="CB547">
        <f>IF($CA547="","",IF(MONTH($CA547)&gt;=12,"Cold Winter",IF(MONTH($CA547)&gt;=10,"Post-Monsoon",IF(MONTH($CA547)&gt;=6,"Hot Humid",IF(MONTH($CA547)&gt;=3,"Hot Dry","Cold Winter")))))</f>
        <v/>
      </c>
      <c r="CC547">
        <f>IF($BV547="","",IFERROR(VLOOKUP($BV547,DECODE!$A$3:$C$8,2,FALSE),"?"))</f>
        <v/>
      </c>
      <c r="CD547">
        <f>IF($S547="","",UPPER(TRIM(LEFT($S547&amp;",",FIND(",",$S547&amp;",")-1))))</f>
        <v/>
      </c>
      <c r="CE547">
        <f>IF($CD547="","",MID($CD547,4,FIND("~",SUBSTITUTE($CD547,"-","~",2))-4))</f>
        <v/>
      </c>
      <c r="CF547">
        <f>IF($CD547="","",MID($CD547,FIND("~",SUBSTITUTE($CD547,"-","~",2))+1,FIND("~",SUBSTITUTE($CD547,"-","~",3))-FIND("~",SUBSTITUTE($CD547,"-","~",2))-1))</f>
        <v/>
      </c>
      <c r="CG547">
        <f>IF($CE547="","",IFERROR(VLOOKUP($CE547,DECODE!$A$3:$C$8,3,FALSE),"?"))</f>
        <v/>
      </c>
      <c r="CH547">
        <f>IF($CF547="","",IFERROR(VLOOKUP($CE547&amp;"-"&amp;$CF547,DECODE!$E$3:$F$21,2,FALSE),"?"))</f>
        <v/>
      </c>
      <c r="CI547">
        <f>IF($CD547="","",IFERROR(VALUE(RIGHT($CD547,3)),""))</f>
        <v/>
      </c>
      <c r="CJ547">
        <f>IF($Y547="","",IFERROR(IF(ISNUMBER($Y547),$Y547,DATEVALUE(TRIM($Y547))),""))</f>
        <v/>
      </c>
      <c r="CK547">
        <f>IF($CJ547="","",IF(MONTH($CJ547)&gt;=12,"Cold Winter",IF(MONTH($CJ547)&gt;=10,"Post-Monsoon",IF(MONTH($CJ547)&gt;=6,"Hot Humid",IF(MONTH($CJ547)&gt;=3,"Hot Dry","Cold Winter")))))</f>
        <v/>
      </c>
      <c r="CL547">
        <f>IF($CE547="","",IFERROR(VLOOKUP($CE547,DECODE!$A$3:$C$8,2,FALSE),"?"))</f>
        <v/>
      </c>
      <c r="CM547">
        <f>IF($AN547="","",AN547)</f>
        <v/>
      </c>
      <c r="CN547">
        <f>IF($AO547="","",AO547)</f>
        <v/>
      </c>
      <c r="CO547">
        <f>IF($AP547="","",AP547)</f>
        <v/>
      </c>
      <c r="CP547">
        <f>IF($CM547="","",IF($CM547="Aloe Vera Gel","Aloe Vera Gel "&amp;$CO547&amp;"g",CN547&amp;" "&amp;$CO547&amp;"g"))</f>
        <v/>
      </c>
      <c r="CQ547">
        <f>IF($AT547="",0,1)</f>
        <v/>
      </c>
      <c r="CR547">
        <f>IF($CQ547=0,"",AW547)</f>
        <v/>
      </c>
      <c r="CS547">
        <f>IF($CQ547=0,"",AX547)</f>
        <v/>
      </c>
      <c r="CT547">
        <f>IF($CQ547=0,"",AY547)</f>
        <v/>
      </c>
      <c r="CU547">
        <f>IF($CR547="","",IF($CR547="Aloe Vera Gel","Aloe Vera Gel "&amp;$CT547&amp;"g",CS547&amp;" "&amp;$CT547&amp;"g"))</f>
        <v/>
      </c>
      <c r="CV547">
        <f>IF($CQ547=0,"",IF($CP547=$CU547,"Repeat Exact",IF($CT547&gt;$CO547,"Upsized",IF($CT547&lt;$CO547,"Downsized",IF($CM547&lt;&gt;$CR547,"Lateral","Same Size Diff Variant")))))</f>
        <v/>
      </c>
      <c r="CW547">
        <f>IF($CQ547=0,"",AZ547-AQ547)</f>
        <v/>
      </c>
      <c r="CX547">
        <f>IF($CQ547=0,0,IF(CS547=CN547,1,0))</f>
        <v/>
      </c>
      <c r="CY547">
        <f>IF($CQ547=0,0,IF(CR547=CM547,1,0))</f>
        <v/>
      </c>
      <c r="CZ547">
        <f>IF($A547="","",IF(AND(IF(DASHBOARD!$C$4="All",TRUE,$CM547=DASHBOARD!$C$4),IF(DASHBOARD!$C$6="All",TRUE,$CP547=DASHBOARD!$C$6),IF(DASHBOARD!$C$8="All",TRUE,$AF547&gt;=DASHBOARD!$C$8),IF(DASHBOARD!$C$10="All",TRUE,$AF547&lt;=DASHBOARD!$C$10),IF(DASHBOARD!$C$12="All",TRUE,$AH547=VALUE(DASHBOARD!$C$12)),IF(DASHBOARD!$C$14="All",TRUE,$AJ547=DASHBOARD!$C$14)),1,0))</f>
        <v/>
      </c>
    </row>
    <row r="548">
      <c r="A548" t="n">
        <v>242271</v>
      </c>
      <c r="B548" t="inlineStr">
        <is>
          <t>Active Gel</t>
        </is>
      </c>
      <c r="H548" t="inlineStr">
        <is>
          <t>Active Orange Kiwi Vit-C Gel</t>
        </is>
      </c>
      <c r="N548" t="inlineStr">
        <is>
          <t>FC-AC-OK-050</t>
        </is>
      </c>
      <c r="T548" t="inlineStr">
        <is>
          <t>Jun 8, 2024</t>
        </is>
      </c>
      <c r="AE548" t="inlineStr">
        <is>
          <t>Thane</t>
        </is>
      </c>
      <c r="AF548" t="inlineStr">
        <is>
          <t>2024-06</t>
        </is>
      </c>
      <c r="AG548" t="n">
        <v>6</v>
      </c>
      <c r="AH548" t="n">
        <v>1</v>
      </c>
      <c r="AI548" t="n">
        <v>0</v>
      </c>
      <c r="AJ548">
        <f>IF($AE548="","",IFERROR(VLOOKUP(TRIM($AE548),DECODE!$H$3:$I$60,2,FALSE),"Rest of India"))</f>
        <v/>
      </c>
      <c r="AK548">
        <f>IF($N548="","",UPPER(TRIM(LEFT($N548&amp;",",FIND(",",$N548&amp;",")-1))))</f>
        <v/>
      </c>
      <c r="AL548">
        <f>IF($AK548="","",MID($AK548,4,FIND("~",SUBSTITUTE($AK548,"-","~",2))-4))</f>
        <v/>
      </c>
      <c r="AM548">
        <f>IF($AK548="","",MID($AK548,FIND("~",SUBSTITUTE($AK548,"-","~",2))+1,FIND("~",SUBSTITUTE($AK548,"-","~",3))-FIND("~",SUBSTITUTE($AK548,"-","~",2))-1))</f>
        <v/>
      </c>
      <c r="AN548">
        <f>IF($AL548="","",IFERROR(VLOOKUP($AL548,DECODE!$A$3:$C$8,3,FALSE),"?"))</f>
        <v/>
      </c>
      <c r="AO548">
        <f>IF($AM548="","",IFERROR(VLOOKUP($AL548&amp;"-"&amp;$AM548,DECODE!$E$3:$F$21,2,FALSE),"?"))</f>
        <v/>
      </c>
      <c r="AP548">
        <f>IF($AK548="","",IFERROR(VALUE(RIGHT($AK548,3)),""))</f>
        <v/>
      </c>
      <c r="AQ548">
        <f>IF($T548="","",IFERROR(IF(ISNUMBER($T548),$T548,DATEVALUE(TRIM($T548))),""))</f>
        <v/>
      </c>
      <c r="AR548">
        <f>IF($AQ548="","",IF(MONTH($AQ548)&gt;=12,"Cold Winter",IF(MONTH($AQ548)&gt;=10,"Post-Monsoon",IF(MONTH($AQ548)&gt;=6,"Hot Humid",IF(MONTH($AQ548)&gt;=3,"Hot Dry","Cold Winter")))))</f>
        <v/>
      </c>
      <c r="AS548">
        <f>IF($AL548="","",IFERROR(VLOOKUP($AL548,DECODE!$A$3:$C$8,2,FALSE),"?"))</f>
        <v/>
      </c>
      <c r="AT548">
        <f>IF($O548="","",UPPER(TRIM(LEFT($O548&amp;",",FIND(",",$O548&amp;",")-1))))</f>
        <v/>
      </c>
      <c r="AU548">
        <f>IF($AT548="","",MID($AT548,4,FIND("~",SUBSTITUTE($AT548,"-","~",2))-4))</f>
        <v/>
      </c>
      <c r="AV548">
        <f>IF($AT548="","",MID($AT548,FIND("~",SUBSTITUTE($AT548,"-","~",2))+1,FIND("~",SUBSTITUTE($AT548,"-","~",3))-FIND("~",SUBSTITUTE($AT548,"-","~",2))-1))</f>
        <v/>
      </c>
      <c r="AW548">
        <f>IF($AU548="","",IFERROR(VLOOKUP($AU548,DECODE!$A$3:$C$8,3,FALSE),"?"))</f>
        <v/>
      </c>
      <c r="AX548">
        <f>IF($AV548="","",IFERROR(VLOOKUP($AU548&amp;"-"&amp;$AV548,DECODE!$E$3:$F$21,2,FALSE),"?"))</f>
        <v/>
      </c>
      <c r="AY548">
        <f>IF($AT548="","",IFERROR(VALUE(RIGHT($AT548,3)),""))</f>
        <v/>
      </c>
      <c r="AZ548">
        <f>IF($U548="","",IFERROR(IF(ISNUMBER($U548),$U548,DATEVALUE(TRIM($U548))),""))</f>
        <v/>
      </c>
      <c r="BA548">
        <f>IF($AZ548="","",IF(MONTH($AZ548)&gt;=12,"Cold Winter",IF(MONTH($AZ548)&gt;=10,"Post-Monsoon",IF(MONTH($AZ548)&gt;=6,"Hot Humid",IF(MONTH($AZ548)&gt;=3,"Hot Dry","Cold Winter")))))</f>
        <v/>
      </c>
      <c r="BB548">
        <f>IF($AU548="","",IFERROR(VLOOKUP($AU548,DECODE!$A$3:$C$8,2,FALSE),"?"))</f>
        <v/>
      </c>
      <c r="BC548">
        <f>IF($P548="","",UPPER(TRIM(LEFT($P548&amp;",",FIND(",",$P548&amp;",")-1))))</f>
        <v/>
      </c>
      <c r="BD548">
        <f>IF($BC548="","",MID($BC548,4,FIND("~",SUBSTITUTE($BC548,"-","~",2))-4))</f>
        <v/>
      </c>
      <c r="BE548">
        <f>IF($BC548="","",MID($BC548,FIND("~",SUBSTITUTE($BC548,"-","~",2))+1,FIND("~",SUBSTITUTE($BC548,"-","~",3))-FIND("~",SUBSTITUTE($BC548,"-","~",2))-1))</f>
        <v/>
      </c>
      <c r="BF548">
        <f>IF($BD548="","",IFERROR(VLOOKUP($BD548,DECODE!$A$3:$C$8,3,FALSE),"?"))</f>
        <v/>
      </c>
      <c r="BG548">
        <f>IF($BE548="","",IFERROR(VLOOKUP($BD548&amp;"-"&amp;$BE548,DECODE!$E$3:$F$21,2,FALSE),"?"))</f>
        <v/>
      </c>
      <c r="BH548">
        <f>IF($BC548="","",IFERROR(VALUE(RIGHT($BC548,3)),""))</f>
        <v/>
      </c>
      <c r="BI548">
        <f>IF($V548="","",IFERROR(IF(ISNUMBER($V548),$V548,DATEVALUE(TRIM($V548))),""))</f>
        <v/>
      </c>
      <c r="BJ548">
        <f>IF($BI548="","",IF(MONTH($BI548)&gt;=12,"Cold Winter",IF(MONTH($BI548)&gt;=10,"Post-Monsoon",IF(MONTH($BI548)&gt;=6,"Hot Humid",IF(MONTH($BI548)&gt;=3,"Hot Dry","Cold Winter")))))</f>
        <v/>
      </c>
      <c r="BK548">
        <f>IF($BD548="","",IFERROR(VLOOKUP($BD548,DECODE!$A$3:$C$8,2,FALSE),"?"))</f>
        <v/>
      </c>
      <c r="BL548">
        <f>IF($Q548="","",UPPER(TRIM(LEFT($Q548&amp;",",FIND(",",$Q548&amp;",")-1))))</f>
        <v/>
      </c>
      <c r="BM548">
        <f>IF($BL548="","",MID($BL548,4,FIND("~",SUBSTITUTE($BL548,"-","~",2))-4))</f>
        <v/>
      </c>
      <c r="BN548">
        <f>IF($BL548="","",MID($BL548,FIND("~",SUBSTITUTE($BL548,"-","~",2))+1,FIND("~",SUBSTITUTE($BL548,"-","~",3))-FIND("~",SUBSTITUTE($BL548,"-","~",2))-1))</f>
        <v/>
      </c>
      <c r="BO548">
        <f>IF($BM548="","",IFERROR(VLOOKUP($BM548,DECODE!$A$3:$C$8,3,FALSE),"?"))</f>
        <v/>
      </c>
      <c r="BP548">
        <f>IF($BN548="","",IFERROR(VLOOKUP($BM548&amp;"-"&amp;$BN548,DECODE!$E$3:$F$21,2,FALSE),"?"))</f>
        <v/>
      </c>
      <c r="BQ548">
        <f>IF($BL548="","",IFERROR(VALUE(RIGHT($BL548,3)),""))</f>
        <v/>
      </c>
      <c r="BR548">
        <f>IF($W548="","",IFERROR(IF(ISNUMBER($W548),$W548,DATEVALUE(TRIM($W548))),""))</f>
        <v/>
      </c>
      <c r="BS548">
        <f>IF($BR548="","",IF(MONTH($BR548)&gt;=12,"Cold Winter",IF(MONTH($BR548)&gt;=10,"Post-Monsoon",IF(MONTH($BR548)&gt;=6,"Hot Humid",IF(MONTH($BR548)&gt;=3,"Hot Dry","Cold Winter")))))</f>
        <v/>
      </c>
      <c r="BT548">
        <f>IF($BM548="","",IFERROR(VLOOKUP($BM548,DECODE!$A$3:$C$8,2,FALSE),"?"))</f>
        <v/>
      </c>
      <c r="BU548">
        <f>IF($R548="","",UPPER(TRIM(LEFT($R548&amp;",",FIND(",",$R548&amp;",")-1))))</f>
        <v/>
      </c>
      <c r="BV548">
        <f>IF($BU548="","",MID($BU548,4,FIND("~",SUBSTITUTE($BU548,"-","~",2))-4))</f>
        <v/>
      </c>
      <c r="BW548">
        <f>IF($BU548="","",MID($BU548,FIND("~",SUBSTITUTE($BU548,"-","~",2))+1,FIND("~",SUBSTITUTE($BU548,"-","~",3))-FIND("~",SUBSTITUTE($BU548,"-","~",2))-1))</f>
        <v/>
      </c>
      <c r="BX548">
        <f>IF($BV548="","",IFERROR(VLOOKUP($BV548,DECODE!$A$3:$C$8,3,FALSE),"?"))</f>
        <v/>
      </c>
      <c r="BY548">
        <f>IF($BW548="","",IFERROR(VLOOKUP($BV548&amp;"-"&amp;$BW548,DECODE!$E$3:$F$21,2,FALSE),"?"))</f>
        <v/>
      </c>
      <c r="BZ548">
        <f>IF($BU548="","",IFERROR(VALUE(RIGHT($BU548,3)),""))</f>
        <v/>
      </c>
      <c r="CA548">
        <f>IF($X548="","",IFERROR(IF(ISNUMBER($X548),$X548,DATEVALUE(TRIM($X548))),""))</f>
        <v/>
      </c>
      <c r="CB548">
        <f>IF($CA548="","",IF(MONTH($CA548)&gt;=12,"Cold Winter",IF(MONTH($CA548)&gt;=10,"Post-Monsoon",IF(MONTH($CA548)&gt;=6,"Hot Humid",IF(MONTH($CA548)&gt;=3,"Hot Dry","Cold Winter")))))</f>
        <v/>
      </c>
      <c r="CC548">
        <f>IF($BV548="","",IFERROR(VLOOKUP($BV548,DECODE!$A$3:$C$8,2,FALSE),"?"))</f>
        <v/>
      </c>
      <c r="CD548">
        <f>IF($S548="","",UPPER(TRIM(LEFT($S548&amp;",",FIND(",",$S548&amp;",")-1))))</f>
        <v/>
      </c>
      <c r="CE548">
        <f>IF($CD548="","",MID($CD548,4,FIND("~",SUBSTITUTE($CD548,"-","~",2))-4))</f>
        <v/>
      </c>
      <c r="CF548">
        <f>IF($CD548="","",MID($CD548,FIND("~",SUBSTITUTE($CD548,"-","~",2))+1,FIND("~",SUBSTITUTE($CD548,"-","~",3))-FIND("~",SUBSTITUTE($CD548,"-","~",2))-1))</f>
        <v/>
      </c>
      <c r="CG548">
        <f>IF($CE548="","",IFERROR(VLOOKUP($CE548,DECODE!$A$3:$C$8,3,FALSE),"?"))</f>
        <v/>
      </c>
      <c r="CH548">
        <f>IF($CF548="","",IFERROR(VLOOKUP($CE548&amp;"-"&amp;$CF548,DECODE!$E$3:$F$21,2,FALSE),"?"))</f>
        <v/>
      </c>
      <c r="CI548">
        <f>IF($CD548="","",IFERROR(VALUE(RIGHT($CD548,3)),""))</f>
        <v/>
      </c>
      <c r="CJ548">
        <f>IF($Y548="","",IFERROR(IF(ISNUMBER($Y548),$Y548,DATEVALUE(TRIM($Y548))),""))</f>
        <v/>
      </c>
      <c r="CK548">
        <f>IF($CJ548="","",IF(MONTH($CJ548)&gt;=12,"Cold Winter",IF(MONTH($CJ548)&gt;=10,"Post-Monsoon",IF(MONTH($CJ548)&gt;=6,"Hot Humid",IF(MONTH($CJ548)&gt;=3,"Hot Dry","Cold Winter")))))</f>
        <v/>
      </c>
      <c r="CL548">
        <f>IF($CE548="","",IFERROR(VLOOKUP($CE548,DECODE!$A$3:$C$8,2,FALSE),"?"))</f>
        <v/>
      </c>
      <c r="CM548">
        <f>IF($AN548="","",AN548)</f>
        <v/>
      </c>
      <c r="CN548">
        <f>IF($AO548="","",AO548)</f>
        <v/>
      </c>
      <c r="CO548">
        <f>IF($AP548="","",AP548)</f>
        <v/>
      </c>
      <c r="CP548">
        <f>IF($CM548="","",IF($CM548="Aloe Vera Gel","Aloe Vera Gel "&amp;$CO548&amp;"g",CN548&amp;" "&amp;$CO548&amp;"g"))</f>
        <v/>
      </c>
      <c r="CQ548">
        <f>IF($AT548="",0,1)</f>
        <v/>
      </c>
      <c r="CR548">
        <f>IF($CQ548=0,"",AW548)</f>
        <v/>
      </c>
      <c r="CS548">
        <f>IF($CQ548=0,"",AX548)</f>
        <v/>
      </c>
      <c r="CT548">
        <f>IF($CQ548=0,"",AY548)</f>
        <v/>
      </c>
      <c r="CU548">
        <f>IF($CR548="","",IF($CR548="Aloe Vera Gel","Aloe Vera Gel "&amp;$CT548&amp;"g",CS548&amp;" "&amp;$CT548&amp;"g"))</f>
        <v/>
      </c>
      <c r="CV548">
        <f>IF($CQ548=0,"",IF($CP548=$CU548,"Repeat Exact",IF($CT548&gt;$CO548,"Upsized",IF($CT548&lt;$CO548,"Downsized",IF($CM548&lt;&gt;$CR548,"Lateral","Same Size Diff Variant")))))</f>
        <v/>
      </c>
      <c r="CW548">
        <f>IF($CQ548=0,"",AZ548-AQ548)</f>
        <v/>
      </c>
      <c r="CX548">
        <f>IF($CQ548=0,0,IF(CS548=CN548,1,0))</f>
        <v/>
      </c>
      <c r="CY548">
        <f>IF($CQ548=0,0,IF(CR548=CM548,1,0))</f>
        <v/>
      </c>
      <c r="CZ548">
        <f>IF($A548="","",IF(AND(IF(DASHBOARD!$C$4="All",TRUE,$CM548=DASHBOARD!$C$4),IF(DASHBOARD!$C$6="All",TRUE,$CP548=DASHBOARD!$C$6),IF(DASHBOARD!$C$8="All",TRUE,$AF548&gt;=DASHBOARD!$C$8),IF(DASHBOARD!$C$10="All",TRUE,$AF548&lt;=DASHBOARD!$C$10),IF(DASHBOARD!$C$12="All",TRUE,$AH548=VALUE(DASHBOARD!$C$12)),IF(DASHBOARD!$C$14="All",TRUE,$AJ548=DASHBOARD!$C$14)),1,0))</f>
        <v/>
      </c>
    </row>
    <row r="549">
      <c r="A549" t="n">
        <v>242355</v>
      </c>
      <c r="B549" t="inlineStr">
        <is>
          <t>Face Malai</t>
        </is>
      </c>
      <c r="C549" t="inlineStr">
        <is>
          <t>Active Gel</t>
        </is>
      </c>
      <c r="H549" t="inlineStr">
        <is>
          <t>Tomato Rosehip (Hot Dry) 20 - 35 Yrs Face Malai - 30g</t>
        </is>
      </c>
      <c r="I549" t="inlineStr">
        <is>
          <t>Active Orange Kiwi Vit-C Gel</t>
        </is>
      </c>
      <c r="N549" t="inlineStr">
        <is>
          <t>FC-HDDM-TR-030</t>
        </is>
      </c>
      <c r="O549" t="inlineStr">
        <is>
          <t>FC-AC-OK-050</t>
        </is>
      </c>
      <c r="T549" t="inlineStr">
        <is>
          <t>Feb 25, 2024</t>
        </is>
      </c>
      <c r="U549" t="inlineStr">
        <is>
          <t>Aug 2, 2024</t>
        </is>
      </c>
      <c r="Z549" t="n">
        <v>159</v>
      </c>
      <c r="AE549" t="inlineStr">
        <is>
          <t>New Delhi</t>
        </is>
      </c>
      <c r="AF549" t="inlineStr">
        <is>
          <t>2024-02</t>
        </is>
      </c>
      <c r="AG549" t="n">
        <v>2</v>
      </c>
      <c r="AH549" t="n">
        <v>2</v>
      </c>
      <c r="AI549" t="n">
        <v>1</v>
      </c>
      <c r="AJ549">
        <f>IF($AE549="","",IFERROR(VLOOKUP(TRIM($AE549),DECODE!$H$3:$I$60,2,FALSE),"Rest of India"))</f>
        <v/>
      </c>
      <c r="AK549">
        <f>IF($N549="","",UPPER(TRIM(LEFT($N549&amp;",",FIND(",",$N549&amp;",")-1))))</f>
        <v/>
      </c>
      <c r="AL549">
        <f>IF($AK549="","",MID($AK549,4,FIND("~",SUBSTITUTE($AK549,"-","~",2))-4))</f>
        <v/>
      </c>
      <c r="AM549">
        <f>IF($AK549="","",MID($AK549,FIND("~",SUBSTITUTE($AK549,"-","~",2))+1,FIND("~",SUBSTITUTE($AK549,"-","~",3))-FIND("~",SUBSTITUTE($AK549,"-","~",2))-1))</f>
        <v/>
      </c>
      <c r="AN549">
        <f>IF($AL549="","",IFERROR(VLOOKUP($AL549,DECODE!$A$3:$C$8,3,FALSE),"?"))</f>
        <v/>
      </c>
      <c r="AO549">
        <f>IF($AM549="","",IFERROR(VLOOKUP($AL549&amp;"-"&amp;$AM549,DECODE!$E$3:$F$21,2,FALSE),"?"))</f>
        <v/>
      </c>
      <c r="AP549">
        <f>IF($AK549="","",IFERROR(VALUE(RIGHT($AK549,3)),""))</f>
        <v/>
      </c>
      <c r="AQ549">
        <f>IF($T549="","",IFERROR(IF(ISNUMBER($T549),$T549,DATEVALUE(TRIM($T549))),""))</f>
        <v/>
      </c>
      <c r="AR549">
        <f>IF($AQ549="","",IF(MONTH($AQ549)&gt;=12,"Cold Winter",IF(MONTH($AQ549)&gt;=10,"Post-Monsoon",IF(MONTH($AQ549)&gt;=6,"Hot Humid",IF(MONTH($AQ549)&gt;=3,"Hot Dry","Cold Winter")))))</f>
        <v/>
      </c>
      <c r="AS549">
        <f>IF($AL549="","",IFERROR(VLOOKUP($AL549,DECODE!$A$3:$C$8,2,FALSE),"?"))</f>
        <v/>
      </c>
      <c r="AT549">
        <f>IF($O549="","",UPPER(TRIM(LEFT($O549&amp;",",FIND(",",$O549&amp;",")-1))))</f>
        <v/>
      </c>
      <c r="AU549">
        <f>IF($AT549="","",MID($AT549,4,FIND("~",SUBSTITUTE($AT549,"-","~",2))-4))</f>
        <v/>
      </c>
      <c r="AV549">
        <f>IF($AT549="","",MID($AT549,FIND("~",SUBSTITUTE($AT549,"-","~",2))+1,FIND("~",SUBSTITUTE($AT549,"-","~",3))-FIND("~",SUBSTITUTE($AT549,"-","~",2))-1))</f>
        <v/>
      </c>
      <c r="AW549">
        <f>IF($AU549="","",IFERROR(VLOOKUP($AU549,DECODE!$A$3:$C$8,3,FALSE),"?"))</f>
        <v/>
      </c>
      <c r="AX549">
        <f>IF($AV549="","",IFERROR(VLOOKUP($AU549&amp;"-"&amp;$AV549,DECODE!$E$3:$F$21,2,FALSE),"?"))</f>
        <v/>
      </c>
      <c r="AY549">
        <f>IF($AT549="","",IFERROR(VALUE(RIGHT($AT549,3)),""))</f>
        <v/>
      </c>
      <c r="AZ549">
        <f>IF($U549="","",IFERROR(IF(ISNUMBER($U549),$U549,DATEVALUE(TRIM($U549))),""))</f>
        <v/>
      </c>
      <c r="BA549">
        <f>IF($AZ549="","",IF(MONTH($AZ549)&gt;=12,"Cold Winter",IF(MONTH($AZ549)&gt;=10,"Post-Monsoon",IF(MONTH($AZ549)&gt;=6,"Hot Humid",IF(MONTH($AZ549)&gt;=3,"Hot Dry","Cold Winter")))))</f>
        <v/>
      </c>
      <c r="BB549">
        <f>IF($AU549="","",IFERROR(VLOOKUP($AU549,DECODE!$A$3:$C$8,2,FALSE),"?"))</f>
        <v/>
      </c>
      <c r="BC549">
        <f>IF($P549="","",UPPER(TRIM(LEFT($P549&amp;",",FIND(",",$P549&amp;",")-1))))</f>
        <v/>
      </c>
      <c r="BD549">
        <f>IF($BC549="","",MID($BC549,4,FIND("~",SUBSTITUTE($BC549,"-","~",2))-4))</f>
        <v/>
      </c>
      <c r="BE549">
        <f>IF($BC549="","",MID($BC549,FIND("~",SUBSTITUTE($BC549,"-","~",2))+1,FIND("~",SUBSTITUTE($BC549,"-","~",3))-FIND("~",SUBSTITUTE($BC549,"-","~",2))-1))</f>
        <v/>
      </c>
      <c r="BF549">
        <f>IF($BD549="","",IFERROR(VLOOKUP($BD549,DECODE!$A$3:$C$8,3,FALSE),"?"))</f>
        <v/>
      </c>
      <c r="BG549">
        <f>IF($BE549="","",IFERROR(VLOOKUP($BD549&amp;"-"&amp;$BE549,DECODE!$E$3:$F$21,2,FALSE),"?"))</f>
        <v/>
      </c>
      <c r="BH549">
        <f>IF($BC549="","",IFERROR(VALUE(RIGHT($BC549,3)),""))</f>
        <v/>
      </c>
      <c r="BI549">
        <f>IF($V549="","",IFERROR(IF(ISNUMBER($V549),$V549,DATEVALUE(TRIM($V549))),""))</f>
        <v/>
      </c>
      <c r="BJ549">
        <f>IF($BI549="","",IF(MONTH($BI549)&gt;=12,"Cold Winter",IF(MONTH($BI549)&gt;=10,"Post-Monsoon",IF(MONTH($BI549)&gt;=6,"Hot Humid",IF(MONTH($BI549)&gt;=3,"Hot Dry","Cold Winter")))))</f>
        <v/>
      </c>
      <c r="BK549">
        <f>IF($BD549="","",IFERROR(VLOOKUP($BD549,DECODE!$A$3:$C$8,2,FALSE),"?"))</f>
        <v/>
      </c>
      <c r="BL549">
        <f>IF($Q549="","",UPPER(TRIM(LEFT($Q549&amp;",",FIND(",",$Q549&amp;",")-1))))</f>
        <v/>
      </c>
      <c r="BM549">
        <f>IF($BL549="","",MID($BL549,4,FIND("~",SUBSTITUTE($BL549,"-","~",2))-4))</f>
        <v/>
      </c>
      <c r="BN549">
        <f>IF($BL549="","",MID($BL549,FIND("~",SUBSTITUTE($BL549,"-","~",2))+1,FIND("~",SUBSTITUTE($BL549,"-","~",3))-FIND("~",SUBSTITUTE($BL549,"-","~",2))-1))</f>
        <v/>
      </c>
      <c r="BO549">
        <f>IF($BM549="","",IFERROR(VLOOKUP($BM549,DECODE!$A$3:$C$8,3,FALSE),"?"))</f>
        <v/>
      </c>
      <c r="BP549">
        <f>IF($BN549="","",IFERROR(VLOOKUP($BM549&amp;"-"&amp;$BN549,DECODE!$E$3:$F$21,2,FALSE),"?"))</f>
        <v/>
      </c>
      <c r="BQ549">
        <f>IF($BL549="","",IFERROR(VALUE(RIGHT($BL549,3)),""))</f>
        <v/>
      </c>
      <c r="BR549">
        <f>IF($W549="","",IFERROR(IF(ISNUMBER($W549),$W549,DATEVALUE(TRIM($W549))),""))</f>
        <v/>
      </c>
      <c r="BS549">
        <f>IF($BR549="","",IF(MONTH($BR549)&gt;=12,"Cold Winter",IF(MONTH($BR549)&gt;=10,"Post-Monsoon",IF(MONTH($BR549)&gt;=6,"Hot Humid",IF(MONTH($BR549)&gt;=3,"Hot Dry","Cold Winter")))))</f>
        <v/>
      </c>
      <c r="BT549">
        <f>IF($BM549="","",IFERROR(VLOOKUP($BM549,DECODE!$A$3:$C$8,2,FALSE),"?"))</f>
        <v/>
      </c>
      <c r="BU549">
        <f>IF($R549="","",UPPER(TRIM(LEFT($R549&amp;",",FIND(",",$R549&amp;",")-1))))</f>
        <v/>
      </c>
      <c r="BV549">
        <f>IF($BU549="","",MID($BU549,4,FIND("~",SUBSTITUTE($BU549,"-","~",2))-4))</f>
        <v/>
      </c>
      <c r="BW549">
        <f>IF($BU549="","",MID($BU549,FIND("~",SUBSTITUTE($BU549,"-","~",2))+1,FIND("~",SUBSTITUTE($BU549,"-","~",3))-FIND("~",SUBSTITUTE($BU549,"-","~",2))-1))</f>
        <v/>
      </c>
      <c r="BX549">
        <f>IF($BV549="","",IFERROR(VLOOKUP($BV549,DECODE!$A$3:$C$8,3,FALSE),"?"))</f>
        <v/>
      </c>
      <c r="BY549">
        <f>IF($BW549="","",IFERROR(VLOOKUP($BV549&amp;"-"&amp;$BW549,DECODE!$E$3:$F$21,2,FALSE),"?"))</f>
        <v/>
      </c>
      <c r="BZ549">
        <f>IF($BU549="","",IFERROR(VALUE(RIGHT($BU549,3)),""))</f>
        <v/>
      </c>
      <c r="CA549">
        <f>IF($X549="","",IFERROR(IF(ISNUMBER($X549),$X549,DATEVALUE(TRIM($X549))),""))</f>
        <v/>
      </c>
      <c r="CB549">
        <f>IF($CA549="","",IF(MONTH($CA549)&gt;=12,"Cold Winter",IF(MONTH($CA549)&gt;=10,"Post-Monsoon",IF(MONTH($CA549)&gt;=6,"Hot Humid",IF(MONTH($CA549)&gt;=3,"Hot Dry","Cold Winter")))))</f>
        <v/>
      </c>
      <c r="CC549">
        <f>IF($BV549="","",IFERROR(VLOOKUP($BV549,DECODE!$A$3:$C$8,2,FALSE),"?"))</f>
        <v/>
      </c>
      <c r="CD549">
        <f>IF($S549="","",UPPER(TRIM(LEFT($S549&amp;",",FIND(",",$S549&amp;",")-1))))</f>
        <v/>
      </c>
      <c r="CE549">
        <f>IF($CD549="","",MID($CD549,4,FIND("~",SUBSTITUTE($CD549,"-","~",2))-4))</f>
        <v/>
      </c>
      <c r="CF549">
        <f>IF($CD549="","",MID($CD549,FIND("~",SUBSTITUTE($CD549,"-","~",2))+1,FIND("~",SUBSTITUTE($CD549,"-","~",3))-FIND("~",SUBSTITUTE($CD549,"-","~",2))-1))</f>
        <v/>
      </c>
      <c r="CG549">
        <f>IF($CE549="","",IFERROR(VLOOKUP($CE549,DECODE!$A$3:$C$8,3,FALSE),"?"))</f>
        <v/>
      </c>
      <c r="CH549">
        <f>IF($CF549="","",IFERROR(VLOOKUP($CE549&amp;"-"&amp;$CF549,DECODE!$E$3:$F$21,2,FALSE),"?"))</f>
        <v/>
      </c>
      <c r="CI549">
        <f>IF($CD549="","",IFERROR(VALUE(RIGHT($CD549,3)),""))</f>
        <v/>
      </c>
      <c r="CJ549">
        <f>IF($Y549="","",IFERROR(IF(ISNUMBER($Y549),$Y549,DATEVALUE(TRIM($Y549))),""))</f>
        <v/>
      </c>
      <c r="CK549">
        <f>IF($CJ549="","",IF(MONTH($CJ549)&gt;=12,"Cold Winter",IF(MONTH($CJ549)&gt;=10,"Post-Monsoon",IF(MONTH($CJ549)&gt;=6,"Hot Humid",IF(MONTH($CJ549)&gt;=3,"Hot Dry","Cold Winter")))))</f>
        <v/>
      </c>
      <c r="CL549">
        <f>IF($CE549="","",IFERROR(VLOOKUP($CE549,DECODE!$A$3:$C$8,2,FALSE),"?"))</f>
        <v/>
      </c>
      <c r="CM549">
        <f>IF($AN549="","",AN549)</f>
        <v/>
      </c>
      <c r="CN549">
        <f>IF($AO549="","",AO549)</f>
        <v/>
      </c>
      <c r="CO549">
        <f>IF($AP549="","",AP549)</f>
        <v/>
      </c>
      <c r="CP549">
        <f>IF($CM549="","",IF($CM549="Aloe Vera Gel","Aloe Vera Gel "&amp;$CO549&amp;"g",CN549&amp;" "&amp;$CO549&amp;"g"))</f>
        <v/>
      </c>
      <c r="CQ549">
        <f>IF($AT549="",0,1)</f>
        <v/>
      </c>
      <c r="CR549">
        <f>IF($CQ549=0,"",AW549)</f>
        <v/>
      </c>
      <c r="CS549">
        <f>IF($CQ549=0,"",AX549)</f>
        <v/>
      </c>
      <c r="CT549">
        <f>IF($CQ549=0,"",AY549)</f>
        <v/>
      </c>
      <c r="CU549">
        <f>IF($CR549="","",IF($CR549="Aloe Vera Gel","Aloe Vera Gel "&amp;$CT549&amp;"g",CS549&amp;" "&amp;$CT549&amp;"g"))</f>
        <v/>
      </c>
      <c r="CV549">
        <f>IF($CQ549=0,"",IF($CP549=$CU549,"Repeat Exact",IF($CT549&gt;$CO549,"Upsized",IF($CT549&lt;$CO549,"Downsized",IF($CM549&lt;&gt;$CR549,"Lateral","Same Size Diff Variant")))))</f>
        <v/>
      </c>
      <c r="CW549">
        <f>IF($CQ549=0,"",AZ549-AQ549)</f>
        <v/>
      </c>
      <c r="CX549">
        <f>IF($CQ549=0,0,IF(CS549=CN549,1,0))</f>
        <v/>
      </c>
      <c r="CY549">
        <f>IF($CQ549=0,0,IF(CR549=CM549,1,0))</f>
        <v/>
      </c>
      <c r="CZ549">
        <f>IF($A549="","",IF(AND(IF(DASHBOARD!$C$4="All",TRUE,$CM549=DASHBOARD!$C$4),IF(DASHBOARD!$C$6="All",TRUE,$CP549=DASHBOARD!$C$6),IF(DASHBOARD!$C$8="All",TRUE,$AF549&gt;=DASHBOARD!$C$8),IF(DASHBOARD!$C$10="All",TRUE,$AF549&lt;=DASHBOARD!$C$10),IF(DASHBOARD!$C$12="All",TRUE,$AH549=VALUE(DASHBOARD!$C$12)),IF(DASHBOARD!$C$14="All",TRUE,$AJ549=DASHBOARD!$C$14)),1,0))</f>
        <v/>
      </c>
    </row>
    <row r="550">
      <c r="A550" t="n">
        <v>242479</v>
      </c>
      <c r="B550" t="inlineStr">
        <is>
          <t>Aloe Vera Gel</t>
        </is>
      </c>
      <c r="H550" t="inlineStr">
        <is>
          <t>Aloe Vera Gel - 40 gms</t>
        </is>
      </c>
      <c r="N550" t="inlineStr">
        <is>
          <t>FC-HG-PA-040</t>
        </is>
      </c>
      <c r="T550" t="inlineStr">
        <is>
          <t>Apr 5, 2024</t>
        </is>
      </c>
      <c r="AE550" t="inlineStr">
        <is>
          <t>Koraput</t>
        </is>
      </c>
      <c r="AF550" t="inlineStr">
        <is>
          <t>2024-04</t>
        </is>
      </c>
      <c r="AG550" t="n">
        <v>4</v>
      </c>
      <c r="AH550" t="n">
        <v>1</v>
      </c>
      <c r="AI550" t="n">
        <v>0</v>
      </c>
      <c r="AJ550">
        <f>IF($AE550="","",IFERROR(VLOOKUP(TRIM($AE550),DECODE!$H$3:$I$60,2,FALSE),"Rest of India"))</f>
        <v/>
      </c>
      <c r="AK550">
        <f>IF($N550="","",UPPER(TRIM(LEFT($N550&amp;",",FIND(",",$N550&amp;",")-1))))</f>
        <v/>
      </c>
      <c r="AL550">
        <f>IF($AK550="","",MID($AK550,4,FIND("~",SUBSTITUTE($AK550,"-","~",2))-4))</f>
        <v/>
      </c>
      <c r="AM550">
        <f>IF($AK550="","",MID($AK550,FIND("~",SUBSTITUTE($AK550,"-","~",2))+1,FIND("~",SUBSTITUTE($AK550,"-","~",3))-FIND("~",SUBSTITUTE($AK550,"-","~",2))-1))</f>
        <v/>
      </c>
      <c r="AN550">
        <f>IF($AL550="","",IFERROR(VLOOKUP($AL550,DECODE!$A$3:$C$8,3,FALSE),"?"))</f>
        <v/>
      </c>
      <c r="AO550">
        <f>IF($AM550="","",IFERROR(VLOOKUP($AL550&amp;"-"&amp;$AM550,DECODE!$E$3:$F$21,2,FALSE),"?"))</f>
        <v/>
      </c>
      <c r="AP550">
        <f>IF($AK550="","",IFERROR(VALUE(RIGHT($AK550,3)),""))</f>
        <v/>
      </c>
      <c r="AQ550">
        <f>IF($T550="","",IFERROR(IF(ISNUMBER($T550),$T550,DATEVALUE(TRIM($T550))),""))</f>
        <v/>
      </c>
      <c r="AR550">
        <f>IF($AQ550="","",IF(MONTH($AQ550)&gt;=12,"Cold Winter",IF(MONTH($AQ550)&gt;=10,"Post-Monsoon",IF(MONTH($AQ550)&gt;=6,"Hot Humid",IF(MONTH($AQ550)&gt;=3,"Hot Dry","Cold Winter")))))</f>
        <v/>
      </c>
      <c r="AS550">
        <f>IF($AL550="","",IFERROR(VLOOKUP($AL550,DECODE!$A$3:$C$8,2,FALSE),"?"))</f>
        <v/>
      </c>
      <c r="AT550">
        <f>IF($O550="","",UPPER(TRIM(LEFT($O550&amp;",",FIND(",",$O550&amp;",")-1))))</f>
        <v/>
      </c>
      <c r="AU550">
        <f>IF($AT550="","",MID($AT550,4,FIND("~",SUBSTITUTE($AT550,"-","~",2))-4))</f>
        <v/>
      </c>
      <c r="AV550">
        <f>IF($AT550="","",MID($AT550,FIND("~",SUBSTITUTE($AT550,"-","~",2))+1,FIND("~",SUBSTITUTE($AT550,"-","~",3))-FIND("~",SUBSTITUTE($AT550,"-","~",2))-1))</f>
        <v/>
      </c>
      <c r="AW550">
        <f>IF($AU550="","",IFERROR(VLOOKUP($AU550,DECODE!$A$3:$C$8,3,FALSE),"?"))</f>
        <v/>
      </c>
      <c r="AX550">
        <f>IF($AV550="","",IFERROR(VLOOKUP($AU550&amp;"-"&amp;$AV550,DECODE!$E$3:$F$21,2,FALSE),"?"))</f>
        <v/>
      </c>
      <c r="AY550">
        <f>IF($AT550="","",IFERROR(VALUE(RIGHT($AT550,3)),""))</f>
        <v/>
      </c>
      <c r="AZ550">
        <f>IF($U550="","",IFERROR(IF(ISNUMBER($U550),$U550,DATEVALUE(TRIM($U550))),""))</f>
        <v/>
      </c>
      <c r="BA550">
        <f>IF($AZ550="","",IF(MONTH($AZ550)&gt;=12,"Cold Winter",IF(MONTH($AZ550)&gt;=10,"Post-Monsoon",IF(MONTH($AZ550)&gt;=6,"Hot Humid",IF(MONTH($AZ550)&gt;=3,"Hot Dry","Cold Winter")))))</f>
        <v/>
      </c>
      <c r="BB550">
        <f>IF($AU550="","",IFERROR(VLOOKUP($AU550,DECODE!$A$3:$C$8,2,FALSE),"?"))</f>
        <v/>
      </c>
      <c r="BC550">
        <f>IF($P550="","",UPPER(TRIM(LEFT($P550&amp;",",FIND(",",$P550&amp;",")-1))))</f>
        <v/>
      </c>
      <c r="BD550">
        <f>IF($BC550="","",MID($BC550,4,FIND("~",SUBSTITUTE($BC550,"-","~",2))-4))</f>
        <v/>
      </c>
      <c r="BE550">
        <f>IF($BC550="","",MID($BC550,FIND("~",SUBSTITUTE($BC550,"-","~",2))+1,FIND("~",SUBSTITUTE($BC550,"-","~",3))-FIND("~",SUBSTITUTE($BC550,"-","~",2))-1))</f>
        <v/>
      </c>
      <c r="BF550">
        <f>IF($BD550="","",IFERROR(VLOOKUP($BD550,DECODE!$A$3:$C$8,3,FALSE),"?"))</f>
        <v/>
      </c>
      <c r="BG550">
        <f>IF($BE550="","",IFERROR(VLOOKUP($BD550&amp;"-"&amp;$BE550,DECODE!$E$3:$F$21,2,FALSE),"?"))</f>
        <v/>
      </c>
      <c r="BH550">
        <f>IF($BC550="","",IFERROR(VALUE(RIGHT($BC550,3)),""))</f>
        <v/>
      </c>
      <c r="BI550">
        <f>IF($V550="","",IFERROR(IF(ISNUMBER($V550),$V550,DATEVALUE(TRIM($V550))),""))</f>
        <v/>
      </c>
      <c r="BJ550">
        <f>IF($BI550="","",IF(MONTH($BI550)&gt;=12,"Cold Winter",IF(MONTH($BI550)&gt;=10,"Post-Monsoon",IF(MONTH($BI550)&gt;=6,"Hot Humid",IF(MONTH($BI550)&gt;=3,"Hot Dry","Cold Winter")))))</f>
        <v/>
      </c>
      <c r="BK550">
        <f>IF($BD550="","",IFERROR(VLOOKUP($BD550,DECODE!$A$3:$C$8,2,FALSE),"?"))</f>
        <v/>
      </c>
      <c r="BL550">
        <f>IF($Q550="","",UPPER(TRIM(LEFT($Q550&amp;",",FIND(",",$Q550&amp;",")-1))))</f>
        <v/>
      </c>
      <c r="BM550">
        <f>IF($BL550="","",MID($BL550,4,FIND("~",SUBSTITUTE($BL550,"-","~",2))-4))</f>
        <v/>
      </c>
      <c r="BN550">
        <f>IF($BL550="","",MID($BL550,FIND("~",SUBSTITUTE($BL550,"-","~",2))+1,FIND("~",SUBSTITUTE($BL550,"-","~",3))-FIND("~",SUBSTITUTE($BL550,"-","~",2))-1))</f>
        <v/>
      </c>
      <c r="BO550">
        <f>IF($BM550="","",IFERROR(VLOOKUP($BM550,DECODE!$A$3:$C$8,3,FALSE),"?"))</f>
        <v/>
      </c>
      <c r="BP550">
        <f>IF($BN550="","",IFERROR(VLOOKUP($BM550&amp;"-"&amp;$BN550,DECODE!$E$3:$F$21,2,FALSE),"?"))</f>
        <v/>
      </c>
      <c r="BQ550">
        <f>IF($BL550="","",IFERROR(VALUE(RIGHT($BL550,3)),""))</f>
        <v/>
      </c>
      <c r="BR550">
        <f>IF($W550="","",IFERROR(IF(ISNUMBER($W550),$W550,DATEVALUE(TRIM($W550))),""))</f>
        <v/>
      </c>
      <c r="BS550">
        <f>IF($BR550="","",IF(MONTH($BR550)&gt;=12,"Cold Winter",IF(MONTH($BR550)&gt;=10,"Post-Monsoon",IF(MONTH($BR550)&gt;=6,"Hot Humid",IF(MONTH($BR550)&gt;=3,"Hot Dry","Cold Winter")))))</f>
        <v/>
      </c>
      <c r="BT550">
        <f>IF($BM550="","",IFERROR(VLOOKUP($BM550,DECODE!$A$3:$C$8,2,FALSE),"?"))</f>
        <v/>
      </c>
      <c r="BU550">
        <f>IF($R550="","",UPPER(TRIM(LEFT($R550&amp;",",FIND(",",$R550&amp;",")-1))))</f>
        <v/>
      </c>
      <c r="BV550">
        <f>IF($BU550="","",MID($BU550,4,FIND("~",SUBSTITUTE($BU550,"-","~",2))-4))</f>
        <v/>
      </c>
      <c r="BW550">
        <f>IF($BU550="","",MID($BU550,FIND("~",SUBSTITUTE($BU550,"-","~",2))+1,FIND("~",SUBSTITUTE($BU550,"-","~",3))-FIND("~",SUBSTITUTE($BU550,"-","~",2))-1))</f>
        <v/>
      </c>
      <c r="BX550">
        <f>IF($BV550="","",IFERROR(VLOOKUP($BV550,DECODE!$A$3:$C$8,3,FALSE),"?"))</f>
        <v/>
      </c>
      <c r="BY550">
        <f>IF($BW550="","",IFERROR(VLOOKUP($BV550&amp;"-"&amp;$BW550,DECODE!$E$3:$F$21,2,FALSE),"?"))</f>
        <v/>
      </c>
      <c r="BZ550">
        <f>IF($BU550="","",IFERROR(VALUE(RIGHT($BU550,3)),""))</f>
        <v/>
      </c>
      <c r="CA550">
        <f>IF($X550="","",IFERROR(IF(ISNUMBER($X550),$X550,DATEVALUE(TRIM($X550))),""))</f>
        <v/>
      </c>
      <c r="CB550">
        <f>IF($CA550="","",IF(MONTH($CA550)&gt;=12,"Cold Winter",IF(MONTH($CA550)&gt;=10,"Post-Monsoon",IF(MONTH($CA550)&gt;=6,"Hot Humid",IF(MONTH($CA550)&gt;=3,"Hot Dry","Cold Winter")))))</f>
        <v/>
      </c>
      <c r="CC550">
        <f>IF($BV550="","",IFERROR(VLOOKUP($BV550,DECODE!$A$3:$C$8,2,FALSE),"?"))</f>
        <v/>
      </c>
      <c r="CD550">
        <f>IF($S550="","",UPPER(TRIM(LEFT($S550&amp;",",FIND(",",$S550&amp;",")-1))))</f>
        <v/>
      </c>
      <c r="CE550">
        <f>IF($CD550="","",MID($CD550,4,FIND("~",SUBSTITUTE($CD550,"-","~",2))-4))</f>
        <v/>
      </c>
      <c r="CF550">
        <f>IF($CD550="","",MID($CD550,FIND("~",SUBSTITUTE($CD550,"-","~",2))+1,FIND("~",SUBSTITUTE($CD550,"-","~",3))-FIND("~",SUBSTITUTE($CD550,"-","~",2))-1))</f>
        <v/>
      </c>
      <c r="CG550">
        <f>IF($CE550="","",IFERROR(VLOOKUP($CE550,DECODE!$A$3:$C$8,3,FALSE),"?"))</f>
        <v/>
      </c>
      <c r="CH550">
        <f>IF($CF550="","",IFERROR(VLOOKUP($CE550&amp;"-"&amp;$CF550,DECODE!$E$3:$F$21,2,FALSE),"?"))</f>
        <v/>
      </c>
      <c r="CI550">
        <f>IF($CD550="","",IFERROR(VALUE(RIGHT($CD550,3)),""))</f>
        <v/>
      </c>
      <c r="CJ550">
        <f>IF($Y550="","",IFERROR(IF(ISNUMBER($Y550),$Y550,DATEVALUE(TRIM($Y550))),""))</f>
        <v/>
      </c>
      <c r="CK550">
        <f>IF($CJ550="","",IF(MONTH($CJ550)&gt;=12,"Cold Winter",IF(MONTH($CJ550)&gt;=10,"Post-Monsoon",IF(MONTH($CJ550)&gt;=6,"Hot Humid",IF(MONTH($CJ550)&gt;=3,"Hot Dry","Cold Winter")))))</f>
        <v/>
      </c>
      <c r="CL550">
        <f>IF($CE550="","",IFERROR(VLOOKUP($CE550,DECODE!$A$3:$C$8,2,FALSE),"?"))</f>
        <v/>
      </c>
      <c r="CM550">
        <f>IF($AN550="","",AN550)</f>
        <v/>
      </c>
      <c r="CN550">
        <f>IF($AO550="","",AO550)</f>
        <v/>
      </c>
      <c r="CO550">
        <f>IF($AP550="","",AP550)</f>
        <v/>
      </c>
      <c r="CP550">
        <f>IF($CM550="","",IF($CM550="Aloe Vera Gel","Aloe Vera Gel "&amp;$CO550&amp;"g",CN550&amp;" "&amp;$CO550&amp;"g"))</f>
        <v/>
      </c>
      <c r="CQ550">
        <f>IF($AT550="",0,1)</f>
        <v/>
      </c>
      <c r="CR550">
        <f>IF($CQ550=0,"",AW550)</f>
        <v/>
      </c>
      <c r="CS550">
        <f>IF($CQ550=0,"",AX550)</f>
        <v/>
      </c>
      <c r="CT550">
        <f>IF($CQ550=0,"",AY550)</f>
        <v/>
      </c>
      <c r="CU550">
        <f>IF($CR550="","",IF($CR550="Aloe Vera Gel","Aloe Vera Gel "&amp;$CT550&amp;"g",CS550&amp;" "&amp;$CT550&amp;"g"))</f>
        <v/>
      </c>
      <c r="CV550">
        <f>IF($CQ550=0,"",IF($CP550=$CU550,"Repeat Exact",IF($CT550&gt;$CO550,"Upsized",IF($CT550&lt;$CO550,"Downsized",IF($CM550&lt;&gt;$CR550,"Lateral","Same Size Diff Variant")))))</f>
        <v/>
      </c>
      <c r="CW550">
        <f>IF($CQ550=0,"",AZ550-AQ550)</f>
        <v/>
      </c>
      <c r="CX550">
        <f>IF($CQ550=0,0,IF(CS550=CN550,1,0))</f>
        <v/>
      </c>
      <c r="CY550">
        <f>IF($CQ550=0,0,IF(CR550=CM550,1,0))</f>
        <v/>
      </c>
      <c r="CZ550">
        <f>IF($A550="","",IF(AND(IF(DASHBOARD!$C$4="All",TRUE,$CM550=DASHBOARD!$C$4),IF(DASHBOARD!$C$6="All",TRUE,$CP550=DASHBOARD!$C$6),IF(DASHBOARD!$C$8="All",TRUE,$AF550&gt;=DASHBOARD!$C$8),IF(DASHBOARD!$C$10="All",TRUE,$AF550&lt;=DASHBOARD!$C$10),IF(DASHBOARD!$C$12="All",TRUE,$AH550=VALUE(DASHBOARD!$C$12)),IF(DASHBOARD!$C$14="All",TRUE,$AJ550=DASHBOARD!$C$14)),1,0))</f>
        <v/>
      </c>
    </row>
    <row r="551">
      <c r="A551" t="n">
        <v>242511</v>
      </c>
      <c r="B551" t="inlineStr">
        <is>
          <t>Active Gel</t>
        </is>
      </c>
      <c r="H551" t="inlineStr">
        <is>
          <t>Active Olive Vit-E Night Gel, Active Orange Kiwi Vit-C Gel</t>
        </is>
      </c>
      <c r="N551" t="inlineStr">
        <is>
          <t>FC-AC-OV-050, FC-AC-OK-050</t>
        </is>
      </c>
      <c r="T551" t="inlineStr">
        <is>
          <t>Nov 4, 2024</t>
        </is>
      </c>
      <c r="AE551" t="inlineStr">
        <is>
          <t>New Delhi</t>
        </is>
      </c>
      <c r="AF551" t="inlineStr">
        <is>
          <t>2024-11</t>
        </is>
      </c>
      <c r="AG551" t="n">
        <v>11</v>
      </c>
      <c r="AH551" t="n">
        <v>1</v>
      </c>
      <c r="AI551" t="n">
        <v>0</v>
      </c>
      <c r="AJ551">
        <f>IF($AE551="","",IFERROR(VLOOKUP(TRIM($AE551),DECODE!$H$3:$I$60,2,FALSE),"Rest of India"))</f>
        <v/>
      </c>
      <c r="AK551">
        <f>IF($N551="","",UPPER(TRIM(LEFT($N551&amp;",",FIND(",",$N551&amp;",")-1))))</f>
        <v/>
      </c>
      <c r="AL551">
        <f>IF($AK551="","",MID($AK551,4,FIND("~",SUBSTITUTE($AK551,"-","~",2))-4))</f>
        <v/>
      </c>
      <c r="AM551">
        <f>IF($AK551="","",MID($AK551,FIND("~",SUBSTITUTE($AK551,"-","~",2))+1,FIND("~",SUBSTITUTE($AK551,"-","~",3))-FIND("~",SUBSTITUTE($AK551,"-","~",2))-1))</f>
        <v/>
      </c>
      <c r="AN551">
        <f>IF($AL551="","",IFERROR(VLOOKUP($AL551,DECODE!$A$3:$C$8,3,FALSE),"?"))</f>
        <v/>
      </c>
      <c r="AO551">
        <f>IF($AM551="","",IFERROR(VLOOKUP($AL551&amp;"-"&amp;$AM551,DECODE!$E$3:$F$21,2,FALSE),"?"))</f>
        <v/>
      </c>
      <c r="AP551">
        <f>IF($AK551="","",IFERROR(VALUE(RIGHT($AK551,3)),""))</f>
        <v/>
      </c>
      <c r="AQ551">
        <f>IF($T551="","",IFERROR(IF(ISNUMBER($T551),$T551,DATEVALUE(TRIM($T551))),""))</f>
        <v/>
      </c>
      <c r="AR551">
        <f>IF($AQ551="","",IF(MONTH($AQ551)&gt;=12,"Cold Winter",IF(MONTH($AQ551)&gt;=10,"Post-Monsoon",IF(MONTH($AQ551)&gt;=6,"Hot Humid",IF(MONTH($AQ551)&gt;=3,"Hot Dry","Cold Winter")))))</f>
        <v/>
      </c>
      <c r="AS551">
        <f>IF($AL551="","",IFERROR(VLOOKUP($AL551,DECODE!$A$3:$C$8,2,FALSE),"?"))</f>
        <v/>
      </c>
      <c r="AT551">
        <f>IF($O551="","",UPPER(TRIM(LEFT($O551&amp;",",FIND(",",$O551&amp;",")-1))))</f>
        <v/>
      </c>
      <c r="AU551">
        <f>IF($AT551="","",MID($AT551,4,FIND("~",SUBSTITUTE($AT551,"-","~",2))-4))</f>
        <v/>
      </c>
      <c r="AV551">
        <f>IF($AT551="","",MID($AT551,FIND("~",SUBSTITUTE($AT551,"-","~",2))+1,FIND("~",SUBSTITUTE($AT551,"-","~",3))-FIND("~",SUBSTITUTE($AT551,"-","~",2))-1))</f>
        <v/>
      </c>
      <c r="AW551">
        <f>IF($AU551="","",IFERROR(VLOOKUP($AU551,DECODE!$A$3:$C$8,3,FALSE),"?"))</f>
        <v/>
      </c>
      <c r="AX551">
        <f>IF($AV551="","",IFERROR(VLOOKUP($AU551&amp;"-"&amp;$AV551,DECODE!$E$3:$F$21,2,FALSE),"?"))</f>
        <v/>
      </c>
      <c r="AY551">
        <f>IF($AT551="","",IFERROR(VALUE(RIGHT($AT551,3)),""))</f>
        <v/>
      </c>
      <c r="AZ551">
        <f>IF($U551="","",IFERROR(IF(ISNUMBER($U551),$U551,DATEVALUE(TRIM($U551))),""))</f>
        <v/>
      </c>
      <c r="BA551">
        <f>IF($AZ551="","",IF(MONTH($AZ551)&gt;=12,"Cold Winter",IF(MONTH($AZ551)&gt;=10,"Post-Monsoon",IF(MONTH($AZ551)&gt;=6,"Hot Humid",IF(MONTH($AZ551)&gt;=3,"Hot Dry","Cold Winter")))))</f>
        <v/>
      </c>
      <c r="BB551">
        <f>IF($AU551="","",IFERROR(VLOOKUP($AU551,DECODE!$A$3:$C$8,2,FALSE),"?"))</f>
        <v/>
      </c>
      <c r="BC551">
        <f>IF($P551="","",UPPER(TRIM(LEFT($P551&amp;",",FIND(",",$P551&amp;",")-1))))</f>
        <v/>
      </c>
      <c r="BD551">
        <f>IF($BC551="","",MID($BC551,4,FIND("~",SUBSTITUTE($BC551,"-","~",2))-4))</f>
        <v/>
      </c>
      <c r="BE551">
        <f>IF($BC551="","",MID($BC551,FIND("~",SUBSTITUTE($BC551,"-","~",2))+1,FIND("~",SUBSTITUTE($BC551,"-","~",3))-FIND("~",SUBSTITUTE($BC551,"-","~",2))-1))</f>
        <v/>
      </c>
      <c r="BF551">
        <f>IF($BD551="","",IFERROR(VLOOKUP($BD551,DECODE!$A$3:$C$8,3,FALSE),"?"))</f>
        <v/>
      </c>
      <c r="BG551">
        <f>IF($BE551="","",IFERROR(VLOOKUP($BD551&amp;"-"&amp;$BE551,DECODE!$E$3:$F$21,2,FALSE),"?"))</f>
        <v/>
      </c>
      <c r="BH551">
        <f>IF($BC551="","",IFERROR(VALUE(RIGHT($BC551,3)),""))</f>
        <v/>
      </c>
      <c r="BI551">
        <f>IF($V551="","",IFERROR(IF(ISNUMBER($V551),$V551,DATEVALUE(TRIM($V551))),""))</f>
        <v/>
      </c>
      <c r="BJ551">
        <f>IF($BI551="","",IF(MONTH($BI551)&gt;=12,"Cold Winter",IF(MONTH($BI551)&gt;=10,"Post-Monsoon",IF(MONTH($BI551)&gt;=6,"Hot Humid",IF(MONTH($BI551)&gt;=3,"Hot Dry","Cold Winter")))))</f>
        <v/>
      </c>
      <c r="BK551">
        <f>IF($BD551="","",IFERROR(VLOOKUP($BD551,DECODE!$A$3:$C$8,2,FALSE),"?"))</f>
        <v/>
      </c>
      <c r="BL551">
        <f>IF($Q551="","",UPPER(TRIM(LEFT($Q551&amp;",",FIND(",",$Q551&amp;",")-1))))</f>
        <v/>
      </c>
      <c r="BM551">
        <f>IF($BL551="","",MID($BL551,4,FIND("~",SUBSTITUTE($BL551,"-","~",2))-4))</f>
        <v/>
      </c>
      <c r="BN551">
        <f>IF($BL551="","",MID($BL551,FIND("~",SUBSTITUTE($BL551,"-","~",2))+1,FIND("~",SUBSTITUTE($BL551,"-","~",3))-FIND("~",SUBSTITUTE($BL551,"-","~",2))-1))</f>
        <v/>
      </c>
      <c r="BO551">
        <f>IF($BM551="","",IFERROR(VLOOKUP($BM551,DECODE!$A$3:$C$8,3,FALSE),"?"))</f>
        <v/>
      </c>
      <c r="BP551">
        <f>IF($BN551="","",IFERROR(VLOOKUP($BM551&amp;"-"&amp;$BN551,DECODE!$E$3:$F$21,2,FALSE),"?"))</f>
        <v/>
      </c>
      <c r="BQ551">
        <f>IF($BL551="","",IFERROR(VALUE(RIGHT($BL551,3)),""))</f>
        <v/>
      </c>
      <c r="BR551">
        <f>IF($W551="","",IFERROR(IF(ISNUMBER($W551),$W551,DATEVALUE(TRIM($W551))),""))</f>
        <v/>
      </c>
      <c r="BS551">
        <f>IF($BR551="","",IF(MONTH($BR551)&gt;=12,"Cold Winter",IF(MONTH($BR551)&gt;=10,"Post-Monsoon",IF(MONTH($BR551)&gt;=6,"Hot Humid",IF(MONTH($BR551)&gt;=3,"Hot Dry","Cold Winter")))))</f>
        <v/>
      </c>
      <c r="BT551">
        <f>IF($BM551="","",IFERROR(VLOOKUP($BM551,DECODE!$A$3:$C$8,2,FALSE),"?"))</f>
        <v/>
      </c>
      <c r="BU551">
        <f>IF($R551="","",UPPER(TRIM(LEFT($R551&amp;",",FIND(",",$R551&amp;",")-1))))</f>
        <v/>
      </c>
      <c r="BV551">
        <f>IF($BU551="","",MID($BU551,4,FIND("~",SUBSTITUTE($BU551,"-","~",2))-4))</f>
        <v/>
      </c>
      <c r="BW551">
        <f>IF($BU551="","",MID($BU551,FIND("~",SUBSTITUTE($BU551,"-","~",2))+1,FIND("~",SUBSTITUTE($BU551,"-","~",3))-FIND("~",SUBSTITUTE($BU551,"-","~",2))-1))</f>
        <v/>
      </c>
      <c r="BX551">
        <f>IF($BV551="","",IFERROR(VLOOKUP($BV551,DECODE!$A$3:$C$8,3,FALSE),"?"))</f>
        <v/>
      </c>
      <c r="BY551">
        <f>IF($BW551="","",IFERROR(VLOOKUP($BV551&amp;"-"&amp;$BW551,DECODE!$E$3:$F$21,2,FALSE),"?"))</f>
        <v/>
      </c>
      <c r="BZ551">
        <f>IF($BU551="","",IFERROR(VALUE(RIGHT($BU551,3)),""))</f>
        <v/>
      </c>
      <c r="CA551">
        <f>IF($X551="","",IFERROR(IF(ISNUMBER($X551),$X551,DATEVALUE(TRIM($X551))),""))</f>
        <v/>
      </c>
      <c r="CB551">
        <f>IF($CA551="","",IF(MONTH($CA551)&gt;=12,"Cold Winter",IF(MONTH($CA551)&gt;=10,"Post-Monsoon",IF(MONTH($CA551)&gt;=6,"Hot Humid",IF(MONTH($CA551)&gt;=3,"Hot Dry","Cold Winter")))))</f>
        <v/>
      </c>
      <c r="CC551">
        <f>IF($BV551="","",IFERROR(VLOOKUP($BV551,DECODE!$A$3:$C$8,2,FALSE),"?"))</f>
        <v/>
      </c>
      <c r="CD551">
        <f>IF($S551="","",UPPER(TRIM(LEFT($S551&amp;",",FIND(",",$S551&amp;",")-1))))</f>
        <v/>
      </c>
      <c r="CE551">
        <f>IF($CD551="","",MID($CD551,4,FIND("~",SUBSTITUTE($CD551,"-","~",2))-4))</f>
        <v/>
      </c>
      <c r="CF551">
        <f>IF($CD551="","",MID($CD551,FIND("~",SUBSTITUTE($CD551,"-","~",2))+1,FIND("~",SUBSTITUTE($CD551,"-","~",3))-FIND("~",SUBSTITUTE($CD551,"-","~",2))-1))</f>
        <v/>
      </c>
      <c r="CG551">
        <f>IF($CE551="","",IFERROR(VLOOKUP($CE551,DECODE!$A$3:$C$8,3,FALSE),"?"))</f>
        <v/>
      </c>
      <c r="CH551">
        <f>IF($CF551="","",IFERROR(VLOOKUP($CE551&amp;"-"&amp;$CF551,DECODE!$E$3:$F$21,2,FALSE),"?"))</f>
        <v/>
      </c>
      <c r="CI551">
        <f>IF($CD551="","",IFERROR(VALUE(RIGHT($CD551,3)),""))</f>
        <v/>
      </c>
      <c r="CJ551">
        <f>IF($Y551="","",IFERROR(IF(ISNUMBER($Y551),$Y551,DATEVALUE(TRIM($Y551))),""))</f>
        <v/>
      </c>
      <c r="CK551">
        <f>IF($CJ551="","",IF(MONTH($CJ551)&gt;=12,"Cold Winter",IF(MONTH($CJ551)&gt;=10,"Post-Monsoon",IF(MONTH($CJ551)&gt;=6,"Hot Humid",IF(MONTH($CJ551)&gt;=3,"Hot Dry","Cold Winter")))))</f>
        <v/>
      </c>
      <c r="CL551">
        <f>IF($CE551="","",IFERROR(VLOOKUP($CE551,DECODE!$A$3:$C$8,2,FALSE),"?"))</f>
        <v/>
      </c>
      <c r="CM551">
        <f>IF($AN551="","",AN551)</f>
        <v/>
      </c>
      <c r="CN551">
        <f>IF($AO551="","",AO551)</f>
        <v/>
      </c>
      <c r="CO551">
        <f>IF($AP551="","",AP551)</f>
        <v/>
      </c>
      <c r="CP551">
        <f>IF($CM551="","",IF($CM551="Aloe Vera Gel","Aloe Vera Gel "&amp;$CO551&amp;"g",CN551&amp;" "&amp;$CO551&amp;"g"))</f>
        <v/>
      </c>
      <c r="CQ551">
        <f>IF($AT551="",0,1)</f>
        <v/>
      </c>
      <c r="CR551">
        <f>IF($CQ551=0,"",AW551)</f>
        <v/>
      </c>
      <c r="CS551">
        <f>IF($CQ551=0,"",AX551)</f>
        <v/>
      </c>
      <c r="CT551">
        <f>IF($CQ551=0,"",AY551)</f>
        <v/>
      </c>
      <c r="CU551">
        <f>IF($CR551="","",IF($CR551="Aloe Vera Gel","Aloe Vera Gel "&amp;$CT551&amp;"g",CS551&amp;" "&amp;$CT551&amp;"g"))</f>
        <v/>
      </c>
      <c r="CV551">
        <f>IF($CQ551=0,"",IF($CP551=$CU551,"Repeat Exact",IF($CT551&gt;$CO551,"Upsized",IF($CT551&lt;$CO551,"Downsized",IF($CM551&lt;&gt;$CR551,"Lateral","Same Size Diff Variant")))))</f>
        <v/>
      </c>
      <c r="CW551">
        <f>IF($CQ551=0,"",AZ551-AQ551)</f>
        <v/>
      </c>
      <c r="CX551">
        <f>IF($CQ551=0,0,IF(CS551=CN551,1,0))</f>
        <v/>
      </c>
      <c r="CY551">
        <f>IF($CQ551=0,0,IF(CR551=CM551,1,0))</f>
        <v/>
      </c>
      <c r="CZ551">
        <f>IF($A551="","",IF(AND(IF(DASHBOARD!$C$4="All",TRUE,$CM551=DASHBOARD!$C$4),IF(DASHBOARD!$C$6="All",TRUE,$CP551=DASHBOARD!$C$6),IF(DASHBOARD!$C$8="All",TRUE,$AF551&gt;=DASHBOARD!$C$8),IF(DASHBOARD!$C$10="All",TRUE,$AF551&lt;=DASHBOARD!$C$10),IF(DASHBOARD!$C$12="All",TRUE,$AH551=VALUE(DASHBOARD!$C$12)),IF(DASHBOARD!$C$14="All",TRUE,$AJ551=DASHBOARD!$C$14)),1,0))</f>
        <v/>
      </c>
    </row>
    <row r="552">
      <c r="A552" t="n">
        <v>242691</v>
      </c>
      <c r="B552" t="inlineStr">
        <is>
          <t>Aloe Vera Gel</t>
        </is>
      </c>
      <c r="H552" t="inlineStr">
        <is>
          <t>Aloe Vera Gel - 40 gms</t>
        </is>
      </c>
      <c r="N552" t="inlineStr">
        <is>
          <t>FC-HG-PA-040</t>
        </is>
      </c>
      <c r="T552" t="inlineStr">
        <is>
          <t>Jan 20, 2024</t>
        </is>
      </c>
      <c r="AE552" t="inlineStr">
        <is>
          <t>Ambala</t>
        </is>
      </c>
      <c r="AF552" t="inlineStr">
        <is>
          <t>2024-01</t>
        </is>
      </c>
      <c r="AG552" t="n">
        <v>1</v>
      </c>
      <c r="AH552" t="n">
        <v>1</v>
      </c>
      <c r="AI552" t="n">
        <v>0</v>
      </c>
      <c r="AJ552">
        <f>IF($AE552="","",IFERROR(VLOOKUP(TRIM($AE552),DECODE!$H$3:$I$60,2,FALSE),"Rest of India"))</f>
        <v/>
      </c>
      <c r="AK552">
        <f>IF($N552="","",UPPER(TRIM(LEFT($N552&amp;",",FIND(",",$N552&amp;",")-1))))</f>
        <v/>
      </c>
      <c r="AL552">
        <f>IF($AK552="","",MID($AK552,4,FIND("~",SUBSTITUTE($AK552,"-","~",2))-4))</f>
        <v/>
      </c>
      <c r="AM552">
        <f>IF($AK552="","",MID($AK552,FIND("~",SUBSTITUTE($AK552,"-","~",2))+1,FIND("~",SUBSTITUTE($AK552,"-","~",3))-FIND("~",SUBSTITUTE($AK552,"-","~",2))-1))</f>
        <v/>
      </c>
      <c r="AN552">
        <f>IF($AL552="","",IFERROR(VLOOKUP($AL552,DECODE!$A$3:$C$8,3,FALSE),"?"))</f>
        <v/>
      </c>
      <c r="AO552">
        <f>IF($AM552="","",IFERROR(VLOOKUP($AL552&amp;"-"&amp;$AM552,DECODE!$E$3:$F$21,2,FALSE),"?"))</f>
        <v/>
      </c>
      <c r="AP552">
        <f>IF($AK552="","",IFERROR(VALUE(RIGHT($AK552,3)),""))</f>
        <v/>
      </c>
      <c r="AQ552">
        <f>IF($T552="","",IFERROR(IF(ISNUMBER($T552),$T552,DATEVALUE(TRIM($T552))),""))</f>
        <v/>
      </c>
      <c r="AR552">
        <f>IF($AQ552="","",IF(MONTH($AQ552)&gt;=12,"Cold Winter",IF(MONTH($AQ552)&gt;=10,"Post-Monsoon",IF(MONTH($AQ552)&gt;=6,"Hot Humid",IF(MONTH($AQ552)&gt;=3,"Hot Dry","Cold Winter")))))</f>
        <v/>
      </c>
      <c r="AS552">
        <f>IF($AL552="","",IFERROR(VLOOKUP($AL552,DECODE!$A$3:$C$8,2,FALSE),"?"))</f>
        <v/>
      </c>
      <c r="AT552">
        <f>IF($O552="","",UPPER(TRIM(LEFT($O552&amp;",",FIND(",",$O552&amp;",")-1))))</f>
        <v/>
      </c>
      <c r="AU552">
        <f>IF($AT552="","",MID($AT552,4,FIND("~",SUBSTITUTE($AT552,"-","~",2))-4))</f>
        <v/>
      </c>
      <c r="AV552">
        <f>IF($AT552="","",MID($AT552,FIND("~",SUBSTITUTE($AT552,"-","~",2))+1,FIND("~",SUBSTITUTE($AT552,"-","~",3))-FIND("~",SUBSTITUTE($AT552,"-","~",2))-1))</f>
        <v/>
      </c>
      <c r="AW552">
        <f>IF($AU552="","",IFERROR(VLOOKUP($AU552,DECODE!$A$3:$C$8,3,FALSE),"?"))</f>
        <v/>
      </c>
      <c r="AX552">
        <f>IF($AV552="","",IFERROR(VLOOKUP($AU552&amp;"-"&amp;$AV552,DECODE!$E$3:$F$21,2,FALSE),"?"))</f>
        <v/>
      </c>
      <c r="AY552">
        <f>IF($AT552="","",IFERROR(VALUE(RIGHT($AT552,3)),""))</f>
        <v/>
      </c>
      <c r="AZ552">
        <f>IF($U552="","",IFERROR(IF(ISNUMBER($U552),$U552,DATEVALUE(TRIM($U552))),""))</f>
        <v/>
      </c>
      <c r="BA552">
        <f>IF($AZ552="","",IF(MONTH($AZ552)&gt;=12,"Cold Winter",IF(MONTH($AZ552)&gt;=10,"Post-Monsoon",IF(MONTH($AZ552)&gt;=6,"Hot Humid",IF(MONTH($AZ552)&gt;=3,"Hot Dry","Cold Winter")))))</f>
        <v/>
      </c>
      <c r="BB552">
        <f>IF($AU552="","",IFERROR(VLOOKUP($AU552,DECODE!$A$3:$C$8,2,FALSE),"?"))</f>
        <v/>
      </c>
      <c r="BC552">
        <f>IF($P552="","",UPPER(TRIM(LEFT($P552&amp;",",FIND(",",$P552&amp;",")-1))))</f>
        <v/>
      </c>
      <c r="BD552">
        <f>IF($BC552="","",MID($BC552,4,FIND("~",SUBSTITUTE($BC552,"-","~",2))-4))</f>
        <v/>
      </c>
      <c r="BE552">
        <f>IF($BC552="","",MID($BC552,FIND("~",SUBSTITUTE($BC552,"-","~",2))+1,FIND("~",SUBSTITUTE($BC552,"-","~",3))-FIND("~",SUBSTITUTE($BC552,"-","~",2))-1))</f>
        <v/>
      </c>
      <c r="BF552">
        <f>IF($BD552="","",IFERROR(VLOOKUP($BD552,DECODE!$A$3:$C$8,3,FALSE),"?"))</f>
        <v/>
      </c>
      <c r="BG552">
        <f>IF($BE552="","",IFERROR(VLOOKUP($BD552&amp;"-"&amp;$BE552,DECODE!$E$3:$F$21,2,FALSE),"?"))</f>
        <v/>
      </c>
      <c r="BH552">
        <f>IF($BC552="","",IFERROR(VALUE(RIGHT($BC552,3)),""))</f>
        <v/>
      </c>
      <c r="BI552">
        <f>IF($V552="","",IFERROR(IF(ISNUMBER($V552),$V552,DATEVALUE(TRIM($V552))),""))</f>
        <v/>
      </c>
      <c r="BJ552">
        <f>IF($BI552="","",IF(MONTH($BI552)&gt;=12,"Cold Winter",IF(MONTH($BI552)&gt;=10,"Post-Monsoon",IF(MONTH($BI552)&gt;=6,"Hot Humid",IF(MONTH($BI552)&gt;=3,"Hot Dry","Cold Winter")))))</f>
        <v/>
      </c>
      <c r="BK552">
        <f>IF($BD552="","",IFERROR(VLOOKUP($BD552,DECODE!$A$3:$C$8,2,FALSE),"?"))</f>
        <v/>
      </c>
      <c r="BL552">
        <f>IF($Q552="","",UPPER(TRIM(LEFT($Q552&amp;",",FIND(",",$Q552&amp;",")-1))))</f>
        <v/>
      </c>
      <c r="BM552">
        <f>IF($BL552="","",MID($BL552,4,FIND("~",SUBSTITUTE($BL552,"-","~",2))-4))</f>
        <v/>
      </c>
      <c r="BN552">
        <f>IF($BL552="","",MID($BL552,FIND("~",SUBSTITUTE($BL552,"-","~",2))+1,FIND("~",SUBSTITUTE($BL552,"-","~",3))-FIND("~",SUBSTITUTE($BL552,"-","~",2))-1))</f>
        <v/>
      </c>
      <c r="BO552">
        <f>IF($BM552="","",IFERROR(VLOOKUP($BM552,DECODE!$A$3:$C$8,3,FALSE),"?"))</f>
        <v/>
      </c>
      <c r="BP552">
        <f>IF($BN552="","",IFERROR(VLOOKUP($BM552&amp;"-"&amp;$BN552,DECODE!$E$3:$F$21,2,FALSE),"?"))</f>
        <v/>
      </c>
      <c r="BQ552">
        <f>IF($BL552="","",IFERROR(VALUE(RIGHT($BL552,3)),""))</f>
        <v/>
      </c>
      <c r="BR552">
        <f>IF($W552="","",IFERROR(IF(ISNUMBER($W552),$W552,DATEVALUE(TRIM($W552))),""))</f>
        <v/>
      </c>
      <c r="BS552">
        <f>IF($BR552="","",IF(MONTH($BR552)&gt;=12,"Cold Winter",IF(MONTH($BR552)&gt;=10,"Post-Monsoon",IF(MONTH($BR552)&gt;=6,"Hot Humid",IF(MONTH($BR552)&gt;=3,"Hot Dry","Cold Winter")))))</f>
        <v/>
      </c>
      <c r="BT552">
        <f>IF($BM552="","",IFERROR(VLOOKUP($BM552,DECODE!$A$3:$C$8,2,FALSE),"?"))</f>
        <v/>
      </c>
      <c r="BU552">
        <f>IF($R552="","",UPPER(TRIM(LEFT($R552&amp;",",FIND(",",$R552&amp;",")-1))))</f>
        <v/>
      </c>
      <c r="BV552">
        <f>IF($BU552="","",MID($BU552,4,FIND("~",SUBSTITUTE($BU552,"-","~",2))-4))</f>
        <v/>
      </c>
      <c r="BW552">
        <f>IF($BU552="","",MID($BU552,FIND("~",SUBSTITUTE($BU552,"-","~",2))+1,FIND("~",SUBSTITUTE($BU552,"-","~",3))-FIND("~",SUBSTITUTE($BU552,"-","~",2))-1))</f>
        <v/>
      </c>
      <c r="BX552">
        <f>IF($BV552="","",IFERROR(VLOOKUP($BV552,DECODE!$A$3:$C$8,3,FALSE),"?"))</f>
        <v/>
      </c>
      <c r="BY552">
        <f>IF($BW552="","",IFERROR(VLOOKUP($BV552&amp;"-"&amp;$BW552,DECODE!$E$3:$F$21,2,FALSE),"?"))</f>
        <v/>
      </c>
      <c r="BZ552">
        <f>IF($BU552="","",IFERROR(VALUE(RIGHT($BU552,3)),""))</f>
        <v/>
      </c>
      <c r="CA552">
        <f>IF($X552="","",IFERROR(IF(ISNUMBER($X552),$X552,DATEVALUE(TRIM($X552))),""))</f>
        <v/>
      </c>
      <c r="CB552">
        <f>IF($CA552="","",IF(MONTH($CA552)&gt;=12,"Cold Winter",IF(MONTH($CA552)&gt;=10,"Post-Monsoon",IF(MONTH($CA552)&gt;=6,"Hot Humid",IF(MONTH($CA552)&gt;=3,"Hot Dry","Cold Winter")))))</f>
        <v/>
      </c>
      <c r="CC552">
        <f>IF($BV552="","",IFERROR(VLOOKUP($BV552,DECODE!$A$3:$C$8,2,FALSE),"?"))</f>
        <v/>
      </c>
      <c r="CD552">
        <f>IF($S552="","",UPPER(TRIM(LEFT($S552&amp;",",FIND(",",$S552&amp;",")-1))))</f>
        <v/>
      </c>
      <c r="CE552">
        <f>IF($CD552="","",MID($CD552,4,FIND("~",SUBSTITUTE($CD552,"-","~",2))-4))</f>
        <v/>
      </c>
      <c r="CF552">
        <f>IF($CD552="","",MID($CD552,FIND("~",SUBSTITUTE($CD552,"-","~",2))+1,FIND("~",SUBSTITUTE($CD552,"-","~",3))-FIND("~",SUBSTITUTE($CD552,"-","~",2))-1))</f>
        <v/>
      </c>
      <c r="CG552">
        <f>IF($CE552="","",IFERROR(VLOOKUP($CE552,DECODE!$A$3:$C$8,3,FALSE),"?"))</f>
        <v/>
      </c>
      <c r="CH552">
        <f>IF($CF552="","",IFERROR(VLOOKUP($CE552&amp;"-"&amp;$CF552,DECODE!$E$3:$F$21,2,FALSE),"?"))</f>
        <v/>
      </c>
      <c r="CI552">
        <f>IF($CD552="","",IFERROR(VALUE(RIGHT($CD552,3)),""))</f>
        <v/>
      </c>
      <c r="CJ552">
        <f>IF($Y552="","",IFERROR(IF(ISNUMBER($Y552),$Y552,DATEVALUE(TRIM($Y552))),""))</f>
        <v/>
      </c>
      <c r="CK552">
        <f>IF($CJ552="","",IF(MONTH($CJ552)&gt;=12,"Cold Winter",IF(MONTH($CJ552)&gt;=10,"Post-Monsoon",IF(MONTH($CJ552)&gt;=6,"Hot Humid",IF(MONTH($CJ552)&gt;=3,"Hot Dry","Cold Winter")))))</f>
        <v/>
      </c>
      <c r="CL552">
        <f>IF($CE552="","",IFERROR(VLOOKUP($CE552,DECODE!$A$3:$C$8,2,FALSE),"?"))</f>
        <v/>
      </c>
      <c r="CM552">
        <f>IF($AN552="","",AN552)</f>
        <v/>
      </c>
      <c r="CN552">
        <f>IF($AO552="","",AO552)</f>
        <v/>
      </c>
      <c r="CO552">
        <f>IF($AP552="","",AP552)</f>
        <v/>
      </c>
      <c r="CP552">
        <f>IF($CM552="","",IF($CM552="Aloe Vera Gel","Aloe Vera Gel "&amp;$CO552&amp;"g",CN552&amp;" "&amp;$CO552&amp;"g"))</f>
        <v/>
      </c>
      <c r="CQ552">
        <f>IF($AT552="",0,1)</f>
        <v/>
      </c>
      <c r="CR552">
        <f>IF($CQ552=0,"",AW552)</f>
        <v/>
      </c>
      <c r="CS552">
        <f>IF($CQ552=0,"",AX552)</f>
        <v/>
      </c>
      <c r="CT552">
        <f>IF($CQ552=0,"",AY552)</f>
        <v/>
      </c>
      <c r="CU552">
        <f>IF($CR552="","",IF($CR552="Aloe Vera Gel","Aloe Vera Gel "&amp;$CT552&amp;"g",CS552&amp;" "&amp;$CT552&amp;"g"))</f>
        <v/>
      </c>
      <c r="CV552">
        <f>IF($CQ552=0,"",IF($CP552=$CU552,"Repeat Exact",IF($CT552&gt;$CO552,"Upsized",IF($CT552&lt;$CO552,"Downsized",IF($CM552&lt;&gt;$CR552,"Lateral","Same Size Diff Variant")))))</f>
        <v/>
      </c>
      <c r="CW552">
        <f>IF($CQ552=0,"",AZ552-AQ552)</f>
        <v/>
      </c>
      <c r="CX552">
        <f>IF($CQ552=0,0,IF(CS552=CN552,1,0))</f>
        <v/>
      </c>
      <c r="CY552">
        <f>IF($CQ552=0,0,IF(CR552=CM552,1,0))</f>
        <v/>
      </c>
      <c r="CZ552">
        <f>IF($A552="","",IF(AND(IF(DASHBOARD!$C$4="All",TRUE,$CM552=DASHBOARD!$C$4),IF(DASHBOARD!$C$6="All",TRUE,$CP552=DASHBOARD!$C$6),IF(DASHBOARD!$C$8="All",TRUE,$AF552&gt;=DASHBOARD!$C$8),IF(DASHBOARD!$C$10="All",TRUE,$AF552&lt;=DASHBOARD!$C$10),IF(DASHBOARD!$C$12="All",TRUE,$AH552=VALUE(DASHBOARD!$C$12)),IF(DASHBOARD!$C$14="All",TRUE,$AJ552=DASHBOARD!$C$14)),1,0))</f>
        <v/>
      </c>
    </row>
    <row r="553">
      <c r="A553" t="n">
        <v>242914</v>
      </c>
      <c r="B553" t="inlineStr">
        <is>
          <t>Active Gel, Face Malai</t>
        </is>
      </c>
      <c r="H553" t="inlineStr">
        <is>
          <t>Flax Carrot (Hot Humid) 35+ Face Malai - 30g, Active Orange Kiwi Vit-C Gel</t>
        </is>
      </c>
      <c r="N553" t="inlineStr">
        <is>
          <t>FC-HHDM-FC-030, FC-AC-OK-050</t>
        </is>
      </c>
      <c r="T553" t="inlineStr">
        <is>
          <t>Feb 19, 2024</t>
        </is>
      </c>
      <c r="AE553" t="inlineStr">
        <is>
          <t>Kolkata</t>
        </is>
      </c>
      <c r="AF553" t="inlineStr">
        <is>
          <t>2024-02</t>
        </is>
      </c>
      <c r="AG553" t="n">
        <v>2</v>
      </c>
      <c r="AH553" t="n">
        <v>1</v>
      </c>
      <c r="AI553" t="n">
        <v>0</v>
      </c>
      <c r="AJ553">
        <f>IF($AE553="","",IFERROR(VLOOKUP(TRIM($AE553),DECODE!$H$3:$I$60,2,FALSE),"Rest of India"))</f>
        <v/>
      </c>
      <c r="AK553">
        <f>IF($N553="","",UPPER(TRIM(LEFT($N553&amp;",",FIND(",",$N553&amp;",")-1))))</f>
        <v/>
      </c>
      <c r="AL553">
        <f>IF($AK553="","",MID($AK553,4,FIND("~",SUBSTITUTE($AK553,"-","~",2))-4))</f>
        <v/>
      </c>
      <c r="AM553">
        <f>IF($AK553="","",MID($AK553,FIND("~",SUBSTITUTE($AK553,"-","~",2))+1,FIND("~",SUBSTITUTE($AK553,"-","~",3))-FIND("~",SUBSTITUTE($AK553,"-","~",2))-1))</f>
        <v/>
      </c>
      <c r="AN553">
        <f>IF($AL553="","",IFERROR(VLOOKUP($AL553,DECODE!$A$3:$C$8,3,FALSE),"?"))</f>
        <v/>
      </c>
      <c r="AO553">
        <f>IF($AM553="","",IFERROR(VLOOKUP($AL553&amp;"-"&amp;$AM553,DECODE!$E$3:$F$21,2,FALSE),"?"))</f>
        <v/>
      </c>
      <c r="AP553">
        <f>IF($AK553="","",IFERROR(VALUE(RIGHT($AK553,3)),""))</f>
        <v/>
      </c>
      <c r="AQ553">
        <f>IF($T553="","",IFERROR(IF(ISNUMBER($T553),$T553,DATEVALUE(TRIM($T553))),""))</f>
        <v/>
      </c>
      <c r="AR553">
        <f>IF($AQ553="","",IF(MONTH($AQ553)&gt;=12,"Cold Winter",IF(MONTH($AQ553)&gt;=10,"Post-Monsoon",IF(MONTH($AQ553)&gt;=6,"Hot Humid",IF(MONTH($AQ553)&gt;=3,"Hot Dry","Cold Winter")))))</f>
        <v/>
      </c>
      <c r="AS553">
        <f>IF($AL553="","",IFERROR(VLOOKUP($AL553,DECODE!$A$3:$C$8,2,FALSE),"?"))</f>
        <v/>
      </c>
      <c r="AT553">
        <f>IF($O553="","",UPPER(TRIM(LEFT($O553&amp;",",FIND(",",$O553&amp;",")-1))))</f>
        <v/>
      </c>
      <c r="AU553">
        <f>IF($AT553="","",MID($AT553,4,FIND("~",SUBSTITUTE($AT553,"-","~",2))-4))</f>
        <v/>
      </c>
      <c r="AV553">
        <f>IF($AT553="","",MID($AT553,FIND("~",SUBSTITUTE($AT553,"-","~",2))+1,FIND("~",SUBSTITUTE($AT553,"-","~",3))-FIND("~",SUBSTITUTE($AT553,"-","~",2))-1))</f>
        <v/>
      </c>
      <c r="AW553">
        <f>IF($AU553="","",IFERROR(VLOOKUP($AU553,DECODE!$A$3:$C$8,3,FALSE),"?"))</f>
        <v/>
      </c>
      <c r="AX553">
        <f>IF($AV553="","",IFERROR(VLOOKUP($AU553&amp;"-"&amp;$AV553,DECODE!$E$3:$F$21,2,FALSE),"?"))</f>
        <v/>
      </c>
      <c r="AY553">
        <f>IF($AT553="","",IFERROR(VALUE(RIGHT($AT553,3)),""))</f>
        <v/>
      </c>
      <c r="AZ553">
        <f>IF($U553="","",IFERROR(IF(ISNUMBER($U553),$U553,DATEVALUE(TRIM($U553))),""))</f>
        <v/>
      </c>
      <c r="BA553">
        <f>IF($AZ553="","",IF(MONTH($AZ553)&gt;=12,"Cold Winter",IF(MONTH($AZ553)&gt;=10,"Post-Monsoon",IF(MONTH($AZ553)&gt;=6,"Hot Humid",IF(MONTH($AZ553)&gt;=3,"Hot Dry","Cold Winter")))))</f>
        <v/>
      </c>
      <c r="BB553">
        <f>IF($AU553="","",IFERROR(VLOOKUP($AU553,DECODE!$A$3:$C$8,2,FALSE),"?"))</f>
        <v/>
      </c>
      <c r="BC553">
        <f>IF($P553="","",UPPER(TRIM(LEFT($P553&amp;",",FIND(",",$P553&amp;",")-1))))</f>
        <v/>
      </c>
      <c r="BD553">
        <f>IF($BC553="","",MID($BC553,4,FIND("~",SUBSTITUTE($BC553,"-","~",2))-4))</f>
        <v/>
      </c>
      <c r="BE553">
        <f>IF($BC553="","",MID($BC553,FIND("~",SUBSTITUTE($BC553,"-","~",2))+1,FIND("~",SUBSTITUTE($BC553,"-","~",3))-FIND("~",SUBSTITUTE($BC553,"-","~",2))-1))</f>
        <v/>
      </c>
      <c r="BF553">
        <f>IF($BD553="","",IFERROR(VLOOKUP($BD553,DECODE!$A$3:$C$8,3,FALSE),"?"))</f>
        <v/>
      </c>
      <c r="BG553">
        <f>IF($BE553="","",IFERROR(VLOOKUP($BD553&amp;"-"&amp;$BE553,DECODE!$E$3:$F$21,2,FALSE),"?"))</f>
        <v/>
      </c>
      <c r="BH553">
        <f>IF($BC553="","",IFERROR(VALUE(RIGHT($BC553,3)),""))</f>
        <v/>
      </c>
      <c r="BI553">
        <f>IF($V553="","",IFERROR(IF(ISNUMBER($V553),$V553,DATEVALUE(TRIM($V553))),""))</f>
        <v/>
      </c>
      <c r="BJ553">
        <f>IF($BI553="","",IF(MONTH($BI553)&gt;=12,"Cold Winter",IF(MONTH($BI553)&gt;=10,"Post-Monsoon",IF(MONTH($BI553)&gt;=6,"Hot Humid",IF(MONTH($BI553)&gt;=3,"Hot Dry","Cold Winter")))))</f>
        <v/>
      </c>
      <c r="BK553">
        <f>IF($BD553="","",IFERROR(VLOOKUP($BD553,DECODE!$A$3:$C$8,2,FALSE),"?"))</f>
        <v/>
      </c>
      <c r="BL553">
        <f>IF($Q553="","",UPPER(TRIM(LEFT($Q553&amp;",",FIND(",",$Q553&amp;",")-1))))</f>
        <v/>
      </c>
      <c r="BM553">
        <f>IF($BL553="","",MID($BL553,4,FIND("~",SUBSTITUTE($BL553,"-","~",2))-4))</f>
        <v/>
      </c>
      <c r="BN553">
        <f>IF($BL553="","",MID($BL553,FIND("~",SUBSTITUTE($BL553,"-","~",2))+1,FIND("~",SUBSTITUTE($BL553,"-","~",3))-FIND("~",SUBSTITUTE($BL553,"-","~",2))-1))</f>
        <v/>
      </c>
      <c r="BO553">
        <f>IF($BM553="","",IFERROR(VLOOKUP($BM553,DECODE!$A$3:$C$8,3,FALSE),"?"))</f>
        <v/>
      </c>
      <c r="BP553">
        <f>IF($BN553="","",IFERROR(VLOOKUP($BM553&amp;"-"&amp;$BN553,DECODE!$E$3:$F$21,2,FALSE),"?"))</f>
        <v/>
      </c>
      <c r="BQ553">
        <f>IF($BL553="","",IFERROR(VALUE(RIGHT($BL553,3)),""))</f>
        <v/>
      </c>
      <c r="BR553">
        <f>IF($W553="","",IFERROR(IF(ISNUMBER($W553),$W553,DATEVALUE(TRIM($W553))),""))</f>
        <v/>
      </c>
      <c r="BS553">
        <f>IF($BR553="","",IF(MONTH($BR553)&gt;=12,"Cold Winter",IF(MONTH($BR553)&gt;=10,"Post-Monsoon",IF(MONTH($BR553)&gt;=6,"Hot Humid",IF(MONTH($BR553)&gt;=3,"Hot Dry","Cold Winter")))))</f>
        <v/>
      </c>
      <c r="BT553">
        <f>IF($BM553="","",IFERROR(VLOOKUP($BM553,DECODE!$A$3:$C$8,2,FALSE),"?"))</f>
        <v/>
      </c>
      <c r="BU553">
        <f>IF($R553="","",UPPER(TRIM(LEFT($R553&amp;",",FIND(",",$R553&amp;",")-1))))</f>
        <v/>
      </c>
      <c r="BV553">
        <f>IF($BU553="","",MID($BU553,4,FIND("~",SUBSTITUTE($BU553,"-","~",2))-4))</f>
        <v/>
      </c>
      <c r="BW553">
        <f>IF($BU553="","",MID($BU553,FIND("~",SUBSTITUTE($BU553,"-","~",2))+1,FIND("~",SUBSTITUTE($BU553,"-","~",3))-FIND("~",SUBSTITUTE($BU553,"-","~",2))-1))</f>
        <v/>
      </c>
      <c r="BX553">
        <f>IF($BV553="","",IFERROR(VLOOKUP($BV553,DECODE!$A$3:$C$8,3,FALSE),"?"))</f>
        <v/>
      </c>
      <c r="BY553">
        <f>IF($BW553="","",IFERROR(VLOOKUP($BV553&amp;"-"&amp;$BW553,DECODE!$E$3:$F$21,2,FALSE),"?"))</f>
        <v/>
      </c>
      <c r="BZ553">
        <f>IF($BU553="","",IFERROR(VALUE(RIGHT($BU553,3)),""))</f>
        <v/>
      </c>
      <c r="CA553">
        <f>IF($X553="","",IFERROR(IF(ISNUMBER($X553),$X553,DATEVALUE(TRIM($X553))),""))</f>
        <v/>
      </c>
      <c r="CB553">
        <f>IF($CA553="","",IF(MONTH($CA553)&gt;=12,"Cold Winter",IF(MONTH($CA553)&gt;=10,"Post-Monsoon",IF(MONTH($CA553)&gt;=6,"Hot Humid",IF(MONTH($CA553)&gt;=3,"Hot Dry","Cold Winter")))))</f>
        <v/>
      </c>
      <c r="CC553">
        <f>IF($BV553="","",IFERROR(VLOOKUP($BV553,DECODE!$A$3:$C$8,2,FALSE),"?"))</f>
        <v/>
      </c>
      <c r="CD553">
        <f>IF($S553="","",UPPER(TRIM(LEFT($S553&amp;",",FIND(",",$S553&amp;",")-1))))</f>
        <v/>
      </c>
      <c r="CE553">
        <f>IF($CD553="","",MID($CD553,4,FIND("~",SUBSTITUTE($CD553,"-","~",2))-4))</f>
        <v/>
      </c>
      <c r="CF553">
        <f>IF($CD553="","",MID($CD553,FIND("~",SUBSTITUTE($CD553,"-","~",2))+1,FIND("~",SUBSTITUTE($CD553,"-","~",3))-FIND("~",SUBSTITUTE($CD553,"-","~",2))-1))</f>
        <v/>
      </c>
      <c r="CG553">
        <f>IF($CE553="","",IFERROR(VLOOKUP($CE553,DECODE!$A$3:$C$8,3,FALSE),"?"))</f>
        <v/>
      </c>
      <c r="CH553">
        <f>IF($CF553="","",IFERROR(VLOOKUP($CE553&amp;"-"&amp;$CF553,DECODE!$E$3:$F$21,2,FALSE),"?"))</f>
        <v/>
      </c>
      <c r="CI553">
        <f>IF($CD553="","",IFERROR(VALUE(RIGHT($CD553,3)),""))</f>
        <v/>
      </c>
      <c r="CJ553">
        <f>IF($Y553="","",IFERROR(IF(ISNUMBER($Y553),$Y553,DATEVALUE(TRIM($Y553))),""))</f>
        <v/>
      </c>
      <c r="CK553">
        <f>IF($CJ553="","",IF(MONTH($CJ553)&gt;=12,"Cold Winter",IF(MONTH($CJ553)&gt;=10,"Post-Monsoon",IF(MONTH($CJ553)&gt;=6,"Hot Humid",IF(MONTH($CJ553)&gt;=3,"Hot Dry","Cold Winter")))))</f>
        <v/>
      </c>
      <c r="CL553">
        <f>IF($CE553="","",IFERROR(VLOOKUP($CE553,DECODE!$A$3:$C$8,2,FALSE),"?"))</f>
        <v/>
      </c>
      <c r="CM553">
        <f>IF($AN553="","",AN553)</f>
        <v/>
      </c>
      <c r="CN553">
        <f>IF($AO553="","",AO553)</f>
        <v/>
      </c>
      <c r="CO553">
        <f>IF($AP553="","",AP553)</f>
        <v/>
      </c>
      <c r="CP553">
        <f>IF($CM553="","",IF($CM553="Aloe Vera Gel","Aloe Vera Gel "&amp;$CO553&amp;"g",CN553&amp;" "&amp;$CO553&amp;"g"))</f>
        <v/>
      </c>
      <c r="CQ553">
        <f>IF($AT553="",0,1)</f>
        <v/>
      </c>
      <c r="CR553">
        <f>IF($CQ553=0,"",AW553)</f>
        <v/>
      </c>
      <c r="CS553">
        <f>IF($CQ553=0,"",AX553)</f>
        <v/>
      </c>
      <c r="CT553">
        <f>IF($CQ553=0,"",AY553)</f>
        <v/>
      </c>
      <c r="CU553">
        <f>IF($CR553="","",IF($CR553="Aloe Vera Gel","Aloe Vera Gel "&amp;$CT553&amp;"g",CS553&amp;" "&amp;$CT553&amp;"g"))</f>
        <v/>
      </c>
      <c r="CV553">
        <f>IF($CQ553=0,"",IF($CP553=$CU553,"Repeat Exact",IF($CT553&gt;$CO553,"Upsized",IF($CT553&lt;$CO553,"Downsized",IF($CM553&lt;&gt;$CR553,"Lateral","Same Size Diff Variant")))))</f>
        <v/>
      </c>
      <c r="CW553">
        <f>IF($CQ553=0,"",AZ553-AQ553)</f>
        <v/>
      </c>
      <c r="CX553">
        <f>IF($CQ553=0,0,IF(CS553=CN553,1,0))</f>
        <v/>
      </c>
      <c r="CY553">
        <f>IF($CQ553=0,0,IF(CR553=CM553,1,0))</f>
        <v/>
      </c>
      <c r="CZ553">
        <f>IF($A553="","",IF(AND(IF(DASHBOARD!$C$4="All",TRUE,$CM553=DASHBOARD!$C$4),IF(DASHBOARD!$C$6="All",TRUE,$CP553=DASHBOARD!$C$6),IF(DASHBOARD!$C$8="All",TRUE,$AF553&gt;=DASHBOARD!$C$8),IF(DASHBOARD!$C$10="All",TRUE,$AF553&lt;=DASHBOARD!$C$10),IF(DASHBOARD!$C$12="All",TRUE,$AH553=VALUE(DASHBOARD!$C$12)),IF(DASHBOARD!$C$14="All",TRUE,$AJ553=DASHBOARD!$C$14)),1,0))</f>
        <v/>
      </c>
    </row>
    <row r="554">
      <c r="A554" t="n">
        <v>243448</v>
      </c>
      <c r="B554" t="inlineStr">
        <is>
          <t>Aloe Vera Gel</t>
        </is>
      </c>
      <c r="H554" t="inlineStr">
        <is>
          <t>Aloe Vera Gel - 80 gms</t>
        </is>
      </c>
      <c r="N554" t="inlineStr">
        <is>
          <t>FC-HG-PA-080</t>
        </is>
      </c>
      <c r="T554" t="inlineStr">
        <is>
          <t>Aug 5, 2025</t>
        </is>
      </c>
      <c r="AE554" t="inlineStr">
        <is>
          <t>Bengaluru</t>
        </is>
      </c>
      <c r="AF554" t="inlineStr">
        <is>
          <t>2025-08</t>
        </is>
      </c>
      <c r="AG554" t="n">
        <v>8</v>
      </c>
      <c r="AH554" t="n">
        <v>1</v>
      </c>
      <c r="AI554" t="n">
        <v>0</v>
      </c>
      <c r="AJ554">
        <f>IF($AE554="","",IFERROR(VLOOKUP(TRIM($AE554),DECODE!$H$3:$I$60,2,FALSE),"Rest of India"))</f>
        <v/>
      </c>
      <c r="AK554">
        <f>IF($N554="","",UPPER(TRIM(LEFT($N554&amp;",",FIND(",",$N554&amp;",")-1))))</f>
        <v/>
      </c>
      <c r="AL554">
        <f>IF($AK554="","",MID($AK554,4,FIND("~",SUBSTITUTE($AK554,"-","~",2))-4))</f>
        <v/>
      </c>
      <c r="AM554">
        <f>IF($AK554="","",MID($AK554,FIND("~",SUBSTITUTE($AK554,"-","~",2))+1,FIND("~",SUBSTITUTE($AK554,"-","~",3))-FIND("~",SUBSTITUTE($AK554,"-","~",2))-1))</f>
        <v/>
      </c>
      <c r="AN554">
        <f>IF($AL554="","",IFERROR(VLOOKUP($AL554,DECODE!$A$3:$C$8,3,FALSE),"?"))</f>
        <v/>
      </c>
      <c r="AO554">
        <f>IF($AM554="","",IFERROR(VLOOKUP($AL554&amp;"-"&amp;$AM554,DECODE!$E$3:$F$21,2,FALSE),"?"))</f>
        <v/>
      </c>
      <c r="AP554">
        <f>IF($AK554="","",IFERROR(VALUE(RIGHT($AK554,3)),""))</f>
        <v/>
      </c>
      <c r="AQ554">
        <f>IF($T554="","",IFERROR(IF(ISNUMBER($T554),$T554,DATEVALUE(TRIM($T554))),""))</f>
        <v/>
      </c>
      <c r="AR554">
        <f>IF($AQ554="","",IF(MONTH($AQ554)&gt;=12,"Cold Winter",IF(MONTH($AQ554)&gt;=10,"Post-Monsoon",IF(MONTH($AQ554)&gt;=6,"Hot Humid",IF(MONTH($AQ554)&gt;=3,"Hot Dry","Cold Winter")))))</f>
        <v/>
      </c>
      <c r="AS554">
        <f>IF($AL554="","",IFERROR(VLOOKUP($AL554,DECODE!$A$3:$C$8,2,FALSE),"?"))</f>
        <v/>
      </c>
      <c r="AT554">
        <f>IF($O554="","",UPPER(TRIM(LEFT($O554&amp;",",FIND(",",$O554&amp;",")-1))))</f>
        <v/>
      </c>
      <c r="AU554">
        <f>IF($AT554="","",MID($AT554,4,FIND("~",SUBSTITUTE($AT554,"-","~",2))-4))</f>
        <v/>
      </c>
      <c r="AV554">
        <f>IF($AT554="","",MID($AT554,FIND("~",SUBSTITUTE($AT554,"-","~",2))+1,FIND("~",SUBSTITUTE($AT554,"-","~",3))-FIND("~",SUBSTITUTE($AT554,"-","~",2))-1))</f>
        <v/>
      </c>
      <c r="AW554">
        <f>IF($AU554="","",IFERROR(VLOOKUP($AU554,DECODE!$A$3:$C$8,3,FALSE),"?"))</f>
        <v/>
      </c>
      <c r="AX554">
        <f>IF($AV554="","",IFERROR(VLOOKUP($AU554&amp;"-"&amp;$AV554,DECODE!$E$3:$F$21,2,FALSE),"?"))</f>
        <v/>
      </c>
      <c r="AY554">
        <f>IF($AT554="","",IFERROR(VALUE(RIGHT($AT554,3)),""))</f>
        <v/>
      </c>
      <c r="AZ554">
        <f>IF($U554="","",IFERROR(IF(ISNUMBER($U554),$U554,DATEVALUE(TRIM($U554))),""))</f>
        <v/>
      </c>
      <c r="BA554">
        <f>IF($AZ554="","",IF(MONTH($AZ554)&gt;=12,"Cold Winter",IF(MONTH($AZ554)&gt;=10,"Post-Monsoon",IF(MONTH($AZ554)&gt;=6,"Hot Humid",IF(MONTH($AZ554)&gt;=3,"Hot Dry","Cold Winter")))))</f>
        <v/>
      </c>
      <c r="BB554">
        <f>IF($AU554="","",IFERROR(VLOOKUP($AU554,DECODE!$A$3:$C$8,2,FALSE),"?"))</f>
        <v/>
      </c>
      <c r="BC554">
        <f>IF($P554="","",UPPER(TRIM(LEFT($P554&amp;",",FIND(",",$P554&amp;",")-1))))</f>
        <v/>
      </c>
      <c r="BD554">
        <f>IF($BC554="","",MID($BC554,4,FIND("~",SUBSTITUTE($BC554,"-","~",2))-4))</f>
        <v/>
      </c>
      <c r="BE554">
        <f>IF($BC554="","",MID($BC554,FIND("~",SUBSTITUTE($BC554,"-","~",2))+1,FIND("~",SUBSTITUTE($BC554,"-","~",3))-FIND("~",SUBSTITUTE($BC554,"-","~",2))-1))</f>
        <v/>
      </c>
      <c r="BF554">
        <f>IF($BD554="","",IFERROR(VLOOKUP($BD554,DECODE!$A$3:$C$8,3,FALSE),"?"))</f>
        <v/>
      </c>
      <c r="BG554">
        <f>IF($BE554="","",IFERROR(VLOOKUP($BD554&amp;"-"&amp;$BE554,DECODE!$E$3:$F$21,2,FALSE),"?"))</f>
        <v/>
      </c>
      <c r="BH554">
        <f>IF($BC554="","",IFERROR(VALUE(RIGHT($BC554,3)),""))</f>
        <v/>
      </c>
      <c r="BI554">
        <f>IF($V554="","",IFERROR(IF(ISNUMBER($V554),$V554,DATEVALUE(TRIM($V554))),""))</f>
        <v/>
      </c>
      <c r="BJ554">
        <f>IF($BI554="","",IF(MONTH($BI554)&gt;=12,"Cold Winter",IF(MONTH($BI554)&gt;=10,"Post-Monsoon",IF(MONTH($BI554)&gt;=6,"Hot Humid",IF(MONTH($BI554)&gt;=3,"Hot Dry","Cold Winter")))))</f>
        <v/>
      </c>
      <c r="BK554">
        <f>IF($BD554="","",IFERROR(VLOOKUP($BD554,DECODE!$A$3:$C$8,2,FALSE),"?"))</f>
        <v/>
      </c>
      <c r="BL554">
        <f>IF($Q554="","",UPPER(TRIM(LEFT($Q554&amp;",",FIND(",",$Q554&amp;",")-1))))</f>
        <v/>
      </c>
      <c r="BM554">
        <f>IF($BL554="","",MID($BL554,4,FIND("~",SUBSTITUTE($BL554,"-","~",2))-4))</f>
        <v/>
      </c>
      <c r="BN554">
        <f>IF($BL554="","",MID($BL554,FIND("~",SUBSTITUTE($BL554,"-","~",2))+1,FIND("~",SUBSTITUTE($BL554,"-","~",3))-FIND("~",SUBSTITUTE($BL554,"-","~",2))-1))</f>
        <v/>
      </c>
      <c r="BO554">
        <f>IF($BM554="","",IFERROR(VLOOKUP($BM554,DECODE!$A$3:$C$8,3,FALSE),"?"))</f>
        <v/>
      </c>
      <c r="BP554">
        <f>IF($BN554="","",IFERROR(VLOOKUP($BM554&amp;"-"&amp;$BN554,DECODE!$E$3:$F$21,2,FALSE),"?"))</f>
        <v/>
      </c>
      <c r="BQ554">
        <f>IF($BL554="","",IFERROR(VALUE(RIGHT($BL554,3)),""))</f>
        <v/>
      </c>
      <c r="BR554">
        <f>IF($W554="","",IFERROR(IF(ISNUMBER($W554),$W554,DATEVALUE(TRIM($W554))),""))</f>
        <v/>
      </c>
      <c r="BS554">
        <f>IF($BR554="","",IF(MONTH($BR554)&gt;=12,"Cold Winter",IF(MONTH($BR554)&gt;=10,"Post-Monsoon",IF(MONTH($BR554)&gt;=6,"Hot Humid",IF(MONTH($BR554)&gt;=3,"Hot Dry","Cold Winter")))))</f>
        <v/>
      </c>
      <c r="BT554">
        <f>IF($BM554="","",IFERROR(VLOOKUP($BM554,DECODE!$A$3:$C$8,2,FALSE),"?"))</f>
        <v/>
      </c>
      <c r="BU554">
        <f>IF($R554="","",UPPER(TRIM(LEFT($R554&amp;",",FIND(",",$R554&amp;",")-1))))</f>
        <v/>
      </c>
      <c r="BV554">
        <f>IF($BU554="","",MID($BU554,4,FIND("~",SUBSTITUTE($BU554,"-","~",2))-4))</f>
        <v/>
      </c>
      <c r="BW554">
        <f>IF($BU554="","",MID($BU554,FIND("~",SUBSTITUTE($BU554,"-","~",2))+1,FIND("~",SUBSTITUTE($BU554,"-","~",3))-FIND("~",SUBSTITUTE($BU554,"-","~",2))-1))</f>
        <v/>
      </c>
      <c r="BX554">
        <f>IF($BV554="","",IFERROR(VLOOKUP($BV554,DECODE!$A$3:$C$8,3,FALSE),"?"))</f>
        <v/>
      </c>
      <c r="BY554">
        <f>IF($BW554="","",IFERROR(VLOOKUP($BV554&amp;"-"&amp;$BW554,DECODE!$E$3:$F$21,2,FALSE),"?"))</f>
        <v/>
      </c>
      <c r="BZ554">
        <f>IF($BU554="","",IFERROR(VALUE(RIGHT($BU554,3)),""))</f>
        <v/>
      </c>
      <c r="CA554">
        <f>IF($X554="","",IFERROR(IF(ISNUMBER($X554),$X554,DATEVALUE(TRIM($X554))),""))</f>
        <v/>
      </c>
      <c r="CB554">
        <f>IF($CA554="","",IF(MONTH($CA554)&gt;=12,"Cold Winter",IF(MONTH($CA554)&gt;=10,"Post-Monsoon",IF(MONTH($CA554)&gt;=6,"Hot Humid",IF(MONTH($CA554)&gt;=3,"Hot Dry","Cold Winter")))))</f>
        <v/>
      </c>
      <c r="CC554">
        <f>IF($BV554="","",IFERROR(VLOOKUP($BV554,DECODE!$A$3:$C$8,2,FALSE),"?"))</f>
        <v/>
      </c>
      <c r="CD554">
        <f>IF($S554="","",UPPER(TRIM(LEFT($S554&amp;",",FIND(",",$S554&amp;",")-1))))</f>
        <v/>
      </c>
      <c r="CE554">
        <f>IF($CD554="","",MID($CD554,4,FIND("~",SUBSTITUTE($CD554,"-","~",2))-4))</f>
        <v/>
      </c>
      <c r="CF554">
        <f>IF($CD554="","",MID($CD554,FIND("~",SUBSTITUTE($CD554,"-","~",2))+1,FIND("~",SUBSTITUTE($CD554,"-","~",3))-FIND("~",SUBSTITUTE($CD554,"-","~",2))-1))</f>
        <v/>
      </c>
      <c r="CG554">
        <f>IF($CE554="","",IFERROR(VLOOKUP($CE554,DECODE!$A$3:$C$8,3,FALSE),"?"))</f>
        <v/>
      </c>
      <c r="CH554">
        <f>IF($CF554="","",IFERROR(VLOOKUP($CE554&amp;"-"&amp;$CF554,DECODE!$E$3:$F$21,2,FALSE),"?"))</f>
        <v/>
      </c>
      <c r="CI554">
        <f>IF($CD554="","",IFERROR(VALUE(RIGHT($CD554,3)),""))</f>
        <v/>
      </c>
      <c r="CJ554">
        <f>IF($Y554="","",IFERROR(IF(ISNUMBER($Y554),$Y554,DATEVALUE(TRIM($Y554))),""))</f>
        <v/>
      </c>
      <c r="CK554">
        <f>IF($CJ554="","",IF(MONTH($CJ554)&gt;=12,"Cold Winter",IF(MONTH($CJ554)&gt;=10,"Post-Monsoon",IF(MONTH($CJ554)&gt;=6,"Hot Humid",IF(MONTH($CJ554)&gt;=3,"Hot Dry","Cold Winter")))))</f>
        <v/>
      </c>
      <c r="CL554">
        <f>IF($CE554="","",IFERROR(VLOOKUP($CE554,DECODE!$A$3:$C$8,2,FALSE),"?"))</f>
        <v/>
      </c>
      <c r="CM554">
        <f>IF($AN554="","",AN554)</f>
        <v/>
      </c>
      <c r="CN554">
        <f>IF($AO554="","",AO554)</f>
        <v/>
      </c>
      <c r="CO554">
        <f>IF($AP554="","",AP554)</f>
        <v/>
      </c>
      <c r="CP554">
        <f>IF($CM554="","",IF($CM554="Aloe Vera Gel","Aloe Vera Gel "&amp;$CO554&amp;"g",CN554&amp;" "&amp;$CO554&amp;"g"))</f>
        <v/>
      </c>
      <c r="CQ554">
        <f>IF($AT554="",0,1)</f>
        <v/>
      </c>
      <c r="CR554">
        <f>IF($CQ554=0,"",AW554)</f>
        <v/>
      </c>
      <c r="CS554">
        <f>IF($CQ554=0,"",AX554)</f>
        <v/>
      </c>
      <c r="CT554">
        <f>IF($CQ554=0,"",AY554)</f>
        <v/>
      </c>
      <c r="CU554">
        <f>IF($CR554="","",IF($CR554="Aloe Vera Gel","Aloe Vera Gel "&amp;$CT554&amp;"g",CS554&amp;" "&amp;$CT554&amp;"g"))</f>
        <v/>
      </c>
      <c r="CV554">
        <f>IF($CQ554=0,"",IF($CP554=$CU554,"Repeat Exact",IF($CT554&gt;$CO554,"Upsized",IF($CT554&lt;$CO554,"Downsized",IF($CM554&lt;&gt;$CR554,"Lateral","Same Size Diff Variant")))))</f>
        <v/>
      </c>
      <c r="CW554">
        <f>IF($CQ554=0,"",AZ554-AQ554)</f>
        <v/>
      </c>
      <c r="CX554">
        <f>IF($CQ554=0,0,IF(CS554=CN554,1,0))</f>
        <v/>
      </c>
      <c r="CY554">
        <f>IF($CQ554=0,0,IF(CR554=CM554,1,0))</f>
        <v/>
      </c>
      <c r="CZ554">
        <f>IF($A554="","",IF(AND(IF(DASHBOARD!$C$4="All",TRUE,$CM554=DASHBOARD!$C$4),IF(DASHBOARD!$C$6="All",TRUE,$CP554=DASHBOARD!$C$6),IF(DASHBOARD!$C$8="All",TRUE,$AF554&gt;=DASHBOARD!$C$8),IF(DASHBOARD!$C$10="All",TRUE,$AF554&lt;=DASHBOARD!$C$10),IF(DASHBOARD!$C$12="All",TRUE,$AH554=VALUE(DASHBOARD!$C$12)),IF(DASHBOARD!$C$14="All",TRUE,$AJ554=DASHBOARD!$C$14)),1,0))</f>
        <v/>
      </c>
    </row>
    <row r="555">
      <c r="A555" t="n">
        <v>243589</v>
      </c>
      <c r="B555" t="inlineStr">
        <is>
          <t>Face Malai</t>
        </is>
      </c>
      <c r="H555" t="inlineStr">
        <is>
          <t>Flax Carrot (Hot Humid) 35+ Face Malai - 50g</t>
        </is>
      </c>
      <c r="N555" t="inlineStr">
        <is>
          <t>FC-HHDM-FC-050</t>
        </is>
      </c>
      <c r="T555" t="inlineStr">
        <is>
          <t>May 12, 2024</t>
        </is>
      </c>
      <c r="AE555" t="inlineStr">
        <is>
          <t>Gurgaon</t>
        </is>
      </c>
      <c r="AF555" t="inlineStr">
        <is>
          <t>2024-05</t>
        </is>
      </c>
      <c r="AG555" t="n">
        <v>5</v>
      </c>
      <c r="AH555" t="n">
        <v>1</v>
      </c>
      <c r="AI555" t="n">
        <v>0</v>
      </c>
      <c r="AJ555">
        <f>IF($AE555="","",IFERROR(VLOOKUP(TRIM($AE555),DECODE!$H$3:$I$60,2,FALSE),"Rest of India"))</f>
        <v/>
      </c>
      <c r="AK555">
        <f>IF($N555="","",UPPER(TRIM(LEFT($N555&amp;",",FIND(",",$N555&amp;",")-1))))</f>
        <v/>
      </c>
      <c r="AL555">
        <f>IF($AK555="","",MID($AK555,4,FIND("~",SUBSTITUTE($AK555,"-","~",2))-4))</f>
        <v/>
      </c>
      <c r="AM555">
        <f>IF($AK555="","",MID($AK555,FIND("~",SUBSTITUTE($AK555,"-","~",2))+1,FIND("~",SUBSTITUTE($AK555,"-","~",3))-FIND("~",SUBSTITUTE($AK555,"-","~",2))-1))</f>
        <v/>
      </c>
      <c r="AN555">
        <f>IF($AL555="","",IFERROR(VLOOKUP($AL555,DECODE!$A$3:$C$8,3,FALSE),"?"))</f>
        <v/>
      </c>
      <c r="AO555">
        <f>IF($AM555="","",IFERROR(VLOOKUP($AL555&amp;"-"&amp;$AM555,DECODE!$E$3:$F$21,2,FALSE),"?"))</f>
        <v/>
      </c>
      <c r="AP555">
        <f>IF($AK555="","",IFERROR(VALUE(RIGHT($AK555,3)),""))</f>
        <v/>
      </c>
      <c r="AQ555">
        <f>IF($T555="","",IFERROR(IF(ISNUMBER($T555),$T555,DATEVALUE(TRIM($T555))),""))</f>
        <v/>
      </c>
      <c r="AR555">
        <f>IF($AQ555="","",IF(MONTH($AQ555)&gt;=12,"Cold Winter",IF(MONTH($AQ555)&gt;=10,"Post-Monsoon",IF(MONTH($AQ555)&gt;=6,"Hot Humid",IF(MONTH($AQ555)&gt;=3,"Hot Dry","Cold Winter")))))</f>
        <v/>
      </c>
      <c r="AS555">
        <f>IF($AL555="","",IFERROR(VLOOKUP($AL555,DECODE!$A$3:$C$8,2,FALSE),"?"))</f>
        <v/>
      </c>
      <c r="AT555">
        <f>IF($O555="","",UPPER(TRIM(LEFT($O555&amp;",",FIND(",",$O555&amp;",")-1))))</f>
        <v/>
      </c>
      <c r="AU555">
        <f>IF($AT555="","",MID($AT555,4,FIND("~",SUBSTITUTE($AT555,"-","~",2))-4))</f>
        <v/>
      </c>
      <c r="AV555">
        <f>IF($AT555="","",MID($AT555,FIND("~",SUBSTITUTE($AT555,"-","~",2))+1,FIND("~",SUBSTITUTE($AT555,"-","~",3))-FIND("~",SUBSTITUTE($AT555,"-","~",2))-1))</f>
        <v/>
      </c>
      <c r="AW555">
        <f>IF($AU555="","",IFERROR(VLOOKUP($AU555,DECODE!$A$3:$C$8,3,FALSE),"?"))</f>
        <v/>
      </c>
      <c r="AX555">
        <f>IF($AV555="","",IFERROR(VLOOKUP($AU555&amp;"-"&amp;$AV555,DECODE!$E$3:$F$21,2,FALSE),"?"))</f>
        <v/>
      </c>
      <c r="AY555">
        <f>IF($AT555="","",IFERROR(VALUE(RIGHT($AT555,3)),""))</f>
        <v/>
      </c>
      <c r="AZ555">
        <f>IF($U555="","",IFERROR(IF(ISNUMBER($U555),$U555,DATEVALUE(TRIM($U555))),""))</f>
        <v/>
      </c>
      <c r="BA555">
        <f>IF($AZ555="","",IF(MONTH($AZ555)&gt;=12,"Cold Winter",IF(MONTH($AZ555)&gt;=10,"Post-Monsoon",IF(MONTH($AZ555)&gt;=6,"Hot Humid",IF(MONTH($AZ555)&gt;=3,"Hot Dry","Cold Winter")))))</f>
        <v/>
      </c>
      <c r="BB555">
        <f>IF($AU555="","",IFERROR(VLOOKUP($AU555,DECODE!$A$3:$C$8,2,FALSE),"?"))</f>
        <v/>
      </c>
      <c r="BC555">
        <f>IF($P555="","",UPPER(TRIM(LEFT($P555&amp;",",FIND(",",$P555&amp;",")-1))))</f>
        <v/>
      </c>
      <c r="BD555">
        <f>IF($BC555="","",MID($BC555,4,FIND("~",SUBSTITUTE($BC555,"-","~",2))-4))</f>
        <v/>
      </c>
      <c r="BE555">
        <f>IF($BC555="","",MID($BC555,FIND("~",SUBSTITUTE($BC555,"-","~",2))+1,FIND("~",SUBSTITUTE($BC555,"-","~",3))-FIND("~",SUBSTITUTE($BC555,"-","~",2))-1))</f>
        <v/>
      </c>
      <c r="BF555">
        <f>IF($BD555="","",IFERROR(VLOOKUP($BD555,DECODE!$A$3:$C$8,3,FALSE),"?"))</f>
        <v/>
      </c>
      <c r="BG555">
        <f>IF($BE555="","",IFERROR(VLOOKUP($BD555&amp;"-"&amp;$BE555,DECODE!$E$3:$F$21,2,FALSE),"?"))</f>
        <v/>
      </c>
      <c r="BH555">
        <f>IF($BC555="","",IFERROR(VALUE(RIGHT($BC555,3)),""))</f>
        <v/>
      </c>
      <c r="BI555">
        <f>IF($V555="","",IFERROR(IF(ISNUMBER($V555),$V555,DATEVALUE(TRIM($V555))),""))</f>
        <v/>
      </c>
      <c r="BJ555">
        <f>IF($BI555="","",IF(MONTH($BI555)&gt;=12,"Cold Winter",IF(MONTH($BI555)&gt;=10,"Post-Monsoon",IF(MONTH($BI555)&gt;=6,"Hot Humid",IF(MONTH($BI555)&gt;=3,"Hot Dry","Cold Winter")))))</f>
        <v/>
      </c>
      <c r="BK555">
        <f>IF($BD555="","",IFERROR(VLOOKUP($BD555,DECODE!$A$3:$C$8,2,FALSE),"?"))</f>
        <v/>
      </c>
      <c r="BL555">
        <f>IF($Q555="","",UPPER(TRIM(LEFT($Q555&amp;",",FIND(",",$Q555&amp;",")-1))))</f>
        <v/>
      </c>
      <c r="BM555">
        <f>IF($BL555="","",MID($BL555,4,FIND("~",SUBSTITUTE($BL555,"-","~",2))-4))</f>
        <v/>
      </c>
      <c r="BN555">
        <f>IF($BL555="","",MID($BL555,FIND("~",SUBSTITUTE($BL555,"-","~",2))+1,FIND("~",SUBSTITUTE($BL555,"-","~",3))-FIND("~",SUBSTITUTE($BL555,"-","~",2))-1))</f>
        <v/>
      </c>
      <c r="BO555">
        <f>IF($BM555="","",IFERROR(VLOOKUP($BM555,DECODE!$A$3:$C$8,3,FALSE),"?"))</f>
        <v/>
      </c>
      <c r="BP555">
        <f>IF($BN555="","",IFERROR(VLOOKUP($BM555&amp;"-"&amp;$BN555,DECODE!$E$3:$F$21,2,FALSE),"?"))</f>
        <v/>
      </c>
      <c r="BQ555">
        <f>IF($BL555="","",IFERROR(VALUE(RIGHT($BL555,3)),""))</f>
        <v/>
      </c>
      <c r="BR555">
        <f>IF($W555="","",IFERROR(IF(ISNUMBER($W555),$W555,DATEVALUE(TRIM($W555))),""))</f>
        <v/>
      </c>
      <c r="BS555">
        <f>IF($BR555="","",IF(MONTH($BR555)&gt;=12,"Cold Winter",IF(MONTH($BR555)&gt;=10,"Post-Monsoon",IF(MONTH($BR555)&gt;=6,"Hot Humid",IF(MONTH($BR555)&gt;=3,"Hot Dry","Cold Winter")))))</f>
        <v/>
      </c>
      <c r="BT555">
        <f>IF($BM555="","",IFERROR(VLOOKUP($BM555,DECODE!$A$3:$C$8,2,FALSE),"?"))</f>
        <v/>
      </c>
      <c r="BU555">
        <f>IF($R555="","",UPPER(TRIM(LEFT($R555&amp;",",FIND(",",$R555&amp;",")-1))))</f>
        <v/>
      </c>
      <c r="BV555">
        <f>IF($BU555="","",MID($BU555,4,FIND("~",SUBSTITUTE($BU555,"-","~",2))-4))</f>
        <v/>
      </c>
      <c r="BW555">
        <f>IF($BU555="","",MID($BU555,FIND("~",SUBSTITUTE($BU555,"-","~",2))+1,FIND("~",SUBSTITUTE($BU555,"-","~",3))-FIND("~",SUBSTITUTE($BU555,"-","~",2))-1))</f>
        <v/>
      </c>
      <c r="BX555">
        <f>IF($BV555="","",IFERROR(VLOOKUP($BV555,DECODE!$A$3:$C$8,3,FALSE),"?"))</f>
        <v/>
      </c>
      <c r="BY555">
        <f>IF($BW555="","",IFERROR(VLOOKUP($BV555&amp;"-"&amp;$BW555,DECODE!$E$3:$F$21,2,FALSE),"?"))</f>
        <v/>
      </c>
      <c r="BZ555">
        <f>IF($BU555="","",IFERROR(VALUE(RIGHT($BU555,3)),""))</f>
        <v/>
      </c>
      <c r="CA555">
        <f>IF($X555="","",IFERROR(IF(ISNUMBER($X555),$X555,DATEVALUE(TRIM($X555))),""))</f>
        <v/>
      </c>
      <c r="CB555">
        <f>IF($CA555="","",IF(MONTH($CA555)&gt;=12,"Cold Winter",IF(MONTH($CA555)&gt;=10,"Post-Monsoon",IF(MONTH($CA555)&gt;=6,"Hot Humid",IF(MONTH($CA555)&gt;=3,"Hot Dry","Cold Winter")))))</f>
        <v/>
      </c>
      <c r="CC555">
        <f>IF($BV555="","",IFERROR(VLOOKUP($BV555,DECODE!$A$3:$C$8,2,FALSE),"?"))</f>
        <v/>
      </c>
      <c r="CD555">
        <f>IF($S555="","",UPPER(TRIM(LEFT($S555&amp;",",FIND(",",$S555&amp;",")-1))))</f>
        <v/>
      </c>
      <c r="CE555">
        <f>IF($CD555="","",MID($CD555,4,FIND("~",SUBSTITUTE($CD555,"-","~",2))-4))</f>
        <v/>
      </c>
      <c r="CF555">
        <f>IF($CD555="","",MID($CD555,FIND("~",SUBSTITUTE($CD555,"-","~",2))+1,FIND("~",SUBSTITUTE($CD555,"-","~",3))-FIND("~",SUBSTITUTE($CD555,"-","~",2))-1))</f>
        <v/>
      </c>
      <c r="CG555">
        <f>IF($CE555="","",IFERROR(VLOOKUP($CE555,DECODE!$A$3:$C$8,3,FALSE),"?"))</f>
        <v/>
      </c>
      <c r="CH555">
        <f>IF($CF555="","",IFERROR(VLOOKUP($CE555&amp;"-"&amp;$CF555,DECODE!$E$3:$F$21,2,FALSE),"?"))</f>
        <v/>
      </c>
      <c r="CI555">
        <f>IF($CD555="","",IFERROR(VALUE(RIGHT($CD555,3)),""))</f>
        <v/>
      </c>
      <c r="CJ555">
        <f>IF($Y555="","",IFERROR(IF(ISNUMBER($Y555),$Y555,DATEVALUE(TRIM($Y555))),""))</f>
        <v/>
      </c>
      <c r="CK555">
        <f>IF($CJ555="","",IF(MONTH($CJ555)&gt;=12,"Cold Winter",IF(MONTH($CJ555)&gt;=10,"Post-Monsoon",IF(MONTH($CJ555)&gt;=6,"Hot Humid",IF(MONTH($CJ555)&gt;=3,"Hot Dry","Cold Winter")))))</f>
        <v/>
      </c>
      <c r="CL555">
        <f>IF($CE555="","",IFERROR(VLOOKUP($CE555,DECODE!$A$3:$C$8,2,FALSE),"?"))</f>
        <v/>
      </c>
      <c r="CM555">
        <f>IF($AN555="","",AN555)</f>
        <v/>
      </c>
      <c r="CN555">
        <f>IF($AO555="","",AO555)</f>
        <v/>
      </c>
      <c r="CO555">
        <f>IF($AP555="","",AP555)</f>
        <v/>
      </c>
      <c r="CP555">
        <f>IF($CM555="","",IF($CM555="Aloe Vera Gel","Aloe Vera Gel "&amp;$CO555&amp;"g",CN555&amp;" "&amp;$CO555&amp;"g"))</f>
        <v/>
      </c>
      <c r="CQ555">
        <f>IF($AT555="",0,1)</f>
        <v/>
      </c>
      <c r="CR555">
        <f>IF($CQ555=0,"",AW555)</f>
        <v/>
      </c>
      <c r="CS555">
        <f>IF($CQ555=0,"",AX555)</f>
        <v/>
      </c>
      <c r="CT555">
        <f>IF($CQ555=0,"",AY555)</f>
        <v/>
      </c>
      <c r="CU555">
        <f>IF($CR555="","",IF($CR555="Aloe Vera Gel","Aloe Vera Gel "&amp;$CT555&amp;"g",CS555&amp;" "&amp;$CT555&amp;"g"))</f>
        <v/>
      </c>
      <c r="CV555">
        <f>IF($CQ555=0,"",IF($CP555=$CU555,"Repeat Exact",IF($CT555&gt;$CO555,"Upsized",IF($CT555&lt;$CO555,"Downsized",IF($CM555&lt;&gt;$CR555,"Lateral","Same Size Diff Variant")))))</f>
        <v/>
      </c>
      <c r="CW555">
        <f>IF($CQ555=0,"",AZ555-AQ555)</f>
        <v/>
      </c>
      <c r="CX555">
        <f>IF($CQ555=0,0,IF(CS555=CN555,1,0))</f>
        <v/>
      </c>
      <c r="CY555">
        <f>IF($CQ555=0,0,IF(CR555=CM555,1,0))</f>
        <v/>
      </c>
      <c r="CZ555">
        <f>IF($A555="","",IF(AND(IF(DASHBOARD!$C$4="All",TRUE,$CM555=DASHBOARD!$C$4),IF(DASHBOARD!$C$6="All",TRUE,$CP555=DASHBOARD!$C$6),IF(DASHBOARD!$C$8="All",TRUE,$AF555&gt;=DASHBOARD!$C$8),IF(DASHBOARD!$C$10="All",TRUE,$AF555&lt;=DASHBOARD!$C$10),IF(DASHBOARD!$C$12="All",TRUE,$AH555=VALUE(DASHBOARD!$C$12)),IF(DASHBOARD!$C$14="All",TRUE,$AJ555=DASHBOARD!$C$14)),1,0))</f>
        <v/>
      </c>
    </row>
    <row r="556">
      <c r="A556" t="n">
        <v>244651</v>
      </c>
      <c r="B556" t="inlineStr">
        <is>
          <t>Face Malai</t>
        </is>
      </c>
      <c r="H556" t="inlineStr">
        <is>
          <t>Turmeric Nutmeg (Pigmentation)  Face Malai - 30g</t>
        </is>
      </c>
      <c r="N556" t="inlineStr">
        <is>
          <t>FC-DM-PG-030</t>
        </is>
      </c>
      <c r="T556" t="inlineStr">
        <is>
          <t>Jun 14, 2024</t>
        </is>
      </c>
      <c r="AE556" t="inlineStr">
        <is>
          <t>Agra</t>
        </is>
      </c>
      <c r="AF556" t="inlineStr">
        <is>
          <t>2024-06</t>
        </is>
      </c>
      <c r="AG556" t="n">
        <v>6</v>
      </c>
      <c r="AH556" t="n">
        <v>1</v>
      </c>
      <c r="AI556" t="n">
        <v>0</v>
      </c>
      <c r="AJ556">
        <f>IF($AE556="","",IFERROR(VLOOKUP(TRIM($AE556),DECODE!$H$3:$I$60,2,FALSE),"Rest of India"))</f>
        <v/>
      </c>
      <c r="AK556">
        <f>IF($N556="","",UPPER(TRIM(LEFT($N556&amp;",",FIND(",",$N556&amp;",")-1))))</f>
        <v/>
      </c>
      <c r="AL556">
        <f>IF($AK556="","",MID($AK556,4,FIND("~",SUBSTITUTE($AK556,"-","~",2))-4))</f>
        <v/>
      </c>
      <c r="AM556">
        <f>IF($AK556="","",MID($AK556,FIND("~",SUBSTITUTE($AK556,"-","~",2))+1,FIND("~",SUBSTITUTE($AK556,"-","~",3))-FIND("~",SUBSTITUTE($AK556,"-","~",2))-1))</f>
        <v/>
      </c>
      <c r="AN556">
        <f>IF($AL556="","",IFERROR(VLOOKUP($AL556,DECODE!$A$3:$C$8,3,FALSE),"?"))</f>
        <v/>
      </c>
      <c r="AO556">
        <f>IF($AM556="","",IFERROR(VLOOKUP($AL556&amp;"-"&amp;$AM556,DECODE!$E$3:$F$21,2,FALSE),"?"))</f>
        <v/>
      </c>
      <c r="AP556">
        <f>IF($AK556="","",IFERROR(VALUE(RIGHT($AK556,3)),""))</f>
        <v/>
      </c>
      <c r="AQ556">
        <f>IF($T556="","",IFERROR(IF(ISNUMBER($T556),$T556,DATEVALUE(TRIM($T556))),""))</f>
        <v/>
      </c>
      <c r="AR556">
        <f>IF($AQ556="","",IF(MONTH($AQ556)&gt;=12,"Cold Winter",IF(MONTH($AQ556)&gt;=10,"Post-Monsoon",IF(MONTH($AQ556)&gt;=6,"Hot Humid",IF(MONTH($AQ556)&gt;=3,"Hot Dry","Cold Winter")))))</f>
        <v/>
      </c>
      <c r="AS556">
        <f>IF($AL556="","",IFERROR(VLOOKUP($AL556,DECODE!$A$3:$C$8,2,FALSE),"?"))</f>
        <v/>
      </c>
      <c r="AT556">
        <f>IF($O556="","",UPPER(TRIM(LEFT($O556&amp;",",FIND(",",$O556&amp;",")-1))))</f>
        <v/>
      </c>
      <c r="AU556">
        <f>IF($AT556="","",MID($AT556,4,FIND("~",SUBSTITUTE($AT556,"-","~",2))-4))</f>
        <v/>
      </c>
      <c r="AV556">
        <f>IF($AT556="","",MID($AT556,FIND("~",SUBSTITUTE($AT556,"-","~",2))+1,FIND("~",SUBSTITUTE($AT556,"-","~",3))-FIND("~",SUBSTITUTE($AT556,"-","~",2))-1))</f>
        <v/>
      </c>
      <c r="AW556">
        <f>IF($AU556="","",IFERROR(VLOOKUP($AU556,DECODE!$A$3:$C$8,3,FALSE),"?"))</f>
        <v/>
      </c>
      <c r="AX556">
        <f>IF($AV556="","",IFERROR(VLOOKUP($AU556&amp;"-"&amp;$AV556,DECODE!$E$3:$F$21,2,FALSE),"?"))</f>
        <v/>
      </c>
      <c r="AY556">
        <f>IF($AT556="","",IFERROR(VALUE(RIGHT($AT556,3)),""))</f>
        <v/>
      </c>
      <c r="AZ556">
        <f>IF($U556="","",IFERROR(IF(ISNUMBER($U556),$U556,DATEVALUE(TRIM($U556))),""))</f>
        <v/>
      </c>
      <c r="BA556">
        <f>IF($AZ556="","",IF(MONTH($AZ556)&gt;=12,"Cold Winter",IF(MONTH($AZ556)&gt;=10,"Post-Monsoon",IF(MONTH($AZ556)&gt;=6,"Hot Humid",IF(MONTH($AZ556)&gt;=3,"Hot Dry","Cold Winter")))))</f>
        <v/>
      </c>
      <c r="BB556">
        <f>IF($AU556="","",IFERROR(VLOOKUP($AU556,DECODE!$A$3:$C$8,2,FALSE),"?"))</f>
        <v/>
      </c>
      <c r="BC556">
        <f>IF($P556="","",UPPER(TRIM(LEFT($P556&amp;",",FIND(",",$P556&amp;",")-1))))</f>
        <v/>
      </c>
      <c r="BD556">
        <f>IF($BC556="","",MID($BC556,4,FIND("~",SUBSTITUTE($BC556,"-","~",2))-4))</f>
        <v/>
      </c>
      <c r="BE556">
        <f>IF($BC556="","",MID($BC556,FIND("~",SUBSTITUTE($BC556,"-","~",2))+1,FIND("~",SUBSTITUTE($BC556,"-","~",3))-FIND("~",SUBSTITUTE($BC556,"-","~",2))-1))</f>
        <v/>
      </c>
      <c r="BF556">
        <f>IF($BD556="","",IFERROR(VLOOKUP($BD556,DECODE!$A$3:$C$8,3,FALSE),"?"))</f>
        <v/>
      </c>
      <c r="BG556">
        <f>IF($BE556="","",IFERROR(VLOOKUP($BD556&amp;"-"&amp;$BE556,DECODE!$E$3:$F$21,2,FALSE),"?"))</f>
        <v/>
      </c>
      <c r="BH556">
        <f>IF($BC556="","",IFERROR(VALUE(RIGHT($BC556,3)),""))</f>
        <v/>
      </c>
      <c r="BI556">
        <f>IF($V556="","",IFERROR(IF(ISNUMBER($V556),$V556,DATEVALUE(TRIM($V556))),""))</f>
        <v/>
      </c>
      <c r="BJ556">
        <f>IF($BI556="","",IF(MONTH($BI556)&gt;=12,"Cold Winter",IF(MONTH($BI556)&gt;=10,"Post-Monsoon",IF(MONTH($BI556)&gt;=6,"Hot Humid",IF(MONTH($BI556)&gt;=3,"Hot Dry","Cold Winter")))))</f>
        <v/>
      </c>
      <c r="BK556">
        <f>IF($BD556="","",IFERROR(VLOOKUP($BD556,DECODE!$A$3:$C$8,2,FALSE),"?"))</f>
        <v/>
      </c>
      <c r="BL556">
        <f>IF($Q556="","",UPPER(TRIM(LEFT($Q556&amp;",",FIND(",",$Q556&amp;",")-1))))</f>
        <v/>
      </c>
      <c r="BM556">
        <f>IF($BL556="","",MID($BL556,4,FIND("~",SUBSTITUTE($BL556,"-","~",2))-4))</f>
        <v/>
      </c>
      <c r="BN556">
        <f>IF($BL556="","",MID($BL556,FIND("~",SUBSTITUTE($BL556,"-","~",2))+1,FIND("~",SUBSTITUTE($BL556,"-","~",3))-FIND("~",SUBSTITUTE($BL556,"-","~",2))-1))</f>
        <v/>
      </c>
      <c r="BO556">
        <f>IF($BM556="","",IFERROR(VLOOKUP($BM556,DECODE!$A$3:$C$8,3,FALSE),"?"))</f>
        <v/>
      </c>
      <c r="BP556">
        <f>IF($BN556="","",IFERROR(VLOOKUP($BM556&amp;"-"&amp;$BN556,DECODE!$E$3:$F$21,2,FALSE),"?"))</f>
        <v/>
      </c>
      <c r="BQ556">
        <f>IF($BL556="","",IFERROR(VALUE(RIGHT($BL556,3)),""))</f>
        <v/>
      </c>
      <c r="BR556">
        <f>IF($W556="","",IFERROR(IF(ISNUMBER($W556),$W556,DATEVALUE(TRIM($W556))),""))</f>
        <v/>
      </c>
      <c r="BS556">
        <f>IF($BR556="","",IF(MONTH($BR556)&gt;=12,"Cold Winter",IF(MONTH($BR556)&gt;=10,"Post-Monsoon",IF(MONTH($BR556)&gt;=6,"Hot Humid",IF(MONTH($BR556)&gt;=3,"Hot Dry","Cold Winter")))))</f>
        <v/>
      </c>
      <c r="BT556">
        <f>IF($BM556="","",IFERROR(VLOOKUP($BM556,DECODE!$A$3:$C$8,2,FALSE),"?"))</f>
        <v/>
      </c>
      <c r="BU556">
        <f>IF($R556="","",UPPER(TRIM(LEFT($R556&amp;",",FIND(",",$R556&amp;",")-1))))</f>
        <v/>
      </c>
      <c r="BV556">
        <f>IF($BU556="","",MID($BU556,4,FIND("~",SUBSTITUTE($BU556,"-","~",2))-4))</f>
        <v/>
      </c>
      <c r="BW556">
        <f>IF($BU556="","",MID($BU556,FIND("~",SUBSTITUTE($BU556,"-","~",2))+1,FIND("~",SUBSTITUTE($BU556,"-","~",3))-FIND("~",SUBSTITUTE($BU556,"-","~",2))-1))</f>
        <v/>
      </c>
      <c r="BX556">
        <f>IF($BV556="","",IFERROR(VLOOKUP($BV556,DECODE!$A$3:$C$8,3,FALSE),"?"))</f>
        <v/>
      </c>
      <c r="BY556">
        <f>IF($BW556="","",IFERROR(VLOOKUP($BV556&amp;"-"&amp;$BW556,DECODE!$E$3:$F$21,2,FALSE),"?"))</f>
        <v/>
      </c>
      <c r="BZ556">
        <f>IF($BU556="","",IFERROR(VALUE(RIGHT($BU556,3)),""))</f>
        <v/>
      </c>
      <c r="CA556">
        <f>IF($X556="","",IFERROR(IF(ISNUMBER($X556),$X556,DATEVALUE(TRIM($X556))),""))</f>
        <v/>
      </c>
      <c r="CB556">
        <f>IF($CA556="","",IF(MONTH($CA556)&gt;=12,"Cold Winter",IF(MONTH($CA556)&gt;=10,"Post-Monsoon",IF(MONTH($CA556)&gt;=6,"Hot Humid",IF(MONTH($CA556)&gt;=3,"Hot Dry","Cold Winter")))))</f>
        <v/>
      </c>
      <c r="CC556">
        <f>IF($BV556="","",IFERROR(VLOOKUP($BV556,DECODE!$A$3:$C$8,2,FALSE),"?"))</f>
        <v/>
      </c>
      <c r="CD556">
        <f>IF($S556="","",UPPER(TRIM(LEFT($S556&amp;",",FIND(",",$S556&amp;",")-1))))</f>
        <v/>
      </c>
      <c r="CE556">
        <f>IF($CD556="","",MID($CD556,4,FIND("~",SUBSTITUTE($CD556,"-","~",2))-4))</f>
        <v/>
      </c>
      <c r="CF556">
        <f>IF($CD556="","",MID($CD556,FIND("~",SUBSTITUTE($CD556,"-","~",2))+1,FIND("~",SUBSTITUTE($CD556,"-","~",3))-FIND("~",SUBSTITUTE($CD556,"-","~",2))-1))</f>
        <v/>
      </c>
      <c r="CG556">
        <f>IF($CE556="","",IFERROR(VLOOKUP($CE556,DECODE!$A$3:$C$8,3,FALSE),"?"))</f>
        <v/>
      </c>
      <c r="CH556">
        <f>IF($CF556="","",IFERROR(VLOOKUP($CE556&amp;"-"&amp;$CF556,DECODE!$E$3:$F$21,2,FALSE),"?"))</f>
        <v/>
      </c>
      <c r="CI556">
        <f>IF($CD556="","",IFERROR(VALUE(RIGHT($CD556,3)),""))</f>
        <v/>
      </c>
      <c r="CJ556">
        <f>IF($Y556="","",IFERROR(IF(ISNUMBER($Y556),$Y556,DATEVALUE(TRIM($Y556))),""))</f>
        <v/>
      </c>
      <c r="CK556">
        <f>IF($CJ556="","",IF(MONTH($CJ556)&gt;=12,"Cold Winter",IF(MONTH($CJ556)&gt;=10,"Post-Monsoon",IF(MONTH($CJ556)&gt;=6,"Hot Humid",IF(MONTH($CJ556)&gt;=3,"Hot Dry","Cold Winter")))))</f>
        <v/>
      </c>
      <c r="CL556">
        <f>IF($CE556="","",IFERROR(VLOOKUP($CE556,DECODE!$A$3:$C$8,2,FALSE),"?"))</f>
        <v/>
      </c>
      <c r="CM556">
        <f>IF($AN556="","",AN556)</f>
        <v/>
      </c>
      <c r="CN556">
        <f>IF($AO556="","",AO556)</f>
        <v/>
      </c>
      <c r="CO556">
        <f>IF($AP556="","",AP556)</f>
        <v/>
      </c>
      <c r="CP556">
        <f>IF($CM556="","",IF($CM556="Aloe Vera Gel","Aloe Vera Gel "&amp;$CO556&amp;"g",CN556&amp;" "&amp;$CO556&amp;"g"))</f>
        <v/>
      </c>
      <c r="CQ556">
        <f>IF($AT556="",0,1)</f>
        <v/>
      </c>
      <c r="CR556">
        <f>IF($CQ556=0,"",AW556)</f>
        <v/>
      </c>
      <c r="CS556">
        <f>IF($CQ556=0,"",AX556)</f>
        <v/>
      </c>
      <c r="CT556">
        <f>IF($CQ556=0,"",AY556)</f>
        <v/>
      </c>
      <c r="CU556">
        <f>IF($CR556="","",IF($CR556="Aloe Vera Gel","Aloe Vera Gel "&amp;$CT556&amp;"g",CS556&amp;" "&amp;$CT556&amp;"g"))</f>
        <v/>
      </c>
      <c r="CV556">
        <f>IF($CQ556=0,"",IF($CP556=$CU556,"Repeat Exact",IF($CT556&gt;$CO556,"Upsized",IF($CT556&lt;$CO556,"Downsized",IF($CM556&lt;&gt;$CR556,"Lateral","Same Size Diff Variant")))))</f>
        <v/>
      </c>
      <c r="CW556">
        <f>IF($CQ556=0,"",AZ556-AQ556)</f>
        <v/>
      </c>
      <c r="CX556">
        <f>IF($CQ556=0,0,IF(CS556=CN556,1,0))</f>
        <v/>
      </c>
      <c r="CY556">
        <f>IF($CQ556=0,0,IF(CR556=CM556,1,0))</f>
        <v/>
      </c>
      <c r="CZ556">
        <f>IF($A556="","",IF(AND(IF(DASHBOARD!$C$4="All",TRUE,$CM556=DASHBOARD!$C$4),IF(DASHBOARD!$C$6="All",TRUE,$CP556=DASHBOARD!$C$6),IF(DASHBOARD!$C$8="All",TRUE,$AF556&gt;=DASHBOARD!$C$8),IF(DASHBOARD!$C$10="All",TRUE,$AF556&lt;=DASHBOARD!$C$10),IF(DASHBOARD!$C$12="All",TRUE,$AH556=VALUE(DASHBOARD!$C$12)),IF(DASHBOARD!$C$14="All",TRUE,$AJ556=DASHBOARD!$C$14)),1,0))</f>
        <v/>
      </c>
    </row>
    <row r="557">
      <c r="A557" t="n">
        <v>245049</v>
      </c>
      <c r="B557" t="inlineStr">
        <is>
          <t>Face Malai</t>
        </is>
      </c>
      <c r="H557" t="inlineStr">
        <is>
          <t>Turmeric Nutmeg (Pigmentation)  Face Malai - 30g</t>
        </is>
      </c>
      <c r="N557" t="inlineStr">
        <is>
          <t>FC-DM-PG-030</t>
        </is>
      </c>
      <c r="T557" t="inlineStr">
        <is>
          <t>Jan 25, 2024</t>
        </is>
      </c>
      <c r="AE557" t="inlineStr">
        <is>
          <t>Asansol</t>
        </is>
      </c>
      <c r="AF557" t="inlineStr">
        <is>
          <t>2024-01</t>
        </is>
      </c>
      <c r="AG557" t="n">
        <v>1</v>
      </c>
      <c r="AH557" t="n">
        <v>1</v>
      </c>
      <c r="AI557" t="n">
        <v>0</v>
      </c>
      <c r="AJ557">
        <f>IF($AE557="","",IFERROR(VLOOKUP(TRIM($AE557),DECODE!$H$3:$I$60,2,FALSE),"Rest of India"))</f>
        <v/>
      </c>
      <c r="AK557">
        <f>IF($N557="","",UPPER(TRIM(LEFT($N557&amp;",",FIND(",",$N557&amp;",")-1))))</f>
        <v/>
      </c>
      <c r="AL557">
        <f>IF($AK557="","",MID($AK557,4,FIND("~",SUBSTITUTE($AK557,"-","~",2))-4))</f>
        <v/>
      </c>
      <c r="AM557">
        <f>IF($AK557="","",MID($AK557,FIND("~",SUBSTITUTE($AK557,"-","~",2))+1,FIND("~",SUBSTITUTE($AK557,"-","~",3))-FIND("~",SUBSTITUTE($AK557,"-","~",2))-1))</f>
        <v/>
      </c>
      <c r="AN557">
        <f>IF($AL557="","",IFERROR(VLOOKUP($AL557,DECODE!$A$3:$C$8,3,FALSE),"?"))</f>
        <v/>
      </c>
      <c r="AO557">
        <f>IF($AM557="","",IFERROR(VLOOKUP($AL557&amp;"-"&amp;$AM557,DECODE!$E$3:$F$21,2,FALSE),"?"))</f>
        <v/>
      </c>
      <c r="AP557">
        <f>IF($AK557="","",IFERROR(VALUE(RIGHT($AK557,3)),""))</f>
        <v/>
      </c>
      <c r="AQ557">
        <f>IF($T557="","",IFERROR(IF(ISNUMBER($T557),$T557,DATEVALUE(TRIM($T557))),""))</f>
        <v/>
      </c>
      <c r="AR557">
        <f>IF($AQ557="","",IF(MONTH($AQ557)&gt;=12,"Cold Winter",IF(MONTH($AQ557)&gt;=10,"Post-Monsoon",IF(MONTH($AQ557)&gt;=6,"Hot Humid",IF(MONTH($AQ557)&gt;=3,"Hot Dry","Cold Winter")))))</f>
        <v/>
      </c>
      <c r="AS557">
        <f>IF($AL557="","",IFERROR(VLOOKUP($AL557,DECODE!$A$3:$C$8,2,FALSE),"?"))</f>
        <v/>
      </c>
      <c r="AT557">
        <f>IF($O557="","",UPPER(TRIM(LEFT($O557&amp;",",FIND(",",$O557&amp;",")-1))))</f>
        <v/>
      </c>
      <c r="AU557">
        <f>IF($AT557="","",MID($AT557,4,FIND("~",SUBSTITUTE($AT557,"-","~",2))-4))</f>
        <v/>
      </c>
      <c r="AV557">
        <f>IF($AT557="","",MID($AT557,FIND("~",SUBSTITUTE($AT557,"-","~",2))+1,FIND("~",SUBSTITUTE($AT557,"-","~",3))-FIND("~",SUBSTITUTE($AT557,"-","~",2))-1))</f>
        <v/>
      </c>
      <c r="AW557">
        <f>IF($AU557="","",IFERROR(VLOOKUP($AU557,DECODE!$A$3:$C$8,3,FALSE),"?"))</f>
        <v/>
      </c>
      <c r="AX557">
        <f>IF($AV557="","",IFERROR(VLOOKUP($AU557&amp;"-"&amp;$AV557,DECODE!$E$3:$F$21,2,FALSE),"?"))</f>
        <v/>
      </c>
      <c r="AY557">
        <f>IF($AT557="","",IFERROR(VALUE(RIGHT($AT557,3)),""))</f>
        <v/>
      </c>
      <c r="AZ557">
        <f>IF($U557="","",IFERROR(IF(ISNUMBER($U557),$U557,DATEVALUE(TRIM($U557))),""))</f>
        <v/>
      </c>
      <c r="BA557">
        <f>IF($AZ557="","",IF(MONTH($AZ557)&gt;=12,"Cold Winter",IF(MONTH($AZ557)&gt;=10,"Post-Monsoon",IF(MONTH($AZ557)&gt;=6,"Hot Humid",IF(MONTH($AZ557)&gt;=3,"Hot Dry","Cold Winter")))))</f>
        <v/>
      </c>
      <c r="BB557">
        <f>IF($AU557="","",IFERROR(VLOOKUP($AU557,DECODE!$A$3:$C$8,2,FALSE),"?"))</f>
        <v/>
      </c>
      <c r="BC557">
        <f>IF($P557="","",UPPER(TRIM(LEFT($P557&amp;",",FIND(",",$P557&amp;",")-1))))</f>
        <v/>
      </c>
      <c r="BD557">
        <f>IF($BC557="","",MID($BC557,4,FIND("~",SUBSTITUTE($BC557,"-","~",2))-4))</f>
        <v/>
      </c>
      <c r="BE557">
        <f>IF($BC557="","",MID($BC557,FIND("~",SUBSTITUTE($BC557,"-","~",2))+1,FIND("~",SUBSTITUTE($BC557,"-","~",3))-FIND("~",SUBSTITUTE($BC557,"-","~",2))-1))</f>
        <v/>
      </c>
      <c r="BF557">
        <f>IF($BD557="","",IFERROR(VLOOKUP($BD557,DECODE!$A$3:$C$8,3,FALSE),"?"))</f>
        <v/>
      </c>
      <c r="BG557">
        <f>IF($BE557="","",IFERROR(VLOOKUP($BD557&amp;"-"&amp;$BE557,DECODE!$E$3:$F$21,2,FALSE),"?"))</f>
        <v/>
      </c>
      <c r="BH557">
        <f>IF($BC557="","",IFERROR(VALUE(RIGHT($BC557,3)),""))</f>
        <v/>
      </c>
      <c r="BI557">
        <f>IF($V557="","",IFERROR(IF(ISNUMBER($V557),$V557,DATEVALUE(TRIM($V557))),""))</f>
        <v/>
      </c>
      <c r="BJ557">
        <f>IF($BI557="","",IF(MONTH($BI557)&gt;=12,"Cold Winter",IF(MONTH($BI557)&gt;=10,"Post-Monsoon",IF(MONTH($BI557)&gt;=6,"Hot Humid",IF(MONTH($BI557)&gt;=3,"Hot Dry","Cold Winter")))))</f>
        <v/>
      </c>
      <c r="BK557">
        <f>IF($BD557="","",IFERROR(VLOOKUP($BD557,DECODE!$A$3:$C$8,2,FALSE),"?"))</f>
        <v/>
      </c>
      <c r="BL557">
        <f>IF($Q557="","",UPPER(TRIM(LEFT($Q557&amp;",",FIND(",",$Q557&amp;",")-1))))</f>
        <v/>
      </c>
      <c r="BM557">
        <f>IF($BL557="","",MID($BL557,4,FIND("~",SUBSTITUTE($BL557,"-","~",2))-4))</f>
        <v/>
      </c>
      <c r="BN557">
        <f>IF($BL557="","",MID($BL557,FIND("~",SUBSTITUTE($BL557,"-","~",2))+1,FIND("~",SUBSTITUTE($BL557,"-","~",3))-FIND("~",SUBSTITUTE($BL557,"-","~",2))-1))</f>
        <v/>
      </c>
      <c r="BO557">
        <f>IF($BM557="","",IFERROR(VLOOKUP($BM557,DECODE!$A$3:$C$8,3,FALSE),"?"))</f>
        <v/>
      </c>
      <c r="BP557">
        <f>IF($BN557="","",IFERROR(VLOOKUP($BM557&amp;"-"&amp;$BN557,DECODE!$E$3:$F$21,2,FALSE),"?"))</f>
        <v/>
      </c>
      <c r="BQ557">
        <f>IF($BL557="","",IFERROR(VALUE(RIGHT($BL557,3)),""))</f>
        <v/>
      </c>
      <c r="BR557">
        <f>IF($W557="","",IFERROR(IF(ISNUMBER($W557),$W557,DATEVALUE(TRIM($W557))),""))</f>
        <v/>
      </c>
      <c r="BS557">
        <f>IF($BR557="","",IF(MONTH($BR557)&gt;=12,"Cold Winter",IF(MONTH($BR557)&gt;=10,"Post-Monsoon",IF(MONTH($BR557)&gt;=6,"Hot Humid",IF(MONTH($BR557)&gt;=3,"Hot Dry","Cold Winter")))))</f>
        <v/>
      </c>
      <c r="BT557">
        <f>IF($BM557="","",IFERROR(VLOOKUP($BM557,DECODE!$A$3:$C$8,2,FALSE),"?"))</f>
        <v/>
      </c>
      <c r="BU557">
        <f>IF($R557="","",UPPER(TRIM(LEFT($R557&amp;",",FIND(",",$R557&amp;",")-1))))</f>
        <v/>
      </c>
      <c r="BV557">
        <f>IF($BU557="","",MID($BU557,4,FIND("~",SUBSTITUTE($BU557,"-","~",2))-4))</f>
        <v/>
      </c>
      <c r="BW557">
        <f>IF($BU557="","",MID($BU557,FIND("~",SUBSTITUTE($BU557,"-","~",2))+1,FIND("~",SUBSTITUTE($BU557,"-","~",3))-FIND("~",SUBSTITUTE($BU557,"-","~",2))-1))</f>
        <v/>
      </c>
      <c r="BX557">
        <f>IF($BV557="","",IFERROR(VLOOKUP($BV557,DECODE!$A$3:$C$8,3,FALSE),"?"))</f>
        <v/>
      </c>
      <c r="BY557">
        <f>IF($BW557="","",IFERROR(VLOOKUP($BV557&amp;"-"&amp;$BW557,DECODE!$E$3:$F$21,2,FALSE),"?"))</f>
        <v/>
      </c>
      <c r="BZ557">
        <f>IF($BU557="","",IFERROR(VALUE(RIGHT($BU557,3)),""))</f>
        <v/>
      </c>
      <c r="CA557">
        <f>IF($X557="","",IFERROR(IF(ISNUMBER($X557),$X557,DATEVALUE(TRIM($X557))),""))</f>
        <v/>
      </c>
      <c r="CB557">
        <f>IF($CA557="","",IF(MONTH($CA557)&gt;=12,"Cold Winter",IF(MONTH($CA557)&gt;=10,"Post-Monsoon",IF(MONTH($CA557)&gt;=6,"Hot Humid",IF(MONTH($CA557)&gt;=3,"Hot Dry","Cold Winter")))))</f>
        <v/>
      </c>
      <c r="CC557">
        <f>IF($BV557="","",IFERROR(VLOOKUP($BV557,DECODE!$A$3:$C$8,2,FALSE),"?"))</f>
        <v/>
      </c>
      <c r="CD557">
        <f>IF($S557="","",UPPER(TRIM(LEFT($S557&amp;",",FIND(",",$S557&amp;",")-1))))</f>
        <v/>
      </c>
      <c r="CE557">
        <f>IF($CD557="","",MID($CD557,4,FIND("~",SUBSTITUTE($CD557,"-","~",2))-4))</f>
        <v/>
      </c>
      <c r="CF557">
        <f>IF($CD557="","",MID($CD557,FIND("~",SUBSTITUTE($CD557,"-","~",2))+1,FIND("~",SUBSTITUTE($CD557,"-","~",3))-FIND("~",SUBSTITUTE($CD557,"-","~",2))-1))</f>
        <v/>
      </c>
      <c r="CG557">
        <f>IF($CE557="","",IFERROR(VLOOKUP($CE557,DECODE!$A$3:$C$8,3,FALSE),"?"))</f>
        <v/>
      </c>
      <c r="CH557">
        <f>IF($CF557="","",IFERROR(VLOOKUP($CE557&amp;"-"&amp;$CF557,DECODE!$E$3:$F$21,2,FALSE),"?"))</f>
        <v/>
      </c>
      <c r="CI557">
        <f>IF($CD557="","",IFERROR(VALUE(RIGHT($CD557,3)),""))</f>
        <v/>
      </c>
      <c r="CJ557">
        <f>IF($Y557="","",IFERROR(IF(ISNUMBER($Y557),$Y557,DATEVALUE(TRIM($Y557))),""))</f>
        <v/>
      </c>
      <c r="CK557">
        <f>IF($CJ557="","",IF(MONTH($CJ557)&gt;=12,"Cold Winter",IF(MONTH($CJ557)&gt;=10,"Post-Monsoon",IF(MONTH($CJ557)&gt;=6,"Hot Humid",IF(MONTH($CJ557)&gt;=3,"Hot Dry","Cold Winter")))))</f>
        <v/>
      </c>
      <c r="CL557">
        <f>IF($CE557="","",IFERROR(VLOOKUP($CE557,DECODE!$A$3:$C$8,2,FALSE),"?"))</f>
        <v/>
      </c>
      <c r="CM557">
        <f>IF($AN557="","",AN557)</f>
        <v/>
      </c>
      <c r="CN557">
        <f>IF($AO557="","",AO557)</f>
        <v/>
      </c>
      <c r="CO557">
        <f>IF($AP557="","",AP557)</f>
        <v/>
      </c>
      <c r="CP557">
        <f>IF($CM557="","",IF($CM557="Aloe Vera Gel","Aloe Vera Gel "&amp;$CO557&amp;"g",CN557&amp;" "&amp;$CO557&amp;"g"))</f>
        <v/>
      </c>
      <c r="CQ557">
        <f>IF($AT557="",0,1)</f>
        <v/>
      </c>
      <c r="CR557">
        <f>IF($CQ557=0,"",AW557)</f>
        <v/>
      </c>
      <c r="CS557">
        <f>IF($CQ557=0,"",AX557)</f>
        <v/>
      </c>
      <c r="CT557">
        <f>IF($CQ557=0,"",AY557)</f>
        <v/>
      </c>
      <c r="CU557">
        <f>IF($CR557="","",IF($CR557="Aloe Vera Gel","Aloe Vera Gel "&amp;$CT557&amp;"g",CS557&amp;" "&amp;$CT557&amp;"g"))</f>
        <v/>
      </c>
      <c r="CV557">
        <f>IF($CQ557=0,"",IF($CP557=$CU557,"Repeat Exact",IF($CT557&gt;$CO557,"Upsized",IF($CT557&lt;$CO557,"Downsized",IF($CM557&lt;&gt;$CR557,"Lateral","Same Size Diff Variant")))))</f>
        <v/>
      </c>
      <c r="CW557">
        <f>IF($CQ557=0,"",AZ557-AQ557)</f>
        <v/>
      </c>
      <c r="CX557">
        <f>IF($CQ557=0,0,IF(CS557=CN557,1,0))</f>
        <v/>
      </c>
      <c r="CY557">
        <f>IF($CQ557=0,0,IF(CR557=CM557,1,0))</f>
        <v/>
      </c>
      <c r="CZ557">
        <f>IF($A557="","",IF(AND(IF(DASHBOARD!$C$4="All",TRUE,$CM557=DASHBOARD!$C$4),IF(DASHBOARD!$C$6="All",TRUE,$CP557=DASHBOARD!$C$6),IF(DASHBOARD!$C$8="All",TRUE,$AF557&gt;=DASHBOARD!$C$8),IF(DASHBOARD!$C$10="All",TRUE,$AF557&lt;=DASHBOARD!$C$10),IF(DASHBOARD!$C$12="All",TRUE,$AH557=VALUE(DASHBOARD!$C$12)),IF(DASHBOARD!$C$14="All",TRUE,$AJ557=DASHBOARD!$C$14)),1,0))</f>
        <v/>
      </c>
    </row>
    <row r="558">
      <c r="A558" t="n">
        <v>245305</v>
      </c>
      <c r="B558" t="inlineStr">
        <is>
          <t>Active Gel, Face Malai</t>
        </is>
      </c>
      <c r="C558" t="inlineStr">
        <is>
          <t>Active Gel, Face Malai</t>
        </is>
      </c>
      <c r="H558" t="inlineStr">
        <is>
          <t>Cocoa Mogra (Overnight) Face Malai - 30g, Active Aloe Cactus Hydra Lift Gel, Active Olive Vit-E Night Gel</t>
        </is>
      </c>
      <c r="I558" t="inlineStr">
        <is>
          <t>Active Orange Kiwi Vit-C Gel, Turmeric Nutmeg (Pigmentation)  Face Malai - 30g</t>
        </is>
      </c>
      <c r="N558" t="inlineStr">
        <is>
          <t>FC-AC-AC-050, FC-AC-OV-050, FC-DM-NR-030</t>
        </is>
      </c>
      <c r="O558" t="inlineStr">
        <is>
          <t>FC-DM-PG-030, FC-AC-OK-050</t>
        </is>
      </c>
      <c r="T558" t="inlineStr">
        <is>
          <t>Jan 7, 2024</t>
        </is>
      </c>
      <c r="U558" t="inlineStr">
        <is>
          <t>Feb 2, 2024</t>
        </is>
      </c>
      <c r="Z558" t="n">
        <v>26</v>
      </c>
      <c r="AE558" t="inlineStr">
        <is>
          <t>Bengaluru</t>
        </is>
      </c>
      <c r="AF558" t="inlineStr">
        <is>
          <t>2024-01</t>
        </is>
      </c>
      <c r="AG558" t="n">
        <v>1</v>
      </c>
      <c r="AH558" t="n">
        <v>2</v>
      </c>
      <c r="AI558" t="n">
        <v>1</v>
      </c>
      <c r="AJ558">
        <f>IF($AE558="","",IFERROR(VLOOKUP(TRIM($AE558),DECODE!$H$3:$I$60,2,FALSE),"Rest of India"))</f>
        <v/>
      </c>
      <c r="AK558">
        <f>IF($N558="","",UPPER(TRIM(LEFT($N558&amp;",",FIND(",",$N558&amp;",")-1))))</f>
        <v/>
      </c>
      <c r="AL558">
        <f>IF($AK558="","",MID($AK558,4,FIND("~",SUBSTITUTE($AK558,"-","~",2))-4))</f>
        <v/>
      </c>
      <c r="AM558">
        <f>IF($AK558="","",MID($AK558,FIND("~",SUBSTITUTE($AK558,"-","~",2))+1,FIND("~",SUBSTITUTE($AK558,"-","~",3))-FIND("~",SUBSTITUTE($AK558,"-","~",2))-1))</f>
        <v/>
      </c>
      <c r="AN558">
        <f>IF($AL558="","",IFERROR(VLOOKUP($AL558,DECODE!$A$3:$C$8,3,FALSE),"?"))</f>
        <v/>
      </c>
      <c r="AO558">
        <f>IF($AM558="","",IFERROR(VLOOKUP($AL558&amp;"-"&amp;$AM558,DECODE!$E$3:$F$21,2,FALSE),"?"))</f>
        <v/>
      </c>
      <c r="AP558">
        <f>IF($AK558="","",IFERROR(VALUE(RIGHT($AK558,3)),""))</f>
        <v/>
      </c>
      <c r="AQ558">
        <f>IF($T558="","",IFERROR(IF(ISNUMBER($T558),$T558,DATEVALUE(TRIM($T558))),""))</f>
        <v/>
      </c>
      <c r="AR558">
        <f>IF($AQ558="","",IF(MONTH($AQ558)&gt;=12,"Cold Winter",IF(MONTH($AQ558)&gt;=10,"Post-Monsoon",IF(MONTH($AQ558)&gt;=6,"Hot Humid",IF(MONTH($AQ558)&gt;=3,"Hot Dry","Cold Winter")))))</f>
        <v/>
      </c>
      <c r="AS558">
        <f>IF($AL558="","",IFERROR(VLOOKUP($AL558,DECODE!$A$3:$C$8,2,FALSE),"?"))</f>
        <v/>
      </c>
      <c r="AT558">
        <f>IF($O558="","",UPPER(TRIM(LEFT($O558&amp;",",FIND(",",$O558&amp;",")-1))))</f>
        <v/>
      </c>
      <c r="AU558">
        <f>IF($AT558="","",MID($AT558,4,FIND("~",SUBSTITUTE($AT558,"-","~",2))-4))</f>
        <v/>
      </c>
      <c r="AV558">
        <f>IF($AT558="","",MID($AT558,FIND("~",SUBSTITUTE($AT558,"-","~",2))+1,FIND("~",SUBSTITUTE($AT558,"-","~",3))-FIND("~",SUBSTITUTE($AT558,"-","~",2))-1))</f>
        <v/>
      </c>
      <c r="AW558">
        <f>IF($AU558="","",IFERROR(VLOOKUP($AU558,DECODE!$A$3:$C$8,3,FALSE),"?"))</f>
        <v/>
      </c>
      <c r="AX558">
        <f>IF($AV558="","",IFERROR(VLOOKUP($AU558&amp;"-"&amp;$AV558,DECODE!$E$3:$F$21,2,FALSE),"?"))</f>
        <v/>
      </c>
      <c r="AY558">
        <f>IF($AT558="","",IFERROR(VALUE(RIGHT($AT558,3)),""))</f>
        <v/>
      </c>
      <c r="AZ558">
        <f>IF($U558="","",IFERROR(IF(ISNUMBER($U558),$U558,DATEVALUE(TRIM($U558))),""))</f>
        <v/>
      </c>
      <c r="BA558">
        <f>IF($AZ558="","",IF(MONTH($AZ558)&gt;=12,"Cold Winter",IF(MONTH($AZ558)&gt;=10,"Post-Monsoon",IF(MONTH($AZ558)&gt;=6,"Hot Humid",IF(MONTH($AZ558)&gt;=3,"Hot Dry","Cold Winter")))))</f>
        <v/>
      </c>
      <c r="BB558">
        <f>IF($AU558="","",IFERROR(VLOOKUP($AU558,DECODE!$A$3:$C$8,2,FALSE),"?"))</f>
        <v/>
      </c>
      <c r="BC558">
        <f>IF($P558="","",UPPER(TRIM(LEFT($P558&amp;",",FIND(",",$P558&amp;",")-1))))</f>
        <v/>
      </c>
      <c r="BD558">
        <f>IF($BC558="","",MID($BC558,4,FIND("~",SUBSTITUTE($BC558,"-","~",2))-4))</f>
        <v/>
      </c>
      <c r="BE558">
        <f>IF($BC558="","",MID($BC558,FIND("~",SUBSTITUTE($BC558,"-","~",2))+1,FIND("~",SUBSTITUTE($BC558,"-","~",3))-FIND("~",SUBSTITUTE($BC558,"-","~",2))-1))</f>
        <v/>
      </c>
      <c r="BF558">
        <f>IF($BD558="","",IFERROR(VLOOKUP($BD558,DECODE!$A$3:$C$8,3,FALSE),"?"))</f>
        <v/>
      </c>
      <c r="BG558">
        <f>IF($BE558="","",IFERROR(VLOOKUP($BD558&amp;"-"&amp;$BE558,DECODE!$E$3:$F$21,2,FALSE),"?"))</f>
        <v/>
      </c>
      <c r="BH558">
        <f>IF($BC558="","",IFERROR(VALUE(RIGHT($BC558,3)),""))</f>
        <v/>
      </c>
      <c r="BI558">
        <f>IF($V558="","",IFERROR(IF(ISNUMBER($V558),$V558,DATEVALUE(TRIM($V558))),""))</f>
        <v/>
      </c>
      <c r="BJ558">
        <f>IF($BI558="","",IF(MONTH($BI558)&gt;=12,"Cold Winter",IF(MONTH($BI558)&gt;=10,"Post-Monsoon",IF(MONTH($BI558)&gt;=6,"Hot Humid",IF(MONTH($BI558)&gt;=3,"Hot Dry","Cold Winter")))))</f>
        <v/>
      </c>
      <c r="BK558">
        <f>IF($BD558="","",IFERROR(VLOOKUP($BD558,DECODE!$A$3:$C$8,2,FALSE),"?"))</f>
        <v/>
      </c>
      <c r="BL558">
        <f>IF($Q558="","",UPPER(TRIM(LEFT($Q558&amp;",",FIND(",",$Q558&amp;",")-1))))</f>
        <v/>
      </c>
      <c r="BM558">
        <f>IF($BL558="","",MID($BL558,4,FIND("~",SUBSTITUTE($BL558,"-","~",2))-4))</f>
        <v/>
      </c>
      <c r="BN558">
        <f>IF($BL558="","",MID($BL558,FIND("~",SUBSTITUTE($BL558,"-","~",2))+1,FIND("~",SUBSTITUTE($BL558,"-","~",3))-FIND("~",SUBSTITUTE($BL558,"-","~",2))-1))</f>
        <v/>
      </c>
      <c r="BO558">
        <f>IF($BM558="","",IFERROR(VLOOKUP($BM558,DECODE!$A$3:$C$8,3,FALSE),"?"))</f>
        <v/>
      </c>
      <c r="BP558">
        <f>IF($BN558="","",IFERROR(VLOOKUP($BM558&amp;"-"&amp;$BN558,DECODE!$E$3:$F$21,2,FALSE),"?"))</f>
        <v/>
      </c>
      <c r="BQ558">
        <f>IF($BL558="","",IFERROR(VALUE(RIGHT($BL558,3)),""))</f>
        <v/>
      </c>
      <c r="BR558">
        <f>IF($W558="","",IFERROR(IF(ISNUMBER($W558),$W558,DATEVALUE(TRIM($W558))),""))</f>
        <v/>
      </c>
      <c r="BS558">
        <f>IF($BR558="","",IF(MONTH($BR558)&gt;=12,"Cold Winter",IF(MONTH($BR558)&gt;=10,"Post-Monsoon",IF(MONTH($BR558)&gt;=6,"Hot Humid",IF(MONTH($BR558)&gt;=3,"Hot Dry","Cold Winter")))))</f>
        <v/>
      </c>
      <c r="BT558">
        <f>IF($BM558="","",IFERROR(VLOOKUP($BM558,DECODE!$A$3:$C$8,2,FALSE),"?"))</f>
        <v/>
      </c>
      <c r="BU558">
        <f>IF($R558="","",UPPER(TRIM(LEFT($R558&amp;",",FIND(",",$R558&amp;",")-1))))</f>
        <v/>
      </c>
      <c r="BV558">
        <f>IF($BU558="","",MID($BU558,4,FIND("~",SUBSTITUTE($BU558,"-","~",2))-4))</f>
        <v/>
      </c>
      <c r="BW558">
        <f>IF($BU558="","",MID($BU558,FIND("~",SUBSTITUTE($BU558,"-","~",2))+1,FIND("~",SUBSTITUTE($BU558,"-","~",3))-FIND("~",SUBSTITUTE($BU558,"-","~",2))-1))</f>
        <v/>
      </c>
      <c r="BX558">
        <f>IF($BV558="","",IFERROR(VLOOKUP($BV558,DECODE!$A$3:$C$8,3,FALSE),"?"))</f>
        <v/>
      </c>
      <c r="BY558">
        <f>IF($BW558="","",IFERROR(VLOOKUP($BV558&amp;"-"&amp;$BW558,DECODE!$E$3:$F$21,2,FALSE),"?"))</f>
        <v/>
      </c>
      <c r="BZ558">
        <f>IF($BU558="","",IFERROR(VALUE(RIGHT($BU558,3)),""))</f>
        <v/>
      </c>
      <c r="CA558">
        <f>IF($X558="","",IFERROR(IF(ISNUMBER($X558),$X558,DATEVALUE(TRIM($X558))),""))</f>
        <v/>
      </c>
      <c r="CB558">
        <f>IF($CA558="","",IF(MONTH($CA558)&gt;=12,"Cold Winter",IF(MONTH($CA558)&gt;=10,"Post-Monsoon",IF(MONTH($CA558)&gt;=6,"Hot Humid",IF(MONTH($CA558)&gt;=3,"Hot Dry","Cold Winter")))))</f>
        <v/>
      </c>
      <c r="CC558">
        <f>IF($BV558="","",IFERROR(VLOOKUP($BV558,DECODE!$A$3:$C$8,2,FALSE),"?"))</f>
        <v/>
      </c>
      <c r="CD558">
        <f>IF($S558="","",UPPER(TRIM(LEFT($S558&amp;",",FIND(",",$S558&amp;",")-1))))</f>
        <v/>
      </c>
      <c r="CE558">
        <f>IF($CD558="","",MID($CD558,4,FIND("~",SUBSTITUTE($CD558,"-","~",2))-4))</f>
        <v/>
      </c>
      <c r="CF558">
        <f>IF($CD558="","",MID($CD558,FIND("~",SUBSTITUTE($CD558,"-","~",2))+1,FIND("~",SUBSTITUTE($CD558,"-","~",3))-FIND("~",SUBSTITUTE($CD558,"-","~",2))-1))</f>
        <v/>
      </c>
      <c r="CG558">
        <f>IF($CE558="","",IFERROR(VLOOKUP($CE558,DECODE!$A$3:$C$8,3,FALSE),"?"))</f>
        <v/>
      </c>
      <c r="CH558">
        <f>IF($CF558="","",IFERROR(VLOOKUP($CE558&amp;"-"&amp;$CF558,DECODE!$E$3:$F$21,2,FALSE),"?"))</f>
        <v/>
      </c>
      <c r="CI558">
        <f>IF($CD558="","",IFERROR(VALUE(RIGHT($CD558,3)),""))</f>
        <v/>
      </c>
      <c r="CJ558">
        <f>IF($Y558="","",IFERROR(IF(ISNUMBER($Y558),$Y558,DATEVALUE(TRIM($Y558))),""))</f>
        <v/>
      </c>
      <c r="CK558">
        <f>IF($CJ558="","",IF(MONTH($CJ558)&gt;=12,"Cold Winter",IF(MONTH($CJ558)&gt;=10,"Post-Monsoon",IF(MONTH($CJ558)&gt;=6,"Hot Humid",IF(MONTH($CJ558)&gt;=3,"Hot Dry","Cold Winter")))))</f>
        <v/>
      </c>
      <c r="CL558">
        <f>IF($CE558="","",IFERROR(VLOOKUP($CE558,DECODE!$A$3:$C$8,2,FALSE),"?"))</f>
        <v/>
      </c>
      <c r="CM558">
        <f>IF($AN558="","",AN558)</f>
        <v/>
      </c>
      <c r="CN558">
        <f>IF($AO558="","",AO558)</f>
        <v/>
      </c>
      <c r="CO558">
        <f>IF($AP558="","",AP558)</f>
        <v/>
      </c>
      <c r="CP558">
        <f>IF($CM558="","",IF($CM558="Aloe Vera Gel","Aloe Vera Gel "&amp;$CO558&amp;"g",CN558&amp;" "&amp;$CO558&amp;"g"))</f>
        <v/>
      </c>
      <c r="CQ558">
        <f>IF($AT558="",0,1)</f>
        <v/>
      </c>
      <c r="CR558">
        <f>IF($CQ558=0,"",AW558)</f>
        <v/>
      </c>
      <c r="CS558">
        <f>IF($CQ558=0,"",AX558)</f>
        <v/>
      </c>
      <c r="CT558">
        <f>IF($CQ558=0,"",AY558)</f>
        <v/>
      </c>
      <c r="CU558">
        <f>IF($CR558="","",IF($CR558="Aloe Vera Gel","Aloe Vera Gel "&amp;$CT558&amp;"g",CS558&amp;" "&amp;$CT558&amp;"g"))</f>
        <v/>
      </c>
      <c r="CV558">
        <f>IF($CQ558=0,"",IF($CP558=$CU558,"Repeat Exact",IF($CT558&gt;$CO558,"Upsized",IF($CT558&lt;$CO558,"Downsized",IF($CM558&lt;&gt;$CR558,"Lateral","Same Size Diff Variant")))))</f>
        <v/>
      </c>
      <c r="CW558">
        <f>IF($CQ558=0,"",AZ558-AQ558)</f>
        <v/>
      </c>
      <c r="CX558">
        <f>IF($CQ558=0,0,IF(CS558=CN558,1,0))</f>
        <v/>
      </c>
      <c r="CY558">
        <f>IF($CQ558=0,0,IF(CR558=CM558,1,0))</f>
        <v/>
      </c>
      <c r="CZ558">
        <f>IF($A558="","",IF(AND(IF(DASHBOARD!$C$4="All",TRUE,$CM558=DASHBOARD!$C$4),IF(DASHBOARD!$C$6="All",TRUE,$CP558=DASHBOARD!$C$6),IF(DASHBOARD!$C$8="All",TRUE,$AF558&gt;=DASHBOARD!$C$8),IF(DASHBOARD!$C$10="All",TRUE,$AF558&lt;=DASHBOARD!$C$10),IF(DASHBOARD!$C$12="All",TRUE,$AH558=VALUE(DASHBOARD!$C$12)),IF(DASHBOARD!$C$14="All",TRUE,$AJ558=DASHBOARD!$C$14)),1,0))</f>
        <v/>
      </c>
    </row>
    <row r="559">
      <c r="A559" t="n">
        <v>245319</v>
      </c>
      <c r="B559" t="inlineStr">
        <is>
          <t>Face Malai</t>
        </is>
      </c>
      <c r="C559" t="inlineStr">
        <is>
          <t>Face Malai</t>
        </is>
      </c>
      <c r="H559" t="inlineStr">
        <is>
          <t>Flax Carrot (Hot Humid) 35+ Face Malai - 30g</t>
        </is>
      </c>
      <c r="I559" t="inlineStr">
        <is>
          <t>Winter Blackseed Tulsi (Cold) 13 - 19 Yrs Face Malai, Flax Walnut (Cold) 35+ Face Malai</t>
        </is>
      </c>
      <c r="N559" t="inlineStr">
        <is>
          <t>FC-HHDM-FC-030</t>
        </is>
      </c>
      <c r="O559" t="inlineStr">
        <is>
          <t>FC-CWDM-FW-030, FC-CWDM-BT-030</t>
        </is>
      </c>
      <c r="T559" t="inlineStr">
        <is>
          <t>Oct 18, 2024</t>
        </is>
      </c>
      <c r="U559" t="inlineStr">
        <is>
          <t>Jun 16, 2025</t>
        </is>
      </c>
      <c r="Z559" t="n">
        <v>241</v>
      </c>
      <c r="AE559" t="inlineStr">
        <is>
          <t>Bengaluru</t>
        </is>
      </c>
      <c r="AF559" t="inlineStr">
        <is>
          <t>2024-10</t>
        </is>
      </c>
      <c r="AG559" t="n">
        <v>10</v>
      </c>
      <c r="AH559" t="n">
        <v>2</v>
      </c>
      <c r="AI559" t="n">
        <v>1</v>
      </c>
      <c r="AJ559">
        <f>IF($AE559="","",IFERROR(VLOOKUP(TRIM($AE559),DECODE!$H$3:$I$60,2,FALSE),"Rest of India"))</f>
        <v/>
      </c>
      <c r="AK559">
        <f>IF($N559="","",UPPER(TRIM(LEFT($N559&amp;",",FIND(",",$N559&amp;",")-1))))</f>
        <v/>
      </c>
      <c r="AL559">
        <f>IF($AK559="","",MID($AK559,4,FIND("~",SUBSTITUTE($AK559,"-","~",2))-4))</f>
        <v/>
      </c>
      <c r="AM559">
        <f>IF($AK559="","",MID($AK559,FIND("~",SUBSTITUTE($AK559,"-","~",2))+1,FIND("~",SUBSTITUTE($AK559,"-","~",3))-FIND("~",SUBSTITUTE($AK559,"-","~",2))-1))</f>
        <v/>
      </c>
      <c r="AN559">
        <f>IF($AL559="","",IFERROR(VLOOKUP($AL559,DECODE!$A$3:$C$8,3,FALSE),"?"))</f>
        <v/>
      </c>
      <c r="AO559">
        <f>IF($AM559="","",IFERROR(VLOOKUP($AL559&amp;"-"&amp;$AM559,DECODE!$E$3:$F$21,2,FALSE),"?"))</f>
        <v/>
      </c>
      <c r="AP559">
        <f>IF($AK559="","",IFERROR(VALUE(RIGHT($AK559,3)),""))</f>
        <v/>
      </c>
      <c r="AQ559">
        <f>IF($T559="","",IFERROR(IF(ISNUMBER($T559),$T559,DATEVALUE(TRIM($T559))),""))</f>
        <v/>
      </c>
      <c r="AR559">
        <f>IF($AQ559="","",IF(MONTH($AQ559)&gt;=12,"Cold Winter",IF(MONTH($AQ559)&gt;=10,"Post-Monsoon",IF(MONTH($AQ559)&gt;=6,"Hot Humid",IF(MONTH($AQ559)&gt;=3,"Hot Dry","Cold Winter")))))</f>
        <v/>
      </c>
      <c r="AS559">
        <f>IF($AL559="","",IFERROR(VLOOKUP($AL559,DECODE!$A$3:$C$8,2,FALSE),"?"))</f>
        <v/>
      </c>
      <c r="AT559">
        <f>IF($O559="","",UPPER(TRIM(LEFT($O559&amp;",",FIND(",",$O559&amp;",")-1))))</f>
        <v/>
      </c>
      <c r="AU559">
        <f>IF($AT559="","",MID($AT559,4,FIND("~",SUBSTITUTE($AT559,"-","~",2))-4))</f>
        <v/>
      </c>
      <c r="AV559">
        <f>IF($AT559="","",MID($AT559,FIND("~",SUBSTITUTE($AT559,"-","~",2))+1,FIND("~",SUBSTITUTE($AT559,"-","~",3))-FIND("~",SUBSTITUTE($AT559,"-","~",2))-1))</f>
        <v/>
      </c>
      <c r="AW559">
        <f>IF($AU559="","",IFERROR(VLOOKUP($AU559,DECODE!$A$3:$C$8,3,FALSE),"?"))</f>
        <v/>
      </c>
      <c r="AX559">
        <f>IF($AV559="","",IFERROR(VLOOKUP($AU559&amp;"-"&amp;$AV559,DECODE!$E$3:$F$21,2,FALSE),"?"))</f>
        <v/>
      </c>
      <c r="AY559">
        <f>IF($AT559="","",IFERROR(VALUE(RIGHT($AT559,3)),""))</f>
        <v/>
      </c>
      <c r="AZ559">
        <f>IF($U559="","",IFERROR(IF(ISNUMBER($U559),$U559,DATEVALUE(TRIM($U559))),""))</f>
        <v/>
      </c>
      <c r="BA559">
        <f>IF($AZ559="","",IF(MONTH($AZ559)&gt;=12,"Cold Winter",IF(MONTH($AZ559)&gt;=10,"Post-Monsoon",IF(MONTH($AZ559)&gt;=6,"Hot Humid",IF(MONTH($AZ559)&gt;=3,"Hot Dry","Cold Winter")))))</f>
        <v/>
      </c>
      <c r="BB559">
        <f>IF($AU559="","",IFERROR(VLOOKUP($AU559,DECODE!$A$3:$C$8,2,FALSE),"?"))</f>
        <v/>
      </c>
      <c r="BC559">
        <f>IF($P559="","",UPPER(TRIM(LEFT($P559&amp;",",FIND(",",$P559&amp;",")-1))))</f>
        <v/>
      </c>
      <c r="BD559">
        <f>IF($BC559="","",MID($BC559,4,FIND("~",SUBSTITUTE($BC559,"-","~",2))-4))</f>
        <v/>
      </c>
      <c r="BE559">
        <f>IF($BC559="","",MID($BC559,FIND("~",SUBSTITUTE($BC559,"-","~",2))+1,FIND("~",SUBSTITUTE($BC559,"-","~",3))-FIND("~",SUBSTITUTE($BC559,"-","~",2))-1))</f>
        <v/>
      </c>
      <c r="BF559">
        <f>IF($BD559="","",IFERROR(VLOOKUP($BD559,DECODE!$A$3:$C$8,3,FALSE),"?"))</f>
        <v/>
      </c>
      <c r="BG559">
        <f>IF($BE559="","",IFERROR(VLOOKUP($BD559&amp;"-"&amp;$BE559,DECODE!$E$3:$F$21,2,FALSE),"?"))</f>
        <v/>
      </c>
      <c r="BH559">
        <f>IF($BC559="","",IFERROR(VALUE(RIGHT($BC559,3)),""))</f>
        <v/>
      </c>
      <c r="BI559">
        <f>IF($V559="","",IFERROR(IF(ISNUMBER($V559),$V559,DATEVALUE(TRIM($V559))),""))</f>
        <v/>
      </c>
      <c r="BJ559">
        <f>IF($BI559="","",IF(MONTH($BI559)&gt;=12,"Cold Winter",IF(MONTH($BI559)&gt;=10,"Post-Monsoon",IF(MONTH($BI559)&gt;=6,"Hot Humid",IF(MONTH($BI559)&gt;=3,"Hot Dry","Cold Winter")))))</f>
        <v/>
      </c>
      <c r="BK559">
        <f>IF($BD559="","",IFERROR(VLOOKUP($BD559,DECODE!$A$3:$C$8,2,FALSE),"?"))</f>
        <v/>
      </c>
      <c r="BL559">
        <f>IF($Q559="","",UPPER(TRIM(LEFT($Q559&amp;",",FIND(",",$Q559&amp;",")-1))))</f>
        <v/>
      </c>
      <c r="BM559">
        <f>IF($BL559="","",MID($BL559,4,FIND("~",SUBSTITUTE($BL559,"-","~",2))-4))</f>
        <v/>
      </c>
      <c r="BN559">
        <f>IF($BL559="","",MID($BL559,FIND("~",SUBSTITUTE($BL559,"-","~",2))+1,FIND("~",SUBSTITUTE($BL559,"-","~",3))-FIND("~",SUBSTITUTE($BL559,"-","~",2))-1))</f>
        <v/>
      </c>
      <c r="BO559">
        <f>IF($BM559="","",IFERROR(VLOOKUP($BM559,DECODE!$A$3:$C$8,3,FALSE),"?"))</f>
        <v/>
      </c>
      <c r="BP559">
        <f>IF($BN559="","",IFERROR(VLOOKUP($BM559&amp;"-"&amp;$BN559,DECODE!$E$3:$F$21,2,FALSE),"?"))</f>
        <v/>
      </c>
      <c r="BQ559">
        <f>IF($BL559="","",IFERROR(VALUE(RIGHT($BL559,3)),""))</f>
        <v/>
      </c>
      <c r="BR559">
        <f>IF($W559="","",IFERROR(IF(ISNUMBER($W559),$W559,DATEVALUE(TRIM($W559))),""))</f>
        <v/>
      </c>
      <c r="BS559">
        <f>IF($BR559="","",IF(MONTH($BR559)&gt;=12,"Cold Winter",IF(MONTH($BR559)&gt;=10,"Post-Monsoon",IF(MONTH($BR559)&gt;=6,"Hot Humid",IF(MONTH($BR559)&gt;=3,"Hot Dry","Cold Winter")))))</f>
        <v/>
      </c>
      <c r="BT559">
        <f>IF($BM559="","",IFERROR(VLOOKUP($BM559,DECODE!$A$3:$C$8,2,FALSE),"?"))</f>
        <v/>
      </c>
      <c r="BU559">
        <f>IF($R559="","",UPPER(TRIM(LEFT($R559&amp;",",FIND(",",$R559&amp;",")-1))))</f>
        <v/>
      </c>
      <c r="BV559">
        <f>IF($BU559="","",MID($BU559,4,FIND("~",SUBSTITUTE($BU559,"-","~",2))-4))</f>
        <v/>
      </c>
      <c r="BW559">
        <f>IF($BU559="","",MID($BU559,FIND("~",SUBSTITUTE($BU559,"-","~",2))+1,FIND("~",SUBSTITUTE($BU559,"-","~",3))-FIND("~",SUBSTITUTE($BU559,"-","~",2))-1))</f>
        <v/>
      </c>
      <c r="BX559">
        <f>IF($BV559="","",IFERROR(VLOOKUP($BV559,DECODE!$A$3:$C$8,3,FALSE),"?"))</f>
        <v/>
      </c>
      <c r="BY559">
        <f>IF($BW559="","",IFERROR(VLOOKUP($BV559&amp;"-"&amp;$BW559,DECODE!$E$3:$F$21,2,FALSE),"?"))</f>
        <v/>
      </c>
      <c r="BZ559">
        <f>IF($BU559="","",IFERROR(VALUE(RIGHT($BU559,3)),""))</f>
        <v/>
      </c>
      <c r="CA559">
        <f>IF($X559="","",IFERROR(IF(ISNUMBER($X559),$X559,DATEVALUE(TRIM($X559))),""))</f>
        <v/>
      </c>
      <c r="CB559">
        <f>IF($CA559="","",IF(MONTH($CA559)&gt;=12,"Cold Winter",IF(MONTH($CA559)&gt;=10,"Post-Monsoon",IF(MONTH($CA559)&gt;=6,"Hot Humid",IF(MONTH($CA559)&gt;=3,"Hot Dry","Cold Winter")))))</f>
        <v/>
      </c>
      <c r="CC559">
        <f>IF($BV559="","",IFERROR(VLOOKUP($BV559,DECODE!$A$3:$C$8,2,FALSE),"?"))</f>
        <v/>
      </c>
      <c r="CD559">
        <f>IF($S559="","",UPPER(TRIM(LEFT($S559&amp;",",FIND(",",$S559&amp;",")-1))))</f>
        <v/>
      </c>
      <c r="CE559">
        <f>IF($CD559="","",MID($CD559,4,FIND("~",SUBSTITUTE($CD559,"-","~",2))-4))</f>
        <v/>
      </c>
      <c r="CF559">
        <f>IF($CD559="","",MID($CD559,FIND("~",SUBSTITUTE($CD559,"-","~",2))+1,FIND("~",SUBSTITUTE($CD559,"-","~",3))-FIND("~",SUBSTITUTE($CD559,"-","~",2))-1))</f>
        <v/>
      </c>
      <c r="CG559">
        <f>IF($CE559="","",IFERROR(VLOOKUP($CE559,DECODE!$A$3:$C$8,3,FALSE),"?"))</f>
        <v/>
      </c>
      <c r="CH559">
        <f>IF($CF559="","",IFERROR(VLOOKUP($CE559&amp;"-"&amp;$CF559,DECODE!$E$3:$F$21,2,FALSE),"?"))</f>
        <v/>
      </c>
      <c r="CI559">
        <f>IF($CD559="","",IFERROR(VALUE(RIGHT($CD559,3)),""))</f>
        <v/>
      </c>
      <c r="CJ559">
        <f>IF($Y559="","",IFERROR(IF(ISNUMBER($Y559),$Y559,DATEVALUE(TRIM($Y559))),""))</f>
        <v/>
      </c>
      <c r="CK559">
        <f>IF($CJ559="","",IF(MONTH($CJ559)&gt;=12,"Cold Winter",IF(MONTH($CJ559)&gt;=10,"Post-Monsoon",IF(MONTH($CJ559)&gt;=6,"Hot Humid",IF(MONTH($CJ559)&gt;=3,"Hot Dry","Cold Winter")))))</f>
        <v/>
      </c>
      <c r="CL559">
        <f>IF($CE559="","",IFERROR(VLOOKUP($CE559,DECODE!$A$3:$C$8,2,FALSE),"?"))</f>
        <v/>
      </c>
      <c r="CM559">
        <f>IF($AN559="","",AN559)</f>
        <v/>
      </c>
      <c r="CN559">
        <f>IF($AO559="","",AO559)</f>
        <v/>
      </c>
      <c r="CO559">
        <f>IF($AP559="","",AP559)</f>
        <v/>
      </c>
      <c r="CP559">
        <f>IF($CM559="","",IF($CM559="Aloe Vera Gel","Aloe Vera Gel "&amp;$CO559&amp;"g",CN559&amp;" "&amp;$CO559&amp;"g"))</f>
        <v/>
      </c>
      <c r="CQ559">
        <f>IF($AT559="",0,1)</f>
        <v/>
      </c>
      <c r="CR559">
        <f>IF($CQ559=0,"",AW559)</f>
        <v/>
      </c>
      <c r="CS559">
        <f>IF($CQ559=0,"",AX559)</f>
        <v/>
      </c>
      <c r="CT559">
        <f>IF($CQ559=0,"",AY559)</f>
        <v/>
      </c>
      <c r="CU559">
        <f>IF($CR559="","",IF($CR559="Aloe Vera Gel","Aloe Vera Gel "&amp;$CT559&amp;"g",CS559&amp;" "&amp;$CT559&amp;"g"))</f>
        <v/>
      </c>
      <c r="CV559">
        <f>IF($CQ559=0,"",IF($CP559=$CU559,"Repeat Exact",IF($CT559&gt;$CO559,"Upsized",IF($CT559&lt;$CO559,"Downsized",IF($CM559&lt;&gt;$CR559,"Lateral","Same Size Diff Variant")))))</f>
        <v/>
      </c>
      <c r="CW559">
        <f>IF($CQ559=0,"",AZ559-AQ559)</f>
        <v/>
      </c>
      <c r="CX559">
        <f>IF($CQ559=0,0,IF(CS559=CN559,1,0))</f>
        <v/>
      </c>
      <c r="CY559">
        <f>IF($CQ559=0,0,IF(CR559=CM559,1,0))</f>
        <v/>
      </c>
      <c r="CZ559">
        <f>IF($A559="","",IF(AND(IF(DASHBOARD!$C$4="All",TRUE,$CM559=DASHBOARD!$C$4),IF(DASHBOARD!$C$6="All",TRUE,$CP559=DASHBOARD!$C$6),IF(DASHBOARD!$C$8="All",TRUE,$AF559&gt;=DASHBOARD!$C$8),IF(DASHBOARD!$C$10="All",TRUE,$AF559&lt;=DASHBOARD!$C$10),IF(DASHBOARD!$C$12="All",TRUE,$AH559=VALUE(DASHBOARD!$C$12)),IF(DASHBOARD!$C$14="All",TRUE,$AJ559=DASHBOARD!$C$14)),1,0))</f>
        <v/>
      </c>
    </row>
    <row r="560">
      <c r="A560" t="n">
        <v>245403</v>
      </c>
      <c r="B560" t="inlineStr">
        <is>
          <t>Active Gel</t>
        </is>
      </c>
      <c r="H560" t="inlineStr">
        <is>
          <t>Active Neem TeaTree Gel</t>
        </is>
      </c>
      <c r="N560" t="inlineStr">
        <is>
          <t>FC-AC-NT-050</t>
        </is>
      </c>
      <c r="T560" t="inlineStr">
        <is>
          <t>Jul 20, 2025</t>
        </is>
      </c>
      <c r="AE560" t="inlineStr">
        <is>
          <t>Gautam Buddha Nagar</t>
        </is>
      </c>
      <c r="AF560" t="inlineStr">
        <is>
          <t>2025-07</t>
        </is>
      </c>
      <c r="AG560" t="n">
        <v>7</v>
      </c>
      <c r="AH560" t="n">
        <v>1</v>
      </c>
      <c r="AI560" t="n">
        <v>0</v>
      </c>
      <c r="AJ560">
        <f>IF($AE560="","",IFERROR(VLOOKUP(TRIM($AE560),DECODE!$H$3:$I$60,2,FALSE),"Rest of India"))</f>
        <v/>
      </c>
      <c r="AK560">
        <f>IF($N560="","",UPPER(TRIM(LEFT($N560&amp;",",FIND(",",$N560&amp;",")-1))))</f>
        <v/>
      </c>
      <c r="AL560">
        <f>IF($AK560="","",MID($AK560,4,FIND("~",SUBSTITUTE($AK560,"-","~",2))-4))</f>
        <v/>
      </c>
      <c r="AM560">
        <f>IF($AK560="","",MID($AK560,FIND("~",SUBSTITUTE($AK560,"-","~",2))+1,FIND("~",SUBSTITUTE($AK560,"-","~",3))-FIND("~",SUBSTITUTE($AK560,"-","~",2))-1))</f>
        <v/>
      </c>
      <c r="AN560">
        <f>IF($AL560="","",IFERROR(VLOOKUP($AL560,DECODE!$A$3:$C$8,3,FALSE),"?"))</f>
        <v/>
      </c>
      <c r="AO560">
        <f>IF($AM560="","",IFERROR(VLOOKUP($AL560&amp;"-"&amp;$AM560,DECODE!$E$3:$F$21,2,FALSE),"?"))</f>
        <v/>
      </c>
      <c r="AP560">
        <f>IF($AK560="","",IFERROR(VALUE(RIGHT($AK560,3)),""))</f>
        <v/>
      </c>
      <c r="AQ560">
        <f>IF($T560="","",IFERROR(IF(ISNUMBER($T560),$T560,DATEVALUE(TRIM($T560))),""))</f>
        <v/>
      </c>
      <c r="AR560">
        <f>IF($AQ560="","",IF(MONTH($AQ560)&gt;=12,"Cold Winter",IF(MONTH($AQ560)&gt;=10,"Post-Monsoon",IF(MONTH($AQ560)&gt;=6,"Hot Humid",IF(MONTH($AQ560)&gt;=3,"Hot Dry","Cold Winter")))))</f>
        <v/>
      </c>
      <c r="AS560">
        <f>IF($AL560="","",IFERROR(VLOOKUP($AL560,DECODE!$A$3:$C$8,2,FALSE),"?"))</f>
        <v/>
      </c>
      <c r="AT560">
        <f>IF($O560="","",UPPER(TRIM(LEFT($O560&amp;",",FIND(",",$O560&amp;",")-1))))</f>
        <v/>
      </c>
      <c r="AU560">
        <f>IF($AT560="","",MID($AT560,4,FIND("~",SUBSTITUTE($AT560,"-","~",2))-4))</f>
        <v/>
      </c>
      <c r="AV560">
        <f>IF($AT560="","",MID($AT560,FIND("~",SUBSTITUTE($AT560,"-","~",2))+1,FIND("~",SUBSTITUTE($AT560,"-","~",3))-FIND("~",SUBSTITUTE($AT560,"-","~",2))-1))</f>
        <v/>
      </c>
      <c r="AW560">
        <f>IF($AU560="","",IFERROR(VLOOKUP($AU560,DECODE!$A$3:$C$8,3,FALSE),"?"))</f>
        <v/>
      </c>
      <c r="AX560">
        <f>IF($AV560="","",IFERROR(VLOOKUP($AU560&amp;"-"&amp;$AV560,DECODE!$E$3:$F$21,2,FALSE),"?"))</f>
        <v/>
      </c>
      <c r="AY560">
        <f>IF($AT560="","",IFERROR(VALUE(RIGHT($AT560,3)),""))</f>
        <v/>
      </c>
      <c r="AZ560">
        <f>IF($U560="","",IFERROR(IF(ISNUMBER($U560),$U560,DATEVALUE(TRIM($U560))),""))</f>
        <v/>
      </c>
      <c r="BA560">
        <f>IF($AZ560="","",IF(MONTH($AZ560)&gt;=12,"Cold Winter",IF(MONTH($AZ560)&gt;=10,"Post-Monsoon",IF(MONTH($AZ560)&gt;=6,"Hot Humid",IF(MONTH($AZ560)&gt;=3,"Hot Dry","Cold Winter")))))</f>
        <v/>
      </c>
      <c r="BB560">
        <f>IF($AU560="","",IFERROR(VLOOKUP($AU560,DECODE!$A$3:$C$8,2,FALSE),"?"))</f>
        <v/>
      </c>
      <c r="BC560">
        <f>IF($P560="","",UPPER(TRIM(LEFT($P560&amp;",",FIND(",",$P560&amp;",")-1))))</f>
        <v/>
      </c>
      <c r="BD560">
        <f>IF($BC560="","",MID($BC560,4,FIND("~",SUBSTITUTE($BC560,"-","~",2))-4))</f>
        <v/>
      </c>
      <c r="BE560">
        <f>IF($BC560="","",MID($BC560,FIND("~",SUBSTITUTE($BC560,"-","~",2))+1,FIND("~",SUBSTITUTE($BC560,"-","~",3))-FIND("~",SUBSTITUTE($BC560,"-","~",2))-1))</f>
        <v/>
      </c>
      <c r="BF560">
        <f>IF($BD560="","",IFERROR(VLOOKUP($BD560,DECODE!$A$3:$C$8,3,FALSE),"?"))</f>
        <v/>
      </c>
      <c r="BG560">
        <f>IF($BE560="","",IFERROR(VLOOKUP($BD560&amp;"-"&amp;$BE560,DECODE!$E$3:$F$21,2,FALSE),"?"))</f>
        <v/>
      </c>
      <c r="BH560">
        <f>IF($BC560="","",IFERROR(VALUE(RIGHT($BC560,3)),""))</f>
        <v/>
      </c>
      <c r="BI560">
        <f>IF($V560="","",IFERROR(IF(ISNUMBER($V560),$V560,DATEVALUE(TRIM($V560))),""))</f>
        <v/>
      </c>
      <c r="BJ560">
        <f>IF($BI560="","",IF(MONTH($BI560)&gt;=12,"Cold Winter",IF(MONTH($BI560)&gt;=10,"Post-Monsoon",IF(MONTH($BI560)&gt;=6,"Hot Humid",IF(MONTH($BI560)&gt;=3,"Hot Dry","Cold Winter")))))</f>
        <v/>
      </c>
      <c r="BK560">
        <f>IF($BD560="","",IFERROR(VLOOKUP($BD560,DECODE!$A$3:$C$8,2,FALSE),"?"))</f>
        <v/>
      </c>
      <c r="BL560">
        <f>IF($Q560="","",UPPER(TRIM(LEFT($Q560&amp;",",FIND(",",$Q560&amp;",")-1))))</f>
        <v/>
      </c>
      <c r="BM560">
        <f>IF($BL560="","",MID($BL560,4,FIND("~",SUBSTITUTE($BL560,"-","~",2))-4))</f>
        <v/>
      </c>
      <c r="BN560">
        <f>IF($BL560="","",MID($BL560,FIND("~",SUBSTITUTE($BL560,"-","~",2))+1,FIND("~",SUBSTITUTE($BL560,"-","~",3))-FIND("~",SUBSTITUTE($BL560,"-","~",2))-1))</f>
        <v/>
      </c>
      <c r="BO560">
        <f>IF($BM560="","",IFERROR(VLOOKUP($BM560,DECODE!$A$3:$C$8,3,FALSE),"?"))</f>
        <v/>
      </c>
      <c r="BP560">
        <f>IF($BN560="","",IFERROR(VLOOKUP($BM560&amp;"-"&amp;$BN560,DECODE!$E$3:$F$21,2,FALSE),"?"))</f>
        <v/>
      </c>
      <c r="BQ560">
        <f>IF($BL560="","",IFERROR(VALUE(RIGHT($BL560,3)),""))</f>
        <v/>
      </c>
      <c r="BR560">
        <f>IF($W560="","",IFERROR(IF(ISNUMBER($W560),$W560,DATEVALUE(TRIM($W560))),""))</f>
        <v/>
      </c>
      <c r="BS560">
        <f>IF($BR560="","",IF(MONTH($BR560)&gt;=12,"Cold Winter",IF(MONTH($BR560)&gt;=10,"Post-Monsoon",IF(MONTH($BR560)&gt;=6,"Hot Humid",IF(MONTH($BR560)&gt;=3,"Hot Dry","Cold Winter")))))</f>
        <v/>
      </c>
      <c r="BT560">
        <f>IF($BM560="","",IFERROR(VLOOKUP($BM560,DECODE!$A$3:$C$8,2,FALSE),"?"))</f>
        <v/>
      </c>
      <c r="BU560">
        <f>IF($R560="","",UPPER(TRIM(LEFT($R560&amp;",",FIND(",",$R560&amp;",")-1))))</f>
        <v/>
      </c>
      <c r="BV560">
        <f>IF($BU560="","",MID($BU560,4,FIND("~",SUBSTITUTE($BU560,"-","~",2))-4))</f>
        <v/>
      </c>
      <c r="BW560">
        <f>IF($BU560="","",MID($BU560,FIND("~",SUBSTITUTE($BU560,"-","~",2))+1,FIND("~",SUBSTITUTE($BU560,"-","~",3))-FIND("~",SUBSTITUTE($BU560,"-","~",2))-1))</f>
        <v/>
      </c>
      <c r="BX560">
        <f>IF($BV560="","",IFERROR(VLOOKUP($BV560,DECODE!$A$3:$C$8,3,FALSE),"?"))</f>
        <v/>
      </c>
      <c r="BY560">
        <f>IF($BW560="","",IFERROR(VLOOKUP($BV560&amp;"-"&amp;$BW560,DECODE!$E$3:$F$21,2,FALSE),"?"))</f>
        <v/>
      </c>
      <c r="BZ560">
        <f>IF($BU560="","",IFERROR(VALUE(RIGHT($BU560,3)),""))</f>
        <v/>
      </c>
      <c r="CA560">
        <f>IF($X560="","",IFERROR(IF(ISNUMBER($X560),$X560,DATEVALUE(TRIM($X560))),""))</f>
        <v/>
      </c>
      <c r="CB560">
        <f>IF($CA560="","",IF(MONTH($CA560)&gt;=12,"Cold Winter",IF(MONTH($CA560)&gt;=10,"Post-Monsoon",IF(MONTH($CA560)&gt;=6,"Hot Humid",IF(MONTH($CA560)&gt;=3,"Hot Dry","Cold Winter")))))</f>
        <v/>
      </c>
      <c r="CC560">
        <f>IF($BV560="","",IFERROR(VLOOKUP($BV560,DECODE!$A$3:$C$8,2,FALSE),"?"))</f>
        <v/>
      </c>
      <c r="CD560">
        <f>IF($S560="","",UPPER(TRIM(LEFT($S560&amp;",",FIND(",",$S560&amp;",")-1))))</f>
        <v/>
      </c>
      <c r="CE560">
        <f>IF($CD560="","",MID($CD560,4,FIND("~",SUBSTITUTE($CD560,"-","~",2))-4))</f>
        <v/>
      </c>
      <c r="CF560">
        <f>IF($CD560="","",MID($CD560,FIND("~",SUBSTITUTE($CD560,"-","~",2))+1,FIND("~",SUBSTITUTE($CD560,"-","~",3))-FIND("~",SUBSTITUTE($CD560,"-","~",2))-1))</f>
        <v/>
      </c>
      <c r="CG560">
        <f>IF($CE560="","",IFERROR(VLOOKUP($CE560,DECODE!$A$3:$C$8,3,FALSE),"?"))</f>
        <v/>
      </c>
      <c r="CH560">
        <f>IF($CF560="","",IFERROR(VLOOKUP($CE560&amp;"-"&amp;$CF560,DECODE!$E$3:$F$21,2,FALSE),"?"))</f>
        <v/>
      </c>
      <c r="CI560">
        <f>IF($CD560="","",IFERROR(VALUE(RIGHT($CD560,3)),""))</f>
        <v/>
      </c>
      <c r="CJ560">
        <f>IF($Y560="","",IFERROR(IF(ISNUMBER($Y560),$Y560,DATEVALUE(TRIM($Y560))),""))</f>
        <v/>
      </c>
      <c r="CK560">
        <f>IF($CJ560="","",IF(MONTH($CJ560)&gt;=12,"Cold Winter",IF(MONTH($CJ560)&gt;=10,"Post-Monsoon",IF(MONTH($CJ560)&gt;=6,"Hot Humid",IF(MONTH($CJ560)&gt;=3,"Hot Dry","Cold Winter")))))</f>
        <v/>
      </c>
      <c r="CL560">
        <f>IF($CE560="","",IFERROR(VLOOKUP($CE560,DECODE!$A$3:$C$8,2,FALSE),"?"))</f>
        <v/>
      </c>
      <c r="CM560">
        <f>IF($AN560="","",AN560)</f>
        <v/>
      </c>
      <c r="CN560">
        <f>IF($AO560="","",AO560)</f>
        <v/>
      </c>
      <c r="CO560">
        <f>IF($AP560="","",AP560)</f>
        <v/>
      </c>
      <c r="CP560">
        <f>IF($CM560="","",IF($CM560="Aloe Vera Gel","Aloe Vera Gel "&amp;$CO560&amp;"g",CN560&amp;" "&amp;$CO560&amp;"g"))</f>
        <v/>
      </c>
      <c r="CQ560">
        <f>IF($AT560="",0,1)</f>
        <v/>
      </c>
      <c r="CR560">
        <f>IF($CQ560=0,"",AW560)</f>
        <v/>
      </c>
      <c r="CS560">
        <f>IF($CQ560=0,"",AX560)</f>
        <v/>
      </c>
      <c r="CT560">
        <f>IF($CQ560=0,"",AY560)</f>
        <v/>
      </c>
      <c r="CU560">
        <f>IF($CR560="","",IF($CR560="Aloe Vera Gel","Aloe Vera Gel "&amp;$CT560&amp;"g",CS560&amp;" "&amp;$CT560&amp;"g"))</f>
        <v/>
      </c>
      <c r="CV560">
        <f>IF($CQ560=0,"",IF($CP560=$CU560,"Repeat Exact",IF($CT560&gt;$CO560,"Upsized",IF($CT560&lt;$CO560,"Downsized",IF($CM560&lt;&gt;$CR560,"Lateral","Same Size Diff Variant")))))</f>
        <v/>
      </c>
      <c r="CW560">
        <f>IF($CQ560=0,"",AZ560-AQ560)</f>
        <v/>
      </c>
      <c r="CX560">
        <f>IF($CQ560=0,0,IF(CS560=CN560,1,0))</f>
        <v/>
      </c>
      <c r="CY560">
        <f>IF($CQ560=0,0,IF(CR560=CM560,1,0))</f>
        <v/>
      </c>
      <c r="CZ560">
        <f>IF($A560="","",IF(AND(IF(DASHBOARD!$C$4="All",TRUE,$CM560=DASHBOARD!$C$4),IF(DASHBOARD!$C$6="All",TRUE,$CP560=DASHBOARD!$C$6),IF(DASHBOARD!$C$8="All",TRUE,$AF560&gt;=DASHBOARD!$C$8),IF(DASHBOARD!$C$10="All",TRUE,$AF560&lt;=DASHBOARD!$C$10),IF(DASHBOARD!$C$12="All",TRUE,$AH560=VALUE(DASHBOARD!$C$12)),IF(DASHBOARD!$C$14="All",TRUE,$AJ560=DASHBOARD!$C$14)),1,0))</f>
        <v/>
      </c>
    </row>
    <row r="561">
      <c r="A561" t="n">
        <v>246900</v>
      </c>
      <c r="B561" t="inlineStr">
        <is>
          <t>Face Malai</t>
        </is>
      </c>
      <c r="H561" t="inlineStr">
        <is>
          <t>Flax Walnut (Cold) 35+ Face Malai</t>
        </is>
      </c>
      <c r="N561" t="inlineStr">
        <is>
          <t>FC-CWDM-FW-030</t>
        </is>
      </c>
      <c r="T561" t="inlineStr">
        <is>
          <t>Mar 20, 2024</t>
        </is>
      </c>
      <c r="AE561" t="inlineStr">
        <is>
          <t>Srinagar</t>
        </is>
      </c>
      <c r="AF561" t="inlineStr">
        <is>
          <t>2024-03</t>
        </is>
      </c>
      <c r="AG561" t="n">
        <v>3</v>
      </c>
      <c r="AH561" t="n">
        <v>1</v>
      </c>
      <c r="AI561" t="n">
        <v>0</v>
      </c>
      <c r="AJ561">
        <f>IF($AE561="","",IFERROR(VLOOKUP(TRIM($AE561),DECODE!$H$3:$I$60,2,FALSE),"Rest of India"))</f>
        <v/>
      </c>
      <c r="AK561">
        <f>IF($N561="","",UPPER(TRIM(LEFT($N561&amp;",",FIND(",",$N561&amp;",")-1))))</f>
        <v/>
      </c>
      <c r="AL561">
        <f>IF($AK561="","",MID($AK561,4,FIND("~",SUBSTITUTE($AK561,"-","~",2))-4))</f>
        <v/>
      </c>
      <c r="AM561">
        <f>IF($AK561="","",MID($AK561,FIND("~",SUBSTITUTE($AK561,"-","~",2))+1,FIND("~",SUBSTITUTE($AK561,"-","~",3))-FIND("~",SUBSTITUTE($AK561,"-","~",2))-1))</f>
        <v/>
      </c>
      <c r="AN561">
        <f>IF($AL561="","",IFERROR(VLOOKUP($AL561,DECODE!$A$3:$C$8,3,FALSE),"?"))</f>
        <v/>
      </c>
      <c r="AO561">
        <f>IF($AM561="","",IFERROR(VLOOKUP($AL561&amp;"-"&amp;$AM561,DECODE!$E$3:$F$21,2,FALSE),"?"))</f>
        <v/>
      </c>
      <c r="AP561">
        <f>IF($AK561="","",IFERROR(VALUE(RIGHT($AK561,3)),""))</f>
        <v/>
      </c>
      <c r="AQ561">
        <f>IF($T561="","",IFERROR(IF(ISNUMBER($T561),$T561,DATEVALUE(TRIM($T561))),""))</f>
        <v/>
      </c>
      <c r="AR561">
        <f>IF($AQ561="","",IF(MONTH($AQ561)&gt;=12,"Cold Winter",IF(MONTH($AQ561)&gt;=10,"Post-Monsoon",IF(MONTH($AQ561)&gt;=6,"Hot Humid",IF(MONTH($AQ561)&gt;=3,"Hot Dry","Cold Winter")))))</f>
        <v/>
      </c>
      <c r="AS561">
        <f>IF($AL561="","",IFERROR(VLOOKUP($AL561,DECODE!$A$3:$C$8,2,FALSE),"?"))</f>
        <v/>
      </c>
      <c r="AT561">
        <f>IF($O561="","",UPPER(TRIM(LEFT($O561&amp;",",FIND(",",$O561&amp;",")-1))))</f>
        <v/>
      </c>
      <c r="AU561">
        <f>IF($AT561="","",MID($AT561,4,FIND("~",SUBSTITUTE($AT561,"-","~",2))-4))</f>
        <v/>
      </c>
      <c r="AV561">
        <f>IF($AT561="","",MID($AT561,FIND("~",SUBSTITUTE($AT561,"-","~",2))+1,FIND("~",SUBSTITUTE($AT561,"-","~",3))-FIND("~",SUBSTITUTE($AT561,"-","~",2))-1))</f>
        <v/>
      </c>
      <c r="AW561">
        <f>IF($AU561="","",IFERROR(VLOOKUP($AU561,DECODE!$A$3:$C$8,3,FALSE),"?"))</f>
        <v/>
      </c>
      <c r="AX561">
        <f>IF($AV561="","",IFERROR(VLOOKUP($AU561&amp;"-"&amp;$AV561,DECODE!$E$3:$F$21,2,FALSE),"?"))</f>
        <v/>
      </c>
      <c r="AY561">
        <f>IF($AT561="","",IFERROR(VALUE(RIGHT($AT561,3)),""))</f>
        <v/>
      </c>
      <c r="AZ561">
        <f>IF($U561="","",IFERROR(IF(ISNUMBER($U561),$U561,DATEVALUE(TRIM($U561))),""))</f>
        <v/>
      </c>
      <c r="BA561">
        <f>IF($AZ561="","",IF(MONTH($AZ561)&gt;=12,"Cold Winter",IF(MONTH($AZ561)&gt;=10,"Post-Monsoon",IF(MONTH($AZ561)&gt;=6,"Hot Humid",IF(MONTH($AZ561)&gt;=3,"Hot Dry","Cold Winter")))))</f>
        <v/>
      </c>
      <c r="BB561">
        <f>IF($AU561="","",IFERROR(VLOOKUP($AU561,DECODE!$A$3:$C$8,2,FALSE),"?"))</f>
        <v/>
      </c>
      <c r="BC561">
        <f>IF($P561="","",UPPER(TRIM(LEFT($P561&amp;",",FIND(",",$P561&amp;",")-1))))</f>
        <v/>
      </c>
      <c r="BD561">
        <f>IF($BC561="","",MID($BC561,4,FIND("~",SUBSTITUTE($BC561,"-","~",2))-4))</f>
        <v/>
      </c>
      <c r="BE561">
        <f>IF($BC561="","",MID($BC561,FIND("~",SUBSTITUTE($BC561,"-","~",2))+1,FIND("~",SUBSTITUTE($BC561,"-","~",3))-FIND("~",SUBSTITUTE($BC561,"-","~",2))-1))</f>
        <v/>
      </c>
      <c r="BF561">
        <f>IF($BD561="","",IFERROR(VLOOKUP($BD561,DECODE!$A$3:$C$8,3,FALSE),"?"))</f>
        <v/>
      </c>
      <c r="BG561">
        <f>IF($BE561="","",IFERROR(VLOOKUP($BD561&amp;"-"&amp;$BE561,DECODE!$E$3:$F$21,2,FALSE),"?"))</f>
        <v/>
      </c>
      <c r="BH561">
        <f>IF($BC561="","",IFERROR(VALUE(RIGHT($BC561,3)),""))</f>
        <v/>
      </c>
      <c r="BI561">
        <f>IF($V561="","",IFERROR(IF(ISNUMBER($V561),$V561,DATEVALUE(TRIM($V561))),""))</f>
        <v/>
      </c>
      <c r="BJ561">
        <f>IF($BI561="","",IF(MONTH($BI561)&gt;=12,"Cold Winter",IF(MONTH($BI561)&gt;=10,"Post-Monsoon",IF(MONTH($BI561)&gt;=6,"Hot Humid",IF(MONTH($BI561)&gt;=3,"Hot Dry","Cold Winter")))))</f>
        <v/>
      </c>
      <c r="BK561">
        <f>IF($BD561="","",IFERROR(VLOOKUP($BD561,DECODE!$A$3:$C$8,2,FALSE),"?"))</f>
        <v/>
      </c>
      <c r="BL561">
        <f>IF($Q561="","",UPPER(TRIM(LEFT($Q561&amp;",",FIND(",",$Q561&amp;",")-1))))</f>
        <v/>
      </c>
      <c r="BM561">
        <f>IF($BL561="","",MID($BL561,4,FIND("~",SUBSTITUTE($BL561,"-","~",2))-4))</f>
        <v/>
      </c>
      <c r="BN561">
        <f>IF($BL561="","",MID($BL561,FIND("~",SUBSTITUTE($BL561,"-","~",2))+1,FIND("~",SUBSTITUTE($BL561,"-","~",3))-FIND("~",SUBSTITUTE($BL561,"-","~",2))-1))</f>
        <v/>
      </c>
      <c r="BO561">
        <f>IF($BM561="","",IFERROR(VLOOKUP($BM561,DECODE!$A$3:$C$8,3,FALSE),"?"))</f>
        <v/>
      </c>
      <c r="BP561">
        <f>IF($BN561="","",IFERROR(VLOOKUP($BM561&amp;"-"&amp;$BN561,DECODE!$E$3:$F$21,2,FALSE),"?"))</f>
        <v/>
      </c>
      <c r="BQ561">
        <f>IF($BL561="","",IFERROR(VALUE(RIGHT($BL561,3)),""))</f>
        <v/>
      </c>
      <c r="BR561">
        <f>IF($W561="","",IFERROR(IF(ISNUMBER($W561),$W561,DATEVALUE(TRIM($W561))),""))</f>
        <v/>
      </c>
      <c r="BS561">
        <f>IF($BR561="","",IF(MONTH($BR561)&gt;=12,"Cold Winter",IF(MONTH($BR561)&gt;=10,"Post-Monsoon",IF(MONTH($BR561)&gt;=6,"Hot Humid",IF(MONTH($BR561)&gt;=3,"Hot Dry","Cold Winter")))))</f>
        <v/>
      </c>
      <c r="BT561">
        <f>IF($BM561="","",IFERROR(VLOOKUP($BM561,DECODE!$A$3:$C$8,2,FALSE),"?"))</f>
        <v/>
      </c>
      <c r="BU561">
        <f>IF($R561="","",UPPER(TRIM(LEFT($R561&amp;",",FIND(",",$R561&amp;",")-1))))</f>
        <v/>
      </c>
      <c r="BV561">
        <f>IF($BU561="","",MID($BU561,4,FIND("~",SUBSTITUTE($BU561,"-","~",2))-4))</f>
        <v/>
      </c>
      <c r="BW561">
        <f>IF($BU561="","",MID($BU561,FIND("~",SUBSTITUTE($BU561,"-","~",2))+1,FIND("~",SUBSTITUTE($BU561,"-","~",3))-FIND("~",SUBSTITUTE($BU561,"-","~",2))-1))</f>
        <v/>
      </c>
      <c r="BX561">
        <f>IF($BV561="","",IFERROR(VLOOKUP($BV561,DECODE!$A$3:$C$8,3,FALSE),"?"))</f>
        <v/>
      </c>
      <c r="BY561">
        <f>IF($BW561="","",IFERROR(VLOOKUP($BV561&amp;"-"&amp;$BW561,DECODE!$E$3:$F$21,2,FALSE),"?"))</f>
        <v/>
      </c>
      <c r="BZ561">
        <f>IF($BU561="","",IFERROR(VALUE(RIGHT($BU561,3)),""))</f>
        <v/>
      </c>
      <c r="CA561">
        <f>IF($X561="","",IFERROR(IF(ISNUMBER($X561),$X561,DATEVALUE(TRIM($X561))),""))</f>
        <v/>
      </c>
      <c r="CB561">
        <f>IF($CA561="","",IF(MONTH($CA561)&gt;=12,"Cold Winter",IF(MONTH($CA561)&gt;=10,"Post-Monsoon",IF(MONTH($CA561)&gt;=6,"Hot Humid",IF(MONTH($CA561)&gt;=3,"Hot Dry","Cold Winter")))))</f>
        <v/>
      </c>
      <c r="CC561">
        <f>IF($BV561="","",IFERROR(VLOOKUP($BV561,DECODE!$A$3:$C$8,2,FALSE),"?"))</f>
        <v/>
      </c>
      <c r="CD561">
        <f>IF($S561="","",UPPER(TRIM(LEFT($S561&amp;",",FIND(",",$S561&amp;",")-1))))</f>
        <v/>
      </c>
      <c r="CE561">
        <f>IF($CD561="","",MID($CD561,4,FIND("~",SUBSTITUTE($CD561,"-","~",2))-4))</f>
        <v/>
      </c>
      <c r="CF561">
        <f>IF($CD561="","",MID($CD561,FIND("~",SUBSTITUTE($CD561,"-","~",2))+1,FIND("~",SUBSTITUTE($CD561,"-","~",3))-FIND("~",SUBSTITUTE($CD561,"-","~",2))-1))</f>
        <v/>
      </c>
      <c r="CG561">
        <f>IF($CE561="","",IFERROR(VLOOKUP($CE561,DECODE!$A$3:$C$8,3,FALSE),"?"))</f>
        <v/>
      </c>
      <c r="CH561">
        <f>IF($CF561="","",IFERROR(VLOOKUP($CE561&amp;"-"&amp;$CF561,DECODE!$E$3:$F$21,2,FALSE),"?"))</f>
        <v/>
      </c>
      <c r="CI561">
        <f>IF($CD561="","",IFERROR(VALUE(RIGHT($CD561,3)),""))</f>
        <v/>
      </c>
      <c r="CJ561">
        <f>IF($Y561="","",IFERROR(IF(ISNUMBER($Y561),$Y561,DATEVALUE(TRIM($Y561))),""))</f>
        <v/>
      </c>
      <c r="CK561">
        <f>IF($CJ561="","",IF(MONTH($CJ561)&gt;=12,"Cold Winter",IF(MONTH($CJ561)&gt;=10,"Post-Monsoon",IF(MONTH($CJ561)&gt;=6,"Hot Humid",IF(MONTH($CJ561)&gt;=3,"Hot Dry","Cold Winter")))))</f>
        <v/>
      </c>
      <c r="CL561">
        <f>IF($CE561="","",IFERROR(VLOOKUP($CE561,DECODE!$A$3:$C$8,2,FALSE),"?"))</f>
        <v/>
      </c>
      <c r="CM561">
        <f>IF($AN561="","",AN561)</f>
        <v/>
      </c>
      <c r="CN561">
        <f>IF($AO561="","",AO561)</f>
        <v/>
      </c>
      <c r="CO561">
        <f>IF($AP561="","",AP561)</f>
        <v/>
      </c>
      <c r="CP561">
        <f>IF($CM561="","",IF($CM561="Aloe Vera Gel","Aloe Vera Gel "&amp;$CO561&amp;"g",CN561&amp;" "&amp;$CO561&amp;"g"))</f>
        <v/>
      </c>
      <c r="CQ561">
        <f>IF($AT561="",0,1)</f>
        <v/>
      </c>
      <c r="CR561">
        <f>IF($CQ561=0,"",AW561)</f>
        <v/>
      </c>
      <c r="CS561">
        <f>IF($CQ561=0,"",AX561)</f>
        <v/>
      </c>
      <c r="CT561">
        <f>IF($CQ561=0,"",AY561)</f>
        <v/>
      </c>
      <c r="CU561">
        <f>IF($CR561="","",IF($CR561="Aloe Vera Gel","Aloe Vera Gel "&amp;$CT561&amp;"g",CS561&amp;" "&amp;$CT561&amp;"g"))</f>
        <v/>
      </c>
      <c r="CV561">
        <f>IF($CQ561=0,"",IF($CP561=$CU561,"Repeat Exact",IF($CT561&gt;$CO561,"Upsized",IF($CT561&lt;$CO561,"Downsized",IF($CM561&lt;&gt;$CR561,"Lateral","Same Size Diff Variant")))))</f>
        <v/>
      </c>
      <c r="CW561">
        <f>IF($CQ561=0,"",AZ561-AQ561)</f>
        <v/>
      </c>
      <c r="CX561">
        <f>IF($CQ561=0,0,IF(CS561=CN561,1,0))</f>
        <v/>
      </c>
      <c r="CY561">
        <f>IF($CQ561=0,0,IF(CR561=CM561,1,0))</f>
        <v/>
      </c>
      <c r="CZ561">
        <f>IF($A561="","",IF(AND(IF(DASHBOARD!$C$4="All",TRUE,$CM561=DASHBOARD!$C$4),IF(DASHBOARD!$C$6="All",TRUE,$CP561=DASHBOARD!$C$6),IF(DASHBOARD!$C$8="All",TRUE,$AF561&gt;=DASHBOARD!$C$8),IF(DASHBOARD!$C$10="All",TRUE,$AF561&lt;=DASHBOARD!$C$10),IF(DASHBOARD!$C$12="All",TRUE,$AH561=VALUE(DASHBOARD!$C$12)),IF(DASHBOARD!$C$14="All",TRUE,$AJ561=DASHBOARD!$C$14)),1,0))</f>
        <v/>
      </c>
    </row>
    <row r="562">
      <c r="A562" t="n">
        <v>247348</v>
      </c>
      <c r="B562" t="inlineStr">
        <is>
          <t>Aloe Vera Gel</t>
        </is>
      </c>
      <c r="H562" t="inlineStr">
        <is>
          <t>Aloe Vera Gel - 40 gms</t>
        </is>
      </c>
      <c r="N562" t="inlineStr">
        <is>
          <t>FC-HG-PA-040</t>
        </is>
      </c>
      <c r="T562" t="inlineStr">
        <is>
          <t>May 18, 2024</t>
        </is>
      </c>
      <c r="AE562" t="inlineStr">
        <is>
          <t>Bengaluru</t>
        </is>
      </c>
      <c r="AF562" t="inlineStr">
        <is>
          <t>2024-05</t>
        </is>
      </c>
      <c r="AG562" t="n">
        <v>5</v>
      </c>
      <c r="AH562" t="n">
        <v>1</v>
      </c>
      <c r="AI562" t="n">
        <v>0</v>
      </c>
      <c r="AJ562">
        <f>IF($AE562="","",IFERROR(VLOOKUP(TRIM($AE562),DECODE!$H$3:$I$60,2,FALSE),"Rest of India"))</f>
        <v/>
      </c>
      <c r="AK562">
        <f>IF($N562="","",UPPER(TRIM(LEFT($N562&amp;",",FIND(",",$N562&amp;",")-1))))</f>
        <v/>
      </c>
      <c r="AL562">
        <f>IF($AK562="","",MID($AK562,4,FIND("~",SUBSTITUTE($AK562,"-","~",2))-4))</f>
        <v/>
      </c>
      <c r="AM562">
        <f>IF($AK562="","",MID($AK562,FIND("~",SUBSTITUTE($AK562,"-","~",2))+1,FIND("~",SUBSTITUTE($AK562,"-","~",3))-FIND("~",SUBSTITUTE($AK562,"-","~",2))-1))</f>
        <v/>
      </c>
      <c r="AN562">
        <f>IF($AL562="","",IFERROR(VLOOKUP($AL562,DECODE!$A$3:$C$8,3,FALSE),"?"))</f>
        <v/>
      </c>
      <c r="AO562">
        <f>IF($AM562="","",IFERROR(VLOOKUP($AL562&amp;"-"&amp;$AM562,DECODE!$E$3:$F$21,2,FALSE),"?"))</f>
        <v/>
      </c>
      <c r="AP562">
        <f>IF($AK562="","",IFERROR(VALUE(RIGHT($AK562,3)),""))</f>
        <v/>
      </c>
      <c r="AQ562">
        <f>IF($T562="","",IFERROR(IF(ISNUMBER($T562),$T562,DATEVALUE(TRIM($T562))),""))</f>
        <v/>
      </c>
      <c r="AR562">
        <f>IF($AQ562="","",IF(MONTH($AQ562)&gt;=12,"Cold Winter",IF(MONTH($AQ562)&gt;=10,"Post-Monsoon",IF(MONTH($AQ562)&gt;=6,"Hot Humid",IF(MONTH($AQ562)&gt;=3,"Hot Dry","Cold Winter")))))</f>
        <v/>
      </c>
      <c r="AS562">
        <f>IF($AL562="","",IFERROR(VLOOKUP($AL562,DECODE!$A$3:$C$8,2,FALSE),"?"))</f>
        <v/>
      </c>
      <c r="AT562">
        <f>IF($O562="","",UPPER(TRIM(LEFT($O562&amp;",",FIND(",",$O562&amp;",")-1))))</f>
        <v/>
      </c>
      <c r="AU562">
        <f>IF($AT562="","",MID($AT562,4,FIND("~",SUBSTITUTE($AT562,"-","~",2))-4))</f>
        <v/>
      </c>
      <c r="AV562">
        <f>IF($AT562="","",MID($AT562,FIND("~",SUBSTITUTE($AT562,"-","~",2))+1,FIND("~",SUBSTITUTE($AT562,"-","~",3))-FIND("~",SUBSTITUTE($AT562,"-","~",2))-1))</f>
        <v/>
      </c>
      <c r="AW562">
        <f>IF($AU562="","",IFERROR(VLOOKUP($AU562,DECODE!$A$3:$C$8,3,FALSE),"?"))</f>
        <v/>
      </c>
      <c r="AX562">
        <f>IF($AV562="","",IFERROR(VLOOKUP($AU562&amp;"-"&amp;$AV562,DECODE!$E$3:$F$21,2,FALSE),"?"))</f>
        <v/>
      </c>
      <c r="AY562">
        <f>IF($AT562="","",IFERROR(VALUE(RIGHT($AT562,3)),""))</f>
        <v/>
      </c>
      <c r="AZ562">
        <f>IF($U562="","",IFERROR(IF(ISNUMBER($U562),$U562,DATEVALUE(TRIM($U562))),""))</f>
        <v/>
      </c>
      <c r="BA562">
        <f>IF($AZ562="","",IF(MONTH($AZ562)&gt;=12,"Cold Winter",IF(MONTH($AZ562)&gt;=10,"Post-Monsoon",IF(MONTH($AZ562)&gt;=6,"Hot Humid",IF(MONTH($AZ562)&gt;=3,"Hot Dry","Cold Winter")))))</f>
        <v/>
      </c>
      <c r="BB562">
        <f>IF($AU562="","",IFERROR(VLOOKUP($AU562,DECODE!$A$3:$C$8,2,FALSE),"?"))</f>
        <v/>
      </c>
      <c r="BC562">
        <f>IF($P562="","",UPPER(TRIM(LEFT($P562&amp;",",FIND(",",$P562&amp;",")-1))))</f>
        <v/>
      </c>
      <c r="BD562">
        <f>IF($BC562="","",MID($BC562,4,FIND("~",SUBSTITUTE($BC562,"-","~",2))-4))</f>
        <v/>
      </c>
      <c r="BE562">
        <f>IF($BC562="","",MID($BC562,FIND("~",SUBSTITUTE($BC562,"-","~",2))+1,FIND("~",SUBSTITUTE($BC562,"-","~",3))-FIND("~",SUBSTITUTE($BC562,"-","~",2))-1))</f>
        <v/>
      </c>
      <c r="BF562">
        <f>IF($BD562="","",IFERROR(VLOOKUP($BD562,DECODE!$A$3:$C$8,3,FALSE),"?"))</f>
        <v/>
      </c>
      <c r="BG562">
        <f>IF($BE562="","",IFERROR(VLOOKUP($BD562&amp;"-"&amp;$BE562,DECODE!$E$3:$F$21,2,FALSE),"?"))</f>
        <v/>
      </c>
      <c r="BH562">
        <f>IF($BC562="","",IFERROR(VALUE(RIGHT($BC562,3)),""))</f>
        <v/>
      </c>
      <c r="BI562">
        <f>IF($V562="","",IFERROR(IF(ISNUMBER($V562),$V562,DATEVALUE(TRIM($V562))),""))</f>
        <v/>
      </c>
      <c r="BJ562">
        <f>IF($BI562="","",IF(MONTH($BI562)&gt;=12,"Cold Winter",IF(MONTH($BI562)&gt;=10,"Post-Monsoon",IF(MONTH($BI562)&gt;=6,"Hot Humid",IF(MONTH($BI562)&gt;=3,"Hot Dry","Cold Winter")))))</f>
        <v/>
      </c>
      <c r="BK562">
        <f>IF($BD562="","",IFERROR(VLOOKUP($BD562,DECODE!$A$3:$C$8,2,FALSE),"?"))</f>
        <v/>
      </c>
      <c r="BL562">
        <f>IF($Q562="","",UPPER(TRIM(LEFT($Q562&amp;",",FIND(",",$Q562&amp;",")-1))))</f>
        <v/>
      </c>
      <c r="BM562">
        <f>IF($BL562="","",MID($BL562,4,FIND("~",SUBSTITUTE($BL562,"-","~",2))-4))</f>
        <v/>
      </c>
      <c r="BN562">
        <f>IF($BL562="","",MID($BL562,FIND("~",SUBSTITUTE($BL562,"-","~",2))+1,FIND("~",SUBSTITUTE($BL562,"-","~",3))-FIND("~",SUBSTITUTE($BL562,"-","~",2))-1))</f>
        <v/>
      </c>
      <c r="BO562">
        <f>IF($BM562="","",IFERROR(VLOOKUP($BM562,DECODE!$A$3:$C$8,3,FALSE),"?"))</f>
        <v/>
      </c>
      <c r="BP562">
        <f>IF($BN562="","",IFERROR(VLOOKUP($BM562&amp;"-"&amp;$BN562,DECODE!$E$3:$F$21,2,FALSE),"?"))</f>
        <v/>
      </c>
      <c r="BQ562">
        <f>IF($BL562="","",IFERROR(VALUE(RIGHT($BL562,3)),""))</f>
        <v/>
      </c>
      <c r="BR562">
        <f>IF($W562="","",IFERROR(IF(ISNUMBER($W562),$W562,DATEVALUE(TRIM($W562))),""))</f>
        <v/>
      </c>
      <c r="BS562">
        <f>IF($BR562="","",IF(MONTH($BR562)&gt;=12,"Cold Winter",IF(MONTH($BR562)&gt;=10,"Post-Monsoon",IF(MONTH($BR562)&gt;=6,"Hot Humid",IF(MONTH($BR562)&gt;=3,"Hot Dry","Cold Winter")))))</f>
        <v/>
      </c>
      <c r="BT562">
        <f>IF($BM562="","",IFERROR(VLOOKUP($BM562,DECODE!$A$3:$C$8,2,FALSE),"?"))</f>
        <v/>
      </c>
      <c r="BU562">
        <f>IF($R562="","",UPPER(TRIM(LEFT($R562&amp;",",FIND(",",$R562&amp;",")-1))))</f>
        <v/>
      </c>
      <c r="BV562">
        <f>IF($BU562="","",MID($BU562,4,FIND("~",SUBSTITUTE($BU562,"-","~",2))-4))</f>
        <v/>
      </c>
      <c r="BW562">
        <f>IF($BU562="","",MID($BU562,FIND("~",SUBSTITUTE($BU562,"-","~",2))+1,FIND("~",SUBSTITUTE($BU562,"-","~",3))-FIND("~",SUBSTITUTE($BU562,"-","~",2))-1))</f>
        <v/>
      </c>
      <c r="BX562">
        <f>IF($BV562="","",IFERROR(VLOOKUP($BV562,DECODE!$A$3:$C$8,3,FALSE),"?"))</f>
        <v/>
      </c>
      <c r="BY562">
        <f>IF($BW562="","",IFERROR(VLOOKUP($BV562&amp;"-"&amp;$BW562,DECODE!$E$3:$F$21,2,FALSE),"?"))</f>
        <v/>
      </c>
      <c r="BZ562">
        <f>IF($BU562="","",IFERROR(VALUE(RIGHT($BU562,3)),""))</f>
        <v/>
      </c>
      <c r="CA562">
        <f>IF($X562="","",IFERROR(IF(ISNUMBER($X562),$X562,DATEVALUE(TRIM($X562))),""))</f>
        <v/>
      </c>
      <c r="CB562">
        <f>IF($CA562="","",IF(MONTH($CA562)&gt;=12,"Cold Winter",IF(MONTH($CA562)&gt;=10,"Post-Monsoon",IF(MONTH($CA562)&gt;=6,"Hot Humid",IF(MONTH($CA562)&gt;=3,"Hot Dry","Cold Winter")))))</f>
        <v/>
      </c>
      <c r="CC562">
        <f>IF($BV562="","",IFERROR(VLOOKUP($BV562,DECODE!$A$3:$C$8,2,FALSE),"?"))</f>
        <v/>
      </c>
      <c r="CD562">
        <f>IF($S562="","",UPPER(TRIM(LEFT($S562&amp;",",FIND(",",$S562&amp;",")-1))))</f>
        <v/>
      </c>
      <c r="CE562">
        <f>IF($CD562="","",MID($CD562,4,FIND("~",SUBSTITUTE($CD562,"-","~",2))-4))</f>
        <v/>
      </c>
      <c r="CF562">
        <f>IF($CD562="","",MID($CD562,FIND("~",SUBSTITUTE($CD562,"-","~",2))+1,FIND("~",SUBSTITUTE($CD562,"-","~",3))-FIND("~",SUBSTITUTE($CD562,"-","~",2))-1))</f>
        <v/>
      </c>
      <c r="CG562">
        <f>IF($CE562="","",IFERROR(VLOOKUP($CE562,DECODE!$A$3:$C$8,3,FALSE),"?"))</f>
        <v/>
      </c>
      <c r="CH562">
        <f>IF($CF562="","",IFERROR(VLOOKUP($CE562&amp;"-"&amp;$CF562,DECODE!$E$3:$F$21,2,FALSE),"?"))</f>
        <v/>
      </c>
      <c r="CI562">
        <f>IF($CD562="","",IFERROR(VALUE(RIGHT($CD562,3)),""))</f>
        <v/>
      </c>
      <c r="CJ562">
        <f>IF($Y562="","",IFERROR(IF(ISNUMBER($Y562),$Y562,DATEVALUE(TRIM($Y562))),""))</f>
        <v/>
      </c>
      <c r="CK562">
        <f>IF($CJ562="","",IF(MONTH($CJ562)&gt;=12,"Cold Winter",IF(MONTH($CJ562)&gt;=10,"Post-Monsoon",IF(MONTH($CJ562)&gt;=6,"Hot Humid",IF(MONTH($CJ562)&gt;=3,"Hot Dry","Cold Winter")))))</f>
        <v/>
      </c>
      <c r="CL562">
        <f>IF($CE562="","",IFERROR(VLOOKUP($CE562,DECODE!$A$3:$C$8,2,FALSE),"?"))</f>
        <v/>
      </c>
      <c r="CM562">
        <f>IF($AN562="","",AN562)</f>
        <v/>
      </c>
      <c r="CN562">
        <f>IF($AO562="","",AO562)</f>
        <v/>
      </c>
      <c r="CO562">
        <f>IF($AP562="","",AP562)</f>
        <v/>
      </c>
      <c r="CP562">
        <f>IF($CM562="","",IF($CM562="Aloe Vera Gel","Aloe Vera Gel "&amp;$CO562&amp;"g",CN562&amp;" "&amp;$CO562&amp;"g"))</f>
        <v/>
      </c>
      <c r="CQ562">
        <f>IF($AT562="",0,1)</f>
        <v/>
      </c>
      <c r="CR562">
        <f>IF($CQ562=0,"",AW562)</f>
        <v/>
      </c>
      <c r="CS562">
        <f>IF($CQ562=0,"",AX562)</f>
        <v/>
      </c>
      <c r="CT562">
        <f>IF($CQ562=0,"",AY562)</f>
        <v/>
      </c>
      <c r="CU562">
        <f>IF($CR562="","",IF($CR562="Aloe Vera Gel","Aloe Vera Gel "&amp;$CT562&amp;"g",CS562&amp;" "&amp;$CT562&amp;"g"))</f>
        <v/>
      </c>
      <c r="CV562">
        <f>IF($CQ562=0,"",IF($CP562=$CU562,"Repeat Exact",IF($CT562&gt;$CO562,"Upsized",IF($CT562&lt;$CO562,"Downsized",IF($CM562&lt;&gt;$CR562,"Lateral","Same Size Diff Variant")))))</f>
        <v/>
      </c>
      <c r="CW562">
        <f>IF($CQ562=0,"",AZ562-AQ562)</f>
        <v/>
      </c>
      <c r="CX562">
        <f>IF($CQ562=0,0,IF(CS562=CN562,1,0))</f>
        <v/>
      </c>
      <c r="CY562">
        <f>IF($CQ562=0,0,IF(CR562=CM562,1,0))</f>
        <v/>
      </c>
      <c r="CZ562">
        <f>IF($A562="","",IF(AND(IF(DASHBOARD!$C$4="All",TRUE,$CM562=DASHBOARD!$C$4),IF(DASHBOARD!$C$6="All",TRUE,$CP562=DASHBOARD!$C$6),IF(DASHBOARD!$C$8="All",TRUE,$AF562&gt;=DASHBOARD!$C$8),IF(DASHBOARD!$C$10="All",TRUE,$AF562&lt;=DASHBOARD!$C$10),IF(DASHBOARD!$C$12="All",TRUE,$AH562=VALUE(DASHBOARD!$C$12)),IF(DASHBOARD!$C$14="All",TRUE,$AJ562=DASHBOARD!$C$14)),1,0))</f>
        <v/>
      </c>
    </row>
    <row r="563">
      <c r="A563" t="n">
        <v>247553</v>
      </c>
      <c r="B563" t="inlineStr">
        <is>
          <t>Face Malai</t>
        </is>
      </c>
      <c r="H563" t="inlineStr">
        <is>
          <t>Flax Bakuchi (Hot Dry) 35+ Face Malai - 30g</t>
        </is>
      </c>
      <c r="N563" t="inlineStr">
        <is>
          <t>FC-HDDM-FB-030</t>
        </is>
      </c>
      <c r="T563" t="inlineStr">
        <is>
          <t>Mar 26, 2025</t>
        </is>
      </c>
      <c r="AE563" t="inlineStr">
        <is>
          <t>Pune</t>
        </is>
      </c>
      <c r="AF563" t="inlineStr">
        <is>
          <t>2025-03</t>
        </is>
      </c>
      <c r="AG563" t="n">
        <v>3</v>
      </c>
      <c r="AH563" t="n">
        <v>1</v>
      </c>
      <c r="AI563" t="n">
        <v>0</v>
      </c>
      <c r="AJ563">
        <f>IF($AE563="","",IFERROR(VLOOKUP(TRIM($AE563),DECODE!$H$3:$I$60,2,FALSE),"Rest of India"))</f>
        <v/>
      </c>
      <c r="AK563">
        <f>IF($N563="","",UPPER(TRIM(LEFT($N563&amp;",",FIND(",",$N563&amp;",")-1))))</f>
        <v/>
      </c>
      <c r="AL563">
        <f>IF($AK563="","",MID($AK563,4,FIND("~",SUBSTITUTE($AK563,"-","~",2))-4))</f>
        <v/>
      </c>
      <c r="AM563">
        <f>IF($AK563="","",MID($AK563,FIND("~",SUBSTITUTE($AK563,"-","~",2))+1,FIND("~",SUBSTITUTE($AK563,"-","~",3))-FIND("~",SUBSTITUTE($AK563,"-","~",2))-1))</f>
        <v/>
      </c>
      <c r="AN563">
        <f>IF($AL563="","",IFERROR(VLOOKUP($AL563,DECODE!$A$3:$C$8,3,FALSE),"?"))</f>
        <v/>
      </c>
      <c r="AO563">
        <f>IF($AM563="","",IFERROR(VLOOKUP($AL563&amp;"-"&amp;$AM563,DECODE!$E$3:$F$21,2,FALSE),"?"))</f>
        <v/>
      </c>
      <c r="AP563">
        <f>IF($AK563="","",IFERROR(VALUE(RIGHT($AK563,3)),""))</f>
        <v/>
      </c>
      <c r="AQ563">
        <f>IF($T563="","",IFERROR(IF(ISNUMBER($T563),$T563,DATEVALUE(TRIM($T563))),""))</f>
        <v/>
      </c>
      <c r="AR563">
        <f>IF($AQ563="","",IF(MONTH($AQ563)&gt;=12,"Cold Winter",IF(MONTH($AQ563)&gt;=10,"Post-Monsoon",IF(MONTH($AQ563)&gt;=6,"Hot Humid",IF(MONTH($AQ563)&gt;=3,"Hot Dry","Cold Winter")))))</f>
        <v/>
      </c>
      <c r="AS563">
        <f>IF($AL563="","",IFERROR(VLOOKUP($AL563,DECODE!$A$3:$C$8,2,FALSE),"?"))</f>
        <v/>
      </c>
      <c r="AT563">
        <f>IF($O563="","",UPPER(TRIM(LEFT($O563&amp;",",FIND(",",$O563&amp;",")-1))))</f>
        <v/>
      </c>
      <c r="AU563">
        <f>IF($AT563="","",MID($AT563,4,FIND("~",SUBSTITUTE($AT563,"-","~",2))-4))</f>
        <v/>
      </c>
      <c r="AV563">
        <f>IF($AT563="","",MID($AT563,FIND("~",SUBSTITUTE($AT563,"-","~",2))+1,FIND("~",SUBSTITUTE($AT563,"-","~",3))-FIND("~",SUBSTITUTE($AT563,"-","~",2))-1))</f>
        <v/>
      </c>
      <c r="AW563">
        <f>IF($AU563="","",IFERROR(VLOOKUP($AU563,DECODE!$A$3:$C$8,3,FALSE),"?"))</f>
        <v/>
      </c>
      <c r="AX563">
        <f>IF($AV563="","",IFERROR(VLOOKUP($AU563&amp;"-"&amp;$AV563,DECODE!$E$3:$F$21,2,FALSE),"?"))</f>
        <v/>
      </c>
      <c r="AY563">
        <f>IF($AT563="","",IFERROR(VALUE(RIGHT($AT563,3)),""))</f>
        <v/>
      </c>
      <c r="AZ563">
        <f>IF($U563="","",IFERROR(IF(ISNUMBER($U563),$U563,DATEVALUE(TRIM($U563))),""))</f>
        <v/>
      </c>
      <c r="BA563">
        <f>IF($AZ563="","",IF(MONTH($AZ563)&gt;=12,"Cold Winter",IF(MONTH($AZ563)&gt;=10,"Post-Monsoon",IF(MONTH($AZ563)&gt;=6,"Hot Humid",IF(MONTH($AZ563)&gt;=3,"Hot Dry","Cold Winter")))))</f>
        <v/>
      </c>
      <c r="BB563">
        <f>IF($AU563="","",IFERROR(VLOOKUP($AU563,DECODE!$A$3:$C$8,2,FALSE),"?"))</f>
        <v/>
      </c>
      <c r="BC563">
        <f>IF($P563="","",UPPER(TRIM(LEFT($P563&amp;",",FIND(",",$P563&amp;",")-1))))</f>
        <v/>
      </c>
      <c r="BD563">
        <f>IF($BC563="","",MID($BC563,4,FIND("~",SUBSTITUTE($BC563,"-","~",2))-4))</f>
        <v/>
      </c>
      <c r="BE563">
        <f>IF($BC563="","",MID($BC563,FIND("~",SUBSTITUTE($BC563,"-","~",2))+1,FIND("~",SUBSTITUTE($BC563,"-","~",3))-FIND("~",SUBSTITUTE($BC563,"-","~",2))-1))</f>
        <v/>
      </c>
      <c r="BF563">
        <f>IF($BD563="","",IFERROR(VLOOKUP($BD563,DECODE!$A$3:$C$8,3,FALSE),"?"))</f>
        <v/>
      </c>
      <c r="BG563">
        <f>IF($BE563="","",IFERROR(VLOOKUP($BD563&amp;"-"&amp;$BE563,DECODE!$E$3:$F$21,2,FALSE),"?"))</f>
        <v/>
      </c>
      <c r="BH563">
        <f>IF($BC563="","",IFERROR(VALUE(RIGHT($BC563,3)),""))</f>
        <v/>
      </c>
      <c r="BI563">
        <f>IF($V563="","",IFERROR(IF(ISNUMBER($V563),$V563,DATEVALUE(TRIM($V563))),""))</f>
        <v/>
      </c>
      <c r="BJ563">
        <f>IF($BI563="","",IF(MONTH($BI563)&gt;=12,"Cold Winter",IF(MONTH($BI563)&gt;=10,"Post-Monsoon",IF(MONTH($BI563)&gt;=6,"Hot Humid",IF(MONTH($BI563)&gt;=3,"Hot Dry","Cold Winter")))))</f>
        <v/>
      </c>
      <c r="BK563">
        <f>IF($BD563="","",IFERROR(VLOOKUP($BD563,DECODE!$A$3:$C$8,2,FALSE),"?"))</f>
        <v/>
      </c>
      <c r="BL563">
        <f>IF($Q563="","",UPPER(TRIM(LEFT($Q563&amp;",",FIND(",",$Q563&amp;",")-1))))</f>
        <v/>
      </c>
      <c r="BM563">
        <f>IF($BL563="","",MID($BL563,4,FIND("~",SUBSTITUTE($BL563,"-","~",2))-4))</f>
        <v/>
      </c>
      <c r="BN563">
        <f>IF($BL563="","",MID($BL563,FIND("~",SUBSTITUTE($BL563,"-","~",2))+1,FIND("~",SUBSTITUTE($BL563,"-","~",3))-FIND("~",SUBSTITUTE($BL563,"-","~",2))-1))</f>
        <v/>
      </c>
      <c r="BO563">
        <f>IF($BM563="","",IFERROR(VLOOKUP($BM563,DECODE!$A$3:$C$8,3,FALSE),"?"))</f>
        <v/>
      </c>
      <c r="BP563">
        <f>IF($BN563="","",IFERROR(VLOOKUP($BM563&amp;"-"&amp;$BN563,DECODE!$E$3:$F$21,2,FALSE),"?"))</f>
        <v/>
      </c>
      <c r="BQ563">
        <f>IF($BL563="","",IFERROR(VALUE(RIGHT($BL563,3)),""))</f>
        <v/>
      </c>
      <c r="BR563">
        <f>IF($W563="","",IFERROR(IF(ISNUMBER($W563),$W563,DATEVALUE(TRIM($W563))),""))</f>
        <v/>
      </c>
      <c r="BS563">
        <f>IF($BR563="","",IF(MONTH($BR563)&gt;=12,"Cold Winter",IF(MONTH($BR563)&gt;=10,"Post-Monsoon",IF(MONTH($BR563)&gt;=6,"Hot Humid",IF(MONTH($BR563)&gt;=3,"Hot Dry","Cold Winter")))))</f>
        <v/>
      </c>
      <c r="BT563">
        <f>IF($BM563="","",IFERROR(VLOOKUP($BM563,DECODE!$A$3:$C$8,2,FALSE),"?"))</f>
        <v/>
      </c>
      <c r="BU563">
        <f>IF($R563="","",UPPER(TRIM(LEFT($R563&amp;",",FIND(",",$R563&amp;",")-1))))</f>
        <v/>
      </c>
      <c r="BV563">
        <f>IF($BU563="","",MID($BU563,4,FIND("~",SUBSTITUTE($BU563,"-","~",2))-4))</f>
        <v/>
      </c>
      <c r="BW563">
        <f>IF($BU563="","",MID($BU563,FIND("~",SUBSTITUTE($BU563,"-","~",2))+1,FIND("~",SUBSTITUTE($BU563,"-","~",3))-FIND("~",SUBSTITUTE($BU563,"-","~",2))-1))</f>
        <v/>
      </c>
      <c r="BX563">
        <f>IF($BV563="","",IFERROR(VLOOKUP($BV563,DECODE!$A$3:$C$8,3,FALSE),"?"))</f>
        <v/>
      </c>
      <c r="BY563">
        <f>IF($BW563="","",IFERROR(VLOOKUP($BV563&amp;"-"&amp;$BW563,DECODE!$E$3:$F$21,2,FALSE),"?"))</f>
        <v/>
      </c>
      <c r="BZ563">
        <f>IF($BU563="","",IFERROR(VALUE(RIGHT($BU563,3)),""))</f>
        <v/>
      </c>
      <c r="CA563">
        <f>IF($X563="","",IFERROR(IF(ISNUMBER($X563),$X563,DATEVALUE(TRIM($X563))),""))</f>
        <v/>
      </c>
      <c r="CB563">
        <f>IF($CA563="","",IF(MONTH($CA563)&gt;=12,"Cold Winter",IF(MONTH($CA563)&gt;=10,"Post-Monsoon",IF(MONTH($CA563)&gt;=6,"Hot Humid",IF(MONTH($CA563)&gt;=3,"Hot Dry","Cold Winter")))))</f>
        <v/>
      </c>
      <c r="CC563">
        <f>IF($BV563="","",IFERROR(VLOOKUP($BV563,DECODE!$A$3:$C$8,2,FALSE),"?"))</f>
        <v/>
      </c>
      <c r="CD563">
        <f>IF($S563="","",UPPER(TRIM(LEFT($S563&amp;",",FIND(",",$S563&amp;",")-1))))</f>
        <v/>
      </c>
      <c r="CE563">
        <f>IF($CD563="","",MID($CD563,4,FIND("~",SUBSTITUTE($CD563,"-","~",2))-4))</f>
        <v/>
      </c>
      <c r="CF563">
        <f>IF($CD563="","",MID($CD563,FIND("~",SUBSTITUTE($CD563,"-","~",2))+1,FIND("~",SUBSTITUTE($CD563,"-","~",3))-FIND("~",SUBSTITUTE($CD563,"-","~",2))-1))</f>
        <v/>
      </c>
      <c r="CG563">
        <f>IF($CE563="","",IFERROR(VLOOKUP($CE563,DECODE!$A$3:$C$8,3,FALSE),"?"))</f>
        <v/>
      </c>
      <c r="CH563">
        <f>IF($CF563="","",IFERROR(VLOOKUP($CE563&amp;"-"&amp;$CF563,DECODE!$E$3:$F$21,2,FALSE),"?"))</f>
        <v/>
      </c>
      <c r="CI563">
        <f>IF($CD563="","",IFERROR(VALUE(RIGHT($CD563,3)),""))</f>
        <v/>
      </c>
      <c r="CJ563">
        <f>IF($Y563="","",IFERROR(IF(ISNUMBER($Y563),$Y563,DATEVALUE(TRIM($Y563))),""))</f>
        <v/>
      </c>
      <c r="CK563">
        <f>IF($CJ563="","",IF(MONTH($CJ563)&gt;=12,"Cold Winter",IF(MONTH($CJ563)&gt;=10,"Post-Monsoon",IF(MONTH($CJ563)&gt;=6,"Hot Humid",IF(MONTH($CJ563)&gt;=3,"Hot Dry","Cold Winter")))))</f>
        <v/>
      </c>
      <c r="CL563">
        <f>IF($CE563="","",IFERROR(VLOOKUP($CE563,DECODE!$A$3:$C$8,2,FALSE),"?"))</f>
        <v/>
      </c>
      <c r="CM563">
        <f>IF($AN563="","",AN563)</f>
        <v/>
      </c>
      <c r="CN563">
        <f>IF($AO563="","",AO563)</f>
        <v/>
      </c>
      <c r="CO563">
        <f>IF($AP563="","",AP563)</f>
        <v/>
      </c>
      <c r="CP563">
        <f>IF($CM563="","",IF($CM563="Aloe Vera Gel","Aloe Vera Gel "&amp;$CO563&amp;"g",CN563&amp;" "&amp;$CO563&amp;"g"))</f>
        <v/>
      </c>
      <c r="CQ563">
        <f>IF($AT563="",0,1)</f>
        <v/>
      </c>
      <c r="CR563">
        <f>IF($CQ563=0,"",AW563)</f>
        <v/>
      </c>
      <c r="CS563">
        <f>IF($CQ563=0,"",AX563)</f>
        <v/>
      </c>
      <c r="CT563">
        <f>IF($CQ563=0,"",AY563)</f>
        <v/>
      </c>
      <c r="CU563">
        <f>IF($CR563="","",IF($CR563="Aloe Vera Gel","Aloe Vera Gel "&amp;$CT563&amp;"g",CS563&amp;" "&amp;$CT563&amp;"g"))</f>
        <v/>
      </c>
      <c r="CV563">
        <f>IF($CQ563=0,"",IF($CP563=$CU563,"Repeat Exact",IF($CT563&gt;$CO563,"Upsized",IF($CT563&lt;$CO563,"Downsized",IF($CM563&lt;&gt;$CR563,"Lateral","Same Size Diff Variant")))))</f>
        <v/>
      </c>
      <c r="CW563">
        <f>IF($CQ563=0,"",AZ563-AQ563)</f>
        <v/>
      </c>
      <c r="CX563">
        <f>IF($CQ563=0,0,IF(CS563=CN563,1,0))</f>
        <v/>
      </c>
      <c r="CY563">
        <f>IF($CQ563=0,0,IF(CR563=CM563,1,0))</f>
        <v/>
      </c>
      <c r="CZ563">
        <f>IF($A563="","",IF(AND(IF(DASHBOARD!$C$4="All",TRUE,$CM563=DASHBOARD!$C$4),IF(DASHBOARD!$C$6="All",TRUE,$CP563=DASHBOARD!$C$6),IF(DASHBOARD!$C$8="All",TRUE,$AF563&gt;=DASHBOARD!$C$8),IF(DASHBOARD!$C$10="All",TRUE,$AF563&lt;=DASHBOARD!$C$10),IF(DASHBOARD!$C$12="All",TRUE,$AH563=VALUE(DASHBOARD!$C$12)),IF(DASHBOARD!$C$14="All",TRUE,$AJ563=DASHBOARD!$C$14)),1,0))</f>
        <v/>
      </c>
    </row>
    <row r="564">
      <c r="A564" t="n">
        <v>247733</v>
      </c>
      <c r="B564" t="inlineStr">
        <is>
          <t>Face Malai</t>
        </is>
      </c>
      <c r="C564" t="inlineStr">
        <is>
          <t>Face Malai</t>
        </is>
      </c>
      <c r="H564" t="inlineStr">
        <is>
          <t>Tomato Vetiver (Hot Humid) 20 - 35 Yrs Face Malai</t>
        </is>
      </c>
      <c r="I564" t="inlineStr">
        <is>
          <t>Tomato Rosehip (Hot Dry) 20 - 35 Yrs Face Malai - 50g</t>
        </is>
      </c>
      <c r="N564" t="inlineStr">
        <is>
          <t>FC-HHDM-TV-030</t>
        </is>
      </c>
      <c r="O564" t="inlineStr">
        <is>
          <t>FC-HDDM-TR-050</t>
        </is>
      </c>
      <c r="T564" t="inlineStr">
        <is>
          <t>Feb 7, 2025</t>
        </is>
      </c>
      <c r="U564" t="inlineStr">
        <is>
          <t>Apr 21, 2025</t>
        </is>
      </c>
      <c r="Z564" t="n">
        <v>73</v>
      </c>
      <c r="AE564" t="inlineStr">
        <is>
          <t>Kurnool</t>
        </is>
      </c>
      <c r="AF564" t="inlineStr">
        <is>
          <t>2025-02</t>
        </is>
      </c>
      <c r="AG564" t="n">
        <v>2</v>
      </c>
      <c r="AH564" t="n">
        <v>2</v>
      </c>
      <c r="AI564" t="n">
        <v>1</v>
      </c>
      <c r="AJ564">
        <f>IF($AE564="","",IFERROR(VLOOKUP(TRIM($AE564),DECODE!$H$3:$I$60,2,FALSE),"Rest of India"))</f>
        <v/>
      </c>
      <c r="AK564">
        <f>IF($N564="","",UPPER(TRIM(LEFT($N564&amp;",",FIND(",",$N564&amp;",")-1))))</f>
        <v/>
      </c>
      <c r="AL564">
        <f>IF($AK564="","",MID($AK564,4,FIND("~",SUBSTITUTE($AK564,"-","~",2))-4))</f>
        <v/>
      </c>
      <c r="AM564">
        <f>IF($AK564="","",MID($AK564,FIND("~",SUBSTITUTE($AK564,"-","~",2))+1,FIND("~",SUBSTITUTE($AK564,"-","~",3))-FIND("~",SUBSTITUTE($AK564,"-","~",2))-1))</f>
        <v/>
      </c>
      <c r="AN564">
        <f>IF($AL564="","",IFERROR(VLOOKUP($AL564,DECODE!$A$3:$C$8,3,FALSE),"?"))</f>
        <v/>
      </c>
      <c r="AO564">
        <f>IF($AM564="","",IFERROR(VLOOKUP($AL564&amp;"-"&amp;$AM564,DECODE!$E$3:$F$21,2,FALSE),"?"))</f>
        <v/>
      </c>
      <c r="AP564">
        <f>IF($AK564="","",IFERROR(VALUE(RIGHT($AK564,3)),""))</f>
        <v/>
      </c>
      <c r="AQ564">
        <f>IF($T564="","",IFERROR(IF(ISNUMBER($T564),$T564,DATEVALUE(TRIM($T564))),""))</f>
        <v/>
      </c>
      <c r="AR564">
        <f>IF($AQ564="","",IF(MONTH($AQ564)&gt;=12,"Cold Winter",IF(MONTH($AQ564)&gt;=10,"Post-Monsoon",IF(MONTH($AQ564)&gt;=6,"Hot Humid",IF(MONTH($AQ564)&gt;=3,"Hot Dry","Cold Winter")))))</f>
        <v/>
      </c>
      <c r="AS564">
        <f>IF($AL564="","",IFERROR(VLOOKUP($AL564,DECODE!$A$3:$C$8,2,FALSE),"?"))</f>
        <v/>
      </c>
      <c r="AT564">
        <f>IF($O564="","",UPPER(TRIM(LEFT($O564&amp;",",FIND(",",$O564&amp;",")-1))))</f>
        <v/>
      </c>
      <c r="AU564">
        <f>IF($AT564="","",MID($AT564,4,FIND("~",SUBSTITUTE($AT564,"-","~",2))-4))</f>
        <v/>
      </c>
      <c r="AV564">
        <f>IF($AT564="","",MID($AT564,FIND("~",SUBSTITUTE($AT564,"-","~",2))+1,FIND("~",SUBSTITUTE($AT564,"-","~",3))-FIND("~",SUBSTITUTE($AT564,"-","~",2))-1))</f>
        <v/>
      </c>
      <c r="AW564">
        <f>IF($AU564="","",IFERROR(VLOOKUP($AU564,DECODE!$A$3:$C$8,3,FALSE),"?"))</f>
        <v/>
      </c>
      <c r="AX564">
        <f>IF($AV564="","",IFERROR(VLOOKUP($AU564&amp;"-"&amp;$AV564,DECODE!$E$3:$F$21,2,FALSE),"?"))</f>
        <v/>
      </c>
      <c r="AY564">
        <f>IF($AT564="","",IFERROR(VALUE(RIGHT($AT564,3)),""))</f>
        <v/>
      </c>
      <c r="AZ564">
        <f>IF($U564="","",IFERROR(IF(ISNUMBER($U564),$U564,DATEVALUE(TRIM($U564))),""))</f>
        <v/>
      </c>
      <c r="BA564">
        <f>IF($AZ564="","",IF(MONTH($AZ564)&gt;=12,"Cold Winter",IF(MONTH($AZ564)&gt;=10,"Post-Monsoon",IF(MONTH($AZ564)&gt;=6,"Hot Humid",IF(MONTH($AZ564)&gt;=3,"Hot Dry","Cold Winter")))))</f>
        <v/>
      </c>
      <c r="BB564">
        <f>IF($AU564="","",IFERROR(VLOOKUP($AU564,DECODE!$A$3:$C$8,2,FALSE),"?"))</f>
        <v/>
      </c>
      <c r="BC564">
        <f>IF($P564="","",UPPER(TRIM(LEFT($P564&amp;",",FIND(",",$P564&amp;",")-1))))</f>
        <v/>
      </c>
      <c r="BD564">
        <f>IF($BC564="","",MID($BC564,4,FIND("~",SUBSTITUTE($BC564,"-","~",2))-4))</f>
        <v/>
      </c>
      <c r="BE564">
        <f>IF($BC564="","",MID($BC564,FIND("~",SUBSTITUTE($BC564,"-","~",2))+1,FIND("~",SUBSTITUTE($BC564,"-","~",3))-FIND("~",SUBSTITUTE($BC564,"-","~",2))-1))</f>
        <v/>
      </c>
      <c r="BF564">
        <f>IF($BD564="","",IFERROR(VLOOKUP($BD564,DECODE!$A$3:$C$8,3,FALSE),"?"))</f>
        <v/>
      </c>
      <c r="BG564">
        <f>IF($BE564="","",IFERROR(VLOOKUP($BD564&amp;"-"&amp;$BE564,DECODE!$E$3:$F$21,2,FALSE),"?"))</f>
        <v/>
      </c>
      <c r="BH564">
        <f>IF($BC564="","",IFERROR(VALUE(RIGHT($BC564,3)),""))</f>
        <v/>
      </c>
      <c r="BI564">
        <f>IF($V564="","",IFERROR(IF(ISNUMBER($V564),$V564,DATEVALUE(TRIM($V564))),""))</f>
        <v/>
      </c>
      <c r="BJ564">
        <f>IF($BI564="","",IF(MONTH($BI564)&gt;=12,"Cold Winter",IF(MONTH($BI564)&gt;=10,"Post-Monsoon",IF(MONTH($BI564)&gt;=6,"Hot Humid",IF(MONTH($BI564)&gt;=3,"Hot Dry","Cold Winter")))))</f>
        <v/>
      </c>
      <c r="BK564">
        <f>IF($BD564="","",IFERROR(VLOOKUP($BD564,DECODE!$A$3:$C$8,2,FALSE),"?"))</f>
        <v/>
      </c>
      <c r="BL564">
        <f>IF($Q564="","",UPPER(TRIM(LEFT($Q564&amp;",",FIND(",",$Q564&amp;",")-1))))</f>
        <v/>
      </c>
      <c r="BM564">
        <f>IF($BL564="","",MID($BL564,4,FIND("~",SUBSTITUTE($BL564,"-","~",2))-4))</f>
        <v/>
      </c>
      <c r="BN564">
        <f>IF($BL564="","",MID($BL564,FIND("~",SUBSTITUTE($BL564,"-","~",2))+1,FIND("~",SUBSTITUTE($BL564,"-","~",3))-FIND("~",SUBSTITUTE($BL564,"-","~",2))-1))</f>
        <v/>
      </c>
      <c r="BO564">
        <f>IF($BM564="","",IFERROR(VLOOKUP($BM564,DECODE!$A$3:$C$8,3,FALSE),"?"))</f>
        <v/>
      </c>
      <c r="BP564">
        <f>IF($BN564="","",IFERROR(VLOOKUP($BM564&amp;"-"&amp;$BN564,DECODE!$E$3:$F$21,2,FALSE),"?"))</f>
        <v/>
      </c>
      <c r="BQ564">
        <f>IF($BL564="","",IFERROR(VALUE(RIGHT($BL564,3)),""))</f>
        <v/>
      </c>
      <c r="BR564">
        <f>IF($W564="","",IFERROR(IF(ISNUMBER($W564),$W564,DATEVALUE(TRIM($W564))),""))</f>
        <v/>
      </c>
      <c r="BS564">
        <f>IF($BR564="","",IF(MONTH($BR564)&gt;=12,"Cold Winter",IF(MONTH($BR564)&gt;=10,"Post-Monsoon",IF(MONTH($BR564)&gt;=6,"Hot Humid",IF(MONTH($BR564)&gt;=3,"Hot Dry","Cold Winter")))))</f>
        <v/>
      </c>
      <c r="BT564">
        <f>IF($BM564="","",IFERROR(VLOOKUP($BM564,DECODE!$A$3:$C$8,2,FALSE),"?"))</f>
        <v/>
      </c>
      <c r="BU564">
        <f>IF($R564="","",UPPER(TRIM(LEFT($R564&amp;",",FIND(",",$R564&amp;",")-1))))</f>
        <v/>
      </c>
      <c r="BV564">
        <f>IF($BU564="","",MID($BU564,4,FIND("~",SUBSTITUTE($BU564,"-","~",2))-4))</f>
        <v/>
      </c>
      <c r="BW564">
        <f>IF($BU564="","",MID($BU564,FIND("~",SUBSTITUTE($BU564,"-","~",2))+1,FIND("~",SUBSTITUTE($BU564,"-","~",3))-FIND("~",SUBSTITUTE($BU564,"-","~",2))-1))</f>
        <v/>
      </c>
      <c r="BX564">
        <f>IF($BV564="","",IFERROR(VLOOKUP($BV564,DECODE!$A$3:$C$8,3,FALSE),"?"))</f>
        <v/>
      </c>
      <c r="BY564">
        <f>IF($BW564="","",IFERROR(VLOOKUP($BV564&amp;"-"&amp;$BW564,DECODE!$E$3:$F$21,2,FALSE),"?"))</f>
        <v/>
      </c>
      <c r="BZ564">
        <f>IF($BU564="","",IFERROR(VALUE(RIGHT($BU564,3)),""))</f>
        <v/>
      </c>
      <c r="CA564">
        <f>IF($X564="","",IFERROR(IF(ISNUMBER($X564),$X564,DATEVALUE(TRIM($X564))),""))</f>
        <v/>
      </c>
      <c r="CB564">
        <f>IF($CA564="","",IF(MONTH($CA564)&gt;=12,"Cold Winter",IF(MONTH($CA564)&gt;=10,"Post-Monsoon",IF(MONTH($CA564)&gt;=6,"Hot Humid",IF(MONTH($CA564)&gt;=3,"Hot Dry","Cold Winter")))))</f>
        <v/>
      </c>
      <c r="CC564">
        <f>IF($BV564="","",IFERROR(VLOOKUP($BV564,DECODE!$A$3:$C$8,2,FALSE),"?"))</f>
        <v/>
      </c>
      <c r="CD564">
        <f>IF($S564="","",UPPER(TRIM(LEFT($S564&amp;",",FIND(",",$S564&amp;",")-1))))</f>
        <v/>
      </c>
      <c r="CE564">
        <f>IF($CD564="","",MID($CD564,4,FIND("~",SUBSTITUTE($CD564,"-","~",2))-4))</f>
        <v/>
      </c>
      <c r="CF564">
        <f>IF($CD564="","",MID($CD564,FIND("~",SUBSTITUTE($CD564,"-","~",2))+1,FIND("~",SUBSTITUTE($CD564,"-","~",3))-FIND("~",SUBSTITUTE($CD564,"-","~",2))-1))</f>
        <v/>
      </c>
      <c r="CG564">
        <f>IF($CE564="","",IFERROR(VLOOKUP($CE564,DECODE!$A$3:$C$8,3,FALSE),"?"))</f>
        <v/>
      </c>
      <c r="CH564">
        <f>IF($CF564="","",IFERROR(VLOOKUP($CE564&amp;"-"&amp;$CF564,DECODE!$E$3:$F$21,2,FALSE),"?"))</f>
        <v/>
      </c>
      <c r="CI564">
        <f>IF($CD564="","",IFERROR(VALUE(RIGHT($CD564,3)),""))</f>
        <v/>
      </c>
      <c r="CJ564">
        <f>IF($Y564="","",IFERROR(IF(ISNUMBER($Y564),$Y564,DATEVALUE(TRIM($Y564))),""))</f>
        <v/>
      </c>
      <c r="CK564">
        <f>IF($CJ564="","",IF(MONTH($CJ564)&gt;=12,"Cold Winter",IF(MONTH($CJ564)&gt;=10,"Post-Monsoon",IF(MONTH($CJ564)&gt;=6,"Hot Humid",IF(MONTH($CJ564)&gt;=3,"Hot Dry","Cold Winter")))))</f>
        <v/>
      </c>
      <c r="CL564">
        <f>IF($CE564="","",IFERROR(VLOOKUP($CE564,DECODE!$A$3:$C$8,2,FALSE),"?"))</f>
        <v/>
      </c>
      <c r="CM564">
        <f>IF($AN564="","",AN564)</f>
        <v/>
      </c>
      <c r="CN564">
        <f>IF($AO564="","",AO564)</f>
        <v/>
      </c>
      <c r="CO564">
        <f>IF($AP564="","",AP564)</f>
        <v/>
      </c>
      <c r="CP564">
        <f>IF($CM564="","",IF($CM564="Aloe Vera Gel","Aloe Vera Gel "&amp;$CO564&amp;"g",CN564&amp;" "&amp;$CO564&amp;"g"))</f>
        <v/>
      </c>
      <c r="CQ564">
        <f>IF($AT564="",0,1)</f>
        <v/>
      </c>
      <c r="CR564">
        <f>IF($CQ564=0,"",AW564)</f>
        <v/>
      </c>
      <c r="CS564">
        <f>IF($CQ564=0,"",AX564)</f>
        <v/>
      </c>
      <c r="CT564">
        <f>IF($CQ564=0,"",AY564)</f>
        <v/>
      </c>
      <c r="CU564">
        <f>IF($CR564="","",IF($CR564="Aloe Vera Gel","Aloe Vera Gel "&amp;$CT564&amp;"g",CS564&amp;" "&amp;$CT564&amp;"g"))</f>
        <v/>
      </c>
      <c r="CV564">
        <f>IF($CQ564=0,"",IF($CP564=$CU564,"Repeat Exact",IF($CT564&gt;$CO564,"Upsized",IF($CT564&lt;$CO564,"Downsized",IF($CM564&lt;&gt;$CR564,"Lateral","Same Size Diff Variant")))))</f>
        <v/>
      </c>
      <c r="CW564">
        <f>IF($CQ564=0,"",AZ564-AQ564)</f>
        <v/>
      </c>
      <c r="CX564">
        <f>IF($CQ564=0,0,IF(CS564=CN564,1,0))</f>
        <v/>
      </c>
      <c r="CY564">
        <f>IF($CQ564=0,0,IF(CR564=CM564,1,0))</f>
        <v/>
      </c>
      <c r="CZ564">
        <f>IF($A564="","",IF(AND(IF(DASHBOARD!$C$4="All",TRUE,$CM564=DASHBOARD!$C$4),IF(DASHBOARD!$C$6="All",TRUE,$CP564=DASHBOARD!$C$6),IF(DASHBOARD!$C$8="All",TRUE,$AF564&gt;=DASHBOARD!$C$8),IF(DASHBOARD!$C$10="All",TRUE,$AF564&lt;=DASHBOARD!$C$10),IF(DASHBOARD!$C$12="All",TRUE,$AH564=VALUE(DASHBOARD!$C$12)),IF(DASHBOARD!$C$14="All",TRUE,$AJ564=DASHBOARD!$C$14)),1,0))</f>
        <v/>
      </c>
    </row>
    <row r="565">
      <c r="A565" t="n">
        <v>248129</v>
      </c>
      <c r="B565" t="inlineStr">
        <is>
          <t>Face Malai</t>
        </is>
      </c>
      <c r="H565" t="inlineStr">
        <is>
          <t>Clove Tea-Tree (Anti-Acne) Face Malai</t>
        </is>
      </c>
      <c r="N565" t="inlineStr">
        <is>
          <t>FC-DM-AA-030</t>
        </is>
      </c>
      <c r="T565" t="inlineStr">
        <is>
          <t>Jul 23, 2024</t>
        </is>
      </c>
      <c r="AE565" t="inlineStr">
        <is>
          <t>Bengaluru</t>
        </is>
      </c>
      <c r="AF565" t="inlineStr">
        <is>
          <t>2024-07</t>
        </is>
      </c>
      <c r="AG565" t="n">
        <v>7</v>
      </c>
      <c r="AH565" t="n">
        <v>1</v>
      </c>
      <c r="AI565" t="n">
        <v>0</v>
      </c>
      <c r="AJ565">
        <f>IF($AE565="","",IFERROR(VLOOKUP(TRIM($AE565),DECODE!$H$3:$I$60,2,FALSE),"Rest of India"))</f>
        <v/>
      </c>
      <c r="AK565">
        <f>IF($N565="","",UPPER(TRIM(LEFT($N565&amp;",",FIND(",",$N565&amp;",")-1))))</f>
        <v/>
      </c>
      <c r="AL565">
        <f>IF($AK565="","",MID($AK565,4,FIND("~",SUBSTITUTE($AK565,"-","~",2))-4))</f>
        <v/>
      </c>
      <c r="AM565">
        <f>IF($AK565="","",MID($AK565,FIND("~",SUBSTITUTE($AK565,"-","~",2))+1,FIND("~",SUBSTITUTE($AK565,"-","~",3))-FIND("~",SUBSTITUTE($AK565,"-","~",2))-1))</f>
        <v/>
      </c>
      <c r="AN565">
        <f>IF($AL565="","",IFERROR(VLOOKUP($AL565,DECODE!$A$3:$C$8,3,FALSE),"?"))</f>
        <v/>
      </c>
      <c r="AO565">
        <f>IF($AM565="","",IFERROR(VLOOKUP($AL565&amp;"-"&amp;$AM565,DECODE!$E$3:$F$21,2,FALSE),"?"))</f>
        <v/>
      </c>
      <c r="AP565">
        <f>IF($AK565="","",IFERROR(VALUE(RIGHT($AK565,3)),""))</f>
        <v/>
      </c>
      <c r="AQ565">
        <f>IF($T565="","",IFERROR(IF(ISNUMBER($T565),$T565,DATEVALUE(TRIM($T565))),""))</f>
        <v/>
      </c>
      <c r="AR565">
        <f>IF($AQ565="","",IF(MONTH($AQ565)&gt;=12,"Cold Winter",IF(MONTH($AQ565)&gt;=10,"Post-Monsoon",IF(MONTH($AQ565)&gt;=6,"Hot Humid",IF(MONTH($AQ565)&gt;=3,"Hot Dry","Cold Winter")))))</f>
        <v/>
      </c>
      <c r="AS565">
        <f>IF($AL565="","",IFERROR(VLOOKUP($AL565,DECODE!$A$3:$C$8,2,FALSE),"?"))</f>
        <v/>
      </c>
      <c r="AT565">
        <f>IF($O565="","",UPPER(TRIM(LEFT($O565&amp;",",FIND(",",$O565&amp;",")-1))))</f>
        <v/>
      </c>
      <c r="AU565">
        <f>IF($AT565="","",MID($AT565,4,FIND("~",SUBSTITUTE($AT565,"-","~",2))-4))</f>
        <v/>
      </c>
      <c r="AV565">
        <f>IF($AT565="","",MID($AT565,FIND("~",SUBSTITUTE($AT565,"-","~",2))+1,FIND("~",SUBSTITUTE($AT565,"-","~",3))-FIND("~",SUBSTITUTE($AT565,"-","~",2))-1))</f>
        <v/>
      </c>
      <c r="AW565">
        <f>IF($AU565="","",IFERROR(VLOOKUP($AU565,DECODE!$A$3:$C$8,3,FALSE),"?"))</f>
        <v/>
      </c>
      <c r="AX565">
        <f>IF($AV565="","",IFERROR(VLOOKUP($AU565&amp;"-"&amp;$AV565,DECODE!$E$3:$F$21,2,FALSE),"?"))</f>
        <v/>
      </c>
      <c r="AY565">
        <f>IF($AT565="","",IFERROR(VALUE(RIGHT($AT565,3)),""))</f>
        <v/>
      </c>
      <c r="AZ565">
        <f>IF($U565="","",IFERROR(IF(ISNUMBER($U565),$U565,DATEVALUE(TRIM($U565))),""))</f>
        <v/>
      </c>
      <c r="BA565">
        <f>IF($AZ565="","",IF(MONTH($AZ565)&gt;=12,"Cold Winter",IF(MONTH($AZ565)&gt;=10,"Post-Monsoon",IF(MONTH($AZ565)&gt;=6,"Hot Humid",IF(MONTH($AZ565)&gt;=3,"Hot Dry","Cold Winter")))))</f>
        <v/>
      </c>
      <c r="BB565">
        <f>IF($AU565="","",IFERROR(VLOOKUP($AU565,DECODE!$A$3:$C$8,2,FALSE),"?"))</f>
        <v/>
      </c>
      <c r="BC565">
        <f>IF($P565="","",UPPER(TRIM(LEFT($P565&amp;",",FIND(",",$P565&amp;",")-1))))</f>
        <v/>
      </c>
      <c r="BD565">
        <f>IF($BC565="","",MID($BC565,4,FIND("~",SUBSTITUTE($BC565,"-","~",2))-4))</f>
        <v/>
      </c>
      <c r="BE565">
        <f>IF($BC565="","",MID($BC565,FIND("~",SUBSTITUTE($BC565,"-","~",2))+1,FIND("~",SUBSTITUTE($BC565,"-","~",3))-FIND("~",SUBSTITUTE($BC565,"-","~",2))-1))</f>
        <v/>
      </c>
      <c r="BF565">
        <f>IF($BD565="","",IFERROR(VLOOKUP($BD565,DECODE!$A$3:$C$8,3,FALSE),"?"))</f>
        <v/>
      </c>
      <c r="BG565">
        <f>IF($BE565="","",IFERROR(VLOOKUP($BD565&amp;"-"&amp;$BE565,DECODE!$E$3:$F$21,2,FALSE),"?"))</f>
        <v/>
      </c>
      <c r="BH565">
        <f>IF($BC565="","",IFERROR(VALUE(RIGHT($BC565,3)),""))</f>
        <v/>
      </c>
      <c r="BI565">
        <f>IF($V565="","",IFERROR(IF(ISNUMBER($V565),$V565,DATEVALUE(TRIM($V565))),""))</f>
        <v/>
      </c>
      <c r="BJ565">
        <f>IF($BI565="","",IF(MONTH($BI565)&gt;=12,"Cold Winter",IF(MONTH($BI565)&gt;=10,"Post-Monsoon",IF(MONTH($BI565)&gt;=6,"Hot Humid",IF(MONTH($BI565)&gt;=3,"Hot Dry","Cold Winter")))))</f>
        <v/>
      </c>
      <c r="BK565">
        <f>IF($BD565="","",IFERROR(VLOOKUP($BD565,DECODE!$A$3:$C$8,2,FALSE),"?"))</f>
        <v/>
      </c>
      <c r="BL565">
        <f>IF($Q565="","",UPPER(TRIM(LEFT($Q565&amp;",",FIND(",",$Q565&amp;",")-1))))</f>
        <v/>
      </c>
      <c r="BM565">
        <f>IF($BL565="","",MID($BL565,4,FIND("~",SUBSTITUTE($BL565,"-","~",2))-4))</f>
        <v/>
      </c>
      <c r="BN565">
        <f>IF($BL565="","",MID($BL565,FIND("~",SUBSTITUTE($BL565,"-","~",2))+1,FIND("~",SUBSTITUTE($BL565,"-","~",3))-FIND("~",SUBSTITUTE($BL565,"-","~",2))-1))</f>
        <v/>
      </c>
      <c r="BO565">
        <f>IF($BM565="","",IFERROR(VLOOKUP($BM565,DECODE!$A$3:$C$8,3,FALSE),"?"))</f>
        <v/>
      </c>
      <c r="BP565">
        <f>IF($BN565="","",IFERROR(VLOOKUP($BM565&amp;"-"&amp;$BN565,DECODE!$E$3:$F$21,2,FALSE),"?"))</f>
        <v/>
      </c>
      <c r="BQ565">
        <f>IF($BL565="","",IFERROR(VALUE(RIGHT($BL565,3)),""))</f>
        <v/>
      </c>
      <c r="BR565">
        <f>IF($W565="","",IFERROR(IF(ISNUMBER($W565),$W565,DATEVALUE(TRIM($W565))),""))</f>
        <v/>
      </c>
      <c r="BS565">
        <f>IF($BR565="","",IF(MONTH($BR565)&gt;=12,"Cold Winter",IF(MONTH($BR565)&gt;=10,"Post-Monsoon",IF(MONTH($BR565)&gt;=6,"Hot Humid",IF(MONTH($BR565)&gt;=3,"Hot Dry","Cold Winter")))))</f>
        <v/>
      </c>
      <c r="BT565">
        <f>IF($BM565="","",IFERROR(VLOOKUP($BM565,DECODE!$A$3:$C$8,2,FALSE),"?"))</f>
        <v/>
      </c>
      <c r="BU565">
        <f>IF($R565="","",UPPER(TRIM(LEFT($R565&amp;",",FIND(",",$R565&amp;",")-1))))</f>
        <v/>
      </c>
      <c r="BV565">
        <f>IF($BU565="","",MID($BU565,4,FIND("~",SUBSTITUTE($BU565,"-","~",2))-4))</f>
        <v/>
      </c>
      <c r="BW565">
        <f>IF($BU565="","",MID($BU565,FIND("~",SUBSTITUTE($BU565,"-","~",2))+1,FIND("~",SUBSTITUTE($BU565,"-","~",3))-FIND("~",SUBSTITUTE($BU565,"-","~",2))-1))</f>
        <v/>
      </c>
      <c r="BX565">
        <f>IF($BV565="","",IFERROR(VLOOKUP($BV565,DECODE!$A$3:$C$8,3,FALSE),"?"))</f>
        <v/>
      </c>
      <c r="BY565">
        <f>IF($BW565="","",IFERROR(VLOOKUP($BV565&amp;"-"&amp;$BW565,DECODE!$E$3:$F$21,2,FALSE),"?"))</f>
        <v/>
      </c>
      <c r="BZ565">
        <f>IF($BU565="","",IFERROR(VALUE(RIGHT($BU565,3)),""))</f>
        <v/>
      </c>
      <c r="CA565">
        <f>IF($X565="","",IFERROR(IF(ISNUMBER($X565),$X565,DATEVALUE(TRIM($X565))),""))</f>
        <v/>
      </c>
      <c r="CB565">
        <f>IF($CA565="","",IF(MONTH($CA565)&gt;=12,"Cold Winter",IF(MONTH($CA565)&gt;=10,"Post-Monsoon",IF(MONTH($CA565)&gt;=6,"Hot Humid",IF(MONTH($CA565)&gt;=3,"Hot Dry","Cold Winter")))))</f>
        <v/>
      </c>
      <c r="CC565">
        <f>IF($BV565="","",IFERROR(VLOOKUP($BV565,DECODE!$A$3:$C$8,2,FALSE),"?"))</f>
        <v/>
      </c>
      <c r="CD565">
        <f>IF($S565="","",UPPER(TRIM(LEFT($S565&amp;",",FIND(",",$S565&amp;",")-1))))</f>
        <v/>
      </c>
      <c r="CE565">
        <f>IF($CD565="","",MID($CD565,4,FIND("~",SUBSTITUTE($CD565,"-","~",2))-4))</f>
        <v/>
      </c>
      <c r="CF565">
        <f>IF($CD565="","",MID($CD565,FIND("~",SUBSTITUTE($CD565,"-","~",2))+1,FIND("~",SUBSTITUTE($CD565,"-","~",3))-FIND("~",SUBSTITUTE($CD565,"-","~",2))-1))</f>
        <v/>
      </c>
      <c r="CG565">
        <f>IF($CE565="","",IFERROR(VLOOKUP($CE565,DECODE!$A$3:$C$8,3,FALSE),"?"))</f>
        <v/>
      </c>
      <c r="CH565">
        <f>IF($CF565="","",IFERROR(VLOOKUP($CE565&amp;"-"&amp;$CF565,DECODE!$E$3:$F$21,2,FALSE),"?"))</f>
        <v/>
      </c>
      <c r="CI565">
        <f>IF($CD565="","",IFERROR(VALUE(RIGHT($CD565,3)),""))</f>
        <v/>
      </c>
      <c r="CJ565">
        <f>IF($Y565="","",IFERROR(IF(ISNUMBER($Y565),$Y565,DATEVALUE(TRIM($Y565))),""))</f>
        <v/>
      </c>
      <c r="CK565">
        <f>IF($CJ565="","",IF(MONTH($CJ565)&gt;=12,"Cold Winter",IF(MONTH($CJ565)&gt;=10,"Post-Monsoon",IF(MONTH($CJ565)&gt;=6,"Hot Humid",IF(MONTH($CJ565)&gt;=3,"Hot Dry","Cold Winter")))))</f>
        <v/>
      </c>
      <c r="CL565">
        <f>IF($CE565="","",IFERROR(VLOOKUP($CE565,DECODE!$A$3:$C$8,2,FALSE),"?"))</f>
        <v/>
      </c>
      <c r="CM565">
        <f>IF($AN565="","",AN565)</f>
        <v/>
      </c>
      <c r="CN565">
        <f>IF($AO565="","",AO565)</f>
        <v/>
      </c>
      <c r="CO565">
        <f>IF($AP565="","",AP565)</f>
        <v/>
      </c>
      <c r="CP565">
        <f>IF($CM565="","",IF($CM565="Aloe Vera Gel","Aloe Vera Gel "&amp;$CO565&amp;"g",CN565&amp;" "&amp;$CO565&amp;"g"))</f>
        <v/>
      </c>
      <c r="CQ565">
        <f>IF($AT565="",0,1)</f>
        <v/>
      </c>
      <c r="CR565">
        <f>IF($CQ565=0,"",AW565)</f>
        <v/>
      </c>
      <c r="CS565">
        <f>IF($CQ565=0,"",AX565)</f>
        <v/>
      </c>
      <c r="CT565">
        <f>IF($CQ565=0,"",AY565)</f>
        <v/>
      </c>
      <c r="CU565">
        <f>IF($CR565="","",IF($CR565="Aloe Vera Gel","Aloe Vera Gel "&amp;$CT565&amp;"g",CS565&amp;" "&amp;$CT565&amp;"g"))</f>
        <v/>
      </c>
      <c r="CV565">
        <f>IF($CQ565=0,"",IF($CP565=$CU565,"Repeat Exact",IF($CT565&gt;$CO565,"Upsized",IF($CT565&lt;$CO565,"Downsized",IF($CM565&lt;&gt;$CR565,"Lateral","Same Size Diff Variant")))))</f>
        <v/>
      </c>
      <c r="CW565">
        <f>IF($CQ565=0,"",AZ565-AQ565)</f>
        <v/>
      </c>
      <c r="CX565">
        <f>IF($CQ565=0,0,IF(CS565=CN565,1,0))</f>
        <v/>
      </c>
      <c r="CY565">
        <f>IF($CQ565=0,0,IF(CR565=CM565,1,0))</f>
        <v/>
      </c>
      <c r="CZ565">
        <f>IF($A565="","",IF(AND(IF(DASHBOARD!$C$4="All",TRUE,$CM565=DASHBOARD!$C$4),IF(DASHBOARD!$C$6="All",TRUE,$CP565=DASHBOARD!$C$6),IF(DASHBOARD!$C$8="All",TRUE,$AF565&gt;=DASHBOARD!$C$8),IF(DASHBOARD!$C$10="All",TRUE,$AF565&lt;=DASHBOARD!$C$10),IF(DASHBOARD!$C$12="All",TRUE,$AH565=VALUE(DASHBOARD!$C$12)),IF(DASHBOARD!$C$14="All",TRUE,$AJ565=DASHBOARD!$C$14)),1,0))</f>
        <v/>
      </c>
    </row>
    <row r="566">
      <c r="A566" t="n">
        <v>248328</v>
      </c>
      <c r="B566" t="inlineStr">
        <is>
          <t>Face Malai</t>
        </is>
      </c>
      <c r="H566" t="inlineStr">
        <is>
          <t>Flax Walnut (Cold) 35+ Face Malai</t>
        </is>
      </c>
      <c r="N566" t="inlineStr">
        <is>
          <t>FC-CWDM-FW-030</t>
        </is>
      </c>
      <c r="T566" t="inlineStr">
        <is>
          <t>Sep 23, 2024</t>
        </is>
      </c>
      <c r="AE566" t="inlineStr">
        <is>
          <t>New Delhi</t>
        </is>
      </c>
      <c r="AF566" t="inlineStr">
        <is>
          <t>2024-09</t>
        </is>
      </c>
      <c r="AG566" t="n">
        <v>9</v>
      </c>
      <c r="AH566" t="n">
        <v>1</v>
      </c>
      <c r="AI566" t="n">
        <v>0</v>
      </c>
      <c r="AJ566">
        <f>IF($AE566="","",IFERROR(VLOOKUP(TRIM($AE566),DECODE!$H$3:$I$60,2,FALSE),"Rest of India"))</f>
        <v/>
      </c>
      <c r="AK566">
        <f>IF($N566="","",UPPER(TRIM(LEFT($N566&amp;",",FIND(",",$N566&amp;",")-1))))</f>
        <v/>
      </c>
      <c r="AL566">
        <f>IF($AK566="","",MID($AK566,4,FIND("~",SUBSTITUTE($AK566,"-","~",2))-4))</f>
        <v/>
      </c>
      <c r="AM566">
        <f>IF($AK566="","",MID($AK566,FIND("~",SUBSTITUTE($AK566,"-","~",2))+1,FIND("~",SUBSTITUTE($AK566,"-","~",3))-FIND("~",SUBSTITUTE($AK566,"-","~",2))-1))</f>
        <v/>
      </c>
      <c r="AN566">
        <f>IF($AL566="","",IFERROR(VLOOKUP($AL566,DECODE!$A$3:$C$8,3,FALSE),"?"))</f>
        <v/>
      </c>
      <c r="AO566">
        <f>IF($AM566="","",IFERROR(VLOOKUP($AL566&amp;"-"&amp;$AM566,DECODE!$E$3:$F$21,2,FALSE),"?"))</f>
        <v/>
      </c>
      <c r="AP566">
        <f>IF($AK566="","",IFERROR(VALUE(RIGHT($AK566,3)),""))</f>
        <v/>
      </c>
      <c r="AQ566">
        <f>IF($T566="","",IFERROR(IF(ISNUMBER($T566),$T566,DATEVALUE(TRIM($T566))),""))</f>
        <v/>
      </c>
      <c r="AR566">
        <f>IF($AQ566="","",IF(MONTH($AQ566)&gt;=12,"Cold Winter",IF(MONTH($AQ566)&gt;=10,"Post-Monsoon",IF(MONTH($AQ566)&gt;=6,"Hot Humid",IF(MONTH($AQ566)&gt;=3,"Hot Dry","Cold Winter")))))</f>
        <v/>
      </c>
      <c r="AS566">
        <f>IF($AL566="","",IFERROR(VLOOKUP($AL566,DECODE!$A$3:$C$8,2,FALSE),"?"))</f>
        <v/>
      </c>
      <c r="AT566">
        <f>IF($O566="","",UPPER(TRIM(LEFT($O566&amp;",",FIND(",",$O566&amp;",")-1))))</f>
        <v/>
      </c>
      <c r="AU566">
        <f>IF($AT566="","",MID($AT566,4,FIND("~",SUBSTITUTE($AT566,"-","~",2))-4))</f>
        <v/>
      </c>
      <c r="AV566">
        <f>IF($AT566="","",MID($AT566,FIND("~",SUBSTITUTE($AT566,"-","~",2))+1,FIND("~",SUBSTITUTE($AT566,"-","~",3))-FIND("~",SUBSTITUTE($AT566,"-","~",2))-1))</f>
        <v/>
      </c>
      <c r="AW566">
        <f>IF($AU566="","",IFERROR(VLOOKUP($AU566,DECODE!$A$3:$C$8,3,FALSE),"?"))</f>
        <v/>
      </c>
      <c r="AX566">
        <f>IF($AV566="","",IFERROR(VLOOKUP($AU566&amp;"-"&amp;$AV566,DECODE!$E$3:$F$21,2,FALSE),"?"))</f>
        <v/>
      </c>
      <c r="AY566">
        <f>IF($AT566="","",IFERROR(VALUE(RIGHT($AT566,3)),""))</f>
        <v/>
      </c>
      <c r="AZ566">
        <f>IF($U566="","",IFERROR(IF(ISNUMBER($U566),$U566,DATEVALUE(TRIM($U566))),""))</f>
        <v/>
      </c>
      <c r="BA566">
        <f>IF($AZ566="","",IF(MONTH($AZ566)&gt;=12,"Cold Winter",IF(MONTH($AZ566)&gt;=10,"Post-Monsoon",IF(MONTH($AZ566)&gt;=6,"Hot Humid",IF(MONTH($AZ566)&gt;=3,"Hot Dry","Cold Winter")))))</f>
        <v/>
      </c>
      <c r="BB566">
        <f>IF($AU566="","",IFERROR(VLOOKUP($AU566,DECODE!$A$3:$C$8,2,FALSE),"?"))</f>
        <v/>
      </c>
      <c r="BC566">
        <f>IF($P566="","",UPPER(TRIM(LEFT($P566&amp;",",FIND(",",$P566&amp;",")-1))))</f>
        <v/>
      </c>
      <c r="BD566">
        <f>IF($BC566="","",MID($BC566,4,FIND("~",SUBSTITUTE($BC566,"-","~",2))-4))</f>
        <v/>
      </c>
      <c r="BE566">
        <f>IF($BC566="","",MID($BC566,FIND("~",SUBSTITUTE($BC566,"-","~",2))+1,FIND("~",SUBSTITUTE($BC566,"-","~",3))-FIND("~",SUBSTITUTE($BC566,"-","~",2))-1))</f>
        <v/>
      </c>
      <c r="BF566">
        <f>IF($BD566="","",IFERROR(VLOOKUP($BD566,DECODE!$A$3:$C$8,3,FALSE),"?"))</f>
        <v/>
      </c>
      <c r="BG566">
        <f>IF($BE566="","",IFERROR(VLOOKUP($BD566&amp;"-"&amp;$BE566,DECODE!$E$3:$F$21,2,FALSE),"?"))</f>
        <v/>
      </c>
      <c r="BH566">
        <f>IF($BC566="","",IFERROR(VALUE(RIGHT($BC566,3)),""))</f>
        <v/>
      </c>
      <c r="BI566">
        <f>IF($V566="","",IFERROR(IF(ISNUMBER($V566),$V566,DATEVALUE(TRIM($V566))),""))</f>
        <v/>
      </c>
      <c r="BJ566">
        <f>IF($BI566="","",IF(MONTH($BI566)&gt;=12,"Cold Winter",IF(MONTH($BI566)&gt;=10,"Post-Monsoon",IF(MONTH($BI566)&gt;=6,"Hot Humid",IF(MONTH($BI566)&gt;=3,"Hot Dry","Cold Winter")))))</f>
        <v/>
      </c>
      <c r="BK566">
        <f>IF($BD566="","",IFERROR(VLOOKUP($BD566,DECODE!$A$3:$C$8,2,FALSE),"?"))</f>
        <v/>
      </c>
      <c r="BL566">
        <f>IF($Q566="","",UPPER(TRIM(LEFT($Q566&amp;",",FIND(",",$Q566&amp;",")-1))))</f>
        <v/>
      </c>
      <c r="BM566">
        <f>IF($BL566="","",MID($BL566,4,FIND("~",SUBSTITUTE($BL566,"-","~",2))-4))</f>
        <v/>
      </c>
      <c r="BN566">
        <f>IF($BL566="","",MID($BL566,FIND("~",SUBSTITUTE($BL566,"-","~",2))+1,FIND("~",SUBSTITUTE($BL566,"-","~",3))-FIND("~",SUBSTITUTE($BL566,"-","~",2))-1))</f>
        <v/>
      </c>
      <c r="BO566">
        <f>IF($BM566="","",IFERROR(VLOOKUP($BM566,DECODE!$A$3:$C$8,3,FALSE),"?"))</f>
        <v/>
      </c>
      <c r="BP566">
        <f>IF($BN566="","",IFERROR(VLOOKUP($BM566&amp;"-"&amp;$BN566,DECODE!$E$3:$F$21,2,FALSE),"?"))</f>
        <v/>
      </c>
      <c r="BQ566">
        <f>IF($BL566="","",IFERROR(VALUE(RIGHT($BL566,3)),""))</f>
        <v/>
      </c>
      <c r="BR566">
        <f>IF($W566="","",IFERROR(IF(ISNUMBER($W566),$W566,DATEVALUE(TRIM($W566))),""))</f>
        <v/>
      </c>
      <c r="BS566">
        <f>IF($BR566="","",IF(MONTH($BR566)&gt;=12,"Cold Winter",IF(MONTH($BR566)&gt;=10,"Post-Monsoon",IF(MONTH($BR566)&gt;=6,"Hot Humid",IF(MONTH($BR566)&gt;=3,"Hot Dry","Cold Winter")))))</f>
        <v/>
      </c>
      <c r="BT566">
        <f>IF($BM566="","",IFERROR(VLOOKUP($BM566,DECODE!$A$3:$C$8,2,FALSE),"?"))</f>
        <v/>
      </c>
      <c r="BU566">
        <f>IF($R566="","",UPPER(TRIM(LEFT($R566&amp;",",FIND(",",$R566&amp;",")-1))))</f>
        <v/>
      </c>
      <c r="BV566">
        <f>IF($BU566="","",MID($BU566,4,FIND("~",SUBSTITUTE($BU566,"-","~",2))-4))</f>
        <v/>
      </c>
      <c r="BW566">
        <f>IF($BU566="","",MID($BU566,FIND("~",SUBSTITUTE($BU566,"-","~",2))+1,FIND("~",SUBSTITUTE($BU566,"-","~",3))-FIND("~",SUBSTITUTE($BU566,"-","~",2))-1))</f>
        <v/>
      </c>
      <c r="BX566">
        <f>IF($BV566="","",IFERROR(VLOOKUP($BV566,DECODE!$A$3:$C$8,3,FALSE),"?"))</f>
        <v/>
      </c>
      <c r="BY566">
        <f>IF($BW566="","",IFERROR(VLOOKUP($BV566&amp;"-"&amp;$BW566,DECODE!$E$3:$F$21,2,FALSE),"?"))</f>
        <v/>
      </c>
      <c r="BZ566">
        <f>IF($BU566="","",IFERROR(VALUE(RIGHT($BU566,3)),""))</f>
        <v/>
      </c>
      <c r="CA566">
        <f>IF($X566="","",IFERROR(IF(ISNUMBER($X566),$X566,DATEVALUE(TRIM($X566))),""))</f>
        <v/>
      </c>
      <c r="CB566">
        <f>IF($CA566="","",IF(MONTH($CA566)&gt;=12,"Cold Winter",IF(MONTH($CA566)&gt;=10,"Post-Monsoon",IF(MONTH($CA566)&gt;=6,"Hot Humid",IF(MONTH($CA566)&gt;=3,"Hot Dry","Cold Winter")))))</f>
        <v/>
      </c>
      <c r="CC566">
        <f>IF($BV566="","",IFERROR(VLOOKUP($BV566,DECODE!$A$3:$C$8,2,FALSE),"?"))</f>
        <v/>
      </c>
      <c r="CD566">
        <f>IF($S566="","",UPPER(TRIM(LEFT($S566&amp;",",FIND(",",$S566&amp;",")-1))))</f>
        <v/>
      </c>
      <c r="CE566">
        <f>IF($CD566="","",MID($CD566,4,FIND("~",SUBSTITUTE($CD566,"-","~",2))-4))</f>
        <v/>
      </c>
      <c r="CF566">
        <f>IF($CD566="","",MID($CD566,FIND("~",SUBSTITUTE($CD566,"-","~",2))+1,FIND("~",SUBSTITUTE($CD566,"-","~",3))-FIND("~",SUBSTITUTE($CD566,"-","~",2))-1))</f>
        <v/>
      </c>
      <c r="CG566">
        <f>IF($CE566="","",IFERROR(VLOOKUP($CE566,DECODE!$A$3:$C$8,3,FALSE),"?"))</f>
        <v/>
      </c>
      <c r="CH566">
        <f>IF($CF566="","",IFERROR(VLOOKUP($CE566&amp;"-"&amp;$CF566,DECODE!$E$3:$F$21,2,FALSE),"?"))</f>
        <v/>
      </c>
      <c r="CI566">
        <f>IF($CD566="","",IFERROR(VALUE(RIGHT($CD566,3)),""))</f>
        <v/>
      </c>
      <c r="CJ566">
        <f>IF($Y566="","",IFERROR(IF(ISNUMBER($Y566),$Y566,DATEVALUE(TRIM($Y566))),""))</f>
        <v/>
      </c>
      <c r="CK566">
        <f>IF($CJ566="","",IF(MONTH($CJ566)&gt;=12,"Cold Winter",IF(MONTH($CJ566)&gt;=10,"Post-Monsoon",IF(MONTH($CJ566)&gt;=6,"Hot Humid",IF(MONTH($CJ566)&gt;=3,"Hot Dry","Cold Winter")))))</f>
        <v/>
      </c>
      <c r="CL566">
        <f>IF($CE566="","",IFERROR(VLOOKUP($CE566,DECODE!$A$3:$C$8,2,FALSE),"?"))</f>
        <v/>
      </c>
      <c r="CM566">
        <f>IF($AN566="","",AN566)</f>
        <v/>
      </c>
      <c r="CN566">
        <f>IF($AO566="","",AO566)</f>
        <v/>
      </c>
      <c r="CO566">
        <f>IF($AP566="","",AP566)</f>
        <v/>
      </c>
      <c r="CP566">
        <f>IF($CM566="","",IF($CM566="Aloe Vera Gel","Aloe Vera Gel "&amp;$CO566&amp;"g",CN566&amp;" "&amp;$CO566&amp;"g"))</f>
        <v/>
      </c>
      <c r="CQ566">
        <f>IF($AT566="",0,1)</f>
        <v/>
      </c>
      <c r="CR566">
        <f>IF($CQ566=0,"",AW566)</f>
        <v/>
      </c>
      <c r="CS566">
        <f>IF($CQ566=0,"",AX566)</f>
        <v/>
      </c>
      <c r="CT566">
        <f>IF($CQ566=0,"",AY566)</f>
        <v/>
      </c>
      <c r="CU566">
        <f>IF($CR566="","",IF($CR566="Aloe Vera Gel","Aloe Vera Gel "&amp;$CT566&amp;"g",CS566&amp;" "&amp;$CT566&amp;"g"))</f>
        <v/>
      </c>
      <c r="CV566">
        <f>IF($CQ566=0,"",IF($CP566=$CU566,"Repeat Exact",IF($CT566&gt;$CO566,"Upsized",IF($CT566&lt;$CO566,"Downsized",IF($CM566&lt;&gt;$CR566,"Lateral","Same Size Diff Variant")))))</f>
        <v/>
      </c>
      <c r="CW566">
        <f>IF($CQ566=0,"",AZ566-AQ566)</f>
        <v/>
      </c>
      <c r="CX566">
        <f>IF($CQ566=0,0,IF(CS566=CN566,1,0))</f>
        <v/>
      </c>
      <c r="CY566">
        <f>IF($CQ566=0,0,IF(CR566=CM566,1,0))</f>
        <v/>
      </c>
      <c r="CZ566">
        <f>IF($A566="","",IF(AND(IF(DASHBOARD!$C$4="All",TRUE,$CM566=DASHBOARD!$C$4),IF(DASHBOARD!$C$6="All",TRUE,$CP566=DASHBOARD!$C$6),IF(DASHBOARD!$C$8="All",TRUE,$AF566&gt;=DASHBOARD!$C$8),IF(DASHBOARD!$C$10="All",TRUE,$AF566&lt;=DASHBOARD!$C$10),IF(DASHBOARD!$C$12="All",TRUE,$AH566=VALUE(DASHBOARD!$C$12)),IF(DASHBOARD!$C$14="All",TRUE,$AJ566=DASHBOARD!$C$14)),1,0))</f>
        <v/>
      </c>
    </row>
    <row r="567">
      <c r="A567" t="n">
        <v>248433</v>
      </c>
      <c r="B567" t="inlineStr">
        <is>
          <t>Face Malai</t>
        </is>
      </c>
      <c r="H567" t="inlineStr">
        <is>
          <t>Cocoa Mogra (Overnight) Face Malai - 30g</t>
        </is>
      </c>
      <c r="N567" t="inlineStr">
        <is>
          <t>FC-DM-NR-030</t>
        </is>
      </c>
      <c r="T567" t="inlineStr">
        <is>
          <t>Apr 5, 2025</t>
        </is>
      </c>
      <c r="AE567" t="inlineStr">
        <is>
          <t>Goa</t>
        </is>
      </c>
      <c r="AF567" t="inlineStr">
        <is>
          <t>2025-04</t>
        </is>
      </c>
      <c r="AG567" t="n">
        <v>4</v>
      </c>
      <c r="AH567" t="n">
        <v>1</v>
      </c>
      <c r="AI567" t="n">
        <v>0</v>
      </c>
      <c r="AJ567">
        <f>IF($AE567="","",IFERROR(VLOOKUP(TRIM($AE567),DECODE!$H$3:$I$60,2,FALSE),"Rest of India"))</f>
        <v/>
      </c>
      <c r="AK567">
        <f>IF($N567="","",UPPER(TRIM(LEFT($N567&amp;",",FIND(",",$N567&amp;",")-1))))</f>
        <v/>
      </c>
      <c r="AL567">
        <f>IF($AK567="","",MID($AK567,4,FIND("~",SUBSTITUTE($AK567,"-","~",2))-4))</f>
        <v/>
      </c>
      <c r="AM567">
        <f>IF($AK567="","",MID($AK567,FIND("~",SUBSTITUTE($AK567,"-","~",2))+1,FIND("~",SUBSTITUTE($AK567,"-","~",3))-FIND("~",SUBSTITUTE($AK567,"-","~",2))-1))</f>
        <v/>
      </c>
      <c r="AN567">
        <f>IF($AL567="","",IFERROR(VLOOKUP($AL567,DECODE!$A$3:$C$8,3,FALSE),"?"))</f>
        <v/>
      </c>
      <c r="AO567">
        <f>IF($AM567="","",IFERROR(VLOOKUP($AL567&amp;"-"&amp;$AM567,DECODE!$E$3:$F$21,2,FALSE),"?"))</f>
        <v/>
      </c>
      <c r="AP567">
        <f>IF($AK567="","",IFERROR(VALUE(RIGHT($AK567,3)),""))</f>
        <v/>
      </c>
      <c r="AQ567">
        <f>IF($T567="","",IFERROR(IF(ISNUMBER($T567),$T567,DATEVALUE(TRIM($T567))),""))</f>
        <v/>
      </c>
      <c r="AR567">
        <f>IF($AQ567="","",IF(MONTH($AQ567)&gt;=12,"Cold Winter",IF(MONTH($AQ567)&gt;=10,"Post-Monsoon",IF(MONTH($AQ567)&gt;=6,"Hot Humid",IF(MONTH($AQ567)&gt;=3,"Hot Dry","Cold Winter")))))</f>
        <v/>
      </c>
      <c r="AS567">
        <f>IF($AL567="","",IFERROR(VLOOKUP($AL567,DECODE!$A$3:$C$8,2,FALSE),"?"))</f>
        <v/>
      </c>
      <c r="AT567">
        <f>IF($O567="","",UPPER(TRIM(LEFT($O567&amp;",",FIND(",",$O567&amp;",")-1))))</f>
        <v/>
      </c>
      <c r="AU567">
        <f>IF($AT567="","",MID($AT567,4,FIND("~",SUBSTITUTE($AT567,"-","~",2))-4))</f>
        <v/>
      </c>
      <c r="AV567">
        <f>IF($AT567="","",MID($AT567,FIND("~",SUBSTITUTE($AT567,"-","~",2))+1,FIND("~",SUBSTITUTE($AT567,"-","~",3))-FIND("~",SUBSTITUTE($AT567,"-","~",2))-1))</f>
        <v/>
      </c>
      <c r="AW567">
        <f>IF($AU567="","",IFERROR(VLOOKUP($AU567,DECODE!$A$3:$C$8,3,FALSE),"?"))</f>
        <v/>
      </c>
      <c r="AX567">
        <f>IF($AV567="","",IFERROR(VLOOKUP($AU567&amp;"-"&amp;$AV567,DECODE!$E$3:$F$21,2,FALSE),"?"))</f>
        <v/>
      </c>
      <c r="AY567">
        <f>IF($AT567="","",IFERROR(VALUE(RIGHT($AT567,3)),""))</f>
        <v/>
      </c>
      <c r="AZ567">
        <f>IF($U567="","",IFERROR(IF(ISNUMBER($U567),$U567,DATEVALUE(TRIM($U567))),""))</f>
        <v/>
      </c>
      <c r="BA567">
        <f>IF($AZ567="","",IF(MONTH($AZ567)&gt;=12,"Cold Winter",IF(MONTH($AZ567)&gt;=10,"Post-Monsoon",IF(MONTH($AZ567)&gt;=6,"Hot Humid",IF(MONTH($AZ567)&gt;=3,"Hot Dry","Cold Winter")))))</f>
        <v/>
      </c>
      <c r="BB567">
        <f>IF($AU567="","",IFERROR(VLOOKUP($AU567,DECODE!$A$3:$C$8,2,FALSE),"?"))</f>
        <v/>
      </c>
      <c r="BC567">
        <f>IF($P567="","",UPPER(TRIM(LEFT($P567&amp;",",FIND(",",$P567&amp;",")-1))))</f>
        <v/>
      </c>
      <c r="BD567">
        <f>IF($BC567="","",MID($BC567,4,FIND("~",SUBSTITUTE($BC567,"-","~",2))-4))</f>
        <v/>
      </c>
      <c r="BE567">
        <f>IF($BC567="","",MID($BC567,FIND("~",SUBSTITUTE($BC567,"-","~",2))+1,FIND("~",SUBSTITUTE($BC567,"-","~",3))-FIND("~",SUBSTITUTE($BC567,"-","~",2))-1))</f>
        <v/>
      </c>
      <c r="BF567">
        <f>IF($BD567="","",IFERROR(VLOOKUP($BD567,DECODE!$A$3:$C$8,3,FALSE),"?"))</f>
        <v/>
      </c>
      <c r="BG567">
        <f>IF($BE567="","",IFERROR(VLOOKUP($BD567&amp;"-"&amp;$BE567,DECODE!$E$3:$F$21,2,FALSE),"?"))</f>
        <v/>
      </c>
      <c r="BH567">
        <f>IF($BC567="","",IFERROR(VALUE(RIGHT($BC567,3)),""))</f>
        <v/>
      </c>
      <c r="BI567">
        <f>IF($V567="","",IFERROR(IF(ISNUMBER($V567),$V567,DATEVALUE(TRIM($V567))),""))</f>
        <v/>
      </c>
      <c r="BJ567">
        <f>IF($BI567="","",IF(MONTH($BI567)&gt;=12,"Cold Winter",IF(MONTH($BI567)&gt;=10,"Post-Monsoon",IF(MONTH($BI567)&gt;=6,"Hot Humid",IF(MONTH($BI567)&gt;=3,"Hot Dry","Cold Winter")))))</f>
        <v/>
      </c>
      <c r="BK567">
        <f>IF($BD567="","",IFERROR(VLOOKUP($BD567,DECODE!$A$3:$C$8,2,FALSE),"?"))</f>
        <v/>
      </c>
      <c r="BL567">
        <f>IF($Q567="","",UPPER(TRIM(LEFT($Q567&amp;",",FIND(",",$Q567&amp;",")-1))))</f>
        <v/>
      </c>
      <c r="BM567">
        <f>IF($BL567="","",MID($BL567,4,FIND("~",SUBSTITUTE($BL567,"-","~",2))-4))</f>
        <v/>
      </c>
      <c r="BN567">
        <f>IF($BL567="","",MID($BL567,FIND("~",SUBSTITUTE($BL567,"-","~",2))+1,FIND("~",SUBSTITUTE($BL567,"-","~",3))-FIND("~",SUBSTITUTE($BL567,"-","~",2))-1))</f>
        <v/>
      </c>
      <c r="BO567">
        <f>IF($BM567="","",IFERROR(VLOOKUP($BM567,DECODE!$A$3:$C$8,3,FALSE),"?"))</f>
        <v/>
      </c>
      <c r="BP567">
        <f>IF($BN567="","",IFERROR(VLOOKUP($BM567&amp;"-"&amp;$BN567,DECODE!$E$3:$F$21,2,FALSE),"?"))</f>
        <v/>
      </c>
      <c r="BQ567">
        <f>IF($BL567="","",IFERROR(VALUE(RIGHT($BL567,3)),""))</f>
        <v/>
      </c>
      <c r="BR567">
        <f>IF($W567="","",IFERROR(IF(ISNUMBER($W567),$W567,DATEVALUE(TRIM($W567))),""))</f>
        <v/>
      </c>
      <c r="BS567">
        <f>IF($BR567="","",IF(MONTH($BR567)&gt;=12,"Cold Winter",IF(MONTH($BR567)&gt;=10,"Post-Monsoon",IF(MONTH($BR567)&gt;=6,"Hot Humid",IF(MONTH($BR567)&gt;=3,"Hot Dry","Cold Winter")))))</f>
        <v/>
      </c>
      <c r="BT567">
        <f>IF($BM567="","",IFERROR(VLOOKUP($BM567,DECODE!$A$3:$C$8,2,FALSE),"?"))</f>
        <v/>
      </c>
      <c r="BU567">
        <f>IF($R567="","",UPPER(TRIM(LEFT($R567&amp;",",FIND(",",$R567&amp;",")-1))))</f>
        <v/>
      </c>
      <c r="BV567">
        <f>IF($BU567="","",MID($BU567,4,FIND("~",SUBSTITUTE($BU567,"-","~",2))-4))</f>
        <v/>
      </c>
      <c r="BW567">
        <f>IF($BU567="","",MID($BU567,FIND("~",SUBSTITUTE($BU567,"-","~",2))+1,FIND("~",SUBSTITUTE($BU567,"-","~",3))-FIND("~",SUBSTITUTE($BU567,"-","~",2))-1))</f>
        <v/>
      </c>
      <c r="BX567">
        <f>IF($BV567="","",IFERROR(VLOOKUP($BV567,DECODE!$A$3:$C$8,3,FALSE),"?"))</f>
        <v/>
      </c>
      <c r="BY567">
        <f>IF($BW567="","",IFERROR(VLOOKUP($BV567&amp;"-"&amp;$BW567,DECODE!$E$3:$F$21,2,FALSE),"?"))</f>
        <v/>
      </c>
      <c r="BZ567">
        <f>IF($BU567="","",IFERROR(VALUE(RIGHT($BU567,3)),""))</f>
        <v/>
      </c>
      <c r="CA567">
        <f>IF($X567="","",IFERROR(IF(ISNUMBER($X567),$X567,DATEVALUE(TRIM($X567))),""))</f>
        <v/>
      </c>
      <c r="CB567">
        <f>IF($CA567="","",IF(MONTH($CA567)&gt;=12,"Cold Winter",IF(MONTH($CA567)&gt;=10,"Post-Monsoon",IF(MONTH($CA567)&gt;=6,"Hot Humid",IF(MONTH($CA567)&gt;=3,"Hot Dry","Cold Winter")))))</f>
        <v/>
      </c>
      <c r="CC567">
        <f>IF($BV567="","",IFERROR(VLOOKUP($BV567,DECODE!$A$3:$C$8,2,FALSE),"?"))</f>
        <v/>
      </c>
      <c r="CD567">
        <f>IF($S567="","",UPPER(TRIM(LEFT($S567&amp;",",FIND(",",$S567&amp;",")-1))))</f>
        <v/>
      </c>
      <c r="CE567">
        <f>IF($CD567="","",MID($CD567,4,FIND("~",SUBSTITUTE($CD567,"-","~",2))-4))</f>
        <v/>
      </c>
      <c r="CF567">
        <f>IF($CD567="","",MID($CD567,FIND("~",SUBSTITUTE($CD567,"-","~",2))+1,FIND("~",SUBSTITUTE($CD567,"-","~",3))-FIND("~",SUBSTITUTE($CD567,"-","~",2))-1))</f>
        <v/>
      </c>
      <c r="CG567">
        <f>IF($CE567="","",IFERROR(VLOOKUP($CE567,DECODE!$A$3:$C$8,3,FALSE),"?"))</f>
        <v/>
      </c>
      <c r="CH567">
        <f>IF($CF567="","",IFERROR(VLOOKUP($CE567&amp;"-"&amp;$CF567,DECODE!$E$3:$F$21,2,FALSE),"?"))</f>
        <v/>
      </c>
      <c r="CI567">
        <f>IF($CD567="","",IFERROR(VALUE(RIGHT($CD567,3)),""))</f>
        <v/>
      </c>
      <c r="CJ567">
        <f>IF($Y567="","",IFERROR(IF(ISNUMBER($Y567),$Y567,DATEVALUE(TRIM($Y567))),""))</f>
        <v/>
      </c>
      <c r="CK567">
        <f>IF($CJ567="","",IF(MONTH($CJ567)&gt;=12,"Cold Winter",IF(MONTH($CJ567)&gt;=10,"Post-Monsoon",IF(MONTH($CJ567)&gt;=6,"Hot Humid",IF(MONTH($CJ567)&gt;=3,"Hot Dry","Cold Winter")))))</f>
        <v/>
      </c>
      <c r="CL567">
        <f>IF($CE567="","",IFERROR(VLOOKUP($CE567,DECODE!$A$3:$C$8,2,FALSE),"?"))</f>
        <v/>
      </c>
      <c r="CM567">
        <f>IF($AN567="","",AN567)</f>
        <v/>
      </c>
      <c r="CN567">
        <f>IF($AO567="","",AO567)</f>
        <v/>
      </c>
      <c r="CO567">
        <f>IF($AP567="","",AP567)</f>
        <v/>
      </c>
      <c r="CP567">
        <f>IF($CM567="","",IF($CM567="Aloe Vera Gel","Aloe Vera Gel "&amp;$CO567&amp;"g",CN567&amp;" "&amp;$CO567&amp;"g"))</f>
        <v/>
      </c>
      <c r="CQ567">
        <f>IF($AT567="",0,1)</f>
        <v/>
      </c>
      <c r="CR567">
        <f>IF($CQ567=0,"",AW567)</f>
        <v/>
      </c>
      <c r="CS567">
        <f>IF($CQ567=0,"",AX567)</f>
        <v/>
      </c>
      <c r="CT567">
        <f>IF($CQ567=0,"",AY567)</f>
        <v/>
      </c>
      <c r="CU567">
        <f>IF($CR567="","",IF($CR567="Aloe Vera Gel","Aloe Vera Gel "&amp;$CT567&amp;"g",CS567&amp;" "&amp;$CT567&amp;"g"))</f>
        <v/>
      </c>
      <c r="CV567">
        <f>IF($CQ567=0,"",IF($CP567=$CU567,"Repeat Exact",IF($CT567&gt;$CO567,"Upsized",IF($CT567&lt;$CO567,"Downsized",IF($CM567&lt;&gt;$CR567,"Lateral","Same Size Diff Variant")))))</f>
        <v/>
      </c>
      <c r="CW567">
        <f>IF($CQ567=0,"",AZ567-AQ567)</f>
        <v/>
      </c>
      <c r="CX567">
        <f>IF($CQ567=0,0,IF(CS567=CN567,1,0))</f>
        <v/>
      </c>
      <c r="CY567">
        <f>IF($CQ567=0,0,IF(CR567=CM567,1,0))</f>
        <v/>
      </c>
      <c r="CZ567">
        <f>IF($A567="","",IF(AND(IF(DASHBOARD!$C$4="All",TRUE,$CM567=DASHBOARD!$C$4),IF(DASHBOARD!$C$6="All",TRUE,$CP567=DASHBOARD!$C$6),IF(DASHBOARD!$C$8="All",TRUE,$AF567&gt;=DASHBOARD!$C$8),IF(DASHBOARD!$C$10="All",TRUE,$AF567&lt;=DASHBOARD!$C$10),IF(DASHBOARD!$C$12="All",TRUE,$AH567=VALUE(DASHBOARD!$C$12)),IF(DASHBOARD!$C$14="All",TRUE,$AJ567=DASHBOARD!$C$14)),1,0))</f>
        <v/>
      </c>
    </row>
    <row r="568">
      <c r="A568" t="n">
        <v>248763</v>
      </c>
      <c r="B568" t="inlineStr">
        <is>
          <t>Aloe Vera Gel</t>
        </is>
      </c>
      <c r="H568" t="inlineStr">
        <is>
          <t>Aloe Vera Gel - 40 gms</t>
        </is>
      </c>
      <c r="N568" t="inlineStr">
        <is>
          <t>FC-HG-PA-040</t>
        </is>
      </c>
      <c r="T568" t="inlineStr">
        <is>
          <t>Aug 2, 2024</t>
        </is>
      </c>
      <c r="AE568" t="inlineStr">
        <is>
          <t>Chandigarh</t>
        </is>
      </c>
      <c r="AF568" t="inlineStr">
        <is>
          <t>2024-08</t>
        </is>
      </c>
      <c r="AG568" t="n">
        <v>8</v>
      </c>
      <c r="AH568" t="n">
        <v>1</v>
      </c>
      <c r="AI568" t="n">
        <v>0</v>
      </c>
      <c r="AJ568">
        <f>IF($AE568="","",IFERROR(VLOOKUP(TRIM($AE568),DECODE!$H$3:$I$60,2,FALSE),"Rest of India"))</f>
        <v/>
      </c>
      <c r="AK568">
        <f>IF($N568="","",UPPER(TRIM(LEFT($N568&amp;",",FIND(",",$N568&amp;",")-1))))</f>
        <v/>
      </c>
      <c r="AL568">
        <f>IF($AK568="","",MID($AK568,4,FIND("~",SUBSTITUTE($AK568,"-","~",2))-4))</f>
        <v/>
      </c>
      <c r="AM568">
        <f>IF($AK568="","",MID($AK568,FIND("~",SUBSTITUTE($AK568,"-","~",2))+1,FIND("~",SUBSTITUTE($AK568,"-","~",3))-FIND("~",SUBSTITUTE($AK568,"-","~",2))-1))</f>
        <v/>
      </c>
      <c r="AN568">
        <f>IF($AL568="","",IFERROR(VLOOKUP($AL568,DECODE!$A$3:$C$8,3,FALSE),"?"))</f>
        <v/>
      </c>
      <c r="AO568">
        <f>IF($AM568="","",IFERROR(VLOOKUP($AL568&amp;"-"&amp;$AM568,DECODE!$E$3:$F$21,2,FALSE),"?"))</f>
        <v/>
      </c>
      <c r="AP568">
        <f>IF($AK568="","",IFERROR(VALUE(RIGHT($AK568,3)),""))</f>
        <v/>
      </c>
      <c r="AQ568">
        <f>IF($T568="","",IFERROR(IF(ISNUMBER($T568),$T568,DATEVALUE(TRIM($T568))),""))</f>
        <v/>
      </c>
      <c r="AR568">
        <f>IF($AQ568="","",IF(MONTH($AQ568)&gt;=12,"Cold Winter",IF(MONTH($AQ568)&gt;=10,"Post-Monsoon",IF(MONTH($AQ568)&gt;=6,"Hot Humid",IF(MONTH($AQ568)&gt;=3,"Hot Dry","Cold Winter")))))</f>
        <v/>
      </c>
      <c r="AS568">
        <f>IF($AL568="","",IFERROR(VLOOKUP($AL568,DECODE!$A$3:$C$8,2,FALSE),"?"))</f>
        <v/>
      </c>
      <c r="AT568">
        <f>IF($O568="","",UPPER(TRIM(LEFT($O568&amp;",",FIND(",",$O568&amp;",")-1))))</f>
        <v/>
      </c>
      <c r="AU568">
        <f>IF($AT568="","",MID($AT568,4,FIND("~",SUBSTITUTE($AT568,"-","~",2))-4))</f>
        <v/>
      </c>
      <c r="AV568">
        <f>IF($AT568="","",MID($AT568,FIND("~",SUBSTITUTE($AT568,"-","~",2))+1,FIND("~",SUBSTITUTE($AT568,"-","~",3))-FIND("~",SUBSTITUTE($AT568,"-","~",2))-1))</f>
        <v/>
      </c>
      <c r="AW568">
        <f>IF($AU568="","",IFERROR(VLOOKUP($AU568,DECODE!$A$3:$C$8,3,FALSE),"?"))</f>
        <v/>
      </c>
      <c r="AX568">
        <f>IF($AV568="","",IFERROR(VLOOKUP($AU568&amp;"-"&amp;$AV568,DECODE!$E$3:$F$21,2,FALSE),"?"))</f>
        <v/>
      </c>
      <c r="AY568">
        <f>IF($AT568="","",IFERROR(VALUE(RIGHT($AT568,3)),""))</f>
        <v/>
      </c>
      <c r="AZ568">
        <f>IF($U568="","",IFERROR(IF(ISNUMBER($U568),$U568,DATEVALUE(TRIM($U568))),""))</f>
        <v/>
      </c>
      <c r="BA568">
        <f>IF($AZ568="","",IF(MONTH($AZ568)&gt;=12,"Cold Winter",IF(MONTH($AZ568)&gt;=10,"Post-Monsoon",IF(MONTH($AZ568)&gt;=6,"Hot Humid",IF(MONTH($AZ568)&gt;=3,"Hot Dry","Cold Winter")))))</f>
        <v/>
      </c>
      <c r="BB568">
        <f>IF($AU568="","",IFERROR(VLOOKUP($AU568,DECODE!$A$3:$C$8,2,FALSE),"?"))</f>
        <v/>
      </c>
      <c r="BC568">
        <f>IF($P568="","",UPPER(TRIM(LEFT($P568&amp;",",FIND(",",$P568&amp;",")-1))))</f>
        <v/>
      </c>
      <c r="BD568">
        <f>IF($BC568="","",MID($BC568,4,FIND("~",SUBSTITUTE($BC568,"-","~",2))-4))</f>
        <v/>
      </c>
      <c r="BE568">
        <f>IF($BC568="","",MID($BC568,FIND("~",SUBSTITUTE($BC568,"-","~",2))+1,FIND("~",SUBSTITUTE($BC568,"-","~",3))-FIND("~",SUBSTITUTE($BC568,"-","~",2))-1))</f>
        <v/>
      </c>
      <c r="BF568">
        <f>IF($BD568="","",IFERROR(VLOOKUP($BD568,DECODE!$A$3:$C$8,3,FALSE),"?"))</f>
        <v/>
      </c>
      <c r="BG568">
        <f>IF($BE568="","",IFERROR(VLOOKUP($BD568&amp;"-"&amp;$BE568,DECODE!$E$3:$F$21,2,FALSE),"?"))</f>
        <v/>
      </c>
      <c r="BH568">
        <f>IF($BC568="","",IFERROR(VALUE(RIGHT($BC568,3)),""))</f>
        <v/>
      </c>
      <c r="BI568">
        <f>IF($V568="","",IFERROR(IF(ISNUMBER($V568),$V568,DATEVALUE(TRIM($V568))),""))</f>
        <v/>
      </c>
      <c r="BJ568">
        <f>IF($BI568="","",IF(MONTH($BI568)&gt;=12,"Cold Winter",IF(MONTH($BI568)&gt;=10,"Post-Monsoon",IF(MONTH($BI568)&gt;=6,"Hot Humid",IF(MONTH($BI568)&gt;=3,"Hot Dry","Cold Winter")))))</f>
        <v/>
      </c>
      <c r="BK568">
        <f>IF($BD568="","",IFERROR(VLOOKUP($BD568,DECODE!$A$3:$C$8,2,FALSE),"?"))</f>
        <v/>
      </c>
      <c r="BL568">
        <f>IF($Q568="","",UPPER(TRIM(LEFT($Q568&amp;",",FIND(",",$Q568&amp;",")-1))))</f>
        <v/>
      </c>
      <c r="BM568">
        <f>IF($BL568="","",MID($BL568,4,FIND("~",SUBSTITUTE($BL568,"-","~",2))-4))</f>
        <v/>
      </c>
      <c r="BN568">
        <f>IF($BL568="","",MID($BL568,FIND("~",SUBSTITUTE($BL568,"-","~",2))+1,FIND("~",SUBSTITUTE($BL568,"-","~",3))-FIND("~",SUBSTITUTE($BL568,"-","~",2))-1))</f>
        <v/>
      </c>
      <c r="BO568">
        <f>IF($BM568="","",IFERROR(VLOOKUP($BM568,DECODE!$A$3:$C$8,3,FALSE),"?"))</f>
        <v/>
      </c>
      <c r="BP568">
        <f>IF($BN568="","",IFERROR(VLOOKUP($BM568&amp;"-"&amp;$BN568,DECODE!$E$3:$F$21,2,FALSE),"?"))</f>
        <v/>
      </c>
      <c r="BQ568">
        <f>IF($BL568="","",IFERROR(VALUE(RIGHT($BL568,3)),""))</f>
        <v/>
      </c>
      <c r="BR568">
        <f>IF($W568="","",IFERROR(IF(ISNUMBER($W568),$W568,DATEVALUE(TRIM($W568))),""))</f>
        <v/>
      </c>
      <c r="BS568">
        <f>IF($BR568="","",IF(MONTH($BR568)&gt;=12,"Cold Winter",IF(MONTH($BR568)&gt;=10,"Post-Monsoon",IF(MONTH($BR568)&gt;=6,"Hot Humid",IF(MONTH($BR568)&gt;=3,"Hot Dry","Cold Winter")))))</f>
        <v/>
      </c>
      <c r="BT568">
        <f>IF($BM568="","",IFERROR(VLOOKUP($BM568,DECODE!$A$3:$C$8,2,FALSE),"?"))</f>
        <v/>
      </c>
      <c r="BU568">
        <f>IF($R568="","",UPPER(TRIM(LEFT($R568&amp;",",FIND(",",$R568&amp;",")-1))))</f>
        <v/>
      </c>
      <c r="BV568">
        <f>IF($BU568="","",MID($BU568,4,FIND("~",SUBSTITUTE($BU568,"-","~",2))-4))</f>
        <v/>
      </c>
      <c r="BW568">
        <f>IF($BU568="","",MID($BU568,FIND("~",SUBSTITUTE($BU568,"-","~",2))+1,FIND("~",SUBSTITUTE($BU568,"-","~",3))-FIND("~",SUBSTITUTE($BU568,"-","~",2))-1))</f>
        <v/>
      </c>
      <c r="BX568">
        <f>IF($BV568="","",IFERROR(VLOOKUP($BV568,DECODE!$A$3:$C$8,3,FALSE),"?"))</f>
        <v/>
      </c>
      <c r="BY568">
        <f>IF($BW568="","",IFERROR(VLOOKUP($BV568&amp;"-"&amp;$BW568,DECODE!$E$3:$F$21,2,FALSE),"?"))</f>
        <v/>
      </c>
      <c r="BZ568">
        <f>IF($BU568="","",IFERROR(VALUE(RIGHT($BU568,3)),""))</f>
        <v/>
      </c>
      <c r="CA568">
        <f>IF($X568="","",IFERROR(IF(ISNUMBER($X568),$X568,DATEVALUE(TRIM($X568))),""))</f>
        <v/>
      </c>
      <c r="CB568">
        <f>IF($CA568="","",IF(MONTH($CA568)&gt;=12,"Cold Winter",IF(MONTH($CA568)&gt;=10,"Post-Monsoon",IF(MONTH($CA568)&gt;=6,"Hot Humid",IF(MONTH($CA568)&gt;=3,"Hot Dry","Cold Winter")))))</f>
        <v/>
      </c>
      <c r="CC568">
        <f>IF($BV568="","",IFERROR(VLOOKUP($BV568,DECODE!$A$3:$C$8,2,FALSE),"?"))</f>
        <v/>
      </c>
      <c r="CD568">
        <f>IF($S568="","",UPPER(TRIM(LEFT($S568&amp;",",FIND(",",$S568&amp;",")-1))))</f>
        <v/>
      </c>
      <c r="CE568">
        <f>IF($CD568="","",MID($CD568,4,FIND("~",SUBSTITUTE($CD568,"-","~",2))-4))</f>
        <v/>
      </c>
      <c r="CF568">
        <f>IF($CD568="","",MID($CD568,FIND("~",SUBSTITUTE($CD568,"-","~",2))+1,FIND("~",SUBSTITUTE($CD568,"-","~",3))-FIND("~",SUBSTITUTE($CD568,"-","~",2))-1))</f>
        <v/>
      </c>
      <c r="CG568">
        <f>IF($CE568="","",IFERROR(VLOOKUP($CE568,DECODE!$A$3:$C$8,3,FALSE),"?"))</f>
        <v/>
      </c>
      <c r="CH568">
        <f>IF($CF568="","",IFERROR(VLOOKUP($CE568&amp;"-"&amp;$CF568,DECODE!$E$3:$F$21,2,FALSE),"?"))</f>
        <v/>
      </c>
      <c r="CI568">
        <f>IF($CD568="","",IFERROR(VALUE(RIGHT($CD568,3)),""))</f>
        <v/>
      </c>
      <c r="CJ568">
        <f>IF($Y568="","",IFERROR(IF(ISNUMBER($Y568),$Y568,DATEVALUE(TRIM($Y568))),""))</f>
        <v/>
      </c>
      <c r="CK568">
        <f>IF($CJ568="","",IF(MONTH($CJ568)&gt;=12,"Cold Winter",IF(MONTH($CJ568)&gt;=10,"Post-Monsoon",IF(MONTH($CJ568)&gt;=6,"Hot Humid",IF(MONTH($CJ568)&gt;=3,"Hot Dry","Cold Winter")))))</f>
        <v/>
      </c>
      <c r="CL568">
        <f>IF($CE568="","",IFERROR(VLOOKUP($CE568,DECODE!$A$3:$C$8,2,FALSE),"?"))</f>
        <v/>
      </c>
      <c r="CM568">
        <f>IF($AN568="","",AN568)</f>
        <v/>
      </c>
      <c r="CN568">
        <f>IF($AO568="","",AO568)</f>
        <v/>
      </c>
      <c r="CO568">
        <f>IF($AP568="","",AP568)</f>
        <v/>
      </c>
      <c r="CP568">
        <f>IF($CM568="","",IF($CM568="Aloe Vera Gel","Aloe Vera Gel "&amp;$CO568&amp;"g",CN568&amp;" "&amp;$CO568&amp;"g"))</f>
        <v/>
      </c>
      <c r="CQ568">
        <f>IF($AT568="",0,1)</f>
        <v/>
      </c>
      <c r="CR568">
        <f>IF($CQ568=0,"",AW568)</f>
        <v/>
      </c>
      <c r="CS568">
        <f>IF($CQ568=0,"",AX568)</f>
        <v/>
      </c>
      <c r="CT568">
        <f>IF($CQ568=0,"",AY568)</f>
        <v/>
      </c>
      <c r="CU568">
        <f>IF($CR568="","",IF($CR568="Aloe Vera Gel","Aloe Vera Gel "&amp;$CT568&amp;"g",CS568&amp;" "&amp;$CT568&amp;"g"))</f>
        <v/>
      </c>
      <c r="CV568">
        <f>IF($CQ568=0,"",IF($CP568=$CU568,"Repeat Exact",IF($CT568&gt;$CO568,"Upsized",IF($CT568&lt;$CO568,"Downsized",IF($CM568&lt;&gt;$CR568,"Lateral","Same Size Diff Variant")))))</f>
        <v/>
      </c>
      <c r="CW568">
        <f>IF($CQ568=0,"",AZ568-AQ568)</f>
        <v/>
      </c>
      <c r="CX568">
        <f>IF($CQ568=0,0,IF(CS568=CN568,1,0))</f>
        <v/>
      </c>
      <c r="CY568">
        <f>IF($CQ568=0,0,IF(CR568=CM568,1,0))</f>
        <v/>
      </c>
      <c r="CZ568">
        <f>IF($A568="","",IF(AND(IF(DASHBOARD!$C$4="All",TRUE,$CM568=DASHBOARD!$C$4),IF(DASHBOARD!$C$6="All",TRUE,$CP568=DASHBOARD!$C$6),IF(DASHBOARD!$C$8="All",TRUE,$AF568&gt;=DASHBOARD!$C$8),IF(DASHBOARD!$C$10="All",TRUE,$AF568&lt;=DASHBOARD!$C$10),IF(DASHBOARD!$C$12="All",TRUE,$AH568=VALUE(DASHBOARD!$C$12)),IF(DASHBOARD!$C$14="All",TRUE,$AJ568=DASHBOARD!$C$14)),1,0))</f>
        <v/>
      </c>
    </row>
    <row r="569">
      <c r="A569" t="n">
        <v>249752</v>
      </c>
      <c r="B569" t="inlineStr">
        <is>
          <t>Face Malai</t>
        </is>
      </c>
      <c r="H569" t="inlineStr">
        <is>
          <t>Flax Walnut (Cold) 35+ Face Malai</t>
        </is>
      </c>
      <c r="N569" t="inlineStr">
        <is>
          <t>FC-CWDM-FW-030</t>
        </is>
      </c>
      <c r="T569" t="inlineStr">
        <is>
          <t>Mar 19, 2025</t>
        </is>
      </c>
      <c r="AE569" t="inlineStr">
        <is>
          <t>Bengaluru</t>
        </is>
      </c>
      <c r="AF569" t="inlineStr">
        <is>
          <t>2025-03</t>
        </is>
      </c>
      <c r="AG569" t="n">
        <v>3</v>
      </c>
      <c r="AH569" t="n">
        <v>1</v>
      </c>
      <c r="AI569" t="n">
        <v>0</v>
      </c>
      <c r="AJ569">
        <f>IF($AE569="","",IFERROR(VLOOKUP(TRIM($AE569),DECODE!$H$3:$I$60,2,FALSE),"Rest of India"))</f>
        <v/>
      </c>
      <c r="AK569">
        <f>IF($N569="","",UPPER(TRIM(LEFT($N569&amp;",",FIND(",",$N569&amp;",")-1))))</f>
        <v/>
      </c>
      <c r="AL569">
        <f>IF($AK569="","",MID($AK569,4,FIND("~",SUBSTITUTE($AK569,"-","~",2))-4))</f>
        <v/>
      </c>
      <c r="AM569">
        <f>IF($AK569="","",MID($AK569,FIND("~",SUBSTITUTE($AK569,"-","~",2))+1,FIND("~",SUBSTITUTE($AK569,"-","~",3))-FIND("~",SUBSTITUTE($AK569,"-","~",2))-1))</f>
        <v/>
      </c>
      <c r="AN569">
        <f>IF($AL569="","",IFERROR(VLOOKUP($AL569,DECODE!$A$3:$C$8,3,FALSE),"?"))</f>
        <v/>
      </c>
      <c r="AO569">
        <f>IF($AM569="","",IFERROR(VLOOKUP($AL569&amp;"-"&amp;$AM569,DECODE!$E$3:$F$21,2,FALSE),"?"))</f>
        <v/>
      </c>
      <c r="AP569">
        <f>IF($AK569="","",IFERROR(VALUE(RIGHT($AK569,3)),""))</f>
        <v/>
      </c>
      <c r="AQ569">
        <f>IF($T569="","",IFERROR(IF(ISNUMBER($T569),$T569,DATEVALUE(TRIM($T569))),""))</f>
        <v/>
      </c>
      <c r="AR569">
        <f>IF($AQ569="","",IF(MONTH($AQ569)&gt;=12,"Cold Winter",IF(MONTH($AQ569)&gt;=10,"Post-Monsoon",IF(MONTH($AQ569)&gt;=6,"Hot Humid",IF(MONTH($AQ569)&gt;=3,"Hot Dry","Cold Winter")))))</f>
        <v/>
      </c>
      <c r="AS569">
        <f>IF($AL569="","",IFERROR(VLOOKUP($AL569,DECODE!$A$3:$C$8,2,FALSE),"?"))</f>
        <v/>
      </c>
      <c r="AT569">
        <f>IF($O569="","",UPPER(TRIM(LEFT($O569&amp;",",FIND(",",$O569&amp;",")-1))))</f>
        <v/>
      </c>
      <c r="AU569">
        <f>IF($AT569="","",MID($AT569,4,FIND("~",SUBSTITUTE($AT569,"-","~",2))-4))</f>
        <v/>
      </c>
      <c r="AV569">
        <f>IF($AT569="","",MID($AT569,FIND("~",SUBSTITUTE($AT569,"-","~",2))+1,FIND("~",SUBSTITUTE($AT569,"-","~",3))-FIND("~",SUBSTITUTE($AT569,"-","~",2))-1))</f>
        <v/>
      </c>
      <c r="AW569">
        <f>IF($AU569="","",IFERROR(VLOOKUP($AU569,DECODE!$A$3:$C$8,3,FALSE),"?"))</f>
        <v/>
      </c>
      <c r="AX569">
        <f>IF($AV569="","",IFERROR(VLOOKUP($AU569&amp;"-"&amp;$AV569,DECODE!$E$3:$F$21,2,FALSE),"?"))</f>
        <v/>
      </c>
      <c r="AY569">
        <f>IF($AT569="","",IFERROR(VALUE(RIGHT($AT569,3)),""))</f>
        <v/>
      </c>
      <c r="AZ569">
        <f>IF($U569="","",IFERROR(IF(ISNUMBER($U569),$U569,DATEVALUE(TRIM($U569))),""))</f>
        <v/>
      </c>
      <c r="BA569">
        <f>IF($AZ569="","",IF(MONTH($AZ569)&gt;=12,"Cold Winter",IF(MONTH($AZ569)&gt;=10,"Post-Monsoon",IF(MONTH($AZ569)&gt;=6,"Hot Humid",IF(MONTH($AZ569)&gt;=3,"Hot Dry","Cold Winter")))))</f>
        <v/>
      </c>
      <c r="BB569">
        <f>IF($AU569="","",IFERROR(VLOOKUP($AU569,DECODE!$A$3:$C$8,2,FALSE),"?"))</f>
        <v/>
      </c>
      <c r="BC569">
        <f>IF($P569="","",UPPER(TRIM(LEFT($P569&amp;",",FIND(",",$P569&amp;",")-1))))</f>
        <v/>
      </c>
      <c r="BD569">
        <f>IF($BC569="","",MID($BC569,4,FIND("~",SUBSTITUTE($BC569,"-","~",2))-4))</f>
        <v/>
      </c>
      <c r="BE569">
        <f>IF($BC569="","",MID($BC569,FIND("~",SUBSTITUTE($BC569,"-","~",2))+1,FIND("~",SUBSTITUTE($BC569,"-","~",3))-FIND("~",SUBSTITUTE($BC569,"-","~",2))-1))</f>
        <v/>
      </c>
      <c r="BF569">
        <f>IF($BD569="","",IFERROR(VLOOKUP($BD569,DECODE!$A$3:$C$8,3,FALSE),"?"))</f>
        <v/>
      </c>
      <c r="BG569">
        <f>IF($BE569="","",IFERROR(VLOOKUP($BD569&amp;"-"&amp;$BE569,DECODE!$E$3:$F$21,2,FALSE),"?"))</f>
        <v/>
      </c>
      <c r="BH569">
        <f>IF($BC569="","",IFERROR(VALUE(RIGHT($BC569,3)),""))</f>
        <v/>
      </c>
      <c r="BI569">
        <f>IF($V569="","",IFERROR(IF(ISNUMBER($V569),$V569,DATEVALUE(TRIM($V569))),""))</f>
        <v/>
      </c>
      <c r="BJ569">
        <f>IF($BI569="","",IF(MONTH($BI569)&gt;=12,"Cold Winter",IF(MONTH($BI569)&gt;=10,"Post-Monsoon",IF(MONTH($BI569)&gt;=6,"Hot Humid",IF(MONTH($BI569)&gt;=3,"Hot Dry","Cold Winter")))))</f>
        <v/>
      </c>
      <c r="BK569">
        <f>IF($BD569="","",IFERROR(VLOOKUP($BD569,DECODE!$A$3:$C$8,2,FALSE),"?"))</f>
        <v/>
      </c>
      <c r="BL569">
        <f>IF($Q569="","",UPPER(TRIM(LEFT($Q569&amp;",",FIND(",",$Q569&amp;",")-1))))</f>
        <v/>
      </c>
      <c r="BM569">
        <f>IF($BL569="","",MID($BL569,4,FIND("~",SUBSTITUTE($BL569,"-","~",2))-4))</f>
        <v/>
      </c>
      <c r="BN569">
        <f>IF($BL569="","",MID($BL569,FIND("~",SUBSTITUTE($BL569,"-","~",2))+1,FIND("~",SUBSTITUTE($BL569,"-","~",3))-FIND("~",SUBSTITUTE($BL569,"-","~",2))-1))</f>
        <v/>
      </c>
      <c r="BO569">
        <f>IF($BM569="","",IFERROR(VLOOKUP($BM569,DECODE!$A$3:$C$8,3,FALSE),"?"))</f>
        <v/>
      </c>
      <c r="BP569">
        <f>IF($BN569="","",IFERROR(VLOOKUP($BM569&amp;"-"&amp;$BN569,DECODE!$E$3:$F$21,2,FALSE),"?"))</f>
        <v/>
      </c>
      <c r="BQ569">
        <f>IF($BL569="","",IFERROR(VALUE(RIGHT($BL569,3)),""))</f>
        <v/>
      </c>
      <c r="BR569">
        <f>IF($W569="","",IFERROR(IF(ISNUMBER($W569),$W569,DATEVALUE(TRIM($W569))),""))</f>
        <v/>
      </c>
      <c r="BS569">
        <f>IF($BR569="","",IF(MONTH($BR569)&gt;=12,"Cold Winter",IF(MONTH($BR569)&gt;=10,"Post-Monsoon",IF(MONTH($BR569)&gt;=6,"Hot Humid",IF(MONTH($BR569)&gt;=3,"Hot Dry","Cold Winter")))))</f>
        <v/>
      </c>
      <c r="BT569">
        <f>IF($BM569="","",IFERROR(VLOOKUP($BM569,DECODE!$A$3:$C$8,2,FALSE),"?"))</f>
        <v/>
      </c>
      <c r="BU569">
        <f>IF($R569="","",UPPER(TRIM(LEFT($R569&amp;",",FIND(",",$R569&amp;",")-1))))</f>
        <v/>
      </c>
      <c r="BV569">
        <f>IF($BU569="","",MID($BU569,4,FIND("~",SUBSTITUTE($BU569,"-","~",2))-4))</f>
        <v/>
      </c>
      <c r="BW569">
        <f>IF($BU569="","",MID($BU569,FIND("~",SUBSTITUTE($BU569,"-","~",2))+1,FIND("~",SUBSTITUTE($BU569,"-","~",3))-FIND("~",SUBSTITUTE($BU569,"-","~",2))-1))</f>
        <v/>
      </c>
      <c r="BX569">
        <f>IF($BV569="","",IFERROR(VLOOKUP($BV569,DECODE!$A$3:$C$8,3,FALSE),"?"))</f>
        <v/>
      </c>
      <c r="BY569">
        <f>IF($BW569="","",IFERROR(VLOOKUP($BV569&amp;"-"&amp;$BW569,DECODE!$E$3:$F$21,2,FALSE),"?"))</f>
        <v/>
      </c>
      <c r="BZ569">
        <f>IF($BU569="","",IFERROR(VALUE(RIGHT($BU569,3)),""))</f>
        <v/>
      </c>
      <c r="CA569">
        <f>IF($X569="","",IFERROR(IF(ISNUMBER($X569),$X569,DATEVALUE(TRIM($X569))),""))</f>
        <v/>
      </c>
      <c r="CB569">
        <f>IF($CA569="","",IF(MONTH($CA569)&gt;=12,"Cold Winter",IF(MONTH($CA569)&gt;=10,"Post-Monsoon",IF(MONTH($CA569)&gt;=6,"Hot Humid",IF(MONTH($CA569)&gt;=3,"Hot Dry","Cold Winter")))))</f>
        <v/>
      </c>
      <c r="CC569">
        <f>IF($BV569="","",IFERROR(VLOOKUP($BV569,DECODE!$A$3:$C$8,2,FALSE),"?"))</f>
        <v/>
      </c>
      <c r="CD569">
        <f>IF($S569="","",UPPER(TRIM(LEFT($S569&amp;",",FIND(",",$S569&amp;",")-1))))</f>
        <v/>
      </c>
      <c r="CE569">
        <f>IF($CD569="","",MID($CD569,4,FIND("~",SUBSTITUTE($CD569,"-","~",2))-4))</f>
        <v/>
      </c>
      <c r="CF569">
        <f>IF($CD569="","",MID($CD569,FIND("~",SUBSTITUTE($CD569,"-","~",2))+1,FIND("~",SUBSTITUTE($CD569,"-","~",3))-FIND("~",SUBSTITUTE($CD569,"-","~",2))-1))</f>
        <v/>
      </c>
      <c r="CG569">
        <f>IF($CE569="","",IFERROR(VLOOKUP($CE569,DECODE!$A$3:$C$8,3,FALSE),"?"))</f>
        <v/>
      </c>
      <c r="CH569">
        <f>IF($CF569="","",IFERROR(VLOOKUP($CE569&amp;"-"&amp;$CF569,DECODE!$E$3:$F$21,2,FALSE),"?"))</f>
        <v/>
      </c>
      <c r="CI569">
        <f>IF($CD569="","",IFERROR(VALUE(RIGHT($CD569,3)),""))</f>
        <v/>
      </c>
      <c r="CJ569">
        <f>IF($Y569="","",IFERROR(IF(ISNUMBER($Y569),$Y569,DATEVALUE(TRIM($Y569))),""))</f>
        <v/>
      </c>
      <c r="CK569">
        <f>IF($CJ569="","",IF(MONTH($CJ569)&gt;=12,"Cold Winter",IF(MONTH($CJ569)&gt;=10,"Post-Monsoon",IF(MONTH($CJ569)&gt;=6,"Hot Humid",IF(MONTH($CJ569)&gt;=3,"Hot Dry","Cold Winter")))))</f>
        <v/>
      </c>
      <c r="CL569">
        <f>IF($CE569="","",IFERROR(VLOOKUP($CE569,DECODE!$A$3:$C$8,2,FALSE),"?"))</f>
        <v/>
      </c>
      <c r="CM569">
        <f>IF($AN569="","",AN569)</f>
        <v/>
      </c>
      <c r="CN569">
        <f>IF($AO569="","",AO569)</f>
        <v/>
      </c>
      <c r="CO569">
        <f>IF($AP569="","",AP569)</f>
        <v/>
      </c>
      <c r="CP569">
        <f>IF($CM569="","",IF($CM569="Aloe Vera Gel","Aloe Vera Gel "&amp;$CO569&amp;"g",CN569&amp;" "&amp;$CO569&amp;"g"))</f>
        <v/>
      </c>
      <c r="CQ569">
        <f>IF($AT569="",0,1)</f>
        <v/>
      </c>
      <c r="CR569">
        <f>IF($CQ569=0,"",AW569)</f>
        <v/>
      </c>
      <c r="CS569">
        <f>IF($CQ569=0,"",AX569)</f>
        <v/>
      </c>
      <c r="CT569">
        <f>IF($CQ569=0,"",AY569)</f>
        <v/>
      </c>
      <c r="CU569">
        <f>IF($CR569="","",IF($CR569="Aloe Vera Gel","Aloe Vera Gel "&amp;$CT569&amp;"g",CS569&amp;" "&amp;$CT569&amp;"g"))</f>
        <v/>
      </c>
      <c r="CV569">
        <f>IF($CQ569=0,"",IF($CP569=$CU569,"Repeat Exact",IF($CT569&gt;$CO569,"Upsized",IF($CT569&lt;$CO569,"Downsized",IF($CM569&lt;&gt;$CR569,"Lateral","Same Size Diff Variant")))))</f>
        <v/>
      </c>
      <c r="CW569">
        <f>IF($CQ569=0,"",AZ569-AQ569)</f>
        <v/>
      </c>
      <c r="CX569">
        <f>IF($CQ569=0,0,IF(CS569=CN569,1,0))</f>
        <v/>
      </c>
      <c r="CY569">
        <f>IF($CQ569=0,0,IF(CR569=CM569,1,0))</f>
        <v/>
      </c>
      <c r="CZ569">
        <f>IF($A569="","",IF(AND(IF(DASHBOARD!$C$4="All",TRUE,$CM569=DASHBOARD!$C$4),IF(DASHBOARD!$C$6="All",TRUE,$CP569=DASHBOARD!$C$6),IF(DASHBOARD!$C$8="All",TRUE,$AF569&gt;=DASHBOARD!$C$8),IF(DASHBOARD!$C$10="All",TRUE,$AF569&lt;=DASHBOARD!$C$10),IF(DASHBOARD!$C$12="All",TRUE,$AH569=VALUE(DASHBOARD!$C$12)),IF(DASHBOARD!$C$14="All",TRUE,$AJ569=DASHBOARD!$C$14)),1,0))</f>
        <v/>
      </c>
    </row>
    <row r="570">
      <c r="A570" t="n">
        <v>249777</v>
      </c>
      <c r="B570" t="inlineStr">
        <is>
          <t>Face Malai</t>
        </is>
      </c>
      <c r="H570" t="inlineStr">
        <is>
          <t>Cocoa Mogra (Overnight) Face Malai - 30g</t>
        </is>
      </c>
      <c r="N570" t="inlineStr">
        <is>
          <t>FC-DM-NR-030</t>
        </is>
      </c>
      <c r="T570" t="inlineStr">
        <is>
          <t>Aug 25, 2024</t>
        </is>
      </c>
      <c r="AE570" t="inlineStr">
        <is>
          <t>Thane</t>
        </is>
      </c>
      <c r="AF570" t="inlineStr">
        <is>
          <t>2024-08</t>
        </is>
      </c>
      <c r="AG570" t="n">
        <v>8</v>
      </c>
      <c r="AH570" t="n">
        <v>1</v>
      </c>
      <c r="AI570" t="n">
        <v>0</v>
      </c>
      <c r="AJ570">
        <f>IF($AE570="","",IFERROR(VLOOKUP(TRIM($AE570),DECODE!$H$3:$I$60,2,FALSE),"Rest of India"))</f>
        <v/>
      </c>
      <c r="AK570">
        <f>IF($N570="","",UPPER(TRIM(LEFT($N570&amp;",",FIND(",",$N570&amp;",")-1))))</f>
        <v/>
      </c>
      <c r="AL570">
        <f>IF($AK570="","",MID($AK570,4,FIND("~",SUBSTITUTE($AK570,"-","~",2))-4))</f>
        <v/>
      </c>
      <c r="AM570">
        <f>IF($AK570="","",MID($AK570,FIND("~",SUBSTITUTE($AK570,"-","~",2))+1,FIND("~",SUBSTITUTE($AK570,"-","~",3))-FIND("~",SUBSTITUTE($AK570,"-","~",2))-1))</f>
        <v/>
      </c>
      <c r="AN570">
        <f>IF($AL570="","",IFERROR(VLOOKUP($AL570,DECODE!$A$3:$C$8,3,FALSE),"?"))</f>
        <v/>
      </c>
      <c r="AO570">
        <f>IF($AM570="","",IFERROR(VLOOKUP($AL570&amp;"-"&amp;$AM570,DECODE!$E$3:$F$21,2,FALSE),"?"))</f>
        <v/>
      </c>
      <c r="AP570">
        <f>IF($AK570="","",IFERROR(VALUE(RIGHT($AK570,3)),""))</f>
        <v/>
      </c>
      <c r="AQ570">
        <f>IF($T570="","",IFERROR(IF(ISNUMBER($T570),$T570,DATEVALUE(TRIM($T570))),""))</f>
        <v/>
      </c>
      <c r="AR570">
        <f>IF($AQ570="","",IF(MONTH($AQ570)&gt;=12,"Cold Winter",IF(MONTH($AQ570)&gt;=10,"Post-Monsoon",IF(MONTH($AQ570)&gt;=6,"Hot Humid",IF(MONTH($AQ570)&gt;=3,"Hot Dry","Cold Winter")))))</f>
        <v/>
      </c>
      <c r="AS570">
        <f>IF($AL570="","",IFERROR(VLOOKUP($AL570,DECODE!$A$3:$C$8,2,FALSE),"?"))</f>
        <v/>
      </c>
      <c r="AT570">
        <f>IF($O570="","",UPPER(TRIM(LEFT($O570&amp;",",FIND(",",$O570&amp;",")-1))))</f>
        <v/>
      </c>
      <c r="AU570">
        <f>IF($AT570="","",MID($AT570,4,FIND("~",SUBSTITUTE($AT570,"-","~",2))-4))</f>
        <v/>
      </c>
      <c r="AV570">
        <f>IF($AT570="","",MID($AT570,FIND("~",SUBSTITUTE($AT570,"-","~",2))+1,FIND("~",SUBSTITUTE($AT570,"-","~",3))-FIND("~",SUBSTITUTE($AT570,"-","~",2))-1))</f>
        <v/>
      </c>
      <c r="AW570">
        <f>IF($AU570="","",IFERROR(VLOOKUP($AU570,DECODE!$A$3:$C$8,3,FALSE),"?"))</f>
        <v/>
      </c>
      <c r="AX570">
        <f>IF($AV570="","",IFERROR(VLOOKUP($AU570&amp;"-"&amp;$AV570,DECODE!$E$3:$F$21,2,FALSE),"?"))</f>
        <v/>
      </c>
      <c r="AY570">
        <f>IF($AT570="","",IFERROR(VALUE(RIGHT($AT570,3)),""))</f>
        <v/>
      </c>
      <c r="AZ570">
        <f>IF($U570="","",IFERROR(IF(ISNUMBER($U570),$U570,DATEVALUE(TRIM($U570))),""))</f>
        <v/>
      </c>
      <c r="BA570">
        <f>IF($AZ570="","",IF(MONTH($AZ570)&gt;=12,"Cold Winter",IF(MONTH($AZ570)&gt;=10,"Post-Monsoon",IF(MONTH($AZ570)&gt;=6,"Hot Humid",IF(MONTH($AZ570)&gt;=3,"Hot Dry","Cold Winter")))))</f>
        <v/>
      </c>
      <c r="BB570">
        <f>IF($AU570="","",IFERROR(VLOOKUP($AU570,DECODE!$A$3:$C$8,2,FALSE),"?"))</f>
        <v/>
      </c>
      <c r="BC570">
        <f>IF($P570="","",UPPER(TRIM(LEFT($P570&amp;",",FIND(",",$P570&amp;",")-1))))</f>
        <v/>
      </c>
      <c r="BD570">
        <f>IF($BC570="","",MID($BC570,4,FIND("~",SUBSTITUTE($BC570,"-","~",2))-4))</f>
        <v/>
      </c>
      <c r="BE570">
        <f>IF($BC570="","",MID($BC570,FIND("~",SUBSTITUTE($BC570,"-","~",2))+1,FIND("~",SUBSTITUTE($BC570,"-","~",3))-FIND("~",SUBSTITUTE($BC570,"-","~",2))-1))</f>
        <v/>
      </c>
      <c r="BF570">
        <f>IF($BD570="","",IFERROR(VLOOKUP($BD570,DECODE!$A$3:$C$8,3,FALSE),"?"))</f>
        <v/>
      </c>
      <c r="BG570">
        <f>IF($BE570="","",IFERROR(VLOOKUP($BD570&amp;"-"&amp;$BE570,DECODE!$E$3:$F$21,2,FALSE),"?"))</f>
        <v/>
      </c>
      <c r="BH570">
        <f>IF($BC570="","",IFERROR(VALUE(RIGHT($BC570,3)),""))</f>
        <v/>
      </c>
      <c r="BI570">
        <f>IF($V570="","",IFERROR(IF(ISNUMBER($V570),$V570,DATEVALUE(TRIM($V570))),""))</f>
        <v/>
      </c>
      <c r="BJ570">
        <f>IF($BI570="","",IF(MONTH($BI570)&gt;=12,"Cold Winter",IF(MONTH($BI570)&gt;=10,"Post-Monsoon",IF(MONTH($BI570)&gt;=6,"Hot Humid",IF(MONTH($BI570)&gt;=3,"Hot Dry","Cold Winter")))))</f>
        <v/>
      </c>
      <c r="BK570">
        <f>IF($BD570="","",IFERROR(VLOOKUP($BD570,DECODE!$A$3:$C$8,2,FALSE),"?"))</f>
        <v/>
      </c>
      <c r="BL570">
        <f>IF($Q570="","",UPPER(TRIM(LEFT($Q570&amp;",",FIND(",",$Q570&amp;",")-1))))</f>
        <v/>
      </c>
      <c r="BM570">
        <f>IF($BL570="","",MID($BL570,4,FIND("~",SUBSTITUTE($BL570,"-","~",2))-4))</f>
        <v/>
      </c>
      <c r="BN570">
        <f>IF($BL570="","",MID($BL570,FIND("~",SUBSTITUTE($BL570,"-","~",2))+1,FIND("~",SUBSTITUTE($BL570,"-","~",3))-FIND("~",SUBSTITUTE($BL570,"-","~",2))-1))</f>
        <v/>
      </c>
      <c r="BO570">
        <f>IF($BM570="","",IFERROR(VLOOKUP($BM570,DECODE!$A$3:$C$8,3,FALSE),"?"))</f>
        <v/>
      </c>
      <c r="BP570">
        <f>IF($BN570="","",IFERROR(VLOOKUP($BM570&amp;"-"&amp;$BN570,DECODE!$E$3:$F$21,2,FALSE),"?"))</f>
        <v/>
      </c>
      <c r="BQ570">
        <f>IF($BL570="","",IFERROR(VALUE(RIGHT($BL570,3)),""))</f>
        <v/>
      </c>
      <c r="BR570">
        <f>IF($W570="","",IFERROR(IF(ISNUMBER($W570),$W570,DATEVALUE(TRIM($W570))),""))</f>
        <v/>
      </c>
      <c r="BS570">
        <f>IF($BR570="","",IF(MONTH($BR570)&gt;=12,"Cold Winter",IF(MONTH($BR570)&gt;=10,"Post-Monsoon",IF(MONTH($BR570)&gt;=6,"Hot Humid",IF(MONTH($BR570)&gt;=3,"Hot Dry","Cold Winter")))))</f>
        <v/>
      </c>
      <c r="BT570">
        <f>IF($BM570="","",IFERROR(VLOOKUP($BM570,DECODE!$A$3:$C$8,2,FALSE),"?"))</f>
        <v/>
      </c>
      <c r="BU570">
        <f>IF($R570="","",UPPER(TRIM(LEFT($R570&amp;",",FIND(",",$R570&amp;",")-1))))</f>
        <v/>
      </c>
      <c r="BV570">
        <f>IF($BU570="","",MID($BU570,4,FIND("~",SUBSTITUTE($BU570,"-","~",2))-4))</f>
        <v/>
      </c>
      <c r="BW570">
        <f>IF($BU570="","",MID($BU570,FIND("~",SUBSTITUTE($BU570,"-","~",2))+1,FIND("~",SUBSTITUTE($BU570,"-","~",3))-FIND("~",SUBSTITUTE($BU570,"-","~",2))-1))</f>
        <v/>
      </c>
      <c r="BX570">
        <f>IF($BV570="","",IFERROR(VLOOKUP($BV570,DECODE!$A$3:$C$8,3,FALSE),"?"))</f>
        <v/>
      </c>
      <c r="BY570">
        <f>IF($BW570="","",IFERROR(VLOOKUP($BV570&amp;"-"&amp;$BW570,DECODE!$E$3:$F$21,2,FALSE),"?"))</f>
        <v/>
      </c>
      <c r="BZ570">
        <f>IF($BU570="","",IFERROR(VALUE(RIGHT($BU570,3)),""))</f>
        <v/>
      </c>
      <c r="CA570">
        <f>IF($X570="","",IFERROR(IF(ISNUMBER($X570),$X570,DATEVALUE(TRIM($X570))),""))</f>
        <v/>
      </c>
      <c r="CB570">
        <f>IF($CA570="","",IF(MONTH($CA570)&gt;=12,"Cold Winter",IF(MONTH($CA570)&gt;=10,"Post-Monsoon",IF(MONTH($CA570)&gt;=6,"Hot Humid",IF(MONTH($CA570)&gt;=3,"Hot Dry","Cold Winter")))))</f>
        <v/>
      </c>
      <c r="CC570">
        <f>IF($BV570="","",IFERROR(VLOOKUP($BV570,DECODE!$A$3:$C$8,2,FALSE),"?"))</f>
        <v/>
      </c>
      <c r="CD570">
        <f>IF($S570="","",UPPER(TRIM(LEFT($S570&amp;",",FIND(",",$S570&amp;",")-1))))</f>
        <v/>
      </c>
      <c r="CE570">
        <f>IF($CD570="","",MID($CD570,4,FIND("~",SUBSTITUTE($CD570,"-","~",2))-4))</f>
        <v/>
      </c>
      <c r="CF570">
        <f>IF($CD570="","",MID($CD570,FIND("~",SUBSTITUTE($CD570,"-","~",2))+1,FIND("~",SUBSTITUTE($CD570,"-","~",3))-FIND("~",SUBSTITUTE($CD570,"-","~",2))-1))</f>
        <v/>
      </c>
      <c r="CG570">
        <f>IF($CE570="","",IFERROR(VLOOKUP($CE570,DECODE!$A$3:$C$8,3,FALSE),"?"))</f>
        <v/>
      </c>
      <c r="CH570">
        <f>IF($CF570="","",IFERROR(VLOOKUP($CE570&amp;"-"&amp;$CF570,DECODE!$E$3:$F$21,2,FALSE),"?"))</f>
        <v/>
      </c>
      <c r="CI570">
        <f>IF($CD570="","",IFERROR(VALUE(RIGHT($CD570,3)),""))</f>
        <v/>
      </c>
      <c r="CJ570">
        <f>IF($Y570="","",IFERROR(IF(ISNUMBER($Y570),$Y570,DATEVALUE(TRIM($Y570))),""))</f>
        <v/>
      </c>
      <c r="CK570">
        <f>IF($CJ570="","",IF(MONTH($CJ570)&gt;=12,"Cold Winter",IF(MONTH($CJ570)&gt;=10,"Post-Monsoon",IF(MONTH($CJ570)&gt;=6,"Hot Humid",IF(MONTH($CJ570)&gt;=3,"Hot Dry","Cold Winter")))))</f>
        <v/>
      </c>
      <c r="CL570">
        <f>IF($CE570="","",IFERROR(VLOOKUP($CE570,DECODE!$A$3:$C$8,2,FALSE),"?"))</f>
        <v/>
      </c>
      <c r="CM570">
        <f>IF($AN570="","",AN570)</f>
        <v/>
      </c>
      <c r="CN570">
        <f>IF($AO570="","",AO570)</f>
        <v/>
      </c>
      <c r="CO570">
        <f>IF($AP570="","",AP570)</f>
        <v/>
      </c>
      <c r="CP570">
        <f>IF($CM570="","",IF($CM570="Aloe Vera Gel","Aloe Vera Gel "&amp;$CO570&amp;"g",CN570&amp;" "&amp;$CO570&amp;"g"))</f>
        <v/>
      </c>
      <c r="CQ570">
        <f>IF($AT570="",0,1)</f>
        <v/>
      </c>
      <c r="CR570">
        <f>IF($CQ570=0,"",AW570)</f>
        <v/>
      </c>
      <c r="CS570">
        <f>IF($CQ570=0,"",AX570)</f>
        <v/>
      </c>
      <c r="CT570">
        <f>IF($CQ570=0,"",AY570)</f>
        <v/>
      </c>
      <c r="CU570">
        <f>IF($CR570="","",IF($CR570="Aloe Vera Gel","Aloe Vera Gel "&amp;$CT570&amp;"g",CS570&amp;" "&amp;$CT570&amp;"g"))</f>
        <v/>
      </c>
      <c r="CV570">
        <f>IF($CQ570=0,"",IF($CP570=$CU570,"Repeat Exact",IF($CT570&gt;$CO570,"Upsized",IF($CT570&lt;$CO570,"Downsized",IF($CM570&lt;&gt;$CR570,"Lateral","Same Size Diff Variant")))))</f>
        <v/>
      </c>
      <c r="CW570">
        <f>IF($CQ570=0,"",AZ570-AQ570)</f>
        <v/>
      </c>
      <c r="CX570">
        <f>IF($CQ570=0,0,IF(CS570=CN570,1,0))</f>
        <v/>
      </c>
      <c r="CY570">
        <f>IF($CQ570=0,0,IF(CR570=CM570,1,0))</f>
        <v/>
      </c>
      <c r="CZ570">
        <f>IF($A570="","",IF(AND(IF(DASHBOARD!$C$4="All",TRUE,$CM570=DASHBOARD!$C$4),IF(DASHBOARD!$C$6="All",TRUE,$CP570=DASHBOARD!$C$6),IF(DASHBOARD!$C$8="All",TRUE,$AF570&gt;=DASHBOARD!$C$8),IF(DASHBOARD!$C$10="All",TRUE,$AF570&lt;=DASHBOARD!$C$10),IF(DASHBOARD!$C$12="All",TRUE,$AH570=VALUE(DASHBOARD!$C$12)),IF(DASHBOARD!$C$14="All",TRUE,$AJ570=DASHBOARD!$C$14)),1,0))</f>
        <v/>
      </c>
    </row>
    <row r="571">
      <c r="A571" t="n">
        <v>249982</v>
      </c>
      <c r="B571" t="inlineStr">
        <is>
          <t>Face Malai</t>
        </is>
      </c>
      <c r="H571" t="inlineStr">
        <is>
          <t>Tomato Patchouli (Cold) 20 - 35 Yrs Face Malai</t>
        </is>
      </c>
      <c r="N571" t="inlineStr">
        <is>
          <t>FC-CWDM-TP-030</t>
        </is>
      </c>
      <c r="T571" t="inlineStr">
        <is>
          <t>Oct 13, 2024</t>
        </is>
      </c>
      <c r="AE571" t="inlineStr">
        <is>
          <t>Chandrapur</t>
        </is>
      </c>
      <c r="AF571" t="inlineStr">
        <is>
          <t>2024-10</t>
        </is>
      </c>
      <c r="AG571" t="n">
        <v>10</v>
      </c>
      <c r="AH571" t="n">
        <v>1</v>
      </c>
      <c r="AI571" t="n">
        <v>0</v>
      </c>
      <c r="AJ571">
        <f>IF($AE571="","",IFERROR(VLOOKUP(TRIM($AE571),DECODE!$H$3:$I$60,2,FALSE),"Rest of India"))</f>
        <v/>
      </c>
      <c r="AK571">
        <f>IF($N571="","",UPPER(TRIM(LEFT($N571&amp;",",FIND(",",$N571&amp;",")-1))))</f>
        <v/>
      </c>
      <c r="AL571">
        <f>IF($AK571="","",MID($AK571,4,FIND("~",SUBSTITUTE($AK571,"-","~",2))-4))</f>
        <v/>
      </c>
      <c r="AM571">
        <f>IF($AK571="","",MID($AK571,FIND("~",SUBSTITUTE($AK571,"-","~",2))+1,FIND("~",SUBSTITUTE($AK571,"-","~",3))-FIND("~",SUBSTITUTE($AK571,"-","~",2))-1))</f>
        <v/>
      </c>
      <c r="AN571">
        <f>IF($AL571="","",IFERROR(VLOOKUP($AL571,DECODE!$A$3:$C$8,3,FALSE),"?"))</f>
        <v/>
      </c>
      <c r="AO571">
        <f>IF($AM571="","",IFERROR(VLOOKUP($AL571&amp;"-"&amp;$AM571,DECODE!$E$3:$F$21,2,FALSE),"?"))</f>
        <v/>
      </c>
      <c r="AP571">
        <f>IF($AK571="","",IFERROR(VALUE(RIGHT($AK571,3)),""))</f>
        <v/>
      </c>
      <c r="AQ571">
        <f>IF($T571="","",IFERROR(IF(ISNUMBER($T571),$T571,DATEVALUE(TRIM($T571))),""))</f>
        <v/>
      </c>
      <c r="AR571">
        <f>IF($AQ571="","",IF(MONTH($AQ571)&gt;=12,"Cold Winter",IF(MONTH($AQ571)&gt;=10,"Post-Monsoon",IF(MONTH($AQ571)&gt;=6,"Hot Humid",IF(MONTH($AQ571)&gt;=3,"Hot Dry","Cold Winter")))))</f>
        <v/>
      </c>
      <c r="AS571">
        <f>IF($AL571="","",IFERROR(VLOOKUP($AL571,DECODE!$A$3:$C$8,2,FALSE),"?"))</f>
        <v/>
      </c>
      <c r="AT571">
        <f>IF($O571="","",UPPER(TRIM(LEFT($O571&amp;",",FIND(",",$O571&amp;",")-1))))</f>
        <v/>
      </c>
      <c r="AU571">
        <f>IF($AT571="","",MID($AT571,4,FIND("~",SUBSTITUTE($AT571,"-","~",2))-4))</f>
        <v/>
      </c>
      <c r="AV571">
        <f>IF($AT571="","",MID($AT571,FIND("~",SUBSTITUTE($AT571,"-","~",2))+1,FIND("~",SUBSTITUTE($AT571,"-","~",3))-FIND("~",SUBSTITUTE($AT571,"-","~",2))-1))</f>
        <v/>
      </c>
      <c r="AW571">
        <f>IF($AU571="","",IFERROR(VLOOKUP($AU571,DECODE!$A$3:$C$8,3,FALSE),"?"))</f>
        <v/>
      </c>
      <c r="AX571">
        <f>IF($AV571="","",IFERROR(VLOOKUP($AU571&amp;"-"&amp;$AV571,DECODE!$E$3:$F$21,2,FALSE),"?"))</f>
        <v/>
      </c>
      <c r="AY571">
        <f>IF($AT571="","",IFERROR(VALUE(RIGHT($AT571,3)),""))</f>
        <v/>
      </c>
      <c r="AZ571">
        <f>IF($U571="","",IFERROR(IF(ISNUMBER($U571),$U571,DATEVALUE(TRIM($U571))),""))</f>
        <v/>
      </c>
      <c r="BA571">
        <f>IF($AZ571="","",IF(MONTH($AZ571)&gt;=12,"Cold Winter",IF(MONTH($AZ571)&gt;=10,"Post-Monsoon",IF(MONTH($AZ571)&gt;=6,"Hot Humid",IF(MONTH($AZ571)&gt;=3,"Hot Dry","Cold Winter")))))</f>
        <v/>
      </c>
      <c r="BB571">
        <f>IF($AU571="","",IFERROR(VLOOKUP($AU571,DECODE!$A$3:$C$8,2,FALSE),"?"))</f>
        <v/>
      </c>
      <c r="BC571">
        <f>IF($P571="","",UPPER(TRIM(LEFT($P571&amp;",",FIND(",",$P571&amp;",")-1))))</f>
        <v/>
      </c>
      <c r="BD571">
        <f>IF($BC571="","",MID($BC571,4,FIND("~",SUBSTITUTE($BC571,"-","~",2))-4))</f>
        <v/>
      </c>
      <c r="BE571">
        <f>IF($BC571="","",MID($BC571,FIND("~",SUBSTITUTE($BC571,"-","~",2))+1,FIND("~",SUBSTITUTE($BC571,"-","~",3))-FIND("~",SUBSTITUTE($BC571,"-","~",2))-1))</f>
        <v/>
      </c>
      <c r="BF571">
        <f>IF($BD571="","",IFERROR(VLOOKUP($BD571,DECODE!$A$3:$C$8,3,FALSE),"?"))</f>
        <v/>
      </c>
      <c r="BG571">
        <f>IF($BE571="","",IFERROR(VLOOKUP($BD571&amp;"-"&amp;$BE571,DECODE!$E$3:$F$21,2,FALSE),"?"))</f>
        <v/>
      </c>
      <c r="BH571">
        <f>IF($BC571="","",IFERROR(VALUE(RIGHT($BC571,3)),""))</f>
        <v/>
      </c>
      <c r="BI571">
        <f>IF($V571="","",IFERROR(IF(ISNUMBER($V571),$V571,DATEVALUE(TRIM($V571))),""))</f>
        <v/>
      </c>
      <c r="BJ571">
        <f>IF($BI571="","",IF(MONTH($BI571)&gt;=12,"Cold Winter",IF(MONTH($BI571)&gt;=10,"Post-Monsoon",IF(MONTH($BI571)&gt;=6,"Hot Humid",IF(MONTH($BI571)&gt;=3,"Hot Dry","Cold Winter")))))</f>
        <v/>
      </c>
      <c r="BK571">
        <f>IF($BD571="","",IFERROR(VLOOKUP($BD571,DECODE!$A$3:$C$8,2,FALSE),"?"))</f>
        <v/>
      </c>
      <c r="BL571">
        <f>IF($Q571="","",UPPER(TRIM(LEFT($Q571&amp;",",FIND(",",$Q571&amp;",")-1))))</f>
        <v/>
      </c>
      <c r="BM571">
        <f>IF($BL571="","",MID($BL571,4,FIND("~",SUBSTITUTE($BL571,"-","~",2))-4))</f>
        <v/>
      </c>
      <c r="BN571">
        <f>IF($BL571="","",MID($BL571,FIND("~",SUBSTITUTE($BL571,"-","~",2))+1,FIND("~",SUBSTITUTE($BL571,"-","~",3))-FIND("~",SUBSTITUTE($BL571,"-","~",2))-1))</f>
        <v/>
      </c>
      <c r="BO571">
        <f>IF($BM571="","",IFERROR(VLOOKUP($BM571,DECODE!$A$3:$C$8,3,FALSE),"?"))</f>
        <v/>
      </c>
      <c r="BP571">
        <f>IF($BN571="","",IFERROR(VLOOKUP($BM571&amp;"-"&amp;$BN571,DECODE!$E$3:$F$21,2,FALSE),"?"))</f>
        <v/>
      </c>
      <c r="BQ571">
        <f>IF($BL571="","",IFERROR(VALUE(RIGHT($BL571,3)),""))</f>
        <v/>
      </c>
      <c r="BR571">
        <f>IF($W571="","",IFERROR(IF(ISNUMBER($W571),$W571,DATEVALUE(TRIM($W571))),""))</f>
        <v/>
      </c>
      <c r="BS571">
        <f>IF($BR571="","",IF(MONTH($BR571)&gt;=12,"Cold Winter",IF(MONTH($BR571)&gt;=10,"Post-Monsoon",IF(MONTH($BR571)&gt;=6,"Hot Humid",IF(MONTH($BR571)&gt;=3,"Hot Dry","Cold Winter")))))</f>
        <v/>
      </c>
      <c r="BT571">
        <f>IF($BM571="","",IFERROR(VLOOKUP($BM571,DECODE!$A$3:$C$8,2,FALSE),"?"))</f>
        <v/>
      </c>
      <c r="BU571">
        <f>IF($R571="","",UPPER(TRIM(LEFT($R571&amp;",",FIND(",",$R571&amp;",")-1))))</f>
        <v/>
      </c>
      <c r="BV571">
        <f>IF($BU571="","",MID($BU571,4,FIND("~",SUBSTITUTE($BU571,"-","~",2))-4))</f>
        <v/>
      </c>
      <c r="BW571">
        <f>IF($BU571="","",MID($BU571,FIND("~",SUBSTITUTE($BU571,"-","~",2))+1,FIND("~",SUBSTITUTE($BU571,"-","~",3))-FIND("~",SUBSTITUTE($BU571,"-","~",2))-1))</f>
        <v/>
      </c>
      <c r="BX571">
        <f>IF($BV571="","",IFERROR(VLOOKUP($BV571,DECODE!$A$3:$C$8,3,FALSE),"?"))</f>
        <v/>
      </c>
      <c r="BY571">
        <f>IF($BW571="","",IFERROR(VLOOKUP($BV571&amp;"-"&amp;$BW571,DECODE!$E$3:$F$21,2,FALSE),"?"))</f>
        <v/>
      </c>
      <c r="BZ571">
        <f>IF($BU571="","",IFERROR(VALUE(RIGHT($BU571,3)),""))</f>
        <v/>
      </c>
      <c r="CA571">
        <f>IF($X571="","",IFERROR(IF(ISNUMBER($X571),$X571,DATEVALUE(TRIM($X571))),""))</f>
        <v/>
      </c>
      <c r="CB571">
        <f>IF($CA571="","",IF(MONTH($CA571)&gt;=12,"Cold Winter",IF(MONTH($CA571)&gt;=10,"Post-Monsoon",IF(MONTH($CA571)&gt;=6,"Hot Humid",IF(MONTH($CA571)&gt;=3,"Hot Dry","Cold Winter")))))</f>
        <v/>
      </c>
      <c r="CC571">
        <f>IF($BV571="","",IFERROR(VLOOKUP($BV571,DECODE!$A$3:$C$8,2,FALSE),"?"))</f>
        <v/>
      </c>
      <c r="CD571">
        <f>IF($S571="","",UPPER(TRIM(LEFT($S571&amp;",",FIND(",",$S571&amp;",")-1))))</f>
        <v/>
      </c>
      <c r="CE571">
        <f>IF($CD571="","",MID($CD571,4,FIND("~",SUBSTITUTE($CD571,"-","~",2))-4))</f>
        <v/>
      </c>
      <c r="CF571">
        <f>IF($CD571="","",MID($CD571,FIND("~",SUBSTITUTE($CD571,"-","~",2))+1,FIND("~",SUBSTITUTE($CD571,"-","~",3))-FIND("~",SUBSTITUTE($CD571,"-","~",2))-1))</f>
        <v/>
      </c>
      <c r="CG571">
        <f>IF($CE571="","",IFERROR(VLOOKUP($CE571,DECODE!$A$3:$C$8,3,FALSE),"?"))</f>
        <v/>
      </c>
      <c r="CH571">
        <f>IF($CF571="","",IFERROR(VLOOKUP($CE571&amp;"-"&amp;$CF571,DECODE!$E$3:$F$21,2,FALSE),"?"))</f>
        <v/>
      </c>
      <c r="CI571">
        <f>IF($CD571="","",IFERROR(VALUE(RIGHT($CD571,3)),""))</f>
        <v/>
      </c>
      <c r="CJ571">
        <f>IF($Y571="","",IFERROR(IF(ISNUMBER($Y571),$Y571,DATEVALUE(TRIM($Y571))),""))</f>
        <v/>
      </c>
      <c r="CK571">
        <f>IF($CJ571="","",IF(MONTH($CJ571)&gt;=12,"Cold Winter",IF(MONTH($CJ571)&gt;=10,"Post-Monsoon",IF(MONTH($CJ571)&gt;=6,"Hot Humid",IF(MONTH($CJ571)&gt;=3,"Hot Dry","Cold Winter")))))</f>
        <v/>
      </c>
      <c r="CL571">
        <f>IF($CE571="","",IFERROR(VLOOKUP($CE571,DECODE!$A$3:$C$8,2,FALSE),"?"))</f>
        <v/>
      </c>
      <c r="CM571">
        <f>IF($AN571="","",AN571)</f>
        <v/>
      </c>
      <c r="CN571">
        <f>IF($AO571="","",AO571)</f>
        <v/>
      </c>
      <c r="CO571">
        <f>IF($AP571="","",AP571)</f>
        <v/>
      </c>
      <c r="CP571">
        <f>IF($CM571="","",IF($CM571="Aloe Vera Gel","Aloe Vera Gel "&amp;$CO571&amp;"g",CN571&amp;" "&amp;$CO571&amp;"g"))</f>
        <v/>
      </c>
      <c r="CQ571">
        <f>IF($AT571="",0,1)</f>
        <v/>
      </c>
      <c r="CR571">
        <f>IF($CQ571=0,"",AW571)</f>
        <v/>
      </c>
      <c r="CS571">
        <f>IF($CQ571=0,"",AX571)</f>
        <v/>
      </c>
      <c r="CT571">
        <f>IF($CQ571=0,"",AY571)</f>
        <v/>
      </c>
      <c r="CU571">
        <f>IF($CR571="","",IF($CR571="Aloe Vera Gel","Aloe Vera Gel "&amp;$CT571&amp;"g",CS571&amp;" "&amp;$CT571&amp;"g"))</f>
        <v/>
      </c>
      <c r="CV571">
        <f>IF($CQ571=0,"",IF($CP571=$CU571,"Repeat Exact",IF($CT571&gt;$CO571,"Upsized",IF($CT571&lt;$CO571,"Downsized",IF($CM571&lt;&gt;$CR571,"Lateral","Same Size Diff Variant")))))</f>
        <v/>
      </c>
      <c r="CW571">
        <f>IF($CQ571=0,"",AZ571-AQ571)</f>
        <v/>
      </c>
      <c r="CX571">
        <f>IF($CQ571=0,0,IF(CS571=CN571,1,0))</f>
        <v/>
      </c>
      <c r="CY571">
        <f>IF($CQ571=0,0,IF(CR571=CM571,1,0))</f>
        <v/>
      </c>
      <c r="CZ571">
        <f>IF($A571="","",IF(AND(IF(DASHBOARD!$C$4="All",TRUE,$CM571=DASHBOARD!$C$4),IF(DASHBOARD!$C$6="All",TRUE,$CP571=DASHBOARD!$C$6),IF(DASHBOARD!$C$8="All",TRUE,$AF571&gt;=DASHBOARD!$C$8),IF(DASHBOARD!$C$10="All",TRUE,$AF571&lt;=DASHBOARD!$C$10),IF(DASHBOARD!$C$12="All",TRUE,$AH571=VALUE(DASHBOARD!$C$12)),IF(DASHBOARD!$C$14="All",TRUE,$AJ571=DASHBOARD!$C$14)),1,0))</f>
        <v/>
      </c>
    </row>
    <row r="572">
      <c r="A572" t="n">
        <v>250015</v>
      </c>
      <c r="B572" t="inlineStr">
        <is>
          <t>Active Gel</t>
        </is>
      </c>
      <c r="H572" t="inlineStr">
        <is>
          <t>Active Neem TeaTree Gel</t>
        </is>
      </c>
      <c r="N572" t="inlineStr">
        <is>
          <t>FC-AC-NT-050</t>
        </is>
      </c>
      <c r="T572" t="inlineStr">
        <is>
          <t>Apr 20, 2026</t>
        </is>
      </c>
      <c r="AE572" t="inlineStr">
        <is>
          <t>Bengaluru</t>
        </is>
      </c>
      <c r="AF572" t="inlineStr">
        <is>
          <t>2026-04</t>
        </is>
      </c>
      <c r="AG572" t="n">
        <v>4</v>
      </c>
      <c r="AH572" t="n">
        <v>1</v>
      </c>
      <c r="AI572" t="n">
        <v>0</v>
      </c>
      <c r="AJ572">
        <f>IF($AE572="","",IFERROR(VLOOKUP(TRIM($AE572),DECODE!$H$3:$I$60,2,FALSE),"Rest of India"))</f>
        <v/>
      </c>
      <c r="AK572">
        <f>IF($N572="","",UPPER(TRIM(LEFT($N572&amp;",",FIND(",",$N572&amp;",")-1))))</f>
        <v/>
      </c>
      <c r="AL572">
        <f>IF($AK572="","",MID($AK572,4,FIND("~",SUBSTITUTE($AK572,"-","~",2))-4))</f>
        <v/>
      </c>
      <c r="AM572">
        <f>IF($AK572="","",MID($AK572,FIND("~",SUBSTITUTE($AK572,"-","~",2))+1,FIND("~",SUBSTITUTE($AK572,"-","~",3))-FIND("~",SUBSTITUTE($AK572,"-","~",2))-1))</f>
        <v/>
      </c>
      <c r="AN572">
        <f>IF($AL572="","",IFERROR(VLOOKUP($AL572,DECODE!$A$3:$C$8,3,FALSE),"?"))</f>
        <v/>
      </c>
      <c r="AO572">
        <f>IF($AM572="","",IFERROR(VLOOKUP($AL572&amp;"-"&amp;$AM572,DECODE!$E$3:$F$21,2,FALSE),"?"))</f>
        <v/>
      </c>
      <c r="AP572">
        <f>IF($AK572="","",IFERROR(VALUE(RIGHT($AK572,3)),""))</f>
        <v/>
      </c>
      <c r="AQ572">
        <f>IF($T572="","",IFERROR(IF(ISNUMBER($T572),$T572,DATEVALUE(TRIM($T572))),""))</f>
        <v/>
      </c>
      <c r="AR572">
        <f>IF($AQ572="","",IF(MONTH($AQ572)&gt;=12,"Cold Winter",IF(MONTH($AQ572)&gt;=10,"Post-Monsoon",IF(MONTH($AQ572)&gt;=6,"Hot Humid",IF(MONTH($AQ572)&gt;=3,"Hot Dry","Cold Winter")))))</f>
        <v/>
      </c>
      <c r="AS572">
        <f>IF($AL572="","",IFERROR(VLOOKUP($AL572,DECODE!$A$3:$C$8,2,FALSE),"?"))</f>
        <v/>
      </c>
      <c r="AT572">
        <f>IF($O572="","",UPPER(TRIM(LEFT($O572&amp;",",FIND(",",$O572&amp;",")-1))))</f>
        <v/>
      </c>
      <c r="AU572">
        <f>IF($AT572="","",MID($AT572,4,FIND("~",SUBSTITUTE($AT572,"-","~",2))-4))</f>
        <v/>
      </c>
      <c r="AV572">
        <f>IF($AT572="","",MID($AT572,FIND("~",SUBSTITUTE($AT572,"-","~",2))+1,FIND("~",SUBSTITUTE($AT572,"-","~",3))-FIND("~",SUBSTITUTE($AT572,"-","~",2))-1))</f>
        <v/>
      </c>
      <c r="AW572">
        <f>IF($AU572="","",IFERROR(VLOOKUP($AU572,DECODE!$A$3:$C$8,3,FALSE),"?"))</f>
        <v/>
      </c>
      <c r="AX572">
        <f>IF($AV572="","",IFERROR(VLOOKUP($AU572&amp;"-"&amp;$AV572,DECODE!$E$3:$F$21,2,FALSE),"?"))</f>
        <v/>
      </c>
      <c r="AY572">
        <f>IF($AT572="","",IFERROR(VALUE(RIGHT($AT572,3)),""))</f>
        <v/>
      </c>
      <c r="AZ572">
        <f>IF($U572="","",IFERROR(IF(ISNUMBER($U572),$U572,DATEVALUE(TRIM($U572))),""))</f>
        <v/>
      </c>
      <c r="BA572">
        <f>IF($AZ572="","",IF(MONTH($AZ572)&gt;=12,"Cold Winter",IF(MONTH($AZ572)&gt;=10,"Post-Monsoon",IF(MONTH($AZ572)&gt;=6,"Hot Humid",IF(MONTH($AZ572)&gt;=3,"Hot Dry","Cold Winter")))))</f>
        <v/>
      </c>
      <c r="BB572">
        <f>IF($AU572="","",IFERROR(VLOOKUP($AU572,DECODE!$A$3:$C$8,2,FALSE),"?"))</f>
        <v/>
      </c>
      <c r="BC572">
        <f>IF($P572="","",UPPER(TRIM(LEFT($P572&amp;",",FIND(",",$P572&amp;",")-1))))</f>
        <v/>
      </c>
      <c r="BD572">
        <f>IF($BC572="","",MID($BC572,4,FIND("~",SUBSTITUTE($BC572,"-","~",2))-4))</f>
        <v/>
      </c>
      <c r="BE572">
        <f>IF($BC572="","",MID($BC572,FIND("~",SUBSTITUTE($BC572,"-","~",2))+1,FIND("~",SUBSTITUTE($BC572,"-","~",3))-FIND("~",SUBSTITUTE($BC572,"-","~",2))-1))</f>
        <v/>
      </c>
      <c r="BF572">
        <f>IF($BD572="","",IFERROR(VLOOKUP($BD572,DECODE!$A$3:$C$8,3,FALSE),"?"))</f>
        <v/>
      </c>
      <c r="BG572">
        <f>IF($BE572="","",IFERROR(VLOOKUP($BD572&amp;"-"&amp;$BE572,DECODE!$E$3:$F$21,2,FALSE),"?"))</f>
        <v/>
      </c>
      <c r="BH572">
        <f>IF($BC572="","",IFERROR(VALUE(RIGHT($BC572,3)),""))</f>
        <v/>
      </c>
      <c r="BI572">
        <f>IF($V572="","",IFERROR(IF(ISNUMBER($V572),$V572,DATEVALUE(TRIM($V572))),""))</f>
        <v/>
      </c>
      <c r="BJ572">
        <f>IF($BI572="","",IF(MONTH($BI572)&gt;=12,"Cold Winter",IF(MONTH($BI572)&gt;=10,"Post-Monsoon",IF(MONTH($BI572)&gt;=6,"Hot Humid",IF(MONTH($BI572)&gt;=3,"Hot Dry","Cold Winter")))))</f>
        <v/>
      </c>
      <c r="BK572">
        <f>IF($BD572="","",IFERROR(VLOOKUP($BD572,DECODE!$A$3:$C$8,2,FALSE),"?"))</f>
        <v/>
      </c>
      <c r="BL572">
        <f>IF($Q572="","",UPPER(TRIM(LEFT($Q572&amp;",",FIND(",",$Q572&amp;",")-1))))</f>
        <v/>
      </c>
      <c r="BM572">
        <f>IF($BL572="","",MID($BL572,4,FIND("~",SUBSTITUTE($BL572,"-","~",2))-4))</f>
        <v/>
      </c>
      <c r="BN572">
        <f>IF($BL572="","",MID($BL572,FIND("~",SUBSTITUTE($BL572,"-","~",2))+1,FIND("~",SUBSTITUTE($BL572,"-","~",3))-FIND("~",SUBSTITUTE($BL572,"-","~",2))-1))</f>
        <v/>
      </c>
      <c r="BO572">
        <f>IF($BM572="","",IFERROR(VLOOKUP($BM572,DECODE!$A$3:$C$8,3,FALSE),"?"))</f>
        <v/>
      </c>
      <c r="BP572">
        <f>IF($BN572="","",IFERROR(VLOOKUP($BM572&amp;"-"&amp;$BN572,DECODE!$E$3:$F$21,2,FALSE),"?"))</f>
        <v/>
      </c>
      <c r="BQ572">
        <f>IF($BL572="","",IFERROR(VALUE(RIGHT($BL572,3)),""))</f>
        <v/>
      </c>
      <c r="BR572">
        <f>IF($W572="","",IFERROR(IF(ISNUMBER($W572),$W572,DATEVALUE(TRIM($W572))),""))</f>
        <v/>
      </c>
      <c r="BS572">
        <f>IF($BR572="","",IF(MONTH($BR572)&gt;=12,"Cold Winter",IF(MONTH($BR572)&gt;=10,"Post-Monsoon",IF(MONTH($BR572)&gt;=6,"Hot Humid",IF(MONTH($BR572)&gt;=3,"Hot Dry","Cold Winter")))))</f>
        <v/>
      </c>
      <c r="BT572">
        <f>IF($BM572="","",IFERROR(VLOOKUP($BM572,DECODE!$A$3:$C$8,2,FALSE),"?"))</f>
        <v/>
      </c>
      <c r="BU572">
        <f>IF($R572="","",UPPER(TRIM(LEFT($R572&amp;",",FIND(",",$R572&amp;",")-1))))</f>
        <v/>
      </c>
      <c r="BV572">
        <f>IF($BU572="","",MID($BU572,4,FIND("~",SUBSTITUTE($BU572,"-","~",2))-4))</f>
        <v/>
      </c>
      <c r="BW572">
        <f>IF($BU572="","",MID($BU572,FIND("~",SUBSTITUTE($BU572,"-","~",2))+1,FIND("~",SUBSTITUTE($BU572,"-","~",3))-FIND("~",SUBSTITUTE($BU572,"-","~",2))-1))</f>
        <v/>
      </c>
      <c r="BX572">
        <f>IF($BV572="","",IFERROR(VLOOKUP($BV572,DECODE!$A$3:$C$8,3,FALSE),"?"))</f>
        <v/>
      </c>
      <c r="BY572">
        <f>IF($BW572="","",IFERROR(VLOOKUP($BV572&amp;"-"&amp;$BW572,DECODE!$E$3:$F$21,2,FALSE),"?"))</f>
        <v/>
      </c>
      <c r="BZ572">
        <f>IF($BU572="","",IFERROR(VALUE(RIGHT($BU572,3)),""))</f>
        <v/>
      </c>
      <c r="CA572">
        <f>IF($X572="","",IFERROR(IF(ISNUMBER($X572),$X572,DATEVALUE(TRIM($X572))),""))</f>
        <v/>
      </c>
      <c r="CB572">
        <f>IF($CA572="","",IF(MONTH($CA572)&gt;=12,"Cold Winter",IF(MONTH($CA572)&gt;=10,"Post-Monsoon",IF(MONTH($CA572)&gt;=6,"Hot Humid",IF(MONTH($CA572)&gt;=3,"Hot Dry","Cold Winter")))))</f>
        <v/>
      </c>
      <c r="CC572">
        <f>IF($BV572="","",IFERROR(VLOOKUP($BV572,DECODE!$A$3:$C$8,2,FALSE),"?"))</f>
        <v/>
      </c>
      <c r="CD572">
        <f>IF($S572="","",UPPER(TRIM(LEFT($S572&amp;",",FIND(",",$S572&amp;",")-1))))</f>
        <v/>
      </c>
      <c r="CE572">
        <f>IF($CD572="","",MID($CD572,4,FIND("~",SUBSTITUTE($CD572,"-","~",2))-4))</f>
        <v/>
      </c>
      <c r="CF572">
        <f>IF($CD572="","",MID($CD572,FIND("~",SUBSTITUTE($CD572,"-","~",2))+1,FIND("~",SUBSTITUTE($CD572,"-","~",3))-FIND("~",SUBSTITUTE($CD572,"-","~",2))-1))</f>
        <v/>
      </c>
      <c r="CG572">
        <f>IF($CE572="","",IFERROR(VLOOKUP($CE572,DECODE!$A$3:$C$8,3,FALSE),"?"))</f>
        <v/>
      </c>
      <c r="CH572">
        <f>IF($CF572="","",IFERROR(VLOOKUP($CE572&amp;"-"&amp;$CF572,DECODE!$E$3:$F$21,2,FALSE),"?"))</f>
        <v/>
      </c>
      <c r="CI572">
        <f>IF($CD572="","",IFERROR(VALUE(RIGHT($CD572,3)),""))</f>
        <v/>
      </c>
      <c r="CJ572">
        <f>IF($Y572="","",IFERROR(IF(ISNUMBER($Y572),$Y572,DATEVALUE(TRIM($Y572))),""))</f>
        <v/>
      </c>
      <c r="CK572">
        <f>IF($CJ572="","",IF(MONTH($CJ572)&gt;=12,"Cold Winter",IF(MONTH($CJ572)&gt;=10,"Post-Monsoon",IF(MONTH($CJ572)&gt;=6,"Hot Humid",IF(MONTH($CJ572)&gt;=3,"Hot Dry","Cold Winter")))))</f>
        <v/>
      </c>
      <c r="CL572">
        <f>IF($CE572="","",IFERROR(VLOOKUP($CE572,DECODE!$A$3:$C$8,2,FALSE),"?"))</f>
        <v/>
      </c>
      <c r="CM572">
        <f>IF($AN572="","",AN572)</f>
        <v/>
      </c>
      <c r="CN572">
        <f>IF($AO572="","",AO572)</f>
        <v/>
      </c>
      <c r="CO572">
        <f>IF($AP572="","",AP572)</f>
        <v/>
      </c>
      <c r="CP572">
        <f>IF($CM572="","",IF($CM572="Aloe Vera Gel","Aloe Vera Gel "&amp;$CO572&amp;"g",CN572&amp;" "&amp;$CO572&amp;"g"))</f>
        <v/>
      </c>
      <c r="CQ572">
        <f>IF($AT572="",0,1)</f>
        <v/>
      </c>
      <c r="CR572">
        <f>IF($CQ572=0,"",AW572)</f>
        <v/>
      </c>
      <c r="CS572">
        <f>IF($CQ572=0,"",AX572)</f>
        <v/>
      </c>
      <c r="CT572">
        <f>IF($CQ572=0,"",AY572)</f>
        <v/>
      </c>
      <c r="CU572">
        <f>IF($CR572="","",IF($CR572="Aloe Vera Gel","Aloe Vera Gel "&amp;$CT572&amp;"g",CS572&amp;" "&amp;$CT572&amp;"g"))</f>
        <v/>
      </c>
      <c r="CV572">
        <f>IF($CQ572=0,"",IF($CP572=$CU572,"Repeat Exact",IF($CT572&gt;$CO572,"Upsized",IF($CT572&lt;$CO572,"Downsized",IF($CM572&lt;&gt;$CR572,"Lateral","Same Size Diff Variant")))))</f>
        <v/>
      </c>
      <c r="CW572">
        <f>IF($CQ572=0,"",AZ572-AQ572)</f>
        <v/>
      </c>
      <c r="CX572">
        <f>IF($CQ572=0,0,IF(CS572=CN572,1,0))</f>
        <v/>
      </c>
      <c r="CY572">
        <f>IF($CQ572=0,0,IF(CR572=CM572,1,0))</f>
        <v/>
      </c>
      <c r="CZ572">
        <f>IF($A572="","",IF(AND(IF(DASHBOARD!$C$4="All",TRUE,$CM572=DASHBOARD!$C$4),IF(DASHBOARD!$C$6="All",TRUE,$CP572=DASHBOARD!$C$6),IF(DASHBOARD!$C$8="All",TRUE,$AF572&gt;=DASHBOARD!$C$8),IF(DASHBOARD!$C$10="All",TRUE,$AF572&lt;=DASHBOARD!$C$10),IF(DASHBOARD!$C$12="All",TRUE,$AH572=VALUE(DASHBOARD!$C$12)),IF(DASHBOARD!$C$14="All",TRUE,$AJ572=DASHBOARD!$C$14)),1,0))</f>
        <v/>
      </c>
    </row>
    <row r="573">
      <c r="A573" t="n">
        <v>250242</v>
      </c>
      <c r="B573" t="inlineStr">
        <is>
          <t>Aloe Vera Gel</t>
        </is>
      </c>
      <c r="H573" t="inlineStr">
        <is>
          <t>Aloe Vera Gel - 80 gms</t>
        </is>
      </c>
      <c r="N573" t="inlineStr">
        <is>
          <t>FC-HG-PA-080</t>
        </is>
      </c>
      <c r="T573" t="inlineStr">
        <is>
          <t>Apr 16, 2025</t>
        </is>
      </c>
      <c r="AE573" t="inlineStr">
        <is>
          <t>Bengaluru</t>
        </is>
      </c>
      <c r="AF573" t="inlineStr">
        <is>
          <t>2025-04</t>
        </is>
      </c>
      <c r="AG573" t="n">
        <v>4</v>
      </c>
      <c r="AH573" t="n">
        <v>1</v>
      </c>
      <c r="AI573" t="n">
        <v>0</v>
      </c>
      <c r="AJ573">
        <f>IF($AE573="","",IFERROR(VLOOKUP(TRIM($AE573),DECODE!$H$3:$I$60,2,FALSE),"Rest of India"))</f>
        <v/>
      </c>
      <c r="AK573">
        <f>IF($N573="","",UPPER(TRIM(LEFT($N573&amp;",",FIND(",",$N573&amp;",")-1))))</f>
        <v/>
      </c>
      <c r="AL573">
        <f>IF($AK573="","",MID($AK573,4,FIND("~",SUBSTITUTE($AK573,"-","~",2))-4))</f>
        <v/>
      </c>
      <c r="AM573">
        <f>IF($AK573="","",MID($AK573,FIND("~",SUBSTITUTE($AK573,"-","~",2))+1,FIND("~",SUBSTITUTE($AK573,"-","~",3))-FIND("~",SUBSTITUTE($AK573,"-","~",2))-1))</f>
        <v/>
      </c>
      <c r="AN573">
        <f>IF($AL573="","",IFERROR(VLOOKUP($AL573,DECODE!$A$3:$C$8,3,FALSE),"?"))</f>
        <v/>
      </c>
      <c r="AO573">
        <f>IF($AM573="","",IFERROR(VLOOKUP($AL573&amp;"-"&amp;$AM573,DECODE!$E$3:$F$21,2,FALSE),"?"))</f>
        <v/>
      </c>
      <c r="AP573">
        <f>IF($AK573="","",IFERROR(VALUE(RIGHT($AK573,3)),""))</f>
        <v/>
      </c>
      <c r="AQ573">
        <f>IF($T573="","",IFERROR(IF(ISNUMBER($T573),$T573,DATEVALUE(TRIM($T573))),""))</f>
        <v/>
      </c>
      <c r="AR573">
        <f>IF($AQ573="","",IF(MONTH($AQ573)&gt;=12,"Cold Winter",IF(MONTH($AQ573)&gt;=10,"Post-Monsoon",IF(MONTH($AQ573)&gt;=6,"Hot Humid",IF(MONTH($AQ573)&gt;=3,"Hot Dry","Cold Winter")))))</f>
        <v/>
      </c>
      <c r="AS573">
        <f>IF($AL573="","",IFERROR(VLOOKUP($AL573,DECODE!$A$3:$C$8,2,FALSE),"?"))</f>
        <v/>
      </c>
      <c r="AT573">
        <f>IF($O573="","",UPPER(TRIM(LEFT($O573&amp;",",FIND(",",$O573&amp;",")-1))))</f>
        <v/>
      </c>
      <c r="AU573">
        <f>IF($AT573="","",MID($AT573,4,FIND("~",SUBSTITUTE($AT573,"-","~",2))-4))</f>
        <v/>
      </c>
      <c r="AV573">
        <f>IF($AT573="","",MID($AT573,FIND("~",SUBSTITUTE($AT573,"-","~",2))+1,FIND("~",SUBSTITUTE($AT573,"-","~",3))-FIND("~",SUBSTITUTE($AT573,"-","~",2))-1))</f>
        <v/>
      </c>
      <c r="AW573">
        <f>IF($AU573="","",IFERROR(VLOOKUP($AU573,DECODE!$A$3:$C$8,3,FALSE),"?"))</f>
        <v/>
      </c>
      <c r="AX573">
        <f>IF($AV573="","",IFERROR(VLOOKUP($AU573&amp;"-"&amp;$AV573,DECODE!$E$3:$F$21,2,FALSE),"?"))</f>
        <v/>
      </c>
      <c r="AY573">
        <f>IF($AT573="","",IFERROR(VALUE(RIGHT($AT573,3)),""))</f>
        <v/>
      </c>
      <c r="AZ573">
        <f>IF($U573="","",IFERROR(IF(ISNUMBER($U573),$U573,DATEVALUE(TRIM($U573))),""))</f>
        <v/>
      </c>
      <c r="BA573">
        <f>IF($AZ573="","",IF(MONTH($AZ573)&gt;=12,"Cold Winter",IF(MONTH($AZ573)&gt;=10,"Post-Monsoon",IF(MONTH($AZ573)&gt;=6,"Hot Humid",IF(MONTH($AZ573)&gt;=3,"Hot Dry","Cold Winter")))))</f>
        <v/>
      </c>
      <c r="BB573">
        <f>IF($AU573="","",IFERROR(VLOOKUP($AU573,DECODE!$A$3:$C$8,2,FALSE),"?"))</f>
        <v/>
      </c>
      <c r="BC573">
        <f>IF($P573="","",UPPER(TRIM(LEFT($P573&amp;",",FIND(",",$P573&amp;",")-1))))</f>
        <v/>
      </c>
      <c r="BD573">
        <f>IF($BC573="","",MID($BC573,4,FIND("~",SUBSTITUTE($BC573,"-","~",2))-4))</f>
        <v/>
      </c>
      <c r="BE573">
        <f>IF($BC573="","",MID($BC573,FIND("~",SUBSTITUTE($BC573,"-","~",2))+1,FIND("~",SUBSTITUTE($BC573,"-","~",3))-FIND("~",SUBSTITUTE($BC573,"-","~",2))-1))</f>
        <v/>
      </c>
      <c r="BF573">
        <f>IF($BD573="","",IFERROR(VLOOKUP($BD573,DECODE!$A$3:$C$8,3,FALSE),"?"))</f>
        <v/>
      </c>
      <c r="BG573">
        <f>IF($BE573="","",IFERROR(VLOOKUP($BD573&amp;"-"&amp;$BE573,DECODE!$E$3:$F$21,2,FALSE),"?"))</f>
        <v/>
      </c>
      <c r="BH573">
        <f>IF($BC573="","",IFERROR(VALUE(RIGHT($BC573,3)),""))</f>
        <v/>
      </c>
      <c r="BI573">
        <f>IF($V573="","",IFERROR(IF(ISNUMBER($V573),$V573,DATEVALUE(TRIM($V573))),""))</f>
        <v/>
      </c>
      <c r="BJ573">
        <f>IF($BI573="","",IF(MONTH($BI573)&gt;=12,"Cold Winter",IF(MONTH($BI573)&gt;=10,"Post-Monsoon",IF(MONTH($BI573)&gt;=6,"Hot Humid",IF(MONTH($BI573)&gt;=3,"Hot Dry","Cold Winter")))))</f>
        <v/>
      </c>
      <c r="BK573">
        <f>IF($BD573="","",IFERROR(VLOOKUP($BD573,DECODE!$A$3:$C$8,2,FALSE),"?"))</f>
        <v/>
      </c>
      <c r="BL573">
        <f>IF($Q573="","",UPPER(TRIM(LEFT($Q573&amp;",",FIND(",",$Q573&amp;",")-1))))</f>
        <v/>
      </c>
      <c r="BM573">
        <f>IF($BL573="","",MID($BL573,4,FIND("~",SUBSTITUTE($BL573,"-","~",2))-4))</f>
        <v/>
      </c>
      <c r="BN573">
        <f>IF($BL573="","",MID($BL573,FIND("~",SUBSTITUTE($BL573,"-","~",2))+1,FIND("~",SUBSTITUTE($BL573,"-","~",3))-FIND("~",SUBSTITUTE($BL573,"-","~",2))-1))</f>
        <v/>
      </c>
      <c r="BO573">
        <f>IF($BM573="","",IFERROR(VLOOKUP($BM573,DECODE!$A$3:$C$8,3,FALSE),"?"))</f>
        <v/>
      </c>
      <c r="BP573">
        <f>IF($BN573="","",IFERROR(VLOOKUP($BM573&amp;"-"&amp;$BN573,DECODE!$E$3:$F$21,2,FALSE),"?"))</f>
        <v/>
      </c>
      <c r="BQ573">
        <f>IF($BL573="","",IFERROR(VALUE(RIGHT($BL573,3)),""))</f>
        <v/>
      </c>
      <c r="BR573">
        <f>IF($W573="","",IFERROR(IF(ISNUMBER($W573),$W573,DATEVALUE(TRIM($W573))),""))</f>
        <v/>
      </c>
      <c r="BS573">
        <f>IF($BR573="","",IF(MONTH($BR573)&gt;=12,"Cold Winter",IF(MONTH($BR573)&gt;=10,"Post-Monsoon",IF(MONTH($BR573)&gt;=6,"Hot Humid",IF(MONTH($BR573)&gt;=3,"Hot Dry","Cold Winter")))))</f>
        <v/>
      </c>
      <c r="BT573">
        <f>IF($BM573="","",IFERROR(VLOOKUP($BM573,DECODE!$A$3:$C$8,2,FALSE),"?"))</f>
        <v/>
      </c>
      <c r="BU573">
        <f>IF($R573="","",UPPER(TRIM(LEFT($R573&amp;",",FIND(",",$R573&amp;",")-1))))</f>
        <v/>
      </c>
      <c r="BV573">
        <f>IF($BU573="","",MID($BU573,4,FIND("~",SUBSTITUTE($BU573,"-","~",2))-4))</f>
        <v/>
      </c>
      <c r="BW573">
        <f>IF($BU573="","",MID($BU573,FIND("~",SUBSTITUTE($BU573,"-","~",2))+1,FIND("~",SUBSTITUTE($BU573,"-","~",3))-FIND("~",SUBSTITUTE($BU573,"-","~",2))-1))</f>
        <v/>
      </c>
      <c r="BX573">
        <f>IF($BV573="","",IFERROR(VLOOKUP($BV573,DECODE!$A$3:$C$8,3,FALSE),"?"))</f>
        <v/>
      </c>
      <c r="BY573">
        <f>IF($BW573="","",IFERROR(VLOOKUP($BV573&amp;"-"&amp;$BW573,DECODE!$E$3:$F$21,2,FALSE),"?"))</f>
        <v/>
      </c>
      <c r="BZ573">
        <f>IF($BU573="","",IFERROR(VALUE(RIGHT($BU573,3)),""))</f>
        <v/>
      </c>
      <c r="CA573">
        <f>IF($X573="","",IFERROR(IF(ISNUMBER($X573),$X573,DATEVALUE(TRIM($X573))),""))</f>
        <v/>
      </c>
      <c r="CB573">
        <f>IF($CA573="","",IF(MONTH($CA573)&gt;=12,"Cold Winter",IF(MONTH($CA573)&gt;=10,"Post-Monsoon",IF(MONTH($CA573)&gt;=6,"Hot Humid",IF(MONTH($CA573)&gt;=3,"Hot Dry","Cold Winter")))))</f>
        <v/>
      </c>
      <c r="CC573">
        <f>IF($BV573="","",IFERROR(VLOOKUP($BV573,DECODE!$A$3:$C$8,2,FALSE),"?"))</f>
        <v/>
      </c>
      <c r="CD573">
        <f>IF($S573="","",UPPER(TRIM(LEFT($S573&amp;",",FIND(",",$S573&amp;",")-1))))</f>
        <v/>
      </c>
      <c r="CE573">
        <f>IF($CD573="","",MID($CD573,4,FIND("~",SUBSTITUTE($CD573,"-","~",2))-4))</f>
        <v/>
      </c>
      <c r="CF573">
        <f>IF($CD573="","",MID($CD573,FIND("~",SUBSTITUTE($CD573,"-","~",2))+1,FIND("~",SUBSTITUTE($CD573,"-","~",3))-FIND("~",SUBSTITUTE($CD573,"-","~",2))-1))</f>
        <v/>
      </c>
      <c r="CG573">
        <f>IF($CE573="","",IFERROR(VLOOKUP($CE573,DECODE!$A$3:$C$8,3,FALSE),"?"))</f>
        <v/>
      </c>
      <c r="CH573">
        <f>IF($CF573="","",IFERROR(VLOOKUP($CE573&amp;"-"&amp;$CF573,DECODE!$E$3:$F$21,2,FALSE),"?"))</f>
        <v/>
      </c>
      <c r="CI573">
        <f>IF($CD573="","",IFERROR(VALUE(RIGHT($CD573,3)),""))</f>
        <v/>
      </c>
      <c r="CJ573">
        <f>IF($Y573="","",IFERROR(IF(ISNUMBER($Y573),$Y573,DATEVALUE(TRIM($Y573))),""))</f>
        <v/>
      </c>
      <c r="CK573">
        <f>IF($CJ573="","",IF(MONTH($CJ573)&gt;=12,"Cold Winter",IF(MONTH($CJ573)&gt;=10,"Post-Monsoon",IF(MONTH($CJ573)&gt;=6,"Hot Humid",IF(MONTH($CJ573)&gt;=3,"Hot Dry","Cold Winter")))))</f>
        <v/>
      </c>
      <c r="CL573">
        <f>IF($CE573="","",IFERROR(VLOOKUP($CE573,DECODE!$A$3:$C$8,2,FALSE),"?"))</f>
        <v/>
      </c>
      <c r="CM573">
        <f>IF($AN573="","",AN573)</f>
        <v/>
      </c>
      <c r="CN573">
        <f>IF($AO573="","",AO573)</f>
        <v/>
      </c>
      <c r="CO573">
        <f>IF($AP573="","",AP573)</f>
        <v/>
      </c>
      <c r="CP573">
        <f>IF($CM573="","",IF($CM573="Aloe Vera Gel","Aloe Vera Gel "&amp;$CO573&amp;"g",CN573&amp;" "&amp;$CO573&amp;"g"))</f>
        <v/>
      </c>
      <c r="CQ573">
        <f>IF($AT573="",0,1)</f>
        <v/>
      </c>
      <c r="CR573">
        <f>IF($CQ573=0,"",AW573)</f>
        <v/>
      </c>
      <c r="CS573">
        <f>IF($CQ573=0,"",AX573)</f>
        <v/>
      </c>
      <c r="CT573">
        <f>IF($CQ573=0,"",AY573)</f>
        <v/>
      </c>
      <c r="CU573">
        <f>IF($CR573="","",IF($CR573="Aloe Vera Gel","Aloe Vera Gel "&amp;$CT573&amp;"g",CS573&amp;" "&amp;$CT573&amp;"g"))</f>
        <v/>
      </c>
      <c r="CV573">
        <f>IF($CQ573=0,"",IF($CP573=$CU573,"Repeat Exact",IF($CT573&gt;$CO573,"Upsized",IF($CT573&lt;$CO573,"Downsized",IF($CM573&lt;&gt;$CR573,"Lateral","Same Size Diff Variant")))))</f>
        <v/>
      </c>
      <c r="CW573">
        <f>IF($CQ573=0,"",AZ573-AQ573)</f>
        <v/>
      </c>
      <c r="CX573">
        <f>IF($CQ573=0,0,IF(CS573=CN573,1,0))</f>
        <v/>
      </c>
      <c r="CY573">
        <f>IF($CQ573=0,0,IF(CR573=CM573,1,0))</f>
        <v/>
      </c>
      <c r="CZ573">
        <f>IF($A573="","",IF(AND(IF(DASHBOARD!$C$4="All",TRUE,$CM573=DASHBOARD!$C$4),IF(DASHBOARD!$C$6="All",TRUE,$CP573=DASHBOARD!$C$6),IF(DASHBOARD!$C$8="All",TRUE,$AF573&gt;=DASHBOARD!$C$8),IF(DASHBOARD!$C$10="All",TRUE,$AF573&lt;=DASHBOARD!$C$10),IF(DASHBOARD!$C$12="All",TRUE,$AH573=VALUE(DASHBOARD!$C$12)),IF(DASHBOARD!$C$14="All",TRUE,$AJ573=DASHBOARD!$C$14)),1,0))</f>
        <v/>
      </c>
    </row>
    <row r="574">
      <c r="A574" t="n">
        <v>250298</v>
      </c>
      <c r="B574" t="inlineStr">
        <is>
          <t>Face Malai</t>
        </is>
      </c>
      <c r="H574" t="inlineStr">
        <is>
          <t>Tomato Vetiver (Hot Humid) 20 - 35 Yrs Face Malai, Cocoa Mogra (Overnight) Face Malai - 30g</t>
        </is>
      </c>
      <c r="N574" t="inlineStr">
        <is>
          <t>FC-HHDM-TV-030, FC-DM-NR-030</t>
        </is>
      </c>
      <c r="T574" t="inlineStr">
        <is>
          <t>Nov 23, 2024</t>
        </is>
      </c>
      <c r="AE574" t="inlineStr">
        <is>
          <t>Chennai</t>
        </is>
      </c>
      <c r="AF574" t="inlineStr">
        <is>
          <t>2024-11</t>
        </is>
      </c>
      <c r="AG574" t="n">
        <v>11</v>
      </c>
      <c r="AH574" t="n">
        <v>1</v>
      </c>
      <c r="AI574" t="n">
        <v>0</v>
      </c>
      <c r="AJ574">
        <f>IF($AE574="","",IFERROR(VLOOKUP(TRIM($AE574),DECODE!$H$3:$I$60,2,FALSE),"Rest of India"))</f>
        <v/>
      </c>
      <c r="AK574">
        <f>IF($N574="","",UPPER(TRIM(LEFT($N574&amp;",",FIND(",",$N574&amp;",")-1))))</f>
        <v/>
      </c>
      <c r="AL574">
        <f>IF($AK574="","",MID($AK574,4,FIND("~",SUBSTITUTE($AK574,"-","~",2))-4))</f>
        <v/>
      </c>
      <c r="AM574">
        <f>IF($AK574="","",MID($AK574,FIND("~",SUBSTITUTE($AK574,"-","~",2))+1,FIND("~",SUBSTITUTE($AK574,"-","~",3))-FIND("~",SUBSTITUTE($AK574,"-","~",2))-1))</f>
        <v/>
      </c>
      <c r="AN574">
        <f>IF($AL574="","",IFERROR(VLOOKUP($AL574,DECODE!$A$3:$C$8,3,FALSE),"?"))</f>
        <v/>
      </c>
      <c r="AO574">
        <f>IF($AM574="","",IFERROR(VLOOKUP($AL574&amp;"-"&amp;$AM574,DECODE!$E$3:$F$21,2,FALSE),"?"))</f>
        <v/>
      </c>
      <c r="AP574">
        <f>IF($AK574="","",IFERROR(VALUE(RIGHT($AK574,3)),""))</f>
        <v/>
      </c>
      <c r="AQ574">
        <f>IF($T574="","",IFERROR(IF(ISNUMBER($T574),$T574,DATEVALUE(TRIM($T574))),""))</f>
        <v/>
      </c>
      <c r="AR574">
        <f>IF($AQ574="","",IF(MONTH($AQ574)&gt;=12,"Cold Winter",IF(MONTH($AQ574)&gt;=10,"Post-Monsoon",IF(MONTH($AQ574)&gt;=6,"Hot Humid",IF(MONTH($AQ574)&gt;=3,"Hot Dry","Cold Winter")))))</f>
        <v/>
      </c>
      <c r="AS574">
        <f>IF($AL574="","",IFERROR(VLOOKUP($AL574,DECODE!$A$3:$C$8,2,FALSE),"?"))</f>
        <v/>
      </c>
      <c r="AT574">
        <f>IF($O574="","",UPPER(TRIM(LEFT($O574&amp;",",FIND(",",$O574&amp;",")-1))))</f>
        <v/>
      </c>
      <c r="AU574">
        <f>IF($AT574="","",MID($AT574,4,FIND("~",SUBSTITUTE($AT574,"-","~",2))-4))</f>
        <v/>
      </c>
      <c r="AV574">
        <f>IF($AT574="","",MID($AT574,FIND("~",SUBSTITUTE($AT574,"-","~",2))+1,FIND("~",SUBSTITUTE($AT574,"-","~",3))-FIND("~",SUBSTITUTE($AT574,"-","~",2))-1))</f>
        <v/>
      </c>
      <c r="AW574">
        <f>IF($AU574="","",IFERROR(VLOOKUP($AU574,DECODE!$A$3:$C$8,3,FALSE),"?"))</f>
        <v/>
      </c>
      <c r="AX574">
        <f>IF($AV574="","",IFERROR(VLOOKUP($AU574&amp;"-"&amp;$AV574,DECODE!$E$3:$F$21,2,FALSE),"?"))</f>
        <v/>
      </c>
      <c r="AY574">
        <f>IF($AT574="","",IFERROR(VALUE(RIGHT($AT574,3)),""))</f>
        <v/>
      </c>
      <c r="AZ574">
        <f>IF($U574="","",IFERROR(IF(ISNUMBER($U574),$U574,DATEVALUE(TRIM($U574))),""))</f>
        <v/>
      </c>
      <c r="BA574">
        <f>IF($AZ574="","",IF(MONTH($AZ574)&gt;=12,"Cold Winter",IF(MONTH($AZ574)&gt;=10,"Post-Monsoon",IF(MONTH($AZ574)&gt;=6,"Hot Humid",IF(MONTH($AZ574)&gt;=3,"Hot Dry","Cold Winter")))))</f>
        <v/>
      </c>
      <c r="BB574">
        <f>IF($AU574="","",IFERROR(VLOOKUP($AU574,DECODE!$A$3:$C$8,2,FALSE),"?"))</f>
        <v/>
      </c>
      <c r="BC574">
        <f>IF($P574="","",UPPER(TRIM(LEFT($P574&amp;",",FIND(",",$P574&amp;",")-1))))</f>
        <v/>
      </c>
      <c r="BD574">
        <f>IF($BC574="","",MID($BC574,4,FIND("~",SUBSTITUTE($BC574,"-","~",2))-4))</f>
        <v/>
      </c>
      <c r="BE574">
        <f>IF($BC574="","",MID($BC574,FIND("~",SUBSTITUTE($BC574,"-","~",2))+1,FIND("~",SUBSTITUTE($BC574,"-","~",3))-FIND("~",SUBSTITUTE($BC574,"-","~",2))-1))</f>
        <v/>
      </c>
      <c r="BF574">
        <f>IF($BD574="","",IFERROR(VLOOKUP($BD574,DECODE!$A$3:$C$8,3,FALSE),"?"))</f>
        <v/>
      </c>
      <c r="BG574">
        <f>IF($BE574="","",IFERROR(VLOOKUP($BD574&amp;"-"&amp;$BE574,DECODE!$E$3:$F$21,2,FALSE),"?"))</f>
        <v/>
      </c>
      <c r="BH574">
        <f>IF($BC574="","",IFERROR(VALUE(RIGHT($BC574,3)),""))</f>
        <v/>
      </c>
      <c r="BI574">
        <f>IF($V574="","",IFERROR(IF(ISNUMBER($V574),$V574,DATEVALUE(TRIM($V574))),""))</f>
        <v/>
      </c>
      <c r="BJ574">
        <f>IF($BI574="","",IF(MONTH($BI574)&gt;=12,"Cold Winter",IF(MONTH($BI574)&gt;=10,"Post-Monsoon",IF(MONTH($BI574)&gt;=6,"Hot Humid",IF(MONTH($BI574)&gt;=3,"Hot Dry","Cold Winter")))))</f>
        <v/>
      </c>
      <c r="BK574">
        <f>IF($BD574="","",IFERROR(VLOOKUP($BD574,DECODE!$A$3:$C$8,2,FALSE),"?"))</f>
        <v/>
      </c>
      <c r="BL574">
        <f>IF($Q574="","",UPPER(TRIM(LEFT($Q574&amp;",",FIND(",",$Q574&amp;",")-1))))</f>
        <v/>
      </c>
      <c r="BM574">
        <f>IF($BL574="","",MID($BL574,4,FIND("~",SUBSTITUTE($BL574,"-","~",2))-4))</f>
        <v/>
      </c>
      <c r="BN574">
        <f>IF($BL574="","",MID($BL574,FIND("~",SUBSTITUTE($BL574,"-","~",2))+1,FIND("~",SUBSTITUTE($BL574,"-","~",3))-FIND("~",SUBSTITUTE($BL574,"-","~",2))-1))</f>
        <v/>
      </c>
      <c r="BO574">
        <f>IF($BM574="","",IFERROR(VLOOKUP($BM574,DECODE!$A$3:$C$8,3,FALSE),"?"))</f>
        <v/>
      </c>
      <c r="BP574">
        <f>IF($BN574="","",IFERROR(VLOOKUP($BM574&amp;"-"&amp;$BN574,DECODE!$E$3:$F$21,2,FALSE),"?"))</f>
        <v/>
      </c>
      <c r="BQ574">
        <f>IF($BL574="","",IFERROR(VALUE(RIGHT($BL574,3)),""))</f>
        <v/>
      </c>
      <c r="BR574">
        <f>IF($W574="","",IFERROR(IF(ISNUMBER($W574),$W574,DATEVALUE(TRIM($W574))),""))</f>
        <v/>
      </c>
      <c r="BS574">
        <f>IF($BR574="","",IF(MONTH($BR574)&gt;=12,"Cold Winter",IF(MONTH($BR574)&gt;=10,"Post-Monsoon",IF(MONTH($BR574)&gt;=6,"Hot Humid",IF(MONTH($BR574)&gt;=3,"Hot Dry","Cold Winter")))))</f>
        <v/>
      </c>
      <c r="BT574">
        <f>IF($BM574="","",IFERROR(VLOOKUP($BM574,DECODE!$A$3:$C$8,2,FALSE),"?"))</f>
        <v/>
      </c>
      <c r="BU574">
        <f>IF($R574="","",UPPER(TRIM(LEFT($R574&amp;",",FIND(",",$R574&amp;",")-1))))</f>
        <v/>
      </c>
      <c r="BV574">
        <f>IF($BU574="","",MID($BU574,4,FIND("~",SUBSTITUTE($BU574,"-","~",2))-4))</f>
        <v/>
      </c>
      <c r="BW574">
        <f>IF($BU574="","",MID($BU574,FIND("~",SUBSTITUTE($BU574,"-","~",2))+1,FIND("~",SUBSTITUTE($BU574,"-","~",3))-FIND("~",SUBSTITUTE($BU574,"-","~",2))-1))</f>
        <v/>
      </c>
      <c r="BX574">
        <f>IF($BV574="","",IFERROR(VLOOKUP($BV574,DECODE!$A$3:$C$8,3,FALSE),"?"))</f>
        <v/>
      </c>
      <c r="BY574">
        <f>IF($BW574="","",IFERROR(VLOOKUP($BV574&amp;"-"&amp;$BW574,DECODE!$E$3:$F$21,2,FALSE),"?"))</f>
        <v/>
      </c>
      <c r="BZ574">
        <f>IF($BU574="","",IFERROR(VALUE(RIGHT($BU574,3)),""))</f>
        <v/>
      </c>
      <c r="CA574">
        <f>IF($X574="","",IFERROR(IF(ISNUMBER($X574),$X574,DATEVALUE(TRIM($X574))),""))</f>
        <v/>
      </c>
      <c r="CB574">
        <f>IF($CA574="","",IF(MONTH($CA574)&gt;=12,"Cold Winter",IF(MONTH($CA574)&gt;=10,"Post-Monsoon",IF(MONTH($CA574)&gt;=6,"Hot Humid",IF(MONTH($CA574)&gt;=3,"Hot Dry","Cold Winter")))))</f>
        <v/>
      </c>
      <c r="CC574">
        <f>IF($BV574="","",IFERROR(VLOOKUP($BV574,DECODE!$A$3:$C$8,2,FALSE),"?"))</f>
        <v/>
      </c>
      <c r="CD574">
        <f>IF($S574="","",UPPER(TRIM(LEFT($S574&amp;",",FIND(",",$S574&amp;",")-1))))</f>
        <v/>
      </c>
      <c r="CE574">
        <f>IF($CD574="","",MID($CD574,4,FIND("~",SUBSTITUTE($CD574,"-","~",2))-4))</f>
        <v/>
      </c>
      <c r="CF574">
        <f>IF($CD574="","",MID($CD574,FIND("~",SUBSTITUTE($CD574,"-","~",2))+1,FIND("~",SUBSTITUTE($CD574,"-","~",3))-FIND("~",SUBSTITUTE($CD574,"-","~",2))-1))</f>
        <v/>
      </c>
      <c r="CG574">
        <f>IF($CE574="","",IFERROR(VLOOKUP($CE574,DECODE!$A$3:$C$8,3,FALSE),"?"))</f>
        <v/>
      </c>
      <c r="CH574">
        <f>IF($CF574="","",IFERROR(VLOOKUP($CE574&amp;"-"&amp;$CF574,DECODE!$E$3:$F$21,2,FALSE),"?"))</f>
        <v/>
      </c>
      <c r="CI574">
        <f>IF($CD574="","",IFERROR(VALUE(RIGHT($CD574,3)),""))</f>
        <v/>
      </c>
      <c r="CJ574">
        <f>IF($Y574="","",IFERROR(IF(ISNUMBER($Y574),$Y574,DATEVALUE(TRIM($Y574))),""))</f>
        <v/>
      </c>
      <c r="CK574">
        <f>IF($CJ574="","",IF(MONTH($CJ574)&gt;=12,"Cold Winter",IF(MONTH($CJ574)&gt;=10,"Post-Monsoon",IF(MONTH($CJ574)&gt;=6,"Hot Humid",IF(MONTH($CJ574)&gt;=3,"Hot Dry","Cold Winter")))))</f>
        <v/>
      </c>
      <c r="CL574">
        <f>IF($CE574="","",IFERROR(VLOOKUP($CE574,DECODE!$A$3:$C$8,2,FALSE),"?"))</f>
        <v/>
      </c>
      <c r="CM574">
        <f>IF($AN574="","",AN574)</f>
        <v/>
      </c>
      <c r="CN574">
        <f>IF($AO574="","",AO574)</f>
        <v/>
      </c>
      <c r="CO574">
        <f>IF($AP574="","",AP574)</f>
        <v/>
      </c>
      <c r="CP574">
        <f>IF($CM574="","",IF($CM574="Aloe Vera Gel","Aloe Vera Gel "&amp;$CO574&amp;"g",CN574&amp;" "&amp;$CO574&amp;"g"))</f>
        <v/>
      </c>
      <c r="CQ574">
        <f>IF($AT574="",0,1)</f>
        <v/>
      </c>
      <c r="CR574">
        <f>IF($CQ574=0,"",AW574)</f>
        <v/>
      </c>
      <c r="CS574">
        <f>IF($CQ574=0,"",AX574)</f>
        <v/>
      </c>
      <c r="CT574">
        <f>IF($CQ574=0,"",AY574)</f>
        <v/>
      </c>
      <c r="CU574">
        <f>IF($CR574="","",IF($CR574="Aloe Vera Gel","Aloe Vera Gel "&amp;$CT574&amp;"g",CS574&amp;" "&amp;$CT574&amp;"g"))</f>
        <v/>
      </c>
      <c r="CV574">
        <f>IF($CQ574=0,"",IF($CP574=$CU574,"Repeat Exact",IF($CT574&gt;$CO574,"Upsized",IF($CT574&lt;$CO574,"Downsized",IF($CM574&lt;&gt;$CR574,"Lateral","Same Size Diff Variant")))))</f>
        <v/>
      </c>
      <c r="CW574">
        <f>IF($CQ574=0,"",AZ574-AQ574)</f>
        <v/>
      </c>
      <c r="CX574">
        <f>IF($CQ574=0,0,IF(CS574=CN574,1,0))</f>
        <v/>
      </c>
      <c r="CY574">
        <f>IF($CQ574=0,0,IF(CR574=CM574,1,0))</f>
        <v/>
      </c>
      <c r="CZ574">
        <f>IF($A574="","",IF(AND(IF(DASHBOARD!$C$4="All",TRUE,$CM574=DASHBOARD!$C$4),IF(DASHBOARD!$C$6="All",TRUE,$CP574=DASHBOARD!$C$6),IF(DASHBOARD!$C$8="All",TRUE,$AF574&gt;=DASHBOARD!$C$8),IF(DASHBOARD!$C$10="All",TRUE,$AF574&lt;=DASHBOARD!$C$10),IF(DASHBOARD!$C$12="All",TRUE,$AH574=VALUE(DASHBOARD!$C$12)),IF(DASHBOARD!$C$14="All",TRUE,$AJ574=DASHBOARD!$C$14)),1,0))</f>
        <v/>
      </c>
    </row>
    <row r="575">
      <c r="A575" t="n">
        <v>250360</v>
      </c>
      <c r="B575" t="inlineStr">
        <is>
          <t>Active Gel</t>
        </is>
      </c>
      <c r="C575" t="inlineStr">
        <is>
          <t>Face Malai</t>
        </is>
      </c>
      <c r="H575" t="inlineStr">
        <is>
          <t>Active Neem TeaTree Gel</t>
        </is>
      </c>
      <c r="I575" t="inlineStr">
        <is>
          <t>Turmeric Nutmeg (Pigmentation)  Face Malai - 30g</t>
        </is>
      </c>
      <c r="N575" t="inlineStr">
        <is>
          <t>FC-AC-NT-050</t>
        </is>
      </c>
      <c r="O575" t="inlineStr">
        <is>
          <t>FC-DM-PG-030</t>
        </is>
      </c>
      <c r="T575" t="inlineStr">
        <is>
          <t>Mar 11, 2025</t>
        </is>
      </c>
      <c r="U575" t="inlineStr">
        <is>
          <t>Mar 12, 2025</t>
        </is>
      </c>
      <c r="Z575" t="n">
        <v>1</v>
      </c>
      <c r="AE575" t="inlineStr">
        <is>
          <t>Surguja</t>
        </is>
      </c>
      <c r="AF575" t="inlineStr">
        <is>
          <t>2025-03</t>
        </is>
      </c>
      <c r="AG575" t="n">
        <v>3</v>
      </c>
      <c r="AH575" t="n">
        <v>2</v>
      </c>
      <c r="AI575" t="n">
        <v>1</v>
      </c>
      <c r="AJ575">
        <f>IF($AE575="","",IFERROR(VLOOKUP(TRIM($AE575),DECODE!$H$3:$I$60,2,FALSE),"Rest of India"))</f>
        <v/>
      </c>
      <c r="AK575">
        <f>IF($N575="","",UPPER(TRIM(LEFT($N575&amp;",",FIND(",",$N575&amp;",")-1))))</f>
        <v/>
      </c>
      <c r="AL575">
        <f>IF($AK575="","",MID($AK575,4,FIND("~",SUBSTITUTE($AK575,"-","~",2))-4))</f>
        <v/>
      </c>
      <c r="AM575">
        <f>IF($AK575="","",MID($AK575,FIND("~",SUBSTITUTE($AK575,"-","~",2))+1,FIND("~",SUBSTITUTE($AK575,"-","~",3))-FIND("~",SUBSTITUTE($AK575,"-","~",2))-1))</f>
        <v/>
      </c>
      <c r="AN575">
        <f>IF($AL575="","",IFERROR(VLOOKUP($AL575,DECODE!$A$3:$C$8,3,FALSE),"?"))</f>
        <v/>
      </c>
      <c r="AO575">
        <f>IF($AM575="","",IFERROR(VLOOKUP($AL575&amp;"-"&amp;$AM575,DECODE!$E$3:$F$21,2,FALSE),"?"))</f>
        <v/>
      </c>
      <c r="AP575">
        <f>IF($AK575="","",IFERROR(VALUE(RIGHT($AK575,3)),""))</f>
        <v/>
      </c>
      <c r="AQ575">
        <f>IF($T575="","",IFERROR(IF(ISNUMBER($T575),$T575,DATEVALUE(TRIM($T575))),""))</f>
        <v/>
      </c>
      <c r="AR575">
        <f>IF($AQ575="","",IF(MONTH($AQ575)&gt;=12,"Cold Winter",IF(MONTH($AQ575)&gt;=10,"Post-Monsoon",IF(MONTH($AQ575)&gt;=6,"Hot Humid",IF(MONTH($AQ575)&gt;=3,"Hot Dry","Cold Winter")))))</f>
        <v/>
      </c>
      <c r="AS575">
        <f>IF($AL575="","",IFERROR(VLOOKUP($AL575,DECODE!$A$3:$C$8,2,FALSE),"?"))</f>
        <v/>
      </c>
      <c r="AT575">
        <f>IF($O575="","",UPPER(TRIM(LEFT($O575&amp;",",FIND(",",$O575&amp;",")-1))))</f>
        <v/>
      </c>
      <c r="AU575">
        <f>IF($AT575="","",MID($AT575,4,FIND("~",SUBSTITUTE($AT575,"-","~",2))-4))</f>
        <v/>
      </c>
      <c r="AV575">
        <f>IF($AT575="","",MID($AT575,FIND("~",SUBSTITUTE($AT575,"-","~",2))+1,FIND("~",SUBSTITUTE($AT575,"-","~",3))-FIND("~",SUBSTITUTE($AT575,"-","~",2))-1))</f>
        <v/>
      </c>
      <c r="AW575">
        <f>IF($AU575="","",IFERROR(VLOOKUP($AU575,DECODE!$A$3:$C$8,3,FALSE),"?"))</f>
        <v/>
      </c>
      <c r="AX575">
        <f>IF($AV575="","",IFERROR(VLOOKUP($AU575&amp;"-"&amp;$AV575,DECODE!$E$3:$F$21,2,FALSE),"?"))</f>
        <v/>
      </c>
      <c r="AY575">
        <f>IF($AT575="","",IFERROR(VALUE(RIGHT($AT575,3)),""))</f>
        <v/>
      </c>
      <c r="AZ575">
        <f>IF($U575="","",IFERROR(IF(ISNUMBER($U575),$U575,DATEVALUE(TRIM($U575))),""))</f>
        <v/>
      </c>
      <c r="BA575">
        <f>IF($AZ575="","",IF(MONTH($AZ575)&gt;=12,"Cold Winter",IF(MONTH($AZ575)&gt;=10,"Post-Monsoon",IF(MONTH($AZ575)&gt;=6,"Hot Humid",IF(MONTH($AZ575)&gt;=3,"Hot Dry","Cold Winter")))))</f>
        <v/>
      </c>
      <c r="BB575">
        <f>IF($AU575="","",IFERROR(VLOOKUP($AU575,DECODE!$A$3:$C$8,2,FALSE),"?"))</f>
        <v/>
      </c>
      <c r="BC575">
        <f>IF($P575="","",UPPER(TRIM(LEFT($P575&amp;",",FIND(",",$P575&amp;",")-1))))</f>
        <v/>
      </c>
      <c r="BD575">
        <f>IF($BC575="","",MID($BC575,4,FIND("~",SUBSTITUTE($BC575,"-","~",2))-4))</f>
        <v/>
      </c>
      <c r="BE575">
        <f>IF($BC575="","",MID($BC575,FIND("~",SUBSTITUTE($BC575,"-","~",2))+1,FIND("~",SUBSTITUTE($BC575,"-","~",3))-FIND("~",SUBSTITUTE($BC575,"-","~",2))-1))</f>
        <v/>
      </c>
      <c r="BF575">
        <f>IF($BD575="","",IFERROR(VLOOKUP($BD575,DECODE!$A$3:$C$8,3,FALSE),"?"))</f>
        <v/>
      </c>
      <c r="BG575">
        <f>IF($BE575="","",IFERROR(VLOOKUP($BD575&amp;"-"&amp;$BE575,DECODE!$E$3:$F$21,2,FALSE),"?"))</f>
        <v/>
      </c>
      <c r="BH575">
        <f>IF($BC575="","",IFERROR(VALUE(RIGHT($BC575,3)),""))</f>
        <v/>
      </c>
      <c r="BI575">
        <f>IF($V575="","",IFERROR(IF(ISNUMBER($V575),$V575,DATEVALUE(TRIM($V575))),""))</f>
        <v/>
      </c>
      <c r="BJ575">
        <f>IF($BI575="","",IF(MONTH($BI575)&gt;=12,"Cold Winter",IF(MONTH($BI575)&gt;=10,"Post-Monsoon",IF(MONTH($BI575)&gt;=6,"Hot Humid",IF(MONTH($BI575)&gt;=3,"Hot Dry","Cold Winter")))))</f>
        <v/>
      </c>
      <c r="BK575">
        <f>IF($BD575="","",IFERROR(VLOOKUP($BD575,DECODE!$A$3:$C$8,2,FALSE),"?"))</f>
        <v/>
      </c>
      <c r="BL575">
        <f>IF($Q575="","",UPPER(TRIM(LEFT($Q575&amp;",",FIND(",",$Q575&amp;",")-1))))</f>
        <v/>
      </c>
      <c r="BM575">
        <f>IF($BL575="","",MID($BL575,4,FIND("~",SUBSTITUTE($BL575,"-","~",2))-4))</f>
        <v/>
      </c>
      <c r="BN575">
        <f>IF($BL575="","",MID($BL575,FIND("~",SUBSTITUTE($BL575,"-","~",2))+1,FIND("~",SUBSTITUTE($BL575,"-","~",3))-FIND("~",SUBSTITUTE($BL575,"-","~",2))-1))</f>
        <v/>
      </c>
      <c r="BO575">
        <f>IF($BM575="","",IFERROR(VLOOKUP($BM575,DECODE!$A$3:$C$8,3,FALSE),"?"))</f>
        <v/>
      </c>
      <c r="BP575">
        <f>IF($BN575="","",IFERROR(VLOOKUP($BM575&amp;"-"&amp;$BN575,DECODE!$E$3:$F$21,2,FALSE),"?"))</f>
        <v/>
      </c>
      <c r="BQ575">
        <f>IF($BL575="","",IFERROR(VALUE(RIGHT($BL575,3)),""))</f>
        <v/>
      </c>
      <c r="BR575">
        <f>IF($W575="","",IFERROR(IF(ISNUMBER($W575),$W575,DATEVALUE(TRIM($W575))),""))</f>
        <v/>
      </c>
      <c r="BS575">
        <f>IF($BR575="","",IF(MONTH($BR575)&gt;=12,"Cold Winter",IF(MONTH($BR575)&gt;=10,"Post-Monsoon",IF(MONTH($BR575)&gt;=6,"Hot Humid",IF(MONTH($BR575)&gt;=3,"Hot Dry","Cold Winter")))))</f>
        <v/>
      </c>
      <c r="BT575">
        <f>IF($BM575="","",IFERROR(VLOOKUP($BM575,DECODE!$A$3:$C$8,2,FALSE),"?"))</f>
        <v/>
      </c>
      <c r="BU575">
        <f>IF($R575="","",UPPER(TRIM(LEFT($R575&amp;",",FIND(",",$R575&amp;",")-1))))</f>
        <v/>
      </c>
      <c r="BV575">
        <f>IF($BU575="","",MID($BU575,4,FIND("~",SUBSTITUTE($BU575,"-","~",2))-4))</f>
        <v/>
      </c>
      <c r="BW575">
        <f>IF($BU575="","",MID($BU575,FIND("~",SUBSTITUTE($BU575,"-","~",2))+1,FIND("~",SUBSTITUTE($BU575,"-","~",3))-FIND("~",SUBSTITUTE($BU575,"-","~",2))-1))</f>
        <v/>
      </c>
      <c r="BX575">
        <f>IF($BV575="","",IFERROR(VLOOKUP($BV575,DECODE!$A$3:$C$8,3,FALSE),"?"))</f>
        <v/>
      </c>
      <c r="BY575">
        <f>IF($BW575="","",IFERROR(VLOOKUP($BV575&amp;"-"&amp;$BW575,DECODE!$E$3:$F$21,2,FALSE),"?"))</f>
        <v/>
      </c>
      <c r="BZ575">
        <f>IF($BU575="","",IFERROR(VALUE(RIGHT($BU575,3)),""))</f>
        <v/>
      </c>
      <c r="CA575">
        <f>IF($X575="","",IFERROR(IF(ISNUMBER($X575),$X575,DATEVALUE(TRIM($X575))),""))</f>
        <v/>
      </c>
      <c r="CB575">
        <f>IF($CA575="","",IF(MONTH($CA575)&gt;=12,"Cold Winter",IF(MONTH($CA575)&gt;=10,"Post-Monsoon",IF(MONTH($CA575)&gt;=6,"Hot Humid",IF(MONTH($CA575)&gt;=3,"Hot Dry","Cold Winter")))))</f>
        <v/>
      </c>
      <c r="CC575">
        <f>IF($BV575="","",IFERROR(VLOOKUP($BV575,DECODE!$A$3:$C$8,2,FALSE),"?"))</f>
        <v/>
      </c>
      <c r="CD575">
        <f>IF($S575="","",UPPER(TRIM(LEFT($S575&amp;",",FIND(",",$S575&amp;",")-1))))</f>
        <v/>
      </c>
      <c r="CE575">
        <f>IF($CD575="","",MID($CD575,4,FIND("~",SUBSTITUTE($CD575,"-","~",2))-4))</f>
        <v/>
      </c>
      <c r="CF575">
        <f>IF($CD575="","",MID($CD575,FIND("~",SUBSTITUTE($CD575,"-","~",2))+1,FIND("~",SUBSTITUTE($CD575,"-","~",3))-FIND("~",SUBSTITUTE($CD575,"-","~",2))-1))</f>
        <v/>
      </c>
      <c r="CG575">
        <f>IF($CE575="","",IFERROR(VLOOKUP($CE575,DECODE!$A$3:$C$8,3,FALSE),"?"))</f>
        <v/>
      </c>
      <c r="CH575">
        <f>IF($CF575="","",IFERROR(VLOOKUP($CE575&amp;"-"&amp;$CF575,DECODE!$E$3:$F$21,2,FALSE),"?"))</f>
        <v/>
      </c>
      <c r="CI575">
        <f>IF($CD575="","",IFERROR(VALUE(RIGHT($CD575,3)),""))</f>
        <v/>
      </c>
      <c r="CJ575">
        <f>IF($Y575="","",IFERROR(IF(ISNUMBER($Y575),$Y575,DATEVALUE(TRIM($Y575))),""))</f>
        <v/>
      </c>
      <c r="CK575">
        <f>IF($CJ575="","",IF(MONTH($CJ575)&gt;=12,"Cold Winter",IF(MONTH($CJ575)&gt;=10,"Post-Monsoon",IF(MONTH($CJ575)&gt;=6,"Hot Humid",IF(MONTH($CJ575)&gt;=3,"Hot Dry","Cold Winter")))))</f>
        <v/>
      </c>
      <c r="CL575">
        <f>IF($CE575="","",IFERROR(VLOOKUP($CE575,DECODE!$A$3:$C$8,2,FALSE),"?"))</f>
        <v/>
      </c>
      <c r="CM575">
        <f>IF($AN575="","",AN575)</f>
        <v/>
      </c>
      <c r="CN575">
        <f>IF($AO575="","",AO575)</f>
        <v/>
      </c>
      <c r="CO575">
        <f>IF($AP575="","",AP575)</f>
        <v/>
      </c>
      <c r="CP575">
        <f>IF($CM575="","",IF($CM575="Aloe Vera Gel","Aloe Vera Gel "&amp;$CO575&amp;"g",CN575&amp;" "&amp;$CO575&amp;"g"))</f>
        <v/>
      </c>
      <c r="CQ575">
        <f>IF($AT575="",0,1)</f>
        <v/>
      </c>
      <c r="CR575">
        <f>IF($CQ575=0,"",AW575)</f>
        <v/>
      </c>
      <c r="CS575">
        <f>IF($CQ575=0,"",AX575)</f>
        <v/>
      </c>
      <c r="CT575">
        <f>IF($CQ575=0,"",AY575)</f>
        <v/>
      </c>
      <c r="CU575">
        <f>IF($CR575="","",IF($CR575="Aloe Vera Gel","Aloe Vera Gel "&amp;$CT575&amp;"g",CS575&amp;" "&amp;$CT575&amp;"g"))</f>
        <v/>
      </c>
      <c r="CV575">
        <f>IF($CQ575=0,"",IF($CP575=$CU575,"Repeat Exact",IF($CT575&gt;$CO575,"Upsized",IF($CT575&lt;$CO575,"Downsized",IF($CM575&lt;&gt;$CR575,"Lateral","Same Size Diff Variant")))))</f>
        <v/>
      </c>
      <c r="CW575">
        <f>IF($CQ575=0,"",AZ575-AQ575)</f>
        <v/>
      </c>
      <c r="CX575">
        <f>IF($CQ575=0,0,IF(CS575=CN575,1,0))</f>
        <v/>
      </c>
      <c r="CY575">
        <f>IF($CQ575=0,0,IF(CR575=CM575,1,0))</f>
        <v/>
      </c>
      <c r="CZ575">
        <f>IF($A575="","",IF(AND(IF(DASHBOARD!$C$4="All",TRUE,$CM575=DASHBOARD!$C$4),IF(DASHBOARD!$C$6="All",TRUE,$CP575=DASHBOARD!$C$6),IF(DASHBOARD!$C$8="All",TRUE,$AF575&gt;=DASHBOARD!$C$8),IF(DASHBOARD!$C$10="All",TRUE,$AF575&lt;=DASHBOARD!$C$10),IF(DASHBOARD!$C$12="All",TRUE,$AH575=VALUE(DASHBOARD!$C$12)),IF(DASHBOARD!$C$14="All",TRUE,$AJ575=DASHBOARD!$C$14)),1,0))</f>
        <v/>
      </c>
    </row>
    <row r="576">
      <c r="A576" t="n">
        <v>250457</v>
      </c>
      <c r="B576" t="inlineStr">
        <is>
          <t>Face Malai</t>
        </is>
      </c>
      <c r="H576" t="inlineStr">
        <is>
          <t>Tomato Rosehip (Hot Dry) 20 - 35 Yrs Face Malai - 30g</t>
        </is>
      </c>
      <c r="N576" t="inlineStr">
        <is>
          <t>FC-HDDM-TR-030</t>
        </is>
      </c>
      <c r="T576" t="inlineStr">
        <is>
          <t>Dec 9, 2024</t>
        </is>
      </c>
      <c r="AE576" t="inlineStr">
        <is>
          <t>Sangareddy</t>
        </is>
      </c>
      <c r="AF576" t="inlineStr">
        <is>
          <t>2024-12</t>
        </is>
      </c>
      <c r="AG576" t="n">
        <v>12</v>
      </c>
      <c r="AH576" t="n">
        <v>1</v>
      </c>
      <c r="AI576" t="n">
        <v>0</v>
      </c>
      <c r="AJ576">
        <f>IF($AE576="","",IFERROR(VLOOKUP(TRIM($AE576),DECODE!$H$3:$I$60,2,FALSE),"Rest of India"))</f>
        <v/>
      </c>
      <c r="AK576">
        <f>IF($N576="","",UPPER(TRIM(LEFT($N576&amp;",",FIND(",",$N576&amp;",")-1))))</f>
        <v/>
      </c>
      <c r="AL576">
        <f>IF($AK576="","",MID($AK576,4,FIND("~",SUBSTITUTE($AK576,"-","~",2))-4))</f>
        <v/>
      </c>
      <c r="AM576">
        <f>IF($AK576="","",MID($AK576,FIND("~",SUBSTITUTE($AK576,"-","~",2))+1,FIND("~",SUBSTITUTE($AK576,"-","~",3))-FIND("~",SUBSTITUTE($AK576,"-","~",2))-1))</f>
        <v/>
      </c>
      <c r="AN576">
        <f>IF($AL576="","",IFERROR(VLOOKUP($AL576,DECODE!$A$3:$C$8,3,FALSE),"?"))</f>
        <v/>
      </c>
      <c r="AO576">
        <f>IF($AM576="","",IFERROR(VLOOKUP($AL576&amp;"-"&amp;$AM576,DECODE!$E$3:$F$21,2,FALSE),"?"))</f>
        <v/>
      </c>
      <c r="AP576">
        <f>IF($AK576="","",IFERROR(VALUE(RIGHT($AK576,3)),""))</f>
        <v/>
      </c>
      <c r="AQ576">
        <f>IF($T576="","",IFERROR(IF(ISNUMBER($T576),$T576,DATEVALUE(TRIM($T576))),""))</f>
        <v/>
      </c>
      <c r="AR576">
        <f>IF($AQ576="","",IF(MONTH($AQ576)&gt;=12,"Cold Winter",IF(MONTH($AQ576)&gt;=10,"Post-Monsoon",IF(MONTH($AQ576)&gt;=6,"Hot Humid",IF(MONTH($AQ576)&gt;=3,"Hot Dry","Cold Winter")))))</f>
        <v/>
      </c>
      <c r="AS576">
        <f>IF($AL576="","",IFERROR(VLOOKUP($AL576,DECODE!$A$3:$C$8,2,FALSE),"?"))</f>
        <v/>
      </c>
      <c r="AT576">
        <f>IF($O576="","",UPPER(TRIM(LEFT($O576&amp;",",FIND(",",$O576&amp;",")-1))))</f>
        <v/>
      </c>
      <c r="AU576">
        <f>IF($AT576="","",MID($AT576,4,FIND("~",SUBSTITUTE($AT576,"-","~",2))-4))</f>
        <v/>
      </c>
      <c r="AV576">
        <f>IF($AT576="","",MID($AT576,FIND("~",SUBSTITUTE($AT576,"-","~",2))+1,FIND("~",SUBSTITUTE($AT576,"-","~",3))-FIND("~",SUBSTITUTE($AT576,"-","~",2))-1))</f>
        <v/>
      </c>
      <c r="AW576">
        <f>IF($AU576="","",IFERROR(VLOOKUP($AU576,DECODE!$A$3:$C$8,3,FALSE),"?"))</f>
        <v/>
      </c>
      <c r="AX576">
        <f>IF($AV576="","",IFERROR(VLOOKUP($AU576&amp;"-"&amp;$AV576,DECODE!$E$3:$F$21,2,FALSE),"?"))</f>
        <v/>
      </c>
      <c r="AY576">
        <f>IF($AT576="","",IFERROR(VALUE(RIGHT($AT576,3)),""))</f>
        <v/>
      </c>
      <c r="AZ576">
        <f>IF($U576="","",IFERROR(IF(ISNUMBER($U576),$U576,DATEVALUE(TRIM($U576))),""))</f>
        <v/>
      </c>
      <c r="BA576">
        <f>IF($AZ576="","",IF(MONTH($AZ576)&gt;=12,"Cold Winter",IF(MONTH($AZ576)&gt;=10,"Post-Monsoon",IF(MONTH($AZ576)&gt;=6,"Hot Humid",IF(MONTH($AZ576)&gt;=3,"Hot Dry","Cold Winter")))))</f>
        <v/>
      </c>
      <c r="BB576">
        <f>IF($AU576="","",IFERROR(VLOOKUP($AU576,DECODE!$A$3:$C$8,2,FALSE),"?"))</f>
        <v/>
      </c>
      <c r="BC576">
        <f>IF($P576="","",UPPER(TRIM(LEFT($P576&amp;",",FIND(",",$P576&amp;",")-1))))</f>
        <v/>
      </c>
      <c r="BD576">
        <f>IF($BC576="","",MID($BC576,4,FIND("~",SUBSTITUTE($BC576,"-","~",2))-4))</f>
        <v/>
      </c>
      <c r="BE576">
        <f>IF($BC576="","",MID($BC576,FIND("~",SUBSTITUTE($BC576,"-","~",2))+1,FIND("~",SUBSTITUTE($BC576,"-","~",3))-FIND("~",SUBSTITUTE($BC576,"-","~",2))-1))</f>
        <v/>
      </c>
      <c r="BF576">
        <f>IF($BD576="","",IFERROR(VLOOKUP($BD576,DECODE!$A$3:$C$8,3,FALSE),"?"))</f>
        <v/>
      </c>
      <c r="BG576">
        <f>IF($BE576="","",IFERROR(VLOOKUP($BD576&amp;"-"&amp;$BE576,DECODE!$E$3:$F$21,2,FALSE),"?"))</f>
        <v/>
      </c>
      <c r="BH576">
        <f>IF($BC576="","",IFERROR(VALUE(RIGHT($BC576,3)),""))</f>
        <v/>
      </c>
      <c r="BI576">
        <f>IF($V576="","",IFERROR(IF(ISNUMBER($V576),$V576,DATEVALUE(TRIM($V576))),""))</f>
        <v/>
      </c>
      <c r="BJ576">
        <f>IF($BI576="","",IF(MONTH($BI576)&gt;=12,"Cold Winter",IF(MONTH($BI576)&gt;=10,"Post-Monsoon",IF(MONTH($BI576)&gt;=6,"Hot Humid",IF(MONTH($BI576)&gt;=3,"Hot Dry","Cold Winter")))))</f>
        <v/>
      </c>
      <c r="BK576">
        <f>IF($BD576="","",IFERROR(VLOOKUP($BD576,DECODE!$A$3:$C$8,2,FALSE),"?"))</f>
        <v/>
      </c>
      <c r="BL576">
        <f>IF($Q576="","",UPPER(TRIM(LEFT($Q576&amp;",",FIND(",",$Q576&amp;",")-1))))</f>
        <v/>
      </c>
      <c r="BM576">
        <f>IF($BL576="","",MID($BL576,4,FIND("~",SUBSTITUTE($BL576,"-","~",2))-4))</f>
        <v/>
      </c>
      <c r="BN576">
        <f>IF($BL576="","",MID($BL576,FIND("~",SUBSTITUTE($BL576,"-","~",2))+1,FIND("~",SUBSTITUTE($BL576,"-","~",3))-FIND("~",SUBSTITUTE($BL576,"-","~",2))-1))</f>
        <v/>
      </c>
      <c r="BO576">
        <f>IF($BM576="","",IFERROR(VLOOKUP($BM576,DECODE!$A$3:$C$8,3,FALSE),"?"))</f>
        <v/>
      </c>
      <c r="BP576">
        <f>IF($BN576="","",IFERROR(VLOOKUP($BM576&amp;"-"&amp;$BN576,DECODE!$E$3:$F$21,2,FALSE),"?"))</f>
        <v/>
      </c>
      <c r="BQ576">
        <f>IF($BL576="","",IFERROR(VALUE(RIGHT($BL576,3)),""))</f>
        <v/>
      </c>
      <c r="BR576">
        <f>IF($W576="","",IFERROR(IF(ISNUMBER($W576),$W576,DATEVALUE(TRIM($W576))),""))</f>
        <v/>
      </c>
      <c r="BS576">
        <f>IF($BR576="","",IF(MONTH($BR576)&gt;=12,"Cold Winter",IF(MONTH($BR576)&gt;=10,"Post-Monsoon",IF(MONTH($BR576)&gt;=6,"Hot Humid",IF(MONTH($BR576)&gt;=3,"Hot Dry","Cold Winter")))))</f>
        <v/>
      </c>
      <c r="BT576">
        <f>IF($BM576="","",IFERROR(VLOOKUP($BM576,DECODE!$A$3:$C$8,2,FALSE),"?"))</f>
        <v/>
      </c>
      <c r="BU576">
        <f>IF($R576="","",UPPER(TRIM(LEFT($R576&amp;",",FIND(",",$R576&amp;",")-1))))</f>
        <v/>
      </c>
      <c r="BV576">
        <f>IF($BU576="","",MID($BU576,4,FIND("~",SUBSTITUTE($BU576,"-","~",2))-4))</f>
        <v/>
      </c>
      <c r="BW576">
        <f>IF($BU576="","",MID($BU576,FIND("~",SUBSTITUTE($BU576,"-","~",2))+1,FIND("~",SUBSTITUTE($BU576,"-","~",3))-FIND("~",SUBSTITUTE($BU576,"-","~",2))-1))</f>
        <v/>
      </c>
      <c r="BX576">
        <f>IF($BV576="","",IFERROR(VLOOKUP($BV576,DECODE!$A$3:$C$8,3,FALSE),"?"))</f>
        <v/>
      </c>
      <c r="BY576">
        <f>IF($BW576="","",IFERROR(VLOOKUP($BV576&amp;"-"&amp;$BW576,DECODE!$E$3:$F$21,2,FALSE),"?"))</f>
        <v/>
      </c>
      <c r="BZ576">
        <f>IF($BU576="","",IFERROR(VALUE(RIGHT($BU576,3)),""))</f>
        <v/>
      </c>
      <c r="CA576">
        <f>IF($X576="","",IFERROR(IF(ISNUMBER($X576),$X576,DATEVALUE(TRIM($X576))),""))</f>
        <v/>
      </c>
      <c r="CB576">
        <f>IF($CA576="","",IF(MONTH($CA576)&gt;=12,"Cold Winter",IF(MONTH($CA576)&gt;=10,"Post-Monsoon",IF(MONTH($CA576)&gt;=6,"Hot Humid",IF(MONTH($CA576)&gt;=3,"Hot Dry","Cold Winter")))))</f>
        <v/>
      </c>
      <c r="CC576">
        <f>IF($BV576="","",IFERROR(VLOOKUP($BV576,DECODE!$A$3:$C$8,2,FALSE),"?"))</f>
        <v/>
      </c>
      <c r="CD576">
        <f>IF($S576="","",UPPER(TRIM(LEFT($S576&amp;",",FIND(",",$S576&amp;",")-1))))</f>
        <v/>
      </c>
      <c r="CE576">
        <f>IF($CD576="","",MID($CD576,4,FIND("~",SUBSTITUTE($CD576,"-","~",2))-4))</f>
        <v/>
      </c>
      <c r="CF576">
        <f>IF($CD576="","",MID($CD576,FIND("~",SUBSTITUTE($CD576,"-","~",2))+1,FIND("~",SUBSTITUTE($CD576,"-","~",3))-FIND("~",SUBSTITUTE($CD576,"-","~",2))-1))</f>
        <v/>
      </c>
      <c r="CG576">
        <f>IF($CE576="","",IFERROR(VLOOKUP($CE576,DECODE!$A$3:$C$8,3,FALSE),"?"))</f>
        <v/>
      </c>
      <c r="CH576">
        <f>IF($CF576="","",IFERROR(VLOOKUP($CE576&amp;"-"&amp;$CF576,DECODE!$E$3:$F$21,2,FALSE),"?"))</f>
        <v/>
      </c>
      <c r="CI576">
        <f>IF($CD576="","",IFERROR(VALUE(RIGHT($CD576,3)),""))</f>
        <v/>
      </c>
      <c r="CJ576">
        <f>IF($Y576="","",IFERROR(IF(ISNUMBER($Y576),$Y576,DATEVALUE(TRIM($Y576))),""))</f>
        <v/>
      </c>
      <c r="CK576">
        <f>IF($CJ576="","",IF(MONTH($CJ576)&gt;=12,"Cold Winter",IF(MONTH($CJ576)&gt;=10,"Post-Monsoon",IF(MONTH($CJ576)&gt;=6,"Hot Humid",IF(MONTH($CJ576)&gt;=3,"Hot Dry","Cold Winter")))))</f>
        <v/>
      </c>
      <c r="CL576">
        <f>IF($CE576="","",IFERROR(VLOOKUP($CE576,DECODE!$A$3:$C$8,2,FALSE),"?"))</f>
        <v/>
      </c>
      <c r="CM576">
        <f>IF($AN576="","",AN576)</f>
        <v/>
      </c>
      <c r="CN576">
        <f>IF($AO576="","",AO576)</f>
        <v/>
      </c>
      <c r="CO576">
        <f>IF($AP576="","",AP576)</f>
        <v/>
      </c>
      <c r="CP576">
        <f>IF($CM576="","",IF($CM576="Aloe Vera Gel","Aloe Vera Gel "&amp;$CO576&amp;"g",CN576&amp;" "&amp;$CO576&amp;"g"))</f>
        <v/>
      </c>
      <c r="CQ576">
        <f>IF($AT576="",0,1)</f>
        <v/>
      </c>
      <c r="CR576">
        <f>IF($CQ576=0,"",AW576)</f>
        <v/>
      </c>
      <c r="CS576">
        <f>IF($CQ576=0,"",AX576)</f>
        <v/>
      </c>
      <c r="CT576">
        <f>IF($CQ576=0,"",AY576)</f>
        <v/>
      </c>
      <c r="CU576">
        <f>IF($CR576="","",IF($CR576="Aloe Vera Gel","Aloe Vera Gel "&amp;$CT576&amp;"g",CS576&amp;" "&amp;$CT576&amp;"g"))</f>
        <v/>
      </c>
      <c r="CV576">
        <f>IF($CQ576=0,"",IF($CP576=$CU576,"Repeat Exact",IF($CT576&gt;$CO576,"Upsized",IF($CT576&lt;$CO576,"Downsized",IF($CM576&lt;&gt;$CR576,"Lateral","Same Size Diff Variant")))))</f>
        <v/>
      </c>
      <c r="CW576">
        <f>IF($CQ576=0,"",AZ576-AQ576)</f>
        <v/>
      </c>
      <c r="CX576">
        <f>IF($CQ576=0,0,IF(CS576=CN576,1,0))</f>
        <v/>
      </c>
      <c r="CY576">
        <f>IF($CQ576=0,0,IF(CR576=CM576,1,0))</f>
        <v/>
      </c>
      <c r="CZ576">
        <f>IF($A576="","",IF(AND(IF(DASHBOARD!$C$4="All",TRUE,$CM576=DASHBOARD!$C$4),IF(DASHBOARD!$C$6="All",TRUE,$CP576=DASHBOARD!$C$6),IF(DASHBOARD!$C$8="All",TRUE,$AF576&gt;=DASHBOARD!$C$8),IF(DASHBOARD!$C$10="All",TRUE,$AF576&lt;=DASHBOARD!$C$10),IF(DASHBOARD!$C$12="All",TRUE,$AH576=VALUE(DASHBOARD!$C$12)),IF(DASHBOARD!$C$14="All",TRUE,$AJ576=DASHBOARD!$C$14)),1,0))</f>
        <v/>
      </c>
    </row>
    <row r="577">
      <c r="A577" t="n">
        <v>250950</v>
      </c>
      <c r="B577" t="inlineStr">
        <is>
          <t>Face Malai</t>
        </is>
      </c>
      <c r="H577" t="inlineStr">
        <is>
          <t>Tomato Patchouli (Cold) 20 - 35 Yrs Face Malai</t>
        </is>
      </c>
      <c r="N577" t="inlineStr">
        <is>
          <t>FC-CWDM-TP-030</t>
        </is>
      </c>
      <c r="T577" t="inlineStr">
        <is>
          <t>Oct 7, 2024</t>
        </is>
      </c>
      <c r="AE577" t="inlineStr">
        <is>
          <t>Ghaziabad</t>
        </is>
      </c>
      <c r="AF577" t="inlineStr">
        <is>
          <t>2024-10</t>
        </is>
      </c>
      <c r="AG577" t="n">
        <v>10</v>
      </c>
      <c r="AH577" t="n">
        <v>1</v>
      </c>
      <c r="AI577" t="n">
        <v>0</v>
      </c>
      <c r="AJ577">
        <f>IF($AE577="","",IFERROR(VLOOKUP(TRIM($AE577),DECODE!$H$3:$I$60,2,FALSE),"Rest of India"))</f>
        <v/>
      </c>
      <c r="AK577">
        <f>IF($N577="","",UPPER(TRIM(LEFT($N577&amp;",",FIND(",",$N577&amp;",")-1))))</f>
        <v/>
      </c>
      <c r="AL577">
        <f>IF($AK577="","",MID($AK577,4,FIND("~",SUBSTITUTE($AK577,"-","~",2))-4))</f>
        <v/>
      </c>
      <c r="AM577">
        <f>IF($AK577="","",MID($AK577,FIND("~",SUBSTITUTE($AK577,"-","~",2))+1,FIND("~",SUBSTITUTE($AK577,"-","~",3))-FIND("~",SUBSTITUTE($AK577,"-","~",2))-1))</f>
        <v/>
      </c>
      <c r="AN577">
        <f>IF($AL577="","",IFERROR(VLOOKUP($AL577,DECODE!$A$3:$C$8,3,FALSE),"?"))</f>
        <v/>
      </c>
      <c r="AO577">
        <f>IF($AM577="","",IFERROR(VLOOKUP($AL577&amp;"-"&amp;$AM577,DECODE!$E$3:$F$21,2,FALSE),"?"))</f>
        <v/>
      </c>
      <c r="AP577">
        <f>IF($AK577="","",IFERROR(VALUE(RIGHT($AK577,3)),""))</f>
        <v/>
      </c>
      <c r="AQ577">
        <f>IF($T577="","",IFERROR(IF(ISNUMBER($T577),$T577,DATEVALUE(TRIM($T577))),""))</f>
        <v/>
      </c>
      <c r="AR577">
        <f>IF($AQ577="","",IF(MONTH($AQ577)&gt;=12,"Cold Winter",IF(MONTH($AQ577)&gt;=10,"Post-Monsoon",IF(MONTH($AQ577)&gt;=6,"Hot Humid",IF(MONTH($AQ577)&gt;=3,"Hot Dry","Cold Winter")))))</f>
        <v/>
      </c>
      <c r="AS577">
        <f>IF($AL577="","",IFERROR(VLOOKUP($AL577,DECODE!$A$3:$C$8,2,FALSE),"?"))</f>
        <v/>
      </c>
      <c r="AT577">
        <f>IF($O577="","",UPPER(TRIM(LEFT($O577&amp;",",FIND(",",$O577&amp;",")-1))))</f>
        <v/>
      </c>
      <c r="AU577">
        <f>IF($AT577="","",MID($AT577,4,FIND("~",SUBSTITUTE($AT577,"-","~",2))-4))</f>
        <v/>
      </c>
      <c r="AV577">
        <f>IF($AT577="","",MID($AT577,FIND("~",SUBSTITUTE($AT577,"-","~",2))+1,FIND("~",SUBSTITUTE($AT577,"-","~",3))-FIND("~",SUBSTITUTE($AT577,"-","~",2))-1))</f>
        <v/>
      </c>
      <c r="AW577">
        <f>IF($AU577="","",IFERROR(VLOOKUP($AU577,DECODE!$A$3:$C$8,3,FALSE),"?"))</f>
        <v/>
      </c>
      <c r="AX577">
        <f>IF($AV577="","",IFERROR(VLOOKUP($AU577&amp;"-"&amp;$AV577,DECODE!$E$3:$F$21,2,FALSE),"?"))</f>
        <v/>
      </c>
      <c r="AY577">
        <f>IF($AT577="","",IFERROR(VALUE(RIGHT($AT577,3)),""))</f>
        <v/>
      </c>
      <c r="AZ577">
        <f>IF($U577="","",IFERROR(IF(ISNUMBER($U577),$U577,DATEVALUE(TRIM($U577))),""))</f>
        <v/>
      </c>
      <c r="BA577">
        <f>IF($AZ577="","",IF(MONTH($AZ577)&gt;=12,"Cold Winter",IF(MONTH($AZ577)&gt;=10,"Post-Monsoon",IF(MONTH($AZ577)&gt;=6,"Hot Humid",IF(MONTH($AZ577)&gt;=3,"Hot Dry","Cold Winter")))))</f>
        <v/>
      </c>
      <c r="BB577">
        <f>IF($AU577="","",IFERROR(VLOOKUP($AU577,DECODE!$A$3:$C$8,2,FALSE),"?"))</f>
        <v/>
      </c>
      <c r="BC577">
        <f>IF($P577="","",UPPER(TRIM(LEFT($P577&amp;",",FIND(",",$P577&amp;",")-1))))</f>
        <v/>
      </c>
      <c r="BD577">
        <f>IF($BC577="","",MID($BC577,4,FIND("~",SUBSTITUTE($BC577,"-","~",2))-4))</f>
        <v/>
      </c>
      <c r="BE577">
        <f>IF($BC577="","",MID($BC577,FIND("~",SUBSTITUTE($BC577,"-","~",2))+1,FIND("~",SUBSTITUTE($BC577,"-","~",3))-FIND("~",SUBSTITUTE($BC577,"-","~",2))-1))</f>
        <v/>
      </c>
      <c r="BF577">
        <f>IF($BD577="","",IFERROR(VLOOKUP($BD577,DECODE!$A$3:$C$8,3,FALSE),"?"))</f>
        <v/>
      </c>
      <c r="BG577">
        <f>IF($BE577="","",IFERROR(VLOOKUP($BD577&amp;"-"&amp;$BE577,DECODE!$E$3:$F$21,2,FALSE),"?"))</f>
        <v/>
      </c>
      <c r="BH577">
        <f>IF($BC577="","",IFERROR(VALUE(RIGHT($BC577,3)),""))</f>
        <v/>
      </c>
      <c r="BI577">
        <f>IF($V577="","",IFERROR(IF(ISNUMBER($V577),$V577,DATEVALUE(TRIM($V577))),""))</f>
        <v/>
      </c>
      <c r="BJ577">
        <f>IF($BI577="","",IF(MONTH($BI577)&gt;=12,"Cold Winter",IF(MONTH($BI577)&gt;=10,"Post-Monsoon",IF(MONTH($BI577)&gt;=6,"Hot Humid",IF(MONTH($BI577)&gt;=3,"Hot Dry","Cold Winter")))))</f>
        <v/>
      </c>
      <c r="BK577">
        <f>IF($BD577="","",IFERROR(VLOOKUP($BD577,DECODE!$A$3:$C$8,2,FALSE),"?"))</f>
        <v/>
      </c>
      <c r="BL577">
        <f>IF($Q577="","",UPPER(TRIM(LEFT($Q577&amp;",",FIND(",",$Q577&amp;",")-1))))</f>
        <v/>
      </c>
      <c r="BM577">
        <f>IF($BL577="","",MID($BL577,4,FIND("~",SUBSTITUTE($BL577,"-","~",2))-4))</f>
        <v/>
      </c>
      <c r="BN577">
        <f>IF($BL577="","",MID($BL577,FIND("~",SUBSTITUTE($BL577,"-","~",2))+1,FIND("~",SUBSTITUTE($BL577,"-","~",3))-FIND("~",SUBSTITUTE($BL577,"-","~",2))-1))</f>
        <v/>
      </c>
      <c r="BO577">
        <f>IF($BM577="","",IFERROR(VLOOKUP($BM577,DECODE!$A$3:$C$8,3,FALSE),"?"))</f>
        <v/>
      </c>
      <c r="BP577">
        <f>IF($BN577="","",IFERROR(VLOOKUP($BM577&amp;"-"&amp;$BN577,DECODE!$E$3:$F$21,2,FALSE),"?"))</f>
        <v/>
      </c>
      <c r="BQ577">
        <f>IF($BL577="","",IFERROR(VALUE(RIGHT($BL577,3)),""))</f>
        <v/>
      </c>
      <c r="BR577">
        <f>IF($W577="","",IFERROR(IF(ISNUMBER($W577),$W577,DATEVALUE(TRIM($W577))),""))</f>
        <v/>
      </c>
      <c r="BS577">
        <f>IF($BR577="","",IF(MONTH($BR577)&gt;=12,"Cold Winter",IF(MONTH($BR577)&gt;=10,"Post-Monsoon",IF(MONTH($BR577)&gt;=6,"Hot Humid",IF(MONTH($BR577)&gt;=3,"Hot Dry","Cold Winter")))))</f>
        <v/>
      </c>
      <c r="BT577">
        <f>IF($BM577="","",IFERROR(VLOOKUP($BM577,DECODE!$A$3:$C$8,2,FALSE),"?"))</f>
        <v/>
      </c>
      <c r="BU577">
        <f>IF($R577="","",UPPER(TRIM(LEFT($R577&amp;",",FIND(",",$R577&amp;",")-1))))</f>
        <v/>
      </c>
      <c r="BV577">
        <f>IF($BU577="","",MID($BU577,4,FIND("~",SUBSTITUTE($BU577,"-","~",2))-4))</f>
        <v/>
      </c>
      <c r="BW577">
        <f>IF($BU577="","",MID($BU577,FIND("~",SUBSTITUTE($BU577,"-","~",2))+1,FIND("~",SUBSTITUTE($BU577,"-","~",3))-FIND("~",SUBSTITUTE($BU577,"-","~",2))-1))</f>
        <v/>
      </c>
      <c r="BX577">
        <f>IF($BV577="","",IFERROR(VLOOKUP($BV577,DECODE!$A$3:$C$8,3,FALSE),"?"))</f>
        <v/>
      </c>
      <c r="BY577">
        <f>IF($BW577="","",IFERROR(VLOOKUP($BV577&amp;"-"&amp;$BW577,DECODE!$E$3:$F$21,2,FALSE),"?"))</f>
        <v/>
      </c>
      <c r="BZ577">
        <f>IF($BU577="","",IFERROR(VALUE(RIGHT($BU577,3)),""))</f>
        <v/>
      </c>
      <c r="CA577">
        <f>IF($X577="","",IFERROR(IF(ISNUMBER($X577),$X577,DATEVALUE(TRIM($X577))),""))</f>
        <v/>
      </c>
      <c r="CB577">
        <f>IF($CA577="","",IF(MONTH($CA577)&gt;=12,"Cold Winter",IF(MONTH($CA577)&gt;=10,"Post-Monsoon",IF(MONTH($CA577)&gt;=6,"Hot Humid",IF(MONTH($CA577)&gt;=3,"Hot Dry","Cold Winter")))))</f>
        <v/>
      </c>
      <c r="CC577">
        <f>IF($BV577="","",IFERROR(VLOOKUP($BV577,DECODE!$A$3:$C$8,2,FALSE),"?"))</f>
        <v/>
      </c>
      <c r="CD577">
        <f>IF($S577="","",UPPER(TRIM(LEFT($S577&amp;",",FIND(",",$S577&amp;",")-1))))</f>
        <v/>
      </c>
      <c r="CE577">
        <f>IF($CD577="","",MID($CD577,4,FIND("~",SUBSTITUTE($CD577,"-","~",2))-4))</f>
        <v/>
      </c>
      <c r="CF577">
        <f>IF($CD577="","",MID($CD577,FIND("~",SUBSTITUTE($CD577,"-","~",2))+1,FIND("~",SUBSTITUTE($CD577,"-","~",3))-FIND("~",SUBSTITUTE($CD577,"-","~",2))-1))</f>
        <v/>
      </c>
      <c r="CG577">
        <f>IF($CE577="","",IFERROR(VLOOKUP($CE577,DECODE!$A$3:$C$8,3,FALSE),"?"))</f>
        <v/>
      </c>
      <c r="CH577">
        <f>IF($CF577="","",IFERROR(VLOOKUP($CE577&amp;"-"&amp;$CF577,DECODE!$E$3:$F$21,2,FALSE),"?"))</f>
        <v/>
      </c>
      <c r="CI577">
        <f>IF($CD577="","",IFERROR(VALUE(RIGHT($CD577,3)),""))</f>
        <v/>
      </c>
      <c r="CJ577">
        <f>IF($Y577="","",IFERROR(IF(ISNUMBER($Y577),$Y577,DATEVALUE(TRIM($Y577))),""))</f>
        <v/>
      </c>
      <c r="CK577">
        <f>IF($CJ577="","",IF(MONTH($CJ577)&gt;=12,"Cold Winter",IF(MONTH($CJ577)&gt;=10,"Post-Monsoon",IF(MONTH($CJ577)&gt;=6,"Hot Humid",IF(MONTH($CJ577)&gt;=3,"Hot Dry","Cold Winter")))))</f>
        <v/>
      </c>
      <c r="CL577">
        <f>IF($CE577="","",IFERROR(VLOOKUP($CE577,DECODE!$A$3:$C$8,2,FALSE),"?"))</f>
        <v/>
      </c>
      <c r="CM577">
        <f>IF($AN577="","",AN577)</f>
        <v/>
      </c>
      <c r="CN577">
        <f>IF($AO577="","",AO577)</f>
        <v/>
      </c>
      <c r="CO577">
        <f>IF($AP577="","",AP577)</f>
        <v/>
      </c>
      <c r="CP577">
        <f>IF($CM577="","",IF($CM577="Aloe Vera Gel","Aloe Vera Gel "&amp;$CO577&amp;"g",CN577&amp;" "&amp;$CO577&amp;"g"))</f>
        <v/>
      </c>
      <c r="CQ577">
        <f>IF($AT577="",0,1)</f>
        <v/>
      </c>
      <c r="CR577">
        <f>IF($CQ577=0,"",AW577)</f>
        <v/>
      </c>
      <c r="CS577">
        <f>IF($CQ577=0,"",AX577)</f>
        <v/>
      </c>
      <c r="CT577">
        <f>IF($CQ577=0,"",AY577)</f>
        <v/>
      </c>
      <c r="CU577">
        <f>IF($CR577="","",IF($CR577="Aloe Vera Gel","Aloe Vera Gel "&amp;$CT577&amp;"g",CS577&amp;" "&amp;$CT577&amp;"g"))</f>
        <v/>
      </c>
      <c r="CV577">
        <f>IF($CQ577=0,"",IF($CP577=$CU577,"Repeat Exact",IF($CT577&gt;$CO577,"Upsized",IF($CT577&lt;$CO577,"Downsized",IF($CM577&lt;&gt;$CR577,"Lateral","Same Size Diff Variant")))))</f>
        <v/>
      </c>
      <c r="CW577">
        <f>IF($CQ577=0,"",AZ577-AQ577)</f>
        <v/>
      </c>
      <c r="CX577">
        <f>IF($CQ577=0,0,IF(CS577=CN577,1,0))</f>
        <v/>
      </c>
      <c r="CY577">
        <f>IF($CQ577=0,0,IF(CR577=CM577,1,0))</f>
        <v/>
      </c>
      <c r="CZ577">
        <f>IF($A577="","",IF(AND(IF(DASHBOARD!$C$4="All",TRUE,$CM577=DASHBOARD!$C$4),IF(DASHBOARD!$C$6="All",TRUE,$CP577=DASHBOARD!$C$6),IF(DASHBOARD!$C$8="All",TRUE,$AF577&gt;=DASHBOARD!$C$8),IF(DASHBOARD!$C$10="All",TRUE,$AF577&lt;=DASHBOARD!$C$10),IF(DASHBOARD!$C$12="All",TRUE,$AH577=VALUE(DASHBOARD!$C$12)),IF(DASHBOARD!$C$14="All",TRUE,$AJ577=DASHBOARD!$C$14)),1,0))</f>
        <v/>
      </c>
    </row>
    <row r="578">
      <c r="A578" t="n">
        <v>251512</v>
      </c>
      <c r="B578" t="inlineStr">
        <is>
          <t>Face Malai</t>
        </is>
      </c>
      <c r="H578" t="inlineStr">
        <is>
          <t>Tomato Vetiver (Hot Humid) 20 - 35 Yrs Face Malai</t>
        </is>
      </c>
      <c r="N578" t="inlineStr">
        <is>
          <t>FC-HHDM-TV-030</t>
        </is>
      </c>
      <c r="T578" t="inlineStr">
        <is>
          <t>Aug 2, 2025</t>
        </is>
      </c>
      <c r="AE578" t="inlineStr">
        <is>
          <t>Vijayawada</t>
        </is>
      </c>
      <c r="AF578" t="inlineStr">
        <is>
          <t>2025-08</t>
        </is>
      </c>
      <c r="AG578" t="n">
        <v>8</v>
      </c>
      <c r="AH578" t="n">
        <v>1</v>
      </c>
      <c r="AI578" t="n">
        <v>0</v>
      </c>
      <c r="AJ578">
        <f>IF($AE578="","",IFERROR(VLOOKUP(TRIM($AE578),DECODE!$H$3:$I$60,2,FALSE),"Rest of India"))</f>
        <v/>
      </c>
      <c r="AK578">
        <f>IF($N578="","",UPPER(TRIM(LEFT($N578&amp;",",FIND(",",$N578&amp;",")-1))))</f>
        <v/>
      </c>
      <c r="AL578">
        <f>IF($AK578="","",MID($AK578,4,FIND("~",SUBSTITUTE($AK578,"-","~",2))-4))</f>
        <v/>
      </c>
      <c r="AM578">
        <f>IF($AK578="","",MID($AK578,FIND("~",SUBSTITUTE($AK578,"-","~",2))+1,FIND("~",SUBSTITUTE($AK578,"-","~",3))-FIND("~",SUBSTITUTE($AK578,"-","~",2))-1))</f>
        <v/>
      </c>
      <c r="AN578">
        <f>IF($AL578="","",IFERROR(VLOOKUP($AL578,DECODE!$A$3:$C$8,3,FALSE),"?"))</f>
        <v/>
      </c>
      <c r="AO578">
        <f>IF($AM578="","",IFERROR(VLOOKUP($AL578&amp;"-"&amp;$AM578,DECODE!$E$3:$F$21,2,FALSE),"?"))</f>
        <v/>
      </c>
      <c r="AP578">
        <f>IF($AK578="","",IFERROR(VALUE(RIGHT($AK578,3)),""))</f>
        <v/>
      </c>
      <c r="AQ578">
        <f>IF($T578="","",IFERROR(IF(ISNUMBER($T578),$T578,DATEVALUE(TRIM($T578))),""))</f>
        <v/>
      </c>
      <c r="AR578">
        <f>IF($AQ578="","",IF(MONTH($AQ578)&gt;=12,"Cold Winter",IF(MONTH($AQ578)&gt;=10,"Post-Monsoon",IF(MONTH($AQ578)&gt;=6,"Hot Humid",IF(MONTH($AQ578)&gt;=3,"Hot Dry","Cold Winter")))))</f>
        <v/>
      </c>
      <c r="AS578">
        <f>IF($AL578="","",IFERROR(VLOOKUP($AL578,DECODE!$A$3:$C$8,2,FALSE),"?"))</f>
        <v/>
      </c>
      <c r="AT578">
        <f>IF($O578="","",UPPER(TRIM(LEFT($O578&amp;",",FIND(",",$O578&amp;",")-1))))</f>
        <v/>
      </c>
      <c r="AU578">
        <f>IF($AT578="","",MID($AT578,4,FIND("~",SUBSTITUTE($AT578,"-","~",2))-4))</f>
        <v/>
      </c>
      <c r="AV578">
        <f>IF($AT578="","",MID($AT578,FIND("~",SUBSTITUTE($AT578,"-","~",2))+1,FIND("~",SUBSTITUTE($AT578,"-","~",3))-FIND("~",SUBSTITUTE($AT578,"-","~",2))-1))</f>
        <v/>
      </c>
      <c r="AW578">
        <f>IF($AU578="","",IFERROR(VLOOKUP($AU578,DECODE!$A$3:$C$8,3,FALSE),"?"))</f>
        <v/>
      </c>
      <c r="AX578">
        <f>IF($AV578="","",IFERROR(VLOOKUP($AU578&amp;"-"&amp;$AV578,DECODE!$E$3:$F$21,2,FALSE),"?"))</f>
        <v/>
      </c>
      <c r="AY578">
        <f>IF($AT578="","",IFERROR(VALUE(RIGHT($AT578,3)),""))</f>
        <v/>
      </c>
      <c r="AZ578">
        <f>IF($U578="","",IFERROR(IF(ISNUMBER($U578),$U578,DATEVALUE(TRIM($U578))),""))</f>
        <v/>
      </c>
      <c r="BA578">
        <f>IF($AZ578="","",IF(MONTH($AZ578)&gt;=12,"Cold Winter",IF(MONTH($AZ578)&gt;=10,"Post-Monsoon",IF(MONTH($AZ578)&gt;=6,"Hot Humid",IF(MONTH($AZ578)&gt;=3,"Hot Dry","Cold Winter")))))</f>
        <v/>
      </c>
      <c r="BB578">
        <f>IF($AU578="","",IFERROR(VLOOKUP($AU578,DECODE!$A$3:$C$8,2,FALSE),"?"))</f>
        <v/>
      </c>
      <c r="BC578">
        <f>IF($P578="","",UPPER(TRIM(LEFT($P578&amp;",",FIND(",",$P578&amp;",")-1))))</f>
        <v/>
      </c>
      <c r="BD578">
        <f>IF($BC578="","",MID($BC578,4,FIND("~",SUBSTITUTE($BC578,"-","~",2))-4))</f>
        <v/>
      </c>
      <c r="BE578">
        <f>IF($BC578="","",MID($BC578,FIND("~",SUBSTITUTE($BC578,"-","~",2))+1,FIND("~",SUBSTITUTE($BC578,"-","~",3))-FIND("~",SUBSTITUTE($BC578,"-","~",2))-1))</f>
        <v/>
      </c>
      <c r="BF578">
        <f>IF($BD578="","",IFERROR(VLOOKUP($BD578,DECODE!$A$3:$C$8,3,FALSE),"?"))</f>
        <v/>
      </c>
      <c r="BG578">
        <f>IF($BE578="","",IFERROR(VLOOKUP($BD578&amp;"-"&amp;$BE578,DECODE!$E$3:$F$21,2,FALSE),"?"))</f>
        <v/>
      </c>
      <c r="BH578">
        <f>IF($BC578="","",IFERROR(VALUE(RIGHT($BC578,3)),""))</f>
        <v/>
      </c>
      <c r="BI578">
        <f>IF($V578="","",IFERROR(IF(ISNUMBER($V578),$V578,DATEVALUE(TRIM($V578))),""))</f>
        <v/>
      </c>
      <c r="BJ578">
        <f>IF($BI578="","",IF(MONTH($BI578)&gt;=12,"Cold Winter",IF(MONTH($BI578)&gt;=10,"Post-Monsoon",IF(MONTH($BI578)&gt;=6,"Hot Humid",IF(MONTH($BI578)&gt;=3,"Hot Dry","Cold Winter")))))</f>
        <v/>
      </c>
      <c r="BK578">
        <f>IF($BD578="","",IFERROR(VLOOKUP($BD578,DECODE!$A$3:$C$8,2,FALSE),"?"))</f>
        <v/>
      </c>
      <c r="BL578">
        <f>IF($Q578="","",UPPER(TRIM(LEFT($Q578&amp;",",FIND(",",$Q578&amp;",")-1))))</f>
        <v/>
      </c>
      <c r="BM578">
        <f>IF($BL578="","",MID($BL578,4,FIND("~",SUBSTITUTE($BL578,"-","~",2))-4))</f>
        <v/>
      </c>
      <c r="BN578">
        <f>IF($BL578="","",MID($BL578,FIND("~",SUBSTITUTE($BL578,"-","~",2))+1,FIND("~",SUBSTITUTE($BL578,"-","~",3))-FIND("~",SUBSTITUTE($BL578,"-","~",2))-1))</f>
        <v/>
      </c>
      <c r="BO578">
        <f>IF($BM578="","",IFERROR(VLOOKUP($BM578,DECODE!$A$3:$C$8,3,FALSE),"?"))</f>
        <v/>
      </c>
      <c r="BP578">
        <f>IF($BN578="","",IFERROR(VLOOKUP($BM578&amp;"-"&amp;$BN578,DECODE!$E$3:$F$21,2,FALSE),"?"))</f>
        <v/>
      </c>
      <c r="BQ578">
        <f>IF($BL578="","",IFERROR(VALUE(RIGHT($BL578,3)),""))</f>
        <v/>
      </c>
      <c r="BR578">
        <f>IF($W578="","",IFERROR(IF(ISNUMBER($W578),$W578,DATEVALUE(TRIM($W578))),""))</f>
        <v/>
      </c>
      <c r="BS578">
        <f>IF($BR578="","",IF(MONTH($BR578)&gt;=12,"Cold Winter",IF(MONTH($BR578)&gt;=10,"Post-Monsoon",IF(MONTH($BR578)&gt;=6,"Hot Humid",IF(MONTH($BR578)&gt;=3,"Hot Dry","Cold Winter")))))</f>
        <v/>
      </c>
      <c r="BT578">
        <f>IF($BM578="","",IFERROR(VLOOKUP($BM578,DECODE!$A$3:$C$8,2,FALSE),"?"))</f>
        <v/>
      </c>
      <c r="BU578">
        <f>IF($R578="","",UPPER(TRIM(LEFT($R578&amp;",",FIND(",",$R578&amp;",")-1))))</f>
        <v/>
      </c>
      <c r="BV578">
        <f>IF($BU578="","",MID($BU578,4,FIND("~",SUBSTITUTE($BU578,"-","~",2))-4))</f>
        <v/>
      </c>
      <c r="BW578">
        <f>IF($BU578="","",MID($BU578,FIND("~",SUBSTITUTE($BU578,"-","~",2))+1,FIND("~",SUBSTITUTE($BU578,"-","~",3))-FIND("~",SUBSTITUTE($BU578,"-","~",2))-1))</f>
        <v/>
      </c>
      <c r="BX578">
        <f>IF($BV578="","",IFERROR(VLOOKUP($BV578,DECODE!$A$3:$C$8,3,FALSE),"?"))</f>
        <v/>
      </c>
      <c r="BY578">
        <f>IF($BW578="","",IFERROR(VLOOKUP($BV578&amp;"-"&amp;$BW578,DECODE!$E$3:$F$21,2,FALSE),"?"))</f>
        <v/>
      </c>
      <c r="BZ578">
        <f>IF($BU578="","",IFERROR(VALUE(RIGHT($BU578,3)),""))</f>
        <v/>
      </c>
      <c r="CA578">
        <f>IF($X578="","",IFERROR(IF(ISNUMBER($X578),$X578,DATEVALUE(TRIM($X578))),""))</f>
        <v/>
      </c>
      <c r="CB578">
        <f>IF($CA578="","",IF(MONTH($CA578)&gt;=12,"Cold Winter",IF(MONTH($CA578)&gt;=10,"Post-Monsoon",IF(MONTH($CA578)&gt;=6,"Hot Humid",IF(MONTH($CA578)&gt;=3,"Hot Dry","Cold Winter")))))</f>
        <v/>
      </c>
      <c r="CC578">
        <f>IF($BV578="","",IFERROR(VLOOKUP($BV578,DECODE!$A$3:$C$8,2,FALSE),"?"))</f>
        <v/>
      </c>
      <c r="CD578">
        <f>IF($S578="","",UPPER(TRIM(LEFT($S578&amp;",",FIND(",",$S578&amp;",")-1))))</f>
        <v/>
      </c>
      <c r="CE578">
        <f>IF($CD578="","",MID($CD578,4,FIND("~",SUBSTITUTE($CD578,"-","~",2))-4))</f>
        <v/>
      </c>
      <c r="CF578">
        <f>IF($CD578="","",MID($CD578,FIND("~",SUBSTITUTE($CD578,"-","~",2))+1,FIND("~",SUBSTITUTE($CD578,"-","~",3))-FIND("~",SUBSTITUTE($CD578,"-","~",2))-1))</f>
        <v/>
      </c>
      <c r="CG578">
        <f>IF($CE578="","",IFERROR(VLOOKUP($CE578,DECODE!$A$3:$C$8,3,FALSE),"?"))</f>
        <v/>
      </c>
      <c r="CH578">
        <f>IF($CF578="","",IFERROR(VLOOKUP($CE578&amp;"-"&amp;$CF578,DECODE!$E$3:$F$21,2,FALSE),"?"))</f>
        <v/>
      </c>
      <c r="CI578">
        <f>IF($CD578="","",IFERROR(VALUE(RIGHT($CD578,3)),""))</f>
        <v/>
      </c>
      <c r="CJ578">
        <f>IF($Y578="","",IFERROR(IF(ISNUMBER($Y578),$Y578,DATEVALUE(TRIM($Y578))),""))</f>
        <v/>
      </c>
      <c r="CK578">
        <f>IF($CJ578="","",IF(MONTH($CJ578)&gt;=12,"Cold Winter",IF(MONTH($CJ578)&gt;=10,"Post-Monsoon",IF(MONTH($CJ578)&gt;=6,"Hot Humid",IF(MONTH($CJ578)&gt;=3,"Hot Dry","Cold Winter")))))</f>
        <v/>
      </c>
      <c r="CL578">
        <f>IF($CE578="","",IFERROR(VLOOKUP($CE578,DECODE!$A$3:$C$8,2,FALSE),"?"))</f>
        <v/>
      </c>
      <c r="CM578">
        <f>IF($AN578="","",AN578)</f>
        <v/>
      </c>
      <c r="CN578">
        <f>IF($AO578="","",AO578)</f>
        <v/>
      </c>
      <c r="CO578">
        <f>IF($AP578="","",AP578)</f>
        <v/>
      </c>
      <c r="CP578">
        <f>IF($CM578="","",IF($CM578="Aloe Vera Gel","Aloe Vera Gel "&amp;$CO578&amp;"g",CN578&amp;" "&amp;$CO578&amp;"g"))</f>
        <v/>
      </c>
      <c r="CQ578">
        <f>IF($AT578="",0,1)</f>
        <v/>
      </c>
      <c r="CR578">
        <f>IF($CQ578=0,"",AW578)</f>
        <v/>
      </c>
      <c r="CS578">
        <f>IF($CQ578=0,"",AX578)</f>
        <v/>
      </c>
      <c r="CT578">
        <f>IF($CQ578=0,"",AY578)</f>
        <v/>
      </c>
      <c r="CU578">
        <f>IF($CR578="","",IF($CR578="Aloe Vera Gel","Aloe Vera Gel "&amp;$CT578&amp;"g",CS578&amp;" "&amp;$CT578&amp;"g"))</f>
        <v/>
      </c>
      <c r="CV578">
        <f>IF($CQ578=0,"",IF($CP578=$CU578,"Repeat Exact",IF($CT578&gt;$CO578,"Upsized",IF($CT578&lt;$CO578,"Downsized",IF($CM578&lt;&gt;$CR578,"Lateral","Same Size Diff Variant")))))</f>
        <v/>
      </c>
      <c r="CW578">
        <f>IF($CQ578=0,"",AZ578-AQ578)</f>
        <v/>
      </c>
      <c r="CX578">
        <f>IF($CQ578=0,0,IF(CS578=CN578,1,0))</f>
        <v/>
      </c>
      <c r="CY578">
        <f>IF($CQ578=0,0,IF(CR578=CM578,1,0))</f>
        <v/>
      </c>
      <c r="CZ578">
        <f>IF($A578="","",IF(AND(IF(DASHBOARD!$C$4="All",TRUE,$CM578=DASHBOARD!$C$4),IF(DASHBOARD!$C$6="All",TRUE,$CP578=DASHBOARD!$C$6),IF(DASHBOARD!$C$8="All",TRUE,$AF578&gt;=DASHBOARD!$C$8),IF(DASHBOARD!$C$10="All",TRUE,$AF578&lt;=DASHBOARD!$C$10),IF(DASHBOARD!$C$12="All",TRUE,$AH578=VALUE(DASHBOARD!$C$12)),IF(DASHBOARD!$C$14="All",TRUE,$AJ578=DASHBOARD!$C$14)),1,0))</f>
        <v/>
      </c>
    </row>
    <row r="579">
      <c r="A579" t="n">
        <v>251797</v>
      </c>
      <c r="B579" t="inlineStr">
        <is>
          <t>Active Gel</t>
        </is>
      </c>
      <c r="H579" t="inlineStr">
        <is>
          <t>Active Aloe Cactus Hydra Lift Gel</t>
        </is>
      </c>
      <c r="N579" t="inlineStr">
        <is>
          <t>FC-AC-AC-050</t>
        </is>
      </c>
      <c r="T579" t="inlineStr">
        <is>
          <t>Apr 13, 2025</t>
        </is>
      </c>
      <c r="AE579" t="inlineStr">
        <is>
          <t>Hyderabad</t>
        </is>
      </c>
      <c r="AF579" t="inlineStr">
        <is>
          <t>2025-04</t>
        </is>
      </c>
      <c r="AG579" t="n">
        <v>4</v>
      </c>
      <c r="AH579" t="n">
        <v>1</v>
      </c>
      <c r="AI579" t="n">
        <v>0</v>
      </c>
      <c r="AJ579">
        <f>IF($AE579="","",IFERROR(VLOOKUP(TRIM($AE579),DECODE!$H$3:$I$60,2,FALSE),"Rest of India"))</f>
        <v/>
      </c>
      <c r="AK579">
        <f>IF($N579="","",UPPER(TRIM(LEFT($N579&amp;",",FIND(",",$N579&amp;",")-1))))</f>
        <v/>
      </c>
      <c r="AL579">
        <f>IF($AK579="","",MID($AK579,4,FIND("~",SUBSTITUTE($AK579,"-","~",2))-4))</f>
        <v/>
      </c>
      <c r="AM579">
        <f>IF($AK579="","",MID($AK579,FIND("~",SUBSTITUTE($AK579,"-","~",2))+1,FIND("~",SUBSTITUTE($AK579,"-","~",3))-FIND("~",SUBSTITUTE($AK579,"-","~",2))-1))</f>
        <v/>
      </c>
      <c r="AN579">
        <f>IF($AL579="","",IFERROR(VLOOKUP($AL579,DECODE!$A$3:$C$8,3,FALSE),"?"))</f>
        <v/>
      </c>
      <c r="AO579">
        <f>IF($AM579="","",IFERROR(VLOOKUP($AL579&amp;"-"&amp;$AM579,DECODE!$E$3:$F$21,2,FALSE),"?"))</f>
        <v/>
      </c>
      <c r="AP579">
        <f>IF($AK579="","",IFERROR(VALUE(RIGHT($AK579,3)),""))</f>
        <v/>
      </c>
      <c r="AQ579">
        <f>IF($T579="","",IFERROR(IF(ISNUMBER($T579),$T579,DATEVALUE(TRIM($T579))),""))</f>
        <v/>
      </c>
      <c r="AR579">
        <f>IF($AQ579="","",IF(MONTH($AQ579)&gt;=12,"Cold Winter",IF(MONTH($AQ579)&gt;=10,"Post-Monsoon",IF(MONTH($AQ579)&gt;=6,"Hot Humid",IF(MONTH($AQ579)&gt;=3,"Hot Dry","Cold Winter")))))</f>
        <v/>
      </c>
      <c r="AS579">
        <f>IF($AL579="","",IFERROR(VLOOKUP($AL579,DECODE!$A$3:$C$8,2,FALSE),"?"))</f>
        <v/>
      </c>
      <c r="AT579">
        <f>IF($O579="","",UPPER(TRIM(LEFT($O579&amp;",",FIND(",",$O579&amp;",")-1))))</f>
        <v/>
      </c>
      <c r="AU579">
        <f>IF($AT579="","",MID($AT579,4,FIND("~",SUBSTITUTE($AT579,"-","~",2))-4))</f>
        <v/>
      </c>
      <c r="AV579">
        <f>IF($AT579="","",MID($AT579,FIND("~",SUBSTITUTE($AT579,"-","~",2))+1,FIND("~",SUBSTITUTE($AT579,"-","~",3))-FIND("~",SUBSTITUTE($AT579,"-","~",2))-1))</f>
        <v/>
      </c>
      <c r="AW579">
        <f>IF($AU579="","",IFERROR(VLOOKUP($AU579,DECODE!$A$3:$C$8,3,FALSE),"?"))</f>
        <v/>
      </c>
      <c r="AX579">
        <f>IF($AV579="","",IFERROR(VLOOKUP($AU579&amp;"-"&amp;$AV579,DECODE!$E$3:$F$21,2,FALSE),"?"))</f>
        <v/>
      </c>
      <c r="AY579">
        <f>IF($AT579="","",IFERROR(VALUE(RIGHT($AT579,3)),""))</f>
        <v/>
      </c>
      <c r="AZ579">
        <f>IF($U579="","",IFERROR(IF(ISNUMBER($U579),$U579,DATEVALUE(TRIM($U579))),""))</f>
        <v/>
      </c>
      <c r="BA579">
        <f>IF($AZ579="","",IF(MONTH($AZ579)&gt;=12,"Cold Winter",IF(MONTH($AZ579)&gt;=10,"Post-Monsoon",IF(MONTH($AZ579)&gt;=6,"Hot Humid",IF(MONTH($AZ579)&gt;=3,"Hot Dry","Cold Winter")))))</f>
        <v/>
      </c>
      <c r="BB579">
        <f>IF($AU579="","",IFERROR(VLOOKUP($AU579,DECODE!$A$3:$C$8,2,FALSE),"?"))</f>
        <v/>
      </c>
      <c r="BC579">
        <f>IF($P579="","",UPPER(TRIM(LEFT($P579&amp;",",FIND(",",$P579&amp;",")-1))))</f>
        <v/>
      </c>
      <c r="BD579">
        <f>IF($BC579="","",MID($BC579,4,FIND("~",SUBSTITUTE($BC579,"-","~",2))-4))</f>
        <v/>
      </c>
      <c r="BE579">
        <f>IF($BC579="","",MID($BC579,FIND("~",SUBSTITUTE($BC579,"-","~",2))+1,FIND("~",SUBSTITUTE($BC579,"-","~",3))-FIND("~",SUBSTITUTE($BC579,"-","~",2))-1))</f>
        <v/>
      </c>
      <c r="BF579">
        <f>IF($BD579="","",IFERROR(VLOOKUP($BD579,DECODE!$A$3:$C$8,3,FALSE),"?"))</f>
        <v/>
      </c>
      <c r="BG579">
        <f>IF($BE579="","",IFERROR(VLOOKUP($BD579&amp;"-"&amp;$BE579,DECODE!$E$3:$F$21,2,FALSE),"?"))</f>
        <v/>
      </c>
      <c r="BH579">
        <f>IF($BC579="","",IFERROR(VALUE(RIGHT($BC579,3)),""))</f>
        <v/>
      </c>
      <c r="BI579">
        <f>IF($V579="","",IFERROR(IF(ISNUMBER($V579),$V579,DATEVALUE(TRIM($V579))),""))</f>
        <v/>
      </c>
      <c r="BJ579">
        <f>IF($BI579="","",IF(MONTH($BI579)&gt;=12,"Cold Winter",IF(MONTH($BI579)&gt;=10,"Post-Monsoon",IF(MONTH($BI579)&gt;=6,"Hot Humid",IF(MONTH($BI579)&gt;=3,"Hot Dry","Cold Winter")))))</f>
        <v/>
      </c>
      <c r="BK579">
        <f>IF($BD579="","",IFERROR(VLOOKUP($BD579,DECODE!$A$3:$C$8,2,FALSE),"?"))</f>
        <v/>
      </c>
      <c r="BL579">
        <f>IF($Q579="","",UPPER(TRIM(LEFT($Q579&amp;",",FIND(",",$Q579&amp;",")-1))))</f>
        <v/>
      </c>
      <c r="BM579">
        <f>IF($BL579="","",MID($BL579,4,FIND("~",SUBSTITUTE($BL579,"-","~",2))-4))</f>
        <v/>
      </c>
      <c r="BN579">
        <f>IF($BL579="","",MID($BL579,FIND("~",SUBSTITUTE($BL579,"-","~",2))+1,FIND("~",SUBSTITUTE($BL579,"-","~",3))-FIND("~",SUBSTITUTE($BL579,"-","~",2))-1))</f>
        <v/>
      </c>
      <c r="BO579">
        <f>IF($BM579="","",IFERROR(VLOOKUP($BM579,DECODE!$A$3:$C$8,3,FALSE),"?"))</f>
        <v/>
      </c>
      <c r="BP579">
        <f>IF($BN579="","",IFERROR(VLOOKUP($BM579&amp;"-"&amp;$BN579,DECODE!$E$3:$F$21,2,FALSE),"?"))</f>
        <v/>
      </c>
      <c r="BQ579">
        <f>IF($BL579="","",IFERROR(VALUE(RIGHT($BL579,3)),""))</f>
        <v/>
      </c>
      <c r="BR579">
        <f>IF($W579="","",IFERROR(IF(ISNUMBER($W579),$W579,DATEVALUE(TRIM($W579))),""))</f>
        <v/>
      </c>
      <c r="BS579">
        <f>IF($BR579="","",IF(MONTH($BR579)&gt;=12,"Cold Winter",IF(MONTH($BR579)&gt;=10,"Post-Monsoon",IF(MONTH($BR579)&gt;=6,"Hot Humid",IF(MONTH($BR579)&gt;=3,"Hot Dry","Cold Winter")))))</f>
        <v/>
      </c>
      <c r="BT579">
        <f>IF($BM579="","",IFERROR(VLOOKUP($BM579,DECODE!$A$3:$C$8,2,FALSE),"?"))</f>
        <v/>
      </c>
      <c r="BU579">
        <f>IF($R579="","",UPPER(TRIM(LEFT($R579&amp;",",FIND(",",$R579&amp;",")-1))))</f>
        <v/>
      </c>
      <c r="BV579">
        <f>IF($BU579="","",MID($BU579,4,FIND("~",SUBSTITUTE($BU579,"-","~",2))-4))</f>
        <v/>
      </c>
      <c r="BW579">
        <f>IF($BU579="","",MID($BU579,FIND("~",SUBSTITUTE($BU579,"-","~",2))+1,FIND("~",SUBSTITUTE($BU579,"-","~",3))-FIND("~",SUBSTITUTE($BU579,"-","~",2))-1))</f>
        <v/>
      </c>
      <c r="BX579">
        <f>IF($BV579="","",IFERROR(VLOOKUP($BV579,DECODE!$A$3:$C$8,3,FALSE),"?"))</f>
        <v/>
      </c>
      <c r="BY579">
        <f>IF($BW579="","",IFERROR(VLOOKUP($BV579&amp;"-"&amp;$BW579,DECODE!$E$3:$F$21,2,FALSE),"?"))</f>
        <v/>
      </c>
      <c r="BZ579">
        <f>IF($BU579="","",IFERROR(VALUE(RIGHT($BU579,3)),""))</f>
        <v/>
      </c>
      <c r="CA579">
        <f>IF($X579="","",IFERROR(IF(ISNUMBER($X579),$X579,DATEVALUE(TRIM($X579))),""))</f>
        <v/>
      </c>
      <c r="CB579">
        <f>IF($CA579="","",IF(MONTH($CA579)&gt;=12,"Cold Winter",IF(MONTH($CA579)&gt;=10,"Post-Monsoon",IF(MONTH($CA579)&gt;=6,"Hot Humid",IF(MONTH($CA579)&gt;=3,"Hot Dry","Cold Winter")))))</f>
        <v/>
      </c>
      <c r="CC579">
        <f>IF($BV579="","",IFERROR(VLOOKUP($BV579,DECODE!$A$3:$C$8,2,FALSE),"?"))</f>
        <v/>
      </c>
      <c r="CD579">
        <f>IF($S579="","",UPPER(TRIM(LEFT($S579&amp;",",FIND(",",$S579&amp;",")-1))))</f>
        <v/>
      </c>
      <c r="CE579">
        <f>IF($CD579="","",MID($CD579,4,FIND("~",SUBSTITUTE($CD579,"-","~",2))-4))</f>
        <v/>
      </c>
      <c r="CF579">
        <f>IF($CD579="","",MID($CD579,FIND("~",SUBSTITUTE($CD579,"-","~",2))+1,FIND("~",SUBSTITUTE($CD579,"-","~",3))-FIND("~",SUBSTITUTE($CD579,"-","~",2))-1))</f>
        <v/>
      </c>
      <c r="CG579">
        <f>IF($CE579="","",IFERROR(VLOOKUP($CE579,DECODE!$A$3:$C$8,3,FALSE),"?"))</f>
        <v/>
      </c>
      <c r="CH579">
        <f>IF($CF579="","",IFERROR(VLOOKUP($CE579&amp;"-"&amp;$CF579,DECODE!$E$3:$F$21,2,FALSE),"?"))</f>
        <v/>
      </c>
      <c r="CI579">
        <f>IF($CD579="","",IFERROR(VALUE(RIGHT($CD579,3)),""))</f>
        <v/>
      </c>
      <c r="CJ579">
        <f>IF($Y579="","",IFERROR(IF(ISNUMBER($Y579),$Y579,DATEVALUE(TRIM($Y579))),""))</f>
        <v/>
      </c>
      <c r="CK579">
        <f>IF($CJ579="","",IF(MONTH($CJ579)&gt;=12,"Cold Winter",IF(MONTH($CJ579)&gt;=10,"Post-Monsoon",IF(MONTH($CJ579)&gt;=6,"Hot Humid",IF(MONTH($CJ579)&gt;=3,"Hot Dry","Cold Winter")))))</f>
        <v/>
      </c>
      <c r="CL579">
        <f>IF($CE579="","",IFERROR(VLOOKUP($CE579,DECODE!$A$3:$C$8,2,FALSE),"?"))</f>
        <v/>
      </c>
      <c r="CM579">
        <f>IF($AN579="","",AN579)</f>
        <v/>
      </c>
      <c r="CN579">
        <f>IF($AO579="","",AO579)</f>
        <v/>
      </c>
      <c r="CO579">
        <f>IF($AP579="","",AP579)</f>
        <v/>
      </c>
      <c r="CP579">
        <f>IF($CM579="","",IF($CM579="Aloe Vera Gel","Aloe Vera Gel "&amp;$CO579&amp;"g",CN579&amp;" "&amp;$CO579&amp;"g"))</f>
        <v/>
      </c>
      <c r="CQ579">
        <f>IF($AT579="",0,1)</f>
        <v/>
      </c>
      <c r="CR579">
        <f>IF($CQ579=0,"",AW579)</f>
        <v/>
      </c>
      <c r="CS579">
        <f>IF($CQ579=0,"",AX579)</f>
        <v/>
      </c>
      <c r="CT579">
        <f>IF($CQ579=0,"",AY579)</f>
        <v/>
      </c>
      <c r="CU579">
        <f>IF($CR579="","",IF($CR579="Aloe Vera Gel","Aloe Vera Gel "&amp;$CT579&amp;"g",CS579&amp;" "&amp;$CT579&amp;"g"))</f>
        <v/>
      </c>
      <c r="CV579">
        <f>IF($CQ579=0,"",IF($CP579=$CU579,"Repeat Exact",IF($CT579&gt;$CO579,"Upsized",IF($CT579&lt;$CO579,"Downsized",IF($CM579&lt;&gt;$CR579,"Lateral","Same Size Diff Variant")))))</f>
        <v/>
      </c>
      <c r="CW579">
        <f>IF($CQ579=0,"",AZ579-AQ579)</f>
        <v/>
      </c>
      <c r="CX579">
        <f>IF($CQ579=0,0,IF(CS579=CN579,1,0))</f>
        <v/>
      </c>
      <c r="CY579">
        <f>IF($CQ579=0,0,IF(CR579=CM579,1,0))</f>
        <v/>
      </c>
      <c r="CZ579">
        <f>IF($A579="","",IF(AND(IF(DASHBOARD!$C$4="All",TRUE,$CM579=DASHBOARD!$C$4),IF(DASHBOARD!$C$6="All",TRUE,$CP579=DASHBOARD!$C$6),IF(DASHBOARD!$C$8="All",TRUE,$AF579&gt;=DASHBOARD!$C$8),IF(DASHBOARD!$C$10="All",TRUE,$AF579&lt;=DASHBOARD!$C$10),IF(DASHBOARD!$C$12="All",TRUE,$AH579=VALUE(DASHBOARD!$C$12)),IF(DASHBOARD!$C$14="All",TRUE,$AJ579=DASHBOARD!$C$14)),1,0))</f>
        <v/>
      </c>
    </row>
    <row r="580">
      <c r="A580" t="n">
        <v>252552</v>
      </c>
      <c r="B580" t="inlineStr">
        <is>
          <t>Aloe Vera Gel</t>
        </is>
      </c>
      <c r="H580" t="inlineStr">
        <is>
          <t>Aloe Vera Gel - 40 gms</t>
        </is>
      </c>
      <c r="N580" t="inlineStr">
        <is>
          <t>FC-HG-PA-040</t>
        </is>
      </c>
      <c r="T580" t="inlineStr">
        <is>
          <t>Feb 21, 2024</t>
        </is>
      </c>
      <c r="AE580" t="inlineStr">
        <is>
          <t>Thane</t>
        </is>
      </c>
      <c r="AF580" t="inlineStr">
        <is>
          <t>2024-02</t>
        </is>
      </c>
      <c r="AG580" t="n">
        <v>2</v>
      </c>
      <c r="AH580" t="n">
        <v>1</v>
      </c>
      <c r="AI580" t="n">
        <v>0</v>
      </c>
      <c r="AJ580">
        <f>IF($AE580="","",IFERROR(VLOOKUP(TRIM($AE580),DECODE!$H$3:$I$60,2,FALSE),"Rest of India"))</f>
        <v/>
      </c>
      <c r="AK580">
        <f>IF($N580="","",UPPER(TRIM(LEFT($N580&amp;",",FIND(",",$N580&amp;",")-1))))</f>
        <v/>
      </c>
      <c r="AL580">
        <f>IF($AK580="","",MID($AK580,4,FIND("~",SUBSTITUTE($AK580,"-","~",2))-4))</f>
        <v/>
      </c>
      <c r="AM580">
        <f>IF($AK580="","",MID($AK580,FIND("~",SUBSTITUTE($AK580,"-","~",2))+1,FIND("~",SUBSTITUTE($AK580,"-","~",3))-FIND("~",SUBSTITUTE($AK580,"-","~",2))-1))</f>
        <v/>
      </c>
      <c r="AN580">
        <f>IF($AL580="","",IFERROR(VLOOKUP($AL580,DECODE!$A$3:$C$8,3,FALSE),"?"))</f>
        <v/>
      </c>
      <c r="AO580">
        <f>IF($AM580="","",IFERROR(VLOOKUP($AL580&amp;"-"&amp;$AM580,DECODE!$E$3:$F$21,2,FALSE),"?"))</f>
        <v/>
      </c>
      <c r="AP580">
        <f>IF($AK580="","",IFERROR(VALUE(RIGHT($AK580,3)),""))</f>
        <v/>
      </c>
      <c r="AQ580">
        <f>IF($T580="","",IFERROR(IF(ISNUMBER($T580),$T580,DATEVALUE(TRIM($T580))),""))</f>
        <v/>
      </c>
      <c r="AR580">
        <f>IF($AQ580="","",IF(MONTH($AQ580)&gt;=12,"Cold Winter",IF(MONTH($AQ580)&gt;=10,"Post-Monsoon",IF(MONTH($AQ580)&gt;=6,"Hot Humid",IF(MONTH($AQ580)&gt;=3,"Hot Dry","Cold Winter")))))</f>
        <v/>
      </c>
      <c r="AS580">
        <f>IF($AL580="","",IFERROR(VLOOKUP($AL580,DECODE!$A$3:$C$8,2,FALSE),"?"))</f>
        <v/>
      </c>
      <c r="AT580">
        <f>IF($O580="","",UPPER(TRIM(LEFT($O580&amp;",",FIND(",",$O580&amp;",")-1))))</f>
        <v/>
      </c>
      <c r="AU580">
        <f>IF($AT580="","",MID($AT580,4,FIND("~",SUBSTITUTE($AT580,"-","~",2))-4))</f>
        <v/>
      </c>
      <c r="AV580">
        <f>IF($AT580="","",MID($AT580,FIND("~",SUBSTITUTE($AT580,"-","~",2))+1,FIND("~",SUBSTITUTE($AT580,"-","~",3))-FIND("~",SUBSTITUTE($AT580,"-","~",2))-1))</f>
        <v/>
      </c>
      <c r="AW580">
        <f>IF($AU580="","",IFERROR(VLOOKUP($AU580,DECODE!$A$3:$C$8,3,FALSE),"?"))</f>
        <v/>
      </c>
      <c r="AX580">
        <f>IF($AV580="","",IFERROR(VLOOKUP($AU580&amp;"-"&amp;$AV580,DECODE!$E$3:$F$21,2,FALSE),"?"))</f>
        <v/>
      </c>
      <c r="AY580">
        <f>IF($AT580="","",IFERROR(VALUE(RIGHT($AT580,3)),""))</f>
        <v/>
      </c>
      <c r="AZ580">
        <f>IF($U580="","",IFERROR(IF(ISNUMBER($U580),$U580,DATEVALUE(TRIM($U580))),""))</f>
        <v/>
      </c>
      <c r="BA580">
        <f>IF($AZ580="","",IF(MONTH($AZ580)&gt;=12,"Cold Winter",IF(MONTH($AZ580)&gt;=10,"Post-Monsoon",IF(MONTH($AZ580)&gt;=6,"Hot Humid",IF(MONTH($AZ580)&gt;=3,"Hot Dry","Cold Winter")))))</f>
        <v/>
      </c>
      <c r="BB580">
        <f>IF($AU580="","",IFERROR(VLOOKUP($AU580,DECODE!$A$3:$C$8,2,FALSE),"?"))</f>
        <v/>
      </c>
      <c r="BC580">
        <f>IF($P580="","",UPPER(TRIM(LEFT($P580&amp;",",FIND(",",$P580&amp;",")-1))))</f>
        <v/>
      </c>
      <c r="BD580">
        <f>IF($BC580="","",MID($BC580,4,FIND("~",SUBSTITUTE($BC580,"-","~",2))-4))</f>
        <v/>
      </c>
      <c r="BE580">
        <f>IF($BC580="","",MID($BC580,FIND("~",SUBSTITUTE($BC580,"-","~",2))+1,FIND("~",SUBSTITUTE($BC580,"-","~",3))-FIND("~",SUBSTITUTE($BC580,"-","~",2))-1))</f>
        <v/>
      </c>
      <c r="BF580">
        <f>IF($BD580="","",IFERROR(VLOOKUP($BD580,DECODE!$A$3:$C$8,3,FALSE),"?"))</f>
        <v/>
      </c>
      <c r="BG580">
        <f>IF($BE580="","",IFERROR(VLOOKUP($BD580&amp;"-"&amp;$BE580,DECODE!$E$3:$F$21,2,FALSE),"?"))</f>
        <v/>
      </c>
      <c r="BH580">
        <f>IF($BC580="","",IFERROR(VALUE(RIGHT($BC580,3)),""))</f>
        <v/>
      </c>
      <c r="BI580">
        <f>IF($V580="","",IFERROR(IF(ISNUMBER($V580),$V580,DATEVALUE(TRIM($V580))),""))</f>
        <v/>
      </c>
      <c r="BJ580">
        <f>IF($BI580="","",IF(MONTH($BI580)&gt;=12,"Cold Winter",IF(MONTH($BI580)&gt;=10,"Post-Monsoon",IF(MONTH($BI580)&gt;=6,"Hot Humid",IF(MONTH($BI580)&gt;=3,"Hot Dry","Cold Winter")))))</f>
        <v/>
      </c>
      <c r="BK580">
        <f>IF($BD580="","",IFERROR(VLOOKUP($BD580,DECODE!$A$3:$C$8,2,FALSE),"?"))</f>
        <v/>
      </c>
      <c r="BL580">
        <f>IF($Q580="","",UPPER(TRIM(LEFT($Q580&amp;",",FIND(",",$Q580&amp;",")-1))))</f>
        <v/>
      </c>
      <c r="BM580">
        <f>IF($BL580="","",MID($BL580,4,FIND("~",SUBSTITUTE($BL580,"-","~",2))-4))</f>
        <v/>
      </c>
      <c r="BN580">
        <f>IF($BL580="","",MID($BL580,FIND("~",SUBSTITUTE($BL580,"-","~",2))+1,FIND("~",SUBSTITUTE($BL580,"-","~",3))-FIND("~",SUBSTITUTE($BL580,"-","~",2))-1))</f>
        <v/>
      </c>
      <c r="BO580">
        <f>IF($BM580="","",IFERROR(VLOOKUP($BM580,DECODE!$A$3:$C$8,3,FALSE),"?"))</f>
        <v/>
      </c>
      <c r="BP580">
        <f>IF($BN580="","",IFERROR(VLOOKUP($BM580&amp;"-"&amp;$BN580,DECODE!$E$3:$F$21,2,FALSE),"?"))</f>
        <v/>
      </c>
      <c r="BQ580">
        <f>IF($BL580="","",IFERROR(VALUE(RIGHT($BL580,3)),""))</f>
        <v/>
      </c>
      <c r="BR580">
        <f>IF($W580="","",IFERROR(IF(ISNUMBER($W580),$W580,DATEVALUE(TRIM($W580))),""))</f>
        <v/>
      </c>
      <c r="BS580">
        <f>IF($BR580="","",IF(MONTH($BR580)&gt;=12,"Cold Winter",IF(MONTH($BR580)&gt;=10,"Post-Monsoon",IF(MONTH($BR580)&gt;=6,"Hot Humid",IF(MONTH($BR580)&gt;=3,"Hot Dry","Cold Winter")))))</f>
        <v/>
      </c>
      <c r="BT580">
        <f>IF($BM580="","",IFERROR(VLOOKUP($BM580,DECODE!$A$3:$C$8,2,FALSE),"?"))</f>
        <v/>
      </c>
      <c r="BU580">
        <f>IF($R580="","",UPPER(TRIM(LEFT($R580&amp;",",FIND(",",$R580&amp;",")-1))))</f>
        <v/>
      </c>
      <c r="BV580">
        <f>IF($BU580="","",MID($BU580,4,FIND("~",SUBSTITUTE($BU580,"-","~",2))-4))</f>
        <v/>
      </c>
      <c r="BW580">
        <f>IF($BU580="","",MID($BU580,FIND("~",SUBSTITUTE($BU580,"-","~",2))+1,FIND("~",SUBSTITUTE($BU580,"-","~",3))-FIND("~",SUBSTITUTE($BU580,"-","~",2))-1))</f>
        <v/>
      </c>
      <c r="BX580">
        <f>IF($BV580="","",IFERROR(VLOOKUP($BV580,DECODE!$A$3:$C$8,3,FALSE),"?"))</f>
        <v/>
      </c>
      <c r="BY580">
        <f>IF($BW580="","",IFERROR(VLOOKUP($BV580&amp;"-"&amp;$BW580,DECODE!$E$3:$F$21,2,FALSE),"?"))</f>
        <v/>
      </c>
      <c r="BZ580">
        <f>IF($BU580="","",IFERROR(VALUE(RIGHT($BU580,3)),""))</f>
        <v/>
      </c>
      <c r="CA580">
        <f>IF($X580="","",IFERROR(IF(ISNUMBER($X580),$X580,DATEVALUE(TRIM($X580))),""))</f>
        <v/>
      </c>
      <c r="CB580">
        <f>IF($CA580="","",IF(MONTH($CA580)&gt;=12,"Cold Winter",IF(MONTH($CA580)&gt;=10,"Post-Monsoon",IF(MONTH($CA580)&gt;=6,"Hot Humid",IF(MONTH($CA580)&gt;=3,"Hot Dry","Cold Winter")))))</f>
        <v/>
      </c>
      <c r="CC580">
        <f>IF($BV580="","",IFERROR(VLOOKUP($BV580,DECODE!$A$3:$C$8,2,FALSE),"?"))</f>
        <v/>
      </c>
      <c r="CD580">
        <f>IF($S580="","",UPPER(TRIM(LEFT($S580&amp;",",FIND(",",$S580&amp;",")-1))))</f>
        <v/>
      </c>
      <c r="CE580">
        <f>IF($CD580="","",MID($CD580,4,FIND("~",SUBSTITUTE($CD580,"-","~",2))-4))</f>
        <v/>
      </c>
      <c r="CF580">
        <f>IF($CD580="","",MID($CD580,FIND("~",SUBSTITUTE($CD580,"-","~",2))+1,FIND("~",SUBSTITUTE($CD580,"-","~",3))-FIND("~",SUBSTITUTE($CD580,"-","~",2))-1))</f>
        <v/>
      </c>
      <c r="CG580">
        <f>IF($CE580="","",IFERROR(VLOOKUP($CE580,DECODE!$A$3:$C$8,3,FALSE),"?"))</f>
        <v/>
      </c>
      <c r="CH580">
        <f>IF($CF580="","",IFERROR(VLOOKUP($CE580&amp;"-"&amp;$CF580,DECODE!$E$3:$F$21,2,FALSE),"?"))</f>
        <v/>
      </c>
      <c r="CI580">
        <f>IF($CD580="","",IFERROR(VALUE(RIGHT($CD580,3)),""))</f>
        <v/>
      </c>
      <c r="CJ580">
        <f>IF($Y580="","",IFERROR(IF(ISNUMBER($Y580),$Y580,DATEVALUE(TRIM($Y580))),""))</f>
        <v/>
      </c>
      <c r="CK580">
        <f>IF($CJ580="","",IF(MONTH($CJ580)&gt;=12,"Cold Winter",IF(MONTH($CJ580)&gt;=10,"Post-Monsoon",IF(MONTH($CJ580)&gt;=6,"Hot Humid",IF(MONTH($CJ580)&gt;=3,"Hot Dry","Cold Winter")))))</f>
        <v/>
      </c>
      <c r="CL580">
        <f>IF($CE580="","",IFERROR(VLOOKUP($CE580,DECODE!$A$3:$C$8,2,FALSE),"?"))</f>
        <v/>
      </c>
      <c r="CM580">
        <f>IF($AN580="","",AN580)</f>
        <v/>
      </c>
      <c r="CN580">
        <f>IF($AO580="","",AO580)</f>
        <v/>
      </c>
      <c r="CO580">
        <f>IF($AP580="","",AP580)</f>
        <v/>
      </c>
      <c r="CP580">
        <f>IF($CM580="","",IF($CM580="Aloe Vera Gel","Aloe Vera Gel "&amp;$CO580&amp;"g",CN580&amp;" "&amp;$CO580&amp;"g"))</f>
        <v/>
      </c>
      <c r="CQ580">
        <f>IF($AT580="",0,1)</f>
        <v/>
      </c>
      <c r="CR580">
        <f>IF($CQ580=0,"",AW580)</f>
        <v/>
      </c>
      <c r="CS580">
        <f>IF($CQ580=0,"",AX580)</f>
        <v/>
      </c>
      <c r="CT580">
        <f>IF($CQ580=0,"",AY580)</f>
        <v/>
      </c>
      <c r="CU580">
        <f>IF($CR580="","",IF($CR580="Aloe Vera Gel","Aloe Vera Gel "&amp;$CT580&amp;"g",CS580&amp;" "&amp;$CT580&amp;"g"))</f>
        <v/>
      </c>
      <c r="CV580">
        <f>IF($CQ580=0,"",IF($CP580=$CU580,"Repeat Exact",IF($CT580&gt;$CO580,"Upsized",IF($CT580&lt;$CO580,"Downsized",IF($CM580&lt;&gt;$CR580,"Lateral","Same Size Diff Variant")))))</f>
        <v/>
      </c>
      <c r="CW580">
        <f>IF($CQ580=0,"",AZ580-AQ580)</f>
        <v/>
      </c>
      <c r="CX580">
        <f>IF($CQ580=0,0,IF(CS580=CN580,1,0))</f>
        <v/>
      </c>
      <c r="CY580">
        <f>IF($CQ580=0,0,IF(CR580=CM580,1,0))</f>
        <v/>
      </c>
      <c r="CZ580">
        <f>IF($A580="","",IF(AND(IF(DASHBOARD!$C$4="All",TRUE,$CM580=DASHBOARD!$C$4),IF(DASHBOARD!$C$6="All",TRUE,$CP580=DASHBOARD!$C$6),IF(DASHBOARD!$C$8="All",TRUE,$AF580&gt;=DASHBOARD!$C$8),IF(DASHBOARD!$C$10="All",TRUE,$AF580&lt;=DASHBOARD!$C$10),IF(DASHBOARD!$C$12="All",TRUE,$AH580=VALUE(DASHBOARD!$C$12)),IF(DASHBOARD!$C$14="All",TRUE,$AJ580=DASHBOARD!$C$14)),1,0))</f>
        <v/>
      </c>
    </row>
    <row r="581">
      <c r="A581" t="n">
        <v>253366</v>
      </c>
      <c r="B581" t="inlineStr">
        <is>
          <t>Face Malai</t>
        </is>
      </c>
      <c r="C581" t="inlineStr">
        <is>
          <t>Active Gel</t>
        </is>
      </c>
      <c r="D581" t="inlineStr">
        <is>
          <t>Face Malai</t>
        </is>
      </c>
      <c r="H581" t="inlineStr">
        <is>
          <t>Turmeric Nutmeg (Pigmentation)  Face Malai - 30g</t>
        </is>
      </c>
      <c r="I581" t="inlineStr">
        <is>
          <t>Active Beetroot Tomato Vit-A Gel, Active Orange Kiwi Vit-C Gel</t>
        </is>
      </c>
      <c r="J581" t="inlineStr">
        <is>
          <t>Turmeric Nutmeg (Pigmentation)  Face Malai - 30g</t>
        </is>
      </c>
      <c r="N581" t="inlineStr">
        <is>
          <t>FC-DM-PG-030</t>
        </is>
      </c>
      <c r="O581" t="inlineStr">
        <is>
          <t>FC-AC-BT-050, FC-AC-OK-050</t>
        </is>
      </c>
      <c r="P581" t="inlineStr">
        <is>
          <t>FC-DM-PG-030</t>
        </is>
      </c>
      <c r="T581" t="inlineStr">
        <is>
          <t>Nov 28, 2024</t>
        </is>
      </c>
      <c r="U581" t="inlineStr">
        <is>
          <t>Apr 13, 2025</t>
        </is>
      </c>
      <c r="V581" t="inlineStr">
        <is>
          <t>Sep 14, 2025</t>
        </is>
      </c>
      <c r="Z581" t="n">
        <v>136</v>
      </c>
      <c r="AA581" t="n">
        <v>154</v>
      </c>
      <c r="AE581" t="inlineStr">
        <is>
          <t>Hissar</t>
        </is>
      </c>
      <c r="AF581" t="inlineStr">
        <is>
          <t>2024-11</t>
        </is>
      </c>
      <c r="AG581" t="n">
        <v>11</v>
      </c>
      <c r="AH581" t="n">
        <v>3</v>
      </c>
      <c r="AI581" t="n">
        <v>1</v>
      </c>
      <c r="AJ581">
        <f>IF($AE581="","",IFERROR(VLOOKUP(TRIM($AE581),DECODE!$H$3:$I$60,2,FALSE),"Rest of India"))</f>
        <v/>
      </c>
      <c r="AK581">
        <f>IF($N581="","",UPPER(TRIM(LEFT($N581&amp;",",FIND(",",$N581&amp;",")-1))))</f>
        <v/>
      </c>
      <c r="AL581">
        <f>IF($AK581="","",MID($AK581,4,FIND("~",SUBSTITUTE($AK581,"-","~",2))-4))</f>
        <v/>
      </c>
      <c r="AM581">
        <f>IF($AK581="","",MID($AK581,FIND("~",SUBSTITUTE($AK581,"-","~",2))+1,FIND("~",SUBSTITUTE($AK581,"-","~",3))-FIND("~",SUBSTITUTE($AK581,"-","~",2))-1))</f>
        <v/>
      </c>
      <c r="AN581">
        <f>IF($AL581="","",IFERROR(VLOOKUP($AL581,DECODE!$A$3:$C$8,3,FALSE),"?"))</f>
        <v/>
      </c>
      <c r="AO581">
        <f>IF($AM581="","",IFERROR(VLOOKUP($AL581&amp;"-"&amp;$AM581,DECODE!$E$3:$F$21,2,FALSE),"?"))</f>
        <v/>
      </c>
      <c r="AP581">
        <f>IF($AK581="","",IFERROR(VALUE(RIGHT($AK581,3)),""))</f>
        <v/>
      </c>
      <c r="AQ581">
        <f>IF($T581="","",IFERROR(IF(ISNUMBER($T581),$T581,DATEVALUE(TRIM($T581))),""))</f>
        <v/>
      </c>
      <c r="AR581">
        <f>IF($AQ581="","",IF(MONTH($AQ581)&gt;=12,"Cold Winter",IF(MONTH($AQ581)&gt;=10,"Post-Monsoon",IF(MONTH($AQ581)&gt;=6,"Hot Humid",IF(MONTH($AQ581)&gt;=3,"Hot Dry","Cold Winter")))))</f>
        <v/>
      </c>
      <c r="AS581">
        <f>IF($AL581="","",IFERROR(VLOOKUP($AL581,DECODE!$A$3:$C$8,2,FALSE),"?"))</f>
        <v/>
      </c>
      <c r="AT581">
        <f>IF($O581="","",UPPER(TRIM(LEFT($O581&amp;",",FIND(",",$O581&amp;",")-1))))</f>
        <v/>
      </c>
      <c r="AU581">
        <f>IF($AT581="","",MID($AT581,4,FIND("~",SUBSTITUTE($AT581,"-","~",2))-4))</f>
        <v/>
      </c>
      <c r="AV581">
        <f>IF($AT581="","",MID($AT581,FIND("~",SUBSTITUTE($AT581,"-","~",2))+1,FIND("~",SUBSTITUTE($AT581,"-","~",3))-FIND("~",SUBSTITUTE($AT581,"-","~",2))-1))</f>
        <v/>
      </c>
      <c r="AW581">
        <f>IF($AU581="","",IFERROR(VLOOKUP($AU581,DECODE!$A$3:$C$8,3,FALSE),"?"))</f>
        <v/>
      </c>
      <c r="AX581">
        <f>IF($AV581="","",IFERROR(VLOOKUP($AU581&amp;"-"&amp;$AV581,DECODE!$E$3:$F$21,2,FALSE),"?"))</f>
        <v/>
      </c>
      <c r="AY581">
        <f>IF($AT581="","",IFERROR(VALUE(RIGHT($AT581,3)),""))</f>
        <v/>
      </c>
      <c r="AZ581">
        <f>IF($U581="","",IFERROR(IF(ISNUMBER($U581),$U581,DATEVALUE(TRIM($U581))),""))</f>
        <v/>
      </c>
      <c r="BA581">
        <f>IF($AZ581="","",IF(MONTH($AZ581)&gt;=12,"Cold Winter",IF(MONTH($AZ581)&gt;=10,"Post-Monsoon",IF(MONTH($AZ581)&gt;=6,"Hot Humid",IF(MONTH($AZ581)&gt;=3,"Hot Dry","Cold Winter")))))</f>
        <v/>
      </c>
      <c r="BB581">
        <f>IF($AU581="","",IFERROR(VLOOKUP($AU581,DECODE!$A$3:$C$8,2,FALSE),"?"))</f>
        <v/>
      </c>
      <c r="BC581">
        <f>IF($P581="","",UPPER(TRIM(LEFT($P581&amp;",",FIND(",",$P581&amp;",")-1))))</f>
        <v/>
      </c>
      <c r="BD581">
        <f>IF($BC581="","",MID($BC581,4,FIND("~",SUBSTITUTE($BC581,"-","~",2))-4))</f>
        <v/>
      </c>
      <c r="BE581">
        <f>IF($BC581="","",MID($BC581,FIND("~",SUBSTITUTE($BC581,"-","~",2))+1,FIND("~",SUBSTITUTE($BC581,"-","~",3))-FIND("~",SUBSTITUTE($BC581,"-","~",2))-1))</f>
        <v/>
      </c>
      <c r="BF581">
        <f>IF($BD581="","",IFERROR(VLOOKUP($BD581,DECODE!$A$3:$C$8,3,FALSE),"?"))</f>
        <v/>
      </c>
      <c r="BG581">
        <f>IF($BE581="","",IFERROR(VLOOKUP($BD581&amp;"-"&amp;$BE581,DECODE!$E$3:$F$21,2,FALSE),"?"))</f>
        <v/>
      </c>
      <c r="BH581">
        <f>IF($BC581="","",IFERROR(VALUE(RIGHT($BC581,3)),""))</f>
        <v/>
      </c>
      <c r="BI581">
        <f>IF($V581="","",IFERROR(IF(ISNUMBER($V581),$V581,DATEVALUE(TRIM($V581))),""))</f>
        <v/>
      </c>
      <c r="BJ581">
        <f>IF($BI581="","",IF(MONTH($BI581)&gt;=12,"Cold Winter",IF(MONTH($BI581)&gt;=10,"Post-Monsoon",IF(MONTH($BI581)&gt;=6,"Hot Humid",IF(MONTH($BI581)&gt;=3,"Hot Dry","Cold Winter")))))</f>
        <v/>
      </c>
      <c r="BK581">
        <f>IF($BD581="","",IFERROR(VLOOKUP($BD581,DECODE!$A$3:$C$8,2,FALSE),"?"))</f>
        <v/>
      </c>
      <c r="BL581">
        <f>IF($Q581="","",UPPER(TRIM(LEFT($Q581&amp;",",FIND(",",$Q581&amp;",")-1))))</f>
        <v/>
      </c>
      <c r="BM581">
        <f>IF($BL581="","",MID($BL581,4,FIND("~",SUBSTITUTE($BL581,"-","~",2))-4))</f>
        <v/>
      </c>
      <c r="BN581">
        <f>IF($BL581="","",MID($BL581,FIND("~",SUBSTITUTE($BL581,"-","~",2))+1,FIND("~",SUBSTITUTE($BL581,"-","~",3))-FIND("~",SUBSTITUTE($BL581,"-","~",2))-1))</f>
        <v/>
      </c>
      <c r="BO581">
        <f>IF($BM581="","",IFERROR(VLOOKUP($BM581,DECODE!$A$3:$C$8,3,FALSE),"?"))</f>
        <v/>
      </c>
      <c r="BP581">
        <f>IF($BN581="","",IFERROR(VLOOKUP($BM581&amp;"-"&amp;$BN581,DECODE!$E$3:$F$21,2,FALSE),"?"))</f>
        <v/>
      </c>
      <c r="BQ581">
        <f>IF($BL581="","",IFERROR(VALUE(RIGHT($BL581,3)),""))</f>
        <v/>
      </c>
      <c r="BR581">
        <f>IF($W581="","",IFERROR(IF(ISNUMBER($W581),$W581,DATEVALUE(TRIM($W581))),""))</f>
        <v/>
      </c>
      <c r="BS581">
        <f>IF($BR581="","",IF(MONTH($BR581)&gt;=12,"Cold Winter",IF(MONTH($BR581)&gt;=10,"Post-Monsoon",IF(MONTH($BR581)&gt;=6,"Hot Humid",IF(MONTH($BR581)&gt;=3,"Hot Dry","Cold Winter")))))</f>
        <v/>
      </c>
      <c r="BT581">
        <f>IF($BM581="","",IFERROR(VLOOKUP($BM581,DECODE!$A$3:$C$8,2,FALSE),"?"))</f>
        <v/>
      </c>
      <c r="BU581">
        <f>IF($R581="","",UPPER(TRIM(LEFT($R581&amp;",",FIND(",",$R581&amp;",")-1))))</f>
        <v/>
      </c>
      <c r="BV581">
        <f>IF($BU581="","",MID($BU581,4,FIND("~",SUBSTITUTE($BU581,"-","~",2))-4))</f>
        <v/>
      </c>
      <c r="BW581">
        <f>IF($BU581="","",MID($BU581,FIND("~",SUBSTITUTE($BU581,"-","~",2))+1,FIND("~",SUBSTITUTE($BU581,"-","~",3))-FIND("~",SUBSTITUTE($BU581,"-","~",2))-1))</f>
        <v/>
      </c>
      <c r="BX581">
        <f>IF($BV581="","",IFERROR(VLOOKUP($BV581,DECODE!$A$3:$C$8,3,FALSE),"?"))</f>
        <v/>
      </c>
      <c r="BY581">
        <f>IF($BW581="","",IFERROR(VLOOKUP($BV581&amp;"-"&amp;$BW581,DECODE!$E$3:$F$21,2,FALSE),"?"))</f>
        <v/>
      </c>
      <c r="BZ581">
        <f>IF($BU581="","",IFERROR(VALUE(RIGHT($BU581,3)),""))</f>
        <v/>
      </c>
      <c r="CA581">
        <f>IF($X581="","",IFERROR(IF(ISNUMBER($X581),$X581,DATEVALUE(TRIM($X581))),""))</f>
        <v/>
      </c>
      <c r="CB581">
        <f>IF($CA581="","",IF(MONTH($CA581)&gt;=12,"Cold Winter",IF(MONTH($CA581)&gt;=10,"Post-Monsoon",IF(MONTH($CA581)&gt;=6,"Hot Humid",IF(MONTH($CA581)&gt;=3,"Hot Dry","Cold Winter")))))</f>
        <v/>
      </c>
      <c r="CC581">
        <f>IF($BV581="","",IFERROR(VLOOKUP($BV581,DECODE!$A$3:$C$8,2,FALSE),"?"))</f>
        <v/>
      </c>
      <c r="CD581">
        <f>IF($S581="","",UPPER(TRIM(LEFT($S581&amp;",",FIND(",",$S581&amp;",")-1))))</f>
        <v/>
      </c>
      <c r="CE581">
        <f>IF($CD581="","",MID($CD581,4,FIND("~",SUBSTITUTE($CD581,"-","~",2))-4))</f>
        <v/>
      </c>
      <c r="CF581">
        <f>IF($CD581="","",MID($CD581,FIND("~",SUBSTITUTE($CD581,"-","~",2))+1,FIND("~",SUBSTITUTE($CD581,"-","~",3))-FIND("~",SUBSTITUTE($CD581,"-","~",2))-1))</f>
        <v/>
      </c>
      <c r="CG581">
        <f>IF($CE581="","",IFERROR(VLOOKUP($CE581,DECODE!$A$3:$C$8,3,FALSE),"?"))</f>
        <v/>
      </c>
      <c r="CH581">
        <f>IF($CF581="","",IFERROR(VLOOKUP($CE581&amp;"-"&amp;$CF581,DECODE!$E$3:$F$21,2,FALSE),"?"))</f>
        <v/>
      </c>
      <c r="CI581">
        <f>IF($CD581="","",IFERROR(VALUE(RIGHT($CD581,3)),""))</f>
        <v/>
      </c>
      <c r="CJ581">
        <f>IF($Y581="","",IFERROR(IF(ISNUMBER($Y581),$Y581,DATEVALUE(TRIM($Y581))),""))</f>
        <v/>
      </c>
      <c r="CK581">
        <f>IF($CJ581="","",IF(MONTH($CJ581)&gt;=12,"Cold Winter",IF(MONTH($CJ581)&gt;=10,"Post-Monsoon",IF(MONTH($CJ581)&gt;=6,"Hot Humid",IF(MONTH($CJ581)&gt;=3,"Hot Dry","Cold Winter")))))</f>
        <v/>
      </c>
      <c r="CL581">
        <f>IF($CE581="","",IFERROR(VLOOKUP($CE581,DECODE!$A$3:$C$8,2,FALSE),"?"))</f>
        <v/>
      </c>
      <c r="CM581">
        <f>IF($AN581="","",AN581)</f>
        <v/>
      </c>
      <c r="CN581">
        <f>IF($AO581="","",AO581)</f>
        <v/>
      </c>
      <c r="CO581">
        <f>IF($AP581="","",AP581)</f>
        <v/>
      </c>
      <c r="CP581">
        <f>IF($CM581="","",IF($CM581="Aloe Vera Gel","Aloe Vera Gel "&amp;$CO581&amp;"g",CN581&amp;" "&amp;$CO581&amp;"g"))</f>
        <v/>
      </c>
      <c r="CQ581">
        <f>IF($AT581="",0,1)</f>
        <v/>
      </c>
      <c r="CR581">
        <f>IF($CQ581=0,"",AW581)</f>
        <v/>
      </c>
      <c r="CS581">
        <f>IF($CQ581=0,"",AX581)</f>
        <v/>
      </c>
      <c r="CT581">
        <f>IF($CQ581=0,"",AY581)</f>
        <v/>
      </c>
      <c r="CU581">
        <f>IF($CR581="","",IF($CR581="Aloe Vera Gel","Aloe Vera Gel "&amp;$CT581&amp;"g",CS581&amp;" "&amp;$CT581&amp;"g"))</f>
        <v/>
      </c>
      <c r="CV581">
        <f>IF($CQ581=0,"",IF($CP581=$CU581,"Repeat Exact",IF($CT581&gt;$CO581,"Upsized",IF($CT581&lt;$CO581,"Downsized",IF($CM581&lt;&gt;$CR581,"Lateral","Same Size Diff Variant")))))</f>
        <v/>
      </c>
      <c r="CW581">
        <f>IF($CQ581=0,"",AZ581-AQ581)</f>
        <v/>
      </c>
      <c r="CX581">
        <f>IF($CQ581=0,0,IF(CS581=CN581,1,0))</f>
        <v/>
      </c>
      <c r="CY581">
        <f>IF($CQ581=0,0,IF(CR581=CM581,1,0))</f>
        <v/>
      </c>
      <c r="CZ581">
        <f>IF($A581="","",IF(AND(IF(DASHBOARD!$C$4="All",TRUE,$CM581=DASHBOARD!$C$4),IF(DASHBOARD!$C$6="All",TRUE,$CP581=DASHBOARD!$C$6),IF(DASHBOARD!$C$8="All",TRUE,$AF581&gt;=DASHBOARD!$C$8),IF(DASHBOARD!$C$10="All",TRUE,$AF581&lt;=DASHBOARD!$C$10),IF(DASHBOARD!$C$12="All",TRUE,$AH581=VALUE(DASHBOARD!$C$12)),IF(DASHBOARD!$C$14="All",TRUE,$AJ581=DASHBOARD!$C$14)),1,0))</f>
        <v/>
      </c>
    </row>
    <row r="582">
      <c r="A582" t="n">
        <v>254229</v>
      </c>
      <c r="B582" t="inlineStr">
        <is>
          <t>Face Malai</t>
        </is>
      </c>
      <c r="H582" t="inlineStr">
        <is>
          <t>Flax Bakuchi (Hot Dry) 35+ Face Malai - 50g</t>
        </is>
      </c>
      <c r="N582" t="inlineStr">
        <is>
          <t>FC-HDDM-FB-050</t>
        </is>
      </c>
      <c r="T582" t="inlineStr">
        <is>
          <t>Jul 31, 2024</t>
        </is>
      </c>
      <c r="AE582" t="inlineStr">
        <is>
          <t>Pune</t>
        </is>
      </c>
      <c r="AF582" t="inlineStr">
        <is>
          <t>2024-07</t>
        </is>
      </c>
      <c r="AG582" t="n">
        <v>7</v>
      </c>
      <c r="AH582" t="n">
        <v>1</v>
      </c>
      <c r="AI582" t="n">
        <v>0</v>
      </c>
      <c r="AJ582">
        <f>IF($AE582="","",IFERROR(VLOOKUP(TRIM($AE582),DECODE!$H$3:$I$60,2,FALSE),"Rest of India"))</f>
        <v/>
      </c>
      <c r="AK582">
        <f>IF($N582="","",UPPER(TRIM(LEFT($N582&amp;",",FIND(",",$N582&amp;",")-1))))</f>
        <v/>
      </c>
      <c r="AL582">
        <f>IF($AK582="","",MID($AK582,4,FIND("~",SUBSTITUTE($AK582,"-","~",2))-4))</f>
        <v/>
      </c>
      <c r="AM582">
        <f>IF($AK582="","",MID($AK582,FIND("~",SUBSTITUTE($AK582,"-","~",2))+1,FIND("~",SUBSTITUTE($AK582,"-","~",3))-FIND("~",SUBSTITUTE($AK582,"-","~",2))-1))</f>
        <v/>
      </c>
      <c r="AN582">
        <f>IF($AL582="","",IFERROR(VLOOKUP($AL582,DECODE!$A$3:$C$8,3,FALSE),"?"))</f>
        <v/>
      </c>
      <c r="AO582">
        <f>IF($AM582="","",IFERROR(VLOOKUP($AL582&amp;"-"&amp;$AM582,DECODE!$E$3:$F$21,2,FALSE),"?"))</f>
        <v/>
      </c>
      <c r="AP582">
        <f>IF($AK582="","",IFERROR(VALUE(RIGHT($AK582,3)),""))</f>
        <v/>
      </c>
      <c r="AQ582">
        <f>IF($T582="","",IFERROR(IF(ISNUMBER($T582),$T582,DATEVALUE(TRIM($T582))),""))</f>
        <v/>
      </c>
      <c r="AR582">
        <f>IF($AQ582="","",IF(MONTH($AQ582)&gt;=12,"Cold Winter",IF(MONTH($AQ582)&gt;=10,"Post-Monsoon",IF(MONTH($AQ582)&gt;=6,"Hot Humid",IF(MONTH($AQ582)&gt;=3,"Hot Dry","Cold Winter")))))</f>
        <v/>
      </c>
      <c r="AS582">
        <f>IF($AL582="","",IFERROR(VLOOKUP($AL582,DECODE!$A$3:$C$8,2,FALSE),"?"))</f>
        <v/>
      </c>
      <c r="AT582">
        <f>IF($O582="","",UPPER(TRIM(LEFT($O582&amp;",",FIND(",",$O582&amp;",")-1))))</f>
        <v/>
      </c>
      <c r="AU582">
        <f>IF($AT582="","",MID($AT582,4,FIND("~",SUBSTITUTE($AT582,"-","~",2))-4))</f>
        <v/>
      </c>
      <c r="AV582">
        <f>IF($AT582="","",MID($AT582,FIND("~",SUBSTITUTE($AT582,"-","~",2))+1,FIND("~",SUBSTITUTE($AT582,"-","~",3))-FIND("~",SUBSTITUTE($AT582,"-","~",2))-1))</f>
        <v/>
      </c>
      <c r="AW582">
        <f>IF($AU582="","",IFERROR(VLOOKUP($AU582,DECODE!$A$3:$C$8,3,FALSE),"?"))</f>
        <v/>
      </c>
      <c r="AX582">
        <f>IF($AV582="","",IFERROR(VLOOKUP($AU582&amp;"-"&amp;$AV582,DECODE!$E$3:$F$21,2,FALSE),"?"))</f>
        <v/>
      </c>
      <c r="AY582">
        <f>IF($AT582="","",IFERROR(VALUE(RIGHT($AT582,3)),""))</f>
        <v/>
      </c>
      <c r="AZ582">
        <f>IF($U582="","",IFERROR(IF(ISNUMBER($U582),$U582,DATEVALUE(TRIM($U582))),""))</f>
        <v/>
      </c>
      <c r="BA582">
        <f>IF($AZ582="","",IF(MONTH($AZ582)&gt;=12,"Cold Winter",IF(MONTH($AZ582)&gt;=10,"Post-Monsoon",IF(MONTH($AZ582)&gt;=6,"Hot Humid",IF(MONTH($AZ582)&gt;=3,"Hot Dry","Cold Winter")))))</f>
        <v/>
      </c>
      <c r="BB582">
        <f>IF($AU582="","",IFERROR(VLOOKUP($AU582,DECODE!$A$3:$C$8,2,FALSE),"?"))</f>
        <v/>
      </c>
      <c r="BC582">
        <f>IF($P582="","",UPPER(TRIM(LEFT($P582&amp;",",FIND(",",$P582&amp;",")-1))))</f>
        <v/>
      </c>
      <c r="BD582">
        <f>IF($BC582="","",MID($BC582,4,FIND("~",SUBSTITUTE($BC582,"-","~",2))-4))</f>
        <v/>
      </c>
      <c r="BE582">
        <f>IF($BC582="","",MID($BC582,FIND("~",SUBSTITUTE($BC582,"-","~",2))+1,FIND("~",SUBSTITUTE($BC582,"-","~",3))-FIND("~",SUBSTITUTE($BC582,"-","~",2))-1))</f>
        <v/>
      </c>
      <c r="BF582">
        <f>IF($BD582="","",IFERROR(VLOOKUP($BD582,DECODE!$A$3:$C$8,3,FALSE),"?"))</f>
        <v/>
      </c>
      <c r="BG582">
        <f>IF($BE582="","",IFERROR(VLOOKUP($BD582&amp;"-"&amp;$BE582,DECODE!$E$3:$F$21,2,FALSE),"?"))</f>
        <v/>
      </c>
      <c r="BH582">
        <f>IF($BC582="","",IFERROR(VALUE(RIGHT($BC582,3)),""))</f>
        <v/>
      </c>
      <c r="BI582">
        <f>IF($V582="","",IFERROR(IF(ISNUMBER($V582),$V582,DATEVALUE(TRIM($V582))),""))</f>
        <v/>
      </c>
      <c r="BJ582">
        <f>IF($BI582="","",IF(MONTH($BI582)&gt;=12,"Cold Winter",IF(MONTH($BI582)&gt;=10,"Post-Monsoon",IF(MONTH($BI582)&gt;=6,"Hot Humid",IF(MONTH($BI582)&gt;=3,"Hot Dry","Cold Winter")))))</f>
        <v/>
      </c>
      <c r="BK582">
        <f>IF($BD582="","",IFERROR(VLOOKUP($BD582,DECODE!$A$3:$C$8,2,FALSE),"?"))</f>
        <v/>
      </c>
      <c r="BL582">
        <f>IF($Q582="","",UPPER(TRIM(LEFT($Q582&amp;",",FIND(",",$Q582&amp;",")-1))))</f>
        <v/>
      </c>
      <c r="BM582">
        <f>IF($BL582="","",MID($BL582,4,FIND("~",SUBSTITUTE($BL582,"-","~",2))-4))</f>
        <v/>
      </c>
      <c r="BN582">
        <f>IF($BL582="","",MID($BL582,FIND("~",SUBSTITUTE($BL582,"-","~",2))+1,FIND("~",SUBSTITUTE($BL582,"-","~",3))-FIND("~",SUBSTITUTE($BL582,"-","~",2))-1))</f>
        <v/>
      </c>
      <c r="BO582">
        <f>IF($BM582="","",IFERROR(VLOOKUP($BM582,DECODE!$A$3:$C$8,3,FALSE),"?"))</f>
        <v/>
      </c>
      <c r="BP582">
        <f>IF($BN582="","",IFERROR(VLOOKUP($BM582&amp;"-"&amp;$BN582,DECODE!$E$3:$F$21,2,FALSE),"?"))</f>
        <v/>
      </c>
      <c r="BQ582">
        <f>IF($BL582="","",IFERROR(VALUE(RIGHT($BL582,3)),""))</f>
        <v/>
      </c>
      <c r="BR582">
        <f>IF($W582="","",IFERROR(IF(ISNUMBER($W582),$W582,DATEVALUE(TRIM($W582))),""))</f>
        <v/>
      </c>
      <c r="BS582">
        <f>IF($BR582="","",IF(MONTH($BR582)&gt;=12,"Cold Winter",IF(MONTH($BR582)&gt;=10,"Post-Monsoon",IF(MONTH($BR582)&gt;=6,"Hot Humid",IF(MONTH($BR582)&gt;=3,"Hot Dry","Cold Winter")))))</f>
        <v/>
      </c>
      <c r="BT582">
        <f>IF($BM582="","",IFERROR(VLOOKUP($BM582,DECODE!$A$3:$C$8,2,FALSE),"?"))</f>
        <v/>
      </c>
      <c r="BU582">
        <f>IF($R582="","",UPPER(TRIM(LEFT($R582&amp;",",FIND(",",$R582&amp;",")-1))))</f>
        <v/>
      </c>
      <c r="BV582">
        <f>IF($BU582="","",MID($BU582,4,FIND("~",SUBSTITUTE($BU582,"-","~",2))-4))</f>
        <v/>
      </c>
      <c r="BW582">
        <f>IF($BU582="","",MID($BU582,FIND("~",SUBSTITUTE($BU582,"-","~",2))+1,FIND("~",SUBSTITUTE($BU582,"-","~",3))-FIND("~",SUBSTITUTE($BU582,"-","~",2))-1))</f>
        <v/>
      </c>
      <c r="BX582">
        <f>IF($BV582="","",IFERROR(VLOOKUP($BV582,DECODE!$A$3:$C$8,3,FALSE),"?"))</f>
        <v/>
      </c>
      <c r="BY582">
        <f>IF($BW582="","",IFERROR(VLOOKUP($BV582&amp;"-"&amp;$BW582,DECODE!$E$3:$F$21,2,FALSE),"?"))</f>
        <v/>
      </c>
      <c r="BZ582">
        <f>IF($BU582="","",IFERROR(VALUE(RIGHT($BU582,3)),""))</f>
        <v/>
      </c>
      <c r="CA582">
        <f>IF($X582="","",IFERROR(IF(ISNUMBER($X582),$X582,DATEVALUE(TRIM($X582))),""))</f>
        <v/>
      </c>
      <c r="CB582">
        <f>IF($CA582="","",IF(MONTH($CA582)&gt;=12,"Cold Winter",IF(MONTH($CA582)&gt;=10,"Post-Monsoon",IF(MONTH($CA582)&gt;=6,"Hot Humid",IF(MONTH($CA582)&gt;=3,"Hot Dry","Cold Winter")))))</f>
        <v/>
      </c>
      <c r="CC582">
        <f>IF($BV582="","",IFERROR(VLOOKUP($BV582,DECODE!$A$3:$C$8,2,FALSE),"?"))</f>
        <v/>
      </c>
      <c r="CD582">
        <f>IF($S582="","",UPPER(TRIM(LEFT($S582&amp;",",FIND(",",$S582&amp;",")-1))))</f>
        <v/>
      </c>
      <c r="CE582">
        <f>IF($CD582="","",MID($CD582,4,FIND("~",SUBSTITUTE($CD582,"-","~",2))-4))</f>
        <v/>
      </c>
      <c r="CF582">
        <f>IF($CD582="","",MID($CD582,FIND("~",SUBSTITUTE($CD582,"-","~",2))+1,FIND("~",SUBSTITUTE($CD582,"-","~",3))-FIND("~",SUBSTITUTE($CD582,"-","~",2))-1))</f>
        <v/>
      </c>
      <c r="CG582">
        <f>IF($CE582="","",IFERROR(VLOOKUP($CE582,DECODE!$A$3:$C$8,3,FALSE),"?"))</f>
        <v/>
      </c>
      <c r="CH582">
        <f>IF($CF582="","",IFERROR(VLOOKUP($CE582&amp;"-"&amp;$CF582,DECODE!$E$3:$F$21,2,FALSE),"?"))</f>
        <v/>
      </c>
      <c r="CI582">
        <f>IF($CD582="","",IFERROR(VALUE(RIGHT($CD582,3)),""))</f>
        <v/>
      </c>
      <c r="CJ582">
        <f>IF($Y582="","",IFERROR(IF(ISNUMBER($Y582),$Y582,DATEVALUE(TRIM($Y582))),""))</f>
        <v/>
      </c>
      <c r="CK582">
        <f>IF($CJ582="","",IF(MONTH($CJ582)&gt;=12,"Cold Winter",IF(MONTH($CJ582)&gt;=10,"Post-Monsoon",IF(MONTH($CJ582)&gt;=6,"Hot Humid",IF(MONTH($CJ582)&gt;=3,"Hot Dry","Cold Winter")))))</f>
        <v/>
      </c>
      <c r="CL582">
        <f>IF($CE582="","",IFERROR(VLOOKUP($CE582,DECODE!$A$3:$C$8,2,FALSE),"?"))</f>
        <v/>
      </c>
      <c r="CM582">
        <f>IF($AN582="","",AN582)</f>
        <v/>
      </c>
      <c r="CN582">
        <f>IF($AO582="","",AO582)</f>
        <v/>
      </c>
      <c r="CO582">
        <f>IF($AP582="","",AP582)</f>
        <v/>
      </c>
      <c r="CP582">
        <f>IF($CM582="","",IF($CM582="Aloe Vera Gel","Aloe Vera Gel "&amp;$CO582&amp;"g",CN582&amp;" "&amp;$CO582&amp;"g"))</f>
        <v/>
      </c>
      <c r="CQ582">
        <f>IF($AT582="",0,1)</f>
        <v/>
      </c>
      <c r="CR582">
        <f>IF($CQ582=0,"",AW582)</f>
        <v/>
      </c>
      <c r="CS582">
        <f>IF($CQ582=0,"",AX582)</f>
        <v/>
      </c>
      <c r="CT582">
        <f>IF($CQ582=0,"",AY582)</f>
        <v/>
      </c>
      <c r="CU582">
        <f>IF($CR582="","",IF($CR582="Aloe Vera Gel","Aloe Vera Gel "&amp;$CT582&amp;"g",CS582&amp;" "&amp;$CT582&amp;"g"))</f>
        <v/>
      </c>
      <c r="CV582">
        <f>IF($CQ582=0,"",IF($CP582=$CU582,"Repeat Exact",IF($CT582&gt;$CO582,"Upsized",IF($CT582&lt;$CO582,"Downsized",IF($CM582&lt;&gt;$CR582,"Lateral","Same Size Diff Variant")))))</f>
        <v/>
      </c>
      <c r="CW582">
        <f>IF($CQ582=0,"",AZ582-AQ582)</f>
        <v/>
      </c>
      <c r="CX582">
        <f>IF($CQ582=0,0,IF(CS582=CN582,1,0))</f>
        <v/>
      </c>
      <c r="CY582">
        <f>IF($CQ582=0,0,IF(CR582=CM582,1,0))</f>
        <v/>
      </c>
      <c r="CZ582">
        <f>IF($A582="","",IF(AND(IF(DASHBOARD!$C$4="All",TRUE,$CM582=DASHBOARD!$C$4),IF(DASHBOARD!$C$6="All",TRUE,$CP582=DASHBOARD!$C$6),IF(DASHBOARD!$C$8="All",TRUE,$AF582&gt;=DASHBOARD!$C$8),IF(DASHBOARD!$C$10="All",TRUE,$AF582&lt;=DASHBOARD!$C$10),IF(DASHBOARD!$C$12="All",TRUE,$AH582=VALUE(DASHBOARD!$C$12)),IF(DASHBOARD!$C$14="All",TRUE,$AJ582=DASHBOARD!$C$14)),1,0))</f>
        <v/>
      </c>
    </row>
    <row r="583">
      <c r="A583" t="n">
        <v>254263</v>
      </c>
      <c r="B583" t="inlineStr">
        <is>
          <t>Face Malai</t>
        </is>
      </c>
      <c r="H583" t="inlineStr">
        <is>
          <t>Turmeric Nutmeg (Pigmentation)  Face Malai - 30g</t>
        </is>
      </c>
      <c r="N583" t="inlineStr">
        <is>
          <t>FC-DM-PG-030</t>
        </is>
      </c>
      <c r="T583" t="inlineStr">
        <is>
          <t>Feb 26, 2025</t>
        </is>
      </c>
      <c r="AE583" t="inlineStr">
        <is>
          <t>Mumbai</t>
        </is>
      </c>
      <c r="AF583" t="inlineStr">
        <is>
          <t>2025-02</t>
        </is>
      </c>
      <c r="AG583" t="n">
        <v>2</v>
      </c>
      <c r="AH583" t="n">
        <v>1</v>
      </c>
      <c r="AI583" t="n">
        <v>0</v>
      </c>
      <c r="AJ583">
        <f>IF($AE583="","",IFERROR(VLOOKUP(TRIM($AE583),DECODE!$H$3:$I$60,2,FALSE),"Rest of India"))</f>
        <v/>
      </c>
      <c r="AK583">
        <f>IF($N583="","",UPPER(TRIM(LEFT($N583&amp;",",FIND(",",$N583&amp;",")-1))))</f>
        <v/>
      </c>
      <c r="AL583">
        <f>IF($AK583="","",MID($AK583,4,FIND("~",SUBSTITUTE($AK583,"-","~",2))-4))</f>
        <v/>
      </c>
      <c r="AM583">
        <f>IF($AK583="","",MID($AK583,FIND("~",SUBSTITUTE($AK583,"-","~",2))+1,FIND("~",SUBSTITUTE($AK583,"-","~",3))-FIND("~",SUBSTITUTE($AK583,"-","~",2))-1))</f>
        <v/>
      </c>
      <c r="AN583">
        <f>IF($AL583="","",IFERROR(VLOOKUP($AL583,DECODE!$A$3:$C$8,3,FALSE),"?"))</f>
        <v/>
      </c>
      <c r="AO583">
        <f>IF($AM583="","",IFERROR(VLOOKUP($AL583&amp;"-"&amp;$AM583,DECODE!$E$3:$F$21,2,FALSE),"?"))</f>
        <v/>
      </c>
      <c r="AP583">
        <f>IF($AK583="","",IFERROR(VALUE(RIGHT($AK583,3)),""))</f>
        <v/>
      </c>
      <c r="AQ583">
        <f>IF($T583="","",IFERROR(IF(ISNUMBER($T583),$T583,DATEVALUE(TRIM($T583))),""))</f>
        <v/>
      </c>
      <c r="AR583">
        <f>IF($AQ583="","",IF(MONTH($AQ583)&gt;=12,"Cold Winter",IF(MONTH($AQ583)&gt;=10,"Post-Monsoon",IF(MONTH($AQ583)&gt;=6,"Hot Humid",IF(MONTH($AQ583)&gt;=3,"Hot Dry","Cold Winter")))))</f>
        <v/>
      </c>
      <c r="AS583">
        <f>IF($AL583="","",IFERROR(VLOOKUP($AL583,DECODE!$A$3:$C$8,2,FALSE),"?"))</f>
        <v/>
      </c>
      <c r="AT583">
        <f>IF($O583="","",UPPER(TRIM(LEFT($O583&amp;",",FIND(",",$O583&amp;",")-1))))</f>
        <v/>
      </c>
      <c r="AU583">
        <f>IF($AT583="","",MID($AT583,4,FIND("~",SUBSTITUTE($AT583,"-","~",2))-4))</f>
        <v/>
      </c>
      <c r="AV583">
        <f>IF($AT583="","",MID($AT583,FIND("~",SUBSTITUTE($AT583,"-","~",2))+1,FIND("~",SUBSTITUTE($AT583,"-","~",3))-FIND("~",SUBSTITUTE($AT583,"-","~",2))-1))</f>
        <v/>
      </c>
      <c r="AW583">
        <f>IF($AU583="","",IFERROR(VLOOKUP($AU583,DECODE!$A$3:$C$8,3,FALSE),"?"))</f>
        <v/>
      </c>
      <c r="AX583">
        <f>IF($AV583="","",IFERROR(VLOOKUP($AU583&amp;"-"&amp;$AV583,DECODE!$E$3:$F$21,2,FALSE),"?"))</f>
        <v/>
      </c>
      <c r="AY583">
        <f>IF($AT583="","",IFERROR(VALUE(RIGHT($AT583,3)),""))</f>
        <v/>
      </c>
      <c r="AZ583">
        <f>IF($U583="","",IFERROR(IF(ISNUMBER($U583),$U583,DATEVALUE(TRIM($U583))),""))</f>
        <v/>
      </c>
      <c r="BA583">
        <f>IF($AZ583="","",IF(MONTH($AZ583)&gt;=12,"Cold Winter",IF(MONTH($AZ583)&gt;=10,"Post-Monsoon",IF(MONTH($AZ583)&gt;=6,"Hot Humid",IF(MONTH($AZ583)&gt;=3,"Hot Dry","Cold Winter")))))</f>
        <v/>
      </c>
      <c r="BB583">
        <f>IF($AU583="","",IFERROR(VLOOKUP($AU583,DECODE!$A$3:$C$8,2,FALSE),"?"))</f>
        <v/>
      </c>
      <c r="BC583">
        <f>IF($P583="","",UPPER(TRIM(LEFT($P583&amp;",",FIND(",",$P583&amp;",")-1))))</f>
        <v/>
      </c>
      <c r="BD583">
        <f>IF($BC583="","",MID($BC583,4,FIND("~",SUBSTITUTE($BC583,"-","~",2))-4))</f>
        <v/>
      </c>
      <c r="BE583">
        <f>IF($BC583="","",MID($BC583,FIND("~",SUBSTITUTE($BC583,"-","~",2))+1,FIND("~",SUBSTITUTE($BC583,"-","~",3))-FIND("~",SUBSTITUTE($BC583,"-","~",2))-1))</f>
        <v/>
      </c>
      <c r="BF583">
        <f>IF($BD583="","",IFERROR(VLOOKUP($BD583,DECODE!$A$3:$C$8,3,FALSE),"?"))</f>
        <v/>
      </c>
      <c r="BG583">
        <f>IF($BE583="","",IFERROR(VLOOKUP($BD583&amp;"-"&amp;$BE583,DECODE!$E$3:$F$21,2,FALSE),"?"))</f>
        <v/>
      </c>
      <c r="BH583">
        <f>IF($BC583="","",IFERROR(VALUE(RIGHT($BC583,3)),""))</f>
        <v/>
      </c>
      <c r="BI583">
        <f>IF($V583="","",IFERROR(IF(ISNUMBER($V583),$V583,DATEVALUE(TRIM($V583))),""))</f>
        <v/>
      </c>
      <c r="BJ583">
        <f>IF($BI583="","",IF(MONTH($BI583)&gt;=12,"Cold Winter",IF(MONTH($BI583)&gt;=10,"Post-Monsoon",IF(MONTH($BI583)&gt;=6,"Hot Humid",IF(MONTH($BI583)&gt;=3,"Hot Dry","Cold Winter")))))</f>
        <v/>
      </c>
      <c r="BK583">
        <f>IF($BD583="","",IFERROR(VLOOKUP($BD583,DECODE!$A$3:$C$8,2,FALSE),"?"))</f>
        <v/>
      </c>
      <c r="BL583">
        <f>IF($Q583="","",UPPER(TRIM(LEFT($Q583&amp;",",FIND(",",$Q583&amp;",")-1))))</f>
        <v/>
      </c>
      <c r="BM583">
        <f>IF($BL583="","",MID($BL583,4,FIND("~",SUBSTITUTE($BL583,"-","~",2))-4))</f>
        <v/>
      </c>
      <c r="BN583">
        <f>IF($BL583="","",MID($BL583,FIND("~",SUBSTITUTE($BL583,"-","~",2))+1,FIND("~",SUBSTITUTE($BL583,"-","~",3))-FIND("~",SUBSTITUTE($BL583,"-","~",2))-1))</f>
        <v/>
      </c>
      <c r="BO583">
        <f>IF($BM583="","",IFERROR(VLOOKUP($BM583,DECODE!$A$3:$C$8,3,FALSE),"?"))</f>
        <v/>
      </c>
      <c r="BP583">
        <f>IF($BN583="","",IFERROR(VLOOKUP($BM583&amp;"-"&amp;$BN583,DECODE!$E$3:$F$21,2,FALSE),"?"))</f>
        <v/>
      </c>
      <c r="BQ583">
        <f>IF($BL583="","",IFERROR(VALUE(RIGHT($BL583,3)),""))</f>
        <v/>
      </c>
      <c r="BR583">
        <f>IF($W583="","",IFERROR(IF(ISNUMBER($W583),$W583,DATEVALUE(TRIM($W583))),""))</f>
        <v/>
      </c>
      <c r="BS583">
        <f>IF($BR583="","",IF(MONTH($BR583)&gt;=12,"Cold Winter",IF(MONTH($BR583)&gt;=10,"Post-Monsoon",IF(MONTH($BR583)&gt;=6,"Hot Humid",IF(MONTH($BR583)&gt;=3,"Hot Dry","Cold Winter")))))</f>
        <v/>
      </c>
      <c r="BT583">
        <f>IF($BM583="","",IFERROR(VLOOKUP($BM583,DECODE!$A$3:$C$8,2,FALSE),"?"))</f>
        <v/>
      </c>
      <c r="BU583">
        <f>IF($R583="","",UPPER(TRIM(LEFT($R583&amp;",",FIND(",",$R583&amp;",")-1))))</f>
        <v/>
      </c>
      <c r="BV583">
        <f>IF($BU583="","",MID($BU583,4,FIND("~",SUBSTITUTE($BU583,"-","~",2))-4))</f>
        <v/>
      </c>
      <c r="BW583">
        <f>IF($BU583="","",MID($BU583,FIND("~",SUBSTITUTE($BU583,"-","~",2))+1,FIND("~",SUBSTITUTE($BU583,"-","~",3))-FIND("~",SUBSTITUTE($BU583,"-","~",2))-1))</f>
        <v/>
      </c>
      <c r="BX583">
        <f>IF($BV583="","",IFERROR(VLOOKUP($BV583,DECODE!$A$3:$C$8,3,FALSE),"?"))</f>
        <v/>
      </c>
      <c r="BY583">
        <f>IF($BW583="","",IFERROR(VLOOKUP($BV583&amp;"-"&amp;$BW583,DECODE!$E$3:$F$21,2,FALSE),"?"))</f>
        <v/>
      </c>
      <c r="BZ583">
        <f>IF($BU583="","",IFERROR(VALUE(RIGHT($BU583,3)),""))</f>
        <v/>
      </c>
      <c r="CA583">
        <f>IF($X583="","",IFERROR(IF(ISNUMBER($X583),$X583,DATEVALUE(TRIM($X583))),""))</f>
        <v/>
      </c>
      <c r="CB583">
        <f>IF($CA583="","",IF(MONTH($CA583)&gt;=12,"Cold Winter",IF(MONTH($CA583)&gt;=10,"Post-Monsoon",IF(MONTH($CA583)&gt;=6,"Hot Humid",IF(MONTH($CA583)&gt;=3,"Hot Dry","Cold Winter")))))</f>
        <v/>
      </c>
      <c r="CC583">
        <f>IF($BV583="","",IFERROR(VLOOKUP($BV583,DECODE!$A$3:$C$8,2,FALSE),"?"))</f>
        <v/>
      </c>
      <c r="CD583">
        <f>IF($S583="","",UPPER(TRIM(LEFT($S583&amp;",",FIND(",",$S583&amp;",")-1))))</f>
        <v/>
      </c>
      <c r="CE583">
        <f>IF($CD583="","",MID($CD583,4,FIND("~",SUBSTITUTE($CD583,"-","~",2))-4))</f>
        <v/>
      </c>
      <c r="CF583">
        <f>IF($CD583="","",MID($CD583,FIND("~",SUBSTITUTE($CD583,"-","~",2))+1,FIND("~",SUBSTITUTE($CD583,"-","~",3))-FIND("~",SUBSTITUTE($CD583,"-","~",2))-1))</f>
        <v/>
      </c>
      <c r="CG583">
        <f>IF($CE583="","",IFERROR(VLOOKUP($CE583,DECODE!$A$3:$C$8,3,FALSE),"?"))</f>
        <v/>
      </c>
      <c r="CH583">
        <f>IF($CF583="","",IFERROR(VLOOKUP($CE583&amp;"-"&amp;$CF583,DECODE!$E$3:$F$21,2,FALSE),"?"))</f>
        <v/>
      </c>
      <c r="CI583">
        <f>IF($CD583="","",IFERROR(VALUE(RIGHT($CD583,3)),""))</f>
        <v/>
      </c>
      <c r="CJ583">
        <f>IF($Y583="","",IFERROR(IF(ISNUMBER($Y583),$Y583,DATEVALUE(TRIM($Y583))),""))</f>
        <v/>
      </c>
      <c r="CK583">
        <f>IF($CJ583="","",IF(MONTH($CJ583)&gt;=12,"Cold Winter",IF(MONTH($CJ583)&gt;=10,"Post-Monsoon",IF(MONTH($CJ583)&gt;=6,"Hot Humid",IF(MONTH($CJ583)&gt;=3,"Hot Dry","Cold Winter")))))</f>
        <v/>
      </c>
      <c r="CL583">
        <f>IF($CE583="","",IFERROR(VLOOKUP($CE583,DECODE!$A$3:$C$8,2,FALSE),"?"))</f>
        <v/>
      </c>
      <c r="CM583">
        <f>IF($AN583="","",AN583)</f>
        <v/>
      </c>
      <c r="CN583">
        <f>IF($AO583="","",AO583)</f>
        <v/>
      </c>
      <c r="CO583">
        <f>IF($AP583="","",AP583)</f>
        <v/>
      </c>
      <c r="CP583">
        <f>IF($CM583="","",IF($CM583="Aloe Vera Gel","Aloe Vera Gel "&amp;$CO583&amp;"g",CN583&amp;" "&amp;$CO583&amp;"g"))</f>
        <v/>
      </c>
      <c r="CQ583">
        <f>IF($AT583="",0,1)</f>
        <v/>
      </c>
      <c r="CR583">
        <f>IF($CQ583=0,"",AW583)</f>
        <v/>
      </c>
      <c r="CS583">
        <f>IF($CQ583=0,"",AX583)</f>
        <v/>
      </c>
      <c r="CT583">
        <f>IF($CQ583=0,"",AY583)</f>
        <v/>
      </c>
      <c r="CU583">
        <f>IF($CR583="","",IF($CR583="Aloe Vera Gel","Aloe Vera Gel "&amp;$CT583&amp;"g",CS583&amp;" "&amp;$CT583&amp;"g"))</f>
        <v/>
      </c>
      <c r="CV583">
        <f>IF($CQ583=0,"",IF($CP583=$CU583,"Repeat Exact",IF($CT583&gt;$CO583,"Upsized",IF($CT583&lt;$CO583,"Downsized",IF($CM583&lt;&gt;$CR583,"Lateral","Same Size Diff Variant")))))</f>
        <v/>
      </c>
      <c r="CW583">
        <f>IF($CQ583=0,"",AZ583-AQ583)</f>
        <v/>
      </c>
      <c r="CX583">
        <f>IF($CQ583=0,0,IF(CS583=CN583,1,0))</f>
        <v/>
      </c>
      <c r="CY583">
        <f>IF($CQ583=0,0,IF(CR583=CM583,1,0))</f>
        <v/>
      </c>
      <c r="CZ583">
        <f>IF($A583="","",IF(AND(IF(DASHBOARD!$C$4="All",TRUE,$CM583=DASHBOARD!$C$4),IF(DASHBOARD!$C$6="All",TRUE,$CP583=DASHBOARD!$C$6),IF(DASHBOARD!$C$8="All",TRUE,$AF583&gt;=DASHBOARD!$C$8),IF(DASHBOARD!$C$10="All",TRUE,$AF583&lt;=DASHBOARD!$C$10),IF(DASHBOARD!$C$12="All",TRUE,$AH583=VALUE(DASHBOARD!$C$12)),IF(DASHBOARD!$C$14="All",TRUE,$AJ583=DASHBOARD!$C$14)),1,0))</f>
        <v/>
      </c>
    </row>
    <row r="584">
      <c r="A584" t="n">
        <v>254362</v>
      </c>
      <c r="B584" t="inlineStr">
        <is>
          <t>Face Malai</t>
        </is>
      </c>
      <c r="H584" t="inlineStr">
        <is>
          <t>Flax Walnut (Cold) 35+ Face Malai, Cocoa Mogra (Overnight) Face Malai - 30g</t>
        </is>
      </c>
      <c r="N584" t="inlineStr">
        <is>
          <t>FC-CWDM-FW-030, FC-DM-NR-030</t>
        </is>
      </c>
      <c r="T584" t="inlineStr">
        <is>
          <t>Jan 29, 2024</t>
        </is>
      </c>
      <c r="AE584" t="inlineStr">
        <is>
          <t>Burdwan</t>
        </is>
      </c>
      <c r="AF584" t="inlineStr">
        <is>
          <t>2024-01</t>
        </is>
      </c>
      <c r="AG584" t="n">
        <v>1</v>
      </c>
      <c r="AH584" t="n">
        <v>1</v>
      </c>
      <c r="AI584" t="n">
        <v>0</v>
      </c>
      <c r="AJ584">
        <f>IF($AE584="","",IFERROR(VLOOKUP(TRIM($AE584),DECODE!$H$3:$I$60,2,FALSE),"Rest of India"))</f>
        <v/>
      </c>
      <c r="AK584">
        <f>IF($N584="","",UPPER(TRIM(LEFT($N584&amp;",",FIND(",",$N584&amp;",")-1))))</f>
        <v/>
      </c>
      <c r="AL584">
        <f>IF($AK584="","",MID($AK584,4,FIND("~",SUBSTITUTE($AK584,"-","~",2))-4))</f>
        <v/>
      </c>
      <c r="AM584">
        <f>IF($AK584="","",MID($AK584,FIND("~",SUBSTITUTE($AK584,"-","~",2))+1,FIND("~",SUBSTITUTE($AK584,"-","~",3))-FIND("~",SUBSTITUTE($AK584,"-","~",2))-1))</f>
        <v/>
      </c>
      <c r="AN584">
        <f>IF($AL584="","",IFERROR(VLOOKUP($AL584,DECODE!$A$3:$C$8,3,FALSE),"?"))</f>
        <v/>
      </c>
      <c r="AO584">
        <f>IF($AM584="","",IFERROR(VLOOKUP($AL584&amp;"-"&amp;$AM584,DECODE!$E$3:$F$21,2,FALSE),"?"))</f>
        <v/>
      </c>
      <c r="AP584">
        <f>IF($AK584="","",IFERROR(VALUE(RIGHT($AK584,3)),""))</f>
        <v/>
      </c>
      <c r="AQ584">
        <f>IF($T584="","",IFERROR(IF(ISNUMBER($T584),$T584,DATEVALUE(TRIM($T584))),""))</f>
        <v/>
      </c>
      <c r="AR584">
        <f>IF($AQ584="","",IF(MONTH($AQ584)&gt;=12,"Cold Winter",IF(MONTH($AQ584)&gt;=10,"Post-Monsoon",IF(MONTH($AQ584)&gt;=6,"Hot Humid",IF(MONTH($AQ584)&gt;=3,"Hot Dry","Cold Winter")))))</f>
        <v/>
      </c>
      <c r="AS584">
        <f>IF($AL584="","",IFERROR(VLOOKUP($AL584,DECODE!$A$3:$C$8,2,FALSE),"?"))</f>
        <v/>
      </c>
      <c r="AT584">
        <f>IF($O584="","",UPPER(TRIM(LEFT($O584&amp;",",FIND(",",$O584&amp;",")-1))))</f>
        <v/>
      </c>
      <c r="AU584">
        <f>IF($AT584="","",MID($AT584,4,FIND("~",SUBSTITUTE($AT584,"-","~",2))-4))</f>
        <v/>
      </c>
      <c r="AV584">
        <f>IF($AT584="","",MID($AT584,FIND("~",SUBSTITUTE($AT584,"-","~",2))+1,FIND("~",SUBSTITUTE($AT584,"-","~",3))-FIND("~",SUBSTITUTE($AT584,"-","~",2))-1))</f>
        <v/>
      </c>
      <c r="AW584">
        <f>IF($AU584="","",IFERROR(VLOOKUP($AU584,DECODE!$A$3:$C$8,3,FALSE),"?"))</f>
        <v/>
      </c>
      <c r="AX584">
        <f>IF($AV584="","",IFERROR(VLOOKUP($AU584&amp;"-"&amp;$AV584,DECODE!$E$3:$F$21,2,FALSE),"?"))</f>
        <v/>
      </c>
      <c r="AY584">
        <f>IF($AT584="","",IFERROR(VALUE(RIGHT($AT584,3)),""))</f>
        <v/>
      </c>
      <c r="AZ584">
        <f>IF($U584="","",IFERROR(IF(ISNUMBER($U584),$U584,DATEVALUE(TRIM($U584))),""))</f>
        <v/>
      </c>
      <c r="BA584">
        <f>IF($AZ584="","",IF(MONTH($AZ584)&gt;=12,"Cold Winter",IF(MONTH($AZ584)&gt;=10,"Post-Monsoon",IF(MONTH($AZ584)&gt;=6,"Hot Humid",IF(MONTH($AZ584)&gt;=3,"Hot Dry","Cold Winter")))))</f>
        <v/>
      </c>
      <c r="BB584">
        <f>IF($AU584="","",IFERROR(VLOOKUP($AU584,DECODE!$A$3:$C$8,2,FALSE),"?"))</f>
        <v/>
      </c>
      <c r="BC584">
        <f>IF($P584="","",UPPER(TRIM(LEFT($P584&amp;",",FIND(",",$P584&amp;",")-1))))</f>
        <v/>
      </c>
      <c r="BD584">
        <f>IF($BC584="","",MID($BC584,4,FIND("~",SUBSTITUTE($BC584,"-","~",2))-4))</f>
        <v/>
      </c>
      <c r="BE584">
        <f>IF($BC584="","",MID($BC584,FIND("~",SUBSTITUTE($BC584,"-","~",2))+1,FIND("~",SUBSTITUTE($BC584,"-","~",3))-FIND("~",SUBSTITUTE($BC584,"-","~",2))-1))</f>
        <v/>
      </c>
      <c r="BF584">
        <f>IF($BD584="","",IFERROR(VLOOKUP($BD584,DECODE!$A$3:$C$8,3,FALSE),"?"))</f>
        <v/>
      </c>
      <c r="BG584">
        <f>IF($BE584="","",IFERROR(VLOOKUP($BD584&amp;"-"&amp;$BE584,DECODE!$E$3:$F$21,2,FALSE),"?"))</f>
        <v/>
      </c>
      <c r="BH584">
        <f>IF($BC584="","",IFERROR(VALUE(RIGHT($BC584,3)),""))</f>
        <v/>
      </c>
      <c r="BI584">
        <f>IF($V584="","",IFERROR(IF(ISNUMBER($V584),$V584,DATEVALUE(TRIM($V584))),""))</f>
        <v/>
      </c>
      <c r="BJ584">
        <f>IF($BI584="","",IF(MONTH($BI584)&gt;=12,"Cold Winter",IF(MONTH($BI584)&gt;=10,"Post-Monsoon",IF(MONTH($BI584)&gt;=6,"Hot Humid",IF(MONTH($BI584)&gt;=3,"Hot Dry","Cold Winter")))))</f>
        <v/>
      </c>
      <c r="BK584">
        <f>IF($BD584="","",IFERROR(VLOOKUP($BD584,DECODE!$A$3:$C$8,2,FALSE),"?"))</f>
        <v/>
      </c>
      <c r="BL584">
        <f>IF($Q584="","",UPPER(TRIM(LEFT($Q584&amp;",",FIND(",",$Q584&amp;",")-1))))</f>
        <v/>
      </c>
      <c r="BM584">
        <f>IF($BL584="","",MID($BL584,4,FIND("~",SUBSTITUTE($BL584,"-","~",2))-4))</f>
        <v/>
      </c>
      <c r="BN584">
        <f>IF($BL584="","",MID($BL584,FIND("~",SUBSTITUTE($BL584,"-","~",2))+1,FIND("~",SUBSTITUTE($BL584,"-","~",3))-FIND("~",SUBSTITUTE($BL584,"-","~",2))-1))</f>
        <v/>
      </c>
      <c r="BO584">
        <f>IF($BM584="","",IFERROR(VLOOKUP($BM584,DECODE!$A$3:$C$8,3,FALSE),"?"))</f>
        <v/>
      </c>
      <c r="BP584">
        <f>IF($BN584="","",IFERROR(VLOOKUP($BM584&amp;"-"&amp;$BN584,DECODE!$E$3:$F$21,2,FALSE),"?"))</f>
        <v/>
      </c>
      <c r="BQ584">
        <f>IF($BL584="","",IFERROR(VALUE(RIGHT($BL584,3)),""))</f>
        <v/>
      </c>
      <c r="BR584">
        <f>IF($W584="","",IFERROR(IF(ISNUMBER($W584),$W584,DATEVALUE(TRIM($W584))),""))</f>
        <v/>
      </c>
      <c r="BS584">
        <f>IF($BR584="","",IF(MONTH($BR584)&gt;=12,"Cold Winter",IF(MONTH($BR584)&gt;=10,"Post-Monsoon",IF(MONTH($BR584)&gt;=6,"Hot Humid",IF(MONTH($BR584)&gt;=3,"Hot Dry","Cold Winter")))))</f>
        <v/>
      </c>
      <c r="BT584">
        <f>IF($BM584="","",IFERROR(VLOOKUP($BM584,DECODE!$A$3:$C$8,2,FALSE),"?"))</f>
        <v/>
      </c>
      <c r="BU584">
        <f>IF($R584="","",UPPER(TRIM(LEFT($R584&amp;",",FIND(",",$R584&amp;",")-1))))</f>
        <v/>
      </c>
      <c r="BV584">
        <f>IF($BU584="","",MID($BU584,4,FIND("~",SUBSTITUTE($BU584,"-","~",2))-4))</f>
        <v/>
      </c>
      <c r="BW584">
        <f>IF($BU584="","",MID($BU584,FIND("~",SUBSTITUTE($BU584,"-","~",2))+1,FIND("~",SUBSTITUTE($BU584,"-","~",3))-FIND("~",SUBSTITUTE($BU584,"-","~",2))-1))</f>
        <v/>
      </c>
      <c r="BX584">
        <f>IF($BV584="","",IFERROR(VLOOKUP($BV584,DECODE!$A$3:$C$8,3,FALSE),"?"))</f>
        <v/>
      </c>
      <c r="BY584">
        <f>IF($BW584="","",IFERROR(VLOOKUP($BV584&amp;"-"&amp;$BW584,DECODE!$E$3:$F$21,2,FALSE),"?"))</f>
        <v/>
      </c>
      <c r="BZ584">
        <f>IF($BU584="","",IFERROR(VALUE(RIGHT($BU584,3)),""))</f>
        <v/>
      </c>
      <c r="CA584">
        <f>IF($X584="","",IFERROR(IF(ISNUMBER($X584),$X584,DATEVALUE(TRIM($X584))),""))</f>
        <v/>
      </c>
      <c r="CB584">
        <f>IF($CA584="","",IF(MONTH($CA584)&gt;=12,"Cold Winter",IF(MONTH($CA584)&gt;=10,"Post-Monsoon",IF(MONTH($CA584)&gt;=6,"Hot Humid",IF(MONTH($CA584)&gt;=3,"Hot Dry","Cold Winter")))))</f>
        <v/>
      </c>
      <c r="CC584">
        <f>IF($BV584="","",IFERROR(VLOOKUP($BV584,DECODE!$A$3:$C$8,2,FALSE),"?"))</f>
        <v/>
      </c>
      <c r="CD584">
        <f>IF($S584="","",UPPER(TRIM(LEFT($S584&amp;",",FIND(",",$S584&amp;",")-1))))</f>
        <v/>
      </c>
      <c r="CE584">
        <f>IF($CD584="","",MID($CD584,4,FIND("~",SUBSTITUTE($CD584,"-","~",2))-4))</f>
        <v/>
      </c>
      <c r="CF584">
        <f>IF($CD584="","",MID($CD584,FIND("~",SUBSTITUTE($CD584,"-","~",2))+1,FIND("~",SUBSTITUTE($CD584,"-","~",3))-FIND("~",SUBSTITUTE($CD584,"-","~",2))-1))</f>
        <v/>
      </c>
      <c r="CG584">
        <f>IF($CE584="","",IFERROR(VLOOKUP($CE584,DECODE!$A$3:$C$8,3,FALSE),"?"))</f>
        <v/>
      </c>
      <c r="CH584">
        <f>IF($CF584="","",IFERROR(VLOOKUP($CE584&amp;"-"&amp;$CF584,DECODE!$E$3:$F$21,2,FALSE),"?"))</f>
        <v/>
      </c>
      <c r="CI584">
        <f>IF($CD584="","",IFERROR(VALUE(RIGHT($CD584,3)),""))</f>
        <v/>
      </c>
      <c r="CJ584">
        <f>IF($Y584="","",IFERROR(IF(ISNUMBER($Y584),$Y584,DATEVALUE(TRIM($Y584))),""))</f>
        <v/>
      </c>
      <c r="CK584">
        <f>IF($CJ584="","",IF(MONTH($CJ584)&gt;=12,"Cold Winter",IF(MONTH($CJ584)&gt;=10,"Post-Monsoon",IF(MONTH($CJ584)&gt;=6,"Hot Humid",IF(MONTH($CJ584)&gt;=3,"Hot Dry","Cold Winter")))))</f>
        <v/>
      </c>
      <c r="CL584">
        <f>IF($CE584="","",IFERROR(VLOOKUP($CE584,DECODE!$A$3:$C$8,2,FALSE),"?"))</f>
        <v/>
      </c>
      <c r="CM584">
        <f>IF($AN584="","",AN584)</f>
        <v/>
      </c>
      <c r="CN584">
        <f>IF($AO584="","",AO584)</f>
        <v/>
      </c>
      <c r="CO584">
        <f>IF($AP584="","",AP584)</f>
        <v/>
      </c>
      <c r="CP584">
        <f>IF($CM584="","",IF($CM584="Aloe Vera Gel","Aloe Vera Gel "&amp;$CO584&amp;"g",CN584&amp;" "&amp;$CO584&amp;"g"))</f>
        <v/>
      </c>
      <c r="CQ584">
        <f>IF($AT584="",0,1)</f>
        <v/>
      </c>
      <c r="CR584">
        <f>IF($CQ584=0,"",AW584)</f>
        <v/>
      </c>
      <c r="CS584">
        <f>IF($CQ584=0,"",AX584)</f>
        <v/>
      </c>
      <c r="CT584">
        <f>IF($CQ584=0,"",AY584)</f>
        <v/>
      </c>
      <c r="CU584">
        <f>IF($CR584="","",IF($CR584="Aloe Vera Gel","Aloe Vera Gel "&amp;$CT584&amp;"g",CS584&amp;" "&amp;$CT584&amp;"g"))</f>
        <v/>
      </c>
      <c r="CV584">
        <f>IF($CQ584=0,"",IF($CP584=$CU584,"Repeat Exact",IF($CT584&gt;$CO584,"Upsized",IF($CT584&lt;$CO584,"Downsized",IF($CM584&lt;&gt;$CR584,"Lateral","Same Size Diff Variant")))))</f>
        <v/>
      </c>
      <c r="CW584">
        <f>IF($CQ584=0,"",AZ584-AQ584)</f>
        <v/>
      </c>
      <c r="CX584">
        <f>IF($CQ584=0,0,IF(CS584=CN584,1,0))</f>
        <v/>
      </c>
      <c r="CY584">
        <f>IF($CQ584=0,0,IF(CR584=CM584,1,0))</f>
        <v/>
      </c>
      <c r="CZ584">
        <f>IF($A584="","",IF(AND(IF(DASHBOARD!$C$4="All",TRUE,$CM584=DASHBOARD!$C$4),IF(DASHBOARD!$C$6="All",TRUE,$CP584=DASHBOARD!$C$6),IF(DASHBOARD!$C$8="All",TRUE,$AF584&gt;=DASHBOARD!$C$8),IF(DASHBOARD!$C$10="All",TRUE,$AF584&lt;=DASHBOARD!$C$10),IF(DASHBOARD!$C$12="All",TRUE,$AH584=VALUE(DASHBOARD!$C$12)),IF(DASHBOARD!$C$14="All",TRUE,$AJ584=DASHBOARD!$C$14)),1,0))</f>
        <v/>
      </c>
    </row>
    <row r="585">
      <c r="A585" t="n">
        <v>254714</v>
      </c>
      <c r="B585" t="inlineStr">
        <is>
          <t>Face Malai</t>
        </is>
      </c>
      <c r="C585" t="inlineStr">
        <is>
          <t>Face Malai</t>
        </is>
      </c>
      <c r="D585" t="inlineStr">
        <is>
          <t>Face Malai</t>
        </is>
      </c>
      <c r="H585" t="inlineStr">
        <is>
          <t>Honey Multi-Nut (Dry &amp; Peeling Skin) Face Malai</t>
        </is>
      </c>
      <c r="I585" t="inlineStr">
        <is>
          <t>Tomato Vetiver (Hot Humid) 20 - 35 Yrs Face Malai</t>
        </is>
      </c>
      <c r="J585" t="inlineStr">
        <is>
          <t>Turmeric Nutmeg (Pigmentation)  Face Malai - 30g</t>
        </is>
      </c>
      <c r="N585" t="inlineStr">
        <is>
          <t>FC-DM-DP-030</t>
        </is>
      </c>
      <c r="O585" t="inlineStr">
        <is>
          <t>FC-HHDM-TV-030</t>
        </is>
      </c>
      <c r="P585" t="inlineStr">
        <is>
          <t>FC-DM-PG-030</t>
        </is>
      </c>
      <c r="T585" t="inlineStr">
        <is>
          <t>Dec 24, 2024</t>
        </is>
      </c>
      <c r="U585" t="inlineStr">
        <is>
          <t>Apr 5, 2025</t>
        </is>
      </c>
      <c r="V585" t="inlineStr">
        <is>
          <t>Aug 6, 2025</t>
        </is>
      </c>
      <c r="Z585" t="n">
        <v>102</v>
      </c>
      <c r="AA585" t="n">
        <v>123</v>
      </c>
      <c r="AE585" t="inlineStr">
        <is>
          <t>New Delhi</t>
        </is>
      </c>
      <c r="AF585" t="inlineStr">
        <is>
          <t>2024-12</t>
        </is>
      </c>
      <c r="AG585" t="n">
        <v>12</v>
      </c>
      <c r="AH585" t="n">
        <v>3</v>
      </c>
      <c r="AI585" t="n">
        <v>1</v>
      </c>
      <c r="AJ585">
        <f>IF($AE585="","",IFERROR(VLOOKUP(TRIM($AE585),DECODE!$H$3:$I$60,2,FALSE),"Rest of India"))</f>
        <v/>
      </c>
      <c r="AK585">
        <f>IF($N585="","",UPPER(TRIM(LEFT($N585&amp;",",FIND(",",$N585&amp;",")-1))))</f>
        <v/>
      </c>
      <c r="AL585">
        <f>IF($AK585="","",MID($AK585,4,FIND("~",SUBSTITUTE($AK585,"-","~",2))-4))</f>
        <v/>
      </c>
      <c r="AM585">
        <f>IF($AK585="","",MID($AK585,FIND("~",SUBSTITUTE($AK585,"-","~",2))+1,FIND("~",SUBSTITUTE($AK585,"-","~",3))-FIND("~",SUBSTITUTE($AK585,"-","~",2))-1))</f>
        <v/>
      </c>
      <c r="AN585">
        <f>IF($AL585="","",IFERROR(VLOOKUP($AL585,DECODE!$A$3:$C$8,3,FALSE),"?"))</f>
        <v/>
      </c>
      <c r="AO585">
        <f>IF($AM585="","",IFERROR(VLOOKUP($AL585&amp;"-"&amp;$AM585,DECODE!$E$3:$F$21,2,FALSE),"?"))</f>
        <v/>
      </c>
      <c r="AP585">
        <f>IF($AK585="","",IFERROR(VALUE(RIGHT($AK585,3)),""))</f>
        <v/>
      </c>
      <c r="AQ585">
        <f>IF($T585="","",IFERROR(IF(ISNUMBER($T585),$T585,DATEVALUE(TRIM($T585))),""))</f>
        <v/>
      </c>
      <c r="AR585">
        <f>IF($AQ585="","",IF(MONTH($AQ585)&gt;=12,"Cold Winter",IF(MONTH($AQ585)&gt;=10,"Post-Monsoon",IF(MONTH($AQ585)&gt;=6,"Hot Humid",IF(MONTH($AQ585)&gt;=3,"Hot Dry","Cold Winter")))))</f>
        <v/>
      </c>
      <c r="AS585">
        <f>IF($AL585="","",IFERROR(VLOOKUP($AL585,DECODE!$A$3:$C$8,2,FALSE),"?"))</f>
        <v/>
      </c>
      <c r="AT585">
        <f>IF($O585="","",UPPER(TRIM(LEFT($O585&amp;",",FIND(",",$O585&amp;",")-1))))</f>
        <v/>
      </c>
      <c r="AU585">
        <f>IF($AT585="","",MID($AT585,4,FIND("~",SUBSTITUTE($AT585,"-","~",2))-4))</f>
        <v/>
      </c>
      <c r="AV585">
        <f>IF($AT585="","",MID($AT585,FIND("~",SUBSTITUTE($AT585,"-","~",2))+1,FIND("~",SUBSTITUTE($AT585,"-","~",3))-FIND("~",SUBSTITUTE($AT585,"-","~",2))-1))</f>
        <v/>
      </c>
      <c r="AW585">
        <f>IF($AU585="","",IFERROR(VLOOKUP($AU585,DECODE!$A$3:$C$8,3,FALSE),"?"))</f>
        <v/>
      </c>
      <c r="AX585">
        <f>IF($AV585="","",IFERROR(VLOOKUP($AU585&amp;"-"&amp;$AV585,DECODE!$E$3:$F$21,2,FALSE),"?"))</f>
        <v/>
      </c>
      <c r="AY585">
        <f>IF($AT585="","",IFERROR(VALUE(RIGHT($AT585,3)),""))</f>
        <v/>
      </c>
      <c r="AZ585">
        <f>IF($U585="","",IFERROR(IF(ISNUMBER($U585),$U585,DATEVALUE(TRIM($U585))),""))</f>
        <v/>
      </c>
      <c r="BA585">
        <f>IF($AZ585="","",IF(MONTH($AZ585)&gt;=12,"Cold Winter",IF(MONTH($AZ585)&gt;=10,"Post-Monsoon",IF(MONTH($AZ585)&gt;=6,"Hot Humid",IF(MONTH($AZ585)&gt;=3,"Hot Dry","Cold Winter")))))</f>
        <v/>
      </c>
      <c r="BB585">
        <f>IF($AU585="","",IFERROR(VLOOKUP($AU585,DECODE!$A$3:$C$8,2,FALSE),"?"))</f>
        <v/>
      </c>
      <c r="BC585">
        <f>IF($P585="","",UPPER(TRIM(LEFT($P585&amp;",",FIND(",",$P585&amp;",")-1))))</f>
        <v/>
      </c>
      <c r="BD585">
        <f>IF($BC585="","",MID($BC585,4,FIND("~",SUBSTITUTE($BC585,"-","~",2))-4))</f>
        <v/>
      </c>
      <c r="BE585">
        <f>IF($BC585="","",MID($BC585,FIND("~",SUBSTITUTE($BC585,"-","~",2))+1,FIND("~",SUBSTITUTE($BC585,"-","~",3))-FIND("~",SUBSTITUTE($BC585,"-","~",2))-1))</f>
        <v/>
      </c>
      <c r="BF585">
        <f>IF($BD585="","",IFERROR(VLOOKUP($BD585,DECODE!$A$3:$C$8,3,FALSE),"?"))</f>
        <v/>
      </c>
      <c r="BG585">
        <f>IF($BE585="","",IFERROR(VLOOKUP($BD585&amp;"-"&amp;$BE585,DECODE!$E$3:$F$21,2,FALSE),"?"))</f>
        <v/>
      </c>
      <c r="BH585">
        <f>IF($BC585="","",IFERROR(VALUE(RIGHT($BC585,3)),""))</f>
        <v/>
      </c>
      <c r="BI585">
        <f>IF($V585="","",IFERROR(IF(ISNUMBER($V585),$V585,DATEVALUE(TRIM($V585))),""))</f>
        <v/>
      </c>
      <c r="BJ585">
        <f>IF($BI585="","",IF(MONTH($BI585)&gt;=12,"Cold Winter",IF(MONTH($BI585)&gt;=10,"Post-Monsoon",IF(MONTH($BI585)&gt;=6,"Hot Humid",IF(MONTH($BI585)&gt;=3,"Hot Dry","Cold Winter")))))</f>
        <v/>
      </c>
      <c r="BK585">
        <f>IF($BD585="","",IFERROR(VLOOKUP($BD585,DECODE!$A$3:$C$8,2,FALSE),"?"))</f>
        <v/>
      </c>
      <c r="BL585">
        <f>IF($Q585="","",UPPER(TRIM(LEFT($Q585&amp;",",FIND(",",$Q585&amp;",")-1))))</f>
        <v/>
      </c>
      <c r="BM585">
        <f>IF($BL585="","",MID($BL585,4,FIND("~",SUBSTITUTE($BL585,"-","~",2))-4))</f>
        <v/>
      </c>
      <c r="BN585">
        <f>IF($BL585="","",MID($BL585,FIND("~",SUBSTITUTE($BL585,"-","~",2))+1,FIND("~",SUBSTITUTE($BL585,"-","~",3))-FIND("~",SUBSTITUTE($BL585,"-","~",2))-1))</f>
        <v/>
      </c>
      <c r="BO585">
        <f>IF($BM585="","",IFERROR(VLOOKUP($BM585,DECODE!$A$3:$C$8,3,FALSE),"?"))</f>
        <v/>
      </c>
      <c r="BP585">
        <f>IF($BN585="","",IFERROR(VLOOKUP($BM585&amp;"-"&amp;$BN585,DECODE!$E$3:$F$21,2,FALSE),"?"))</f>
        <v/>
      </c>
      <c r="BQ585">
        <f>IF($BL585="","",IFERROR(VALUE(RIGHT($BL585,3)),""))</f>
        <v/>
      </c>
      <c r="BR585">
        <f>IF($W585="","",IFERROR(IF(ISNUMBER($W585),$W585,DATEVALUE(TRIM($W585))),""))</f>
        <v/>
      </c>
      <c r="BS585">
        <f>IF($BR585="","",IF(MONTH($BR585)&gt;=12,"Cold Winter",IF(MONTH($BR585)&gt;=10,"Post-Monsoon",IF(MONTH($BR585)&gt;=6,"Hot Humid",IF(MONTH($BR585)&gt;=3,"Hot Dry","Cold Winter")))))</f>
        <v/>
      </c>
      <c r="BT585">
        <f>IF($BM585="","",IFERROR(VLOOKUP($BM585,DECODE!$A$3:$C$8,2,FALSE),"?"))</f>
        <v/>
      </c>
      <c r="BU585">
        <f>IF($R585="","",UPPER(TRIM(LEFT($R585&amp;",",FIND(",",$R585&amp;",")-1))))</f>
        <v/>
      </c>
      <c r="BV585">
        <f>IF($BU585="","",MID($BU585,4,FIND("~",SUBSTITUTE($BU585,"-","~",2))-4))</f>
        <v/>
      </c>
      <c r="BW585">
        <f>IF($BU585="","",MID($BU585,FIND("~",SUBSTITUTE($BU585,"-","~",2))+1,FIND("~",SUBSTITUTE($BU585,"-","~",3))-FIND("~",SUBSTITUTE($BU585,"-","~",2))-1))</f>
        <v/>
      </c>
      <c r="BX585">
        <f>IF($BV585="","",IFERROR(VLOOKUP($BV585,DECODE!$A$3:$C$8,3,FALSE),"?"))</f>
        <v/>
      </c>
      <c r="BY585">
        <f>IF($BW585="","",IFERROR(VLOOKUP($BV585&amp;"-"&amp;$BW585,DECODE!$E$3:$F$21,2,FALSE),"?"))</f>
        <v/>
      </c>
      <c r="BZ585">
        <f>IF($BU585="","",IFERROR(VALUE(RIGHT($BU585,3)),""))</f>
        <v/>
      </c>
      <c r="CA585">
        <f>IF($X585="","",IFERROR(IF(ISNUMBER($X585),$X585,DATEVALUE(TRIM($X585))),""))</f>
        <v/>
      </c>
      <c r="CB585">
        <f>IF($CA585="","",IF(MONTH($CA585)&gt;=12,"Cold Winter",IF(MONTH($CA585)&gt;=10,"Post-Monsoon",IF(MONTH($CA585)&gt;=6,"Hot Humid",IF(MONTH($CA585)&gt;=3,"Hot Dry","Cold Winter")))))</f>
        <v/>
      </c>
      <c r="CC585">
        <f>IF($BV585="","",IFERROR(VLOOKUP($BV585,DECODE!$A$3:$C$8,2,FALSE),"?"))</f>
        <v/>
      </c>
      <c r="CD585">
        <f>IF($S585="","",UPPER(TRIM(LEFT($S585&amp;",",FIND(",",$S585&amp;",")-1))))</f>
        <v/>
      </c>
      <c r="CE585">
        <f>IF($CD585="","",MID($CD585,4,FIND("~",SUBSTITUTE($CD585,"-","~",2))-4))</f>
        <v/>
      </c>
      <c r="CF585">
        <f>IF($CD585="","",MID($CD585,FIND("~",SUBSTITUTE($CD585,"-","~",2))+1,FIND("~",SUBSTITUTE($CD585,"-","~",3))-FIND("~",SUBSTITUTE($CD585,"-","~",2))-1))</f>
        <v/>
      </c>
      <c r="CG585">
        <f>IF($CE585="","",IFERROR(VLOOKUP($CE585,DECODE!$A$3:$C$8,3,FALSE),"?"))</f>
        <v/>
      </c>
      <c r="CH585">
        <f>IF($CF585="","",IFERROR(VLOOKUP($CE585&amp;"-"&amp;$CF585,DECODE!$E$3:$F$21,2,FALSE),"?"))</f>
        <v/>
      </c>
      <c r="CI585">
        <f>IF($CD585="","",IFERROR(VALUE(RIGHT($CD585,3)),""))</f>
        <v/>
      </c>
      <c r="CJ585">
        <f>IF($Y585="","",IFERROR(IF(ISNUMBER($Y585),$Y585,DATEVALUE(TRIM($Y585))),""))</f>
        <v/>
      </c>
      <c r="CK585">
        <f>IF($CJ585="","",IF(MONTH($CJ585)&gt;=12,"Cold Winter",IF(MONTH($CJ585)&gt;=10,"Post-Monsoon",IF(MONTH($CJ585)&gt;=6,"Hot Humid",IF(MONTH($CJ585)&gt;=3,"Hot Dry","Cold Winter")))))</f>
        <v/>
      </c>
      <c r="CL585">
        <f>IF($CE585="","",IFERROR(VLOOKUP($CE585,DECODE!$A$3:$C$8,2,FALSE),"?"))</f>
        <v/>
      </c>
      <c r="CM585">
        <f>IF($AN585="","",AN585)</f>
        <v/>
      </c>
      <c r="CN585">
        <f>IF($AO585="","",AO585)</f>
        <v/>
      </c>
      <c r="CO585">
        <f>IF($AP585="","",AP585)</f>
        <v/>
      </c>
      <c r="CP585">
        <f>IF($CM585="","",IF($CM585="Aloe Vera Gel","Aloe Vera Gel "&amp;$CO585&amp;"g",CN585&amp;" "&amp;$CO585&amp;"g"))</f>
        <v/>
      </c>
      <c r="CQ585">
        <f>IF($AT585="",0,1)</f>
        <v/>
      </c>
      <c r="CR585">
        <f>IF($CQ585=0,"",AW585)</f>
        <v/>
      </c>
      <c r="CS585">
        <f>IF($CQ585=0,"",AX585)</f>
        <v/>
      </c>
      <c r="CT585">
        <f>IF($CQ585=0,"",AY585)</f>
        <v/>
      </c>
      <c r="CU585">
        <f>IF($CR585="","",IF($CR585="Aloe Vera Gel","Aloe Vera Gel "&amp;$CT585&amp;"g",CS585&amp;" "&amp;$CT585&amp;"g"))</f>
        <v/>
      </c>
      <c r="CV585">
        <f>IF($CQ585=0,"",IF($CP585=$CU585,"Repeat Exact",IF($CT585&gt;$CO585,"Upsized",IF($CT585&lt;$CO585,"Downsized",IF($CM585&lt;&gt;$CR585,"Lateral","Same Size Diff Variant")))))</f>
        <v/>
      </c>
      <c r="CW585">
        <f>IF($CQ585=0,"",AZ585-AQ585)</f>
        <v/>
      </c>
      <c r="CX585">
        <f>IF($CQ585=0,0,IF(CS585=CN585,1,0))</f>
        <v/>
      </c>
      <c r="CY585">
        <f>IF($CQ585=0,0,IF(CR585=CM585,1,0))</f>
        <v/>
      </c>
      <c r="CZ585">
        <f>IF($A585="","",IF(AND(IF(DASHBOARD!$C$4="All",TRUE,$CM585=DASHBOARD!$C$4),IF(DASHBOARD!$C$6="All",TRUE,$CP585=DASHBOARD!$C$6),IF(DASHBOARD!$C$8="All",TRUE,$AF585&gt;=DASHBOARD!$C$8),IF(DASHBOARD!$C$10="All",TRUE,$AF585&lt;=DASHBOARD!$C$10),IF(DASHBOARD!$C$12="All",TRUE,$AH585=VALUE(DASHBOARD!$C$12)),IF(DASHBOARD!$C$14="All",TRUE,$AJ585=DASHBOARD!$C$14)),1,0))</f>
        <v/>
      </c>
    </row>
    <row r="586">
      <c r="A586" t="n">
        <v>255246</v>
      </c>
      <c r="B586" t="inlineStr">
        <is>
          <t>Face Malai</t>
        </is>
      </c>
      <c r="H586" t="inlineStr">
        <is>
          <t>Flax Walnut (Cold) 35+ Face Malai</t>
        </is>
      </c>
      <c r="N586" t="inlineStr">
        <is>
          <t>FC-CWDM-FW-030</t>
        </is>
      </c>
      <c r="T586" t="inlineStr">
        <is>
          <t>Jan 6, 2025</t>
        </is>
      </c>
      <c r="AE586" t="inlineStr">
        <is>
          <t>Bengaluru</t>
        </is>
      </c>
      <c r="AF586" t="inlineStr">
        <is>
          <t>2025-01</t>
        </is>
      </c>
      <c r="AG586" t="n">
        <v>1</v>
      </c>
      <c r="AH586" t="n">
        <v>1</v>
      </c>
      <c r="AI586" t="n">
        <v>0</v>
      </c>
      <c r="AJ586">
        <f>IF($AE586="","",IFERROR(VLOOKUP(TRIM($AE586),DECODE!$H$3:$I$60,2,FALSE),"Rest of India"))</f>
        <v/>
      </c>
      <c r="AK586">
        <f>IF($N586="","",UPPER(TRIM(LEFT($N586&amp;",",FIND(",",$N586&amp;",")-1))))</f>
        <v/>
      </c>
      <c r="AL586">
        <f>IF($AK586="","",MID($AK586,4,FIND("~",SUBSTITUTE($AK586,"-","~",2))-4))</f>
        <v/>
      </c>
      <c r="AM586">
        <f>IF($AK586="","",MID($AK586,FIND("~",SUBSTITUTE($AK586,"-","~",2))+1,FIND("~",SUBSTITUTE($AK586,"-","~",3))-FIND("~",SUBSTITUTE($AK586,"-","~",2))-1))</f>
        <v/>
      </c>
      <c r="AN586">
        <f>IF($AL586="","",IFERROR(VLOOKUP($AL586,DECODE!$A$3:$C$8,3,FALSE),"?"))</f>
        <v/>
      </c>
      <c r="AO586">
        <f>IF($AM586="","",IFERROR(VLOOKUP($AL586&amp;"-"&amp;$AM586,DECODE!$E$3:$F$21,2,FALSE),"?"))</f>
        <v/>
      </c>
      <c r="AP586">
        <f>IF($AK586="","",IFERROR(VALUE(RIGHT($AK586,3)),""))</f>
        <v/>
      </c>
      <c r="AQ586">
        <f>IF($T586="","",IFERROR(IF(ISNUMBER($T586),$T586,DATEVALUE(TRIM($T586))),""))</f>
        <v/>
      </c>
      <c r="AR586">
        <f>IF($AQ586="","",IF(MONTH($AQ586)&gt;=12,"Cold Winter",IF(MONTH($AQ586)&gt;=10,"Post-Monsoon",IF(MONTH($AQ586)&gt;=6,"Hot Humid",IF(MONTH($AQ586)&gt;=3,"Hot Dry","Cold Winter")))))</f>
        <v/>
      </c>
      <c r="AS586">
        <f>IF($AL586="","",IFERROR(VLOOKUP($AL586,DECODE!$A$3:$C$8,2,FALSE),"?"))</f>
        <v/>
      </c>
      <c r="AT586">
        <f>IF($O586="","",UPPER(TRIM(LEFT($O586&amp;",",FIND(",",$O586&amp;",")-1))))</f>
        <v/>
      </c>
      <c r="AU586">
        <f>IF($AT586="","",MID($AT586,4,FIND("~",SUBSTITUTE($AT586,"-","~",2))-4))</f>
        <v/>
      </c>
      <c r="AV586">
        <f>IF($AT586="","",MID($AT586,FIND("~",SUBSTITUTE($AT586,"-","~",2))+1,FIND("~",SUBSTITUTE($AT586,"-","~",3))-FIND("~",SUBSTITUTE($AT586,"-","~",2))-1))</f>
        <v/>
      </c>
      <c r="AW586">
        <f>IF($AU586="","",IFERROR(VLOOKUP($AU586,DECODE!$A$3:$C$8,3,FALSE),"?"))</f>
        <v/>
      </c>
      <c r="AX586">
        <f>IF($AV586="","",IFERROR(VLOOKUP($AU586&amp;"-"&amp;$AV586,DECODE!$E$3:$F$21,2,FALSE),"?"))</f>
        <v/>
      </c>
      <c r="AY586">
        <f>IF($AT586="","",IFERROR(VALUE(RIGHT($AT586,3)),""))</f>
        <v/>
      </c>
      <c r="AZ586">
        <f>IF($U586="","",IFERROR(IF(ISNUMBER($U586),$U586,DATEVALUE(TRIM($U586))),""))</f>
        <v/>
      </c>
      <c r="BA586">
        <f>IF($AZ586="","",IF(MONTH($AZ586)&gt;=12,"Cold Winter",IF(MONTH($AZ586)&gt;=10,"Post-Monsoon",IF(MONTH($AZ586)&gt;=6,"Hot Humid",IF(MONTH($AZ586)&gt;=3,"Hot Dry","Cold Winter")))))</f>
        <v/>
      </c>
      <c r="BB586">
        <f>IF($AU586="","",IFERROR(VLOOKUP($AU586,DECODE!$A$3:$C$8,2,FALSE),"?"))</f>
        <v/>
      </c>
      <c r="BC586">
        <f>IF($P586="","",UPPER(TRIM(LEFT($P586&amp;",",FIND(",",$P586&amp;",")-1))))</f>
        <v/>
      </c>
      <c r="BD586">
        <f>IF($BC586="","",MID($BC586,4,FIND("~",SUBSTITUTE($BC586,"-","~",2))-4))</f>
        <v/>
      </c>
      <c r="BE586">
        <f>IF($BC586="","",MID($BC586,FIND("~",SUBSTITUTE($BC586,"-","~",2))+1,FIND("~",SUBSTITUTE($BC586,"-","~",3))-FIND("~",SUBSTITUTE($BC586,"-","~",2))-1))</f>
        <v/>
      </c>
      <c r="BF586">
        <f>IF($BD586="","",IFERROR(VLOOKUP($BD586,DECODE!$A$3:$C$8,3,FALSE),"?"))</f>
        <v/>
      </c>
      <c r="BG586">
        <f>IF($BE586="","",IFERROR(VLOOKUP($BD586&amp;"-"&amp;$BE586,DECODE!$E$3:$F$21,2,FALSE),"?"))</f>
        <v/>
      </c>
      <c r="BH586">
        <f>IF($BC586="","",IFERROR(VALUE(RIGHT($BC586,3)),""))</f>
        <v/>
      </c>
      <c r="BI586">
        <f>IF($V586="","",IFERROR(IF(ISNUMBER($V586),$V586,DATEVALUE(TRIM($V586))),""))</f>
        <v/>
      </c>
      <c r="BJ586">
        <f>IF($BI586="","",IF(MONTH($BI586)&gt;=12,"Cold Winter",IF(MONTH($BI586)&gt;=10,"Post-Monsoon",IF(MONTH($BI586)&gt;=6,"Hot Humid",IF(MONTH($BI586)&gt;=3,"Hot Dry","Cold Winter")))))</f>
        <v/>
      </c>
      <c r="BK586">
        <f>IF($BD586="","",IFERROR(VLOOKUP($BD586,DECODE!$A$3:$C$8,2,FALSE),"?"))</f>
        <v/>
      </c>
      <c r="BL586">
        <f>IF($Q586="","",UPPER(TRIM(LEFT($Q586&amp;",",FIND(",",$Q586&amp;",")-1))))</f>
        <v/>
      </c>
      <c r="BM586">
        <f>IF($BL586="","",MID($BL586,4,FIND("~",SUBSTITUTE($BL586,"-","~",2))-4))</f>
        <v/>
      </c>
      <c r="BN586">
        <f>IF($BL586="","",MID($BL586,FIND("~",SUBSTITUTE($BL586,"-","~",2))+1,FIND("~",SUBSTITUTE($BL586,"-","~",3))-FIND("~",SUBSTITUTE($BL586,"-","~",2))-1))</f>
        <v/>
      </c>
      <c r="BO586">
        <f>IF($BM586="","",IFERROR(VLOOKUP($BM586,DECODE!$A$3:$C$8,3,FALSE),"?"))</f>
        <v/>
      </c>
      <c r="BP586">
        <f>IF($BN586="","",IFERROR(VLOOKUP($BM586&amp;"-"&amp;$BN586,DECODE!$E$3:$F$21,2,FALSE),"?"))</f>
        <v/>
      </c>
      <c r="BQ586">
        <f>IF($BL586="","",IFERROR(VALUE(RIGHT($BL586,3)),""))</f>
        <v/>
      </c>
      <c r="BR586">
        <f>IF($W586="","",IFERROR(IF(ISNUMBER($W586),$W586,DATEVALUE(TRIM($W586))),""))</f>
        <v/>
      </c>
      <c r="BS586">
        <f>IF($BR586="","",IF(MONTH($BR586)&gt;=12,"Cold Winter",IF(MONTH($BR586)&gt;=10,"Post-Monsoon",IF(MONTH($BR586)&gt;=6,"Hot Humid",IF(MONTH($BR586)&gt;=3,"Hot Dry","Cold Winter")))))</f>
        <v/>
      </c>
      <c r="BT586">
        <f>IF($BM586="","",IFERROR(VLOOKUP($BM586,DECODE!$A$3:$C$8,2,FALSE),"?"))</f>
        <v/>
      </c>
      <c r="BU586">
        <f>IF($R586="","",UPPER(TRIM(LEFT($R586&amp;",",FIND(",",$R586&amp;",")-1))))</f>
        <v/>
      </c>
      <c r="BV586">
        <f>IF($BU586="","",MID($BU586,4,FIND("~",SUBSTITUTE($BU586,"-","~",2))-4))</f>
        <v/>
      </c>
      <c r="BW586">
        <f>IF($BU586="","",MID($BU586,FIND("~",SUBSTITUTE($BU586,"-","~",2))+1,FIND("~",SUBSTITUTE($BU586,"-","~",3))-FIND("~",SUBSTITUTE($BU586,"-","~",2))-1))</f>
        <v/>
      </c>
      <c r="BX586">
        <f>IF($BV586="","",IFERROR(VLOOKUP($BV586,DECODE!$A$3:$C$8,3,FALSE),"?"))</f>
        <v/>
      </c>
      <c r="BY586">
        <f>IF($BW586="","",IFERROR(VLOOKUP($BV586&amp;"-"&amp;$BW586,DECODE!$E$3:$F$21,2,FALSE),"?"))</f>
        <v/>
      </c>
      <c r="BZ586">
        <f>IF($BU586="","",IFERROR(VALUE(RIGHT($BU586,3)),""))</f>
        <v/>
      </c>
      <c r="CA586">
        <f>IF($X586="","",IFERROR(IF(ISNUMBER($X586),$X586,DATEVALUE(TRIM($X586))),""))</f>
        <v/>
      </c>
      <c r="CB586">
        <f>IF($CA586="","",IF(MONTH($CA586)&gt;=12,"Cold Winter",IF(MONTH($CA586)&gt;=10,"Post-Monsoon",IF(MONTH($CA586)&gt;=6,"Hot Humid",IF(MONTH($CA586)&gt;=3,"Hot Dry","Cold Winter")))))</f>
        <v/>
      </c>
      <c r="CC586">
        <f>IF($BV586="","",IFERROR(VLOOKUP($BV586,DECODE!$A$3:$C$8,2,FALSE),"?"))</f>
        <v/>
      </c>
      <c r="CD586">
        <f>IF($S586="","",UPPER(TRIM(LEFT($S586&amp;",",FIND(",",$S586&amp;",")-1))))</f>
        <v/>
      </c>
      <c r="CE586">
        <f>IF($CD586="","",MID($CD586,4,FIND("~",SUBSTITUTE($CD586,"-","~",2))-4))</f>
        <v/>
      </c>
      <c r="CF586">
        <f>IF($CD586="","",MID($CD586,FIND("~",SUBSTITUTE($CD586,"-","~",2))+1,FIND("~",SUBSTITUTE($CD586,"-","~",3))-FIND("~",SUBSTITUTE($CD586,"-","~",2))-1))</f>
        <v/>
      </c>
      <c r="CG586">
        <f>IF($CE586="","",IFERROR(VLOOKUP($CE586,DECODE!$A$3:$C$8,3,FALSE),"?"))</f>
        <v/>
      </c>
      <c r="CH586">
        <f>IF($CF586="","",IFERROR(VLOOKUP($CE586&amp;"-"&amp;$CF586,DECODE!$E$3:$F$21,2,FALSE),"?"))</f>
        <v/>
      </c>
      <c r="CI586">
        <f>IF($CD586="","",IFERROR(VALUE(RIGHT($CD586,3)),""))</f>
        <v/>
      </c>
      <c r="CJ586">
        <f>IF($Y586="","",IFERROR(IF(ISNUMBER($Y586),$Y586,DATEVALUE(TRIM($Y586))),""))</f>
        <v/>
      </c>
      <c r="CK586">
        <f>IF($CJ586="","",IF(MONTH($CJ586)&gt;=12,"Cold Winter",IF(MONTH($CJ586)&gt;=10,"Post-Monsoon",IF(MONTH($CJ586)&gt;=6,"Hot Humid",IF(MONTH($CJ586)&gt;=3,"Hot Dry","Cold Winter")))))</f>
        <v/>
      </c>
      <c r="CL586">
        <f>IF($CE586="","",IFERROR(VLOOKUP($CE586,DECODE!$A$3:$C$8,2,FALSE),"?"))</f>
        <v/>
      </c>
      <c r="CM586">
        <f>IF($AN586="","",AN586)</f>
        <v/>
      </c>
      <c r="CN586">
        <f>IF($AO586="","",AO586)</f>
        <v/>
      </c>
      <c r="CO586">
        <f>IF($AP586="","",AP586)</f>
        <v/>
      </c>
      <c r="CP586">
        <f>IF($CM586="","",IF($CM586="Aloe Vera Gel","Aloe Vera Gel "&amp;$CO586&amp;"g",CN586&amp;" "&amp;$CO586&amp;"g"))</f>
        <v/>
      </c>
      <c r="CQ586">
        <f>IF($AT586="",0,1)</f>
        <v/>
      </c>
      <c r="CR586">
        <f>IF($CQ586=0,"",AW586)</f>
        <v/>
      </c>
      <c r="CS586">
        <f>IF($CQ586=0,"",AX586)</f>
        <v/>
      </c>
      <c r="CT586">
        <f>IF($CQ586=0,"",AY586)</f>
        <v/>
      </c>
      <c r="CU586">
        <f>IF($CR586="","",IF($CR586="Aloe Vera Gel","Aloe Vera Gel "&amp;$CT586&amp;"g",CS586&amp;" "&amp;$CT586&amp;"g"))</f>
        <v/>
      </c>
      <c r="CV586">
        <f>IF($CQ586=0,"",IF($CP586=$CU586,"Repeat Exact",IF($CT586&gt;$CO586,"Upsized",IF($CT586&lt;$CO586,"Downsized",IF($CM586&lt;&gt;$CR586,"Lateral","Same Size Diff Variant")))))</f>
        <v/>
      </c>
      <c r="CW586">
        <f>IF($CQ586=0,"",AZ586-AQ586)</f>
        <v/>
      </c>
      <c r="CX586">
        <f>IF($CQ586=0,0,IF(CS586=CN586,1,0))</f>
        <v/>
      </c>
      <c r="CY586">
        <f>IF($CQ586=0,0,IF(CR586=CM586,1,0))</f>
        <v/>
      </c>
      <c r="CZ586">
        <f>IF($A586="","",IF(AND(IF(DASHBOARD!$C$4="All",TRUE,$CM586=DASHBOARD!$C$4),IF(DASHBOARD!$C$6="All",TRUE,$CP586=DASHBOARD!$C$6),IF(DASHBOARD!$C$8="All",TRUE,$AF586&gt;=DASHBOARD!$C$8),IF(DASHBOARD!$C$10="All",TRUE,$AF586&lt;=DASHBOARD!$C$10),IF(DASHBOARD!$C$12="All",TRUE,$AH586=VALUE(DASHBOARD!$C$12)),IF(DASHBOARD!$C$14="All",TRUE,$AJ586=DASHBOARD!$C$14)),1,0))</f>
        <v/>
      </c>
    </row>
    <row r="587">
      <c r="A587" t="n">
        <v>255665</v>
      </c>
      <c r="B587" t="inlineStr">
        <is>
          <t>Face Malai</t>
        </is>
      </c>
      <c r="H587" t="inlineStr">
        <is>
          <t>Flax Walnut (Cold) 35+ Face Malai, Cocoa Mogra (Overnight) Face Malai - 30g</t>
        </is>
      </c>
      <c r="N587" t="inlineStr">
        <is>
          <t>FC-CWDM-FW-030, FC-DM-NR-030</t>
        </is>
      </c>
      <c r="T587" t="inlineStr">
        <is>
          <t>Jan 14, 2024</t>
        </is>
      </c>
      <c r="AE587" t="inlineStr">
        <is>
          <t>Amritsar</t>
        </is>
      </c>
      <c r="AF587" t="inlineStr">
        <is>
          <t>2024-01</t>
        </is>
      </c>
      <c r="AG587" t="n">
        <v>1</v>
      </c>
      <c r="AH587" t="n">
        <v>1</v>
      </c>
      <c r="AI587" t="n">
        <v>0</v>
      </c>
      <c r="AJ587">
        <f>IF($AE587="","",IFERROR(VLOOKUP(TRIM($AE587),DECODE!$H$3:$I$60,2,FALSE),"Rest of India"))</f>
        <v/>
      </c>
      <c r="AK587">
        <f>IF($N587="","",UPPER(TRIM(LEFT($N587&amp;",",FIND(",",$N587&amp;",")-1))))</f>
        <v/>
      </c>
      <c r="AL587">
        <f>IF($AK587="","",MID($AK587,4,FIND("~",SUBSTITUTE($AK587,"-","~",2))-4))</f>
        <v/>
      </c>
      <c r="AM587">
        <f>IF($AK587="","",MID($AK587,FIND("~",SUBSTITUTE($AK587,"-","~",2))+1,FIND("~",SUBSTITUTE($AK587,"-","~",3))-FIND("~",SUBSTITUTE($AK587,"-","~",2))-1))</f>
        <v/>
      </c>
      <c r="AN587">
        <f>IF($AL587="","",IFERROR(VLOOKUP($AL587,DECODE!$A$3:$C$8,3,FALSE),"?"))</f>
        <v/>
      </c>
      <c r="AO587">
        <f>IF($AM587="","",IFERROR(VLOOKUP($AL587&amp;"-"&amp;$AM587,DECODE!$E$3:$F$21,2,FALSE),"?"))</f>
        <v/>
      </c>
      <c r="AP587">
        <f>IF($AK587="","",IFERROR(VALUE(RIGHT($AK587,3)),""))</f>
        <v/>
      </c>
      <c r="AQ587">
        <f>IF($T587="","",IFERROR(IF(ISNUMBER($T587),$T587,DATEVALUE(TRIM($T587))),""))</f>
        <v/>
      </c>
      <c r="AR587">
        <f>IF($AQ587="","",IF(MONTH($AQ587)&gt;=12,"Cold Winter",IF(MONTH($AQ587)&gt;=10,"Post-Monsoon",IF(MONTH($AQ587)&gt;=6,"Hot Humid",IF(MONTH($AQ587)&gt;=3,"Hot Dry","Cold Winter")))))</f>
        <v/>
      </c>
      <c r="AS587">
        <f>IF($AL587="","",IFERROR(VLOOKUP($AL587,DECODE!$A$3:$C$8,2,FALSE),"?"))</f>
        <v/>
      </c>
      <c r="AT587">
        <f>IF($O587="","",UPPER(TRIM(LEFT($O587&amp;",",FIND(",",$O587&amp;",")-1))))</f>
        <v/>
      </c>
      <c r="AU587">
        <f>IF($AT587="","",MID($AT587,4,FIND("~",SUBSTITUTE($AT587,"-","~",2))-4))</f>
        <v/>
      </c>
      <c r="AV587">
        <f>IF($AT587="","",MID($AT587,FIND("~",SUBSTITUTE($AT587,"-","~",2))+1,FIND("~",SUBSTITUTE($AT587,"-","~",3))-FIND("~",SUBSTITUTE($AT587,"-","~",2))-1))</f>
        <v/>
      </c>
      <c r="AW587">
        <f>IF($AU587="","",IFERROR(VLOOKUP($AU587,DECODE!$A$3:$C$8,3,FALSE),"?"))</f>
        <v/>
      </c>
      <c r="AX587">
        <f>IF($AV587="","",IFERROR(VLOOKUP($AU587&amp;"-"&amp;$AV587,DECODE!$E$3:$F$21,2,FALSE),"?"))</f>
        <v/>
      </c>
      <c r="AY587">
        <f>IF($AT587="","",IFERROR(VALUE(RIGHT($AT587,3)),""))</f>
        <v/>
      </c>
      <c r="AZ587">
        <f>IF($U587="","",IFERROR(IF(ISNUMBER($U587),$U587,DATEVALUE(TRIM($U587))),""))</f>
        <v/>
      </c>
      <c r="BA587">
        <f>IF($AZ587="","",IF(MONTH($AZ587)&gt;=12,"Cold Winter",IF(MONTH($AZ587)&gt;=10,"Post-Monsoon",IF(MONTH($AZ587)&gt;=6,"Hot Humid",IF(MONTH($AZ587)&gt;=3,"Hot Dry","Cold Winter")))))</f>
        <v/>
      </c>
      <c r="BB587">
        <f>IF($AU587="","",IFERROR(VLOOKUP($AU587,DECODE!$A$3:$C$8,2,FALSE),"?"))</f>
        <v/>
      </c>
      <c r="BC587">
        <f>IF($P587="","",UPPER(TRIM(LEFT($P587&amp;",",FIND(",",$P587&amp;",")-1))))</f>
        <v/>
      </c>
      <c r="BD587">
        <f>IF($BC587="","",MID($BC587,4,FIND("~",SUBSTITUTE($BC587,"-","~",2))-4))</f>
        <v/>
      </c>
      <c r="BE587">
        <f>IF($BC587="","",MID($BC587,FIND("~",SUBSTITUTE($BC587,"-","~",2))+1,FIND("~",SUBSTITUTE($BC587,"-","~",3))-FIND("~",SUBSTITUTE($BC587,"-","~",2))-1))</f>
        <v/>
      </c>
      <c r="BF587">
        <f>IF($BD587="","",IFERROR(VLOOKUP($BD587,DECODE!$A$3:$C$8,3,FALSE),"?"))</f>
        <v/>
      </c>
      <c r="BG587">
        <f>IF($BE587="","",IFERROR(VLOOKUP($BD587&amp;"-"&amp;$BE587,DECODE!$E$3:$F$21,2,FALSE),"?"))</f>
        <v/>
      </c>
      <c r="BH587">
        <f>IF($BC587="","",IFERROR(VALUE(RIGHT($BC587,3)),""))</f>
        <v/>
      </c>
      <c r="BI587">
        <f>IF($V587="","",IFERROR(IF(ISNUMBER($V587),$V587,DATEVALUE(TRIM($V587))),""))</f>
        <v/>
      </c>
      <c r="BJ587">
        <f>IF($BI587="","",IF(MONTH($BI587)&gt;=12,"Cold Winter",IF(MONTH($BI587)&gt;=10,"Post-Monsoon",IF(MONTH($BI587)&gt;=6,"Hot Humid",IF(MONTH($BI587)&gt;=3,"Hot Dry","Cold Winter")))))</f>
        <v/>
      </c>
      <c r="BK587">
        <f>IF($BD587="","",IFERROR(VLOOKUP($BD587,DECODE!$A$3:$C$8,2,FALSE),"?"))</f>
        <v/>
      </c>
      <c r="BL587">
        <f>IF($Q587="","",UPPER(TRIM(LEFT($Q587&amp;",",FIND(",",$Q587&amp;",")-1))))</f>
        <v/>
      </c>
      <c r="BM587">
        <f>IF($BL587="","",MID($BL587,4,FIND("~",SUBSTITUTE($BL587,"-","~",2))-4))</f>
        <v/>
      </c>
      <c r="BN587">
        <f>IF($BL587="","",MID($BL587,FIND("~",SUBSTITUTE($BL587,"-","~",2))+1,FIND("~",SUBSTITUTE($BL587,"-","~",3))-FIND("~",SUBSTITUTE($BL587,"-","~",2))-1))</f>
        <v/>
      </c>
      <c r="BO587">
        <f>IF($BM587="","",IFERROR(VLOOKUP($BM587,DECODE!$A$3:$C$8,3,FALSE),"?"))</f>
        <v/>
      </c>
      <c r="BP587">
        <f>IF($BN587="","",IFERROR(VLOOKUP($BM587&amp;"-"&amp;$BN587,DECODE!$E$3:$F$21,2,FALSE),"?"))</f>
        <v/>
      </c>
      <c r="BQ587">
        <f>IF($BL587="","",IFERROR(VALUE(RIGHT($BL587,3)),""))</f>
        <v/>
      </c>
      <c r="BR587">
        <f>IF($W587="","",IFERROR(IF(ISNUMBER($W587),$W587,DATEVALUE(TRIM($W587))),""))</f>
        <v/>
      </c>
      <c r="BS587">
        <f>IF($BR587="","",IF(MONTH($BR587)&gt;=12,"Cold Winter",IF(MONTH($BR587)&gt;=10,"Post-Monsoon",IF(MONTH($BR587)&gt;=6,"Hot Humid",IF(MONTH($BR587)&gt;=3,"Hot Dry","Cold Winter")))))</f>
        <v/>
      </c>
      <c r="BT587">
        <f>IF($BM587="","",IFERROR(VLOOKUP($BM587,DECODE!$A$3:$C$8,2,FALSE),"?"))</f>
        <v/>
      </c>
      <c r="BU587">
        <f>IF($R587="","",UPPER(TRIM(LEFT($R587&amp;",",FIND(",",$R587&amp;",")-1))))</f>
        <v/>
      </c>
      <c r="BV587">
        <f>IF($BU587="","",MID($BU587,4,FIND("~",SUBSTITUTE($BU587,"-","~",2))-4))</f>
        <v/>
      </c>
      <c r="BW587">
        <f>IF($BU587="","",MID($BU587,FIND("~",SUBSTITUTE($BU587,"-","~",2))+1,FIND("~",SUBSTITUTE($BU587,"-","~",3))-FIND("~",SUBSTITUTE($BU587,"-","~",2))-1))</f>
        <v/>
      </c>
      <c r="BX587">
        <f>IF($BV587="","",IFERROR(VLOOKUP($BV587,DECODE!$A$3:$C$8,3,FALSE),"?"))</f>
        <v/>
      </c>
      <c r="BY587">
        <f>IF($BW587="","",IFERROR(VLOOKUP($BV587&amp;"-"&amp;$BW587,DECODE!$E$3:$F$21,2,FALSE),"?"))</f>
        <v/>
      </c>
      <c r="BZ587">
        <f>IF($BU587="","",IFERROR(VALUE(RIGHT($BU587,3)),""))</f>
        <v/>
      </c>
      <c r="CA587">
        <f>IF($X587="","",IFERROR(IF(ISNUMBER($X587),$X587,DATEVALUE(TRIM($X587))),""))</f>
        <v/>
      </c>
      <c r="CB587">
        <f>IF($CA587="","",IF(MONTH($CA587)&gt;=12,"Cold Winter",IF(MONTH($CA587)&gt;=10,"Post-Monsoon",IF(MONTH($CA587)&gt;=6,"Hot Humid",IF(MONTH($CA587)&gt;=3,"Hot Dry","Cold Winter")))))</f>
        <v/>
      </c>
      <c r="CC587">
        <f>IF($BV587="","",IFERROR(VLOOKUP($BV587,DECODE!$A$3:$C$8,2,FALSE),"?"))</f>
        <v/>
      </c>
      <c r="CD587">
        <f>IF($S587="","",UPPER(TRIM(LEFT($S587&amp;",",FIND(",",$S587&amp;",")-1))))</f>
        <v/>
      </c>
      <c r="CE587">
        <f>IF($CD587="","",MID($CD587,4,FIND("~",SUBSTITUTE($CD587,"-","~",2))-4))</f>
        <v/>
      </c>
      <c r="CF587">
        <f>IF($CD587="","",MID($CD587,FIND("~",SUBSTITUTE($CD587,"-","~",2))+1,FIND("~",SUBSTITUTE($CD587,"-","~",3))-FIND("~",SUBSTITUTE($CD587,"-","~",2))-1))</f>
        <v/>
      </c>
      <c r="CG587">
        <f>IF($CE587="","",IFERROR(VLOOKUP($CE587,DECODE!$A$3:$C$8,3,FALSE),"?"))</f>
        <v/>
      </c>
      <c r="CH587">
        <f>IF($CF587="","",IFERROR(VLOOKUP($CE587&amp;"-"&amp;$CF587,DECODE!$E$3:$F$21,2,FALSE),"?"))</f>
        <v/>
      </c>
      <c r="CI587">
        <f>IF($CD587="","",IFERROR(VALUE(RIGHT($CD587,3)),""))</f>
        <v/>
      </c>
      <c r="CJ587">
        <f>IF($Y587="","",IFERROR(IF(ISNUMBER($Y587),$Y587,DATEVALUE(TRIM($Y587))),""))</f>
        <v/>
      </c>
      <c r="CK587">
        <f>IF($CJ587="","",IF(MONTH($CJ587)&gt;=12,"Cold Winter",IF(MONTH($CJ587)&gt;=10,"Post-Monsoon",IF(MONTH($CJ587)&gt;=6,"Hot Humid",IF(MONTH($CJ587)&gt;=3,"Hot Dry","Cold Winter")))))</f>
        <v/>
      </c>
      <c r="CL587">
        <f>IF($CE587="","",IFERROR(VLOOKUP($CE587,DECODE!$A$3:$C$8,2,FALSE),"?"))</f>
        <v/>
      </c>
      <c r="CM587">
        <f>IF($AN587="","",AN587)</f>
        <v/>
      </c>
      <c r="CN587">
        <f>IF($AO587="","",AO587)</f>
        <v/>
      </c>
      <c r="CO587">
        <f>IF($AP587="","",AP587)</f>
        <v/>
      </c>
      <c r="CP587">
        <f>IF($CM587="","",IF($CM587="Aloe Vera Gel","Aloe Vera Gel "&amp;$CO587&amp;"g",CN587&amp;" "&amp;$CO587&amp;"g"))</f>
        <v/>
      </c>
      <c r="CQ587">
        <f>IF($AT587="",0,1)</f>
        <v/>
      </c>
      <c r="CR587">
        <f>IF($CQ587=0,"",AW587)</f>
        <v/>
      </c>
      <c r="CS587">
        <f>IF($CQ587=0,"",AX587)</f>
        <v/>
      </c>
      <c r="CT587">
        <f>IF($CQ587=0,"",AY587)</f>
        <v/>
      </c>
      <c r="CU587">
        <f>IF($CR587="","",IF($CR587="Aloe Vera Gel","Aloe Vera Gel "&amp;$CT587&amp;"g",CS587&amp;" "&amp;$CT587&amp;"g"))</f>
        <v/>
      </c>
      <c r="CV587">
        <f>IF($CQ587=0,"",IF($CP587=$CU587,"Repeat Exact",IF($CT587&gt;$CO587,"Upsized",IF($CT587&lt;$CO587,"Downsized",IF($CM587&lt;&gt;$CR587,"Lateral","Same Size Diff Variant")))))</f>
        <v/>
      </c>
      <c r="CW587">
        <f>IF($CQ587=0,"",AZ587-AQ587)</f>
        <v/>
      </c>
      <c r="CX587">
        <f>IF($CQ587=0,0,IF(CS587=CN587,1,0))</f>
        <v/>
      </c>
      <c r="CY587">
        <f>IF($CQ587=0,0,IF(CR587=CM587,1,0))</f>
        <v/>
      </c>
      <c r="CZ587">
        <f>IF($A587="","",IF(AND(IF(DASHBOARD!$C$4="All",TRUE,$CM587=DASHBOARD!$C$4),IF(DASHBOARD!$C$6="All",TRUE,$CP587=DASHBOARD!$C$6),IF(DASHBOARD!$C$8="All",TRUE,$AF587&gt;=DASHBOARD!$C$8),IF(DASHBOARD!$C$10="All",TRUE,$AF587&lt;=DASHBOARD!$C$10),IF(DASHBOARD!$C$12="All",TRUE,$AH587=VALUE(DASHBOARD!$C$12)),IF(DASHBOARD!$C$14="All",TRUE,$AJ587=DASHBOARD!$C$14)),1,0))</f>
        <v/>
      </c>
    </row>
    <row r="588">
      <c r="A588" t="n">
        <v>255709</v>
      </c>
      <c r="B588" t="inlineStr">
        <is>
          <t>Aloe Vera Gel</t>
        </is>
      </c>
      <c r="H588" t="inlineStr">
        <is>
          <t>Aloe Vera Gel - 40 gms</t>
        </is>
      </c>
      <c r="N588" t="inlineStr">
        <is>
          <t>FC-HG-PA-040</t>
        </is>
      </c>
      <c r="T588" t="inlineStr">
        <is>
          <t>Aug 5, 2024</t>
        </is>
      </c>
      <c r="AE588" t="inlineStr">
        <is>
          <t>Moradabad</t>
        </is>
      </c>
      <c r="AF588" t="inlineStr">
        <is>
          <t>2024-08</t>
        </is>
      </c>
      <c r="AG588" t="n">
        <v>8</v>
      </c>
      <c r="AH588" t="n">
        <v>1</v>
      </c>
      <c r="AI588" t="n">
        <v>0</v>
      </c>
      <c r="AJ588">
        <f>IF($AE588="","",IFERROR(VLOOKUP(TRIM($AE588),DECODE!$H$3:$I$60,2,FALSE),"Rest of India"))</f>
        <v/>
      </c>
      <c r="AK588">
        <f>IF($N588="","",UPPER(TRIM(LEFT($N588&amp;",",FIND(",",$N588&amp;",")-1))))</f>
        <v/>
      </c>
      <c r="AL588">
        <f>IF($AK588="","",MID($AK588,4,FIND("~",SUBSTITUTE($AK588,"-","~",2))-4))</f>
        <v/>
      </c>
      <c r="AM588">
        <f>IF($AK588="","",MID($AK588,FIND("~",SUBSTITUTE($AK588,"-","~",2))+1,FIND("~",SUBSTITUTE($AK588,"-","~",3))-FIND("~",SUBSTITUTE($AK588,"-","~",2))-1))</f>
        <v/>
      </c>
      <c r="AN588">
        <f>IF($AL588="","",IFERROR(VLOOKUP($AL588,DECODE!$A$3:$C$8,3,FALSE),"?"))</f>
        <v/>
      </c>
      <c r="AO588">
        <f>IF($AM588="","",IFERROR(VLOOKUP($AL588&amp;"-"&amp;$AM588,DECODE!$E$3:$F$21,2,FALSE),"?"))</f>
        <v/>
      </c>
      <c r="AP588">
        <f>IF($AK588="","",IFERROR(VALUE(RIGHT($AK588,3)),""))</f>
        <v/>
      </c>
      <c r="AQ588">
        <f>IF($T588="","",IFERROR(IF(ISNUMBER($T588),$T588,DATEVALUE(TRIM($T588))),""))</f>
        <v/>
      </c>
      <c r="AR588">
        <f>IF($AQ588="","",IF(MONTH($AQ588)&gt;=12,"Cold Winter",IF(MONTH($AQ588)&gt;=10,"Post-Monsoon",IF(MONTH($AQ588)&gt;=6,"Hot Humid",IF(MONTH($AQ588)&gt;=3,"Hot Dry","Cold Winter")))))</f>
        <v/>
      </c>
      <c r="AS588">
        <f>IF($AL588="","",IFERROR(VLOOKUP($AL588,DECODE!$A$3:$C$8,2,FALSE),"?"))</f>
        <v/>
      </c>
      <c r="AT588">
        <f>IF($O588="","",UPPER(TRIM(LEFT($O588&amp;",",FIND(",",$O588&amp;",")-1))))</f>
        <v/>
      </c>
      <c r="AU588">
        <f>IF($AT588="","",MID($AT588,4,FIND("~",SUBSTITUTE($AT588,"-","~",2))-4))</f>
        <v/>
      </c>
      <c r="AV588">
        <f>IF($AT588="","",MID($AT588,FIND("~",SUBSTITUTE($AT588,"-","~",2))+1,FIND("~",SUBSTITUTE($AT588,"-","~",3))-FIND("~",SUBSTITUTE($AT588,"-","~",2))-1))</f>
        <v/>
      </c>
      <c r="AW588">
        <f>IF($AU588="","",IFERROR(VLOOKUP($AU588,DECODE!$A$3:$C$8,3,FALSE),"?"))</f>
        <v/>
      </c>
      <c r="AX588">
        <f>IF($AV588="","",IFERROR(VLOOKUP($AU588&amp;"-"&amp;$AV588,DECODE!$E$3:$F$21,2,FALSE),"?"))</f>
        <v/>
      </c>
      <c r="AY588">
        <f>IF($AT588="","",IFERROR(VALUE(RIGHT($AT588,3)),""))</f>
        <v/>
      </c>
      <c r="AZ588">
        <f>IF($U588="","",IFERROR(IF(ISNUMBER($U588),$U588,DATEVALUE(TRIM($U588))),""))</f>
        <v/>
      </c>
      <c r="BA588">
        <f>IF($AZ588="","",IF(MONTH($AZ588)&gt;=12,"Cold Winter",IF(MONTH($AZ588)&gt;=10,"Post-Monsoon",IF(MONTH($AZ588)&gt;=6,"Hot Humid",IF(MONTH($AZ588)&gt;=3,"Hot Dry","Cold Winter")))))</f>
        <v/>
      </c>
      <c r="BB588">
        <f>IF($AU588="","",IFERROR(VLOOKUP($AU588,DECODE!$A$3:$C$8,2,FALSE),"?"))</f>
        <v/>
      </c>
      <c r="BC588">
        <f>IF($P588="","",UPPER(TRIM(LEFT($P588&amp;",",FIND(",",$P588&amp;",")-1))))</f>
        <v/>
      </c>
      <c r="BD588">
        <f>IF($BC588="","",MID($BC588,4,FIND("~",SUBSTITUTE($BC588,"-","~",2))-4))</f>
        <v/>
      </c>
      <c r="BE588">
        <f>IF($BC588="","",MID($BC588,FIND("~",SUBSTITUTE($BC588,"-","~",2))+1,FIND("~",SUBSTITUTE($BC588,"-","~",3))-FIND("~",SUBSTITUTE($BC588,"-","~",2))-1))</f>
        <v/>
      </c>
      <c r="BF588">
        <f>IF($BD588="","",IFERROR(VLOOKUP($BD588,DECODE!$A$3:$C$8,3,FALSE),"?"))</f>
        <v/>
      </c>
      <c r="BG588">
        <f>IF($BE588="","",IFERROR(VLOOKUP($BD588&amp;"-"&amp;$BE588,DECODE!$E$3:$F$21,2,FALSE),"?"))</f>
        <v/>
      </c>
      <c r="BH588">
        <f>IF($BC588="","",IFERROR(VALUE(RIGHT($BC588,3)),""))</f>
        <v/>
      </c>
      <c r="BI588">
        <f>IF($V588="","",IFERROR(IF(ISNUMBER($V588),$V588,DATEVALUE(TRIM($V588))),""))</f>
        <v/>
      </c>
      <c r="BJ588">
        <f>IF($BI588="","",IF(MONTH($BI588)&gt;=12,"Cold Winter",IF(MONTH($BI588)&gt;=10,"Post-Monsoon",IF(MONTH($BI588)&gt;=6,"Hot Humid",IF(MONTH($BI588)&gt;=3,"Hot Dry","Cold Winter")))))</f>
        <v/>
      </c>
      <c r="BK588">
        <f>IF($BD588="","",IFERROR(VLOOKUP($BD588,DECODE!$A$3:$C$8,2,FALSE),"?"))</f>
        <v/>
      </c>
      <c r="BL588">
        <f>IF($Q588="","",UPPER(TRIM(LEFT($Q588&amp;",",FIND(",",$Q588&amp;",")-1))))</f>
        <v/>
      </c>
      <c r="BM588">
        <f>IF($BL588="","",MID($BL588,4,FIND("~",SUBSTITUTE($BL588,"-","~",2))-4))</f>
        <v/>
      </c>
      <c r="BN588">
        <f>IF($BL588="","",MID($BL588,FIND("~",SUBSTITUTE($BL588,"-","~",2))+1,FIND("~",SUBSTITUTE($BL588,"-","~",3))-FIND("~",SUBSTITUTE($BL588,"-","~",2))-1))</f>
        <v/>
      </c>
      <c r="BO588">
        <f>IF($BM588="","",IFERROR(VLOOKUP($BM588,DECODE!$A$3:$C$8,3,FALSE),"?"))</f>
        <v/>
      </c>
      <c r="BP588">
        <f>IF($BN588="","",IFERROR(VLOOKUP($BM588&amp;"-"&amp;$BN588,DECODE!$E$3:$F$21,2,FALSE),"?"))</f>
        <v/>
      </c>
      <c r="BQ588">
        <f>IF($BL588="","",IFERROR(VALUE(RIGHT($BL588,3)),""))</f>
        <v/>
      </c>
      <c r="BR588">
        <f>IF($W588="","",IFERROR(IF(ISNUMBER($W588),$W588,DATEVALUE(TRIM($W588))),""))</f>
        <v/>
      </c>
      <c r="BS588">
        <f>IF($BR588="","",IF(MONTH($BR588)&gt;=12,"Cold Winter",IF(MONTH($BR588)&gt;=10,"Post-Monsoon",IF(MONTH($BR588)&gt;=6,"Hot Humid",IF(MONTH($BR588)&gt;=3,"Hot Dry","Cold Winter")))))</f>
        <v/>
      </c>
      <c r="BT588">
        <f>IF($BM588="","",IFERROR(VLOOKUP($BM588,DECODE!$A$3:$C$8,2,FALSE),"?"))</f>
        <v/>
      </c>
      <c r="BU588">
        <f>IF($R588="","",UPPER(TRIM(LEFT($R588&amp;",",FIND(",",$R588&amp;",")-1))))</f>
        <v/>
      </c>
      <c r="BV588">
        <f>IF($BU588="","",MID($BU588,4,FIND("~",SUBSTITUTE($BU588,"-","~",2))-4))</f>
        <v/>
      </c>
      <c r="BW588">
        <f>IF($BU588="","",MID($BU588,FIND("~",SUBSTITUTE($BU588,"-","~",2))+1,FIND("~",SUBSTITUTE($BU588,"-","~",3))-FIND("~",SUBSTITUTE($BU588,"-","~",2))-1))</f>
        <v/>
      </c>
      <c r="BX588">
        <f>IF($BV588="","",IFERROR(VLOOKUP($BV588,DECODE!$A$3:$C$8,3,FALSE),"?"))</f>
        <v/>
      </c>
      <c r="BY588">
        <f>IF($BW588="","",IFERROR(VLOOKUP($BV588&amp;"-"&amp;$BW588,DECODE!$E$3:$F$21,2,FALSE),"?"))</f>
        <v/>
      </c>
      <c r="BZ588">
        <f>IF($BU588="","",IFERROR(VALUE(RIGHT($BU588,3)),""))</f>
        <v/>
      </c>
      <c r="CA588">
        <f>IF($X588="","",IFERROR(IF(ISNUMBER($X588),$X588,DATEVALUE(TRIM($X588))),""))</f>
        <v/>
      </c>
      <c r="CB588">
        <f>IF($CA588="","",IF(MONTH($CA588)&gt;=12,"Cold Winter",IF(MONTH($CA588)&gt;=10,"Post-Monsoon",IF(MONTH($CA588)&gt;=6,"Hot Humid",IF(MONTH($CA588)&gt;=3,"Hot Dry","Cold Winter")))))</f>
        <v/>
      </c>
      <c r="CC588">
        <f>IF($BV588="","",IFERROR(VLOOKUP($BV588,DECODE!$A$3:$C$8,2,FALSE),"?"))</f>
        <v/>
      </c>
      <c r="CD588">
        <f>IF($S588="","",UPPER(TRIM(LEFT($S588&amp;",",FIND(",",$S588&amp;",")-1))))</f>
        <v/>
      </c>
      <c r="CE588">
        <f>IF($CD588="","",MID($CD588,4,FIND("~",SUBSTITUTE($CD588,"-","~",2))-4))</f>
        <v/>
      </c>
      <c r="CF588">
        <f>IF($CD588="","",MID($CD588,FIND("~",SUBSTITUTE($CD588,"-","~",2))+1,FIND("~",SUBSTITUTE($CD588,"-","~",3))-FIND("~",SUBSTITUTE($CD588,"-","~",2))-1))</f>
        <v/>
      </c>
      <c r="CG588">
        <f>IF($CE588="","",IFERROR(VLOOKUP($CE588,DECODE!$A$3:$C$8,3,FALSE),"?"))</f>
        <v/>
      </c>
      <c r="CH588">
        <f>IF($CF588="","",IFERROR(VLOOKUP($CE588&amp;"-"&amp;$CF588,DECODE!$E$3:$F$21,2,FALSE),"?"))</f>
        <v/>
      </c>
      <c r="CI588">
        <f>IF($CD588="","",IFERROR(VALUE(RIGHT($CD588,3)),""))</f>
        <v/>
      </c>
      <c r="CJ588">
        <f>IF($Y588="","",IFERROR(IF(ISNUMBER($Y588),$Y588,DATEVALUE(TRIM($Y588))),""))</f>
        <v/>
      </c>
      <c r="CK588">
        <f>IF($CJ588="","",IF(MONTH($CJ588)&gt;=12,"Cold Winter",IF(MONTH($CJ588)&gt;=10,"Post-Monsoon",IF(MONTH($CJ588)&gt;=6,"Hot Humid",IF(MONTH($CJ588)&gt;=3,"Hot Dry","Cold Winter")))))</f>
        <v/>
      </c>
      <c r="CL588">
        <f>IF($CE588="","",IFERROR(VLOOKUP($CE588,DECODE!$A$3:$C$8,2,FALSE),"?"))</f>
        <v/>
      </c>
      <c r="CM588">
        <f>IF($AN588="","",AN588)</f>
        <v/>
      </c>
      <c r="CN588">
        <f>IF($AO588="","",AO588)</f>
        <v/>
      </c>
      <c r="CO588">
        <f>IF($AP588="","",AP588)</f>
        <v/>
      </c>
      <c r="CP588">
        <f>IF($CM588="","",IF($CM588="Aloe Vera Gel","Aloe Vera Gel "&amp;$CO588&amp;"g",CN588&amp;" "&amp;$CO588&amp;"g"))</f>
        <v/>
      </c>
      <c r="CQ588">
        <f>IF($AT588="",0,1)</f>
        <v/>
      </c>
      <c r="CR588">
        <f>IF($CQ588=0,"",AW588)</f>
        <v/>
      </c>
      <c r="CS588">
        <f>IF($CQ588=0,"",AX588)</f>
        <v/>
      </c>
      <c r="CT588">
        <f>IF($CQ588=0,"",AY588)</f>
        <v/>
      </c>
      <c r="CU588">
        <f>IF($CR588="","",IF($CR588="Aloe Vera Gel","Aloe Vera Gel "&amp;$CT588&amp;"g",CS588&amp;" "&amp;$CT588&amp;"g"))</f>
        <v/>
      </c>
      <c r="CV588">
        <f>IF($CQ588=0,"",IF($CP588=$CU588,"Repeat Exact",IF($CT588&gt;$CO588,"Upsized",IF($CT588&lt;$CO588,"Downsized",IF($CM588&lt;&gt;$CR588,"Lateral","Same Size Diff Variant")))))</f>
        <v/>
      </c>
      <c r="CW588">
        <f>IF($CQ588=0,"",AZ588-AQ588)</f>
        <v/>
      </c>
      <c r="CX588">
        <f>IF($CQ588=0,0,IF(CS588=CN588,1,0))</f>
        <v/>
      </c>
      <c r="CY588">
        <f>IF($CQ588=0,0,IF(CR588=CM588,1,0))</f>
        <v/>
      </c>
      <c r="CZ588">
        <f>IF($A588="","",IF(AND(IF(DASHBOARD!$C$4="All",TRUE,$CM588=DASHBOARD!$C$4),IF(DASHBOARD!$C$6="All",TRUE,$CP588=DASHBOARD!$C$6),IF(DASHBOARD!$C$8="All",TRUE,$AF588&gt;=DASHBOARD!$C$8),IF(DASHBOARD!$C$10="All",TRUE,$AF588&lt;=DASHBOARD!$C$10),IF(DASHBOARD!$C$12="All",TRUE,$AH588=VALUE(DASHBOARD!$C$12)),IF(DASHBOARD!$C$14="All",TRUE,$AJ588=DASHBOARD!$C$14)),1,0))</f>
        <v/>
      </c>
    </row>
    <row r="589">
      <c r="A589" t="n">
        <v>255952</v>
      </c>
      <c r="B589" t="inlineStr">
        <is>
          <t>Aloe Vera Gel</t>
        </is>
      </c>
      <c r="H589" t="inlineStr">
        <is>
          <t>Aloe Vera Gel - 80 gms</t>
        </is>
      </c>
      <c r="N589" t="inlineStr">
        <is>
          <t>FC-HG-PA-080</t>
        </is>
      </c>
      <c r="T589" t="inlineStr">
        <is>
          <t>Mar 17, 2025</t>
        </is>
      </c>
      <c r="AE589" t="inlineStr">
        <is>
          <t>Vadodara</t>
        </is>
      </c>
      <c r="AF589" t="inlineStr">
        <is>
          <t>2025-03</t>
        </is>
      </c>
      <c r="AG589" t="n">
        <v>3</v>
      </c>
      <c r="AH589" t="n">
        <v>1</v>
      </c>
      <c r="AI589" t="n">
        <v>0</v>
      </c>
      <c r="AJ589">
        <f>IF($AE589="","",IFERROR(VLOOKUP(TRIM($AE589),DECODE!$H$3:$I$60,2,FALSE),"Rest of India"))</f>
        <v/>
      </c>
      <c r="AK589">
        <f>IF($N589="","",UPPER(TRIM(LEFT($N589&amp;",",FIND(",",$N589&amp;",")-1))))</f>
        <v/>
      </c>
      <c r="AL589">
        <f>IF($AK589="","",MID($AK589,4,FIND("~",SUBSTITUTE($AK589,"-","~",2))-4))</f>
        <v/>
      </c>
      <c r="AM589">
        <f>IF($AK589="","",MID($AK589,FIND("~",SUBSTITUTE($AK589,"-","~",2))+1,FIND("~",SUBSTITUTE($AK589,"-","~",3))-FIND("~",SUBSTITUTE($AK589,"-","~",2))-1))</f>
        <v/>
      </c>
      <c r="AN589">
        <f>IF($AL589="","",IFERROR(VLOOKUP($AL589,DECODE!$A$3:$C$8,3,FALSE),"?"))</f>
        <v/>
      </c>
      <c r="AO589">
        <f>IF($AM589="","",IFERROR(VLOOKUP($AL589&amp;"-"&amp;$AM589,DECODE!$E$3:$F$21,2,FALSE),"?"))</f>
        <v/>
      </c>
      <c r="AP589">
        <f>IF($AK589="","",IFERROR(VALUE(RIGHT($AK589,3)),""))</f>
        <v/>
      </c>
      <c r="AQ589">
        <f>IF($T589="","",IFERROR(IF(ISNUMBER($T589),$T589,DATEVALUE(TRIM($T589))),""))</f>
        <v/>
      </c>
      <c r="AR589">
        <f>IF($AQ589="","",IF(MONTH($AQ589)&gt;=12,"Cold Winter",IF(MONTH($AQ589)&gt;=10,"Post-Monsoon",IF(MONTH($AQ589)&gt;=6,"Hot Humid",IF(MONTH($AQ589)&gt;=3,"Hot Dry","Cold Winter")))))</f>
        <v/>
      </c>
      <c r="AS589">
        <f>IF($AL589="","",IFERROR(VLOOKUP($AL589,DECODE!$A$3:$C$8,2,FALSE),"?"))</f>
        <v/>
      </c>
      <c r="AT589">
        <f>IF($O589="","",UPPER(TRIM(LEFT($O589&amp;",",FIND(",",$O589&amp;",")-1))))</f>
        <v/>
      </c>
      <c r="AU589">
        <f>IF($AT589="","",MID($AT589,4,FIND("~",SUBSTITUTE($AT589,"-","~",2))-4))</f>
        <v/>
      </c>
      <c r="AV589">
        <f>IF($AT589="","",MID($AT589,FIND("~",SUBSTITUTE($AT589,"-","~",2))+1,FIND("~",SUBSTITUTE($AT589,"-","~",3))-FIND("~",SUBSTITUTE($AT589,"-","~",2))-1))</f>
        <v/>
      </c>
      <c r="AW589">
        <f>IF($AU589="","",IFERROR(VLOOKUP($AU589,DECODE!$A$3:$C$8,3,FALSE),"?"))</f>
        <v/>
      </c>
      <c r="AX589">
        <f>IF($AV589="","",IFERROR(VLOOKUP($AU589&amp;"-"&amp;$AV589,DECODE!$E$3:$F$21,2,FALSE),"?"))</f>
        <v/>
      </c>
      <c r="AY589">
        <f>IF($AT589="","",IFERROR(VALUE(RIGHT($AT589,3)),""))</f>
        <v/>
      </c>
      <c r="AZ589">
        <f>IF($U589="","",IFERROR(IF(ISNUMBER($U589),$U589,DATEVALUE(TRIM($U589))),""))</f>
        <v/>
      </c>
      <c r="BA589">
        <f>IF($AZ589="","",IF(MONTH($AZ589)&gt;=12,"Cold Winter",IF(MONTH($AZ589)&gt;=10,"Post-Monsoon",IF(MONTH($AZ589)&gt;=6,"Hot Humid",IF(MONTH($AZ589)&gt;=3,"Hot Dry","Cold Winter")))))</f>
        <v/>
      </c>
      <c r="BB589">
        <f>IF($AU589="","",IFERROR(VLOOKUP($AU589,DECODE!$A$3:$C$8,2,FALSE),"?"))</f>
        <v/>
      </c>
      <c r="BC589">
        <f>IF($P589="","",UPPER(TRIM(LEFT($P589&amp;",",FIND(",",$P589&amp;",")-1))))</f>
        <v/>
      </c>
      <c r="BD589">
        <f>IF($BC589="","",MID($BC589,4,FIND("~",SUBSTITUTE($BC589,"-","~",2))-4))</f>
        <v/>
      </c>
      <c r="BE589">
        <f>IF($BC589="","",MID($BC589,FIND("~",SUBSTITUTE($BC589,"-","~",2))+1,FIND("~",SUBSTITUTE($BC589,"-","~",3))-FIND("~",SUBSTITUTE($BC589,"-","~",2))-1))</f>
        <v/>
      </c>
      <c r="BF589">
        <f>IF($BD589="","",IFERROR(VLOOKUP($BD589,DECODE!$A$3:$C$8,3,FALSE),"?"))</f>
        <v/>
      </c>
      <c r="BG589">
        <f>IF($BE589="","",IFERROR(VLOOKUP($BD589&amp;"-"&amp;$BE589,DECODE!$E$3:$F$21,2,FALSE),"?"))</f>
        <v/>
      </c>
      <c r="BH589">
        <f>IF($BC589="","",IFERROR(VALUE(RIGHT($BC589,3)),""))</f>
        <v/>
      </c>
      <c r="BI589">
        <f>IF($V589="","",IFERROR(IF(ISNUMBER($V589),$V589,DATEVALUE(TRIM($V589))),""))</f>
        <v/>
      </c>
      <c r="BJ589">
        <f>IF($BI589="","",IF(MONTH($BI589)&gt;=12,"Cold Winter",IF(MONTH($BI589)&gt;=10,"Post-Monsoon",IF(MONTH($BI589)&gt;=6,"Hot Humid",IF(MONTH($BI589)&gt;=3,"Hot Dry","Cold Winter")))))</f>
        <v/>
      </c>
      <c r="BK589">
        <f>IF($BD589="","",IFERROR(VLOOKUP($BD589,DECODE!$A$3:$C$8,2,FALSE),"?"))</f>
        <v/>
      </c>
      <c r="BL589">
        <f>IF($Q589="","",UPPER(TRIM(LEFT($Q589&amp;",",FIND(",",$Q589&amp;",")-1))))</f>
        <v/>
      </c>
      <c r="BM589">
        <f>IF($BL589="","",MID($BL589,4,FIND("~",SUBSTITUTE($BL589,"-","~",2))-4))</f>
        <v/>
      </c>
      <c r="BN589">
        <f>IF($BL589="","",MID($BL589,FIND("~",SUBSTITUTE($BL589,"-","~",2))+1,FIND("~",SUBSTITUTE($BL589,"-","~",3))-FIND("~",SUBSTITUTE($BL589,"-","~",2))-1))</f>
        <v/>
      </c>
      <c r="BO589">
        <f>IF($BM589="","",IFERROR(VLOOKUP($BM589,DECODE!$A$3:$C$8,3,FALSE),"?"))</f>
        <v/>
      </c>
      <c r="BP589">
        <f>IF($BN589="","",IFERROR(VLOOKUP($BM589&amp;"-"&amp;$BN589,DECODE!$E$3:$F$21,2,FALSE),"?"))</f>
        <v/>
      </c>
      <c r="BQ589">
        <f>IF($BL589="","",IFERROR(VALUE(RIGHT($BL589,3)),""))</f>
        <v/>
      </c>
      <c r="BR589">
        <f>IF($W589="","",IFERROR(IF(ISNUMBER($W589),$W589,DATEVALUE(TRIM($W589))),""))</f>
        <v/>
      </c>
      <c r="BS589">
        <f>IF($BR589="","",IF(MONTH($BR589)&gt;=12,"Cold Winter",IF(MONTH($BR589)&gt;=10,"Post-Monsoon",IF(MONTH($BR589)&gt;=6,"Hot Humid",IF(MONTH($BR589)&gt;=3,"Hot Dry","Cold Winter")))))</f>
        <v/>
      </c>
      <c r="BT589">
        <f>IF($BM589="","",IFERROR(VLOOKUP($BM589,DECODE!$A$3:$C$8,2,FALSE),"?"))</f>
        <v/>
      </c>
      <c r="BU589">
        <f>IF($R589="","",UPPER(TRIM(LEFT($R589&amp;",",FIND(",",$R589&amp;",")-1))))</f>
        <v/>
      </c>
      <c r="BV589">
        <f>IF($BU589="","",MID($BU589,4,FIND("~",SUBSTITUTE($BU589,"-","~",2))-4))</f>
        <v/>
      </c>
      <c r="BW589">
        <f>IF($BU589="","",MID($BU589,FIND("~",SUBSTITUTE($BU589,"-","~",2))+1,FIND("~",SUBSTITUTE($BU589,"-","~",3))-FIND("~",SUBSTITUTE($BU589,"-","~",2))-1))</f>
        <v/>
      </c>
      <c r="BX589">
        <f>IF($BV589="","",IFERROR(VLOOKUP($BV589,DECODE!$A$3:$C$8,3,FALSE),"?"))</f>
        <v/>
      </c>
      <c r="BY589">
        <f>IF($BW589="","",IFERROR(VLOOKUP($BV589&amp;"-"&amp;$BW589,DECODE!$E$3:$F$21,2,FALSE),"?"))</f>
        <v/>
      </c>
      <c r="BZ589">
        <f>IF($BU589="","",IFERROR(VALUE(RIGHT($BU589,3)),""))</f>
        <v/>
      </c>
      <c r="CA589">
        <f>IF($X589="","",IFERROR(IF(ISNUMBER($X589),$X589,DATEVALUE(TRIM($X589))),""))</f>
        <v/>
      </c>
      <c r="CB589">
        <f>IF($CA589="","",IF(MONTH($CA589)&gt;=12,"Cold Winter",IF(MONTH($CA589)&gt;=10,"Post-Monsoon",IF(MONTH($CA589)&gt;=6,"Hot Humid",IF(MONTH($CA589)&gt;=3,"Hot Dry","Cold Winter")))))</f>
        <v/>
      </c>
      <c r="CC589">
        <f>IF($BV589="","",IFERROR(VLOOKUP($BV589,DECODE!$A$3:$C$8,2,FALSE),"?"))</f>
        <v/>
      </c>
      <c r="CD589">
        <f>IF($S589="","",UPPER(TRIM(LEFT($S589&amp;",",FIND(",",$S589&amp;",")-1))))</f>
        <v/>
      </c>
      <c r="CE589">
        <f>IF($CD589="","",MID($CD589,4,FIND("~",SUBSTITUTE($CD589,"-","~",2))-4))</f>
        <v/>
      </c>
      <c r="CF589">
        <f>IF($CD589="","",MID($CD589,FIND("~",SUBSTITUTE($CD589,"-","~",2))+1,FIND("~",SUBSTITUTE($CD589,"-","~",3))-FIND("~",SUBSTITUTE($CD589,"-","~",2))-1))</f>
        <v/>
      </c>
      <c r="CG589">
        <f>IF($CE589="","",IFERROR(VLOOKUP($CE589,DECODE!$A$3:$C$8,3,FALSE),"?"))</f>
        <v/>
      </c>
      <c r="CH589">
        <f>IF($CF589="","",IFERROR(VLOOKUP($CE589&amp;"-"&amp;$CF589,DECODE!$E$3:$F$21,2,FALSE),"?"))</f>
        <v/>
      </c>
      <c r="CI589">
        <f>IF($CD589="","",IFERROR(VALUE(RIGHT($CD589,3)),""))</f>
        <v/>
      </c>
      <c r="CJ589">
        <f>IF($Y589="","",IFERROR(IF(ISNUMBER($Y589),$Y589,DATEVALUE(TRIM($Y589))),""))</f>
        <v/>
      </c>
      <c r="CK589">
        <f>IF($CJ589="","",IF(MONTH($CJ589)&gt;=12,"Cold Winter",IF(MONTH($CJ589)&gt;=10,"Post-Monsoon",IF(MONTH($CJ589)&gt;=6,"Hot Humid",IF(MONTH($CJ589)&gt;=3,"Hot Dry","Cold Winter")))))</f>
        <v/>
      </c>
      <c r="CL589">
        <f>IF($CE589="","",IFERROR(VLOOKUP($CE589,DECODE!$A$3:$C$8,2,FALSE),"?"))</f>
        <v/>
      </c>
      <c r="CM589">
        <f>IF($AN589="","",AN589)</f>
        <v/>
      </c>
      <c r="CN589">
        <f>IF($AO589="","",AO589)</f>
        <v/>
      </c>
      <c r="CO589">
        <f>IF($AP589="","",AP589)</f>
        <v/>
      </c>
      <c r="CP589">
        <f>IF($CM589="","",IF($CM589="Aloe Vera Gel","Aloe Vera Gel "&amp;$CO589&amp;"g",CN589&amp;" "&amp;$CO589&amp;"g"))</f>
        <v/>
      </c>
      <c r="CQ589">
        <f>IF($AT589="",0,1)</f>
        <v/>
      </c>
      <c r="CR589">
        <f>IF($CQ589=0,"",AW589)</f>
        <v/>
      </c>
      <c r="CS589">
        <f>IF($CQ589=0,"",AX589)</f>
        <v/>
      </c>
      <c r="CT589">
        <f>IF($CQ589=0,"",AY589)</f>
        <v/>
      </c>
      <c r="CU589">
        <f>IF($CR589="","",IF($CR589="Aloe Vera Gel","Aloe Vera Gel "&amp;$CT589&amp;"g",CS589&amp;" "&amp;$CT589&amp;"g"))</f>
        <v/>
      </c>
      <c r="CV589">
        <f>IF($CQ589=0,"",IF($CP589=$CU589,"Repeat Exact",IF($CT589&gt;$CO589,"Upsized",IF($CT589&lt;$CO589,"Downsized",IF($CM589&lt;&gt;$CR589,"Lateral","Same Size Diff Variant")))))</f>
        <v/>
      </c>
      <c r="CW589">
        <f>IF($CQ589=0,"",AZ589-AQ589)</f>
        <v/>
      </c>
      <c r="CX589">
        <f>IF($CQ589=0,0,IF(CS589=CN589,1,0))</f>
        <v/>
      </c>
      <c r="CY589">
        <f>IF($CQ589=0,0,IF(CR589=CM589,1,0))</f>
        <v/>
      </c>
      <c r="CZ589">
        <f>IF($A589="","",IF(AND(IF(DASHBOARD!$C$4="All",TRUE,$CM589=DASHBOARD!$C$4),IF(DASHBOARD!$C$6="All",TRUE,$CP589=DASHBOARD!$C$6),IF(DASHBOARD!$C$8="All",TRUE,$AF589&gt;=DASHBOARD!$C$8),IF(DASHBOARD!$C$10="All",TRUE,$AF589&lt;=DASHBOARD!$C$10),IF(DASHBOARD!$C$12="All",TRUE,$AH589=VALUE(DASHBOARD!$C$12)),IF(DASHBOARD!$C$14="All",TRUE,$AJ589=DASHBOARD!$C$14)),1,0))</f>
        <v/>
      </c>
    </row>
    <row r="590">
      <c r="A590" t="n">
        <v>256172</v>
      </c>
      <c r="B590" t="inlineStr">
        <is>
          <t>Face Malai</t>
        </is>
      </c>
      <c r="H590" t="inlineStr">
        <is>
          <t>Flax Walnut (Cold) 35+ Face Malai, Cocoa Mogra (Overnight) Face Malai - 30g</t>
        </is>
      </c>
      <c r="N590" t="inlineStr">
        <is>
          <t>FC-CWDM-FW-030, FC-DM-NR-030</t>
        </is>
      </c>
      <c r="T590" t="inlineStr">
        <is>
          <t>Dec 9, 2025</t>
        </is>
      </c>
      <c r="AE590" t="inlineStr">
        <is>
          <t>Indore</t>
        </is>
      </c>
      <c r="AF590" t="inlineStr">
        <is>
          <t>2025-12</t>
        </is>
      </c>
      <c r="AG590" t="n">
        <v>12</v>
      </c>
      <c r="AH590" t="n">
        <v>1</v>
      </c>
      <c r="AI590" t="n">
        <v>0</v>
      </c>
      <c r="AJ590">
        <f>IF($AE590="","",IFERROR(VLOOKUP(TRIM($AE590),DECODE!$H$3:$I$60,2,FALSE),"Rest of India"))</f>
        <v/>
      </c>
      <c r="AK590">
        <f>IF($N590="","",UPPER(TRIM(LEFT($N590&amp;",",FIND(",",$N590&amp;",")-1))))</f>
        <v/>
      </c>
      <c r="AL590">
        <f>IF($AK590="","",MID($AK590,4,FIND("~",SUBSTITUTE($AK590,"-","~",2))-4))</f>
        <v/>
      </c>
      <c r="AM590">
        <f>IF($AK590="","",MID($AK590,FIND("~",SUBSTITUTE($AK590,"-","~",2))+1,FIND("~",SUBSTITUTE($AK590,"-","~",3))-FIND("~",SUBSTITUTE($AK590,"-","~",2))-1))</f>
        <v/>
      </c>
      <c r="AN590">
        <f>IF($AL590="","",IFERROR(VLOOKUP($AL590,DECODE!$A$3:$C$8,3,FALSE),"?"))</f>
        <v/>
      </c>
      <c r="AO590">
        <f>IF($AM590="","",IFERROR(VLOOKUP($AL590&amp;"-"&amp;$AM590,DECODE!$E$3:$F$21,2,FALSE),"?"))</f>
        <v/>
      </c>
      <c r="AP590">
        <f>IF($AK590="","",IFERROR(VALUE(RIGHT($AK590,3)),""))</f>
        <v/>
      </c>
      <c r="AQ590">
        <f>IF($T590="","",IFERROR(IF(ISNUMBER($T590),$T590,DATEVALUE(TRIM($T590))),""))</f>
        <v/>
      </c>
      <c r="AR590">
        <f>IF($AQ590="","",IF(MONTH($AQ590)&gt;=12,"Cold Winter",IF(MONTH($AQ590)&gt;=10,"Post-Monsoon",IF(MONTH($AQ590)&gt;=6,"Hot Humid",IF(MONTH($AQ590)&gt;=3,"Hot Dry","Cold Winter")))))</f>
        <v/>
      </c>
      <c r="AS590">
        <f>IF($AL590="","",IFERROR(VLOOKUP($AL590,DECODE!$A$3:$C$8,2,FALSE),"?"))</f>
        <v/>
      </c>
      <c r="AT590">
        <f>IF($O590="","",UPPER(TRIM(LEFT($O590&amp;",",FIND(",",$O590&amp;",")-1))))</f>
        <v/>
      </c>
      <c r="AU590">
        <f>IF($AT590="","",MID($AT590,4,FIND("~",SUBSTITUTE($AT590,"-","~",2))-4))</f>
        <v/>
      </c>
      <c r="AV590">
        <f>IF($AT590="","",MID($AT590,FIND("~",SUBSTITUTE($AT590,"-","~",2))+1,FIND("~",SUBSTITUTE($AT590,"-","~",3))-FIND("~",SUBSTITUTE($AT590,"-","~",2))-1))</f>
        <v/>
      </c>
      <c r="AW590">
        <f>IF($AU590="","",IFERROR(VLOOKUP($AU590,DECODE!$A$3:$C$8,3,FALSE),"?"))</f>
        <v/>
      </c>
      <c r="AX590">
        <f>IF($AV590="","",IFERROR(VLOOKUP($AU590&amp;"-"&amp;$AV590,DECODE!$E$3:$F$21,2,FALSE),"?"))</f>
        <v/>
      </c>
      <c r="AY590">
        <f>IF($AT590="","",IFERROR(VALUE(RIGHT($AT590,3)),""))</f>
        <v/>
      </c>
      <c r="AZ590">
        <f>IF($U590="","",IFERROR(IF(ISNUMBER($U590),$U590,DATEVALUE(TRIM($U590))),""))</f>
        <v/>
      </c>
      <c r="BA590">
        <f>IF($AZ590="","",IF(MONTH($AZ590)&gt;=12,"Cold Winter",IF(MONTH($AZ590)&gt;=10,"Post-Monsoon",IF(MONTH($AZ590)&gt;=6,"Hot Humid",IF(MONTH($AZ590)&gt;=3,"Hot Dry","Cold Winter")))))</f>
        <v/>
      </c>
      <c r="BB590">
        <f>IF($AU590="","",IFERROR(VLOOKUP($AU590,DECODE!$A$3:$C$8,2,FALSE),"?"))</f>
        <v/>
      </c>
      <c r="BC590">
        <f>IF($P590="","",UPPER(TRIM(LEFT($P590&amp;",",FIND(",",$P590&amp;",")-1))))</f>
        <v/>
      </c>
      <c r="BD590">
        <f>IF($BC590="","",MID($BC590,4,FIND("~",SUBSTITUTE($BC590,"-","~",2))-4))</f>
        <v/>
      </c>
      <c r="BE590">
        <f>IF($BC590="","",MID($BC590,FIND("~",SUBSTITUTE($BC590,"-","~",2))+1,FIND("~",SUBSTITUTE($BC590,"-","~",3))-FIND("~",SUBSTITUTE($BC590,"-","~",2))-1))</f>
        <v/>
      </c>
      <c r="BF590">
        <f>IF($BD590="","",IFERROR(VLOOKUP($BD590,DECODE!$A$3:$C$8,3,FALSE),"?"))</f>
        <v/>
      </c>
      <c r="BG590">
        <f>IF($BE590="","",IFERROR(VLOOKUP($BD590&amp;"-"&amp;$BE590,DECODE!$E$3:$F$21,2,FALSE),"?"))</f>
        <v/>
      </c>
      <c r="BH590">
        <f>IF($BC590="","",IFERROR(VALUE(RIGHT($BC590,3)),""))</f>
        <v/>
      </c>
      <c r="BI590">
        <f>IF($V590="","",IFERROR(IF(ISNUMBER($V590),$V590,DATEVALUE(TRIM($V590))),""))</f>
        <v/>
      </c>
      <c r="BJ590">
        <f>IF($BI590="","",IF(MONTH($BI590)&gt;=12,"Cold Winter",IF(MONTH($BI590)&gt;=10,"Post-Monsoon",IF(MONTH($BI590)&gt;=6,"Hot Humid",IF(MONTH($BI590)&gt;=3,"Hot Dry","Cold Winter")))))</f>
        <v/>
      </c>
      <c r="BK590">
        <f>IF($BD590="","",IFERROR(VLOOKUP($BD590,DECODE!$A$3:$C$8,2,FALSE),"?"))</f>
        <v/>
      </c>
      <c r="BL590">
        <f>IF($Q590="","",UPPER(TRIM(LEFT($Q590&amp;",",FIND(",",$Q590&amp;",")-1))))</f>
        <v/>
      </c>
      <c r="BM590">
        <f>IF($BL590="","",MID($BL590,4,FIND("~",SUBSTITUTE($BL590,"-","~",2))-4))</f>
        <v/>
      </c>
      <c r="BN590">
        <f>IF($BL590="","",MID($BL590,FIND("~",SUBSTITUTE($BL590,"-","~",2))+1,FIND("~",SUBSTITUTE($BL590,"-","~",3))-FIND("~",SUBSTITUTE($BL590,"-","~",2))-1))</f>
        <v/>
      </c>
      <c r="BO590">
        <f>IF($BM590="","",IFERROR(VLOOKUP($BM590,DECODE!$A$3:$C$8,3,FALSE),"?"))</f>
        <v/>
      </c>
      <c r="BP590">
        <f>IF($BN590="","",IFERROR(VLOOKUP($BM590&amp;"-"&amp;$BN590,DECODE!$E$3:$F$21,2,FALSE),"?"))</f>
        <v/>
      </c>
      <c r="BQ590">
        <f>IF($BL590="","",IFERROR(VALUE(RIGHT($BL590,3)),""))</f>
        <v/>
      </c>
      <c r="BR590">
        <f>IF($W590="","",IFERROR(IF(ISNUMBER($W590),$W590,DATEVALUE(TRIM($W590))),""))</f>
        <v/>
      </c>
      <c r="BS590">
        <f>IF($BR590="","",IF(MONTH($BR590)&gt;=12,"Cold Winter",IF(MONTH($BR590)&gt;=10,"Post-Monsoon",IF(MONTH($BR590)&gt;=6,"Hot Humid",IF(MONTH($BR590)&gt;=3,"Hot Dry","Cold Winter")))))</f>
        <v/>
      </c>
      <c r="BT590">
        <f>IF($BM590="","",IFERROR(VLOOKUP($BM590,DECODE!$A$3:$C$8,2,FALSE),"?"))</f>
        <v/>
      </c>
      <c r="BU590">
        <f>IF($R590="","",UPPER(TRIM(LEFT($R590&amp;",",FIND(",",$R590&amp;",")-1))))</f>
        <v/>
      </c>
      <c r="BV590">
        <f>IF($BU590="","",MID($BU590,4,FIND("~",SUBSTITUTE($BU590,"-","~",2))-4))</f>
        <v/>
      </c>
      <c r="BW590">
        <f>IF($BU590="","",MID($BU590,FIND("~",SUBSTITUTE($BU590,"-","~",2))+1,FIND("~",SUBSTITUTE($BU590,"-","~",3))-FIND("~",SUBSTITUTE($BU590,"-","~",2))-1))</f>
        <v/>
      </c>
      <c r="BX590">
        <f>IF($BV590="","",IFERROR(VLOOKUP($BV590,DECODE!$A$3:$C$8,3,FALSE),"?"))</f>
        <v/>
      </c>
      <c r="BY590">
        <f>IF($BW590="","",IFERROR(VLOOKUP($BV590&amp;"-"&amp;$BW590,DECODE!$E$3:$F$21,2,FALSE),"?"))</f>
        <v/>
      </c>
      <c r="BZ590">
        <f>IF($BU590="","",IFERROR(VALUE(RIGHT($BU590,3)),""))</f>
        <v/>
      </c>
      <c r="CA590">
        <f>IF($X590="","",IFERROR(IF(ISNUMBER($X590),$X590,DATEVALUE(TRIM($X590))),""))</f>
        <v/>
      </c>
      <c r="CB590">
        <f>IF($CA590="","",IF(MONTH($CA590)&gt;=12,"Cold Winter",IF(MONTH($CA590)&gt;=10,"Post-Monsoon",IF(MONTH($CA590)&gt;=6,"Hot Humid",IF(MONTH($CA590)&gt;=3,"Hot Dry","Cold Winter")))))</f>
        <v/>
      </c>
      <c r="CC590">
        <f>IF($BV590="","",IFERROR(VLOOKUP($BV590,DECODE!$A$3:$C$8,2,FALSE),"?"))</f>
        <v/>
      </c>
      <c r="CD590">
        <f>IF($S590="","",UPPER(TRIM(LEFT($S590&amp;",",FIND(",",$S590&amp;",")-1))))</f>
        <v/>
      </c>
      <c r="CE590">
        <f>IF($CD590="","",MID($CD590,4,FIND("~",SUBSTITUTE($CD590,"-","~",2))-4))</f>
        <v/>
      </c>
      <c r="CF590">
        <f>IF($CD590="","",MID($CD590,FIND("~",SUBSTITUTE($CD590,"-","~",2))+1,FIND("~",SUBSTITUTE($CD590,"-","~",3))-FIND("~",SUBSTITUTE($CD590,"-","~",2))-1))</f>
        <v/>
      </c>
      <c r="CG590">
        <f>IF($CE590="","",IFERROR(VLOOKUP($CE590,DECODE!$A$3:$C$8,3,FALSE),"?"))</f>
        <v/>
      </c>
      <c r="CH590">
        <f>IF($CF590="","",IFERROR(VLOOKUP($CE590&amp;"-"&amp;$CF590,DECODE!$E$3:$F$21,2,FALSE),"?"))</f>
        <v/>
      </c>
      <c r="CI590">
        <f>IF($CD590="","",IFERROR(VALUE(RIGHT($CD590,3)),""))</f>
        <v/>
      </c>
      <c r="CJ590">
        <f>IF($Y590="","",IFERROR(IF(ISNUMBER($Y590),$Y590,DATEVALUE(TRIM($Y590))),""))</f>
        <v/>
      </c>
      <c r="CK590">
        <f>IF($CJ590="","",IF(MONTH($CJ590)&gt;=12,"Cold Winter",IF(MONTH($CJ590)&gt;=10,"Post-Monsoon",IF(MONTH($CJ590)&gt;=6,"Hot Humid",IF(MONTH($CJ590)&gt;=3,"Hot Dry","Cold Winter")))))</f>
        <v/>
      </c>
      <c r="CL590">
        <f>IF($CE590="","",IFERROR(VLOOKUP($CE590,DECODE!$A$3:$C$8,2,FALSE),"?"))</f>
        <v/>
      </c>
      <c r="CM590">
        <f>IF($AN590="","",AN590)</f>
        <v/>
      </c>
      <c r="CN590">
        <f>IF($AO590="","",AO590)</f>
        <v/>
      </c>
      <c r="CO590">
        <f>IF($AP590="","",AP590)</f>
        <v/>
      </c>
      <c r="CP590">
        <f>IF($CM590="","",IF($CM590="Aloe Vera Gel","Aloe Vera Gel "&amp;$CO590&amp;"g",CN590&amp;" "&amp;$CO590&amp;"g"))</f>
        <v/>
      </c>
      <c r="CQ590">
        <f>IF($AT590="",0,1)</f>
        <v/>
      </c>
      <c r="CR590">
        <f>IF($CQ590=0,"",AW590)</f>
        <v/>
      </c>
      <c r="CS590">
        <f>IF($CQ590=0,"",AX590)</f>
        <v/>
      </c>
      <c r="CT590">
        <f>IF($CQ590=0,"",AY590)</f>
        <v/>
      </c>
      <c r="CU590">
        <f>IF($CR590="","",IF($CR590="Aloe Vera Gel","Aloe Vera Gel "&amp;$CT590&amp;"g",CS590&amp;" "&amp;$CT590&amp;"g"))</f>
        <v/>
      </c>
      <c r="CV590">
        <f>IF($CQ590=0,"",IF($CP590=$CU590,"Repeat Exact",IF($CT590&gt;$CO590,"Upsized",IF($CT590&lt;$CO590,"Downsized",IF($CM590&lt;&gt;$CR590,"Lateral","Same Size Diff Variant")))))</f>
        <v/>
      </c>
      <c r="CW590">
        <f>IF($CQ590=0,"",AZ590-AQ590)</f>
        <v/>
      </c>
      <c r="CX590">
        <f>IF($CQ590=0,0,IF(CS590=CN590,1,0))</f>
        <v/>
      </c>
      <c r="CY590">
        <f>IF($CQ590=0,0,IF(CR590=CM590,1,0))</f>
        <v/>
      </c>
      <c r="CZ590">
        <f>IF($A590="","",IF(AND(IF(DASHBOARD!$C$4="All",TRUE,$CM590=DASHBOARD!$C$4),IF(DASHBOARD!$C$6="All",TRUE,$CP590=DASHBOARD!$C$6),IF(DASHBOARD!$C$8="All",TRUE,$AF590&gt;=DASHBOARD!$C$8),IF(DASHBOARD!$C$10="All",TRUE,$AF590&lt;=DASHBOARD!$C$10),IF(DASHBOARD!$C$12="All",TRUE,$AH590=VALUE(DASHBOARD!$C$12)),IF(DASHBOARD!$C$14="All",TRUE,$AJ590=DASHBOARD!$C$14)),1,0))</f>
        <v/>
      </c>
    </row>
    <row r="591">
      <c r="A591" t="n">
        <v>256431</v>
      </c>
      <c r="B591" t="inlineStr">
        <is>
          <t>Face Malai</t>
        </is>
      </c>
      <c r="H591" t="inlineStr">
        <is>
          <t>Turmeric Nutmeg (Pigmentation)  Face Malai - 30g</t>
        </is>
      </c>
      <c r="N591" t="inlineStr">
        <is>
          <t>FC-DM-PG-030</t>
        </is>
      </c>
      <c r="T591" t="inlineStr">
        <is>
          <t>Mar 4, 2026</t>
        </is>
      </c>
      <c r="AE591" t="inlineStr">
        <is>
          <t>Chennai</t>
        </is>
      </c>
      <c r="AF591" t="inlineStr">
        <is>
          <t>2026-03</t>
        </is>
      </c>
      <c r="AG591" t="n">
        <v>3</v>
      </c>
      <c r="AH591" t="n">
        <v>1</v>
      </c>
      <c r="AI591" t="n">
        <v>0</v>
      </c>
      <c r="AJ591">
        <f>IF($AE591="","",IFERROR(VLOOKUP(TRIM($AE591),DECODE!$H$3:$I$60,2,FALSE),"Rest of India"))</f>
        <v/>
      </c>
      <c r="AK591">
        <f>IF($N591="","",UPPER(TRIM(LEFT($N591&amp;",",FIND(",",$N591&amp;",")-1))))</f>
        <v/>
      </c>
      <c r="AL591">
        <f>IF($AK591="","",MID($AK591,4,FIND("~",SUBSTITUTE($AK591,"-","~",2))-4))</f>
        <v/>
      </c>
      <c r="AM591">
        <f>IF($AK591="","",MID($AK591,FIND("~",SUBSTITUTE($AK591,"-","~",2))+1,FIND("~",SUBSTITUTE($AK591,"-","~",3))-FIND("~",SUBSTITUTE($AK591,"-","~",2))-1))</f>
        <v/>
      </c>
      <c r="AN591">
        <f>IF($AL591="","",IFERROR(VLOOKUP($AL591,DECODE!$A$3:$C$8,3,FALSE),"?"))</f>
        <v/>
      </c>
      <c r="AO591">
        <f>IF($AM591="","",IFERROR(VLOOKUP($AL591&amp;"-"&amp;$AM591,DECODE!$E$3:$F$21,2,FALSE),"?"))</f>
        <v/>
      </c>
      <c r="AP591">
        <f>IF($AK591="","",IFERROR(VALUE(RIGHT($AK591,3)),""))</f>
        <v/>
      </c>
      <c r="AQ591">
        <f>IF($T591="","",IFERROR(IF(ISNUMBER($T591),$T591,DATEVALUE(TRIM($T591))),""))</f>
        <v/>
      </c>
      <c r="AR591">
        <f>IF($AQ591="","",IF(MONTH($AQ591)&gt;=12,"Cold Winter",IF(MONTH($AQ591)&gt;=10,"Post-Monsoon",IF(MONTH($AQ591)&gt;=6,"Hot Humid",IF(MONTH($AQ591)&gt;=3,"Hot Dry","Cold Winter")))))</f>
        <v/>
      </c>
      <c r="AS591">
        <f>IF($AL591="","",IFERROR(VLOOKUP($AL591,DECODE!$A$3:$C$8,2,FALSE),"?"))</f>
        <v/>
      </c>
      <c r="AT591">
        <f>IF($O591="","",UPPER(TRIM(LEFT($O591&amp;",",FIND(",",$O591&amp;",")-1))))</f>
        <v/>
      </c>
      <c r="AU591">
        <f>IF($AT591="","",MID($AT591,4,FIND("~",SUBSTITUTE($AT591,"-","~",2))-4))</f>
        <v/>
      </c>
      <c r="AV591">
        <f>IF($AT591="","",MID($AT591,FIND("~",SUBSTITUTE($AT591,"-","~",2))+1,FIND("~",SUBSTITUTE($AT591,"-","~",3))-FIND("~",SUBSTITUTE($AT591,"-","~",2))-1))</f>
        <v/>
      </c>
      <c r="AW591">
        <f>IF($AU591="","",IFERROR(VLOOKUP($AU591,DECODE!$A$3:$C$8,3,FALSE),"?"))</f>
        <v/>
      </c>
      <c r="AX591">
        <f>IF($AV591="","",IFERROR(VLOOKUP($AU591&amp;"-"&amp;$AV591,DECODE!$E$3:$F$21,2,FALSE),"?"))</f>
        <v/>
      </c>
      <c r="AY591">
        <f>IF($AT591="","",IFERROR(VALUE(RIGHT($AT591,3)),""))</f>
        <v/>
      </c>
      <c r="AZ591">
        <f>IF($U591="","",IFERROR(IF(ISNUMBER($U591),$U591,DATEVALUE(TRIM($U591))),""))</f>
        <v/>
      </c>
      <c r="BA591">
        <f>IF($AZ591="","",IF(MONTH($AZ591)&gt;=12,"Cold Winter",IF(MONTH($AZ591)&gt;=10,"Post-Monsoon",IF(MONTH($AZ591)&gt;=6,"Hot Humid",IF(MONTH($AZ591)&gt;=3,"Hot Dry","Cold Winter")))))</f>
        <v/>
      </c>
      <c r="BB591">
        <f>IF($AU591="","",IFERROR(VLOOKUP($AU591,DECODE!$A$3:$C$8,2,FALSE),"?"))</f>
        <v/>
      </c>
      <c r="BC591">
        <f>IF($P591="","",UPPER(TRIM(LEFT($P591&amp;",",FIND(",",$P591&amp;",")-1))))</f>
        <v/>
      </c>
      <c r="BD591">
        <f>IF($BC591="","",MID($BC591,4,FIND("~",SUBSTITUTE($BC591,"-","~",2))-4))</f>
        <v/>
      </c>
      <c r="BE591">
        <f>IF($BC591="","",MID($BC591,FIND("~",SUBSTITUTE($BC591,"-","~",2))+1,FIND("~",SUBSTITUTE($BC591,"-","~",3))-FIND("~",SUBSTITUTE($BC591,"-","~",2))-1))</f>
        <v/>
      </c>
      <c r="BF591">
        <f>IF($BD591="","",IFERROR(VLOOKUP($BD591,DECODE!$A$3:$C$8,3,FALSE),"?"))</f>
        <v/>
      </c>
      <c r="BG591">
        <f>IF($BE591="","",IFERROR(VLOOKUP($BD591&amp;"-"&amp;$BE591,DECODE!$E$3:$F$21,2,FALSE),"?"))</f>
        <v/>
      </c>
      <c r="BH591">
        <f>IF($BC591="","",IFERROR(VALUE(RIGHT($BC591,3)),""))</f>
        <v/>
      </c>
      <c r="BI591">
        <f>IF($V591="","",IFERROR(IF(ISNUMBER($V591),$V591,DATEVALUE(TRIM($V591))),""))</f>
        <v/>
      </c>
      <c r="BJ591">
        <f>IF($BI591="","",IF(MONTH($BI591)&gt;=12,"Cold Winter",IF(MONTH($BI591)&gt;=10,"Post-Monsoon",IF(MONTH($BI591)&gt;=6,"Hot Humid",IF(MONTH($BI591)&gt;=3,"Hot Dry","Cold Winter")))))</f>
        <v/>
      </c>
      <c r="BK591">
        <f>IF($BD591="","",IFERROR(VLOOKUP($BD591,DECODE!$A$3:$C$8,2,FALSE),"?"))</f>
        <v/>
      </c>
      <c r="BL591">
        <f>IF($Q591="","",UPPER(TRIM(LEFT($Q591&amp;",",FIND(",",$Q591&amp;",")-1))))</f>
        <v/>
      </c>
      <c r="BM591">
        <f>IF($BL591="","",MID($BL591,4,FIND("~",SUBSTITUTE($BL591,"-","~",2))-4))</f>
        <v/>
      </c>
      <c r="BN591">
        <f>IF($BL591="","",MID($BL591,FIND("~",SUBSTITUTE($BL591,"-","~",2))+1,FIND("~",SUBSTITUTE($BL591,"-","~",3))-FIND("~",SUBSTITUTE($BL591,"-","~",2))-1))</f>
        <v/>
      </c>
      <c r="BO591">
        <f>IF($BM591="","",IFERROR(VLOOKUP($BM591,DECODE!$A$3:$C$8,3,FALSE),"?"))</f>
        <v/>
      </c>
      <c r="BP591">
        <f>IF($BN591="","",IFERROR(VLOOKUP($BM591&amp;"-"&amp;$BN591,DECODE!$E$3:$F$21,2,FALSE),"?"))</f>
        <v/>
      </c>
      <c r="BQ591">
        <f>IF($BL591="","",IFERROR(VALUE(RIGHT($BL591,3)),""))</f>
        <v/>
      </c>
      <c r="BR591">
        <f>IF($W591="","",IFERROR(IF(ISNUMBER($W591),$W591,DATEVALUE(TRIM($W591))),""))</f>
        <v/>
      </c>
      <c r="BS591">
        <f>IF($BR591="","",IF(MONTH($BR591)&gt;=12,"Cold Winter",IF(MONTH($BR591)&gt;=10,"Post-Monsoon",IF(MONTH($BR591)&gt;=6,"Hot Humid",IF(MONTH($BR591)&gt;=3,"Hot Dry","Cold Winter")))))</f>
        <v/>
      </c>
      <c r="BT591">
        <f>IF($BM591="","",IFERROR(VLOOKUP($BM591,DECODE!$A$3:$C$8,2,FALSE),"?"))</f>
        <v/>
      </c>
      <c r="BU591">
        <f>IF($R591="","",UPPER(TRIM(LEFT($R591&amp;",",FIND(",",$R591&amp;",")-1))))</f>
        <v/>
      </c>
      <c r="BV591">
        <f>IF($BU591="","",MID($BU591,4,FIND("~",SUBSTITUTE($BU591,"-","~",2))-4))</f>
        <v/>
      </c>
      <c r="BW591">
        <f>IF($BU591="","",MID($BU591,FIND("~",SUBSTITUTE($BU591,"-","~",2))+1,FIND("~",SUBSTITUTE($BU591,"-","~",3))-FIND("~",SUBSTITUTE($BU591,"-","~",2))-1))</f>
        <v/>
      </c>
      <c r="BX591">
        <f>IF($BV591="","",IFERROR(VLOOKUP($BV591,DECODE!$A$3:$C$8,3,FALSE),"?"))</f>
        <v/>
      </c>
      <c r="BY591">
        <f>IF($BW591="","",IFERROR(VLOOKUP($BV591&amp;"-"&amp;$BW591,DECODE!$E$3:$F$21,2,FALSE),"?"))</f>
        <v/>
      </c>
      <c r="BZ591">
        <f>IF($BU591="","",IFERROR(VALUE(RIGHT($BU591,3)),""))</f>
        <v/>
      </c>
      <c r="CA591">
        <f>IF($X591="","",IFERROR(IF(ISNUMBER($X591),$X591,DATEVALUE(TRIM($X591))),""))</f>
        <v/>
      </c>
      <c r="CB591">
        <f>IF($CA591="","",IF(MONTH($CA591)&gt;=12,"Cold Winter",IF(MONTH($CA591)&gt;=10,"Post-Monsoon",IF(MONTH($CA591)&gt;=6,"Hot Humid",IF(MONTH($CA591)&gt;=3,"Hot Dry","Cold Winter")))))</f>
        <v/>
      </c>
      <c r="CC591">
        <f>IF($BV591="","",IFERROR(VLOOKUP($BV591,DECODE!$A$3:$C$8,2,FALSE),"?"))</f>
        <v/>
      </c>
      <c r="CD591">
        <f>IF($S591="","",UPPER(TRIM(LEFT($S591&amp;",",FIND(",",$S591&amp;",")-1))))</f>
        <v/>
      </c>
      <c r="CE591">
        <f>IF($CD591="","",MID($CD591,4,FIND("~",SUBSTITUTE($CD591,"-","~",2))-4))</f>
        <v/>
      </c>
      <c r="CF591">
        <f>IF($CD591="","",MID($CD591,FIND("~",SUBSTITUTE($CD591,"-","~",2))+1,FIND("~",SUBSTITUTE($CD591,"-","~",3))-FIND("~",SUBSTITUTE($CD591,"-","~",2))-1))</f>
        <v/>
      </c>
      <c r="CG591">
        <f>IF($CE591="","",IFERROR(VLOOKUP($CE591,DECODE!$A$3:$C$8,3,FALSE),"?"))</f>
        <v/>
      </c>
      <c r="CH591">
        <f>IF($CF591="","",IFERROR(VLOOKUP($CE591&amp;"-"&amp;$CF591,DECODE!$E$3:$F$21,2,FALSE),"?"))</f>
        <v/>
      </c>
      <c r="CI591">
        <f>IF($CD591="","",IFERROR(VALUE(RIGHT($CD591,3)),""))</f>
        <v/>
      </c>
      <c r="CJ591">
        <f>IF($Y591="","",IFERROR(IF(ISNUMBER($Y591),$Y591,DATEVALUE(TRIM($Y591))),""))</f>
        <v/>
      </c>
      <c r="CK591">
        <f>IF($CJ591="","",IF(MONTH($CJ591)&gt;=12,"Cold Winter",IF(MONTH($CJ591)&gt;=10,"Post-Monsoon",IF(MONTH($CJ591)&gt;=6,"Hot Humid",IF(MONTH($CJ591)&gt;=3,"Hot Dry","Cold Winter")))))</f>
        <v/>
      </c>
      <c r="CL591">
        <f>IF($CE591="","",IFERROR(VLOOKUP($CE591,DECODE!$A$3:$C$8,2,FALSE),"?"))</f>
        <v/>
      </c>
      <c r="CM591">
        <f>IF($AN591="","",AN591)</f>
        <v/>
      </c>
      <c r="CN591">
        <f>IF($AO591="","",AO591)</f>
        <v/>
      </c>
      <c r="CO591">
        <f>IF($AP591="","",AP591)</f>
        <v/>
      </c>
      <c r="CP591">
        <f>IF($CM591="","",IF($CM591="Aloe Vera Gel","Aloe Vera Gel "&amp;$CO591&amp;"g",CN591&amp;" "&amp;$CO591&amp;"g"))</f>
        <v/>
      </c>
      <c r="CQ591">
        <f>IF($AT591="",0,1)</f>
        <v/>
      </c>
      <c r="CR591">
        <f>IF($CQ591=0,"",AW591)</f>
        <v/>
      </c>
      <c r="CS591">
        <f>IF($CQ591=0,"",AX591)</f>
        <v/>
      </c>
      <c r="CT591">
        <f>IF($CQ591=0,"",AY591)</f>
        <v/>
      </c>
      <c r="CU591">
        <f>IF($CR591="","",IF($CR591="Aloe Vera Gel","Aloe Vera Gel "&amp;$CT591&amp;"g",CS591&amp;" "&amp;$CT591&amp;"g"))</f>
        <v/>
      </c>
      <c r="CV591">
        <f>IF($CQ591=0,"",IF($CP591=$CU591,"Repeat Exact",IF($CT591&gt;$CO591,"Upsized",IF($CT591&lt;$CO591,"Downsized",IF($CM591&lt;&gt;$CR591,"Lateral","Same Size Diff Variant")))))</f>
        <v/>
      </c>
      <c r="CW591">
        <f>IF($CQ591=0,"",AZ591-AQ591)</f>
        <v/>
      </c>
      <c r="CX591">
        <f>IF($CQ591=0,0,IF(CS591=CN591,1,0))</f>
        <v/>
      </c>
      <c r="CY591">
        <f>IF($CQ591=0,0,IF(CR591=CM591,1,0))</f>
        <v/>
      </c>
      <c r="CZ591">
        <f>IF($A591="","",IF(AND(IF(DASHBOARD!$C$4="All",TRUE,$CM591=DASHBOARD!$C$4),IF(DASHBOARD!$C$6="All",TRUE,$CP591=DASHBOARD!$C$6),IF(DASHBOARD!$C$8="All",TRUE,$AF591&gt;=DASHBOARD!$C$8),IF(DASHBOARD!$C$10="All",TRUE,$AF591&lt;=DASHBOARD!$C$10),IF(DASHBOARD!$C$12="All",TRUE,$AH591=VALUE(DASHBOARD!$C$12)),IF(DASHBOARD!$C$14="All",TRUE,$AJ591=DASHBOARD!$C$14)),1,0))</f>
        <v/>
      </c>
    </row>
    <row r="592">
      <c r="A592" t="n">
        <v>256726</v>
      </c>
      <c r="B592" t="inlineStr">
        <is>
          <t>Aloe Vera Gel</t>
        </is>
      </c>
      <c r="H592" t="inlineStr">
        <is>
          <t>Aloe Vera Gel - 40 gms</t>
        </is>
      </c>
      <c r="N592" t="inlineStr">
        <is>
          <t>FC-HG-PA-040</t>
        </is>
      </c>
      <c r="T592" t="inlineStr">
        <is>
          <t>Feb 16, 2024</t>
        </is>
      </c>
      <c r="AE592" t="inlineStr">
        <is>
          <t>Belagavi</t>
        </is>
      </c>
      <c r="AF592" t="inlineStr">
        <is>
          <t>2024-02</t>
        </is>
      </c>
      <c r="AG592" t="n">
        <v>2</v>
      </c>
      <c r="AH592" t="n">
        <v>1</v>
      </c>
      <c r="AI592" t="n">
        <v>0</v>
      </c>
      <c r="AJ592">
        <f>IF($AE592="","",IFERROR(VLOOKUP(TRIM($AE592),DECODE!$H$3:$I$60,2,FALSE),"Rest of India"))</f>
        <v/>
      </c>
      <c r="AK592">
        <f>IF($N592="","",UPPER(TRIM(LEFT($N592&amp;",",FIND(",",$N592&amp;",")-1))))</f>
        <v/>
      </c>
      <c r="AL592">
        <f>IF($AK592="","",MID($AK592,4,FIND("~",SUBSTITUTE($AK592,"-","~",2))-4))</f>
        <v/>
      </c>
      <c r="AM592">
        <f>IF($AK592="","",MID($AK592,FIND("~",SUBSTITUTE($AK592,"-","~",2))+1,FIND("~",SUBSTITUTE($AK592,"-","~",3))-FIND("~",SUBSTITUTE($AK592,"-","~",2))-1))</f>
        <v/>
      </c>
      <c r="AN592">
        <f>IF($AL592="","",IFERROR(VLOOKUP($AL592,DECODE!$A$3:$C$8,3,FALSE),"?"))</f>
        <v/>
      </c>
      <c r="AO592">
        <f>IF($AM592="","",IFERROR(VLOOKUP($AL592&amp;"-"&amp;$AM592,DECODE!$E$3:$F$21,2,FALSE),"?"))</f>
        <v/>
      </c>
      <c r="AP592">
        <f>IF($AK592="","",IFERROR(VALUE(RIGHT($AK592,3)),""))</f>
        <v/>
      </c>
      <c r="AQ592">
        <f>IF($T592="","",IFERROR(IF(ISNUMBER($T592),$T592,DATEVALUE(TRIM($T592))),""))</f>
        <v/>
      </c>
      <c r="AR592">
        <f>IF($AQ592="","",IF(MONTH($AQ592)&gt;=12,"Cold Winter",IF(MONTH($AQ592)&gt;=10,"Post-Monsoon",IF(MONTH($AQ592)&gt;=6,"Hot Humid",IF(MONTH($AQ592)&gt;=3,"Hot Dry","Cold Winter")))))</f>
        <v/>
      </c>
      <c r="AS592">
        <f>IF($AL592="","",IFERROR(VLOOKUP($AL592,DECODE!$A$3:$C$8,2,FALSE),"?"))</f>
        <v/>
      </c>
      <c r="AT592">
        <f>IF($O592="","",UPPER(TRIM(LEFT($O592&amp;",",FIND(",",$O592&amp;",")-1))))</f>
        <v/>
      </c>
      <c r="AU592">
        <f>IF($AT592="","",MID($AT592,4,FIND("~",SUBSTITUTE($AT592,"-","~",2))-4))</f>
        <v/>
      </c>
      <c r="AV592">
        <f>IF($AT592="","",MID($AT592,FIND("~",SUBSTITUTE($AT592,"-","~",2))+1,FIND("~",SUBSTITUTE($AT592,"-","~",3))-FIND("~",SUBSTITUTE($AT592,"-","~",2))-1))</f>
        <v/>
      </c>
      <c r="AW592">
        <f>IF($AU592="","",IFERROR(VLOOKUP($AU592,DECODE!$A$3:$C$8,3,FALSE),"?"))</f>
        <v/>
      </c>
      <c r="AX592">
        <f>IF($AV592="","",IFERROR(VLOOKUP($AU592&amp;"-"&amp;$AV592,DECODE!$E$3:$F$21,2,FALSE),"?"))</f>
        <v/>
      </c>
      <c r="AY592">
        <f>IF($AT592="","",IFERROR(VALUE(RIGHT($AT592,3)),""))</f>
        <v/>
      </c>
      <c r="AZ592">
        <f>IF($U592="","",IFERROR(IF(ISNUMBER($U592),$U592,DATEVALUE(TRIM($U592))),""))</f>
        <v/>
      </c>
      <c r="BA592">
        <f>IF($AZ592="","",IF(MONTH($AZ592)&gt;=12,"Cold Winter",IF(MONTH($AZ592)&gt;=10,"Post-Monsoon",IF(MONTH($AZ592)&gt;=6,"Hot Humid",IF(MONTH($AZ592)&gt;=3,"Hot Dry","Cold Winter")))))</f>
        <v/>
      </c>
      <c r="BB592">
        <f>IF($AU592="","",IFERROR(VLOOKUP($AU592,DECODE!$A$3:$C$8,2,FALSE),"?"))</f>
        <v/>
      </c>
      <c r="BC592">
        <f>IF($P592="","",UPPER(TRIM(LEFT($P592&amp;",",FIND(",",$P592&amp;",")-1))))</f>
        <v/>
      </c>
      <c r="BD592">
        <f>IF($BC592="","",MID($BC592,4,FIND("~",SUBSTITUTE($BC592,"-","~",2))-4))</f>
        <v/>
      </c>
      <c r="BE592">
        <f>IF($BC592="","",MID($BC592,FIND("~",SUBSTITUTE($BC592,"-","~",2))+1,FIND("~",SUBSTITUTE($BC592,"-","~",3))-FIND("~",SUBSTITUTE($BC592,"-","~",2))-1))</f>
        <v/>
      </c>
      <c r="BF592">
        <f>IF($BD592="","",IFERROR(VLOOKUP($BD592,DECODE!$A$3:$C$8,3,FALSE),"?"))</f>
        <v/>
      </c>
      <c r="BG592">
        <f>IF($BE592="","",IFERROR(VLOOKUP($BD592&amp;"-"&amp;$BE592,DECODE!$E$3:$F$21,2,FALSE),"?"))</f>
        <v/>
      </c>
      <c r="BH592">
        <f>IF($BC592="","",IFERROR(VALUE(RIGHT($BC592,3)),""))</f>
        <v/>
      </c>
      <c r="BI592">
        <f>IF($V592="","",IFERROR(IF(ISNUMBER($V592),$V592,DATEVALUE(TRIM($V592))),""))</f>
        <v/>
      </c>
      <c r="BJ592">
        <f>IF($BI592="","",IF(MONTH($BI592)&gt;=12,"Cold Winter",IF(MONTH($BI592)&gt;=10,"Post-Monsoon",IF(MONTH($BI592)&gt;=6,"Hot Humid",IF(MONTH($BI592)&gt;=3,"Hot Dry","Cold Winter")))))</f>
        <v/>
      </c>
      <c r="BK592">
        <f>IF($BD592="","",IFERROR(VLOOKUP($BD592,DECODE!$A$3:$C$8,2,FALSE),"?"))</f>
        <v/>
      </c>
      <c r="BL592">
        <f>IF($Q592="","",UPPER(TRIM(LEFT($Q592&amp;",",FIND(",",$Q592&amp;",")-1))))</f>
        <v/>
      </c>
      <c r="BM592">
        <f>IF($BL592="","",MID($BL592,4,FIND("~",SUBSTITUTE($BL592,"-","~",2))-4))</f>
        <v/>
      </c>
      <c r="BN592">
        <f>IF($BL592="","",MID($BL592,FIND("~",SUBSTITUTE($BL592,"-","~",2))+1,FIND("~",SUBSTITUTE($BL592,"-","~",3))-FIND("~",SUBSTITUTE($BL592,"-","~",2))-1))</f>
        <v/>
      </c>
      <c r="BO592">
        <f>IF($BM592="","",IFERROR(VLOOKUP($BM592,DECODE!$A$3:$C$8,3,FALSE),"?"))</f>
        <v/>
      </c>
      <c r="BP592">
        <f>IF($BN592="","",IFERROR(VLOOKUP($BM592&amp;"-"&amp;$BN592,DECODE!$E$3:$F$21,2,FALSE),"?"))</f>
        <v/>
      </c>
      <c r="BQ592">
        <f>IF($BL592="","",IFERROR(VALUE(RIGHT($BL592,3)),""))</f>
        <v/>
      </c>
      <c r="BR592">
        <f>IF($W592="","",IFERROR(IF(ISNUMBER($W592),$W592,DATEVALUE(TRIM($W592))),""))</f>
        <v/>
      </c>
      <c r="BS592">
        <f>IF($BR592="","",IF(MONTH($BR592)&gt;=12,"Cold Winter",IF(MONTH($BR592)&gt;=10,"Post-Monsoon",IF(MONTH($BR592)&gt;=6,"Hot Humid",IF(MONTH($BR592)&gt;=3,"Hot Dry","Cold Winter")))))</f>
        <v/>
      </c>
      <c r="BT592">
        <f>IF($BM592="","",IFERROR(VLOOKUP($BM592,DECODE!$A$3:$C$8,2,FALSE),"?"))</f>
        <v/>
      </c>
      <c r="BU592">
        <f>IF($R592="","",UPPER(TRIM(LEFT($R592&amp;",",FIND(",",$R592&amp;",")-1))))</f>
        <v/>
      </c>
      <c r="BV592">
        <f>IF($BU592="","",MID($BU592,4,FIND("~",SUBSTITUTE($BU592,"-","~",2))-4))</f>
        <v/>
      </c>
      <c r="BW592">
        <f>IF($BU592="","",MID($BU592,FIND("~",SUBSTITUTE($BU592,"-","~",2))+1,FIND("~",SUBSTITUTE($BU592,"-","~",3))-FIND("~",SUBSTITUTE($BU592,"-","~",2))-1))</f>
        <v/>
      </c>
      <c r="BX592">
        <f>IF($BV592="","",IFERROR(VLOOKUP($BV592,DECODE!$A$3:$C$8,3,FALSE),"?"))</f>
        <v/>
      </c>
      <c r="BY592">
        <f>IF($BW592="","",IFERROR(VLOOKUP($BV592&amp;"-"&amp;$BW592,DECODE!$E$3:$F$21,2,FALSE),"?"))</f>
        <v/>
      </c>
      <c r="BZ592">
        <f>IF($BU592="","",IFERROR(VALUE(RIGHT($BU592,3)),""))</f>
        <v/>
      </c>
      <c r="CA592">
        <f>IF($X592="","",IFERROR(IF(ISNUMBER($X592),$X592,DATEVALUE(TRIM($X592))),""))</f>
        <v/>
      </c>
      <c r="CB592">
        <f>IF($CA592="","",IF(MONTH($CA592)&gt;=12,"Cold Winter",IF(MONTH($CA592)&gt;=10,"Post-Monsoon",IF(MONTH($CA592)&gt;=6,"Hot Humid",IF(MONTH($CA592)&gt;=3,"Hot Dry","Cold Winter")))))</f>
        <v/>
      </c>
      <c r="CC592">
        <f>IF($BV592="","",IFERROR(VLOOKUP($BV592,DECODE!$A$3:$C$8,2,FALSE),"?"))</f>
        <v/>
      </c>
      <c r="CD592">
        <f>IF($S592="","",UPPER(TRIM(LEFT($S592&amp;",",FIND(",",$S592&amp;",")-1))))</f>
        <v/>
      </c>
      <c r="CE592">
        <f>IF($CD592="","",MID($CD592,4,FIND("~",SUBSTITUTE($CD592,"-","~",2))-4))</f>
        <v/>
      </c>
      <c r="CF592">
        <f>IF($CD592="","",MID($CD592,FIND("~",SUBSTITUTE($CD592,"-","~",2))+1,FIND("~",SUBSTITUTE($CD592,"-","~",3))-FIND("~",SUBSTITUTE($CD592,"-","~",2))-1))</f>
        <v/>
      </c>
      <c r="CG592">
        <f>IF($CE592="","",IFERROR(VLOOKUP($CE592,DECODE!$A$3:$C$8,3,FALSE),"?"))</f>
        <v/>
      </c>
      <c r="CH592">
        <f>IF($CF592="","",IFERROR(VLOOKUP($CE592&amp;"-"&amp;$CF592,DECODE!$E$3:$F$21,2,FALSE),"?"))</f>
        <v/>
      </c>
      <c r="CI592">
        <f>IF($CD592="","",IFERROR(VALUE(RIGHT($CD592,3)),""))</f>
        <v/>
      </c>
      <c r="CJ592">
        <f>IF($Y592="","",IFERROR(IF(ISNUMBER($Y592),$Y592,DATEVALUE(TRIM($Y592))),""))</f>
        <v/>
      </c>
      <c r="CK592">
        <f>IF($CJ592="","",IF(MONTH($CJ592)&gt;=12,"Cold Winter",IF(MONTH($CJ592)&gt;=10,"Post-Monsoon",IF(MONTH($CJ592)&gt;=6,"Hot Humid",IF(MONTH($CJ592)&gt;=3,"Hot Dry","Cold Winter")))))</f>
        <v/>
      </c>
      <c r="CL592">
        <f>IF($CE592="","",IFERROR(VLOOKUP($CE592,DECODE!$A$3:$C$8,2,FALSE),"?"))</f>
        <v/>
      </c>
      <c r="CM592">
        <f>IF($AN592="","",AN592)</f>
        <v/>
      </c>
      <c r="CN592">
        <f>IF($AO592="","",AO592)</f>
        <v/>
      </c>
      <c r="CO592">
        <f>IF($AP592="","",AP592)</f>
        <v/>
      </c>
      <c r="CP592">
        <f>IF($CM592="","",IF($CM592="Aloe Vera Gel","Aloe Vera Gel "&amp;$CO592&amp;"g",CN592&amp;" "&amp;$CO592&amp;"g"))</f>
        <v/>
      </c>
      <c r="CQ592">
        <f>IF($AT592="",0,1)</f>
        <v/>
      </c>
      <c r="CR592">
        <f>IF($CQ592=0,"",AW592)</f>
        <v/>
      </c>
      <c r="CS592">
        <f>IF($CQ592=0,"",AX592)</f>
        <v/>
      </c>
      <c r="CT592">
        <f>IF($CQ592=0,"",AY592)</f>
        <v/>
      </c>
      <c r="CU592">
        <f>IF($CR592="","",IF($CR592="Aloe Vera Gel","Aloe Vera Gel "&amp;$CT592&amp;"g",CS592&amp;" "&amp;$CT592&amp;"g"))</f>
        <v/>
      </c>
      <c r="CV592">
        <f>IF($CQ592=0,"",IF($CP592=$CU592,"Repeat Exact",IF($CT592&gt;$CO592,"Upsized",IF($CT592&lt;$CO592,"Downsized",IF($CM592&lt;&gt;$CR592,"Lateral","Same Size Diff Variant")))))</f>
        <v/>
      </c>
      <c r="CW592">
        <f>IF($CQ592=0,"",AZ592-AQ592)</f>
        <v/>
      </c>
      <c r="CX592">
        <f>IF($CQ592=0,0,IF(CS592=CN592,1,0))</f>
        <v/>
      </c>
      <c r="CY592">
        <f>IF($CQ592=0,0,IF(CR592=CM592,1,0))</f>
        <v/>
      </c>
      <c r="CZ592">
        <f>IF($A592="","",IF(AND(IF(DASHBOARD!$C$4="All",TRUE,$CM592=DASHBOARD!$C$4),IF(DASHBOARD!$C$6="All",TRUE,$CP592=DASHBOARD!$C$6),IF(DASHBOARD!$C$8="All",TRUE,$AF592&gt;=DASHBOARD!$C$8),IF(DASHBOARD!$C$10="All",TRUE,$AF592&lt;=DASHBOARD!$C$10),IF(DASHBOARD!$C$12="All",TRUE,$AH592=VALUE(DASHBOARD!$C$12)),IF(DASHBOARD!$C$14="All",TRUE,$AJ592=DASHBOARD!$C$14)),1,0))</f>
        <v/>
      </c>
    </row>
    <row r="593">
      <c r="A593" t="n">
        <v>256771</v>
      </c>
      <c r="B593" t="inlineStr">
        <is>
          <t>Aloe Vera Gel</t>
        </is>
      </c>
      <c r="H593" t="inlineStr">
        <is>
          <t>Aloe Vera Gel - 80 gms</t>
        </is>
      </c>
      <c r="N593" t="inlineStr">
        <is>
          <t>FC-HG-PA-080</t>
        </is>
      </c>
      <c r="T593" t="inlineStr">
        <is>
          <t>Apr 29, 2025</t>
        </is>
      </c>
      <c r="AE593" t="inlineStr">
        <is>
          <t>Karur</t>
        </is>
      </c>
      <c r="AF593" t="inlineStr">
        <is>
          <t>2025-04</t>
        </is>
      </c>
      <c r="AG593" t="n">
        <v>4</v>
      </c>
      <c r="AH593" t="n">
        <v>1</v>
      </c>
      <c r="AI593" t="n">
        <v>0</v>
      </c>
      <c r="AJ593">
        <f>IF($AE593="","",IFERROR(VLOOKUP(TRIM($AE593),DECODE!$H$3:$I$60,2,FALSE),"Rest of India"))</f>
        <v/>
      </c>
      <c r="AK593">
        <f>IF($N593="","",UPPER(TRIM(LEFT($N593&amp;",",FIND(",",$N593&amp;",")-1))))</f>
        <v/>
      </c>
      <c r="AL593">
        <f>IF($AK593="","",MID($AK593,4,FIND("~",SUBSTITUTE($AK593,"-","~",2))-4))</f>
        <v/>
      </c>
      <c r="AM593">
        <f>IF($AK593="","",MID($AK593,FIND("~",SUBSTITUTE($AK593,"-","~",2))+1,FIND("~",SUBSTITUTE($AK593,"-","~",3))-FIND("~",SUBSTITUTE($AK593,"-","~",2))-1))</f>
        <v/>
      </c>
      <c r="AN593">
        <f>IF($AL593="","",IFERROR(VLOOKUP($AL593,DECODE!$A$3:$C$8,3,FALSE),"?"))</f>
        <v/>
      </c>
      <c r="AO593">
        <f>IF($AM593="","",IFERROR(VLOOKUP($AL593&amp;"-"&amp;$AM593,DECODE!$E$3:$F$21,2,FALSE),"?"))</f>
        <v/>
      </c>
      <c r="AP593">
        <f>IF($AK593="","",IFERROR(VALUE(RIGHT($AK593,3)),""))</f>
        <v/>
      </c>
      <c r="AQ593">
        <f>IF($T593="","",IFERROR(IF(ISNUMBER($T593),$T593,DATEVALUE(TRIM($T593))),""))</f>
        <v/>
      </c>
      <c r="AR593">
        <f>IF($AQ593="","",IF(MONTH($AQ593)&gt;=12,"Cold Winter",IF(MONTH($AQ593)&gt;=10,"Post-Monsoon",IF(MONTH($AQ593)&gt;=6,"Hot Humid",IF(MONTH($AQ593)&gt;=3,"Hot Dry","Cold Winter")))))</f>
        <v/>
      </c>
      <c r="AS593">
        <f>IF($AL593="","",IFERROR(VLOOKUP($AL593,DECODE!$A$3:$C$8,2,FALSE),"?"))</f>
        <v/>
      </c>
      <c r="AT593">
        <f>IF($O593="","",UPPER(TRIM(LEFT($O593&amp;",",FIND(",",$O593&amp;",")-1))))</f>
        <v/>
      </c>
      <c r="AU593">
        <f>IF($AT593="","",MID($AT593,4,FIND("~",SUBSTITUTE($AT593,"-","~",2))-4))</f>
        <v/>
      </c>
      <c r="AV593">
        <f>IF($AT593="","",MID($AT593,FIND("~",SUBSTITUTE($AT593,"-","~",2))+1,FIND("~",SUBSTITUTE($AT593,"-","~",3))-FIND("~",SUBSTITUTE($AT593,"-","~",2))-1))</f>
        <v/>
      </c>
      <c r="AW593">
        <f>IF($AU593="","",IFERROR(VLOOKUP($AU593,DECODE!$A$3:$C$8,3,FALSE),"?"))</f>
        <v/>
      </c>
      <c r="AX593">
        <f>IF($AV593="","",IFERROR(VLOOKUP($AU593&amp;"-"&amp;$AV593,DECODE!$E$3:$F$21,2,FALSE),"?"))</f>
        <v/>
      </c>
      <c r="AY593">
        <f>IF($AT593="","",IFERROR(VALUE(RIGHT($AT593,3)),""))</f>
        <v/>
      </c>
      <c r="AZ593">
        <f>IF($U593="","",IFERROR(IF(ISNUMBER($U593),$U593,DATEVALUE(TRIM($U593))),""))</f>
        <v/>
      </c>
      <c r="BA593">
        <f>IF($AZ593="","",IF(MONTH($AZ593)&gt;=12,"Cold Winter",IF(MONTH($AZ593)&gt;=10,"Post-Monsoon",IF(MONTH($AZ593)&gt;=6,"Hot Humid",IF(MONTH($AZ593)&gt;=3,"Hot Dry","Cold Winter")))))</f>
        <v/>
      </c>
      <c r="BB593">
        <f>IF($AU593="","",IFERROR(VLOOKUP($AU593,DECODE!$A$3:$C$8,2,FALSE),"?"))</f>
        <v/>
      </c>
      <c r="BC593">
        <f>IF($P593="","",UPPER(TRIM(LEFT($P593&amp;",",FIND(",",$P593&amp;",")-1))))</f>
        <v/>
      </c>
      <c r="BD593">
        <f>IF($BC593="","",MID($BC593,4,FIND("~",SUBSTITUTE($BC593,"-","~",2))-4))</f>
        <v/>
      </c>
      <c r="BE593">
        <f>IF($BC593="","",MID($BC593,FIND("~",SUBSTITUTE($BC593,"-","~",2))+1,FIND("~",SUBSTITUTE($BC593,"-","~",3))-FIND("~",SUBSTITUTE($BC593,"-","~",2))-1))</f>
        <v/>
      </c>
      <c r="BF593">
        <f>IF($BD593="","",IFERROR(VLOOKUP($BD593,DECODE!$A$3:$C$8,3,FALSE),"?"))</f>
        <v/>
      </c>
      <c r="BG593">
        <f>IF($BE593="","",IFERROR(VLOOKUP($BD593&amp;"-"&amp;$BE593,DECODE!$E$3:$F$21,2,FALSE),"?"))</f>
        <v/>
      </c>
      <c r="BH593">
        <f>IF($BC593="","",IFERROR(VALUE(RIGHT($BC593,3)),""))</f>
        <v/>
      </c>
      <c r="BI593">
        <f>IF($V593="","",IFERROR(IF(ISNUMBER($V593),$V593,DATEVALUE(TRIM($V593))),""))</f>
        <v/>
      </c>
      <c r="BJ593">
        <f>IF($BI593="","",IF(MONTH($BI593)&gt;=12,"Cold Winter",IF(MONTH($BI593)&gt;=10,"Post-Monsoon",IF(MONTH($BI593)&gt;=6,"Hot Humid",IF(MONTH($BI593)&gt;=3,"Hot Dry","Cold Winter")))))</f>
        <v/>
      </c>
      <c r="BK593">
        <f>IF($BD593="","",IFERROR(VLOOKUP($BD593,DECODE!$A$3:$C$8,2,FALSE),"?"))</f>
        <v/>
      </c>
      <c r="BL593">
        <f>IF($Q593="","",UPPER(TRIM(LEFT($Q593&amp;",",FIND(",",$Q593&amp;",")-1))))</f>
        <v/>
      </c>
      <c r="BM593">
        <f>IF($BL593="","",MID($BL593,4,FIND("~",SUBSTITUTE($BL593,"-","~",2))-4))</f>
        <v/>
      </c>
      <c r="BN593">
        <f>IF($BL593="","",MID($BL593,FIND("~",SUBSTITUTE($BL593,"-","~",2))+1,FIND("~",SUBSTITUTE($BL593,"-","~",3))-FIND("~",SUBSTITUTE($BL593,"-","~",2))-1))</f>
        <v/>
      </c>
      <c r="BO593">
        <f>IF($BM593="","",IFERROR(VLOOKUP($BM593,DECODE!$A$3:$C$8,3,FALSE),"?"))</f>
        <v/>
      </c>
      <c r="BP593">
        <f>IF($BN593="","",IFERROR(VLOOKUP($BM593&amp;"-"&amp;$BN593,DECODE!$E$3:$F$21,2,FALSE),"?"))</f>
        <v/>
      </c>
      <c r="BQ593">
        <f>IF($BL593="","",IFERROR(VALUE(RIGHT($BL593,3)),""))</f>
        <v/>
      </c>
      <c r="BR593">
        <f>IF($W593="","",IFERROR(IF(ISNUMBER($W593),$W593,DATEVALUE(TRIM($W593))),""))</f>
        <v/>
      </c>
      <c r="BS593">
        <f>IF($BR593="","",IF(MONTH($BR593)&gt;=12,"Cold Winter",IF(MONTH($BR593)&gt;=10,"Post-Monsoon",IF(MONTH($BR593)&gt;=6,"Hot Humid",IF(MONTH($BR593)&gt;=3,"Hot Dry","Cold Winter")))))</f>
        <v/>
      </c>
      <c r="BT593">
        <f>IF($BM593="","",IFERROR(VLOOKUP($BM593,DECODE!$A$3:$C$8,2,FALSE),"?"))</f>
        <v/>
      </c>
      <c r="BU593">
        <f>IF($R593="","",UPPER(TRIM(LEFT($R593&amp;",",FIND(",",$R593&amp;",")-1))))</f>
        <v/>
      </c>
      <c r="BV593">
        <f>IF($BU593="","",MID($BU593,4,FIND("~",SUBSTITUTE($BU593,"-","~",2))-4))</f>
        <v/>
      </c>
      <c r="BW593">
        <f>IF($BU593="","",MID($BU593,FIND("~",SUBSTITUTE($BU593,"-","~",2))+1,FIND("~",SUBSTITUTE($BU593,"-","~",3))-FIND("~",SUBSTITUTE($BU593,"-","~",2))-1))</f>
        <v/>
      </c>
      <c r="BX593">
        <f>IF($BV593="","",IFERROR(VLOOKUP($BV593,DECODE!$A$3:$C$8,3,FALSE),"?"))</f>
        <v/>
      </c>
      <c r="BY593">
        <f>IF($BW593="","",IFERROR(VLOOKUP($BV593&amp;"-"&amp;$BW593,DECODE!$E$3:$F$21,2,FALSE),"?"))</f>
        <v/>
      </c>
      <c r="BZ593">
        <f>IF($BU593="","",IFERROR(VALUE(RIGHT($BU593,3)),""))</f>
        <v/>
      </c>
      <c r="CA593">
        <f>IF($X593="","",IFERROR(IF(ISNUMBER($X593),$X593,DATEVALUE(TRIM($X593))),""))</f>
        <v/>
      </c>
      <c r="CB593">
        <f>IF($CA593="","",IF(MONTH($CA593)&gt;=12,"Cold Winter",IF(MONTH($CA593)&gt;=10,"Post-Monsoon",IF(MONTH($CA593)&gt;=6,"Hot Humid",IF(MONTH($CA593)&gt;=3,"Hot Dry","Cold Winter")))))</f>
        <v/>
      </c>
      <c r="CC593">
        <f>IF($BV593="","",IFERROR(VLOOKUP($BV593,DECODE!$A$3:$C$8,2,FALSE),"?"))</f>
        <v/>
      </c>
      <c r="CD593">
        <f>IF($S593="","",UPPER(TRIM(LEFT($S593&amp;",",FIND(",",$S593&amp;",")-1))))</f>
        <v/>
      </c>
      <c r="CE593">
        <f>IF($CD593="","",MID($CD593,4,FIND("~",SUBSTITUTE($CD593,"-","~",2))-4))</f>
        <v/>
      </c>
      <c r="CF593">
        <f>IF($CD593="","",MID($CD593,FIND("~",SUBSTITUTE($CD593,"-","~",2))+1,FIND("~",SUBSTITUTE($CD593,"-","~",3))-FIND("~",SUBSTITUTE($CD593,"-","~",2))-1))</f>
        <v/>
      </c>
      <c r="CG593">
        <f>IF($CE593="","",IFERROR(VLOOKUP($CE593,DECODE!$A$3:$C$8,3,FALSE),"?"))</f>
        <v/>
      </c>
      <c r="CH593">
        <f>IF($CF593="","",IFERROR(VLOOKUP($CE593&amp;"-"&amp;$CF593,DECODE!$E$3:$F$21,2,FALSE),"?"))</f>
        <v/>
      </c>
      <c r="CI593">
        <f>IF($CD593="","",IFERROR(VALUE(RIGHT($CD593,3)),""))</f>
        <v/>
      </c>
      <c r="CJ593">
        <f>IF($Y593="","",IFERROR(IF(ISNUMBER($Y593),$Y593,DATEVALUE(TRIM($Y593))),""))</f>
        <v/>
      </c>
      <c r="CK593">
        <f>IF($CJ593="","",IF(MONTH($CJ593)&gt;=12,"Cold Winter",IF(MONTH($CJ593)&gt;=10,"Post-Monsoon",IF(MONTH($CJ593)&gt;=6,"Hot Humid",IF(MONTH($CJ593)&gt;=3,"Hot Dry","Cold Winter")))))</f>
        <v/>
      </c>
      <c r="CL593">
        <f>IF($CE593="","",IFERROR(VLOOKUP($CE593,DECODE!$A$3:$C$8,2,FALSE),"?"))</f>
        <v/>
      </c>
      <c r="CM593">
        <f>IF($AN593="","",AN593)</f>
        <v/>
      </c>
      <c r="CN593">
        <f>IF($AO593="","",AO593)</f>
        <v/>
      </c>
      <c r="CO593">
        <f>IF($AP593="","",AP593)</f>
        <v/>
      </c>
      <c r="CP593">
        <f>IF($CM593="","",IF($CM593="Aloe Vera Gel","Aloe Vera Gel "&amp;$CO593&amp;"g",CN593&amp;" "&amp;$CO593&amp;"g"))</f>
        <v/>
      </c>
      <c r="CQ593">
        <f>IF($AT593="",0,1)</f>
        <v/>
      </c>
      <c r="CR593">
        <f>IF($CQ593=0,"",AW593)</f>
        <v/>
      </c>
      <c r="CS593">
        <f>IF($CQ593=0,"",AX593)</f>
        <v/>
      </c>
      <c r="CT593">
        <f>IF($CQ593=0,"",AY593)</f>
        <v/>
      </c>
      <c r="CU593">
        <f>IF($CR593="","",IF($CR593="Aloe Vera Gel","Aloe Vera Gel "&amp;$CT593&amp;"g",CS593&amp;" "&amp;$CT593&amp;"g"))</f>
        <v/>
      </c>
      <c r="CV593">
        <f>IF($CQ593=0,"",IF($CP593=$CU593,"Repeat Exact",IF($CT593&gt;$CO593,"Upsized",IF($CT593&lt;$CO593,"Downsized",IF($CM593&lt;&gt;$CR593,"Lateral","Same Size Diff Variant")))))</f>
        <v/>
      </c>
      <c r="CW593">
        <f>IF($CQ593=0,"",AZ593-AQ593)</f>
        <v/>
      </c>
      <c r="CX593">
        <f>IF($CQ593=0,0,IF(CS593=CN593,1,0))</f>
        <v/>
      </c>
      <c r="CY593">
        <f>IF($CQ593=0,0,IF(CR593=CM593,1,0))</f>
        <v/>
      </c>
      <c r="CZ593">
        <f>IF($A593="","",IF(AND(IF(DASHBOARD!$C$4="All",TRUE,$CM593=DASHBOARD!$C$4),IF(DASHBOARD!$C$6="All",TRUE,$CP593=DASHBOARD!$C$6),IF(DASHBOARD!$C$8="All",TRUE,$AF593&gt;=DASHBOARD!$C$8),IF(DASHBOARD!$C$10="All",TRUE,$AF593&lt;=DASHBOARD!$C$10),IF(DASHBOARD!$C$12="All",TRUE,$AH593=VALUE(DASHBOARD!$C$12)),IF(DASHBOARD!$C$14="All",TRUE,$AJ593=DASHBOARD!$C$14)),1,0))</f>
        <v/>
      </c>
    </row>
    <row r="594">
      <c r="A594" t="n">
        <v>256781</v>
      </c>
      <c r="B594" t="inlineStr">
        <is>
          <t>Face Malai</t>
        </is>
      </c>
      <c r="H594" t="inlineStr">
        <is>
          <t>Flax Bakuchi (Hot Dry) 35+ Face Malai - 30g</t>
        </is>
      </c>
      <c r="N594" t="inlineStr">
        <is>
          <t>FC-HDDM-FB-030</t>
        </is>
      </c>
      <c r="T594" t="inlineStr">
        <is>
          <t>Apr 2, 2025</t>
        </is>
      </c>
      <c r="AE594" t="inlineStr">
        <is>
          <t>Jaipur</t>
        </is>
      </c>
      <c r="AF594" t="inlineStr">
        <is>
          <t>2025-04</t>
        </is>
      </c>
      <c r="AG594" t="n">
        <v>4</v>
      </c>
      <c r="AH594" t="n">
        <v>1</v>
      </c>
      <c r="AI594" t="n">
        <v>0</v>
      </c>
      <c r="AJ594">
        <f>IF($AE594="","",IFERROR(VLOOKUP(TRIM($AE594),DECODE!$H$3:$I$60,2,FALSE),"Rest of India"))</f>
        <v/>
      </c>
      <c r="AK594">
        <f>IF($N594="","",UPPER(TRIM(LEFT($N594&amp;",",FIND(",",$N594&amp;",")-1))))</f>
        <v/>
      </c>
      <c r="AL594">
        <f>IF($AK594="","",MID($AK594,4,FIND("~",SUBSTITUTE($AK594,"-","~",2))-4))</f>
        <v/>
      </c>
      <c r="AM594">
        <f>IF($AK594="","",MID($AK594,FIND("~",SUBSTITUTE($AK594,"-","~",2))+1,FIND("~",SUBSTITUTE($AK594,"-","~",3))-FIND("~",SUBSTITUTE($AK594,"-","~",2))-1))</f>
        <v/>
      </c>
      <c r="AN594">
        <f>IF($AL594="","",IFERROR(VLOOKUP($AL594,DECODE!$A$3:$C$8,3,FALSE),"?"))</f>
        <v/>
      </c>
      <c r="AO594">
        <f>IF($AM594="","",IFERROR(VLOOKUP($AL594&amp;"-"&amp;$AM594,DECODE!$E$3:$F$21,2,FALSE),"?"))</f>
        <v/>
      </c>
      <c r="AP594">
        <f>IF($AK594="","",IFERROR(VALUE(RIGHT($AK594,3)),""))</f>
        <v/>
      </c>
      <c r="AQ594">
        <f>IF($T594="","",IFERROR(IF(ISNUMBER($T594),$T594,DATEVALUE(TRIM($T594))),""))</f>
        <v/>
      </c>
      <c r="AR594">
        <f>IF($AQ594="","",IF(MONTH($AQ594)&gt;=12,"Cold Winter",IF(MONTH($AQ594)&gt;=10,"Post-Monsoon",IF(MONTH($AQ594)&gt;=6,"Hot Humid",IF(MONTH($AQ594)&gt;=3,"Hot Dry","Cold Winter")))))</f>
        <v/>
      </c>
      <c r="AS594">
        <f>IF($AL594="","",IFERROR(VLOOKUP($AL594,DECODE!$A$3:$C$8,2,FALSE),"?"))</f>
        <v/>
      </c>
      <c r="AT594">
        <f>IF($O594="","",UPPER(TRIM(LEFT($O594&amp;",",FIND(",",$O594&amp;",")-1))))</f>
        <v/>
      </c>
      <c r="AU594">
        <f>IF($AT594="","",MID($AT594,4,FIND("~",SUBSTITUTE($AT594,"-","~",2))-4))</f>
        <v/>
      </c>
      <c r="AV594">
        <f>IF($AT594="","",MID($AT594,FIND("~",SUBSTITUTE($AT594,"-","~",2))+1,FIND("~",SUBSTITUTE($AT594,"-","~",3))-FIND("~",SUBSTITUTE($AT594,"-","~",2))-1))</f>
        <v/>
      </c>
      <c r="AW594">
        <f>IF($AU594="","",IFERROR(VLOOKUP($AU594,DECODE!$A$3:$C$8,3,FALSE),"?"))</f>
        <v/>
      </c>
      <c r="AX594">
        <f>IF($AV594="","",IFERROR(VLOOKUP($AU594&amp;"-"&amp;$AV594,DECODE!$E$3:$F$21,2,FALSE),"?"))</f>
        <v/>
      </c>
      <c r="AY594">
        <f>IF($AT594="","",IFERROR(VALUE(RIGHT($AT594,3)),""))</f>
        <v/>
      </c>
      <c r="AZ594">
        <f>IF($U594="","",IFERROR(IF(ISNUMBER($U594),$U594,DATEVALUE(TRIM($U594))),""))</f>
        <v/>
      </c>
      <c r="BA594">
        <f>IF($AZ594="","",IF(MONTH($AZ594)&gt;=12,"Cold Winter",IF(MONTH($AZ594)&gt;=10,"Post-Monsoon",IF(MONTH($AZ594)&gt;=6,"Hot Humid",IF(MONTH($AZ594)&gt;=3,"Hot Dry","Cold Winter")))))</f>
        <v/>
      </c>
      <c r="BB594">
        <f>IF($AU594="","",IFERROR(VLOOKUP($AU594,DECODE!$A$3:$C$8,2,FALSE),"?"))</f>
        <v/>
      </c>
      <c r="BC594">
        <f>IF($P594="","",UPPER(TRIM(LEFT($P594&amp;",",FIND(",",$P594&amp;",")-1))))</f>
        <v/>
      </c>
      <c r="BD594">
        <f>IF($BC594="","",MID($BC594,4,FIND("~",SUBSTITUTE($BC594,"-","~",2))-4))</f>
        <v/>
      </c>
      <c r="BE594">
        <f>IF($BC594="","",MID($BC594,FIND("~",SUBSTITUTE($BC594,"-","~",2))+1,FIND("~",SUBSTITUTE($BC594,"-","~",3))-FIND("~",SUBSTITUTE($BC594,"-","~",2))-1))</f>
        <v/>
      </c>
      <c r="BF594">
        <f>IF($BD594="","",IFERROR(VLOOKUP($BD594,DECODE!$A$3:$C$8,3,FALSE),"?"))</f>
        <v/>
      </c>
      <c r="BG594">
        <f>IF($BE594="","",IFERROR(VLOOKUP($BD594&amp;"-"&amp;$BE594,DECODE!$E$3:$F$21,2,FALSE),"?"))</f>
        <v/>
      </c>
      <c r="BH594">
        <f>IF($BC594="","",IFERROR(VALUE(RIGHT($BC594,3)),""))</f>
        <v/>
      </c>
      <c r="BI594">
        <f>IF($V594="","",IFERROR(IF(ISNUMBER($V594),$V594,DATEVALUE(TRIM($V594))),""))</f>
        <v/>
      </c>
      <c r="BJ594">
        <f>IF($BI594="","",IF(MONTH($BI594)&gt;=12,"Cold Winter",IF(MONTH($BI594)&gt;=10,"Post-Monsoon",IF(MONTH($BI594)&gt;=6,"Hot Humid",IF(MONTH($BI594)&gt;=3,"Hot Dry","Cold Winter")))))</f>
        <v/>
      </c>
      <c r="BK594">
        <f>IF($BD594="","",IFERROR(VLOOKUP($BD594,DECODE!$A$3:$C$8,2,FALSE),"?"))</f>
        <v/>
      </c>
      <c r="BL594">
        <f>IF($Q594="","",UPPER(TRIM(LEFT($Q594&amp;",",FIND(",",$Q594&amp;",")-1))))</f>
        <v/>
      </c>
      <c r="BM594">
        <f>IF($BL594="","",MID($BL594,4,FIND("~",SUBSTITUTE($BL594,"-","~",2))-4))</f>
        <v/>
      </c>
      <c r="BN594">
        <f>IF($BL594="","",MID($BL594,FIND("~",SUBSTITUTE($BL594,"-","~",2))+1,FIND("~",SUBSTITUTE($BL594,"-","~",3))-FIND("~",SUBSTITUTE($BL594,"-","~",2))-1))</f>
        <v/>
      </c>
      <c r="BO594">
        <f>IF($BM594="","",IFERROR(VLOOKUP($BM594,DECODE!$A$3:$C$8,3,FALSE),"?"))</f>
        <v/>
      </c>
      <c r="BP594">
        <f>IF($BN594="","",IFERROR(VLOOKUP($BM594&amp;"-"&amp;$BN594,DECODE!$E$3:$F$21,2,FALSE),"?"))</f>
        <v/>
      </c>
      <c r="BQ594">
        <f>IF($BL594="","",IFERROR(VALUE(RIGHT($BL594,3)),""))</f>
        <v/>
      </c>
      <c r="BR594">
        <f>IF($W594="","",IFERROR(IF(ISNUMBER($W594),$W594,DATEVALUE(TRIM($W594))),""))</f>
        <v/>
      </c>
      <c r="BS594">
        <f>IF($BR594="","",IF(MONTH($BR594)&gt;=12,"Cold Winter",IF(MONTH($BR594)&gt;=10,"Post-Monsoon",IF(MONTH($BR594)&gt;=6,"Hot Humid",IF(MONTH($BR594)&gt;=3,"Hot Dry","Cold Winter")))))</f>
        <v/>
      </c>
      <c r="BT594">
        <f>IF($BM594="","",IFERROR(VLOOKUP($BM594,DECODE!$A$3:$C$8,2,FALSE),"?"))</f>
        <v/>
      </c>
      <c r="BU594">
        <f>IF($R594="","",UPPER(TRIM(LEFT($R594&amp;",",FIND(",",$R594&amp;",")-1))))</f>
        <v/>
      </c>
      <c r="BV594">
        <f>IF($BU594="","",MID($BU594,4,FIND("~",SUBSTITUTE($BU594,"-","~",2))-4))</f>
        <v/>
      </c>
      <c r="BW594">
        <f>IF($BU594="","",MID($BU594,FIND("~",SUBSTITUTE($BU594,"-","~",2))+1,FIND("~",SUBSTITUTE($BU594,"-","~",3))-FIND("~",SUBSTITUTE($BU594,"-","~",2))-1))</f>
        <v/>
      </c>
      <c r="BX594">
        <f>IF($BV594="","",IFERROR(VLOOKUP($BV594,DECODE!$A$3:$C$8,3,FALSE),"?"))</f>
        <v/>
      </c>
      <c r="BY594">
        <f>IF($BW594="","",IFERROR(VLOOKUP($BV594&amp;"-"&amp;$BW594,DECODE!$E$3:$F$21,2,FALSE),"?"))</f>
        <v/>
      </c>
      <c r="BZ594">
        <f>IF($BU594="","",IFERROR(VALUE(RIGHT($BU594,3)),""))</f>
        <v/>
      </c>
      <c r="CA594">
        <f>IF($X594="","",IFERROR(IF(ISNUMBER($X594),$X594,DATEVALUE(TRIM($X594))),""))</f>
        <v/>
      </c>
      <c r="CB594">
        <f>IF($CA594="","",IF(MONTH($CA594)&gt;=12,"Cold Winter",IF(MONTH($CA594)&gt;=10,"Post-Monsoon",IF(MONTH($CA594)&gt;=6,"Hot Humid",IF(MONTH($CA594)&gt;=3,"Hot Dry","Cold Winter")))))</f>
        <v/>
      </c>
      <c r="CC594">
        <f>IF($BV594="","",IFERROR(VLOOKUP($BV594,DECODE!$A$3:$C$8,2,FALSE),"?"))</f>
        <v/>
      </c>
      <c r="CD594">
        <f>IF($S594="","",UPPER(TRIM(LEFT($S594&amp;",",FIND(",",$S594&amp;",")-1))))</f>
        <v/>
      </c>
      <c r="CE594">
        <f>IF($CD594="","",MID($CD594,4,FIND("~",SUBSTITUTE($CD594,"-","~",2))-4))</f>
        <v/>
      </c>
      <c r="CF594">
        <f>IF($CD594="","",MID($CD594,FIND("~",SUBSTITUTE($CD594,"-","~",2))+1,FIND("~",SUBSTITUTE($CD594,"-","~",3))-FIND("~",SUBSTITUTE($CD594,"-","~",2))-1))</f>
        <v/>
      </c>
      <c r="CG594">
        <f>IF($CE594="","",IFERROR(VLOOKUP($CE594,DECODE!$A$3:$C$8,3,FALSE),"?"))</f>
        <v/>
      </c>
      <c r="CH594">
        <f>IF($CF594="","",IFERROR(VLOOKUP($CE594&amp;"-"&amp;$CF594,DECODE!$E$3:$F$21,2,FALSE),"?"))</f>
        <v/>
      </c>
      <c r="CI594">
        <f>IF($CD594="","",IFERROR(VALUE(RIGHT($CD594,3)),""))</f>
        <v/>
      </c>
      <c r="CJ594">
        <f>IF($Y594="","",IFERROR(IF(ISNUMBER($Y594),$Y594,DATEVALUE(TRIM($Y594))),""))</f>
        <v/>
      </c>
      <c r="CK594">
        <f>IF($CJ594="","",IF(MONTH($CJ594)&gt;=12,"Cold Winter",IF(MONTH($CJ594)&gt;=10,"Post-Monsoon",IF(MONTH($CJ594)&gt;=6,"Hot Humid",IF(MONTH($CJ594)&gt;=3,"Hot Dry","Cold Winter")))))</f>
        <v/>
      </c>
      <c r="CL594">
        <f>IF($CE594="","",IFERROR(VLOOKUP($CE594,DECODE!$A$3:$C$8,2,FALSE),"?"))</f>
        <v/>
      </c>
      <c r="CM594">
        <f>IF($AN594="","",AN594)</f>
        <v/>
      </c>
      <c r="CN594">
        <f>IF($AO594="","",AO594)</f>
        <v/>
      </c>
      <c r="CO594">
        <f>IF($AP594="","",AP594)</f>
        <v/>
      </c>
      <c r="CP594">
        <f>IF($CM594="","",IF($CM594="Aloe Vera Gel","Aloe Vera Gel "&amp;$CO594&amp;"g",CN594&amp;" "&amp;$CO594&amp;"g"))</f>
        <v/>
      </c>
      <c r="CQ594">
        <f>IF($AT594="",0,1)</f>
        <v/>
      </c>
      <c r="CR594">
        <f>IF($CQ594=0,"",AW594)</f>
        <v/>
      </c>
      <c r="CS594">
        <f>IF($CQ594=0,"",AX594)</f>
        <v/>
      </c>
      <c r="CT594">
        <f>IF($CQ594=0,"",AY594)</f>
        <v/>
      </c>
      <c r="CU594">
        <f>IF($CR594="","",IF($CR594="Aloe Vera Gel","Aloe Vera Gel "&amp;$CT594&amp;"g",CS594&amp;" "&amp;$CT594&amp;"g"))</f>
        <v/>
      </c>
      <c r="CV594">
        <f>IF($CQ594=0,"",IF($CP594=$CU594,"Repeat Exact",IF($CT594&gt;$CO594,"Upsized",IF($CT594&lt;$CO594,"Downsized",IF($CM594&lt;&gt;$CR594,"Lateral","Same Size Diff Variant")))))</f>
        <v/>
      </c>
      <c r="CW594">
        <f>IF($CQ594=0,"",AZ594-AQ594)</f>
        <v/>
      </c>
      <c r="CX594">
        <f>IF($CQ594=0,0,IF(CS594=CN594,1,0))</f>
        <v/>
      </c>
      <c r="CY594">
        <f>IF($CQ594=0,0,IF(CR594=CM594,1,0))</f>
        <v/>
      </c>
      <c r="CZ594">
        <f>IF($A594="","",IF(AND(IF(DASHBOARD!$C$4="All",TRUE,$CM594=DASHBOARD!$C$4),IF(DASHBOARD!$C$6="All",TRUE,$CP594=DASHBOARD!$C$6),IF(DASHBOARD!$C$8="All",TRUE,$AF594&gt;=DASHBOARD!$C$8),IF(DASHBOARD!$C$10="All",TRUE,$AF594&lt;=DASHBOARD!$C$10),IF(DASHBOARD!$C$12="All",TRUE,$AH594=VALUE(DASHBOARD!$C$12)),IF(DASHBOARD!$C$14="All",TRUE,$AJ594=DASHBOARD!$C$14)),1,0))</f>
        <v/>
      </c>
    </row>
    <row r="595">
      <c r="A595" t="n">
        <v>256829</v>
      </c>
      <c r="B595" t="inlineStr">
        <is>
          <t>Active Gel</t>
        </is>
      </c>
      <c r="H595" t="inlineStr">
        <is>
          <t>Active Orange Kiwi Vit-C Gel</t>
        </is>
      </c>
      <c r="N595" t="inlineStr">
        <is>
          <t>FC-AC-OK-050</t>
        </is>
      </c>
      <c r="T595" t="inlineStr">
        <is>
          <t>Jul 23, 2025</t>
        </is>
      </c>
      <c r="AE595" t="inlineStr">
        <is>
          <t>Calicut</t>
        </is>
      </c>
      <c r="AF595" t="inlineStr">
        <is>
          <t>2025-07</t>
        </is>
      </c>
      <c r="AG595" t="n">
        <v>7</v>
      </c>
      <c r="AH595" t="n">
        <v>1</v>
      </c>
      <c r="AI595" t="n">
        <v>0</v>
      </c>
      <c r="AJ595">
        <f>IF($AE595="","",IFERROR(VLOOKUP(TRIM($AE595),DECODE!$H$3:$I$60,2,FALSE),"Rest of India"))</f>
        <v/>
      </c>
      <c r="AK595">
        <f>IF($N595="","",UPPER(TRIM(LEFT($N595&amp;",",FIND(",",$N595&amp;",")-1))))</f>
        <v/>
      </c>
      <c r="AL595">
        <f>IF($AK595="","",MID($AK595,4,FIND("~",SUBSTITUTE($AK595,"-","~",2))-4))</f>
        <v/>
      </c>
      <c r="AM595">
        <f>IF($AK595="","",MID($AK595,FIND("~",SUBSTITUTE($AK595,"-","~",2))+1,FIND("~",SUBSTITUTE($AK595,"-","~",3))-FIND("~",SUBSTITUTE($AK595,"-","~",2))-1))</f>
        <v/>
      </c>
      <c r="AN595">
        <f>IF($AL595="","",IFERROR(VLOOKUP($AL595,DECODE!$A$3:$C$8,3,FALSE),"?"))</f>
        <v/>
      </c>
      <c r="AO595">
        <f>IF($AM595="","",IFERROR(VLOOKUP($AL595&amp;"-"&amp;$AM595,DECODE!$E$3:$F$21,2,FALSE),"?"))</f>
        <v/>
      </c>
      <c r="AP595">
        <f>IF($AK595="","",IFERROR(VALUE(RIGHT($AK595,3)),""))</f>
        <v/>
      </c>
      <c r="AQ595">
        <f>IF($T595="","",IFERROR(IF(ISNUMBER($T595),$T595,DATEVALUE(TRIM($T595))),""))</f>
        <v/>
      </c>
      <c r="AR595">
        <f>IF($AQ595="","",IF(MONTH($AQ595)&gt;=12,"Cold Winter",IF(MONTH($AQ595)&gt;=10,"Post-Monsoon",IF(MONTH($AQ595)&gt;=6,"Hot Humid",IF(MONTH($AQ595)&gt;=3,"Hot Dry","Cold Winter")))))</f>
        <v/>
      </c>
      <c r="AS595">
        <f>IF($AL595="","",IFERROR(VLOOKUP($AL595,DECODE!$A$3:$C$8,2,FALSE),"?"))</f>
        <v/>
      </c>
      <c r="AT595">
        <f>IF($O595="","",UPPER(TRIM(LEFT($O595&amp;",",FIND(",",$O595&amp;",")-1))))</f>
        <v/>
      </c>
      <c r="AU595">
        <f>IF($AT595="","",MID($AT595,4,FIND("~",SUBSTITUTE($AT595,"-","~",2))-4))</f>
        <v/>
      </c>
      <c r="AV595">
        <f>IF($AT595="","",MID($AT595,FIND("~",SUBSTITUTE($AT595,"-","~",2))+1,FIND("~",SUBSTITUTE($AT595,"-","~",3))-FIND("~",SUBSTITUTE($AT595,"-","~",2))-1))</f>
        <v/>
      </c>
      <c r="AW595">
        <f>IF($AU595="","",IFERROR(VLOOKUP($AU595,DECODE!$A$3:$C$8,3,FALSE),"?"))</f>
        <v/>
      </c>
      <c r="AX595">
        <f>IF($AV595="","",IFERROR(VLOOKUP($AU595&amp;"-"&amp;$AV595,DECODE!$E$3:$F$21,2,FALSE),"?"))</f>
        <v/>
      </c>
      <c r="AY595">
        <f>IF($AT595="","",IFERROR(VALUE(RIGHT($AT595,3)),""))</f>
        <v/>
      </c>
      <c r="AZ595">
        <f>IF($U595="","",IFERROR(IF(ISNUMBER($U595),$U595,DATEVALUE(TRIM($U595))),""))</f>
        <v/>
      </c>
      <c r="BA595">
        <f>IF($AZ595="","",IF(MONTH($AZ595)&gt;=12,"Cold Winter",IF(MONTH($AZ595)&gt;=10,"Post-Monsoon",IF(MONTH($AZ595)&gt;=6,"Hot Humid",IF(MONTH($AZ595)&gt;=3,"Hot Dry","Cold Winter")))))</f>
        <v/>
      </c>
      <c r="BB595">
        <f>IF($AU595="","",IFERROR(VLOOKUP($AU595,DECODE!$A$3:$C$8,2,FALSE),"?"))</f>
        <v/>
      </c>
      <c r="BC595">
        <f>IF($P595="","",UPPER(TRIM(LEFT($P595&amp;",",FIND(",",$P595&amp;",")-1))))</f>
        <v/>
      </c>
      <c r="BD595">
        <f>IF($BC595="","",MID($BC595,4,FIND("~",SUBSTITUTE($BC595,"-","~",2))-4))</f>
        <v/>
      </c>
      <c r="BE595">
        <f>IF($BC595="","",MID($BC595,FIND("~",SUBSTITUTE($BC595,"-","~",2))+1,FIND("~",SUBSTITUTE($BC595,"-","~",3))-FIND("~",SUBSTITUTE($BC595,"-","~",2))-1))</f>
        <v/>
      </c>
      <c r="BF595">
        <f>IF($BD595="","",IFERROR(VLOOKUP($BD595,DECODE!$A$3:$C$8,3,FALSE),"?"))</f>
        <v/>
      </c>
      <c r="BG595">
        <f>IF($BE595="","",IFERROR(VLOOKUP($BD595&amp;"-"&amp;$BE595,DECODE!$E$3:$F$21,2,FALSE),"?"))</f>
        <v/>
      </c>
      <c r="BH595">
        <f>IF($BC595="","",IFERROR(VALUE(RIGHT($BC595,3)),""))</f>
        <v/>
      </c>
      <c r="BI595">
        <f>IF($V595="","",IFERROR(IF(ISNUMBER($V595),$V595,DATEVALUE(TRIM($V595))),""))</f>
        <v/>
      </c>
      <c r="BJ595">
        <f>IF($BI595="","",IF(MONTH($BI595)&gt;=12,"Cold Winter",IF(MONTH($BI595)&gt;=10,"Post-Monsoon",IF(MONTH($BI595)&gt;=6,"Hot Humid",IF(MONTH($BI595)&gt;=3,"Hot Dry","Cold Winter")))))</f>
        <v/>
      </c>
      <c r="BK595">
        <f>IF($BD595="","",IFERROR(VLOOKUP($BD595,DECODE!$A$3:$C$8,2,FALSE),"?"))</f>
        <v/>
      </c>
      <c r="BL595">
        <f>IF($Q595="","",UPPER(TRIM(LEFT($Q595&amp;",",FIND(",",$Q595&amp;",")-1))))</f>
        <v/>
      </c>
      <c r="BM595">
        <f>IF($BL595="","",MID($BL595,4,FIND("~",SUBSTITUTE($BL595,"-","~",2))-4))</f>
        <v/>
      </c>
      <c r="BN595">
        <f>IF($BL595="","",MID($BL595,FIND("~",SUBSTITUTE($BL595,"-","~",2))+1,FIND("~",SUBSTITUTE($BL595,"-","~",3))-FIND("~",SUBSTITUTE($BL595,"-","~",2))-1))</f>
        <v/>
      </c>
      <c r="BO595">
        <f>IF($BM595="","",IFERROR(VLOOKUP($BM595,DECODE!$A$3:$C$8,3,FALSE),"?"))</f>
        <v/>
      </c>
      <c r="BP595">
        <f>IF($BN595="","",IFERROR(VLOOKUP($BM595&amp;"-"&amp;$BN595,DECODE!$E$3:$F$21,2,FALSE),"?"))</f>
        <v/>
      </c>
      <c r="BQ595">
        <f>IF($BL595="","",IFERROR(VALUE(RIGHT($BL595,3)),""))</f>
        <v/>
      </c>
      <c r="BR595">
        <f>IF($W595="","",IFERROR(IF(ISNUMBER($W595),$W595,DATEVALUE(TRIM($W595))),""))</f>
        <v/>
      </c>
      <c r="BS595">
        <f>IF($BR595="","",IF(MONTH($BR595)&gt;=12,"Cold Winter",IF(MONTH($BR595)&gt;=10,"Post-Monsoon",IF(MONTH($BR595)&gt;=6,"Hot Humid",IF(MONTH($BR595)&gt;=3,"Hot Dry","Cold Winter")))))</f>
        <v/>
      </c>
      <c r="BT595">
        <f>IF($BM595="","",IFERROR(VLOOKUP($BM595,DECODE!$A$3:$C$8,2,FALSE),"?"))</f>
        <v/>
      </c>
      <c r="BU595">
        <f>IF($R595="","",UPPER(TRIM(LEFT($R595&amp;",",FIND(",",$R595&amp;",")-1))))</f>
        <v/>
      </c>
      <c r="BV595">
        <f>IF($BU595="","",MID($BU595,4,FIND("~",SUBSTITUTE($BU595,"-","~",2))-4))</f>
        <v/>
      </c>
      <c r="BW595">
        <f>IF($BU595="","",MID($BU595,FIND("~",SUBSTITUTE($BU595,"-","~",2))+1,FIND("~",SUBSTITUTE($BU595,"-","~",3))-FIND("~",SUBSTITUTE($BU595,"-","~",2))-1))</f>
        <v/>
      </c>
      <c r="BX595">
        <f>IF($BV595="","",IFERROR(VLOOKUP($BV595,DECODE!$A$3:$C$8,3,FALSE),"?"))</f>
        <v/>
      </c>
      <c r="BY595">
        <f>IF($BW595="","",IFERROR(VLOOKUP($BV595&amp;"-"&amp;$BW595,DECODE!$E$3:$F$21,2,FALSE),"?"))</f>
        <v/>
      </c>
      <c r="BZ595">
        <f>IF($BU595="","",IFERROR(VALUE(RIGHT($BU595,3)),""))</f>
        <v/>
      </c>
      <c r="CA595">
        <f>IF($X595="","",IFERROR(IF(ISNUMBER($X595),$X595,DATEVALUE(TRIM($X595))),""))</f>
        <v/>
      </c>
      <c r="CB595">
        <f>IF($CA595="","",IF(MONTH($CA595)&gt;=12,"Cold Winter",IF(MONTH($CA595)&gt;=10,"Post-Monsoon",IF(MONTH($CA595)&gt;=6,"Hot Humid",IF(MONTH($CA595)&gt;=3,"Hot Dry","Cold Winter")))))</f>
        <v/>
      </c>
      <c r="CC595">
        <f>IF($BV595="","",IFERROR(VLOOKUP($BV595,DECODE!$A$3:$C$8,2,FALSE),"?"))</f>
        <v/>
      </c>
      <c r="CD595">
        <f>IF($S595="","",UPPER(TRIM(LEFT($S595&amp;",",FIND(",",$S595&amp;",")-1))))</f>
        <v/>
      </c>
      <c r="CE595">
        <f>IF($CD595="","",MID($CD595,4,FIND("~",SUBSTITUTE($CD595,"-","~",2))-4))</f>
        <v/>
      </c>
      <c r="CF595">
        <f>IF($CD595="","",MID($CD595,FIND("~",SUBSTITUTE($CD595,"-","~",2))+1,FIND("~",SUBSTITUTE($CD595,"-","~",3))-FIND("~",SUBSTITUTE($CD595,"-","~",2))-1))</f>
        <v/>
      </c>
      <c r="CG595">
        <f>IF($CE595="","",IFERROR(VLOOKUP($CE595,DECODE!$A$3:$C$8,3,FALSE),"?"))</f>
        <v/>
      </c>
      <c r="CH595">
        <f>IF($CF595="","",IFERROR(VLOOKUP($CE595&amp;"-"&amp;$CF595,DECODE!$E$3:$F$21,2,FALSE),"?"))</f>
        <v/>
      </c>
      <c r="CI595">
        <f>IF($CD595="","",IFERROR(VALUE(RIGHT($CD595,3)),""))</f>
        <v/>
      </c>
      <c r="CJ595">
        <f>IF($Y595="","",IFERROR(IF(ISNUMBER($Y595),$Y595,DATEVALUE(TRIM($Y595))),""))</f>
        <v/>
      </c>
      <c r="CK595">
        <f>IF($CJ595="","",IF(MONTH($CJ595)&gt;=12,"Cold Winter",IF(MONTH($CJ595)&gt;=10,"Post-Monsoon",IF(MONTH($CJ595)&gt;=6,"Hot Humid",IF(MONTH($CJ595)&gt;=3,"Hot Dry","Cold Winter")))))</f>
        <v/>
      </c>
      <c r="CL595">
        <f>IF($CE595="","",IFERROR(VLOOKUP($CE595,DECODE!$A$3:$C$8,2,FALSE),"?"))</f>
        <v/>
      </c>
      <c r="CM595">
        <f>IF($AN595="","",AN595)</f>
        <v/>
      </c>
      <c r="CN595">
        <f>IF($AO595="","",AO595)</f>
        <v/>
      </c>
      <c r="CO595">
        <f>IF($AP595="","",AP595)</f>
        <v/>
      </c>
      <c r="CP595">
        <f>IF($CM595="","",IF($CM595="Aloe Vera Gel","Aloe Vera Gel "&amp;$CO595&amp;"g",CN595&amp;" "&amp;$CO595&amp;"g"))</f>
        <v/>
      </c>
      <c r="CQ595">
        <f>IF($AT595="",0,1)</f>
        <v/>
      </c>
      <c r="CR595">
        <f>IF($CQ595=0,"",AW595)</f>
        <v/>
      </c>
      <c r="CS595">
        <f>IF($CQ595=0,"",AX595)</f>
        <v/>
      </c>
      <c r="CT595">
        <f>IF($CQ595=0,"",AY595)</f>
        <v/>
      </c>
      <c r="CU595">
        <f>IF($CR595="","",IF($CR595="Aloe Vera Gel","Aloe Vera Gel "&amp;$CT595&amp;"g",CS595&amp;" "&amp;$CT595&amp;"g"))</f>
        <v/>
      </c>
      <c r="CV595">
        <f>IF($CQ595=0,"",IF($CP595=$CU595,"Repeat Exact",IF($CT595&gt;$CO595,"Upsized",IF($CT595&lt;$CO595,"Downsized",IF($CM595&lt;&gt;$CR595,"Lateral","Same Size Diff Variant")))))</f>
        <v/>
      </c>
      <c r="CW595">
        <f>IF($CQ595=0,"",AZ595-AQ595)</f>
        <v/>
      </c>
      <c r="CX595">
        <f>IF($CQ595=0,0,IF(CS595=CN595,1,0))</f>
        <v/>
      </c>
      <c r="CY595">
        <f>IF($CQ595=0,0,IF(CR595=CM595,1,0))</f>
        <v/>
      </c>
      <c r="CZ595">
        <f>IF($A595="","",IF(AND(IF(DASHBOARD!$C$4="All",TRUE,$CM595=DASHBOARD!$C$4),IF(DASHBOARD!$C$6="All",TRUE,$CP595=DASHBOARD!$C$6),IF(DASHBOARD!$C$8="All",TRUE,$AF595&gt;=DASHBOARD!$C$8),IF(DASHBOARD!$C$10="All",TRUE,$AF595&lt;=DASHBOARD!$C$10),IF(DASHBOARD!$C$12="All",TRUE,$AH595=VALUE(DASHBOARD!$C$12)),IF(DASHBOARD!$C$14="All",TRUE,$AJ595=DASHBOARD!$C$14)),1,0))</f>
        <v/>
      </c>
    </row>
    <row r="596">
      <c r="A596" t="n">
        <v>257189</v>
      </c>
      <c r="B596" t="inlineStr">
        <is>
          <t>Face Malai</t>
        </is>
      </c>
      <c r="C596" t="inlineStr">
        <is>
          <t>Face Malai</t>
        </is>
      </c>
      <c r="H596" t="inlineStr">
        <is>
          <t>Flax Bakuchi (Hot Dry) 35+ Face Malai - 50g</t>
        </is>
      </c>
      <c r="I596" t="inlineStr">
        <is>
          <t>Honey Multi-Nut (Dry &amp; Peeling Skin) Face Malai</t>
        </is>
      </c>
      <c r="N596" t="inlineStr">
        <is>
          <t>FC-HDDM-FB-050</t>
        </is>
      </c>
      <c r="O596" t="inlineStr">
        <is>
          <t>FC-DM-DP-030</t>
        </is>
      </c>
      <c r="T596" t="inlineStr">
        <is>
          <t>Jan 15, 2026</t>
        </is>
      </c>
      <c r="U596" t="inlineStr">
        <is>
          <t>Feb 19, 2026</t>
        </is>
      </c>
      <c r="Z596" t="n">
        <v>35</v>
      </c>
      <c r="AE596" t="inlineStr">
        <is>
          <t>Chennai</t>
        </is>
      </c>
      <c r="AF596" t="inlineStr">
        <is>
          <t>2026-01</t>
        </is>
      </c>
      <c r="AG596" t="n">
        <v>1</v>
      </c>
      <c r="AH596" t="n">
        <v>2</v>
      </c>
      <c r="AI596" t="n">
        <v>1</v>
      </c>
      <c r="AJ596">
        <f>IF($AE596="","",IFERROR(VLOOKUP(TRIM($AE596),DECODE!$H$3:$I$60,2,FALSE),"Rest of India"))</f>
        <v/>
      </c>
      <c r="AK596">
        <f>IF($N596="","",UPPER(TRIM(LEFT($N596&amp;",",FIND(",",$N596&amp;",")-1))))</f>
        <v/>
      </c>
      <c r="AL596">
        <f>IF($AK596="","",MID($AK596,4,FIND("~",SUBSTITUTE($AK596,"-","~",2))-4))</f>
        <v/>
      </c>
      <c r="AM596">
        <f>IF($AK596="","",MID($AK596,FIND("~",SUBSTITUTE($AK596,"-","~",2))+1,FIND("~",SUBSTITUTE($AK596,"-","~",3))-FIND("~",SUBSTITUTE($AK596,"-","~",2))-1))</f>
        <v/>
      </c>
      <c r="AN596">
        <f>IF($AL596="","",IFERROR(VLOOKUP($AL596,DECODE!$A$3:$C$8,3,FALSE),"?"))</f>
        <v/>
      </c>
      <c r="AO596">
        <f>IF($AM596="","",IFERROR(VLOOKUP($AL596&amp;"-"&amp;$AM596,DECODE!$E$3:$F$21,2,FALSE),"?"))</f>
        <v/>
      </c>
      <c r="AP596">
        <f>IF($AK596="","",IFERROR(VALUE(RIGHT($AK596,3)),""))</f>
        <v/>
      </c>
      <c r="AQ596">
        <f>IF($T596="","",IFERROR(IF(ISNUMBER($T596),$T596,DATEVALUE(TRIM($T596))),""))</f>
        <v/>
      </c>
      <c r="AR596">
        <f>IF($AQ596="","",IF(MONTH($AQ596)&gt;=12,"Cold Winter",IF(MONTH($AQ596)&gt;=10,"Post-Monsoon",IF(MONTH($AQ596)&gt;=6,"Hot Humid",IF(MONTH($AQ596)&gt;=3,"Hot Dry","Cold Winter")))))</f>
        <v/>
      </c>
      <c r="AS596">
        <f>IF($AL596="","",IFERROR(VLOOKUP($AL596,DECODE!$A$3:$C$8,2,FALSE),"?"))</f>
        <v/>
      </c>
      <c r="AT596">
        <f>IF($O596="","",UPPER(TRIM(LEFT($O596&amp;",",FIND(",",$O596&amp;",")-1))))</f>
        <v/>
      </c>
      <c r="AU596">
        <f>IF($AT596="","",MID($AT596,4,FIND("~",SUBSTITUTE($AT596,"-","~",2))-4))</f>
        <v/>
      </c>
      <c r="AV596">
        <f>IF($AT596="","",MID($AT596,FIND("~",SUBSTITUTE($AT596,"-","~",2))+1,FIND("~",SUBSTITUTE($AT596,"-","~",3))-FIND("~",SUBSTITUTE($AT596,"-","~",2))-1))</f>
        <v/>
      </c>
      <c r="AW596">
        <f>IF($AU596="","",IFERROR(VLOOKUP($AU596,DECODE!$A$3:$C$8,3,FALSE),"?"))</f>
        <v/>
      </c>
      <c r="AX596">
        <f>IF($AV596="","",IFERROR(VLOOKUP($AU596&amp;"-"&amp;$AV596,DECODE!$E$3:$F$21,2,FALSE),"?"))</f>
        <v/>
      </c>
      <c r="AY596">
        <f>IF($AT596="","",IFERROR(VALUE(RIGHT($AT596,3)),""))</f>
        <v/>
      </c>
      <c r="AZ596">
        <f>IF($U596="","",IFERROR(IF(ISNUMBER($U596),$U596,DATEVALUE(TRIM($U596))),""))</f>
        <v/>
      </c>
      <c r="BA596">
        <f>IF($AZ596="","",IF(MONTH($AZ596)&gt;=12,"Cold Winter",IF(MONTH($AZ596)&gt;=10,"Post-Monsoon",IF(MONTH($AZ596)&gt;=6,"Hot Humid",IF(MONTH($AZ596)&gt;=3,"Hot Dry","Cold Winter")))))</f>
        <v/>
      </c>
      <c r="BB596">
        <f>IF($AU596="","",IFERROR(VLOOKUP($AU596,DECODE!$A$3:$C$8,2,FALSE),"?"))</f>
        <v/>
      </c>
      <c r="BC596">
        <f>IF($P596="","",UPPER(TRIM(LEFT($P596&amp;",",FIND(",",$P596&amp;",")-1))))</f>
        <v/>
      </c>
      <c r="BD596">
        <f>IF($BC596="","",MID($BC596,4,FIND("~",SUBSTITUTE($BC596,"-","~",2))-4))</f>
        <v/>
      </c>
      <c r="BE596">
        <f>IF($BC596="","",MID($BC596,FIND("~",SUBSTITUTE($BC596,"-","~",2))+1,FIND("~",SUBSTITUTE($BC596,"-","~",3))-FIND("~",SUBSTITUTE($BC596,"-","~",2))-1))</f>
        <v/>
      </c>
      <c r="BF596">
        <f>IF($BD596="","",IFERROR(VLOOKUP($BD596,DECODE!$A$3:$C$8,3,FALSE),"?"))</f>
        <v/>
      </c>
      <c r="BG596">
        <f>IF($BE596="","",IFERROR(VLOOKUP($BD596&amp;"-"&amp;$BE596,DECODE!$E$3:$F$21,2,FALSE),"?"))</f>
        <v/>
      </c>
      <c r="BH596">
        <f>IF($BC596="","",IFERROR(VALUE(RIGHT($BC596,3)),""))</f>
        <v/>
      </c>
      <c r="BI596">
        <f>IF($V596="","",IFERROR(IF(ISNUMBER($V596),$V596,DATEVALUE(TRIM($V596))),""))</f>
        <v/>
      </c>
      <c r="BJ596">
        <f>IF($BI596="","",IF(MONTH($BI596)&gt;=12,"Cold Winter",IF(MONTH($BI596)&gt;=10,"Post-Monsoon",IF(MONTH($BI596)&gt;=6,"Hot Humid",IF(MONTH($BI596)&gt;=3,"Hot Dry","Cold Winter")))))</f>
        <v/>
      </c>
      <c r="BK596">
        <f>IF($BD596="","",IFERROR(VLOOKUP($BD596,DECODE!$A$3:$C$8,2,FALSE),"?"))</f>
        <v/>
      </c>
      <c r="BL596">
        <f>IF($Q596="","",UPPER(TRIM(LEFT($Q596&amp;",",FIND(",",$Q596&amp;",")-1))))</f>
        <v/>
      </c>
      <c r="BM596">
        <f>IF($BL596="","",MID($BL596,4,FIND("~",SUBSTITUTE($BL596,"-","~",2))-4))</f>
        <v/>
      </c>
      <c r="BN596">
        <f>IF($BL596="","",MID($BL596,FIND("~",SUBSTITUTE($BL596,"-","~",2))+1,FIND("~",SUBSTITUTE($BL596,"-","~",3))-FIND("~",SUBSTITUTE($BL596,"-","~",2))-1))</f>
        <v/>
      </c>
      <c r="BO596">
        <f>IF($BM596="","",IFERROR(VLOOKUP($BM596,DECODE!$A$3:$C$8,3,FALSE),"?"))</f>
        <v/>
      </c>
      <c r="BP596">
        <f>IF($BN596="","",IFERROR(VLOOKUP($BM596&amp;"-"&amp;$BN596,DECODE!$E$3:$F$21,2,FALSE),"?"))</f>
        <v/>
      </c>
      <c r="BQ596">
        <f>IF($BL596="","",IFERROR(VALUE(RIGHT($BL596,3)),""))</f>
        <v/>
      </c>
      <c r="BR596">
        <f>IF($W596="","",IFERROR(IF(ISNUMBER($W596),$W596,DATEVALUE(TRIM($W596))),""))</f>
        <v/>
      </c>
      <c r="BS596">
        <f>IF($BR596="","",IF(MONTH($BR596)&gt;=12,"Cold Winter",IF(MONTH($BR596)&gt;=10,"Post-Monsoon",IF(MONTH($BR596)&gt;=6,"Hot Humid",IF(MONTH($BR596)&gt;=3,"Hot Dry","Cold Winter")))))</f>
        <v/>
      </c>
      <c r="BT596">
        <f>IF($BM596="","",IFERROR(VLOOKUP($BM596,DECODE!$A$3:$C$8,2,FALSE),"?"))</f>
        <v/>
      </c>
      <c r="BU596">
        <f>IF($R596="","",UPPER(TRIM(LEFT($R596&amp;",",FIND(",",$R596&amp;",")-1))))</f>
        <v/>
      </c>
      <c r="BV596">
        <f>IF($BU596="","",MID($BU596,4,FIND("~",SUBSTITUTE($BU596,"-","~",2))-4))</f>
        <v/>
      </c>
      <c r="BW596">
        <f>IF($BU596="","",MID($BU596,FIND("~",SUBSTITUTE($BU596,"-","~",2))+1,FIND("~",SUBSTITUTE($BU596,"-","~",3))-FIND("~",SUBSTITUTE($BU596,"-","~",2))-1))</f>
        <v/>
      </c>
      <c r="BX596">
        <f>IF($BV596="","",IFERROR(VLOOKUP($BV596,DECODE!$A$3:$C$8,3,FALSE),"?"))</f>
        <v/>
      </c>
      <c r="BY596">
        <f>IF($BW596="","",IFERROR(VLOOKUP($BV596&amp;"-"&amp;$BW596,DECODE!$E$3:$F$21,2,FALSE),"?"))</f>
        <v/>
      </c>
      <c r="BZ596">
        <f>IF($BU596="","",IFERROR(VALUE(RIGHT($BU596,3)),""))</f>
        <v/>
      </c>
      <c r="CA596">
        <f>IF($X596="","",IFERROR(IF(ISNUMBER($X596),$X596,DATEVALUE(TRIM($X596))),""))</f>
        <v/>
      </c>
      <c r="CB596">
        <f>IF($CA596="","",IF(MONTH($CA596)&gt;=12,"Cold Winter",IF(MONTH($CA596)&gt;=10,"Post-Monsoon",IF(MONTH($CA596)&gt;=6,"Hot Humid",IF(MONTH($CA596)&gt;=3,"Hot Dry","Cold Winter")))))</f>
        <v/>
      </c>
      <c r="CC596">
        <f>IF($BV596="","",IFERROR(VLOOKUP($BV596,DECODE!$A$3:$C$8,2,FALSE),"?"))</f>
        <v/>
      </c>
      <c r="CD596">
        <f>IF($S596="","",UPPER(TRIM(LEFT($S596&amp;",",FIND(",",$S596&amp;",")-1))))</f>
        <v/>
      </c>
      <c r="CE596">
        <f>IF($CD596="","",MID($CD596,4,FIND("~",SUBSTITUTE($CD596,"-","~",2))-4))</f>
        <v/>
      </c>
      <c r="CF596">
        <f>IF($CD596="","",MID($CD596,FIND("~",SUBSTITUTE($CD596,"-","~",2))+1,FIND("~",SUBSTITUTE($CD596,"-","~",3))-FIND("~",SUBSTITUTE($CD596,"-","~",2))-1))</f>
        <v/>
      </c>
      <c r="CG596">
        <f>IF($CE596="","",IFERROR(VLOOKUP($CE596,DECODE!$A$3:$C$8,3,FALSE),"?"))</f>
        <v/>
      </c>
      <c r="CH596">
        <f>IF($CF596="","",IFERROR(VLOOKUP($CE596&amp;"-"&amp;$CF596,DECODE!$E$3:$F$21,2,FALSE),"?"))</f>
        <v/>
      </c>
      <c r="CI596">
        <f>IF($CD596="","",IFERROR(VALUE(RIGHT($CD596,3)),""))</f>
        <v/>
      </c>
      <c r="CJ596">
        <f>IF($Y596="","",IFERROR(IF(ISNUMBER($Y596),$Y596,DATEVALUE(TRIM($Y596))),""))</f>
        <v/>
      </c>
      <c r="CK596">
        <f>IF($CJ596="","",IF(MONTH($CJ596)&gt;=12,"Cold Winter",IF(MONTH($CJ596)&gt;=10,"Post-Monsoon",IF(MONTH($CJ596)&gt;=6,"Hot Humid",IF(MONTH($CJ596)&gt;=3,"Hot Dry","Cold Winter")))))</f>
        <v/>
      </c>
      <c r="CL596">
        <f>IF($CE596="","",IFERROR(VLOOKUP($CE596,DECODE!$A$3:$C$8,2,FALSE),"?"))</f>
        <v/>
      </c>
      <c r="CM596">
        <f>IF($AN596="","",AN596)</f>
        <v/>
      </c>
      <c r="CN596">
        <f>IF($AO596="","",AO596)</f>
        <v/>
      </c>
      <c r="CO596">
        <f>IF($AP596="","",AP596)</f>
        <v/>
      </c>
      <c r="CP596">
        <f>IF($CM596="","",IF($CM596="Aloe Vera Gel","Aloe Vera Gel "&amp;$CO596&amp;"g",CN596&amp;" "&amp;$CO596&amp;"g"))</f>
        <v/>
      </c>
      <c r="CQ596">
        <f>IF($AT596="",0,1)</f>
        <v/>
      </c>
      <c r="CR596">
        <f>IF($CQ596=0,"",AW596)</f>
        <v/>
      </c>
      <c r="CS596">
        <f>IF($CQ596=0,"",AX596)</f>
        <v/>
      </c>
      <c r="CT596">
        <f>IF($CQ596=0,"",AY596)</f>
        <v/>
      </c>
      <c r="CU596">
        <f>IF($CR596="","",IF($CR596="Aloe Vera Gel","Aloe Vera Gel "&amp;$CT596&amp;"g",CS596&amp;" "&amp;$CT596&amp;"g"))</f>
        <v/>
      </c>
      <c r="CV596">
        <f>IF($CQ596=0,"",IF($CP596=$CU596,"Repeat Exact",IF($CT596&gt;$CO596,"Upsized",IF($CT596&lt;$CO596,"Downsized",IF($CM596&lt;&gt;$CR596,"Lateral","Same Size Diff Variant")))))</f>
        <v/>
      </c>
      <c r="CW596">
        <f>IF($CQ596=0,"",AZ596-AQ596)</f>
        <v/>
      </c>
      <c r="CX596">
        <f>IF($CQ596=0,0,IF(CS596=CN596,1,0))</f>
        <v/>
      </c>
      <c r="CY596">
        <f>IF($CQ596=0,0,IF(CR596=CM596,1,0))</f>
        <v/>
      </c>
      <c r="CZ596">
        <f>IF($A596="","",IF(AND(IF(DASHBOARD!$C$4="All",TRUE,$CM596=DASHBOARD!$C$4),IF(DASHBOARD!$C$6="All",TRUE,$CP596=DASHBOARD!$C$6),IF(DASHBOARD!$C$8="All",TRUE,$AF596&gt;=DASHBOARD!$C$8),IF(DASHBOARD!$C$10="All",TRUE,$AF596&lt;=DASHBOARD!$C$10),IF(DASHBOARD!$C$12="All",TRUE,$AH596=VALUE(DASHBOARD!$C$12)),IF(DASHBOARD!$C$14="All",TRUE,$AJ596=DASHBOARD!$C$14)),1,0))</f>
        <v/>
      </c>
    </row>
    <row r="597">
      <c r="A597" t="n">
        <v>258000</v>
      </c>
      <c r="B597" t="inlineStr">
        <is>
          <t>Face Malai</t>
        </is>
      </c>
      <c r="H597" t="inlineStr">
        <is>
          <t>Tomato Rosehip (Hot Dry) 20 - 35 Yrs Face Malai - 30g</t>
        </is>
      </c>
      <c r="N597" t="inlineStr">
        <is>
          <t>FC-HDDM-TR-030</t>
        </is>
      </c>
      <c r="T597" t="inlineStr">
        <is>
          <t>Feb 26, 2024</t>
        </is>
      </c>
      <c r="AE597" t="inlineStr">
        <is>
          <t>Pune</t>
        </is>
      </c>
      <c r="AF597" t="inlineStr">
        <is>
          <t>2024-02</t>
        </is>
      </c>
      <c r="AG597" t="n">
        <v>2</v>
      </c>
      <c r="AH597" t="n">
        <v>1</v>
      </c>
      <c r="AI597" t="n">
        <v>0</v>
      </c>
      <c r="AJ597">
        <f>IF($AE597="","",IFERROR(VLOOKUP(TRIM($AE597),DECODE!$H$3:$I$60,2,FALSE),"Rest of India"))</f>
        <v/>
      </c>
      <c r="AK597">
        <f>IF($N597="","",UPPER(TRIM(LEFT($N597&amp;",",FIND(",",$N597&amp;",")-1))))</f>
        <v/>
      </c>
      <c r="AL597">
        <f>IF($AK597="","",MID($AK597,4,FIND("~",SUBSTITUTE($AK597,"-","~",2))-4))</f>
        <v/>
      </c>
      <c r="AM597">
        <f>IF($AK597="","",MID($AK597,FIND("~",SUBSTITUTE($AK597,"-","~",2))+1,FIND("~",SUBSTITUTE($AK597,"-","~",3))-FIND("~",SUBSTITUTE($AK597,"-","~",2))-1))</f>
        <v/>
      </c>
      <c r="AN597">
        <f>IF($AL597="","",IFERROR(VLOOKUP($AL597,DECODE!$A$3:$C$8,3,FALSE),"?"))</f>
        <v/>
      </c>
      <c r="AO597">
        <f>IF($AM597="","",IFERROR(VLOOKUP($AL597&amp;"-"&amp;$AM597,DECODE!$E$3:$F$21,2,FALSE),"?"))</f>
        <v/>
      </c>
      <c r="AP597">
        <f>IF($AK597="","",IFERROR(VALUE(RIGHT($AK597,3)),""))</f>
        <v/>
      </c>
      <c r="AQ597">
        <f>IF($T597="","",IFERROR(IF(ISNUMBER($T597),$T597,DATEVALUE(TRIM($T597))),""))</f>
        <v/>
      </c>
      <c r="AR597">
        <f>IF($AQ597="","",IF(MONTH($AQ597)&gt;=12,"Cold Winter",IF(MONTH($AQ597)&gt;=10,"Post-Monsoon",IF(MONTH($AQ597)&gt;=6,"Hot Humid",IF(MONTH($AQ597)&gt;=3,"Hot Dry","Cold Winter")))))</f>
        <v/>
      </c>
      <c r="AS597">
        <f>IF($AL597="","",IFERROR(VLOOKUP($AL597,DECODE!$A$3:$C$8,2,FALSE),"?"))</f>
        <v/>
      </c>
      <c r="AT597">
        <f>IF($O597="","",UPPER(TRIM(LEFT($O597&amp;",",FIND(",",$O597&amp;",")-1))))</f>
        <v/>
      </c>
      <c r="AU597">
        <f>IF($AT597="","",MID($AT597,4,FIND("~",SUBSTITUTE($AT597,"-","~",2))-4))</f>
        <v/>
      </c>
      <c r="AV597">
        <f>IF($AT597="","",MID($AT597,FIND("~",SUBSTITUTE($AT597,"-","~",2))+1,FIND("~",SUBSTITUTE($AT597,"-","~",3))-FIND("~",SUBSTITUTE($AT597,"-","~",2))-1))</f>
        <v/>
      </c>
      <c r="AW597">
        <f>IF($AU597="","",IFERROR(VLOOKUP($AU597,DECODE!$A$3:$C$8,3,FALSE),"?"))</f>
        <v/>
      </c>
      <c r="AX597">
        <f>IF($AV597="","",IFERROR(VLOOKUP($AU597&amp;"-"&amp;$AV597,DECODE!$E$3:$F$21,2,FALSE),"?"))</f>
        <v/>
      </c>
      <c r="AY597">
        <f>IF($AT597="","",IFERROR(VALUE(RIGHT($AT597,3)),""))</f>
        <v/>
      </c>
      <c r="AZ597">
        <f>IF($U597="","",IFERROR(IF(ISNUMBER($U597),$U597,DATEVALUE(TRIM($U597))),""))</f>
        <v/>
      </c>
      <c r="BA597">
        <f>IF($AZ597="","",IF(MONTH($AZ597)&gt;=12,"Cold Winter",IF(MONTH($AZ597)&gt;=10,"Post-Monsoon",IF(MONTH($AZ597)&gt;=6,"Hot Humid",IF(MONTH($AZ597)&gt;=3,"Hot Dry","Cold Winter")))))</f>
        <v/>
      </c>
      <c r="BB597">
        <f>IF($AU597="","",IFERROR(VLOOKUP($AU597,DECODE!$A$3:$C$8,2,FALSE),"?"))</f>
        <v/>
      </c>
      <c r="BC597">
        <f>IF($P597="","",UPPER(TRIM(LEFT($P597&amp;",",FIND(",",$P597&amp;",")-1))))</f>
        <v/>
      </c>
      <c r="BD597">
        <f>IF($BC597="","",MID($BC597,4,FIND("~",SUBSTITUTE($BC597,"-","~",2))-4))</f>
        <v/>
      </c>
      <c r="BE597">
        <f>IF($BC597="","",MID($BC597,FIND("~",SUBSTITUTE($BC597,"-","~",2))+1,FIND("~",SUBSTITUTE($BC597,"-","~",3))-FIND("~",SUBSTITUTE($BC597,"-","~",2))-1))</f>
        <v/>
      </c>
      <c r="BF597">
        <f>IF($BD597="","",IFERROR(VLOOKUP($BD597,DECODE!$A$3:$C$8,3,FALSE),"?"))</f>
        <v/>
      </c>
      <c r="BG597">
        <f>IF($BE597="","",IFERROR(VLOOKUP($BD597&amp;"-"&amp;$BE597,DECODE!$E$3:$F$21,2,FALSE),"?"))</f>
        <v/>
      </c>
      <c r="BH597">
        <f>IF($BC597="","",IFERROR(VALUE(RIGHT($BC597,3)),""))</f>
        <v/>
      </c>
      <c r="BI597">
        <f>IF($V597="","",IFERROR(IF(ISNUMBER($V597),$V597,DATEVALUE(TRIM($V597))),""))</f>
        <v/>
      </c>
      <c r="BJ597">
        <f>IF($BI597="","",IF(MONTH($BI597)&gt;=12,"Cold Winter",IF(MONTH($BI597)&gt;=10,"Post-Monsoon",IF(MONTH($BI597)&gt;=6,"Hot Humid",IF(MONTH($BI597)&gt;=3,"Hot Dry","Cold Winter")))))</f>
        <v/>
      </c>
      <c r="BK597">
        <f>IF($BD597="","",IFERROR(VLOOKUP($BD597,DECODE!$A$3:$C$8,2,FALSE),"?"))</f>
        <v/>
      </c>
      <c r="BL597">
        <f>IF($Q597="","",UPPER(TRIM(LEFT($Q597&amp;",",FIND(",",$Q597&amp;",")-1))))</f>
        <v/>
      </c>
      <c r="BM597">
        <f>IF($BL597="","",MID($BL597,4,FIND("~",SUBSTITUTE($BL597,"-","~",2))-4))</f>
        <v/>
      </c>
      <c r="BN597">
        <f>IF($BL597="","",MID($BL597,FIND("~",SUBSTITUTE($BL597,"-","~",2))+1,FIND("~",SUBSTITUTE($BL597,"-","~",3))-FIND("~",SUBSTITUTE($BL597,"-","~",2))-1))</f>
        <v/>
      </c>
      <c r="BO597">
        <f>IF($BM597="","",IFERROR(VLOOKUP($BM597,DECODE!$A$3:$C$8,3,FALSE),"?"))</f>
        <v/>
      </c>
      <c r="BP597">
        <f>IF($BN597="","",IFERROR(VLOOKUP($BM597&amp;"-"&amp;$BN597,DECODE!$E$3:$F$21,2,FALSE),"?"))</f>
        <v/>
      </c>
      <c r="BQ597">
        <f>IF($BL597="","",IFERROR(VALUE(RIGHT($BL597,3)),""))</f>
        <v/>
      </c>
      <c r="BR597">
        <f>IF($W597="","",IFERROR(IF(ISNUMBER($W597),$W597,DATEVALUE(TRIM($W597))),""))</f>
        <v/>
      </c>
      <c r="BS597">
        <f>IF($BR597="","",IF(MONTH($BR597)&gt;=12,"Cold Winter",IF(MONTH($BR597)&gt;=10,"Post-Monsoon",IF(MONTH($BR597)&gt;=6,"Hot Humid",IF(MONTH($BR597)&gt;=3,"Hot Dry","Cold Winter")))))</f>
        <v/>
      </c>
      <c r="BT597">
        <f>IF($BM597="","",IFERROR(VLOOKUP($BM597,DECODE!$A$3:$C$8,2,FALSE),"?"))</f>
        <v/>
      </c>
      <c r="BU597">
        <f>IF($R597="","",UPPER(TRIM(LEFT($R597&amp;",",FIND(",",$R597&amp;",")-1))))</f>
        <v/>
      </c>
      <c r="BV597">
        <f>IF($BU597="","",MID($BU597,4,FIND("~",SUBSTITUTE($BU597,"-","~",2))-4))</f>
        <v/>
      </c>
      <c r="BW597">
        <f>IF($BU597="","",MID($BU597,FIND("~",SUBSTITUTE($BU597,"-","~",2))+1,FIND("~",SUBSTITUTE($BU597,"-","~",3))-FIND("~",SUBSTITUTE($BU597,"-","~",2))-1))</f>
        <v/>
      </c>
      <c r="BX597">
        <f>IF($BV597="","",IFERROR(VLOOKUP($BV597,DECODE!$A$3:$C$8,3,FALSE),"?"))</f>
        <v/>
      </c>
      <c r="BY597">
        <f>IF($BW597="","",IFERROR(VLOOKUP($BV597&amp;"-"&amp;$BW597,DECODE!$E$3:$F$21,2,FALSE),"?"))</f>
        <v/>
      </c>
      <c r="BZ597">
        <f>IF($BU597="","",IFERROR(VALUE(RIGHT($BU597,3)),""))</f>
        <v/>
      </c>
      <c r="CA597">
        <f>IF($X597="","",IFERROR(IF(ISNUMBER($X597),$X597,DATEVALUE(TRIM($X597))),""))</f>
        <v/>
      </c>
      <c r="CB597">
        <f>IF($CA597="","",IF(MONTH($CA597)&gt;=12,"Cold Winter",IF(MONTH($CA597)&gt;=10,"Post-Monsoon",IF(MONTH($CA597)&gt;=6,"Hot Humid",IF(MONTH($CA597)&gt;=3,"Hot Dry","Cold Winter")))))</f>
        <v/>
      </c>
      <c r="CC597">
        <f>IF($BV597="","",IFERROR(VLOOKUP($BV597,DECODE!$A$3:$C$8,2,FALSE),"?"))</f>
        <v/>
      </c>
      <c r="CD597">
        <f>IF($S597="","",UPPER(TRIM(LEFT($S597&amp;",",FIND(",",$S597&amp;",")-1))))</f>
        <v/>
      </c>
      <c r="CE597">
        <f>IF($CD597="","",MID($CD597,4,FIND("~",SUBSTITUTE($CD597,"-","~",2))-4))</f>
        <v/>
      </c>
      <c r="CF597">
        <f>IF($CD597="","",MID($CD597,FIND("~",SUBSTITUTE($CD597,"-","~",2))+1,FIND("~",SUBSTITUTE($CD597,"-","~",3))-FIND("~",SUBSTITUTE($CD597,"-","~",2))-1))</f>
        <v/>
      </c>
      <c r="CG597">
        <f>IF($CE597="","",IFERROR(VLOOKUP($CE597,DECODE!$A$3:$C$8,3,FALSE),"?"))</f>
        <v/>
      </c>
      <c r="CH597">
        <f>IF($CF597="","",IFERROR(VLOOKUP($CE597&amp;"-"&amp;$CF597,DECODE!$E$3:$F$21,2,FALSE),"?"))</f>
        <v/>
      </c>
      <c r="CI597">
        <f>IF($CD597="","",IFERROR(VALUE(RIGHT($CD597,3)),""))</f>
        <v/>
      </c>
      <c r="CJ597">
        <f>IF($Y597="","",IFERROR(IF(ISNUMBER($Y597),$Y597,DATEVALUE(TRIM($Y597))),""))</f>
        <v/>
      </c>
      <c r="CK597">
        <f>IF($CJ597="","",IF(MONTH($CJ597)&gt;=12,"Cold Winter",IF(MONTH($CJ597)&gt;=10,"Post-Monsoon",IF(MONTH($CJ597)&gt;=6,"Hot Humid",IF(MONTH($CJ597)&gt;=3,"Hot Dry","Cold Winter")))))</f>
        <v/>
      </c>
      <c r="CL597">
        <f>IF($CE597="","",IFERROR(VLOOKUP($CE597,DECODE!$A$3:$C$8,2,FALSE),"?"))</f>
        <v/>
      </c>
      <c r="CM597">
        <f>IF($AN597="","",AN597)</f>
        <v/>
      </c>
      <c r="CN597">
        <f>IF($AO597="","",AO597)</f>
        <v/>
      </c>
      <c r="CO597">
        <f>IF($AP597="","",AP597)</f>
        <v/>
      </c>
      <c r="CP597">
        <f>IF($CM597="","",IF($CM597="Aloe Vera Gel","Aloe Vera Gel "&amp;$CO597&amp;"g",CN597&amp;" "&amp;$CO597&amp;"g"))</f>
        <v/>
      </c>
      <c r="CQ597">
        <f>IF($AT597="",0,1)</f>
        <v/>
      </c>
      <c r="CR597">
        <f>IF($CQ597=0,"",AW597)</f>
        <v/>
      </c>
      <c r="CS597">
        <f>IF($CQ597=0,"",AX597)</f>
        <v/>
      </c>
      <c r="CT597">
        <f>IF($CQ597=0,"",AY597)</f>
        <v/>
      </c>
      <c r="CU597">
        <f>IF($CR597="","",IF($CR597="Aloe Vera Gel","Aloe Vera Gel "&amp;$CT597&amp;"g",CS597&amp;" "&amp;$CT597&amp;"g"))</f>
        <v/>
      </c>
      <c r="CV597">
        <f>IF($CQ597=0,"",IF($CP597=$CU597,"Repeat Exact",IF($CT597&gt;$CO597,"Upsized",IF($CT597&lt;$CO597,"Downsized",IF($CM597&lt;&gt;$CR597,"Lateral","Same Size Diff Variant")))))</f>
        <v/>
      </c>
      <c r="CW597">
        <f>IF($CQ597=0,"",AZ597-AQ597)</f>
        <v/>
      </c>
      <c r="CX597">
        <f>IF($CQ597=0,0,IF(CS597=CN597,1,0))</f>
        <v/>
      </c>
      <c r="CY597">
        <f>IF($CQ597=0,0,IF(CR597=CM597,1,0))</f>
        <v/>
      </c>
      <c r="CZ597">
        <f>IF($A597="","",IF(AND(IF(DASHBOARD!$C$4="All",TRUE,$CM597=DASHBOARD!$C$4),IF(DASHBOARD!$C$6="All",TRUE,$CP597=DASHBOARD!$C$6),IF(DASHBOARD!$C$8="All",TRUE,$AF597&gt;=DASHBOARD!$C$8),IF(DASHBOARD!$C$10="All",TRUE,$AF597&lt;=DASHBOARD!$C$10),IF(DASHBOARD!$C$12="All",TRUE,$AH597=VALUE(DASHBOARD!$C$12)),IF(DASHBOARD!$C$14="All",TRUE,$AJ597=DASHBOARD!$C$14)),1,0))</f>
        <v/>
      </c>
    </row>
    <row r="598">
      <c r="A598" t="n">
        <v>258438</v>
      </c>
      <c r="B598" t="inlineStr">
        <is>
          <t>Face Malai</t>
        </is>
      </c>
      <c r="H598" t="inlineStr">
        <is>
          <t>Tomato Vetiver (Hot Humid) 20 - 35 Yrs Face Malai</t>
        </is>
      </c>
      <c r="N598" t="inlineStr">
        <is>
          <t>FC-HHDM-TV-030</t>
        </is>
      </c>
      <c r="T598" t="inlineStr">
        <is>
          <t>Mar 20, 2025</t>
        </is>
      </c>
      <c r="AE598" t="inlineStr">
        <is>
          <t>Secunderabad</t>
        </is>
      </c>
      <c r="AF598" t="inlineStr">
        <is>
          <t>2025-03</t>
        </is>
      </c>
      <c r="AG598" t="n">
        <v>3</v>
      </c>
      <c r="AH598" t="n">
        <v>1</v>
      </c>
      <c r="AI598" t="n">
        <v>0</v>
      </c>
      <c r="AJ598">
        <f>IF($AE598="","",IFERROR(VLOOKUP(TRIM($AE598),DECODE!$H$3:$I$60,2,FALSE),"Rest of India"))</f>
        <v/>
      </c>
      <c r="AK598">
        <f>IF($N598="","",UPPER(TRIM(LEFT($N598&amp;",",FIND(",",$N598&amp;",")-1))))</f>
        <v/>
      </c>
      <c r="AL598">
        <f>IF($AK598="","",MID($AK598,4,FIND("~",SUBSTITUTE($AK598,"-","~",2))-4))</f>
        <v/>
      </c>
      <c r="AM598">
        <f>IF($AK598="","",MID($AK598,FIND("~",SUBSTITUTE($AK598,"-","~",2))+1,FIND("~",SUBSTITUTE($AK598,"-","~",3))-FIND("~",SUBSTITUTE($AK598,"-","~",2))-1))</f>
        <v/>
      </c>
      <c r="AN598">
        <f>IF($AL598="","",IFERROR(VLOOKUP($AL598,DECODE!$A$3:$C$8,3,FALSE),"?"))</f>
        <v/>
      </c>
      <c r="AO598">
        <f>IF($AM598="","",IFERROR(VLOOKUP($AL598&amp;"-"&amp;$AM598,DECODE!$E$3:$F$21,2,FALSE),"?"))</f>
        <v/>
      </c>
      <c r="AP598">
        <f>IF($AK598="","",IFERROR(VALUE(RIGHT($AK598,3)),""))</f>
        <v/>
      </c>
      <c r="AQ598">
        <f>IF($T598="","",IFERROR(IF(ISNUMBER($T598),$T598,DATEVALUE(TRIM($T598))),""))</f>
        <v/>
      </c>
      <c r="AR598">
        <f>IF($AQ598="","",IF(MONTH($AQ598)&gt;=12,"Cold Winter",IF(MONTH($AQ598)&gt;=10,"Post-Monsoon",IF(MONTH($AQ598)&gt;=6,"Hot Humid",IF(MONTH($AQ598)&gt;=3,"Hot Dry","Cold Winter")))))</f>
        <v/>
      </c>
      <c r="AS598">
        <f>IF($AL598="","",IFERROR(VLOOKUP($AL598,DECODE!$A$3:$C$8,2,FALSE),"?"))</f>
        <v/>
      </c>
      <c r="AT598">
        <f>IF($O598="","",UPPER(TRIM(LEFT($O598&amp;",",FIND(",",$O598&amp;",")-1))))</f>
        <v/>
      </c>
      <c r="AU598">
        <f>IF($AT598="","",MID($AT598,4,FIND("~",SUBSTITUTE($AT598,"-","~",2))-4))</f>
        <v/>
      </c>
      <c r="AV598">
        <f>IF($AT598="","",MID($AT598,FIND("~",SUBSTITUTE($AT598,"-","~",2))+1,FIND("~",SUBSTITUTE($AT598,"-","~",3))-FIND("~",SUBSTITUTE($AT598,"-","~",2))-1))</f>
        <v/>
      </c>
      <c r="AW598">
        <f>IF($AU598="","",IFERROR(VLOOKUP($AU598,DECODE!$A$3:$C$8,3,FALSE),"?"))</f>
        <v/>
      </c>
      <c r="AX598">
        <f>IF($AV598="","",IFERROR(VLOOKUP($AU598&amp;"-"&amp;$AV598,DECODE!$E$3:$F$21,2,FALSE),"?"))</f>
        <v/>
      </c>
      <c r="AY598">
        <f>IF($AT598="","",IFERROR(VALUE(RIGHT($AT598,3)),""))</f>
        <v/>
      </c>
      <c r="AZ598">
        <f>IF($U598="","",IFERROR(IF(ISNUMBER($U598),$U598,DATEVALUE(TRIM($U598))),""))</f>
        <v/>
      </c>
      <c r="BA598">
        <f>IF($AZ598="","",IF(MONTH($AZ598)&gt;=12,"Cold Winter",IF(MONTH($AZ598)&gt;=10,"Post-Monsoon",IF(MONTH($AZ598)&gt;=6,"Hot Humid",IF(MONTH($AZ598)&gt;=3,"Hot Dry","Cold Winter")))))</f>
        <v/>
      </c>
      <c r="BB598">
        <f>IF($AU598="","",IFERROR(VLOOKUP($AU598,DECODE!$A$3:$C$8,2,FALSE),"?"))</f>
        <v/>
      </c>
      <c r="BC598">
        <f>IF($P598="","",UPPER(TRIM(LEFT($P598&amp;",",FIND(",",$P598&amp;",")-1))))</f>
        <v/>
      </c>
      <c r="BD598">
        <f>IF($BC598="","",MID($BC598,4,FIND("~",SUBSTITUTE($BC598,"-","~",2))-4))</f>
        <v/>
      </c>
      <c r="BE598">
        <f>IF($BC598="","",MID($BC598,FIND("~",SUBSTITUTE($BC598,"-","~",2))+1,FIND("~",SUBSTITUTE($BC598,"-","~",3))-FIND("~",SUBSTITUTE($BC598,"-","~",2))-1))</f>
        <v/>
      </c>
      <c r="BF598">
        <f>IF($BD598="","",IFERROR(VLOOKUP($BD598,DECODE!$A$3:$C$8,3,FALSE),"?"))</f>
        <v/>
      </c>
      <c r="BG598">
        <f>IF($BE598="","",IFERROR(VLOOKUP($BD598&amp;"-"&amp;$BE598,DECODE!$E$3:$F$21,2,FALSE),"?"))</f>
        <v/>
      </c>
      <c r="BH598">
        <f>IF($BC598="","",IFERROR(VALUE(RIGHT($BC598,3)),""))</f>
        <v/>
      </c>
      <c r="BI598">
        <f>IF($V598="","",IFERROR(IF(ISNUMBER($V598),$V598,DATEVALUE(TRIM($V598))),""))</f>
        <v/>
      </c>
      <c r="BJ598">
        <f>IF($BI598="","",IF(MONTH($BI598)&gt;=12,"Cold Winter",IF(MONTH($BI598)&gt;=10,"Post-Monsoon",IF(MONTH($BI598)&gt;=6,"Hot Humid",IF(MONTH($BI598)&gt;=3,"Hot Dry","Cold Winter")))))</f>
        <v/>
      </c>
      <c r="BK598">
        <f>IF($BD598="","",IFERROR(VLOOKUP($BD598,DECODE!$A$3:$C$8,2,FALSE),"?"))</f>
        <v/>
      </c>
      <c r="BL598">
        <f>IF($Q598="","",UPPER(TRIM(LEFT($Q598&amp;",",FIND(",",$Q598&amp;",")-1))))</f>
        <v/>
      </c>
      <c r="BM598">
        <f>IF($BL598="","",MID($BL598,4,FIND("~",SUBSTITUTE($BL598,"-","~",2))-4))</f>
        <v/>
      </c>
      <c r="BN598">
        <f>IF($BL598="","",MID($BL598,FIND("~",SUBSTITUTE($BL598,"-","~",2))+1,FIND("~",SUBSTITUTE($BL598,"-","~",3))-FIND("~",SUBSTITUTE($BL598,"-","~",2))-1))</f>
        <v/>
      </c>
      <c r="BO598">
        <f>IF($BM598="","",IFERROR(VLOOKUP($BM598,DECODE!$A$3:$C$8,3,FALSE),"?"))</f>
        <v/>
      </c>
      <c r="BP598">
        <f>IF($BN598="","",IFERROR(VLOOKUP($BM598&amp;"-"&amp;$BN598,DECODE!$E$3:$F$21,2,FALSE),"?"))</f>
        <v/>
      </c>
      <c r="BQ598">
        <f>IF($BL598="","",IFERROR(VALUE(RIGHT($BL598,3)),""))</f>
        <v/>
      </c>
      <c r="BR598">
        <f>IF($W598="","",IFERROR(IF(ISNUMBER($W598),$W598,DATEVALUE(TRIM($W598))),""))</f>
        <v/>
      </c>
      <c r="BS598">
        <f>IF($BR598="","",IF(MONTH($BR598)&gt;=12,"Cold Winter",IF(MONTH($BR598)&gt;=10,"Post-Monsoon",IF(MONTH($BR598)&gt;=6,"Hot Humid",IF(MONTH($BR598)&gt;=3,"Hot Dry","Cold Winter")))))</f>
        <v/>
      </c>
      <c r="BT598">
        <f>IF($BM598="","",IFERROR(VLOOKUP($BM598,DECODE!$A$3:$C$8,2,FALSE),"?"))</f>
        <v/>
      </c>
      <c r="BU598">
        <f>IF($R598="","",UPPER(TRIM(LEFT($R598&amp;",",FIND(",",$R598&amp;",")-1))))</f>
        <v/>
      </c>
      <c r="BV598">
        <f>IF($BU598="","",MID($BU598,4,FIND("~",SUBSTITUTE($BU598,"-","~",2))-4))</f>
        <v/>
      </c>
      <c r="BW598">
        <f>IF($BU598="","",MID($BU598,FIND("~",SUBSTITUTE($BU598,"-","~",2))+1,FIND("~",SUBSTITUTE($BU598,"-","~",3))-FIND("~",SUBSTITUTE($BU598,"-","~",2))-1))</f>
        <v/>
      </c>
      <c r="BX598">
        <f>IF($BV598="","",IFERROR(VLOOKUP($BV598,DECODE!$A$3:$C$8,3,FALSE),"?"))</f>
        <v/>
      </c>
      <c r="BY598">
        <f>IF($BW598="","",IFERROR(VLOOKUP($BV598&amp;"-"&amp;$BW598,DECODE!$E$3:$F$21,2,FALSE),"?"))</f>
        <v/>
      </c>
      <c r="BZ598">
        <f>IF($BU598="","",IFERROR(VALUE(RIGHT($BU598,3)),""))</f>
        <v/>
      </c>
      <c r="CA598">
        <f>IF($X598="","",IFERROR(IF(ISNUMBER($X598),$X598,DATEVALUE(TRIM($X598))),""))</f>
        <v/>
      </c>
      <c r="CB598">
        <f>IF($CA598="","",IF(MONTH($CA598)&gt;=12,"Cold Winter",IF(MONTH($CA598)&gt;=10,"Post-Monsoon",IF(MONTH($CA598)&gt;=6,"Hot Humid",IF(MONTH($CA598)&gt;=3,"Hot Dry","Cold Winter")))))</f>
        <v/>
      </c>
      <c r="CC598">
        <f>IF($BV598="","",IFERROR(VLOOKUP($BV598,DECODE!$A$3:$C$8,2,FALSE),"?"))</f>
        <v/>
      </c>
      <c r="CD598">
        <f>IF($S598="","",UPPER(TRIM(LEFT($S598&amp;",",FIND(",",$S598&amp;",")-1))))</f>
        <v/>
      </c>
      <c r="CE598">
        <f>IF($CD598="","",MID($CD598,4,FIND("~",SUBSTITUTE($CD598,"-","~",2))-4))</f>
        <v/>
      </c>
      <c r="CF598">
        <f>IF($CD598="","",MID($CD598,FIND("~",SUBSTITUTE($CD598,"-","~",2))+1,FIND("~",SUBSTITUTE($CD598,"-","~",3))-FIND("~",SUBSTITUTE($CD598,"-","~",2))-1))</f>
        <v/>
      </c>
      <c r="CG598">
        <f>IF($CE598="","",IFERROR(VLOOKUP($CE598,DECODE!$A$3:$C$8,3,FALSE),"?"))</f>
        <v/>
      </c>
      <c r="CH598">
        <f>IF($CF598="","",IFERROR(VLOOKUP($CE598&amp;"-"&amp;$CF598,DECODE!$E$3:$F$21,2,FALSE),"?"))</f>
        <v/>
      </c>
      <c r="CI598">
        <f>IF($CD598="","",IFERROR(VALUE(RIGHT($CD598,3)),""))</f>
        <v/>
      </c>
      <c r="CJ598">
        <f>IF($Y598="","",IFERROR(IF(ISNUMBER($Y598),$Y598,DATEVALUE(TRIM($Y598))),""))</f>
        <v/>
      </c>
      <c r="CK598">
        <f>IF($CJ598="","",IF(MONTH($CJ598)&gt;=12,"Cold Winter",IF(MONTH($CJ598)&gt;=10,"Post-Monsoon",IF(MONTH($CJ598)&gt;=6,"Hot Humid",IF(MONTH($CJ598)&gt;=3,"Hot Dry","Cold Winter")))))</f>
        <v/>
      </c>
      <c r="CL598">
        <f>IF($CE598="","",IFERROR(VLOOKUP($CE598,DECODE!$A$3:$C$8,2,FALSE),"?"))</f>
        <v/>
      </c>
      <c r="CM598">
        <f>IF($AN598="","",AN598)</f>
        <v/>
      </c>
      <c r="CN598">
        <f>IF($AO598="","",AO598)</f>
        <v/>
      </c>
      <c r="CO598">
        <f>IF($AP598="","",AP598)</f>
        <v/>
      </c>
      <c r="CP598">
        <f>IF($CM598="","",IF($CM598="Aloe Vera Gel","Aloe Vera Gel "&amp;$CO598&amp;"g",CN598&amp;" "&amp;$CO598&amp;"g"))</f>
        <v/>
      </c>
      <c r="CQ598">
        <f>IF($AT598="",0,1)</f>
        <v/>
      </c>
      <c r="CR598">
        <f>IF($CQ598=0,"",AW598)</f>
        <v/>
      </c>
      <c r="CS598">
        <f>IF($CQ598=0,"",AX598)</f>
        <v/>
      </c>
      <c r="CT598">
        <f>IF($CQ598=0,"",AY598)</f>
        <v/>
      </c>
      <c r="CU598">
        <f>IF($CR598="","",IF($CR598="Aloe Vera Gel","Aloe Vera Gel "&amp;$CT598&amp;"g",CS598&amp;" "&amp;$CT598&amp;"g"))</f>
        <v/>
      </c>
      <c r="CV598">
        <f>IF($CQ598=0,"",IF($CP598=$CU598,"Repeat Exact",IF($CT598&gt;$CO598,"Upsized",IF($CT598&lt;$CO598,"Downsized",IF($CM598&lt;&gt;$CR598,"Lateral","Same Size Diff Variant")))))</f>
        <v/>
      </c>
      <c r="CW598">
        <f>IF($CQ598=0,"",AZ598-AQ598)</f>
        <v/>
      </c>
      <c r="CX598">
        <f>IF($CQ598=0,0,IF(CS598=CN598,1,0))</f>
        <v/>
      </c>
      <c r="CY598">
        <f>IF($CQ598=0,0,IF(CR598=CM598,1,0))</f>
        <v/>
      </c>
      <c r="CZ598">
        <f>IF($A598="","",IF(AND(IF(DASHBOARD!$C$4="All",TRUE,$CM598=DASHBOARD!$C$4),IF(DASHBOARD!$C$6="All",TRUE,$CP598=DASHBOARD!$C$6),IF(DASHBOARD!$C$8="All",TRUE,$AF598&gt;=DASHBOARD!$C$8),IF(DASHBOARD!$C$10="All",TRUE,$AF598&lt;=DASHBOARD!$C$10),IF(DASHBOARD!$C$12="All",TRUE,$AH598=VALUE(DASHBOARD!$C$12)),IF(DASHBOARD!$C$14="All",TRUE,$AJ598=DASHBOARD!$C$14)),1,0))</f>
        <v/>
      </c>
    </row>
    <row r="599">
      <c r="A599" t="n">
        <v>258537</v>
      </c>
      <c r="B599" t="inlineStr">
        <is>
          <t>Face Malai</t>
        </is>
      </c>
      <c r="C599" t="inlineStr">
        <is>
          <t>Face Malai</t>
        </is>
      </c>
      <c r="H599" t="inlineStr">
        <is>
          <t>Tomato Vetiver (Hot Humid) 20 - 35 Yrs Face Malai</t>
        </is>
      </c>
      <c r="I599" t="inlineStr">
        <is>
          <t>Tomato Rosehip (Hot Dry) 20 - 35 Yrs Face Malai - 30g</t>
        </is>
      </c>
      <c r="N599" t="inlineStr">
        <is>
          <t>FC-HHDM-TV-030</t>
        </is>
      </c>
      <c r="O599" t="inlineStr">
        <is>
          <t>FC-HDDM-TR-030</t>
        </is>
      </c>
      <c r="T599" t="inlineStr">
        <is>
          <t>Nov 20, 2024</t>
        </is>
      </c>
      <c r="U599" t="inlineStr">
        <is>
          <t>Jan 18, 2025</t>
        </is>
      </c>
      <c r="Z599" t="n">
        <v>59</v>
      </c>
      <c r="AE599" t="inlineStr">
        <is>
          <t>Bengaluru</t>
        </is>
      </c>
      <c r="AF599" t="inlineStr">
        <is>
          <t>2024-11</t>
        </is>
      </c>
      <c r="AG599" t="n">
        <v>11</v>
      </c>
      <c r="AH599" t="n">
        <v>2</v>
      </c>
      <c r="AI599" t="n">
        <v>1</v>
      </c>
      <c r="AJ599">
        <f>IF($AE599="","",IFERROR(VLOOKUP(TRIM($AE599),DECODE!$H$3:$I$60,2,FALSE),"Rest of India"))</f>
        <v/>
      </c>
      <c r="AK599">
        <f>IF($N599="","",UPPER(TRIM(LEFT($N599&amp;",",FIND(",",$N599&amp;",")-1))))</f>
        <v/>
      </c>
      <c r="AL599">
        <f>IF($AK599="","",MID($AK599,4,FIND("~",SUBSTITUTE($AK599,"-","~",2))-4))</f>
        <v/>
      </c>
      <c r="AM599">
        <f>IF($AK599="","",MID($AK599,FIND("~",SUBSTITUTE($AK599,"-","~",2))+1,FIND("~",SUBSTITUTE($AK599,"-","~",3))-FIND("~",SUBSTITUTE($AK599,"-","~",2))-1))</f>
        <v/>
      </c>
      <c r="AN599">
        <f>IF($AL599="","",IFERROR(VLOOKUP($AL599,DECODE!$A$3:$C$8,3,FALSE),"?"))</f>
        <v/>
      </c>
      <c r="AO599">
        <f>IF($AM599="","",IFERROR(VLOOKUP($AL599&amp;"-"&amp;$AM599,DECODE!$E$3:$F$21,2,FALSE),"?"))</f>
        <v/>
      </c>
      <c r="AP599">
        <f>IF($AK599="","",IFERROR(VALUE(RIGHT($AK599,3)),""))</f>
        <v/>
      </c>
      <c r="AQ599">
        <f>IF($T599="","",IFERROR(IF(ISNUMBER($T599),$T599,DATEVALUE(TRIM($T599))),""))</f>
        <v/>
      </c>
      <c r="AR599">
        <f>IF($AQ599="","",IF(MONTH($AQ599)&gt;=12,"Cold Winter",IF(MONTH($AQ599)&gt;=10,"Post-Monsoon",IF(MONTH($AQ599)&gt;=6,"Hot Humid",IF(MONTH($AQ599)&gt;=3,"Hot Dry","Cold Winter")))))</f>
        <v/>
      </c>
      <c r="AS599">
        <f>IF($AL599="","",IFERROR(VLOOKUP($AL599,DECODE!$A$3:$C$8,2,FALSE),"?"))</f>
        <v/>
      </c>
      <c r="AT599">
        <f>IF($O599="","",UPPER(TRIM(LEFT($O599&amp;",",FIND(",",$O599&amp;",")-1))))</f>
        <v/>
      </c>
      <c r="AU599">
        <f>IF($AT599="","",MID($AT599,4,FIND("~",SUBSTITUTE($AT599,"-","~",2))-4))</f>
        <v/>
      </c>
      <c r="AV599">
        <f>IF($AT599="","",MID($AT599,FIND("~",SUBSTITUTE($AT599,"-","~",2))+1,FIND("~",SUBSTITUTE($AT599,"-","~",3))-FIND("~",SUBSTITUTE($AT599,"-","~",2))-1))</f>
        <v/>
      </c>
      <c r="AW599">
        <f>IF($AU599="","",IFERROR(VLOOKUP($AU599,DECODE!$A$3:$C$8,3,FALSE),"?"))</f>
        <v/>
      </c>
      <c r="AX599">
        <f>IF($AV599="","",IFERROR(VLOOKUP($AU599&amp;"-"&amp;$AV599,DECODE!$E$3:$F$21,2,FALSE),"?"))</f>
        <v/>
      </c>
      <c r="AY599">
        <f>IF($AT599="","",IFERROR(VALUE(RIGHT($AT599,3)),""))</f>
        <v/>
      </c>
      <c r="AZ599">
        <f>IF($U599="","",IFERROR(IF(ISNUMBER($U599),$U599,DATEVALUE(TRIM($U599))),""))</f>
        <v/>
      </c>
      <c r="BA599">
        <f>IF($AZ599="","",IF(MONTH($AZ599)&gt;=12,"Cold Winter",IF(MONTH($AZ599)&gt;=10,"Post-Monsoon",IF(MONTH($AZ599)&gt;=6,"Hot Humid",IF(MONTH($AZ599)&gt;=3,"Hot Dry","Cold Winter")))))</f>
        <v/>
      </c>
      <c r="BB599">
        <f>IF($AU599="","",IFERROR(VLOOKUP($AU599,DECODE!$A$3:$C$8,2,FALSE),"?"))</f>
        <v/>
      </c>
      <c r="BC599">
        <f>IF($P599="","",UPPER(TRIM(LEFT($P599&amp;",",FIND(",",$P599&amp;",")-1))))</f>
        <v/>
      </c>
      <c r="BD599">
        <f>IF($BC599="","",MID($BC599,4,FIND("~",SUBSTITUTE($BC599,"-","~",2))-4))</f>
        <v/>
      </c>
      <c r="BE599">
        <f>IF($BC599="","",MID($BC599,FIND("~",SUBSTITUTE($BC599,"-","~",2))+1,FIND("~",SUBSTITUTE($BC599,"-","~",3))-FIND("~",SUBSTITUTE($BC599,"-","~",2))-1))</f>
        <v/>
      </c>
      <c r="BF599">
        <f>IF($BD599="","",IFERROR(VLOOKUP($BD599,DECODE!$A$3:$C$8,3,FALSE),"?"))</f>
        <v/>
      </c>
      <c r="BG599">
        <f>IF($BE599="","",IFERROR(VLOOKUP($BD599&amp;"-"&amp;$BE599,DECODE!$E$3:$F$21,2,FALSE),"?"))</f>
        <v/>
      </c>
      <c r="BH599">
        <f>IF($BC599="","",IFERROR(VALUE(RIGHT($BC599,3)),""))</f>
        <v/>
      </c>
      <c r="BI599">
        <f>IF($V599="","",IFERROR(IF(ISNUMBER($V599),$V599,DATEVALUE(TRIM($V599))),""))</f>
        <v/>
      </c>
      <c r="BJ599">
        <f>IF($BI599="","",IF(MONTH($BI599)&gt;=12,"Cold Winter",IF(MONTH($BI599)&gt;=10,"Post-Monsoon",IF(MONTH($BI599)&gt;=6,"Hot Humid",IF(MONTH($BI599)&gt;=3,"Hot Dry","Cold Winter")))))</f>
        <v/>
      </c>
      <c r="BK599">
        <f>IF($BD599="","",IFERROR(VLOOKUP($BD599,DECODE!$A$3:$C$8,2,FALSE),"?"))</f>
        <v/>
      </c>
      <c r="BL599">
        <f>IF($Q599="","",UPPER(TRIM(LEFT($Q599&amp;",",FIND(",",$Q599&amp;",")-1))))</f>
        <v/>
      </c>
      <c r="BM599">
        <f>IF($BL599="","",MID($BL599,4,FIND("~",SUBSTITUTE($BL599,"-","~",2))-4))</f>
        <v/>
      </c>
      <c r="BN599">
        <f>IF($BL599="","",MID($BL599,FIND("~",SUBSTITUTE($BL599,"-","~",2))+1,FIND("~",SUBSTITUTE($BL599,"-","~",3))-FIND("~",SUBSTITUTE($BL599,"-","~",2))-1))</f>
        <v/>
      </c>
      <c r="BO599">
        <f>IF($BM599="","",IFERROR(VLOOKUP($BM599,DECODE!$A$3:$C$8,3,FALSE),"?"))</f>
        <v/>
      </c>
      <c r="BP599">
        <f>IF($BN599="","",IFERROR(VLOOKUP($BM599&amp;"-"&amp;$BN599,DECODE!$E$3:$F$21,2,FALSE),"?"))</f>
        <v/>
      </c>
      <c r="BQ599">
        <f>IF($BL599="","",IFERROR(VALUE(RIGHT($BL599,3)),""))</f>
        <v/>
      </c>
      <c r="BR599">
        <f>IF($W599="","",IFERROR(IF(ISNUMBER($W599),$W599,DATEVALUE(TRIM($W599))),""))</f>
        <v/>
      </c>
      <c r="BS599">
        <f>IF($BR599="","",IF(MONTH($BR599)&gt;=12,"Cold Winter",IF(MONTH($BR599)&gt;=10,"Post-Monsoon",IF(MONTH($BR599)&gt;=6,"Hot Humid",IF(MONTH($BR599)&gt;=3,"Hot Dry","Cold Winter")))))</f>
        <v/>
      </c>
      <c r="BT599">
        <f>IF($BM599="","",IFERROR(VLOOKUP($BM599,DECODE!$A$3:$C$8,2,FALSE),"?"))</f>
        <v/>
      </c>
      <c r="BU599">
        <f>IF($R599="","",UPPER(TRIM(LEFT($R599&amp;",",FIND(",",$R599&amp;",")-1))))</f>
        <v/>
      </c>
      <c r="BV599">
        <f>IF($BU599="","",MID($BU599,4,FIND("~",SUBSTITUTE($BU599,"-","~",2))-4))</f>
        <v/>
      </c>
      <c r="BW599">
        <f>IF($BU599="","",MID($BU599,FIND("~",SUBSTITUTE($BU599,"-","~",2))+1,FIND("~",SUBSTITUTE($BU599,"-","~",3))-FIND("~",SUBSTITUTE($BU599,"-","~",2))-1))</f>
        <v/>
      </c>
      <c r="BX599">
        <f>IF($BV599="","",IFERROR(VLOOKUP($BV599,DECODE!$A$3:$C$8,3,FALSE),"?"))</f>
        <v/>
      </c>
      <c r="BY599">
        <f>IF($BW599="","",IFERROR(VLOOKUP($BV599&amp;"-"&amp;$BW599,DECODE!$E$3:$F$21,2,FALSE),"?"))</f>
        <v/>
      </c>
      <c r="BZ599">
        <f>IF($BU599="","",IFERROR(VALUE(RIGHT($BU599,3)),""))</f>
        <v/>
      </c>
      <c r="CA599">
        <f>IF($X599="","",IFERROR(IF(ISNUMBER($X599),$X599,DATEVALUE(TRIM($X599))),""))</f>
        <v/>
      </c>
      <c r="CB599">
        <f>IF($CA599="","",IF(MONTH($CA599)&gt;=12,"Cold Winter",IF(MONTH($CA599)&gt;=10,"Post-Monsoon",IF(MONTH($CA599)&gt;=6,"Hot Humid",IF(MONTH($CA599)&gt;=3,"Hot Dry","Cold Winter")))))</f>
        <v/>
      </c>
      <c r="CC599">
        <f>IF($BV599="","",IFERROR(VLOOKUP($BV599,DECODE!$A$3:$C$8,2,FALSE),"?"))</f>
        <v/>
      </c>
      <c r="CD599">
        <f>IF($S599="","",UPPER(TRIM(LEFT($S599&amp;",",FIND(",",$S599&amp;",")-1))))</f>
        <v/>
      </c>
      <c r="CE599">
        <f>IF($CD599="","",MID($CD599,4,FIND("~",SUBSTITUTE($CD599,"-","~",2))-4))</f>
        <v/>
      </c>
      <c r="CF599">
        <f>IF($CD599="","",MID($CD599,FIND("~",SUBSTITUTE($CD599,"-","~",2))+1,FIND("~",SUBSTITUTE($CD599,"-","~",3))-FIND("~",SUBSTITUTE($CD599,"-","~",2))-1))</f>
        <v/>
      </c>
      <c r="CG599">
        <f>IF($CE599="","",IFERROR(VLOOKUP($CE599,DECODE!$A$3:$C$8,3,FALSE),"?"))</f>
        <v/>
      </c>
      <c r="CH599">
        <f>IF($CF599="","",IFERROR(VLOOKUP($CE599&amp;"-"&amp;$CF599,DECODE!$E$3:$F$21,2,FALSE),"?"))</f>
        <v/>
      </c>
      <c r="CI599">
        <f>IF($CD599="","",IFERROR(VALUE(RIGHT($CD599,3)),""))</f>
        <v/>
      </c>
      <c r="CJ599">
        <f>IF($Y599="","",IFERROR(IF(ISNUMBER($Y599),$Y599,DATEVALUE(TRIM($Y599))),""))</f>
        <v/>
      </c>
      <c r="CK599">
        <f>IF($CJ599="","",IF(MONTH($CJ599)&gt;=12,"Cold Winter",IF(MONTH($CJ599)&gt;=10,"Post-Monsoon",IF(MONTH($CJ599)&gt;=6,"Hot Humid",IF(MONTH($CJ599)&gt;=3,"Hot Dry","Cold Winter")))))</f>
        <v/>
      </c>
      <c r="CL599">
        <f>IF($CE599="","",IFERROR(VLOOKUP($CE599,DECODE!$A$3:$C$8,2,FALSE),"?"))</f>
        <v/>
      </c>
      <c r="CM599">
        <f>IF($AN599="","",AN599)</f>
        <v/>
      </c>
      <c r="CN599">
        <f>IF($AO599="","",AO599)</f>
        <v/>
      </c>
      <c r="CO599">
        <f>IF($AP599="","",AP599)</f>
        <v/>
      </c>
      <c r="CP599">
        <f>IF($CM599="","",IF($CM599="Aloe Vera Gel","Aloe Vera Gel "&amp;$CO599&amp;"g",CN599&amp;" "&amp;$CO599&amp;"g"))</f>
        <v/>
      </c>
      <c r="CQ599">
        <f>IF($AT599="",0,1)</f>
        <v/>
      </c>
      <c r="CR599">
        <f>IF($CQ599=0,"",AW599)</f>
        <v/>
      </c>
      <c r="CS599">
        <f>IF($CQ599=0,"",AX599)</f>
        <v/>
      </c>
      <c r="CT599">
        <f>IF($CQ599=0,"",AY599)</f>
        <v/>
      </c>
      <c r="CU599">
        <f>IF($CR599="","",IF($CR599="Aloe Vera Gel","Aloe Vera Gel "&amp;$CT599&amp;"g",CS599&amp;" "&amp;$CT599&amp;"g"))</f>
        <v/>
      </c>
      <c r="CV599">
        <f>IF($CQ599=0,"",IF($CP599=$CU599,"Repeat Exact",IF($CT599&gt;$CO599,"Upsized",IF($CT599&lt;$CO599,"Downsized",IF($CM599&lt;&gt;$CR599,"Lateral","Same Size Diff Variant")))))</f>
        <v/>
      </c>
      <c r="CW599">
        <f>IF($CQ599=0,"",AZ599-AQ599)</f>
        <v/>
      </c>
      <c r="CX599">
        <f>IF($CQ599=0,0,IF(CS599=CN599,1,0))</f>
        <v/>
      </c>
      <c r="CY599">
        <f>IF($CQ599=0,0,IF(CR599=CM599,1,0))</f>
        <v/>
      </c>
      <c r="CZ599">
        <f>IF($A599="","",IF(AND(IF(DASHBOARD!$C$4="All",TRUE,$CM599=DASHBOARD!$C$4),IF(DASHBOARD!$C$6="All",TRUE,$CP599=DASHBOARD!$C$6),IF(DASHBOARD!$C$8="All",TRUE,$AF599&gt;=DASHBOARD!$C$8),IF(DASHBOARD!$C$10="All",TRUE,$AF599&lt;=DASHBOARD!$C$10),IF(DASHBOARD!$C$12="All",TRUE,$AH599=VALUE(DASHBOARD!$C$12)),IF(DASHBOARD!$C$14="All",TRUE,$AJ599=DASHBOARD!$C$14)),1,0))</f>
        <v/>
      </c>
    </row>
    <row r="600">
      <c r="A600" t="n">
        <v>258607</v>
      </c>
      <c r="B600" t="inlineStr">
        <is>
          <t>Aloe Vera Gel</t>
        </is>
      </c>
      <c r="H600" t="inlineStr">
        <is>
          <t>Aloe Vera Gel - 40 gms</t>
        </is>
      </c>
      <c r="N600" t="inlineStr">
        <is>
          <t>FC-HG-PA-040</t>
        </is>
      </c>
      <c r="T600" t="inlineStr">
        <is>
          <t>May 4, 2024</t>
        </is>
      </c>
      <c r="AE600" t="inlineStr">
        <is>
          <t>Ernakulam</t>
        </is>
      </c>
      <c r="AF600" t="inlineStr">
        <is>
          <t>2024-05</t>
        </is>
      </c>
      <c r="AG600" t="n">
        <v>5</v>
      </c>
      <c r="AH600" t="n">
        <v>1</v>
      </c>
      <c r="AI600" t="n">
        <v>0</v>
      </c>
      <c r="AJ600">
        <f>IF($AE600="","",IFERROR(VLOOKUP(TRIM($AE600),DECODE!$H$3:$I$60,2,FALSE),"Rest of India"))</f>
        <v/>
      </c>
      <c r="AK600">
        <f>IF($N600="","",UPPER(TRIM(LEFT($N600&amp;",",FIND(",",$N600&amp;",")-1))))</f>
        <v/>
      </c>
      <c r="AL600">
        <f>IF($AK600="","",MID($AK600,4,FIND("~",SUBSTITUTE($AK600,"-","~",2))-4))</f>
        <v/>
      </c>
      <c r="AM600">
        <f>IF($AK600="","",MID($AK600,FIND("~",SUBSTITUTE($AK600,"-","~",2))+1,FIND("~",SUBSTITUTE($AK600,"-","~",3))-FIND("~",SUBSTITUTE($AK600,"-","~",2))-1))</f>
        <v/>
      </c>
      <c r="AN600">
        <f>IF($AL600="","",IFERROR(VLOOKUP($AL600,DECODE!$A$3:$C$8,3,FALSE),"?"))</f>
        <v/>
      </c>
      <c r="AO600">
        <f>IF($AM600="","",IFERROR(VLOOKUP($AL600&amp;"-"&amp;$AM600,DECODE!$E$3:$F$21,2,FALSE),"?"))</f>
        <v/>
      </c>
      <c r="AP600">
        <f>IF($AK600="","",IFERROR(VALUE(RIGHT($AK600,3)),""))</f>
        <v/>
      </c>
      <c r="AQ600">
        <f>IF($T600="","",IFERROR(IF(ISNUMBER($T600),$T600,DATEVALUE(TRIM($T600))),""))</f>
        <v/>
      </c>
      <c r="AR600">
        <f>IF($AQ600="","",IF(MONTH($AQ600)&gt;=12,"Cold Winter",IF(MONTH($AQ600)&gt;=10,"Post-Monsoon",IF(MONTH($AQ600)&gt;=6,"Hot Humid",IF(MONTH($AQ600)&gt;=3,"Hot Dry","Cold Winter")))))</f>
        <v/>
      </c>
      <c r="AS600">
        <f>IF($AL600="","",IFERROR(VLOOKUP($AL600,DECODE!$A$3:$C$8,2,FALSE),"?"))</f>
        <v/>
      </c>
      <c r="AT600">
        <f>IF($O600="","",UPPER(TRIM(LEFT($O600&amp;",",FIND(",",$O600&amp;",")-1))))</f>
        <v/>
      </c>
      <c r="AU600">
        <f>IF($AT600="","",MID($AT600,4,FIND("~",SUBSTITUTE($AT600,"-","~",2))-4))</f>
        <v/>
      </c>
      <c r="AV600">
        <f>IF($AT600="","",MID($AT600,FIND("~",SUBSTITUTE($AT600,"-","~",2))+1,FIND("~",SUBSTITUTE($AT600,"-","~",3))-FIND("~",SUBSTITUTE($AT600,"-","~",2))-1))</f>
        <v/>
      </c>
      <c r="AW600">
        <f>IF($AU600="","",IFERROR(VLOOKUP($AU600,DECODE!$A$3:$C$8,3,FALSE),"?"))</f>
        <v/>
      </c>
      <c r="AX600">
        <f>IF($AV600="","",IFERROR(VLOOKUP($AU600&amp;"-"&amp;$AV600,DECODE!$E$3:$F$21,2,FALSE),"?"))</f>
        <v/>
      </c>
      <c r="AY600">
        <f>IF($AT600="","",IFERROR(VALUE(RIGHT($AT600,3)),""))</f>
        <v/>
      </c>
      <c r="AZ600">
        <f>IF($U600="","",IFERROR(IF(ISNUMBER($U600),$U600,DATEVALUE(TRIM($U600))),""))</f>
        <v/>
      </c>
      <c r="BA600">
        <f>IF($AZ600="","",IF(MONTH($AZ600)&gt;=12,"Cold Winter",IF(MONTH($AZ600)&gt;=10,"Post-Monsoon",IF(MONTH($AZ600)&gt;=6,"Hot Humid",IF(MONTH($AZ600)&gt;=3,"Hot Dry","Cold Winter")))))</f>
        <v/>
      </c>
      <c r="BB600">
        <f>IF($AU600="","",IFERROR(VLOOKUP($AU600,DECODE!$A$3:$C$8,2,FALSE),"?"))</f>
        <v/>
      </c>
      <c r="BC600">
        <f>IF($P600="","",UPPER(TRIM(LEFT($P600&amp;",",FIND(",",$P600&amp;",")-1))))</f>
        <v/>
      </c>
      <c r="BD600">
        <f>IF($BC600="","",MID($BC600,4,FIND("~",SUBSTITUTE($BC600,"-","~",2))-4))</f>
        <v/>
      </c>
      <c r="BE600">
        <f>IF($BC600="","",MID($BC600,FIND("~",SUBSTITUTE($BC600,"-","~",2))+1,FIND("~",SUBSTITUTE($BC600,"-","~",3))-FIND("~",SUBSTITUTE($BC600,"-","~",2))-1))</f>
        <v/>
      </c>
      <c r="BF600">
        <f>IF($BD600="","",IFERROR(VLOOKUP($BD600,DECODE!$A$3:$C$8,3,FALSE),"?"))</f>
        <v/>
      </c>
      <c r="BG600">
        <f>IF($BE600="","",IFERROR(VLOOKUP($BD600&amp;"-"&amp;$BE600,DECODE!$E$3:$F$21,2,FALSE),"?"))</f>
        <v/>
      </c>
      <c r="BH600">
        <f>IF($BC600="","",IFERROR(VALUE(RIGHT($BC600,3)),""))</f>
        <v/>
      </c>
      <c r="BI600">
        <f>IF($V600="","",IFERROR(IF(ISNUMBER($V600),$V600,DATEVALUE(TRIM($V600))),""))</f>
        <v/>
      </c>
      <c r="BJ600">
        <f>IF($BI600="","",IF(MONTH($BI600)&gt;=12,"Cold Winter",IF(MONTH($BI600)&gt;=10,"Post-Monsoon",IF(MONTH($BI600)&gt;=6,"Hot Humid",IF(MONTH($BI600)&gt;=3,"Hot Dry","Cold Winter")))))</f>
        <v/>
      </c>
      <c r="BK600">
        <f>IF($BD600="","",IFERROR(VLOOKUP($BD600,DECODE!$A$3:$C$8,2,FALSE),"?"))</f>
        <v/>
      </c>
      <c r="BL600">
        <f>IF($Q600="","",UPPER(TRIM(LEFT($Q600&amp;",",FIND(",",$Q600&amp;",")-1))))</f>
        <v/>
      </c>
      <c r="BM600">
        <f>IF($BL600="","",MID($BL600,4,FIND("~",SUBSTITUTE($BL600,"-","~",2))-4))</f>
        <v/>
      </c>
      <c r="BN600">
        <f>IF($BL600="","",MID($BL600,FIND("~",SUBSTITUTE($BL600,"-","~",2))+1,FIND("~",SUBSTITUTE($BL600,"-","~",3))-FIND("~",SUBSTITUTE($BL600,"-","~",2))-1))</f>
        <v/>
      </c>
      <c r="BO600">
        <f>IF($BM600="","",IFERROR(VLOOKUP($BM600,DECODE!$A$3:$C$8,3,FALSE),"?"))</f>
        <v/>
      </c>
      <c r="BP600">
        <f>IF($BN600="","",IFERROR(VLOOKUP($BM600&amp;"-"&amp;$BN600,DECODE!$E$3:$F$21,2,FALSE),"?"))</f>
        <v/>
      </c>
      <c r="BQ600">
        <f>IF($BL600="","",IFERROR(VALUE(RIGHT($BL600,3)),""))</f>
        <v/>
      </c>
      <c r="BR600">
        <f>IF($W600="","",IFERROR(IF(ISNUMBER($W600),$W600,DATEVALUE(TRIM($W600))),""))</f>
        <v/>
      </c>
      <c r="BS600">
        <f>IF($BR600="","",IF(MONTH($BR600)&gt;=12,"Cold Winter",IF(MONTH($BR600)&gt;=10,"Post-Monsoon",IF(MONTH($BR600)&gt;=6,"Hot Humid",IF(MONTH($BR600)&gt;=3,"Hot Dry","Cold Winter")))))</f>
        <v/>
      </c>
      <c r="BT600">
        <f>IF($BM600="","",IFERROR(VLOOKUP($BM600,DECODE!$A$3:$C$8,2,FALSE),"?"))</f>
        <v/>
      </c>
      <c r="BU600">
        <f>IF($R600="","",UPPER(TRIM(LEFT($R600&amp;",",FIND(",",$R600&amp;",")-1))))</f>
        <v/>
      </c>
      <c r="BV600">
        <f>IF($BU600="","",MID($BU600,4,FIND("~",SUBSTITUTE($BU600,"-","~",2))-4))</f>
        <v/>
      </c>
      <c r="BW600">
        <f>IF($BU600="","",MID($BU600,FIND("~",SUBSTITUTE($BU600,"-","~",2))+1,FIND("~",SUBSTITUTE($BU600,"-","~",3))-FIND("~",SUBSTITUTE($BU600,"-","~",2))-1))</f>
        <v/>
      </c>
      <c r="BX600">
        <f>IF($BV600="","",IFERROR(VLOOKUP($BV600,DECODE!$A$3:$C$8,3,FALSE),"?"))</f>
        <v/>
      </c>
      <c r="BY600">
        <f>IF($BW600="","",IFERROR(VLOOKUP($BV600&amp;"-"&amp;$BW600,DECODE!$E$3:$F$21,2,FALSE),"?"))</f>
        <v/>
      </c>
      <c r="BZ600">
        <f>IF($BU600="","",IFERROR(VALUE(RIGHT($BU600,3)),""))</f>
        <v/>
      </c>
      <c r="CA600">
        <f>IF($X600="","",IFERROR(IF(ISNUMBER($X600),$X600,DATEVALUE(TRIM($X600))),""))</f>
        <v/>
      </c>
      <c r="CB600">
        <f>IF($CA600="","",IF(MONTH($CA600)&gt;=12,"Cold Winter",IF(MONTH($CA600)&gt;=10,"Post-Monsoon",IF(MONTH($CA600)&gt;=6,"Hot Humid",IF(MONTH($CA600)&gt;=3,"Hot Dry","Cold Winter")))))</f>
        <v/>
      </c>
      <c r="CC600">
        <f>IF($BV600="","",IFERROR(VLOOKUP($BV600,DECODE!$A$3:$C$8,2,FALSE),"?"))</f>
        <v/>
      </c>
      <c r="CD600">
        <f>IF($S600="","",UPPER(TRIM(LEFT($S600&amp;",",FIND(",",$S600&amp;",")-1))))</f>
        <v/>
      </c>
      <c r="CE600">
        <f>IF($CD600="","",MID($CD600,4,FIND("~",SUBSTITUTE($CD600,"-","~",2))-4))</f>
        <v/>
      </c>
      <c r="CF600">
        <f>IF($CD600="","",MID($CD600,FIND("~",SUBSTITUTE($CD600,"-","~",2))+1,FIND("~",SUBSTITUTE($CD600,"-","~",3))-FIND("~",SUBSTITUTE($CD600,"-","~",2))-1))</f>
        <v/>
      </c>
      <c r="CG600">
        <f>IF($CE600="","",IFERROR(VLOOKUP($CE600,DECODE!$A$3:$C$8,3,FALSE),"?"))</f>
        <v/>
      </c>
      <c r="CH600">
        <f>IF($CF600="","",IFERROR(VLOOKUP($CE600&amp;"-"&amp;$CF600,DECODE!$E$3:$F$21,2,FALSE),"?"))</f>
        <v/>
      </c>
      <c r="CI600">
        <f>IF($CD600="","",IFERROR(VALUE(RIGHT($CD600,3)),""))</f>
        <v/>
      </c>
      <c r="CJ600">
        <f>IF($Y600="","",IFERROR(IF(ISNUMBER($Y600),$Y600,DATEVALUE(TRIM($Y600))),""))</f>
        <v/>
      </c>
      <c r="CK600">
        <f>IF($CJ600="","",IF(MONTH($CJ600)&gt;=12,"Cold Winter",IF(MONTH($CJ600)&gt;=10,"Post-Monsoon",IF(MONTH($CJ600)&gt;=6,"Hot Humid",IF(MONTH($CJ600)&gt;=3,"Hot Dry","Cold Winter")))))</f>
        <v/>
      </c>
      <c r="CL600">
        <f>IF($CE600="","",IFERROR(VLOOKUP($CE600,DECODE!$A$3:$C$8,2,FALSE),"?"))</f>
        <v/>
      </c>
      <c r="CM600">
        <f>IF($AN600="","",AN600)</f>
        <v/>
      </c>
      <c r="CN600">
        <f>IF($AO600="","",AO600)</f>
        <v/>
      </c>
      <c r="CO600">
        <f>IF($AP600="","",AP600)</f>
        <v/>
      </c>
      <c r="CP600">
        <f>IF($CM600="","",IF($CM600="Aloe Vera Gel","Aloe Vera Gel "&amp;$CO600&amp;"g",CN600&amp;" "&amp;$CO600&amp;"g"))</f>
        <v/>
      </c>
      <c r="CQ600">
        <f>IF($AT600="",0,1)</f>
        <v/>
      </c>
      <c r="CR600">
        <f>IF($CQ600=0,"",AW600)</f>
        <v/>
      </c>
      <c r="CS600">
        <f>IF($CQ600=0,"",AX600)</f>
        <v/>
      </c>
      <c r="CT600">
        <f>IF($CQ600=0,"",AY600)</f>
        <v/>
      </c>
      <c r="CU600">
        <f>IF($CR600="","",IF($CR600="Aloe Vera Gel","Aloe Vera Gel "&amp;$CT600&amp;"g",CS600&amp;" "&amp;$CT600&amp;"g"))</f>
        <v/>
      </c>
      <c r="CV600">
        <f>IF($CQ600=0,"",IF($CP600=$CU600,"Repeat Exact",IF($CT600&gt;$CO600,"Upsized",IF($CT600&lt;$CO600,"Downsized",IF($CM600&lt;&gt;$CR600,"Lateral","Same Size Diff Variant")))))</f>
        <v/>
      </c>
      <c r="CW600">
        <f>IF($CQ600=0,"",AZ600-AQ600)</f>
        <v/>
      </c>
      <c r="CX600">
        <f>IF($CQ600=0,0,IF(CS600=CN600,1,0))</f>
        <v/>
      </c>
      <c r="CY600">
        <f>IF($CQ600=0,0,IF(CR600=CM600,1,0))</f>
        <v/>
      </c>
      <c r="CZ600">
        <f>IF($A600="","",IF(AND(IF(DASHBOARD!$C$4="All",TRUE,$CM600=DASHBOARD!$C$4),IF(DASHBOARD!$C$6="All",TRUE,$CP600=DASHBOARD!$C$6),IF(DASHBOARD!$C$8="All",TRUE,$AF600&gt;=DASHBOARD!$C$8),IF(DASHBOARD!$C$10="All",TRUE,$AF600&lt;=DASHBOARD!$C$10),IF(DASHBOARD!$C$12="All",TRUE,$AH600=VALUE(DASHBOARD!$C$12)),IF(DASHBOARD!$C$14="All",TRUE,$AJ600=DASHBOARD!$C$14)),1,0))</f>
        <v/>
      </c>
    </row>
    <row r="601">
      <c r="A601" t="n">
        <v>259390</v>
      </c>
      <c r="B601" t="inlineStr">
        <is>
          <t>Aloe Vera Gel</t>
        </is>
      </c>
      <c r="H601" t="inlineStr">
        <is>
          <t>Aloe Vera Gel - 40 gms</t>
        </is>
      </c>
      <c r="N601" t="inlineStr">
        <is>
          <t>FC-HG-PA-040</t>
        </is>
      </c>
      <c r="T601" t="inlineStr">
        <is>
          <t>Jun 7, 2024</t>
        </is>
      </c>
      <c r="AE601" t="inlineStr">
        <is>
          <t>Mumbai</t>
        </is>
      </c>
      <c r="AF601" t="inlineStr">
        <is>
          <t>2024-06</t>
        </is>
      </c>
      <c r="AG601" t="n">
        <v>6</v>
      </c>
      <c r="AH601" t="n">
        <v>1</v>
      </c>
      <c r="AI601" t="n">
        <v>0</v>
      </c>
      <c r="AJ601">
        <f>IF($AE601="","",IFERROR(VLOOKUP(TRIM($AE601),DECODE!$H$3:$I$60,2,FALSE),"Rest of India"))</f>
        <v/>
      </c>
      <c r="AK601">
        <f>IF($N601="","",UPPER(TRIM(LEFT($N601&amp;",",FIND(",",$N601&amp;",")-1))))</f>
        <v/>
      </c>
      <c r="AL601">
        <f>IF($AK601="","",MID($AK601,4,FIND("~",SUBSTITUTE($AK601,"-","~",2))-4))</f>
        <v/>
      </c>
      <c r="AM601">
        <f>IF($AK601="","",MID($AK601,FIND("~",SUBSTITUTE($AK601,"-","~",2))+1,FIND("~",SUBSTITUTE($AK601,"-","~",3))-FIND("~",SUBSTITUTE($AK601,"-","~",2))-1))</f>
        <v/>
      </c>
      <c r="AN601">
        <f>IF($AL601="","",IFERROR(VLOOKUP($AL601,DECODE!$A$3:$C$8,3,FALSE),"?"))</f>
        <v/>
      </c>
      <c r="AO601">
        <f>IF($AM601="","",IFERROR(VLOOKUP($AL601&amp;"-"&amp;$AM601,DECODE!$E$3:$F$21,2,FALSE),"?"))</f>
        <v/>
      </c>
      <c r="AP601">
        <f>IF($AK601="","",IFERROR(VALUE(RIGHT($AK601,3)),""))</f>
        <v/>
      </c>
      <c r="AQ601">
        <f>IF($T601="","",IFERROR(IF(ISNUMBER($T601),$T601,DATEVALUE(TRIM($T601))),""))</f>
        <v/>
      </c>
      <c r="AR601">
        <f>IF($AQ601="","",IF(MONTH($AQ601)&gt;=12,"Cold Winter",IF(MONTH($AQ601)&gt;=10,"Post-Monsoon",IF(MONTH($AQ601)&gt;=6,"Hot Humid",IF(MONTH($AQ601)&gt;=3,"Hot Dry","Cold Winter")))))</f>
        <v/>
      </c>
      <c r="AS601">
        <f>IF($AL601="","",IFERROR(VLOOKUP($AL601,DECODE!$A$3:$C$8,2,FALSE),"?"))</f>
        <v/>
      </c>
      <c r="AT601">
        <f>IF($O601="","",UPPER(TRIM(LEFT($O601&amp;",",FIND(",",$O601&amp;",")-1))))</f>
        <v/>
      </c>
      <c r="AU601">
        <f>IF($AT601="","",MID($AT601,4,FIND("~",SUBSTITUTE($AT601,"-","~",2))-4))</f>
        <v/>
      </c>
      <c r="AV601">
        <f>IF($AT601="","",MID($AT601,FIND("~",SUBSTITUTE($AT601,"-","~",2))+1,FIND("~",SUBSTITUTE($AT601,"-","~",3))-FIND("~",SUBSTITUTE($AT601,"-","~",2))-1))</f>
        <v/>
      </c>
      <c r="AW601">
        <f>IF($AU601="","",IFERROR(VLOOKUP($AU601,DECODE!$A$3:$C$8,3,FALSE),"?"))</f>
        <v/>
      </c>
      <c r="AX601">
        <f>IF($AV601="","",IFERROR(VLOOKUP($AU601&amp;"-"&amp;$AV601,DECODE!$E$3:$F$21,2,FALSE),"?"))</f>
        <v/>
      </c>
      <c r="AY601">
        <f>IF($AT601="","",IFERROR(VALUE(RIGHT($AT601,3)),""))</f>
        <v/>
      </c>
      <c r="AZ601">
        <f>IF($U601="","",IFERROR(IF(ISNUMBER($U601),$U601,DATEVALUE(TRIM($U601))),""))</f>
        <v/>
      </c>
      <c r="BA601">
        <f>IF($AZ601="","",IF(MONTH($AZ601)&gt;=12,"Cold Winter",IF(MONTH($AZ601)&gt;=10,"Post-Monsoon",IF(MONTH($AZ601)&gt;=6,"Hot Humid",IF(MONTH($AZ601)&gt;=3,"Hot Dry","Cold Winter")))))</f>
        <v/>
      </c>
      <c r="BB601">
        <f>IF($AU601="","",IFERROR(VLOOKUP($AU601,DECODE!$A$3:$C$8,2,FALSE),"?"))</f>
        <v/>
      </c>
      <c r="BC601">
        <f>IF($P601="","",UPPER(TRIM(LEFT($P601&amp;",",FIND(",",$P601&amp;",")-1))))</f>
        <v/>
      </c>
      <c r="BD601">
        <f>IF($BC601="","",MID($BC601,4,FIND("~",SUBSTITUTE($BC601,"-","~",2))-4))</f>
        <v/>
      </c>
      <c r="BE601">
        <f>IF($BC601="","",MID($BC601,FIND("~",SUBSTITUTE($BC601,"-","~",2))+1,FIND("~",SUBSTITUTE($BC601,"-","~",3))-FIND("~",SUBSTITUTE($BC601,"-","~",2))-1))</f>
        <v/>
      </c>
      <c r="BF601">
        <f>IF($BD601="","",IFERROR(VLOOKUP($BD601,DECODE!$A$3:$C$8,3,FALSE),"?"))</f>
        <v/>
      </c>
      <c r="BG601">
        <f>IF($BE601="","",IFERROR(VLOOKUP($BD601&amp;"-"&amp;$BE601,DECODE!$E$3:$F$21,2,FALSE),"?"))</f>
        <v/>
      </c>
      <c r="BH601">
        <f>IF($BC601="","",IFERROR(VALUE(RIGHT($BC601,3)),""))</f>
        <v/>
      </c>
      <c r="BI601">
        <f>IF($V601="","",IFERROR(IF(ISNUMBER($V601),$V601,DATEVALUE(TRIM($V601))),""))</f>
        <v/>
      </c>
      <c r="BJ601">
        <f>IF($BI601="","",IF(MONTH($BI601)&gt;=12,"Cold Winter",IF(MONTH($BI601)&gt;=10,"Post-Monsoon",IF(MONTH($BI601)&gt;=6,"Hot Humid",IF(MONTH($BI601)&gt;=3,"Hot Dry","Cold Winter")))))</f>
        <v/>
      </c>
      <c r="BK601">
        <f>IF($BD601="","",IFERROR(VLOOKUP($BD601,DECODE!$A$3:$C$8,2,FALSE),"?"))</f>
        <v/>
      </c>
      <c r="BL601">
        <f>IF($Q601="","",UPPER(TRIM(LEFT($Q601&amp;",",FIND(",",$Q601&amp;",")-1))))</f>
        <v/>
      </c>
      <c r="BM601">
        <f>IF($BL601="","",MID($BL601,4,FIND("~",SUBSTITUTE($BL601,"-","~",2))-4))</f>
        <v/>
      </c>
      <c r="BN601">
        <f>IF($BL601="","",MID($BL601,FIND("~",SUBSTITUTE($BL601,"-","~",2))+1,FIND("~",SUBSTITUTE($BL601,"-","~",3))-FIND("~",SUBSTITUTE($BL601,"-","~",2))-1))</f>
        <v/>
      </c>
      <c r="BO601">
        <f>IF($BM601="","",IFERROR(VLOOKUP($BM601,DECODE!$A$3:$C$8,3,FALSE),"?"))</f>
        <v/>
      </c>
      <c r="BP601">
        <f>IF($BN601="","",IFERROR(VLOOKUP($BM601&amp;"-"&amp;$BN601,DECODE!$E$3:$F$21,2,FALSE),"?"))</f>
        <v/>
      </c>
      <c r="BQ601">
        <f>IF($BL601="","",IFERROR(VALUE(RIGHT($BL601,3)),""))</f>
        <v/>
      </c>
      <c r="BR601">
        <f>IF($W601="","",IFERROR(IF(ISNUMBER($W601),$W601,DATEVALUE(TRIM($W601))),""))</f>
        <v/>
      </c>
      <c r="BS601">
        <f>IF($BR601="","",IF(MONTH($BR601)&gt;=12,"Cold Winter",IF(MONTH($BR601)&gt;=10,"Post-Monsoon",IF(MONTH($BR601)&gt;=6,"Hot Humid",IF(MONTH($BR601)&gt;=3,"Hot Dry","Cold Winter")))))</f>
        <v/>
      </c>
      <c r="BT601">
        <f>IF($BM601="","",IFERROR(VLOOKUP($BM601,DECODE!$A$3:$C$8,2,FALSE),"?"))</f>
        <v/>
      </c>
      <c r="BU601">
        <f>IF($R601="","",UPPER(TRIM(LEFT($R601&amp;",",FIND(",",$R601&amp;",")-1))))</f>
        <v/>
      </c>
      <c r="BV601">
        <f>IF($BU601="","",MID($BU601,4,FIND("~",SUBSTITUTE($BU601,"-","~",2))-4))</f>
        <v/>
      </c>
      <c r="BW601">
        <f>IF($BU601="","",MID($BU601,FIND("~",SUBSTITUTE($BU601,"-","~",2))+1,FIND("~",SUBSTITUTE($BU601,"-","~",3))-FIND("~",SUBSTITUTE($BU601,"-","~",2))-1))</f>
        <v/>
      </c>
      <c r="BX601">
        <f>IF($BV601="","",IFERROR(VLOOKUP($BV601,DECODE!$A$3:$C$8,3,FALSE),"?"))</f>
        <v/>
      </c>
      <c r="BY601">
        <f>IF($BW601="","",IFERROR(VLOOKUP($BV601&amp;"-"&amp;$BW601,DECODE!$E$3:$F$21,2,FALSE),"?"))</f>
        <v/>
      </c>
      <c r="BZ601">
        <f>IF($BU601="","",IFERROR(VALUE(RIGHT($BU601,3)),""))</f>
        <v/>
      </c>
      <c r="CA601">
        <f>IF($X601="","",IFERROR(IF(ISNUMBER($X601),$X601,DATEVALUE(TRIM($X601))),""))</f>
        <v/>
      </c>
      <c r="CB601">
        <f>IF($CA601="","",IF(MONTH($CA601)&gt;=12,"Cold Winter",IF(MONTH($CA601)&gt;=10,"Post-Monsoon",IF(MONTH($CA601)&gt;=6,"Hot Humid",IF(MONTH($CA601)&gt;=3,"Hot Dry","Cold Winter")))))</f>
        <v/>
      </c>
      <c r="CC601">
        <f>IF($BV601="","",IFERROR(VLOOKUP($BV601,DECODE!$A$3:$C$8,2,FALSE),"?"))</f>
        <v/>
      </c>
      <c r="CD601">
        <f>IF($S601="","",UPPER(TRIM(LEFT($S601&amp;",",FIND(",",$S601&amp;",")-1))))</f>
        <v/>
      </c>
      <c r="CE601">
        <f>IF($CD601="","",MID($CD601,4,FIND("~",SUBSTITUTE($CD601,"-","~",2))-4))</f>
        <v/>
      </c>
      <c r="CF601">
        <f>IF($CD601="","",MID($CD601,FIND("~",SUBSTITUTE($CD601,"-","~",2))+1,FIND("~",SUBSTITUTE($CD601,"-","~",3))-FIND("~",SUBSTITUTE($CD601,"-","~",2))-1))</f>
        <v/>
      </c>
      <c r="CG601">
        <f>IF($CE601="","",IFERROR(VLOOKUP($CE601,DECODE!$A$3:$C$8,3,FALSE),"?"))</f>
        <v/>
      </c>
      <c r="CH601">
        <f>IF($CF601="","",IFERROR(VLOOKUP($CE601&amp;"-"&amp;$CF601,DECODE!$E$3:$F$21,2,FALSE),"?"))</f>
        <v/>
      </c>
      <c r="CI601">
        <f>IF($CD601="","",IFERROR(VALUE(RIGHT($CD601,3)),""))</f>
        <v/>
      </c>
      <c r="CJ601">
        <f>IF($Y601="","",IFERROR(IF(ISNUMBER($Y601),$Y601,DATEVALUE(TRIM($Y601))),""))</f>
        <v/>
      </c>
      <c r="CK601">
        <f>IF($CJ601="","",IF(MONTH($CJ601)&gt;=12,"Cold Winter",IF(MONTH($CJ601)&gt;=10,"Post-Monsoon",IF(MONTH($CJ601)&gt;=6,"Hot Humid",IF(MONTH($CJ601)&gt;=3,"Hot Dry","Cold Winter")))))</f>
        <v/>
      </c>
      <c r="CL601">
        <f>IF($CE601="","",IFERROR(VLOOKUP($CE601,DECODE!$A$3:$C$8,2,FALSE),"?"))</f>
        <v/>
      </c>
      <c r="CM601">
        <f>IF($AN601="","",AN601)</f>
        <v/>
      </c>
      <c r="CN601">
        <f>IF($AO601="","",AO601)</f>
        <v/>
      </c>
      <c r="CO601">
        <f>IF($AP601="","",AP601)</f>
        <v/>
      </c>
      <c r="CP601">
        <f>IF($CM601="","",IF($CM601="Aloe Vera Gel","Aloe Vera Gel "&amp;$CO601&amp;"g",CN601&amp;" "&amp;$CO601&amp;"g"))</f>
        <v/>
      </c>
      <c r="CQ601">
        <f>IF($AT601="",0,1)</f>
        <v/>
      </c>
      <c r="CR601">
        <f>IF($CQ601=0,"",AW601)</f>
        <v/>
      </c>
      <c r="CS601">
        <f>IF($CQ601=0,"",AX601)</f>
        <v/>
      </c>
      <c r="CT601">
        <f>IF($CQ601=0,"",AY601)</f>
        <v/>
      </c>
      <c r="CU601">
        <f>IF($CR601="","",IF($CR601="Aloe Vera Gel","Aloe Vera Gel "&amp;$CT601&amp;"g",CS601&amp;" "&amp;$CT601&amp;"g"))</f>
        <v/>
      </c>
      <c r="CV601">
        <f>IF($CQ601=0,"",IF($CP601=$CU601,"Repeat Exact",IF($CT601&gt;$CO601,"Upsized",IF($CT601&lt;$CO601,"Downsized",IF($CM601&lt;&gt;$CR601,"Lateral","Same Size Diff Variant")))))</f>
        <v/>
      </c>
      <c r="CW601">
        <f>IF($CQ601=0,"",AZ601-AQ601)</f>
        <v/>
      </c>
      <c r="CX601">
        <f>IF($CQ601=0,0,IF(CS601=CN601,1,0))</f>
        <v/>
      </c>
      <c r="CY601">
        <f>IF($CQ601=0,0,IF(CR601=CM601,1,0))</f>
        <v/>
      </c>
      <c r="CZ601">
        <f>IF($A601="","",IF(AND(IF(DASHBOARD!$C$4="All",TRUE,$CM601=DASHBOARD!$C$4),IF(DASHBOARD!$C$6="All",TRUE,$CP601=DASHBOARD!$C$6),IF(DASHBOARD!$C$8="All",TRUE,$AF601&gt;=DASHBOARD!$C$8),IF(DASHBOARD!$C$10="All",TRUE,$AF601&lt;=DASHBOARD!$C$10),IF(DASHBOARD!$C$12="All",TRUE,$AH601=VALUE(DASHBOARD!$C$12)),IF(DASHBOARD!$C$14="All",TRUE,$AJ601=DASHBOARD!$C$14)),1,0))</f>
        <v/>
      </c>
    </row>
    <row r="602">
      <c r="A602" t="n">
        <v>259425</v>
      </c>
      <c r="B602" t="inlineStr">
        <is>
          <t>Face Malai</t>
        </is>
      </c>
      <c r="H602" t="inlineStr">
        <is>
          <t>Turmeric Nutmeg (Pigmentation)  Face Malai - 30g</t>
        </is>
      </c>
      <c r="N602" t="inlineStr">
        <is>
          <t>FC-DM-PG-030</t>
        </is>
      </c>
      <c r="T602" t="inlineStr">
        <is>
          <t>Jun 7, 2024</t>
        </is>
      </c>
      <c r="AE602" t="inlineStr">
        <is>
          <t>Mumbai</t>
        </is>
      </c>
      <c r="AF602" t="inlineStr">
        <is>
          <t>2024-06</t>
        </is>
      </c>
      <c r="AG602" t="n">
        <v>6</v>
      </c>
      <c r="AH602" t="n">
        <v>1</v>
      </c>
      <c r="AI602" t="n">
        <v>0</v>
      </c>
      <c r="AJ602">
        <f>IF($AE602="","",IFERROR(VLOOKUP(TRIM($AE602),DECODE!$H$3:$I$60,2,FALSE),"Rest of India"))</f>
        <v/>
      </c>
      <c r="AK602">
        <f>IF($N602="","",UPPER(TRIM(LEFT($N602&amp;",",FIND(",",$N602&amp;",")-1))))</f>
        <v/>
      </c>
      <c r="AL602">
        <f>IF($AK602="","",MID($AK602,4,FIND("~",SUBSTITUTE($AK602,"-","~",2))-4))</f>
        <v/>
      </c>
      <c r="AM602">
        <f>IF($AK602="","",MID($AK602,FIND("~",SUBSTITUTE($AK602,"-","~",2))+1,FIND("~",SUBSTITUTE($AK602,"-","~",3))-FIND("~",SUBSTITUTE($AK602,"-","~",2))-1))</f>
        <v/>
      </c>
      <c r="AN602">
        <f>IF($AL602="","",IFERROR(VLOOKUP($AL602,DECODE!$A$3:$C$8,3,FALSE),"?"))</f>
        <v/>
      </c>
      <c r="AO602">
        <f>IF($AM602="","",IFERROR(VLOOKUP($AL602&amp;"-"&amp;$AM602,DECODE!$E$3:$F$21,2,FALSE),"?"))</f>
        <v/>
      </c>
      <c r="AP602">
        <f>IF($AK602="","",IFERROR(VALUE(RIGHT($AK602,3)),""))</f>
        <v/>
      </c>
      <c r="AQ602">
        <f>IF($T602="","",IFERROR(IF(ISNUMBER($T602),$T602,DATEVALUE(TRIM($T602))),""))</f>
        <v/>
      </c>
      <c r="AR602">
        <f>IF($AQ602="","",IF(MONTH($AQ602)&gt;=12,"Cold Winter",IF(MONTH($AQ602)&gt;=10,"Post-Monsoon",IF(MONTH($AQ602)&gt;=6,"Hot Humid",IF(MONTH($AQ602)&gt;=3,"Hot Dry","Cold Winter")))))</f>
        <v/>
      </c>
      <c r="AS602">
        <f>IF($AL602="","",IFERROR(VLOOKUP($AL602,DECODE!$A$3:$C$8,2,FALSE),"?"))</f>
        <v/>
      </c>
      <c r="AT602">
        <f>IF($O602="","",UPPER(TRIM(LEFT($O602&amp;",",FIND(",",$O602&amp;",")-1))))</f>
        <v/>
      </c>
      <c r="AU602">
        <f>IF($AT602="","",MID($AT602,4,FIND("~",SUBSTITUTE($AT602,"-","~",2))-4))</f>
        <v/>
      </c>
      <c r="AV602">
        <f>IF($AT602="","",MID($AT602,FIND("~",SUBSTITUTE($AT602,"-","~",2))+1,FIND("~",SUBSTITUTE($AT602,"-","~",3))-FIND("~",SUBSTITUTE($AT602,"-","~",2))-1))</f>
        <v/>
      </c>
      <c r="AW602">
        <f>IF($AU602="","",IFERROR(VLOOKUP($AU602,DECODE!$A$3:$C$8,3,FALSE),"?"))</f>
        <v/>
      </c>
      <c r="AX602">
        <f>IF($AV602="","",IFERROR(VLOOKUP($AU602&amp;"-"&amp;$AV602,DECODE!$E$3:$F$21,2,FALSE),"?"))</f>
        <v/>
      </c>
      <c r="AY602">
        <f>IF($AT602="","",IFERROR(VALUE(RIGHT($AT602,3)),""))</f>
        <v/>
      </c>
      <c r="AZ602">
        <f>IF($U602="","",IFERROR(IF(ISNUMBER($U602),$U602,DATEVALUE(TRIM($U602))),""))</f>
        <v/>
      </c>
      <c r="BA602">
        <f>IF($AZ602="","",IF(MONTH($AZ602)&gt;=12,"Cold Winter",IF(MONTH($AZ602)&gt;=10,"Post-Monsoon",IF(MONTH($AZ602)&gt;=6,"Hot Humid",IF(MONTH($AZ602)&gt;=3,"Hot Dry","Cold Winter")))))</f>
        <v/>
      </c>
      <c r="BB602">
        <f>IF($AU602="","",IFERROR(VLOOKUP($AU602,DECODE!$A$3:$C$8,2,FALSE),"?"))</f>
        <v/>
      </c>
      <c r="BC602">
        <f>IF($P602="","",UPPER(TRIM(LEFT($P602&amp;",",FIND(",",$P602&amp;",")-1))))</f>
        <v/>
      </c>
      <c r="BD602">
        <f>IF($BC602="","",MID($BC602,4,FIND("~",SUBSTITUTE($BC602,"-","~",2))-4))</f>
        <v/>
      </c>
      <c r="BE602">
        <f>IF($BC602="","",MID($BC602,FIND("~",SUBSTITUTE($BC602,"-","~",2))+1,FIND("~",SUBSTITUTE($BC602,"-","~",3))-FIND("~",SUBSTITUTE($BC602,"-","~",2))-1))</f>
        <v/>
      </c>
      <c r="BF602">
        <f>IF($BD602="","",IFERROR(VLOOKUP($BD602,DECODE!$A$3:$C$8,3,FALSE),"?"))</f>
        <v/>
      </c>
      <c r="BG602">
        <f>IF($BE602="","",IFERROR(VLOOKUP($BD602&amp;"-"&amp;$BE602,DECODE!$E$3:$F$21,2,FALSE),"?"))</f>
        <v/>
      </c>
      <c r="BH602">
        <f>IF($BC602="","",IFERROR(VALUE(RIGHT($BC602,3)),""))</f>
        <v/>
      </c>
      <c r="BI602">
        <f>IF($V602="","",IFERROR(IF(ISNUMBER($V602),$V602,DATEVALUE(TRIM($V602))),""))</f>
        <v/>
      </c>
      <c r="BJ602">
        <f>IF($BI602="","",IF(MONTH($BI602)&gt;=12,"Cold Winter",IF(MONTH($BI602)&gt;=10,"Post-Monsoon",IF(MONTH($BI602)&gt;=6,"Hot Humid",IF(MONTH($BI602)&gt;=3,"Hot Dry","Cold Winter")))))</f>
        <v/>
      </c>
      <c r="BK602">
        <f>IF($BD602="","",IFERROR(VLOOKUP($BD602,DECODE!$A$3:$C$8,2,FALSE),"?"))</f>
        <v/>
      </c>
      <c r="BL602">
        <f>IF($Q602="","",UPPER(TRIM(LEFT($Q602&amp;",",FIND(",",$Q602&amp;",")-1))))</f>
        <v/>
      </c>
      <c r="BM602">
        <f>IF($BL602="","",MID($BL602,4,FIND("~",SUBSTITUTE($BL602,"-","~",2))-4))</f>
        <v/>
      </c>
      <c r="BN602">
        <f>IF($BL602="","",MID($BL602,FIND("~",SUBSTITUTE($BL602,"-","~",2))+1,FIND("~",SUBSTITUTE($BL602,"-","~",3))-FIND("~",SUBSTITUTE($BL602,"-","~",2))-1))</f>
        <v/>
      </c>
      <c r="BO602">
        <f>IF($BM602="","",IFERROR(VLOOKUP($BM602,DECODE!$A$3:$C$8,3,FALSE),"?"))</f>
        <v/>
      </c>
      <c r="BP602">
        <f>IF($BN602="","",IFERROR(VLOOKUP($BM602&amp;"-"&amp;$BN602,DECODE!$E$3:$F$21,2,FALSE),"?"))</f>
        <v/>
      </c>
      <c r="BQ602">
        <f>IF($BL602="","",IFERROR(VALUE(RIGHT($BL602,3)),""))</f>
        <v/>
      </c>
      <c r="BR602">
        <f>IF($W602="","",IFERROR(IF(ISNUMBER($W602),$W602,DATEVALUE(TRIM($W602))),""))</f>
        <v/>
      </c>
      <c r="BS602">
        <f>IF($BR602="","",IF(MONTH($BR602)&gt;=12,"Cold Winter",IF(MONTH($BR602)&gt;=10,"Post-Monsoon",IF(MONTH($BR602)&gt;=6,"Hot Humid",IF(MONTH($BR602)&gt;=3,"Hot Dry","Cold Winter")))))</f>
        <v/>
      </c>
      <c r="BT602">
        <f>IF($BM602="","",IFERROR(VLOOKUP($BM602,DECODE!$A$3:$C$8,2,FALSE),"?"))</f>
        <v/>
      </c>
      <c r="BU602">
        <f>IF($R602="","",UPPER(TRIM(LEFT($R602&amp;",",FIND(",",$R602&amp;",")-1))))</f>
        <v/>
      </c>
      <c r="BV602">
        <f>IF($BU602="","",MID($BU602,4,FIND("~",SUBSTITUTE($BU602,"-","~",2))-4))</f>
        <v/>
      </c>
      <c r="BW602">
        <f>IF($BU602="","",MID($BU602,FIND("~",SUBSTITUTE($BU602,"-","~",2))+1,FIND("~",SUBSTITUTE($BU602,"-","~",3))-FIND("~",SUBSTITUTE($BU602,"-","~",2))-1))</f>
        <v/>
      </c>
      <c r="BX602">
        <f>IF($BV602="","",IFERROR(VLOOKUP($BV602,DECODE!$A$3:$C$8,3,FALSE),"?"))</f>
        <v/>
      </c>
      <c r="BY602">
        <f>IF($BW602="","",IFERROR(VLOOKUP($BV602&amp;"-"&amp;$BW602,DECODE!$E$3:$F$21,2,FALSE),"?"))</f>
        <v/>
      </c>
      <c r="BZ602">
        <f>IF($BU602="","",IFERROR(VALUE(RIGHT($BU602,3)),""))</f>
        <v/>
      </c>
      <c r="CA602">
        <f>IF($X602="","",IFERROR(IF(ISNUMBER($X602),$X602,DATEVALUE(TRIM($X602))),""))</f>
        <v/>
      </c>
      <c r="CB602">
        <f>IF($CA602="","",IF(MONTH($CA602)&gt;=12,"Cold Winter",IF(MONTH($CA602)&gt;=10,"Post-Monsoon",IF(MONTH($CA602)&gt;=6,"Hot Humid",IF(MONTH($CA602)&gt;=3,"Hot Dry","Cold Winter")))))</f>
        <v/>
      </c>
      <c r="CC602">
        <f>IF($BV602="","",IFERROR(VLOOKUP($BV602,DECODE!$A$3:$C$8,2,FALSE),"?"))</f>
        <v/>
      </c>
      <c r="CD602">
        <f>IF($S602="","",UPPER(TRIM(LEFT($S602&amp;",",FIND(",",$S602&amp;",")-1))))</f>
        <v/>
      </c>
      <c r="CE602">
        <f>IF($CD602="","",MID($CD602,4,FIND("~",SUBSTITUTE($CD602,"-","~",2))-4))</f>
        <v/>
      </c>
      <c r="CF602">
        <f>IF($CD602="","",MID($CD602,FIND("~",SUBSTITUTE($CD602,"-","~",2))+1,FIND("~",SUBSTITUTE($CD602,"-","~",3))-FIND("~",SUBSTITUTE($CD602,"-","~",2))-1))</f>
        <v/>
      </c>
      <c r="CG602">
        <f>IF($CE602="","",IFERROR(VLOOKUP($CE602,DECODE!$A$3:$C$8,3,FALSE),"?"))</f>
        <v/>
      </c>
      <c r="CH602">
        <f>IF($CF602="","",IFERROR(VLOOKUP($CE602&amp;"-"&amp;$CF602,DECODE!$E$3:$F$21,2,FALSE),"?"))</f>
        <v/>
      </c>
      <c r="CI602">
        <f>IF($CD602="","",IFERROR(VALUE(RIGHT($CD602,3)),""))</f>
        <v/>
      </c>
      <c r="CJ602">
        <f>IF($Y602="","",IFERROR(IF(ISNUMBER($Y602),$Y602,DATEVALUE(TRIM($Y602))),""))</f>
        <v/>
      </c>
      <c r="CK602">
        <f>IF($CJ602="","",IF(MONTH($CJ602)&gt;=12,"Cold Winter",IF(MONTH($CJ602)&gt;=10,"Post-Monsoon",IF(MONTH($CJ602)&gt;=6,"Hot Humid",IF(MONTH($CJ602)&gt;=3,"Hot Dry","Cold Winter")))))</f>
        <v/>
      </c>
      <c r="CL602">
        <f>IF($CE602="","",IFERROR(VLOOKUP($CE602,DECODE!$A$3:$C$8,2,FALSE),"?"))</f>
        <v/>
      </c>
      <c r="CM602">
        <f>IF($AN602="","",AN602)</f>
        <v/>
      </c>
      <c r="CN602">
        <f>IF($AO602="","",AO602)</f>
        <v/>
      </c>
      <c r="CO602">
        <f>IF($AP602="","",AP602)</f>
        <v/>
      </c>
      <c r="CP602">
        <f>IF($CM602="","",IF($CM602="Aloe Vera Gel","Aloe Vera Gel "&amp;$CO602&amp;"g",CN602&amp;" "&amp;$CO602&amp;"g"))</f>
        <v/>
      </c>
      <c r="CQ602">
        <f>IF($AT602="",0,1)</f>
        <v/>
      </c>
      <c r="CR602">
        <f>IF($CQ602=0,"",AW602)</f>
        <v/>
      </c>
      <c r="CS602">
        <f>IF($CQ602=0,"",AX602)</f>
        <v/>
      </c>
      <c r="CT602">
        <f>IF($CQ602=0,"",AY602)</f>
        <v/>
      </c>
      <c r="CU602">
        <f>IF($CR602="","",IF($CR602="Aloe Vera Gel","Aloe Vera Gel "&amp;$CT602&amp;"g",CS602&amp;" "&amp;$CT602&amp;"g"))</f>
        <v/>
      </c>
      <c r="CV602">
        <f>IF($CQ602=0,"",IF($CP602=$CU602,"Repeat Exact",IF($CT602&gt;$CO602,"Upsized",IF($CT602&lt;$CO602,"Downsized",IF($CM602&lt;&gt;$CR602,"Lateral","Same Size Diff Variant")))))</f>
        <v/>
      </c>
      <c r="CW602">
        <f>IF($CQ602=0,"",AZ602-AQ602)</f>
        <v/>
      </c>
      <c r="CX602">
        <f>IF($CQ602=0,0,IF(CS602=CN602,1,0))</f>
        <v/>
      </c>
      <c r="CY602">
        <f>IF($CQ602=0,0,IF(CR602=CM602,1,0))</f>
        <v/>
      </c>
      <c r="CZ602">
        <f>IF($A602="","",IF(AND(IF(DASHBOARD!$C$4="All",TRUE,$CM602=DASHBOARD!$C$4),IF(DASHBOARD!$C$6="All",TRUE,$CP602=DASHBOARD!$C$6),IF(DASHBOARD!$C$8="All",TRUE,$AF602&gt;=DASHBOARD!$C$8),IF(DASHBOARD!$C$10="All",TRUE,$AF602&lt;=DASHBOARD!$C$10),IF(DASHBOARD!$C$12="All",TRUE,$AH602=VALUE(DASHBOARD!$C$12)),IF(DASHBOARD!$C$14="All",TRUE,$AJ602=DASHBOARD!$C$14)),1,0))</f>
        <v/>
      </c>
    </row>
    <row r="603">
      <c r="A603" t="n">
        <v>259834</v>
      </c>
      <c r="B603" t="inlineStr">
        <is>
          <t>Active Gel</t>
        </is>
      </c>
      <c r="H603" t="inlineStr">
        <is>
          <t>Active Olive Vit-E Night Gel, Active Orange Kiwi Vit-C Gel</t>
        </is>
      </c>
      <c r="N603" t="inlineStr">
        <is>
          <t>FC-AC-OV-050, FC-AC-OK-050</t>
        </is>
      </c>
      <c r="T603" t="inlineStr">
        <is>
          <t>May 14, 2026</t>
        </is>
      </c>
      <c r="AE603" t="inlineStr">
        <is>
          <t>Mumbai</t>
        </is>
      </c>
      <c r="AF603" t="inlineStr">
        <is>
          <t>2026-05</t>
        </is>
      </c>
      <c r="AG603" t="n">
        <v>5</v>
      </c>
      <c r="AH603" t="n">
        <v>1</v>
      </c>
      <c r="AI603" t="n">
        <v>0</v>
      </c>
      <c r="AJ603">
        <f>IF($AE603="","",IFERROR(VLOOKUP(TRIM($AE603),DECODE!$H$3:$I$60,2,FALSE),"Rest of India"))</f>
        <v/>
      </c>
      <c r="AK603">
        <f>IF($N603="","",UPPER(TRIM(LEFT($N603&amp;",",FIND(",",$N603&amp;",")-1))))</f>
        <v/>
      </c>
      <c r="AL603">
        <f>IF($AK603="","",MID($AK603,4,FIND("~",SUBSTITUTE($AK603,"-","~",2))-4))</f>
        <v/>
      </c>
      <c r="AM603">
        <f>IF($AK603="","",MID($AK603,FIND("~",SUBSTITUTE($AK603,"-","~",2))+1,FIND("~",SUBSTITUTE($AK603,"-","~",3))-FIND("~",SUBSTITUTE($AK603,"-","~",2))-1))</f>
        <v/>
      </c>
      <c r="AN603">
        <f>IF($AL603="","",IFERROR(VLOOKUP($AL603,DECODE!$A$3:$C$8,3,FALSE),"?"))</f>
        <v/>
      </c>
      <c r="AO603">
        <f>IF($AM603="","",IFERROR(VLOOKUP($AL603&amp;"-"&amp;$AM603,DECODE!$E$3:$F$21,2,FALSE),"?"))</f>
        <v/>
      </c>
      <c r="AP603">
        <f>IF($AK603="","",IFERROR(VALUE(RIGHT($AK603,3)),""))</f>
        <v/>
      </c>
      <c r="AQ603">
        <f>IF($T603="","",IFERROR(IF(ISNUMBER($T603),$T603,DATEVALUE(TRIM($T603))),""))</f>
        <v/>
      </c>
      <c r="AR603">
        <f>IF($AQ603="","",IF(MONTH($AQ603)&gt;=12,"Cold Winter",IF(MONTH($AQ603)&gt;=10,"Post-Monsoon",IF(MONTH($AQ603)&gt;=6,"Hot Humid",IF(MONTH($AQ603)&gt;=3,"Hot Dry","Cold Winter")))))</f>
        <v/>
      </c>
      <c r="AS603">
        <f>IF($AL603="","",IFERROR(VLOOKUP($AL603,DECODE!$A$3:$C$8,2,FALSE),"?"))</f>
        <v/>
      </c>
      <c r="AT603">
        <f>IF($O603="","",UPPER(TRIM(LEFT($O603&amp;",",FIND(",",$O603&amp;",")-1))))</f>
        <v/>
      </c>
      <c r="AU603">
        <f>IF($AT603="","",MID($AT603,4,FIND("~",SUBSTITUTE($AT603,"-","~",2))-4))</f>
        <v/>
      </c>
      <c r="AV603">
        <f>IF($AT603="","",MID($AT603,FIND("~",SUBSTITUTE($AT603,"-","~",2))+1,FIND("~",SUBSTITUTE($AT603,"-","~",3))-FIND("~",SUBSTITUTE($AT603,"-","~",2))-1))</f>
        <v/>
      </c>
      <c r="AW603">
        <f>IF($AU603="","",IFERROR(VLOOKUP($AU603,DECODE!$A$3:$C$8,3,FALSE),"?"))</f>
        <v/>
      </c>
      <c r="AX603">
        <f>IF($AV603="","",IFERROR(VLOOKUP($AU603&amp;"-"&amp;$AV603,DECODE!$E$3:$F$21,2,FALSE),"?"))</f>
        <v/>
      </c>
      <c r="AY603">
        <f>IF($AT603="","",IFERROR(VALUE(RIGHT($AT603,3)),""))</f>
        <v/>
      </c>
      <c r="AZ603">
        <f>IF($U603="","",IFERROR(IF(ISNUMBER($U603),$U603,DATEVALUE(TRIM($U603))),""))</f>
        <v/>
      </c>
      <c r="BA603">
        <f>IF($AZ603="","",IF(MONTH($AZ603)&gt;=12,"Cold Winter",IF(MONTH($AZ603)&gt;=10,"Post-Monsoon",IF(MONTH($AZ603)&gt;=6,"Hot Humid",IF(MONTH($AZ603)&gt;=3,"Hot Dry","Cold Winter")))))</f>
        <v/>
      </c>
      <c r="BB603">
        <f>IF($AU603="","",IFERROR(VLOOKUP($AU603,DECODE!$A$3:$C$8,2,FALSE),"?"))</f>
        <v/>
      </c>
      <c r="BC603">
        <f>IF($P603="","",UPPER(TRIM(LEFT($P603&amp;",",FIND(",",$P603&amp;",")-1))))</f>
        <v/>
      </c>
      <c r="BD603">
        <f>IF($BC603="","",MID($BC603,4,FIND("~",SUBSTITUTE($BC603,"-","~",2))-4))</f>
        <v/>
      </c>
      <c r="BE603">
        <f>IF($BC603="","",MID($BC603,FIND("~",SUBSTITUTE($BC603,"-","~",2))+1,FIND("~",SUBSTITUTE($BC603,"-","~",3))-FIND("~",SUBSTITUTE($BC603,"-","~",2))-1))</f>
        <v/>
      </c>
      <c r="BF603">
        <f>IF($BD603="","",IFERROR(VLOOKUP($BD603,DECODE!$A$3:$C$8,3,FALSE),"?"))</f>
        <v/>
      </c>
      <c r="BG603">
        <f>IF($BE603="","",IFERROR(VLOOKUP($BD603&amp;"-"&amp;$BE603,DECODE!$E$3:$F$21,2,FALSE),"?"))</f>
        <v/>
      </c>
      <c r="BH603">
        <f>IF($BC603="","",IFERROR(VALUE(RIGHT($BC603,3)),""))</f>
        <v/>
      </c>
      <c r="BI603">
        <f>IF($V603="","",IFERROR(IF(ISNUMBER($V603),$V603,DATEVALUE(TRIM($V603))),""))</f>
        <v/>
      </c>
      <c r="BJ603">
        <f>IF($BI603="","",IF(MONTH($BI603)&gt;=12,"Cold Winter",IF(MONTH($BI603)&gt;=10,"Post-Monsoon",IF(MONTH($BI603)&gt;=6,"Hot Humid",IF(MONTH($BI603)&gt;=3,"Hot Dry","Cold Winter")))))</f>
        <v/>
      </c>
      <c r="BK603">
        <f>IF($BD603="","",IFERROR(VLOOKUP($BD603,DECODE!$A$3:$C$8,2,FALSE),"?"))</f>
        <v/>
      </c>
      <c r="BL603">
        <f>IF($Q603="","",UPPER(TRIM(LEFT($Q603&amp;",",FIND(",",$Q603&amp;",")-1))))</f>
        <v/>
      </c>
      <c r="BM603">
        <f>IF($BL603="","",MID($BL603,4,FIND("~",SUBSTITUTE($BL603,"-","~",2))-4))</f>
        <v/>
      </c>
      <c r="BN603">
        <f>IF($BL603="","",MID($BL603,FIND("~",SUBSTITUTE($BL603,"-","~",2))+1,FIND("~",SUBSTITUTE($BL603,"-","~",3))-FIND("~",SUBSTITUTE($BL603,"-","~",2))-1))</f>
        <v/>
      </c>
      <c r="BO603">
        <f>IF($BM603="","",IFERROR(VLOOKUP($BM603,DECODE!$A$3:$C$8,3,FALSE),"?"))</f>
        <v/>
      </c>
      <c r="BP603">
        <f>IF($BN603="","",IFERROR(VLOOKUP($BM603&amp;"-"&amp;$BN603,DECODE!$E$3:$F$21,2,FALSE),"?"))</f>
        <v/>
      </c>
      <c r="BQ603">
        <f>IF($BL603="","",IFERROR(VALUE(RIGHT($BL603,3)),""))</f>
        <v/>
      </c>
      <c r="BR603">
        <f>IF($W603="","",IFERROR(IF(ISNUMBER($W603),$W603,DATEVALUE(TRIM($W603))),""))</f>
        <v/>
      </c>
      <c r="BS603">
        <f>IF($BR603="","",IF(MONTH($BR603)&gt;=12,"Cold Winter",IF(MONTH($BR603)&gt;=10,"Post-Monsoon",IF(MONTH($BR603)&gt;=6,"Hot Humid",IF(MONTH($BR603)&gt;=3,"Hot Dry","Cold Winter")))))</f>
        <v/>
      </c>
      <c r="BT603">
        <f>IF($BM603="","",IFERROR(VLOOKUP($BM603,DECODE!$A$3:$C$8,2,FALSE),"?"))</f>
        <v/>
      </c>
      <c r="BU603">
        <f>IF($R603="","",UPPER(TRIM(LEFT($R603&amp;",",FIND(",",$R603&amp;",")-1))))</f>
        <v/>
      </c>
      <c r="BV603">
        <f>IF($BU603="","",MID($BU603,4,FIND("~",SUBSTITUTE($BU603,"-","~",2))-4))</f>
        <v/>
      </c>
      <c r="BW603">
        <f>IF($BU603="","",MID($BU603,FIND("~",SUBSTITUTE($BU603,"-","~",2))+1,FIND("~",SUBSTITUTE($BU603,"-","~",3))-FIND("~",SUBSTITUTE($BU603,"-","~",2))-1))</f>
        <v/>
      </c>
      <c r="BX603">
        <f>IF($BV603="","",IFERROR(VLOOKUP($BV603,DECODE!$A$3:$C$8,3,FALSE),"?"))</f>
        <v/>
      </c>
      <c r="BY603">
        <f>IF($BW603="","",IFERROR(VLOOKUP($BV603&amp;"-"&amp;$BW603,DECODE!$E$3:$F$21,2,FALSE),"?"))</f>
        <v/>
      </c>
      <c r="BZ603">
        <f>IF($BU603="","",IFERROR(VALUE(RIGHT($BU603,3)),""))</f>
        <v/>
      </c>
      <c r="CA603">
        <f>IF($X603="","",IFERROR(IF(ISNUMBER($X603),$X603,DATEVALUE(TRIM($X603))),""))</f>
        <v/>
      </c>
      <c r="CB603">
        <f>IF($CA603="","",IF(MONTH($CA603)&gt;=12,"Cold Winter",IF(MONTH($CA603)&gt;=10,"Post-Monsoon",IF(MONTH($CA603)&gt;=6,"Hot Humid",IF(MONTH($CA603)&gt;=3,"Hot Dry","Cold Winter")))))</f>
        <v/>
      </c>
      <c r="CC603">
        <f>IF($BV603="","",IFERROR(VLOOKUP($BV603,DECODE!$A$3:$C$8,2,FALSE),"?"))</f>
        <v/>
      </c>
      <c r="CD603">
        <f>IF($S603="","",UPPER(TRIM(LEFT($S603&amp;",",FIND(",",$S603&amp;",")-1))))</f>
        <v/>
      </c>
      <c r="CE603">
        <f>IF($CD603="","",MID($CD603,4,FIND("~",SUBSTITUTE($CD603,"-","~",2))-4))</f>
        <v/>
      </c>
      <c r="CF603">
        <f>IF($CD603="","",MID($CD603,FIND("~",SUBSTITUTE($CD603,"-","~",2))+1,FIND("~",SUBSTITUTE($CD603,"-","~",3))-FIND("~",SUBSTITUTE($CD603,"-","~",2))-1))</f>
        <v/>
      </c>
      <c r="CG603">
        <f>IF($CE603="","",IFERROR(VLOOKUP($CE603,DECODE!$A$3:$C$8,3,FALSE),"?"))</f>
        <v/>
      </c>
      <c r="CH603">
        <f>IF($CF603="","",IFERROR(VLOOKUP($CE603&amp;"-"&amp;$CF603,DECODE!$E$3:$F$21,2,FALSE),"?"))</f>
        <v/>
      </c>
      <c r="CI603">
        <f>IF($CD603="","",IFERROR(VALUE(RIGHT($CD603,3)),""))</f>
        <v/>
      </c>
      <c r="CJ603">
        <f>IF($Y603="","",IFERROR(IF(ISNUMBER($Y603),$Y603,DATEVALUE(TRIM($Y603))),""))</f>
        <v/>
      </c>
      <c r="CK603">
        <f>IF($CJ603="","",IF(MONTH($CJ603)&gt;=12,"Cold Winter",IF(MONTH($CJ603)&gt;=10,"Post-Monsoon",IF(MONTH($CJ603)&gt;=6,"Hot Humid",IF(MONTH($CJ603)&gt;=3,"Hot Dry","Cold Winter")))))</f>
        <v/>
      </c>
      <c r="CL603">
        <f>IF($CE603="","",IFERROR(VLOOKUP($CE603,DECODE!$A$3:$C$8,2,FALSE),"?"))</f>
        <v/>
      </c>
      <c r="CM603">
        <f>IF($AN603="","",AN603)</f>
        <v/>
      </c>
      <c r="CN603">
        <f>IF($AO603="","",AO603)</f>
        <v/>
      </c>
      <c r="CO603">
        <f>IF($AP603="","",AP603)</f>
        <v/>
      </c>
      <c r="CP603">
        <f>IF($CM603="","",IF($CM603="Aloe Vera Gel","Aloe Vera Gel "&amp;$CO603&amp;"g",CN603&amp;" "&amp;$CO603&amp;"g"))</f>
        <v/>
      </c>
      <c r="CQ603">
        <f>IF($AT603="",0,1)</f>
        <v/>
      </c>
      <c r="CR603">
        <f>IF($CQ603=0,"",AW603)</f>
        <v/>
      </c>
      <c r="CS603">
        <f>IF($CQ603=0,"",AX603)</f>
        <v/>
      </c>
      <c r="CT603">
        <f>IF($CQ603=0,"",AY603)</f>
        <v/>
      </c>
      <c r="CU603">
        <f>IF($CR603="","",IF($CR603="Aloe Vera Gel","Aloe Vera Gel "&amp;$CT603&amp;"g",CS603&amp;" "&amp;$CT603&amp;"g"))</f>
        <v/>
      </c>
      <c r="CV603">
        <f>IF($CQ603=0,"",IF($CP603=$CU603,"Repeat Exact",IF($CT603&gt;$CO603,"Upsized",IF($CT603&lt;$CO603,"Downsized",IF($CM603&lt;&gt;$CR603,"Lateral","Same Size Diff Variant")))))</f>
        <v/>
      </c>
      <c r="CW603">
        <f>IF($CQ603=0,"",AZ603-AQ603)</f>
        <v/>
      </c>
      <c r="CX603">
        <f>IF($CQ603=0,0,IF(CS603=CN603,1,0))</f>
        <v/>
      </c>
      <c r="CY603">
        <f>IF($CQ603=0,0,IF(CR603=CM603,1,0))</f>
        <v/>
      </c>
      <c r="CZ603">
        <f>IF($A603="","",IF(AND(IF(DASHBOARD!$C$4="All",TRUE,$CM603=DASHBOARD!$C$4),IF(DASHBOARD!$C$6="All",TRUE,$CP603=DASHBOARD!$C$6),IF(DASHBOARD!$C$8="All",TRUE,$AF603&gt;=DASHBOARD!$C$8),IF(DASHBOARD!$C$10="All",TRUE,$AF603&lt;=DASHBOARD!$C$10),IF(DASHBOARD!$C$12="All",TRUE,$AH603=VALUE(DASHBOARD!$C$12)),IF(DASHBOARD!$C$14="All",TRUE,$AJ603=DASHBOARD!$C$14)),1,0))</f>
        <v/>
      </c>
    </row>
    <row r="604">
      <c r="A604" t="n">
        <v>259940</v>
      </c>
      <c r="B604" t="inlineStr">
        <is>
          <t>Aloe Vera Gel</t>
        </is>
      </c>
      <c r="H604" t="inlineStr">
        <is>
          <t>Aloe Vera Gel - 80 gms</t>
        </is>
      </c>
      <c r="N604" t="inlineStr">
        <is>
          <t>FC-HG-PA-080</t>
        </is>
      </c>
      <c r="T604" t="inlineStr">
        <is>
          <t>Aug 15, 2025</t>
        </is>
      </c>
      <c r="AE604" t="inlineStr">
        <is>
          <t>Solapur</t>
        </is>
      </c>
      <c r="AF604" t="inlineStr">
        <is>
          <t>2025-08</t>
        </is>
      </c>
      <c r="AG604" t="n">
        <v>8</v>
      </c>
      <c r="AH604" t="n">
        <v>1</v>
      </c>
      <c r="AI604" t="n">
        <v>0</v>
      </c>
      <c r="AJ604">
        <f>IF($AE604="","",IFERROR(VLOOKUP(TRIM($AE604),DECODE!$H$3:$I$60,2,FALSE),"Rest of India"))</f>
        <v/>
      </c>
      <c r="AK604">
        <f>IF($N604="","",UPPER(TRIM(LEFT($N604&amp;",",FIND(",",$N604&amp;",")-1))))</f>
        <v/>
      </c>
      <c r="AL604">
        <f>IF($AK604="","",MID($AK604,4,FIND("~",SUBSTITUTE($AK604,"-","~",2))-4))</f>
        <v/>
      </c>
      <c r="AM604">
        <f>IF($AK604="","",MID($AK604,FIND("~",SUBSTITUTE($AK604,"-","~",2))+1,FIND("~",SUBSTITUTE($AK604,"-","~",3))-FIND("~",SUBSTITUTE($AK604,"-","~",2))-1))</f>
        <v/>
      </c>
      <c r="AN604">
        <f>IF($AL604="","",IFERROR(VLOOKUP($AL604,DECODE!$A$3:$C$8,3,FALSE),"?"))</f>
        <v/>
      </c>
      <c r="AO604">
        <f>IF($AM604="","",IFERROR(VLOOKUP($AL604&amp;"-"&amp;$AM604,DECODE!$E$3:$F$21,2,FALSE),"?"))</f>
        <v/>
      </c>
      <c r="AP604">
        <f>IF($AK604="","",IFERROR(VALUE(RIGHT($AK604,3)),""))</f>
        <v/>
      </c>
      <c r="AQ604">
        <f>IF($T604="","",IFERROR(IF(ISNUMBER($T604),$T604,DATEVALUE(TRIM($T604))),""))</f>
        <v/>
      </c>
      <c r="AR604">
        <f>IF($AQ604="","",IF(MONTH($AQ604)&gt;=12,"Cold Winter",IF(MONTH($AQ604)&gt;=10,"Post-Monsoon",IF(MONTH($AQ604)&gt;=6,"Hot Humid",IF(MONTH($AQ604)&gt;=3,"Hot Dry","Cold Winter")))))</f>
        <v/>
      </c>
      <c r="AS604">
        <f>IF($AL604="","",IFERROR(VLOOKUP($AL604,DECODE!$A$3:$C$8,2,FALSE),"?"))</f>
        <v/>
      </c>
      <c r="AT604">
        <f>IF($O604="","",UPPER(TRIM(LEFT($O604&amp;",",FIND(",",$O604&amp;",")-1))))</f>
        <v/>
      </c>
      <c r="AU604">
        <f>IF($AT604="","",MID($AT604,4,FIND("~",SUBSTITUTE($AT604,"-","~",2))-4))</f>
        <v/>
      </c>
      <c r="AV604">
        <f>IF($AT604="","",MID($AT604,FIND("~",SUBSTITUTE($AT604,"-","~",2))+1,FIND("~",SUBSTITUTE($AT604,"-","~",3))-FIND("~",SUBSTITUTE($AT604,"-","~",2))-1))</f>
        <v/>
      </c>
      <c r="AW604">
        <f>IF($AU604="","",IFERROR(VLOOKUP($AU604,DECODE!$A$3:$C$8,3,FALSE),"?"))</f>
        <v/>
      </c>
      <c r="AX604">
        <f>IF($AV604="","",IFERROR(VLOOKUP($AU604&amp;"-"&amp;$AV604,DECODE!$E$3:$F$21,2,FALSE),"?"))</f>
        <v/>
      </c>
      <c r="AY604">
        <f>IF($AT604="","",IFERROR(VALUE(RIGHT($AT604,3)),""))</f>
        <v/>
      </c>
      <c r="AZ604">
        <f>IF($U604="","",IFERROR(IF(ISNUMBER($U604),$U604,DATEVALUE(TRIM($U604))),""))</f>
        <v/>
      </c>
      <c r="BA604">
        <f>IF($AZ604="","",IF(MONTH($AZ604)&gt;=12,"Cold Winter",IF(MONTH($AZ604)&gt;=10,"Post-Monsoon",IF(MONTH($AZ604)&gt;=6,"Hot Humid",IF(MONTH($AZ604)&gt;=3,"Hot Dry","Cold Winter")))))</f>
        <v/>
      </c>
      <c r="BB604">
        <f>IF($AU604="","",IFERROR(VLOOKUP($AU604,DECODE!$A$3:$C$8,2,FALSE),"?"))</f>
        <v/>
      </c>
      <c r="BC604">
        <f>IF($P604="","",UPPER(TRIM(LEFT($P604&amp;",",FIND(",",$P604&amp;",")-1))))</f>
        <v/>
      </c>
      <c r="BD604">
        <f>IF($BC604="","",MID($BC604,4,FIND("~",SUBSTITUTE($BC604,"-","~",2))-4))</f>
        <v/>
      </c>
      <c r="BE604">
        <f>IF($BC604="","",MID($BC604,FIND("~",SUBSTITUTE($BC604,"-","~",2))+1,FIND("~",SUBSTITUTE($BC604,"-","~",3))-FIND("~",SUBSTITUTE($BC604,"-","~",2))-1))</f>
        <v/>
      </c>
      <c r="BF604">
        <f>IF($BD604="","",IFERROR(VLOOKUP($BD604,DECODE!$A$3:$C$8,3,FALSE),"?"))</f>
        <v/>
      </c>
      <c r="BG604">
        <f>IF($BE604="","",IFERROR(VLOOKUP($BD604&amp;"-"&amp;$BE604,DECODE!$E$3:$F$21,2,FALSE),"?"))</f>
        <v/>
      </c>
      <c r="BH604">
        <f>IF($BC604="","",IFERROR(VALUE(RIGHT($BC604,3)),""))</f>
        <v/>
      </c>
      <c r="BI604">
        <f>IF($V604="","",IFERROR(IF(ISNUMBER($V604),$V604,DATEVALUE(TRIM($V604))),""))</f>
        <v/>
      </c>
      <c r="BJ604">
        <f>IF($BI604="","",IF(MONTH($BI604)&gt;=12,"Cold Winter",IF(MONTH($BI604)&gt;=10,"Post-Monsoon",IF(MONTH($BI604)&gt;=6,"Hot Humid",IF(MONTH($BI604)&gt;=3,"Hot Dry","Cold Winter")))))</f>
        <v/>
      </c>
      <c r="BK604">
        <f>IF($BD604="","",IFERROR(VLOOKUP($BD604,DECODE!$A$3:$C$8,2,FALSE),"?"))</f>
        <v/>
      </c>
      <c r="BL604">
        <f>IF($Q604="","",UPPER(TRIM(LEFT($Q604&amp;",",FIND(",",$Q604&amp;",")-1))))</f>
        <v/>
      </c>
      <c r="BM604">
        <f>IF($BL604="","",MID($BL604,4,FIND("~",SUBSTITUTE($BL604,"-","~",2))-4))</f>
        <v/>
      </c>
      <c r="BN604">
        <f>IF($BL604="","",MID($BL604,FIND("~",SUBSTITUTE($BL604,"-","~",2))+1,FIND("~",SUBSTITUTE($BL604,"-","~",3))-FIND("~",SUBSTITUTE($BL604,"-","~",2))-1))</f>
        <v/>
      </c>
      <c r="BO604">
        <f>IF($BM604="","",IFERROR(VLOOKUP($BM604,DECODE!$A$3:$C$8,3,FALSE),"?"))</f>
        <v/>
      </c>
      <c r="BP604">
        <f>IF($BN604="","",IFERROR(VLOOKUP($BM604&amp;"-"&amp;$BN604,DECODE!$E$3:$F$21,2,FALSE),"?"))</f>
        <v/>
      </c>
      <c r="BQ604">
        <f>IF($BL604="","",IFERROR(VALUE(RIGHT($BL604,3)),""))</f>
        <v/>
      </c>
      <c r="BR604">
        <f>IF($W604="","",IFERROR(IF(ISNUMBER($W604),$W604,DATEVALUE(TRIM($W604))),""))</f>
        <v/>
      </c>
      <c r="BS604">
        <f>IF($BR604="","",IF(MONTH($BR604)&gt;=12,"Cold Winter",IF(MONTH($BR604)&gt;=10,"Post-Monsoon",IF(MONTH($BR604)&gt;=6,"Hot Humid",IF(MONTH($BR604)&gt;=3,"Hot Dry","Cold Winter")))))</f>
        <v/>
      </c>
      <c r="BT604">
        <f>IF($BM604="","",IFERROR(VLOOKUP($BM604,DECODE!$A$3:$C$8,2,FALSE),"?"))</f>
        <v/>
      </c>
      <c r="BU604">
        <f>IF($R604="","",UPPER(TRIM(LEFT($R604&amp;",",FIND(",",$R604&amp;",")-1))))</f>
        <v/>
      </c>
      <c r="BV604">
        <f>IF($BU604="","",MID($BU604,4,FIND("~",SUBSTITUTE($BU604,"-","~",2))-4))</f>
        <v/>
      </c>
      <c r="BW604">
        <f>IF($BU604="","",MID($BU604,FIND("~",SUBSTITUTE($BU604,"-","~",2))+1,FIND("~",SUBSTITUTE($BU604,"-","~",3))-FIND("~",SUBSTITUTE($BU604,"-","~",2))-1))</f>
        <v/>
      </c>
      <c r="BX604">
        <f>IF($BV604="","",IFERROR(VLOOKUP($BV604,DECODE!$A$3:$C$8,3,FALSE),"?"))</f>
        <v/>
      </c>
      <c r="BY604">
        <f>IF($BW604="","",IFERROR(VLOOKUP($BV604&amp;"-"&amp;$BW604,DECODE!$E$3:$F$21,2,FALSE),"?"))</f>
        <v/>
      </c>
      <c r="BZ604">
        <f>IF($BU604="","",IFERROR(VALUE(RIGHT($BU604,3)),""))</f>
        <v/>
      </c>
      <c r="CA604">
        <f>IF($X604="","",IFERROR(IF(ISNUMBER($X604),$X604,DATEVALUE(TRIM($X604))),""))</f>
        <v/>
      </c>
      <c r="CB604">
        <f>IF($CA604="","",IF(MONTH($CA604)&gt;=12,"Cold Winter",IF(MONTH($CA604)&gt;=10,"Post-Monsoon",IF(MONTH($CA604)&gt;=6,"Hot Humid",IF(MONTH($CA604)&gt;=3,"Hot Dry","Cold Winter")))))</f>
        <v/>
      </c>
      <c r="CC604">
        <f>IF($BV604="","",IFERROR(VLOOKUP($BV604,DECODE!$A$3:$C$8,2,FALSE),"?"))</f>
        <v/>
      </c>
      <c r="CD604">
        <f>IF($S604="","",UPPER(TRIM(LEFT($S604&amp;",",FIND(",",$S604&amp;",")-1))))</f>
        <v/>
      </c>
      <c r="CE604">
        <f>IF($CD604="","",MID($CD604,4,FIND("~",SUBSTITUTE($CD604,"-","~",2))-4))</f>
        <v/>
      </c>
      <c r="CF604">
        <f>IF($CD604="","",MID($CD604,FIND("~",SUBSTITUTE($CD604,"-","~",2))+1,FIND("~",SUBSTITUTE($CD604,"-","~",3))-FIND("~",SUBSTITUTE($CD604,"-","~",2))-1))</f>
        <v/>
      </c>
      <c r="CG604">
        <f>IF($CE604="","",IFERROR(VLOOKUP($CE604,DECODE!$A$3:$C$8,3,FALSE),"?"))</f>
        <v/>
      </c>
      <c r="CH604">
        <f>IF($CF604="","",IFERROR(VLOOKUP($CE604&amp;"-"&amp;$CF604,DECODE!$E$3:$F$21,2,FALSE),"?"))</f>
        <v/>
      </c>
      <c r="CI604">
        <f>IF($CD604="","",IFERROR(VALUE(RIGHT($CD604,3)),""))</f>
        <v/>
      </c>
      <c r="CJ604">
        <f>IF($Y604="","",IFERROR(IF(ISNUMBER($Y604),$Y604,DATEVALUE(TRIM($Y604))),""))</f>
        <v/>
      </c>
      <c r="CK604">
        <f>IF($CJ604="","",IF(MONTH($CJ604)&gt;=12,"Cold Winter",IF(MONTH($CJ604)&gt;=10,"Post-Monsoon",IF(MONTH($CJ604)&gt;=6,"Hot Humid",IF(MONTH($CJ604)&gt;=3,"Hot Dry","Cold Winter")))))</f>
        <v/>
      </c>
      <c r="CL604">
        <f>IF($CE604="","",IFERROR(VLOOKUP($CE604,DECODE!$A$3:$C$8,2,FALSE),"?"))</f>
        <v/>
      </c>
      <c r="CM604">
        <f>IF($AN604="","",AN604)</f>
        <v/>
      </c>
      <c r="CN604">
        <f>IF($AO604="","",AO604)</f>
        <v/>
      </c>
      <c r="CO604">
        <f>IF($AP604="","",AP604)</f>
        <v/>
      </c>
      <c r="CP604">
        <f>IF($CM604="","",IF($CM604="Aloe Vera Gel","Aloe Vera Gel "&amp;$CO604&amp;"g",CN604&amp;" "&amp;$CO604&amp;"g"))</f>
        <v/>
      </c>
      <c r="CQ604">
        <f>IF($AT604="",0,1)</f>
        <v/>
      </c>
      <c r="CR604">
        <f>IF($CQ604=0,"",AW604)</f>
        <v/>
      </c>
      <c r="CS604">
        <f>IF($CQ604=0,"",AX604)</f>
        <v/>
      </c>
      <c r="CT604">
        <f>IF($CQ604=0,"",AY604)</f>
        <v/>
      </c>
      <c r="CU604">
        <f>IF($CR604="","",IF($CR604="Aloe Vera Gel","Aloe Vera Gel "&amp;$CT604&amp;"g",CS604&amp;" "&amp;$CT604&amp;"g"))</f>
        <v/>
      </c>
      <c r="CV604">
        <f>IF($CQ604=0,"",IF($CP604=$CU604,"Repeat Exact",IF($CT604&gt;$CO604,"Upsized",IF($CT604&lt;$CO604,"Downsized",IF($CM604&lt;&gt;$CR604,"Lateral","Same Size Diff Variant")))))</f>
        <v/>
      </c>
      <c r="CW604">
        <f>IF($CQ604=0,"",AZ604-AQ604)</f>
        <v/>
      </c>
      <c r="CX604">
        <f>IF($CQ604=0,0,IF(CS604=CN604,1,0))</f>
        <v/>
      </c>
      <c r="CY604">
        <f>IF($CQ604=0,0,IF(CR604=CM604,1,0))</f>
        <v/>
      </c>
      <c r="CZ604">
        <f>IF($A604="","",IF(AND(IF(DASHBOARD!$C$4="All",TRUE,$CM604=DASHBOARD!$C$4),IF(DASHBOARD!$C$6="All",TRUE,$CP604=DASHBOARD!$C$6),IF(DASHBOARD!$C$8="All",TRUE,$AF604&gt;=DASHBOARD!$C$8),IF(DASHBOARD!$C$10="All",TRUE,$AF604&lt;=DASHBOARD!$C$10),IF(DASHBOARD!$C$12="All",TRUE,$AH604=VALUE(DASHBOARD!$C$12)),IF(DASHBOARD!$C$14="All",TRUE,$AJ604=DASHBOARD!$C$14)),1,0))</f>
        <v/>
      </c>
    </row>
    <row r="605">
      <c r="A605" t="n">
        <v>260036</v>
      </c>
      <c r="B605" t="inlineStr">
        <is>
          <t>Face Malai</t>
        </is>
      </c>
      <c r="C605" t="inlineStr">
        <is>
          <t>Face Malai</t>
        </is>
      </c>
      <c r="H605" t="inlineStr">
        <is>
          <t>Flax Bakuchi (Hot Dry) 35+ Face Malai - 50g</t>
        </is>
      </c>
      <c r="I605" t="inlineStr">
        <is>
          <t>Flax Walnut (Cold) 35+ Face Malai</t>
        </is>
      </c>
      <c r="N605" t="inlineStr">
        <is>
          <t>FC-HDDM-FB-050</t>
        </is>
      </c>
      <c r="O605" t="inlineStr">
        <is>
          <t>FC-CWDM-FW-030</t>
        </is>
      </c>
      <c r="T605" t="inlineStr">
        <is>
          <t>Jan 8, 2025</t>
        </is>
      </c>
      <c r="U605" t="inlineStr">
        <is>
          <t>Jun 12, 2025</t>
        </is>
      </c>
      <c r="Z605" t="n">
        <v>155</v>
      </c>
      <c r="AE605" t="inlineStr">
        <is>
          <t>Bengaluru</t>
        </is>
      </c>
      <c r="AF605" t="inlineStr">
        <is>
          <t>2025-01</t>
        </is>
      </c>
      <c r="AG605" t="n">
        <v>1</v>
      </c>
      <c r="AH605" t="n">
        <v>2</v>
      </c>
      <c r="AI605" t="n">
        <v>1</v>
      </c>
      <c r="AJ605">
        <f>IF($AE605="","",IFERROR(VLOOKUP(TRIM($AE605),DECODE!$H$3:$I$60,2,FALSE),"Rest of India"))</f>
        <v/>
      </c>
      <c r="AK605">
        <f>IF($N605="","",UPPER(TRIM(LEFT($N605&amp;",",FIND(",",$N605&amp;",")-1))))</f>
        <v/>
      </c>
      <c r="AL605">
        <f>IF($AK605="","",MID($AK605,4,FIND("~",SUBSTITUTE($AK605,"-","~",2))-4))</f>
        <v/>
      </c>
      <c r="AM605">
        <f>IF($AK605="","",MID($AK605,FIND("~",SUBSTITUTE($AK605,"-","~",2))+1,FIND("~",SUBSTITUTE($AK605,"-","~",3))-FIND("~",SUBSTITUTE($AK605,"-","~",2))-1))</f>
        <v/>
      </c>
      <c r="AN605">
        <f>IF($AL605="","",IFERROR(VLOOKUP($AL605,DECODE!$A$3:$C$8,3,FALSE),"?"))</f>
        <v/>
      </c>
      <c r="AO605">
        <f>IF($AM605="","",IFERROR(VLOOKUP($AL605&amp;"-"&amp;$AM605,DECODE!$E$3:$F$21,2,FALSE),"?"))</f>
        <v/>
      </c>
      <c r="AP605">
        <f>IF($AK605="","",IFERROR(VALUE(RIGHT($AK605,3)),""))</f>
        <v/>
      </c>
      <c r="AQ605">
        <f>IF($T605="","",IFERROR(IF(ISNUMBER($T605),$T605,DATEVALUE(TRIM($T605))),""))</f>
        <v/>
      </c>
      <c r="AR605">
        <f>IF($AQ605="","",IF(MONTH($AQ605)&gt;=12,"Cold Winter",IF(MONTH($AQ605)&gt;=10,"Post-Monsoon",IF(MONTH($AQ605)&gt;=6,"Hot Humid",IF(MONTH($AQ605)&gt;=3,"Hot Dry","Cold Winter")))))</f>
        <v/>
      </c>
      <c r="AS605">
        <f>IF($AL605="","",IFERROR(VLOOKUP($AL605,DECODE!$A$3:$C$8,2,FALSE),"?"))</f>
        <v/>
      </c>
      <c r="AT605">
        <f>IF($O605="","",UPPER(TRIM(LEFT($O605&amp;",",FIND(",",$O605&amp;",")-1))))</f>
        <v/>
      </c>
      <c r="AU605">
        <f>IF($AT605="","",MID($AT605,4,FIND("~",SUBSTITUTE($AT605,"-","~",2))-4))</f>
        <v/>
      </c>
      <c r="AV605">
        <f>IF($AT605="","",MID($AT605,FIND("~",SUBSTITUTE($AT605,"-","~",2))+1,FIND("~",SUBSTITUTE($AT605,"-","~",3))-FIND("~",SUBSTITUTE($AT605,"-","~",2))-1))</f>
        <v/>
      </c>
      <c r="AW605">
        <f>IF($AU605="","",IFERROR(VLOOKUP($AU605,DECODE!$A$3:$C$8,3,FALSE),"?"))</f>
        <v/>
      </c>
      <c r="AX605">
        <f>IF($AV605="","",IFERROR(VLOOKUP($AU605&amp;"-"&amp;$AV605,DECODE!$E$3:$F$21,2,FALSE),"?"))</f>
        <v/>
      </c>
      <c r="AY605">
        <f>IF($AT605="","",IFERROR(VALUE(RIGHT($AT605,3)),""))</f>
        <v/>
      </c>
      <c r="AZ605">
        <f>IF($U605="","",IFERROR(IF(ISNUMBER($U605),$U605,DATEVALUE(TRIM($U605))),""))</f>
        <v/>
      </c>
      <c r="BA605">
        <f>IF($AZ605="","",IF(MONTH($AZ605)&gt;=12,"Cold Winter",IF(MONTH($AZ605)&gt;=10,"Post-Monsoon",IF(MONTH($AZ605)&gt;=6,"Hot Humid",IF(MONTH($AZ605)&gt;=3,"Hot Dry","Cold Winter")))))</f>
        <v/>
      </c>
      <c r="BB605">
        <f>IF($AU605="","",IFERROR(VLOOKUP($AU605,DECODE!$A$3:$C$8,2,FALSE),"?"))</f>
        <v/>
      </c>
      <c r="BC605">
        <f>IF($P605="","",UPPER(TRIM(LEFT($P605&amp;",",FIND(",",$P605&amp;",")-1))))</f>
        <v/>
      </c>
      <c r="BD605">
        <f>IF($BC605="","",MID($BC605,4,FIND("~",SUBSTITUTE($BC605,"-","~",2))-4))</f>
        <v/>
      </c>
      <c r="BE605">
        <f>IF($BC605="","",MID($BC605,FIND("~",SUBSTITUTE($BC605,"-","~",2))+1,FIND("~",SUBSTITUTE($BC605,"-","~",3))-FIND("~",SUBSTITUTE($BC605,"-","~",2))-1))</f>
        <v/>
      </c>
      <c r="BF605">
        <f>IF($BD605="","",IFERROR(VLOOKUP($BD605,DECODE!$A$3:$C$8,3,FALSE),"?"))</f>
        <v/>
      </c>
      <c r="BG605">
        <f>IF($BE605="","",IFERROR(VLOOKUP($BD605&amp;"-"&amp;$BE605,DECODE!$E$3:$F$21,2,FALSE),"?"))</f>
        <v/>
      </c>
      <c r="BH605">
        <f>IF($BC605="","",IFERROR(VALUE(RIGHT($BC605,3)),""))</f>
        <v/>
      </c>
      <c r="BI605">
        <f>IF($V605="","",IFERROR(IF(ISNUMBER($V605),$V605,DATEVALUE(TRIM($V605))),""))</f>
        <v/>
      </c>
      <c r="BJ605">
        <f>IF($BI605="","",IF(MONTH($BI605)&gt;=12,"Cold Winter",IF(MONTH($BI605)&gt;=10,"Post-Monsoon",IF(MONTH($BI605)&gt;=6,"Hot Humid",IF(MONTH($BI605)&gt;=3,"Hot Dry","Cold Winter")))))</f>
        <v/>
      </c>
      <c r="BK605">
        <f>IF($BD605="","",IFERROR(VLOOKUP($BD605,DECODE!$A$3:$C$8,2,FALSE),"?"))</f>
        <v/>
      </c>
      <c r="BL605">
        <f>IF($Q605="","",UPPER(TRIM(LEFT($Q605&amp;",",FIND(",",$Q605&amp;",")-1))))</f>
        <v/>
      </c>
      <c r="BM605">
        <f>IF($BL605="","",MID($BL605,4,FIND("~",SUBSTITUTE($BL605,"-","~",2))-4))</f>
        <v/>
      </c>
      <c r="BN605">
        <f>IF($BL605="","",MID($BL605,FIND("~",SUBSTITUTE($BL605,"-","~",2))+1,FIND("~",SUBSTITUTE($BL605,"-","~",3))-FIND("~",SUBSTITUTE($BL605,"-","~",2))-1))</f>
        <v/>
      </c>
      <c r="BO605">
        <f>IF($BM605="","",IFERROR(VLOOKUP($BM605,DECODE!$A$3:$C$8,3,FALSE),"?"))</f>
        <v/>
      </c>
      <c r="BP605">
        <f>IF($BN605="","",IFERROR(VLOOKUP($BM605&amp;"-"&amp;$BN605,DECODE!$E$3:$F$21,2,FALSE),"?"))</f>
        <v/>
      </c>
      <c r="BQ605">
        <f>IF($BL605="","",IFERROR(VALUE(RIGHT($BL605,3)),""))</f>
        <v/>
      </c>
      <c r="BR605">
        <f>IF($W605="","",IFERROR(IF(ISNUMBER($W605),$W605,DATEVALUE(TRIM($W605))),""))</f>
        <v/>
      </c>
      <c r="BS605">
        <f>IF($BR605="","",IF(MONTH($BR605)&gt;=12,"Cold Winter",IF(MONTH($BR605)&gt;=10,"Post-Monsoon",IF(MONTH($BR605)&gt;=6,"Hot Humid",IF(MONTH($BR605)&gt;=3,"Hot Dry","Cold Winter")))))</f>
        <v/>
      </c>
      <c r="BT605">
        <f>IF($BM605="","",IFERROR(VLOOKUP($BM605,DECODE!$A$3:$C$8,2,FALSE),"?"))</f>
        <v/>
      </c>
      <c r="BU605">
        <f>IF($R605="","",UPPER(TRIM(LEFT($R605&amp;",",FIND(",",$R605&amp;",")-1))))</f>
        <v/>
      </c>
      <c r="BV605">
        <f>IF($BU605="","",MID($BU605,4,FIND("~",SUBSTITUTE($BU605,"-","~",2))-4))</f>
        <v/>
      </c>
      <c r="BW605">
        <f>IF($BU605="","",MID($BU605,FIND("~",SUBSTITUTE($BU605,"-","~",2))+1,FIND("~",SUBSTITUTE($BU605,"-","~",3))-FIND("~",SUBSTITUTE($BU605,"-","~",2))-1))</f>
        <v/>
      </c>
      <c r="BX605">
        <f>IF($BV605="","",IFERROR(VLOOKUP($BV605,DECODE!$A$3:$C$8,3,FALSE),"?"))</f>
        <v/>
      </c>
      <c r="BY605">
        <f>IF($BW605="","",IFERROR(VLOOKUP($BV605&amp;"-"&amp;$BW605,DECODE!$E$3:$F$21,2,FALSE),"?"))</f>
        <v/>
      </c>
      <c r="BZ605">
        <f>IF($BU605="","",IFERROR(VALUE(RIGHT($BU605,3)),""))</f>
        <v/>
      </c>
      <c r="CA605">
        <f>IF($X605="","",IFERROR(IF(ISNUMBER($X605),$X605,DATEVALUE(TRIM($X605))),""))</f>
        <v/>
      </c>
      <c r="CB605">
        <f>IF($CA605="","",IF(MONTH($CA605)&gt;=12,"Cold Winter",IF(MONTH($CA605)&gt;=10,"Post-Monsoon",IF(MONTH($CA605)&gt;=6,"Hot Humid",IF(MONTH($CA605)&gt;=3,"Hot Dry","Cold Winter")))))</f>
        <v/>
      </c>
      <c r="CC605">
        <f>IF($BV605="","",IFERROR(VLOOKUP($BV605,DECODE!$A$3:$C$8,2,FALSE),"?"))</f>
        <v/>
      </c>
      <c r="CD605">
        <f>IF($S605="","",UPPER(TRIM(LEFT($S605&amp;",",FIND(",",$S605&amp;",")-1))))</f>
        <v/>
      </c>
      <c r="CE605">
        <f>IF($CD605="","",MID($CD605,4,FIND("~",SUBSTITUTE($CD605,"-","~",2))-4))</f>
        <v/>
      </c>
      <c r="CF605">
        <f>IF($CD605="","",MID($CD605,FIND("~",SUBSTITUTE($CD605,"-","~",2))+1,FIND("~",SUBSTITUTE($CD605,"-","~",3))-FIND("~",SUBSTITUTE($CD605,"-","~",2))-1))</f>
        <v/>
      </c>
      <c r="CG605">
        <f>IF($CE605="","",IFERROR(VLOOKUP($CE605,DECODE!$A$3:$C$8,3,FALSE),"?"))</f>
        <v/>
      </c>
      <c r="CH605">
        <f>IF($CF605="","",IFERROR(VLOOKUP($CE605&amp;"-"&amp;$CF605,DECODE!$E$3:$F$21,2,FALSE),"?"))</f>
        <v/>
      </c>
      <c r="CI605">
        <f>IF($CD605="","",IFERROR(VALUE(RIGHT($CD605,3)),""))</f>
        <v/>
      </c>
      <c r="CJ605">
        <f>IF($Y605="","",IFERROR(IF(ISNUMBER($Y605),$Y605,DATEVALUE(TRIM($Y605))),""))</f>
        <v/>
      </c>
      <c r="CK605">
        <f>IF($CJ605="","",IF(MONTH($CJ605)&gt;=12,"Cold Winter",IF(MONTH($CJ605)&gt;=10,"Post-Monsoon",IF(MONTH($CJ605)&gt;=6,"Hot Humid",IF(MONTH($CJ605)&gt;=3,"Hot Dry","Cold Winter")))))</f>
        <v/>
      </c>
      <c r="CL605">
        <f>IF($CE605="","",IFERROR(VLOOKUP($CE605,DECODE!$A$3:$C$8,2,FALSE),"?"))</f>
        <v/>
      </c>
      <c r="CM605">
        <f>IF($AN605="","",AN605)</f>
        <v/>
      </c>
      <c r="CN605">
        <f>IF($AO605="","",AO605)</f>
        <v/>
      </c>
      <c r="CO605">
        <f>IF($AP605="","",AP605)</f>
        <v/>
      </c>
      <c r="CP605">
        <f>IF($CM605="","",IF($CM605="Aloe Vera Gel","Aloe Vera Gel "&amp;$CO605&amp;"g",CN605&amp;" "&amp;$CO605&amp;"g"))</f>
        <v/>
      </c>
      <c r="CQ605">
        <f>IF($AT605="",0,1)</f>
        <v/>
      </c>
      <c r="CR605">
        <f>IF($CQ605=0,"",AW605)</f>
        <v/>
      </c>
      <c r="CS605">
        <f>IF($CQ605=0,"",AX605)</f>
        <v/>
      </c>
      <c r="CT605">
        <f>IF($CQ605=0,"",AY605)</f>
        <v/>
      </c>
      <c r="CU605">
        <f>IF($CR605="","",IF($CR605="Aloe Vera Gel","Aloe Vera Gel "&amp;$CT605&amp;"g",CS605&amp;" "&amp;$CT605&amp;"g"))</f>
        <v/>
      </c>
      <c r="CV605">
        <f>IF($CQ605=0,"",IF($CP605=$CU605,"Repeat Exact",IF($CT605&gt;$CO605,"Upsized",IF($CT605&lt;$CO605,"Downsized",IF($CM605&lt;&gt;$CR605,"Lateral","Same Size Diff Variant")))))</f>
        <v/>
      </c>
      <c r="CW605">
        <f>IF($CQ605=0,"",AZ605-AQ605)</f>
        <v/>
      </c>
      <c r="CX605">
        <f>IF($CQ605=0,0,IF(CS605=CN605,1,0))</f>
        <v/>
      </c>
      <c r="CY605">
        <f>IF($CQ605=0,0,IF(CR605=CM605,1,0))</f>
        <v/>
      </c>
      <c r="CZ605">
        <f>IF($A605="","",IF(AND(IF(DASHBOARD!$C$4="All",TRUE,$CM605=DASHBOARD!$C$4),IF(DASHBOARD!$C$6="All",TRUE,$CP605=DASHBOARD!$C$6),IF(DASHBOARD!$C$8="All",TRUE,$AF605&gt;=DASHBOARD!$C$8),IF(DASHBOARD!$C$10="All",TRUE,$AF605&lt;=DASHBOARD!$C$10),IF(DASHBOARD!$C$12="All",TRUE,$AH605=VALUE(DASHBOARD!$C$12)),IF(DASHBOARD!$C$14="All",TRUE,$AJ605=DASHBOARD!$C$14)),1,0))</f>
        <v/>
      </c>
    </row>
    <row r="606">
      <c r="A606" t="n">
        <v>261296</v>
      </c>
      <c r="B606" t="inlineStr">
        <is>
          <t>Active Gel</t>
        </is>
      </c>
      <c r="H606" t="inlineStr">
        <is>
          <t>Active Beetroot Tomato Vit-A Gel</t>
        </is>
      </c>
      <c r="N606" t="inlineStr">
        <is>
          <t>FC-AC-BT-050</t>
        </is>
      </c>
      <c r="T606" t="inlineStr">
        <is>
          <t>Aug 4, 2024</t>
        </is>
      </c>
      <c r="AE606" t="inlineStr">
        <is>
          <t>Bengaluru</t>
        </is>
      </c>
      <c r="AF606" t="inlineStr">
        <is>
          <t>2024-08</t>
        </is>
      </c>
      <c r="AG606" t="n">
        <v>8</v>
      </c>
      <c r="AH606" t="n">
        <v>1</v>
      </c>
      <c r="AI606" t="n">
        <v>0</v>
      </c>
      <c r="AJ606">
        <f>IF($AE606="","",IFERROR(VLOOKUP(TRIM($AE606),DECODE!$H$3:$I$60,2,FALSE),"Rest of India"))</f>
        <v/>
      </c>
      <c r="AK606">
        <f>IF($N606="","",UPPER(TRIM(LEFT($N606&amp;",",FIND(",",$N606&amp;",")-1))))</f>
        <v/>
      </c>
      <c r="AL606">
        <f>IF($AK606="","",MID($AK606,4,FIND("~",SUBSTITUTE($AK606,"-","~",2))-4))</f>
        <v/>
      </c>
      <c r="AM606">
        <f>IF($AK606="","",MID($AK606,FIND("~",SUBSTITUTE($AK606,"-","~",2))+1,FIND("~",SUBSTITUTE($AK606,"-","~",3))-FIND("~",SUBSTITUTE($AK606,"-","~",2))-1))</f>
        <v/>
      </c>
      <c r="AN606">
        <f>IF($AL606="","",IFERROR(VLOOKUP($AL606,DECODE!$A$3:$C$8,3,FALSE),"?"))</f>
        <v/>
      </c>
      <c r="AO606">
        <f>IF($AM606="","",IFERROR(VLOOKUP($AL606&amp;"-"&amp;$AM606,DECODE!$E$3:$F$21,2,FALSE),"?"))</f>
        <v/>
      </c>
      <c r="AP606">
        <f>IF($AK606="","",IFERROR(VALUE(RIGHT($AK606,3)),""))</f>
        <v/>
      </c>
      <c r="AQ606">
        <f>IF($T606="","",IFERROR(IF(ISNUMBER($T606),$T606,DATEVALUE(TRIM($T606))),""))</f>
        <v/>
      </c>
      <c r="AR606">
        <f>IF($AQ606="","",IF(MONTH($AQ606)&gt;=12,"Cold Winter",IF(MONTH($AQ606)&gt;=10,"Post-Monsoon",IF(MONTH($AQ606)&gt;=6,"Hot Humid",IF(MONTH($AQ606)&gt;=3,"Hot Dry","Cold Winter")))))</f>
        <v/>
      </c>
      <c r="AS606">
        <f>IF($AL606="","",IFERROR(VLOOKUP($AL606,DECODE!$A$3:$C$8,2,FALSE),"?"))</f>
        <v/>
      </c>
      <c r="AT606">
        <f>IF($O606="","",UPPER(TRIM(LEFT($O606&amp;",",FIND(",",$O606&amp;",")-1))))</f>
        <v/>
      </c>
      <c r="AU606">
        <f>IF($AT606="","",MID($AT606,4,FIND("~",SUBSTITUTE($AT606,"-","~",2))-4))</f>
        <v/>
      </c>
      <c r="AV606">
        <f>IF($AT606="","",MID($AT606,FIND("~",SUBSTITUTE($AT606,"-","~",2))+1,FIND("~",SUBSTITUTE($AT606,"-","~",3))-FIND("~",SUBSTITUTE($AT606,"-","~",2))-1))</f>
        <v/>
      </c>
      <c r="AW606">
        <f>IF($AU606="","",IFERROR(VLOOKUP($AU606,DECODE!$A$3:$C$8,3,FALSE),"?"))</f>
        <v/>
      </c>
      <c r="AX606">
        <f>IF($AV606="","",IFERROR(VLOOKUP($AU606&amp;"-"&amp;$AV606,DECODE!$E$3:$F$21,2,FALSE),"?"))</f>
        <v/>
      </c>
      <c r="AY606">
        <f>IF($AT606="","",IFERROR(VALUE(RIGHT($AT606,3)),""))</f>
        <v/>
      </c>
      <c r="AZ606">
        <f>IF($U606="","",IFERROR(IF(ISNUMBER($U606),$U606,DATEVALUE(TRIM($U606))),""))</f>
        <v/>
      </c>
      <c r="BA606">
        <f>IF($AZ606="","",IF(MONTH($AZ606)&gt;=12,"Cold Winter",IF(MONTH($AZ606)&gt;=10,"Post-Monsoon",IF(MONTH($AZ606)&gt;=6,"Hot Humid",IF(MONTH($AZ606)&gt;=3,"Hot Dry","Cold Winter")))))</f>
        <v/>
      </c>
      <c r="BB606">
        <f>IF($AU606="","",IFERROR(VLOOKUP($AU606,DECODE!$A$3:$C$8,2,FALSE),"?"))</f>
        <v/>
      </c>
      <c r="BC606">
        <f>IF($P606="","",UPPER(TRIM(LEFT($P606&amp;",",FIND(",",$P606&amp;",")-1))))</f>
        <v/>
      </c>
      <c r="BD606">
        <f>IF($BC606="","",MID($BC606,4,FIND("~",SUBSTITUTE($BC606,"-","~",2))-4))</f>
        <v/>
      </c>
      <c r="BE606">
        <f>IF($BC606="","",MID($BC606,FIND("~",SUBSTITUTE($BC606,"-","~",2))+1,FIND("~",SUBSTITUTE($BC606,"-","~",3))-FIND("~",SUBSTITUTE($BC606,"-","~",2))-1))</f>
        <v/>
      </c>
      <c r="BF606">
        <f>IF($BD606="","",IFERROR(VLOOKUP($BD606,DECODE!$A$3:$C$8,3,FALSE),"?"))</f>
        <v/>
      </c>
      <c r="BG606">
        <f>IF($BE606="","",IFERROR(VLOOKUP($BD606&amp;"-"&amp;$BE606,DECODE!$E$3:$F$21,2,FALSE),"?"))</f>
        <v/>
      </c>
      <c r="BH606">
        <f>IF($BC606="","",IFERROR(VALUE(RIGHT($BC606,3)),""))</f>
        <v/>
      </c>
      <c r="BI606">
        <f>IF($V606="","",IFERROR(IF(ISNUMBER($V606),$V606,DATEVALUE(TRIM($V606))),""))</f>
        <v/>
      </c>
      <c r="BJ606">
        <f>IF($BI606="","",IF(MONTH($BI606)&gt;=12,"Cold Winter",IF(MONTH($BI606)&gt;=10,"Post-Monsoon",IF(MONTH($BI606)&gt;=6,"Hot Humid",IF(MONTH($BI606)&gt;=3,"Hot Dry","Cold Winter")))))</f>
        <v/>
      </c>
      <c r="BK606">
        <f>IF($BD606="","",IFERROR(VLOOKUP($BD606,DECODE!$A$3:$C$8,2,FALSE),"?"))</f>
        <v/>
      </c>
      <c r="BL606">
        <f>IF($Q606="","",UPPER(TRIM(LEFT($Q606&amp;",",FIND(",",$Q606&amp;",")-1))))</f>
        <v/>
      </c>
      <c r="BM606">
        <f>IF($BL606="","",MID($BL606,4,FIND("~",SUBSTITUTE($BL606,"-","~",2))-4))</f>
        <v/>
      </c>
      <c r="BN606">
        <f>IF($BL606="","",MID($BL606,FIND("~",SUBSTITUTE($BL606,"-","~",2))+1,FIND("~",SUBSTITUTE($BL606,"-","~",3))-FIND("~",SUBSTITUTE($BL606,"-","~",2))-1))</f>
        <v/>
      </c>
      <c r="BO606">
        <f>IF($BM606="","",IFERROR(VLOOKUP($BM606,DECODE!$A$3:$C$8,3,FALSE),"?"))</f>
        <v/>
      </c>
      <c r="BP606">
        <f>IF($BN606="","",IFERROR(VLOOKUP($BM606&amp;"-"&amp;$BN606,DECODE!$E$3:$F$21,2,FALSE),"?"))</f>
        <v/>
      </c>
      <c r="BQ606">
        <f>IF($BL606="","",IFERROR(VALUE(RIGHT($BL606,3)),""))</f>
        <v/>
      </c>
      <c r="BR606">
        <f>IF($W606="","",IFERROR(IF(ISNUMBER($W606),$W606,DATEVALUE(TRIM($W606))),""))</f>
        <v/>
      </c>
      <c r="BS606">
        <f>IF($BR606="","",IF(MONTH($BR606)&gt;=12,"Cold Winter",IF(MONTH($BR606)&gt;=10,"Post-Monsoon",IF(MONTH($BR606)&gt;=6,"Hot Humid",IF(MONTH($BR606)&gt;=3,"Hot Dry","Cold Winter")))))</f>
        <v/>
      </c>
      <c r="BT606">
        <f>IF($BM606="","",IFERROR(VLOOKUP($BM606,DECODE!$A$3:$C$8,2,FALSE),"?"))</f>
        <v/>
      </c>
      <c r="BU606">
        <f>IF($R606="","",UPPER(TRIM(LEFT($R606&amp;",",FIND(",",$R606&amp;",")-1))))</f>
        <v/>
      </c>
      <c r="BV606">
        <f>IF($BU606="","",MID($BU606,4,FIND("~",SUBSTITUTE($BU606,"-","~",2))-4))</f>
        <v/>
      </c>
      <c r="BW606">
        <f>IF($BU606="","",MID($BU606,FIND("~",SUBSTITUTE($BU606,"-","~",2))+1,FIND("~",SUBSTITUTE($BU606,"-","~",3))-FIND("~",SUBSTITUTE($BU606,"-","~",2))-1))</f>
        <v/>
      </c>
      <c r="BX606">
        <f>IF($BV606="","",IFERROR(VLOOKUP($BV606,DECODE!$A$3:$C$8,3,FALSE),"?"))</f>
        <v/>
      </c>
      <c r="BY606">
        <f>IF($BW606="","",IFERROR(VLOOKUP($BV606&amp;"-"&amp;$BW606,DECODE!$E$3:$F$21,2,FALSE),"?"))</f>
        <v/>
      </c>
      <c r="BZ606">
        <f>IF($BU606="","",IFERROR(VALUE(RIGHT($BU606,3)),""))</f>
        <v/>
      </c>
      <c r="CA606">
        <f>IF($X606="","",IFERROR(IF(ISNUMBER($X606),$X606,DATEVALUE(TRIM($X606))),""))</f>
        <v/>
      </c>
      <c r="CB606">
        <f>IF($CA606="","",IF(MONTH($CA606)&gt;=12,"Cold Winter",IF(MONTH($CA606)&gt;=10,"Post-Monsoon",IF(MONTH($CA606)&gt;=6,"Hot Humid",IF(MONTH($CA606)&gt;=3,"Hot Dry","Cold Winter")))))</f>
        <v/>
      </c>
      <c r="CC606">
        <f>IF($BV606="","",IFERROR(VLOOKUP($BV606,DECODE!$A$3:$C$8,2,FALSE),"?"))</f>
        <v/>
      </c>
      <c r="CD606">
        <f>IF($S606="","",UPPER(TRIM(LEFT($S606&amp;",",FIND(",",$S606&amp;",")-1))))</f>
        <v/>
      </c>
      <c r="CE606">
        <f>IF($CD606="","",MID($CD606,4,FIND("~",SUBSTITUTE($CD606,"-","~",2))-4))</f>
        <v/>
      </c>
      <c r="CF606">
        <f>IF($CD606="","",MID($CD606,FIND("~",SUBSTITUTE($CD606,"-","~",2))+1,FIND("~",SUBSTITUTE($CD606,"-","~",3))-FIND("~",SUBSTITUTE($CD606,"-","~",2))-1))</f>
        <v/>
      </c>
      <c r="CG606">
        <f>IF($CE606="","",IFERROR(VLOOKUP($CE606,DECODE!$A$3:$C$8,3,FALSE),"?"))</f>
        <v/>
      </c>
      <c r="CH606">
        <f>IF($CF606="","",IFERROR(VLOOKUP($CE606&amp;"-"&amp;$CF606,DECODE!$E$3:$F$21,2,FALSE),"?"))</f>
        <v/>
      </c>
      <c r="CI606">
        <f>IF($CD606="","",IFERROR(VALUE(RIGHT($CD606,3)),""))</f>
        <v/>
      </c>
      <c r="CJ606">
        <f>IF($Y606="","",IFERROR(IF(ISNUMBER($Y606),$Y606,DATEVALUE(TRIM($Y606))),""))</f>
        <v/>
      </c>
      <c r="CK606">
        <f>IF($CJ606="","",IF(MONTH($CJ606)&gt;=12,"Cold Winter",IF(MONTH($CJ606)&gt;=10,"Post-Monsoon",IF(MONTH($CJ606)&gt;=6,"Hot Humid",IF(MONTH($CJ606)&gt;=3,"Hot Dry","Cold Winter")))))</f>
        <v/>
      </c>
      <c r="CL606">
        <f>IF($CE606="","",IFERROR(VLOOKUP($CE606,DECODE!$A$3:$C$8,2,FALSE),"?"))</f>
        <v/>
      </c>
      <c r="CM606">
        <f>IF($AN606="","",AN606)</f>
        <v/>
      </c>
      <c r="CN606">
        <f>IF($AO606="","",AO606)</f>
        <v/>
      </c>
      <c r="CO606">
        <f>IF($AP606="","",AP606)</f>
        <v/>
      </c>
      <c r="CP606">
        <f>IF($CM606="","",IF($CM606="Aloe Vera Gel","Aloe Vera Gel "&amp;$CO606&amp;"g",CN606&amp;" "&amp;$CO606&amp;"g"))</f>
        <v/>
      </c>
      <c r="CQ606">
        <f>IF($AT606="",0,1)</f>
        <v/>
      </c>
      <c r="CR606">
        <f>IF($CQ606=0,"",AW606)</f>
        <v/>
      </c>
      <c r="CS606">
        <f>IF($CQ606=0,"",AX606)</f>
        <v/>
      </c>
      <c r="CT606">
        <f>IF($CQ606=0,"",AY606)</f>
        <v/>
      </c>
      <c r="CU606">
        <f>IF($CR606="","",IF($CR606="Aloe Vera Gel","Aloe Vera Gel "&amp;$CT606&amp;"g",CS606&amp;" "&amp;$CT606&amp;"g"))</f>
        <v/>
      </c>
      <c r="CV606">
        <f>IF($CQ606=0,"",IF($CP606=$CU606,"Repeat Exact",IF($CT606&gt;$CO606,"Upsized",IF($CT606&lt;$CO606,"Downsized",IF($CM606&lt;&gt;$CR606,"Lateral","Same Size Diff Variant")))))</f>
        <v/>
      </c>
      <c r="CW606">
        <f>IF($CQ606=0,"",AZ606-AQ606)</f>
        <v/>
      </c>
      <c r="CX606">
        <f>IF($CQ606=0,0,IF(CS606=CN606,1,0))</f>
        <v/>
      </c>
      <c r="CY606">
        <f>IF($CQ606=0,0,IF(CR606=CM606,1,0))</f>
        <v/>
      </c>
      <c r="CZ606">
        <f>IF($A606="","",IF(AND(IF(DASHBOARD!$C$4="All",TRUE,$CM606=DASHBOARD!$C$4),IF(DASHBOARD!$C$6="All",TRUE,$CP606=DASHBOARD!$C$6),IF(DASHBOARD!$C$8="All",TRUE,$AF606&gt;=DASHBOARD!$C$8),IF(DASHBOARD!$C$10="All",TRUE,$AF606&lt;=DASHBOARD!$C$10),IF(DASHBOARD!$C$12="All",TRUE,$AH606=VALUE(DASHBOARD!$C$12)),IF(DASHBOARD!$C$14="All",TRUE,$AJ606=DASHBOARD!$C$14)),1,0))</f>
        <v/>
      </c>
    </row>
    <row r="607">
      <c r="A607" t="n">
        <v>261407</v>
      </c>
      <c r="B607" t="inlineStr">
        <is>
          <t>Face Malai</t>
        </is>
      </c>
      <c r="H607" t="inlineStr">
        <is>
          <t>Flax Walnut (Cold) 35+ Face Malai, Turmeric Nutmeg (Pigmentation)  Face Malai - 30g</t>
        </is>
      </c>
      <c r="N607" t="inlineStr">
        <is>
          <t>FC-CWDM-FW-030, FC-DM-PG-030</t>
        </is>
      </c>
      <c r="T607" t="inlineStr">
        <is>
          <t>Jan 5, 2025</t>
        </is>
      </c>
      <c r="AE607" t="inlineStr">
        <is>
          <t>Chittorgarh</t>
        </is>
      </c>
      <c r="AF607" t="inlineStr">
        <is>
          <t>2025-01</t>
        </is>
      </c>
      <c r="AG607" t="n">
        <v>1</v>
      </c>
      <c r="AH607" t="n">
        <v>1</v>
      </c>
      <c r="AI607" t="n">
        <v>0</v>
      </c>
      <c r="AJ607">
        <f>IF($AE607="","",IFERROR(VLOOKUP(TRIM($AE607),DECODE!$H$3:$I$60,2,FALSE),"Rest of India"))</f>
        <v/>
      </c>
      <c r="AK607">
        <f>IF($N607="","",UPPER(TRIM(LEFT($N607&amp;",",FIND(",",$N607&amp;",")-1))))</f>
        <v/>
      </c>
      <c r="AL607">
        <f>IF($AK607="","",MID($AK607,4,FIND("~",SUBSTITUTE($AK607,"-","~",2))-4))</f>
        <v/>
      </c>
      <c r="AM607">
        <f>IF($AK607="","",MID($AK607,FIND("~",SUBSTITUTE($AK607,"-","~",2))+1,FIND("~",SUBSTITUTE($AK607,"-","~",3))-FIND("~",SUBSTITUTE($AK607,"-","~",2))-1))</f>
        <v/>
      </c>
      <c r="AN607">
        <f>IF($AL607="","",IFERROR(VLOOKUP($AL607,DECODE!$A$3:$C$8,3,FALSE),"?"))</f>
        <v/>
      </c>
      <c r="AO607">
        <f>IF($AM607="","",IFERROR(VLOOKUP($AL607&amp;"-"&amp;$AM607,DECODE!$E$3:$F$21,2,FALSE),"?"))</f>
        <v/>
      </c>
      <c r="AP607">
        <f>IF($AK607="","",IFERROR(VALUE(RIGHT($AK607,3)),""))</f>
        <v/>
      </c>
      <c r="AQ607">
        <f>IF($T607="","",IFERROR(IF(ISNUMBER($T607),$T607,DATEVALUE(TRIM($T607))),""))</f>
        <v/>
      </c>
      <c r="AR607">
        <f>IF($AQ607="","",IF(MONTH($AQ607)&gt;=12,"Cold Winter",IF(MONTH($AQ607)&gt;=10,"Post-Monsoon",IF(MONTH($AQ607)&gt;=6,"Hot Humid",IF(MONTH($AQ607)&gt;=3,"Hot Dry","Cold Winter")))))</f>
        <v/>
      </c>
      <c r="AS607">
        <f>IF($AL607="","",IFERROR(VLOOKUP($AL607,DECODE!$A$3:$C$8,2,FALSE),"?"))</f>
        <v/>
      </c>
      <c r="AT607">
        <f>IF($O607="","",UPPER(TRIM(LEFT($O607&amp;",",FIND(",",$O607&amp;",")-1))))</f>
        <v/>
      </c>
      <c r="AU607">
        <f>IF($AT607="","",MID($AT607,4,FIND("~",SUBSTITUTE($AT607,"-","~",2))-4))</f>
        <v/>
      </c>
      <c r="AV607">
        <f>IF($AT607="","",MID($AT607,FIND("~",SUBSTITUTE($AT607,"-","~",2))+1,FIND("~",SUBSTITUTE($AT607,"-","~",3))-FIND("~",SUBSTITUTE($AT607,"-","~",2))-1))</f>
        <v/>
      </c>
      <c r="AW607">
        <f>IF($AU607="","",IFERROR(VLOOKUP($AU607,DECODE!$A$3:$C$8,3,FALSE),"?"))</f>
        <v/>
      </c>
      <c r="AX607">
        <f>IF($AV607="","",IFERROR(VLOOKUP($AU607&amp;"-"&amp;$AV607,DECODE!$E$3:$F$21,2,FALSE),"?"))</f>
        <v/>
      </c>
      <c r="AY607">
        <f>IF($AT607="","",IFERROR(VALUE(RIGHT($AT607,3)),""))</f>
        <v/>
      </c>
      <c r="AZ607">
        <f>IF($U607="","",IFERROR(IF(ISNUMBER($U607),$U607,DATEVALUE(TRIM($U607))),""))</f>
        <v/>
      </c>
      <c r="BA607">
        <f>IF($AZ607="","",IF(MONTH($AZ607)&gt;=12,"Cold Winter",IF(MONTH($AZ607)&gt;=10,"Post-Monsoon",IF(MONTH($AZ607)&gt;=6,"Hot Humid",IF(MONTH($AZ607)&gt;=3,"Hot Dry","Cold Winter")))))</f>
        <v/>
      </c>
      <c r="BB607">
        <f>IF($AU607="","",IFERROR(VLOOKUP($AU607,DECODE!$A$3:$C$8,2,FALSE),"?"))</f>
        <v/>
      </c>
      <c r="BC607">
        <f>IF($P607="","",UPPER(TRIM(LEFT($P607&amp;",",FIND(",",$P607&amp;",")-1))))</f>
        <v/>
      </c>
      <c r="BD607">
        <f>IF($BC607="","",MID($BC607,4,FIND("~",SUBSTITUTE($BC607,"-","~",2))-4))</f>
        <v/>
      </c>
      <c r="BE607">
        <f>IF($BC607="","",MID($BC607,FIND("~",SUBSTITUTE($BC607,"-","~",2))+1,FIND("~",SUBSTITUTE($BC607,"-","~",3))-FIND("~",SUBSTITUTE($BC607,"-","~",2))-1))</f>
        <v/>
      </c>
      <c r="BF607">
        <f>IF($BD607="","",IFERROR(VLOOKUP($BD607,DECODE!$A$3:$C$8,3,FALSE),"?"))</f>
        <v/>
      </c>
      <c r="BG607">
        <f>IF($BE607="","",IFERROR(VLOOKUP($BD607&amp;"-"&amp;$BE607,DECODE!$E$3:$F$21,2,FALSE),"?"))</f>
        <v/>
      </c>
      <c r="BH607">
        <f>IF($BC607="","",IFERROR(VALUE(RIGHT($BC607,3)),""))</f>
        <v/>
      </c>
      <c r="BI607">
        <f>IF($V607="","",IFERROR(IF(ISNUMBER($V607),$V607,DATEVALUE(TRIM($V607))),""))</f>
        <v/>
      </c>
      <c r="BJ607">
        <f>IF($BI607="","",IF(MONTH($BI607)&gt;=12,"Cold Winter",IF(MONTH($BI607)&gt;=10,"Post-Monsoon",IF(MONTH($BI607)&gt;=6,"Hot Humid",IF(MONTH($BI607)&gt;=3,"Hot Dry","Cold Winter")))))</f>
        <v/>
      </c>
      <c r="BK607">
        <f>IF($BD607="","",IFERROR(VLOOKUP($BD607,DECODE!$A$3:$C$8,2,FALSE),"?"))</f>
        <v/>
      </c>
      <c r="BL607">
        <f>IF($Q607="","",UPPER(TRIM(LEFT($Q607&amp;",",FIND(",",$Q607&amp;",")-1))))</f>
        <v/>
      </c>
      <c r="BM607">
        <f>IF($BL607="","",MID($BL607,4,FIND("~",SUBSTITUTE($BL607,"-","~",2))-4))</f>
        <v/>
      </c>
      <c r="BN607">
        <f>IF($BL607="","",MID($BL607,FIND("~",SUBSTITUTE($BL607,"-","~",2))+1,FIND("~",SUBSTITUTE($BL607,"-","~",3))-FIND("~",SUBSTITUTE($BL607,"-","~",2))-1))</f>
        <v/>
      </c>
      <c r="BO607">
        <f>IF($BM607="","",IFERROR(VLOOKUP($BM607,DECODE!$A$3:$C$8,3,FALSE),"?"))</f>
        <v/>
      </c>
      <c r="BP607">
        <f>IF($BN607="","",IFERROR(VLOOKUP($BM607&amp;"-"&amp;$BN607,DECODE!$E$3:$F$21,2,FALSE),"?"))</f>
        <v/>
      </c>
      <c r="BQ607">
        <f>IF($BL607="","",IFERROR(VALUE(RIGHT($BL607,3)),""))</f>
        <v/>
      </c>
      <c r="BR607">
        <f>IF($W607="","",IFERROR(IF(ISNUMBER($W607),$W607,DATEVALUE(TRIM($W607))),""))</f>
        <v/>
      </c>
      <c r="BS607">
        <f>IF($BR607="","",IF(MONTH($BR607)&gt;=12,"Cold Winter",IF(MONTH($BR607)&gt;=10,"Post-Monsoon",IF(MONTH($BR607)&gt;=6,"Hot Humid",IF(MONTH($BR607)&gt;=3,"Hot Dry","Cold Winter")))))</f>
        <v/>
      </c>
      <c r="BT607">
        <f>IF($BM607="","",IFERROR(VLOOKUP($BM607,DECODE!$A$3:$C$8,2,FALSE),"?"))</f>
        <v/>
      </c>
      <c r="BU607">
        <f>IF($R607="","",UPPER(TRIM(LEFT($R607&amp;",",FIND(",",$R607&amp;",")-1))))</f>
        <v/>
      </c>
      <c r="BV607">
        <f>IF($BU607="","",MID($BU607,4,FIND("~",SUBSTITUTE($BU607,"-","~",2))-4))</f>
        <v/>
      </c>
      <c r="BW607">
        <f>IF($BU607="","",MID($BU607,FIND("~",SUBSTITUTE($BU607,"-","~",2))+1,FIND("~",SUBSTITUTE($BU607,"-","~",3))-FIND("~",SUBSTITUTE($BU607,"-","~",2))-1))</f>
        <v/>
      </c>
      <c r="BX607">
        <f>IF($BV607="","",IFERROR(VLOOKUP($BV607,DECODE!$A$3:$C$8,3,FALSE),"?"))</f>
        <v/>
      </c>
      <c r="BY607">
        <f>IF($BW607="","",IFERROR(VLOOKUP($BV607&amp;"-"&amp;$BW607,DECODE!$E$3:$F$21,2,FALSE),"?"))</f>
        <v/>
      </c>
      <c r="BZ607">
        <f>IF($BU607="","",IFERROR(VALUE(RIGHT($BU607,3)),""))</f>
        <v/>
      </c>
      <c r="CA607">
        <f>IF($X607="","",IFERROR(IF(ISNUMBER($X607),$X607,DATEVALUE(TRIM($X607))),""))</f>
        <v/>
      </c>
      <c r="CB607">
        <f>IF($CA607="","",IF(MONTH($CA607)&gt;=12,"Cold Winter",IF(MONTH($CA607)&gt;=10,"Post-Monsoon",IF(MONTH($CA607)&gt;=6,"Hot Humid",IF(MONTH($CA607)&gt;=3,"Hot Dry","Cold Winter")))))</f>
        <v/>
      </c>
      <c r="CC607">
        <f>IF($BV607="","",IFERROR(VLOOKUP($BV607,DECODE!$A$3:$C$8,2,FALSE),"?"))</f>
        <v/>
      </c>
      <c r="CD607">
        <f>IF($S607="","",UPPER(TRIM(LEFT($S607&amp;",",FIND(",",$S607&amp;",")-1))))</f>
        <v/>
      </c>
      <c r="CE607">
        <f>IF($CD607="","",MID($CD607,4,FIND("~",SUBSTITUTE($CD607,"-","~",2))-4))</f>
        <v/>
      </c>
      <c r="CF607">
        <f>IF($CD607="","",MID($CD607,FIND("~",SUBSTITUTE($CD607,"-","~",2))+1,FIND("~",SUBSTITUTE($CD607,"-","~",3))-FIND("~",SUBSTITUTE($CD607,"-","~",2))-1))</f>
        <v/>
      </c>
      <c r="CG607">
        <f>IF($CE607="","",IFERROR(VLOOKUP($CE607,DECODE!$A$3:$C$8,3,FALSE),"?"))</f>
        <v/>
      </c>
      <c r="CH607">
        <f>IF($CF607="","",IFERROR(VLOOKUP($CE607&amp;"-"&amp;$CF607,DECODE!$E$3:$F$21,2,FALSE),"?"))</f>
        <v/>
      </c>
      <c r="CI607">
        <f>IF($CD607="","",IFERROR(VALUE(RIGHT($CD607,3)),""))</f>
        <v/>
      </c>
      <c r="CJ607">
        <f>IF($Y607="","",IFERROR(IF(ISNUMBER($Y607),$Y607,DATEVALUE(TRIM($Y607))),""))</f>
        <v/>
      </c>
      <c r="CK607">
        <f>IF($CJ607="","",IF(MONTH($CJ607)&gt;=12,"Cold Winter",IF(MONTH($CJ607)&gt;=10,"Post-Monsoon",IF(MONTH($CJ607)&gt;=6,"Hot Humid",IF(MONTH($CJ607)&gt;=3,"Hot Dry","Cold Winter")))))</f>
        <v/>
      </c>
      <c r="CL607">
        <f>IF($CE607="","",IFERROR(VLOOKUP($CE607,DECODE!$A$3:$C$8,2,FALSE),"?"))</f>
        <v/>
      </c>
      <c r="CM607">
        <f>IF($AN607="","",AN607)</f>
        <v/>
      </c>
      <c r="CN607">
        <f>IF($AO607="","",AO607)</f>
        <v/>
      </c>
      <c r="CO607">
        <f>IF($AP607="","",AP607)</f>
        <v/>
      </c>
      <c r="CP607">
        <f>IF($CM607="","",IF($CM607="Aloe Vera Gel","Aloe Vera Gel "&amp;$CO607&amp;"g",CN607&amp;" "&amp;$CO607&amp;"g"))</f>
        <v/>
      </c>
      <c r="CQ607">
        <f>IF($AT607="",0,1)</f>
        <v/>
      </c>
      <c r="CR607">
        <f>IF($CQ607=0,"",AW607)</f>
        <v/>
      </c>
      <c r="CS607">
        <f>IF($CQ607=0,"",AX607)</f>
        <v/>
      </c>
      <c r="CT607">
        <f>IF($CQ607=0,"",AY607)</f>
        <v/>
      </c>
      <c r="CU607">
        <f>IF($CR607="","",IF($CR607="Aloe Vera Gel","Aloe Vera Gel "&amp;$CT607&amp;"g",CS607&amp;" "&amp;$CT607&amp;"g"))</f>
        <v/>
      </c>
      <c r="CV607">
        <f>IF($CQ607=0,"",IF($CP607=$CU607,"Repeat Exact",IF($CT607&gt;$CO607,"Upsized",IF($CT607&lt;$CO607,"Downsized",IF($CM607&lt;&gt;$CR607,"Lateral","Same Size Diff Variant")))))</f>
        <v/>
      </c>
      <c r="CW607">
        <f>IF($CQ607=0,"",AZ607-AQ607)</f>
        <v/>
      </c>
      <c r="CX607">
        <f>IF($CQ607=0,0,IF(CS607=CN607,1,0))</f>
        <v/>
      </c>
      <c r="CY607">
        <f>IF($CQ607=0,0,IF(CR607=CM607,1,0))</f>
        <v/>
      </c>
      <c r="CZ607">
        <f>IF($A607="","",IF(AND(IF(DASHBOARD!$C$4="All",TRUE,$CM607=DASHBOARD!$C$4),IF(DASHBOARD!$C$6="All",TRUE,$CP607=DASHBOARD!$C$6),IF(DASHBOARD!$C$8="All",TRUE,$AF607&gt;=DASHBOARD!$C$8),IF(DASHBOARD!$C$10="All",TRUE,$AF607&lt;=DASHBOARD!$C$10),IF(DASHBOARD!$C$12="All",TRUE,$AH607=VALUE(DASHBOARD!$C$12)),IF(DASHBOARD!$C$14="All",TRUE,$AJ607=DASHBOARD!$C$14)),1,0))</f>
        <v/>
      </c>
    </row>
    <row r="608">
      <c r="A608" t="n">
        <v>261456</v>
      </c>
      <c r="B608" t="inlineStr">
        <is>
          <t>Face Malai</t>
        </is>
      </c>
      <c r="H608" t="inlineStr">
        <is>
          <t>Flax Walnut (Cold) 35+ Face Malai</t>
        </is>
      </c>
      <c r="N608" t="inlineStr">
        <is>
          <t>FC-CWDM-FW-030</t>
        </is>
      </c>
      <c r="T608" t="inlineStr">
        <is>
          <t>Oct 24, 2024</t>
        </is>
      </c>
      <c r="AE608" t="inlineStr">
        <is>
          <t>Indore</t>
        </is>
      </c>
      <c r="AF608" t="inlineStr">
        <is>
          <t>2024-10</t>
        </is>
      </c>
      <c r="AG608" t="n">
        <v>10</v>
      </c>
      <c r="AH608" t="n">
        <v>1</v>
      </c>
      <c r="AI608" t="n">
        <v>0</v>
      </c>
      <c r="AJ608">
        <f>IF($AE608="","",IFERROR(VLOOKUP(TRIM($AE608),DECODE!$H$3:$I$60,2,FALSE),"Rest of India"))</f>
        <v/>
      </c>
      <c r="AK608">
        <f>IF($N608="","",UPPER(TRIM(LEFT($N608&amp;",",FIND(",",$N608&amp;",")-1))))</f>
        <v/>
      </c>
      <c r="AL608">
        <f>IF($AK608="","",MID($AK608,4,FIND("~",SUBSTITUTE($AK608,"-","~",2))-4))</f>
        <v/>
      </c>
      <c r="AM608">
        <f>IF($AK608="","",MID($AK608,FIND("~",SUBSTITUTE($AK608,"-","~",2))+1,FIND("~",SUBSTITUTE($AK608,"-","~",3))-FIND("~",SUBSTITUTE($AK608,"-","~",2))-1))</f>
        <v/>
      </c>
      <c r="AN608">
        <f>IF($AL608="","",IFERROR(VLOOKUP($AL608,DECODE!$A$3:$C$8,3,FALSE),"?"))</f>
        <v/>
      </c>
      <c r="AO608">
        <f>IF($AM608="","",IFERROR(VLOOKUP($AL608&amp;"-"&amp;$AM608,DECODE!$E$3:$F$21,2,FALSE),"?"))</f>
        <v/>
      </c>
      <c r="AP608">
        <f>IF($AK608="","",IFERROR(VALUE(RIGHT($AK608,3)),""))</f>
        <v/>
      </c>
      <c r="AQ608">
        <f>IF($T608="","",IFERROR(IF(ISNUMBER($T608),$T608,DATEVALUE(TRIM($T608))),""))</f>
        <v/>
      </c>
      <c r="AR608">
        <f>IF($AQ608="","",IF(MONTH($AQ608)&gt;=12,"Cold Winter",IF(MONTH($AQ608)&gt;=10,"Post-Monsoon",IF(MONTH($AQ608)&gt;=6,"Hot Humid",IF(MONTH($AQ608)&gt;=3,"Hot Dry","Cold Winter")))))</f>
        <v/>
      </c>
      <c r="AS608">
        <f>IF($AL608="","",IFERROR(VLOOKUP($AL608,DECODE!$A$3:$C$8,2,FALSE),"?"))</f>
        <v/>
      </c>
      <c r="AT608">
        <f>IF($O608="","",UPPER(TRIM(LEFT($O608&amp;",",FIND(",",$O608&amp;",")-1))))</f>
        <v/>
      </c>
      <c r="AU608">
        <f>IF($AT608="","",MID($AT608,4,FIND("~",SUBSTITUTE($AT608,"-","~",2))-4))</f>
        <v/>
      </c>
      <c r="AV608">
        <f>IF($AT608="","",MID($AT608,FIND("~",SUBSTITUTE($AT608,"-","~",2))+1,FIND("~",SUBSTITUTE($AT608,"-","~",3))-FIND("~",SUBSTITUTE($AT608,"-","~",2))-1))</f>
        <v/>
      </c>
      <c r="AW608">
        <f>IF($AU608="","",IFERROR(VLOOKUP($AU608,DECODE!$A$3:$C$8,3,FALSE),"?"))</f>
        <v/>
      </c>
      <c r="AX608">
        <f>IF($AV608="","",IFERROR(VLOOKUP($AU608&amp;"-"&amp;$AV608,DECODE!$E$3:$F$21,2,FALSE),"?"))</f>
        <v/>
      </c>
      <c r="AY608">
        <f>IF($AT608="","",IFERROR(VALUE(RIGHT($AT608,3)),""))</f>
        <v/>
      </c>
      <c r="AZ608">
        <f>IF($U608="","",IFERROR(IF(ISNUMBER($U608),$U608,DATEVALUE(TRIM($U608))),""))</f>
        <v/>
      </c>
      <c r="BA608">
        <f>IF($AZ608="","",IF(MONTH($AZ608)&gt;=12,"Cold Winter",IF(MONTH($AZ608)&gt;=10,"Post-Monsoon",IF(MONTH($AZ608)&gt;=6,"Hot Humid",IF(MONTH($AZ608)&gt;=3,"Hot Dry","Cold Winter")))))</f>
        <v/>
      </c>
      <c r="BB608">
        <f>IF($AU608="","",IFERROR(VLOOKUP($AU608,DECODE!$A$3:$C$8,2,FALSE),"?"))</f>
        <v/>
      </c>
      <c r="BC608">
        <f>IF($P608="","",UPPER(TRIM(LEFT($P608&amp;",",FIND(",",$P608&amp;",")-1))))</f>
        <v/>
      </c>
      <c r="BD608">
        <f>IF($BC608="","",MID($BC608,4,FIND("~",SUBSTITUTE($BC608,"-","~",2))-4))</f>
        <v/>
      </c>
      <c r="BE608">
        <f>IF($BC608="","",MID($BC608,FIND("~",SUBSTITUTE($BC608,"-","~",2))+1,FIND("~",SUBSTITUTE($BC608,"-","~",3))-FIND("~",SUBSTITUTE($BC608,"-","~",2))-1))</f>
        <v/>
      </c>
      <c r="BF608">
        <f>IF($BD608="","",IFERROR(VLOOKUP($BD608,DECODE!$A$3:$C$8,3,FALSE),"?"))</f>
        <v/>
      </c>
      <c r="BG608">
        <f>IF($BE608="","",IFERROR(VLOOKUP($BD608&amp;"-"&amp;$BE608,DECODE!$E$3:$F$21,2,FALSE),"?"))</f>
        <v/>
      </c>
      <c r="BH608">
        <f>IF($BC608="","",IFERROR(VALUE(RIGHT($BC608,3)),""))</f>
        <v/>
      </c>
      <c r="BI608">
        <f>IF($V608="","",IFERROR(IF(ISNUMBER($V608),$V608,DATEVALUE(TRIM($V608))),""))</f>
        <v/>
      </c>
      <c r="BJ608">
        <f>IF($BI608="","",IF(MONTH($BI608)&gt;=12,"Cold Winter",IF(MONTH($BI608)&gt;=10,"Post-Monsoon",IF(MONTH($BI608)&gt;=6,"Hot Humid",IF(MONTH($BI608)&gt;=3,"Hot Dry","Cold Winter")))))</f>
        <v/>
      </c>
      <c r="BK608">
        <f>IF($BD608="","",IFERROR(VLOOKUP($BD608,DECODE!$A$3:$C$8,2,FALSE),"?"))</f>
        <v/>
      </c>
      <c r="BL608">
        <f>IF($Q608="","",UPPER(TRIM(LEFT($Q608&amp;",",FIND(",",$Q608&amp;",")-1))))</f>
        <v/>
      </c>
      <c r="BM608">
        <f>IF($BL608="","",MID($BL608,4,FIND("~",SUBSTITUTE($BL608,"-","~",2))-4))</f>
        <v/>
      </c>
      <c r="BN608">
        <f>IF($BL608="","",MID($BL608,FIND("~",SUBSTITUTE($BL608,"-","~",2))+1,FIND("~",SUBSTITUTE($BL608,"-","~",3))-FIND("~",SUBSTITUTE($BL608,"-","~",2))-1))</f>
        <v/>
      </c>
      <c r="BO608">
        <f>IF($BM608="","",IFERROR(VLOOKUP($BM608,DECODE!$A$3:$C$8,3,FALSE),"?"))</f>
        <v/>
      </c>
      <c r="BP608">
        <f>IF($BN608="","",IFERROR(VLOOKUP($BM608&amp;"-"&amp;$BN608,DECODE!$E$3:$F$21,2,FALSE),"?"))</f>
        <v/>
      </c>
      <c r="BQ608">
        <f>IF($BL608="","",IFERROR(VALUE(RIGHT($BL608,3)),""))</f>
        <v/>
      </c>
      <c r="BR608">
        <f>IF($W608="","",IFERROR(IF(ISNUMBER($W608),$W608,DATEVALUE(TRIM($W608))),""))</f>
        <v/>
      </c>
      <c r="BS608">
        <f>IF($BR608="","",IF(MONTH($BR608)&gt;=12,"Cold Winter",IF(MONTH($BR608)&gt;=10,"Post-Monsoon",IF(MONTH($BR608)&gt;=6,"Hot Humid",IF(MONTH($BR608)&gt;=3,"Hot Dry","Cold Winter")))))</f>
        <v/>
      </c>
      <c r="BT608">
        <f>IF($BM608="","",IFERROR(VLOOKUP($BM608,DECODE!$A$3:$C$8,2,FALSE),"?"))</f>
        <v/>
      </c>
      <c r="BU608">
        <f>IF($R608="","",UPPER(TRIM(LEFT($R608&amp;",",FIND(",",$R608&amp;",")-1))))</f>
        <v/>
      </c>
      <c r="BV608">
        <f>IF($BU608="","",MID($BU608,4,FIND("~",SUBSTITUTE($BU608,"-","~",2))-4))</f>
        <v/>
      </c>
      <c r="BW608">
        <f>IF($BU608="","",MID($BU608,FIND("~",SUBSTITUTE($BU608,"-","~",2))+1,FIND("~",SUBSTITUTE($BU608,"-","~",3))-FIND("~",SUBSTITUTE($BU608,"-","~",2))-1))</f>
        <v/>
      </c>
      <c r="BX608">
        <f>IF($BV608="","",IFERROR(VLOOKUP($BV608,DECODE!$A$3:$C$8,3,FALSE),"?"))</f>
        <v/>
      </c>
      <c r="BY608">
        <f>IF($BW608="","",IFERROR(VLOOKUP($BV608&amp;"-"&amp;$BW608,DECODE!$E$3:$F$21,2,FALSE),"?"))</f>
        <v/>
      </c>
      <c r="BZ608">
        <f>IF($BU608="","",IFERROR(VALUE(RIGHT($BU608,3)),""))</f>
        <v/>
      </c>
      <c r="CA608">
        <f>IF($X608="","",IFERROR(IF(ISNUMBER($X608),$X608,DATEVALUE(TRIM($X608))),""))</f>
        <v/>
      </c>
      <c r="CB608">
        <f>IF($CA608="","",IF(MONTH($CA608)&gt;=12,"Cold Winter",IF(MONTH($CA608)&gt;=10,"Post-Monsoon",IF(MONTH($CA608)&gt;=6,"Hot Humid",IF(MONTH($CA608)&gt;=3,"Hot Dry","Cold Winter")))))</f>
        <v/>
      </c>
      <c r="CC608">
        <f>IF($BV608="","",IFERROR(VLOOKUP($BV608,DECODE!$A$3:$C$8,2,FALSE),"?"))</f>
        <v/>
      </c>
      <c r="CD608">
        <f>IF($S608="","",UPPER(TRIM(LEFT($S608&amp;",",FIND(",",$S608&amp;",")-1))))</f>
        <v/>
      </c>
      <c r="CE608">
        <f>IF($CD608="","",MID($CD608,4,FIND("~",SUBSTITUTE($CD608,"-","~",2))-4))</f>
        <v/>
      </c>
      <c r="CF608">
        <f>IF($CD608="","",MID($CD608,FIND("~",SUBSTITUTE($CD608,"-","~",2))+1,FIND("~",SUBSTITUTE($CD608,"-","~",3))-FIND("~",SUBSTITUTE($CD608,"-","~",2))-1))</f>
        <v/>
      </c>
      <c r="CG608">
        <f>IF($CE608="","",IFERROR(VLOOKUP($CE608,DECODE!$A$3:$C$8,3,FALSE),"?"))</f>
        <v/>
      </c>
      <c r="CH608">
        <f>IF($CF608="","",IFERROR(VLOOKUP($CE608&amp;"-"&amp;$CF608,DECODE!$E$3:$F$21,2,FALSE),"?"))</f>
        <v/>
      </c>
      <c r="CI608">
        <f>IF($CD608="","",IFERROR(VALUE(RIGHT($CD608,3)),""))</f>
        <v/>
      </c>
      <c r="CJ608">
        <f>IF($Y608="","",IFERROR(IF(ISNUMBER($Y608),$Y608,DATEVALUE(TRIM($Y608))),""))</f>
        <v/>
      </c>
      <c r="CK608">
        <f>IF($CJ608="","",IF(MONTH($CJ608)&gt;=12,"Cold Winter",IF(MONTH($CJ608)&gt;=10,"Post-Monsoon",IF(MONTH($CJ608)&gt;=6,"Hot Humid",IF(MONTH($CJ608)&gt;=3,"Hot Dry","Cold Winter")))))</f>
        <v/>
      </c>
      <c r="CL608">
        <f>IF($CE608="","",IFERROR(VLOOKUP($CE608,DECODE!$A$3:$C$8,2,FALSE),"?"))</f>
        <v/>
      </c>
      <c r="CM608">
        <f>IF($AN608="","",AN608)</f>
        <v/>
      </c>
      <c r="CN608">
        <f>IF($AO608="","",AO608)</f>
        <v/>
      </c>
      <c r="CO608">
        <f>IF($AP608="","",AP608)</f>
        <v/>
      </c>
      <c r="CP608">
        <f>IF($CM608="","",IF($CM608="Aloe Vera Gel","Aloe Vera Gel "&amp;$CO608&amp;"g",CN608&amp;" "&amp;$CO608&amp;"g"))</f>
        <v/>
      </c>
      <c r="CQ608">
        <f>IF($AT608="",0,1)</f>
        <v/>
      </c>
      <c r="CR608">
        <f>IF($CQ608=0,"",AW608)</f>
        <v/>
      </c>
      <c r="CS608">
        <f>IF($CQ608=0,"",AX608)</f>
        <v/>
      </c>
      <c r="CT608">
        <f>IF($CQ608=0,"",AY608)</f>
        <v/>
      </c>
      <c r="CU608">
        <f>IF($CR608="","",IF($CR608="Aloe Vera Gel","Aloe Vera Gel "&amp;$CT608&amp;"g",CS608&amp;" "&amp;$CT608&amp;"g"))</f>
        <v/>
      </c>
      <c r="CV608">
        <f>IF($CQ608=0,"",IF($CP608=$CU608,"Repeat Exact",IF($CT608&gt;$CO608,"Upsized",IF($CT608&lt;$CO608,"Downsized",IF($CM608&lt;&gt;$CR608,"Lateral","Same Size Diff Variant")))))</f>
        <v/>
      </c>
      <c r="CW608">
        <f>IF($CQ608=0,"",AZ608-AQ608)</f>
        <v/>
      </c>
      <c r="CX608">
        <f>IF($CQ608=0,0,IF(CS608=CN608,1,0))</f>
        <v/>
      </c>
      <c r="CY608">
        <f>IF($CQ608=0,0,IF(CR608=CM608,1,0))</f>
        <v/>
      </c>
      <c r="CZ608">
        <f>IF($A608="","",IF(AND(IF(DASHBOARD!$C$4="All",TRUE,$CM608=DASHBOARD!$C$4),IF(DASHBOARD!$C$6="All",TRUE,$CP608=DASHBOARD!$C$6),IF(DASHBOARD!$C$8="All",TRUE,$AF608&gt;=DASHBOARD!$C$8),IF(DASHBOARD!$C$10="All",TRUE,$AF608&lt;=DASHBOARD!$C$10),IF(DASHBOARD!$C$12="All",TRUE,$AH608=VALUE(DASHBOARD!$C$12)),IF(DASHBOARD!$C$14="All",TRUE,$AJ608=DASHBOARD!$C$14)),1,0))</f>
        <v/>
      </c>
    </row>
    <row r="609">
      <c r="A609" t="n">
        <v>261458</v>
      </c>
      <c r="B609" t="inlineStr">
        <is>
          <t>Active Gel</t>
        </is>
      </c>
      <c r="C609" t="inlineStr">
        <is>
          <t>Face Malai</t>
        </is>
      </c>
      <c r="H609" t="inlineStr">
        <is>
          <t>Active Olive Vit-E Night Gel</t>
        </is>
      </c>
      <c r="I609" t="inlineStr">
        <is>
          <t>Flax Bakuchi (Hot Dry) 35+ Face Malai - 30g</t>
        </is>
      </c>
      <c r="N609" t="inlineStr">
        <is>
          <t>FC-AC-OV-050</t>
        </is>
      </c>
      <c r="O609" t="inlineStr">
        <is>
          <t>FC-HDDM-FB-030</t>
        </is>
      </c>
      <c r="T609" t="inlineStr">
        <is>
          <t>Mar 9, 2025</t>
        </is>
      </c>
      <c r="U609" t="inlineStr">
        <is>
          <t>May 22, 2025</t>
        </is>
      </c>
      <c r="Z609" t="n">
        <v>74</v>
      </c>
      <c r="AE609" t="inlineStr">
        <is>
          <t>Pune</t>
        </is>
      </c>
      <c r="AF609" t="inlineStr">
        <is>
          <t>2025-03</t>
        </is>
      </c>
      <c r="AG609" t="n">
        <v>3</v>
      </c>
      <c r="AH609" t="n">
        <v>2</v>
      </c>
      <c r="AI609" t="n">
        <v>1</v>
      </c>
      <c r="AJ609">
        <f>IF($AE609="","",IFERROR(VLOOKUP(TRIM($AE609),DECODE!$H$3:$I$60,2,FALSE),"Rest of India"))</f>
        <v/>
      </c>
      <c r="AK609">
        <f>IF($N609="","",UPPER(TRIM(LEFT($N609&amp;",",FIND(",",$N609&amp;",")-1))))</f>
        <v/>
      </c>
      <c r="AL609">
        <f>IF($AK609="","",MID($AK609,4,FIND("~",SUBSTITUTE($AK609,"-","~",2))-4))</f>
        <v/>
      </c>
      <c r="AM609">
        <f>IF($AK609="","",MID($AK609,FIND("~",SUBSTITUTE($AK609,"-","~",2))+1,FIND("~",SUBSTITUTE($AK609,"-","~",3))-FIND("~",SUBSTITUTE($AK609,"-","~",2))-1))</f>
        <v/>
      </c>
      <c r="AN609">
        <f>IF($AL609="","",IFERROR(VLOOKUP($AL609,DECODE!$A$3:$C$8,3,FALSE),"?"))</f>
        <v/>
      </c>
      <c r="AO609">
        <f>IF($AM609="","",IFERROR(VLOOKUP($AL609&amp;"-"&amp;$AM609,DECODE!$E$3:$F$21,2,FALSE),"?"))</f>
        <v/>
      </c>
      <c r="AP609">
        <f>IF($AK609="","",IFERROR(VALUE(RIGHT($AK609,3)),""))</f>
        <v/>
      </c>
      <c r="AQ609">
        <f>IF($T609="","",IFERROR(IF(ISNUMBER($T609),$T609,DATEVALUE(TRIM($T609))),""))</f>
        <v/>
      </c>
      <c r="AR609">
        <f>IF($AQ609="","",IF(MONTH($AQ609)&gt;=12,"Cold Winter",IF(MONTH($AQ609)&gt;=10,"Post-Monsoon",IF(MONTH($AQ609)&gt;=6,"Hot Humid",IF(MONTH($AQ609)&gt;=3,"Hot Dry","Cold Winter")))))</f>
        <v/>
      </c>
      <c r="AS609">
        <f>IF($AL609="","",IFERROR(VLOOKUP($AL609,DECODE!$A$3:$C$8,2,FALSE),"?"))</f>
        <v/>
      </c>
      <c r="AT609">
        <f>IF($O609="","",UPPER(TRIM(LEFT($O609&amp;",",FIND(",",$O609&amp;",")-1))))</f>
        <v/>
      </c>
      <c r="AU609">
        <f>IF($AT609="","",MID($AT609,4,FIND("~",SUBSTITUTE($AT609,"-","~",2))-4))</f>
        <v/>
      </c>
      <c r="AV609">
        <f>IF($AT609="","",MID($AT609,FIND("~",SUBSTITUTE($AT609,"-","~",2))+1,FIND("~",SUBSTITUTE($AT609,"-","~",3))-FIND("~",SUBSTITUTE($AT609,"-","~",2))-1))</f>
        <v/>
      </c>
      <c r="AW609">
        <f>IF($AU609="","",IFERROR(VLOOKUP($AU609,DECODE!$A$3:$C$8,3,FALSE),"?"))</f>
        <v/>
      </c>
      <c r="AX609">
        <f>IF($AV609="","",IFERROR(VLOOKUP($AU609&amp;"-"&amp;$AV609,DECODE!$E$3:$F$21,2,FALSE),"?"))</f>
        <v/>
      </c>
      <c r="AY609">
        <f>IF($AT609="","",IFERROR(VALUE(RIGHT($AT609,3)),""))</f>
        <v/>
      </c>
      <c r="AZ609">
        <f>IF($U609="","",IFERROR(IF(ISNUMBER($U609),$U609,DATEVALUE(TRIM($U609))),""))</f>
        <v/>
      </c>
      <c r="BA609">
        <f>IF($AZ609="","",IF(MONTH($AZ609)&gt;=12,"Cold Winter",IF(MONTH($AZ609)&gt;=10,"Post-Monsoon",IF(MONTH($AZ609)&gt;=6,"Hot Humid",IF(MONTH($AZ609)&gt;=3,"Hot Dry","Cold Winter")))))</f>
        <v/>
      </c>
      <c r="BB609">
        <f>IF($AU609="","",IFERROR(VLOOKUP($AU609,DECODE!$A$3:$C$8,2,FALSE),"?"))</f>
        <v/>
      </c>
      <c r="BC609">
        <f>IF($P609="","",UPPER(TRIM(LEFT($P609&amp;",",FIND(",",$P609&amp;",")-1))))</f>
        <v/>
      </c>
      <c r="BD609">
        <f>IF($BC609="","",MID($BC609,4,FIND("~",SUBSTITUTE($BC609,"-","~",2))-4))</f>
        <v/>
      </c>
      <c r="BE609">
        <f>IF($BC609="","",MID($BC609,FIND("~",SUBSTITUTE($BC609,"-","~",2))+1,FIND("~",SUBSTITUTE($BC609,"-","~",3))-FIND("~",SUBSTITUTE($BC609,"-","~",2))-1))</f>
        <v/>
      </c>
      <c r="BF609">
        <f>IF($BD609="","",IFERROR(VLOOKUP($BD609,DECODE!$A$3:$C$8,3,FALSE),"?"))</f>
        <v/>
      </c>
      <c r="BG609">
        <f>IF($BE609="","",IFERROR(VLOOKUP($BD609&amp;"-"&amp;$BE609,DECODE!$E$3:$F$21,2,FALSE),"?"))</f>
        <v/>
      </c>
      <c r="BH609">
        <f>IF($BC609="","",IFERROR(VALUE(RIGHT($BC609,3)),""))</f>
        <v/>
      </c>
      <c r="BI609">
        <f>IF($V609="","",IFERROR(IF(ISNUMBER($V609),$V609,DATEVALUE(TRIM($V609))),""))</f>
        <v/>
      </c>
      <c r="BJ609">
        <f>IF($BI609="","",IF(MONTH($BI609)&gt;=12,"Cold Winter",IF(MONTH($BI609)&gt;=10,"Post-Monsoon",IF(MONTH($BI609)&gt;=6,"Hot Humid",IF(MONTH($BI609)&gt;=3,"Hot Dry","Cold Winter")))))</f>
        <v/>
      </c>
      <c r="BK609">
        <f>IF($BD609="","",IFERROR(VLOOKUP($BD609,DECODE!$A$3:$C$8,2,FALSE),"?"))</f>
        <v/>
      </c>
      <c r="BL609">
        <f>IF($Q609="","",UPPER(TRIM(LEFT($Q609&amp;",",FIND(",",$Q609&amp;",")-1))))</f>
        <v/>
      </c>
      <c r="BM609">
        <f>IF($BL609="","",MID($BL609,4,FIND("~",SUBSTITUTE($BL609,"-","~",2))-4))</f>
        <v/>
      </c>
      <c r="BN609">
        <f>IF($BL609="","",MID($BL609,FIND("~",SUBSTITUTE($BL609,"-","~",2))+1,FIND("~",SUBSTITUTE($BL609,"-","~",3))-FIND("~",SUBSTITUTE($BL609,"-","~",2))-1))</f>
        <v/>
      </c>
      <c r="BO609">
        <f>IF($BM609="","",IFERROR(VLOOKUP($BM609,DECODE!$A$3:$C$8,3,FALSE),"?"))</f>
        <v/>
      </c>
      <c r="BP609">
        <f>IF($BN609="","",IFERROR(VLOOKUP($BM609&amp;"-"&amp;$BN609,DECODE!$E$3:$F$21,2,FALSE),"?"))</f>
        <v/>
      </c>
      <c r="BQ609">
        <f>IF($BL609="","",IFERROR(VALUE(RIGHT($BL609,3)),""))</f>
        <v/>
      </c>
      <c r="BR609">
        <f>IF($W609="","",IFERROR(IF(ISNUMBER($W609),$W609,DATEVALUE(TRIM($W609))),""))</f>
        <v/>
      </c>
      <c r="BS609">
        <f>IF($BR609="","",IF(MONTH($BR609)&gt;=12,"Cold Winter",IF(MONTH($BR609)&gt;=10,"Post-Monsoon",IF(MONTH($BR609)&gt;=6,"Hot Humid",IF(MONTH($BR609)&gt;=3,"Hot Dry","Cold Winter")))))</f>
        <v/>
      </c>
      <c r="BT609">
        <f>IF($BM609="","",IFERROR(VLOOKUP($BM609,DECODE!$A$3:$C$8,2,FALSE),"?"))</f>
        <v/>
      </c>
      <c r="BU609">
        <f>IF($R609="","",UPPER(TRIM(LEFT($R609&amp;",",FIND(",",$R609&amp;",")-1))))</f>
        <v/>
      </c>
      <c r="BV609">
        <f>IF($BU609="","",MID($BU609,4,FIND("~",SUBSTITUTE($BU609,"-","~",2))-4))</f>
        <v/>
      </c>
      <c r="BW609">
        <f>IF($BU609="","",MID($BU609,FIND("~",SUBSTITUTE($BU609,"-","~",2))+1,FIND("~",SUBSTITUTE($BU609,"-","~",3))-FIND("~",SUBSTITUTE($BU609,"-","~",2))-1))</f>
        <v/>
      </c>
      <c r="BX609">
        <f>IF($BV609="","",IFERROR(VLOOKUP($BV609,DECODE!$A$3:$C$8,3,FALSE),"?"))</f>
        <v/>
      </c>
      <c r="BY609">
        <f>IF($BW609="","",IFERROR(VLOOKUP($BV609&amp;"-"&amp;$BW609,DECODE!$E$3:$F$21,2,FALSE),"?"))</f>
        <v/>
      </c>
      <c r="BZ609">
        <f>IF($BU609="","",IFERROR(VALUE(RIGHT($BU609,3)),""))</f>
        <v/>
      </c>
      <c r="CA609">
        <f>IF($X609="","",IFERROR(IF(ISNUMBER($X609),$X609,DATEVALUE(TRIM($X609))),""))</f>
        <v/>
      </c>
      <c r="CB609">
        <f>IF($CA609="","",IF(MONTH($CA609)&gt;=12,"Cold Winter",IF(MONTH($CA609)&gt;=10,"Post-Monsoon",IF(MONTH($CA609)&gt;=6,"Hot Humid",IF(MONTH($CA609)&gt;=3,"Hot Dry","Cold Winter")))))</f>
        <v/>
      </c>
      <c r="CC609">
        <f>IF($BV609="","",IFERROR(VLOOKUP($BV609,DECODE!$A$3:$C$8,2,FALSE),"?"))</f>
        <v/>
      </c>
      <c r="CD609">
        <f>IF($S609="","",UPPER(TRIM(LEFT($S609&amp;",",FIND(",",$S609&amp;",")-1))))</f>
        <v/>
      </c>
      <c r="CE609">
        <f>IF($CD609="","",MID($CD609,4,FIND("~",SUBSTITUTE($CD609,"-","~",2))-4))</f>
        <v/>
      </c>
      <c r="CF609">
        <f>IF($CD609="","",MID($CD609,FIND("~",SUBSTITUTE($CD609,"-","~",2))+1,FIND("~",SUBSTITUTE($CD609,"-","~",3))-FIND("~",SUBSTITUTE($CD609,"-","~",2))-1))</f>
        <v/>
      </c>
      <c r="CG609">
        <f>IF($CE609="","",IFERROR(VLOOKUP($CE609,DECODE!$A$3:$C$8,3,FALSE),"?"))</f>
        <v/>
      </c>
      <c r="CH609">
        <f>IF($CF609="","",IFERROR(VLOOKUP($CE609&amp;"-"&amp;$CF609,DECODE!$E$3:$F$21,2,FALSE),"?"))</f>
        <v/>
      </c>
      <c r="CI609">
        <f>IF($CD609="","",IFERROR(VALUE(RIGHT($CD609,3)),""))</f>
        <v/>
      </c>
      <c r="CJ609">
        <f>IF($Y609="","",IFERROR(IF(ISNUMBER($Y609),$Y609,DATEVALUE(TRIM($Y609))),""))</f>
        <v/>
      </c>
      <c r="CK609">
        <f>IF($CJ609="","",IF(MONTH($CJ609)&gt;=12,"Cold Winter",IF(MONTH($CJ609)&gt;=10,"Post-Monsoon",IF(MONTH($CJ609)&gt;=6,"Hot Humid",IF(MONTH($CJ609)&gt;=3,"Hot Dry","Cold Winter")))))</f>
        <v/>
      </c>
      <c r="CL609">
        <f>IF($CE609="","",IFERROR(VLOOKUP($CE609,DECODE!$A$3:$C$8,2,FALSE),"?"))</f>
        <v/>
      </c>
      <c r="CM609">
        <f>IF($AN609="","",AN609)</f>
        <v/>
      </c>
      <c r="CN609">
        <f>IF($AO609="","",AO609)</f>
        <v/>
      </c>
      <c r="CO609">
        <f>IF($AP609="","",AP609)</f>
        <v/>
      </c>
      <c r="CP609">
        <f>IF($CM609="","",IF($CM609="Aloe Vera Gel","Aloe Vera Gel "&amp;$CO609&amp;"g",CN609&amp;" "&amp;$CO609&amp;"g"))</f>
        <v/>
      </c>
      <c r="CQ609">
        <f>IF($AT609="",0,1)</f>
        <v/>
      </c>
      <c r="CR609">
        <f>IF($CQ609=0,"",AW609)</f>
        <v/>
      </c>
      <c r="CS609">
        <f>IF($CQ609=0,"",AX609)</f>
        <v/>
      </c>
      <c r="CT609">
        <f>IF($CQ609=0,"",AY609)</f>
        <v/>
      </c>
      <c r="CU609">
        <f>IF($CR609="","",IF($CR609="Aloe Vera Gel","Aloe Vera Gel "&amp;$CT609&amp;"g",CS609&amp;" "&amp;$CT609&amp;"g"))</f>
        <v/>
      </c>
      <c r="CV609">
        <f>IF($CQ609=0,"",IF($CP609=$CU609,"Repeat Exact",IF($CT609&gt;$CO609,"Upsized",IF($CT609&lt;$CO609,"Downsized",IF($CM609&lt;&gt;$CR609,"Lateral","Same Size Diff Variant")))))</f>
        <v/>
      </c>
      <c r="CW609">
        <f>IF($CQ609=0,"",AZ609-AQ609)</f>
        <v/>
      </c>
      <c r="CX609">
        <f>IF($CQ609=0,0,IF(CS609=CN609,1,0))</f>
        <v/>
      </c>
      <c r="CY609">
        <f>IF($CQ609=0,0,IF(CR609=CM609,1,0))</f>
        <v/>
      </c>
      <c r="CZ609">
        <f>IF($A609="","",IF(AND(IF(DASHBOARD!$C$4="All",TRUE,$CM609=DASHBOARD!$C$4),IF(DASHBOARD!$C$6="All",TRUE,$CP609=DASHBOARD!$C$6),IF(DASHBOARD!$C$8="All",TRUE,$AF609&gt;=DASHBOARD!$C$8),IF(DASHBOARD!$C$10="All",TRUE,$AF609&lt;=DASHBOARD!$C$10),IF(DASHBOARD!$C$12="All",TRUE,$AH609=VALUE(DASHBOARD!$C$12)),IF(DASHBOARD!$C$14="All",TRUE,$AJ609=DASHBOARD!$C$14)),1,0))</f>
        <v/>
      </c>
    </row>
    <row r="610">
      <c r="A610" t="n">
        <v>261479</v>
      </c>
      <c r="B610" t="inlineStr">
        <is>
          <t>Aloe Vera Gel</t>
        </is>
      </c>
      <c r="H610" t="inlineStr">
        <is>
          <t>Aloe Vera Gel - 40 gms</t>
        </is>
      </c>
      <c r="N610" t="inlineStr">
        <is>
          <t>FC-HG-PA-040</t>
        </is>
      </c>
      <c r="T610" t="inlineStr">
        <is>
          <t>Dec 17, 2024</t>
        </is>
      </c>
      <c r="AE610" t="inlineStr">
        <is>
          <t>Tirupati</t>
        </is>
      </c>
      <c r="AF610" t="inlineStr">
        <is>
          <t>2024-12</t>
        </is>
      </c>
      <c r="AG610" t="n">
        <v>12</v>
      </c>
      <c r="AH610" t="n">
        <v>1</v>
      </c>
      <c r="AI610" t="n">
        <v>0</v>
      </c>
      <c r="AJ610">
        <f>IF($AE610="","",IFERROR(VLOOKUP(TRIM($AE610),DECODE!$H$3:$I$60,2,FALSE),"Rest of India"))</f>
        <v/>
      </c>
      <c r="AK610">
        <f>IF($N610="","",UPPER(TRIM(LEFT($N610&amp;",",FIND(",",$N610&amp;",")-1))))</f>
        <v/>
      </c>
      <c r="AL610">
        <f>IF($AK610="","",MID($AK610,4,FIND("~",SUBSTITUTE($AK610,"-","~",2))-4))</f>
        <v/>
      </c>
      <c r="AM610">
        <f>IF($AK610="","",MID($AK610,FIND("~",SUBSTITUTE($AK610,"-","~",2))+1,FIND("~",SUBSTITUTE($AK610,"-","~",3))-FIND("~",SUBSTITUTE($AK610,"-","~",2))-1))</f>
        <v/>
      </c>
      <c r="AN610">
        <f>IF($AL610="","",IFERROR(VLOOKUP($AL610,DECODE!$A$3:$C$8,3,FALSE),"?"))</f>
        <v/>
      </c>
      <c r="AO610">
        <f>IF($AM610="","",IFERROR(VLOOKUP($AL610&amp;"-"&amp;$AM610,DECODE!$E$3:$F$21,2,FALSE),"?"))</f>
        <v/>
      </c>
      <c r="AP610">
        <f>IF($AK610="","",IFERROR(VALUE(RIGHT($AK610,3)),""))</f>
        <v/>
      </c>
      <c r="AQ610">
        <f>IF($T610="","",IFERROR(IF(ISNUMBER($T610),$T610,DATEVALUE(TRIM($T610))),""))</f>
        <v/>
      </c>
      <c r="AR610">
        <f>IF($AQ610="","",IF(MONTH($AQ610)&gt;=12,"Cold Winter",IF(MONTH($AQ610)&gt;=10,"Post-Monsoon",IF(MONTH($AQ610)&gt;=6,"Hot Humid",IF(MONTH($AQ610)&gt;=3,"Hot Dry","Cold Winter")))))</f>
        <v/>
      </c>
      <c r="AS610">
        <f>IF($AL610="","",IFERROR(VLOOKUP($AL610,DECODE!$A$3:$C$8,2,FALSE),"?"))</f>
        <v/>
      </c>
      <c r="AT610">
        <f>IF($O610="","",UPPER(TRIM(LEFT($O610&amp;",",FIND(",",$O610&amp;",")-1))))</f>
        <v/>
      </c>
      <c r="AU610">
        <f>IF($AT610="","",MID($AT610,4,FIND("~",SUBSTITUTE($AT610,"-","~",2))-4))</f>
        <v/>
      </c>
      <c r="AV610">
        <f>IF($AT610="","",MID($AT610,FIND("~",SUBSTITUTE($AT610,"-","~",2))+1,FIND("~",SUBSTITUTE($AT610,"-","~",3))-FIND("~",SUBSTITUTE($AT610,"-","~",2))-1))</f>
        <v/>
      </c>
      <c r="AW610">
        <f>IF($AU610="","",IFERROR(VLOOKUP($AU610,DECODE!$A$3:$C$8,3,FALSE),"?"))</f>
        <v/>
      </c>
      <c r="AX610">
        <f>IF($AV610="","",IFERROR(VLOOKUP($AU610&amp;"-"&amp;$AV610,DECODE!$E$3:$F$21,2,FALSE),"?"))</f>
        <v/>
      </c>
      <c r="AY610">
        <f>IF($AT610="","",IFERROR(VALUE(RIGHT($AT610,3)),""))</f>
        <v/>
      </c>
      <c r="AZ610">
        <f>IF($U610="","",IFERROR(IF(ISNUMBER($U610),$U610,DATEVALUE(TRIM($U610))),""))</f>
        <v/>
      </c>
      <c r="BA610">
        <f>IF($AZ610="","",IF(MONTH($AZ610)&gt;=12,"Cold Winter",IF(MONTH($AZ610)&gt;=10,"Post-Monsoon",IF(MONTH($AZ610)&gt;=6,"Hot Humid",IF(MONTH($AZ610)&gt;=3,"Hot Dry","Cold Winter")))))</f>
        <v/>
      </c>
      <c r="BB610">
        <f>IF($AU610="","",IFERROR(VLOOKUP($AU610,DECODE!$A$3:$C$8,2,FALSE),"?"))</f>
        <v/>
      </c>
      <c r="BC610">
        <f>IF($P610="","",UPPER(TRIM(LEFT($P610&amp;",",FIND(",",$P610&amp;",")-1))))</f>
        <v/>
      </c>
      <c r="BD610">
        <f>IF($BC610="","",MID($BC610,4,FIND("~",SUBSTITUTE($BC610,"-","~",2))-4))</f>
        <v/>
      </c>
      <c r="BE610">
        <f>IF($BC610="","",MID($BC610,FIND("~",SUBSTITUTE($BC610,"-","~",2))+1,FIND("~",SUBSTITUTE($BC610,"-","~",3))-FIND("~",SUBSTITUTE($BC610,"-","~",2))-1))</f>
        <v/>
      </c>
      <c r="BF610">
        <f>IF($BD610="","",IFERROR(VLOOKUP($BD610,DECODE!$A$3:$C$8,3,FALSE),"?"))</f>
        <v/>
      </c>
      <c r="BG610">
        <f>IF($BE610="","",IFERROR(VLOOKUP($BD610&amp;"-"&amp;$BE610,DECODE!$E$3:$F$21,2,FALSE),"?"))</f>
        <v/>
      </c>
      <c r="BH610">
        <f>IF($BC610="","",IFERROR(VALUE(RIGHT($BC610,3)),""))</f>
        <v/>
      </c>
      <c r="BI610">
        <f>IF($V610="","",IFERROR(IF(ISNUMBER($V610),$V610,DATEVALUE(TRIM($V610))),""))</f>
        <v/>
      </c>
      <c r="BJ610">
        <f>IF($BI610="","",IF(MONTH($BI610)&gt;=12,"Cold Winter",IF(MONTH($BI610)&gt;=10,"Post-Monsoon",IF(MONTH($BI610)&gt;=6,"Hot Humid",IF(MONTH($BI610)&gt;=3,"Hot Dry","Cold Winter")))))</f>
        <v/>
      </c>
      <c r="BK610">
        <f>IF($BD610="","",IFERROR(VLOOKUP($BD610,DECODE!$A$3:$C$8,2,FALSE),"?"))</f>
        <v/>
      </c>
      <c r="BL610">
        <f>IF($Q610="","",UPPER(TRIM(LEFT($Q610&amp;",",FIND(",",$Q610&amp;",")-1))))</f>
        <v/>
      </c>
      <c r="BM610">
        <f>IF($BL610="","",MID($BL610,4,FIND("~",SUBSTITUTE($BL610,"-","~",2))-4))</f>
        <v/>
      </c>
      <c r="BN610">
        <f>IF($BL610="","",MID($BL610,FIND("~",SUBSTITUTE($BL610,"-","~",2))+1,FIND("~",SUBSTITUTE($BL610,"-","~",3))-FIND("~",SUBSTITUTE($BL610,"-","~",2))-1))</f>
        <v/>
      </c>
      <c r="BO610">
        <f>IF($BM610="","",IFERROR(VLOOKUP($BM610,DECODE!$A$3:$C$8,3,FALSE),"?"))</f>
        <v/>
      </c>
      <c r="BP610">
        <f>IF($BN610="","",IFERROR(VLOOKUP($BM610&amp;"-"&amp;$BN610,DECODE!$E$3:$F$21,2,FALSE),"?"))</f>
        <v/>
      </c>
      <c r="BQ610">
        <f>IF($BL610="","",IFERROR(VALUE(RIGHT($BL610,3)),""))</f>
        <v/>
      </c>
      <c r="BR610">
        <f>IF($W610="","",IFERROR(IF(ISNUMBER($W610),$W610,DATEVALUE(TRIM($W610))),""))</f>
        <v/>
      </c>
      <c r="BS610">
        <f>IF($BR610="","",IF(MONTH($BR610)&gt;=12,"Cold Winter",IF(MONTH($BR610)&gt;=10,"Post-Monsoon",IF(MONTH($BR610)&gt;=6,"Hot Humid",IF(MONTH($BR610)&gt;=3,"Hot Dry","Cold Winter")))))</f>
        <v/>
      </c>
      <c r="BT610">
        <f>IF($BM610="","",IFERROR(VLOOKUP($BM610,DECODE!$A$3:$C$8,2,FALSE),"?"))</f>
        <v/>
      </c>
      <c r="BU610">
        <f>IF($R610="","",UPPER(TRIM(LEFT($R610&amp;",",FIND(",",$R610&amp;",")-1))))</f>
        <v/>
      </c>
      <c r="BV610">
        <f>IF($BU610="","",MID($BU610,4,FIND("~",SUBSTITUTE($BU610,"-","~",2))-4))</f>
        <v/>
      </c>
      <c r="BW610">
        <f>IF($BU610="","",MID($BU610,FIND("~",SUBSTITUTE($BU610,"-","~",2))+1,FIND("~",SUBSTITUTE($BU610,"-","~",3))-FIND("~",SUBSTITUTE($BU610,"-","~",2))-1))</f>
        <v/>
      </c>
      <c r="BX610">
        <f>IF($BV610="","",IFERROR(VLOOKUP($BV610,DECODE!$A$3:$C$8,3,FALSE),"?"))</f>
        <v/>
      </c>
      <c r="BY610">
        <f>IF($BW610="","",IFERROR(VLOOKUP($BV610&amp;"-"&amp;$BW610,DECODE!$E$3:$F$21,2,FALSE),"?"))</f>
        <v/>
      </c>
      <c r="BZ610">
        <f>IF($BU610="","",IFERROR(VALUE(RIGHT($BU610,3)),""))</f>
        <v/>
      </c>
      <c r="CA610">
        <f>IF($X610="","",IFERROR(IF(ISNUMBER($X610),$X610,DATEVALUE(TRIM($X610))),""))</f>
        <v/>
      </c>
      <c r="CB610">
        <f>IF($CA610="","",IF(MONTH($CA610)&gt;=12,"Cold Winter",IF(MONTH($CA610)&gt;=10,"Post-Monsoon",IF(MONTH($CA610)&gt;=6,"Hot Humid",IF(MONTH($CA610)&gt;=3,"Hot Dry","Cold Winter")))))</f>
        <v/>
      </c>
      <c r="CC610">
        <f>IF($BV610="","",IFERROR(VLOOKUP($BV610,DECODE!$A$3:$C$8,2,FALSE),"?"))</f>
        <v/>
      </c>
      <c r="CD610">
        <f>IF($S610="","",UPPER(TRIM(LEFT($S610&amp;",",FIND(",",$S610&amp;",")-1))))</f>
        <v/>
      </c>
      <c r="CE610">
        <f>IF($CD610="","",MID($CD610,4,FIND("~",SUBSTITUTE($CD610,"-","~",2))-4))</f>
        <v/>
      </c>
      <c r="CF610">
        <f>IF($CD610="","",MID($CD610,FIND("~",SUBSTITUTE($CD610,"-","~",2))+1,FIND("~",SUBSTITUTE($CD610,"-","~",3))-FIND("~",SUBSTITUTE($CD610,"-","~",2))-1))</f>
        <v/>
      </c>
      <c r="CG610">
        <f>IF($CE610="","",IFERROR(VLOOKUP($CE610,DECODE!$A$3:$C$8,3,FALSE),"?"))</f>
        <v/>
      </c>
      <c r="CH610">
        <f>IF($CF610="","",IFERROR(VLOOKUP($CE610&amp;"-"&amp;$CF610,DECODE!$E$3:$F$21,2,FALSE),"?"))</f>
        <v/>
      </c>
      <c r="CI610">
        <f>IF($CD610="","",IFERROR(VALUE(RIGHT($CD610,3)),""))</f>
        <v/>
      </c>
      <c r="CJ610">
        <f>IF($Y610="","",IFERROR(IF(ISNUMBER($Y610),$Y610,DATEVALUE(TRIM($Y610))),""))</f>
        <v/>
      </c>
      <c r="CK610">
        <f>IF($CJ610="","",IF(MONTH($CJ610)&gt;=12,"Cold Winter",IF(MONTH($CJ610)&gt;=10,"Post-Monsoon",IF(MONTH($CJ610)&gt;=6,"Hot Humid",IF(MONTH($CJ610)&gt;=3,"Hot Dry","Cold Winter")))))</f>
        <v/>
      </c>
      <c r="CL610">
        <f>IF($CE610="","",IFERROR(VLOOKUP($CE610,DECODE!$A$3:$C$8,2,FALSE),"?"))</f>
        <v/>
      </c>
      <c r="CM610">
        <f>IF($AN610="","",AN610)</f>
        <v/>
      </c>
      <c r="CN610">
        <f>IF($AO610="","",AO610)</f>
        <v/>
      </c>
      <c r="CO610">
        <f>IF($AP610="","",AP610)</f>
        <v/>
      </c>
      <c r="CP610">
        <f>IF($CM610="","",IF($CM610="Aloe Vera Gel","Aloe Vera Gel "&amp;$CO610&amp;"g",CN610&amp;" "&amp;$CO610&amp;"g"))</f>
        <v/>
      </c>
      <c r="CQ610">
        <f>IF($AT610="",0,1)</f>
        <v/>
      </c>
      <c r="CR610">
        <f>IF($CQ610=0,"",AW610)</f>
        <v/>
      </c>
      <c r="CS610">
        <f>IF($CQ610=0,"",AX610)</f>
        <v/>
      </c>
      <c r="CT610">
        <f>IF($CQ610=0,"",AY610)</f>
        <v/>
      </c>
      <c r="CU610">
        <f>IF($CR610="","",IF($CR610="Aloe Vera Gel","Aloe Vera Gel "&amp;$CT610&amp;"g",CS610&amp;" "&amp;$CT610&amp;"g"))</f>
        <v/>
      </c>
      <c r="CV610">
        <f>IF($CQ610=0,"",IF($CP610=$CU610,"Repeat Exact",IF($CT610&gt;$CO610,"Upsized",IF($CT610&lt;$CO610,"Downsized",IF($CM610&lt;&gt;$CR610,"Lateral","Same Size Diff Variant")))))</f>
        <v/>
      </c>
      <c r="CW610">
        <f>IF($CQ610=0,"",AZ610-AQ610)</f>
        <v/>
      </c>
      <c r="CX610">
        <f>IF($CQ610=0,0,IF(CS610=CN610,1,0))</f>
        <v/>
      </c>
      <c r="CY610">
        <f>IF($CQ610=0,0,IF(CR610=CM610,1,0))</f>
        <v/>
      </c>
      <c r="CZ610">
        <f>IF($A610="","",IF(AND(IF(DASHBOARD!$C$4="All",TRUE,$CM610=DASHBOARD!$C$4),IF(DASHBOARD!$C$6="All",TRUE,$CP610=DASHBOARD!$C$6),IF(DASHBOARD!$C$8="All",TRUE,$AF610&gt;=DASHBOARD!$C$8),IF(DASHBOARD!$C$10="All",TRUE,$AF610&lt;=DASHBOARD!$C$10),IF(DASHBOARD!$C$12="All",TRUE,$AH610=VALUE(DASHBOARD!$C$12)),IF(DASHBOARD!$C$14="All",TRUE,$AJ610=DASHBOARD!$C$14)),1,0))</f>
        <v/>
      </c>
    </row>
    <row r="611">
      <c r="A611" t="n">
        <v>261962</v>
      </c>
      <c r="B611" t="inlineStr">
        <is>
          <t>Face Malai</t>
        </is>
      </c>
      <c r="H611" t="inlineStr">
        <is>
          <t>Flax Carrot (Hot Humid) 35+ Face Malai - 30g</t>
        </is>
      </c>
      <c r="N611" t="inlineStr">
        <is>
          <t>FC-HHDM-FC-030</t>
        </is>
      </c>
      <c r="T611" t="inlineStr">
        <is>
          <t>Oct 31, 2025</t>
        </is>
      </c>
      <c r="AE611" t="inlineStr">
        <is>
          <t>Palghar</t>
        </is>
      </c>
      <c r="AF611" t="inlineStr">
        <is>
          <t>2025-10</t>
        </is>
      </c>
      <c r="AG611" t="n">
        <v>10</v>
      </c>
      <c r="AH611" t="n">
        <v>1</v>
      </c>
      <c r="AI611" t="n">
        <v>0</v>
      </c>
      <c r="AJ611">
        <f>IF($AE611="","",IFERROR(VLOOKUP(TRIM($AE611),DECODE!$H$3:$I$60,2,FALSE),"Rest of India"))</f>
        <v/>
      </c>
      <c r="AK611">
        <f>IF($N611="","",UPPER(TRIM(LEFT($N611&amp;",",FIND(",",$N611&amp;",")-1))))</f>
        <v/>
      </c>
      <c r="AL611">
        <f>IF($AK611="","",MID($AK611,4,FIND("~",SUBSTITUTE($AK611,"-","~",2))-4))</f>
        <v/>
      </c>
      <c r="AM611">
        <f>IF($AK611="","",MID($AK611,FIND("~",SUBSTITUTE($AK611,"-","~",2))+1,FIND("~",SUBSTITUTE($AK611,"-","~",3))-FIND("~",SUBSTITUTE($AK611,"-","~",2))-1))</f>
        <v/>
      </c>
      <c r="AN611">
        <f>IF($AL611="","",IFERROR(VLOOKUP($AL611,DECODE!$A$3:$C$8,3,FALSE),"?"))</f>
        <v/>
      </c>
      <c r="AO611">
        <f>IF($AM611="","",IFERROR(VLOOKUP($AL611&amp;"-"&amp;$AM611,DECODE!$E$3:$F$21,2,FALSE),"?"))</f>
        <v/>
      </c>
      <c r="AP611">
        <f>IF($AK611="","",IFERROR(VALUE(RIGHT($AK611,3)),""))</f>
        <v/>
      </c>
      <c r="AQ611">
        <f>IF($T611="","",IFERROR(IF(ISNUMBER($T611),$T611,DATEVALUE(TRIM($T611))),""))</f>
        <v/>
      </c>
      <c r="AR611">
        <f>IF($AQ611="","",IF(MONTH($AQ611)&gt;=12,"Cold Winter",IF(MONTH($AQ611)&gt;=10,"Post-Monsoon",IF(MONTH($AQ611)&gt;=6,"Hot Humid",IF(MONTH($AQ611)&gt;=3,"Hot Dry","Cold Winter")))))</f>
        <v/>
      </c>
      <c r="AS611">
        <f>IF($AL611="","",IFERROR(VLOOKUP($AL611,DECODE!$A$3:$C$8,2,FALSE),"?"))</f>
        <v/>
      </c>
      <c r="AT611">
        <f>IF($O611="","",UPPER(TRIM(LEFT($O611&amp;",",FIND(",",$O611&amp;",")-1))))</f>
        <v/>
      </c>
      <c r="AU611">
        <f>IF($AT611="","",MID($AT611,4,FIND("~",SUBSTITUTE($AT611,"-","~",2))-4))</f>
        <v/>
      </c>
      <c r="AV611">
        <f>IF($AT611="","",MID($AT611,FIND("~",SUBSTITUTE($AT611,"-","~",2))+1,FIND("~",SUBSTITUTE($AT611,"-","~",3))-FIND("~",SUBSTITUTE($AT611,"-","~",2))-1))</f>
        <v/>
      </c>
      <c r="AW611">
        <f>IF($AU611="","",IFERROR(VLOOKUP($AU611,DECODE!$A$3:$C$8,3,FALSE),"?"))</f>
        <v/>
      </c>
      <c r="AX611">
        <f>IF($AV611="","",IFERROR(VLOOKUP($AU611&amp;"-"&amp;$AV611,DECODE!$E$3:$F$21,2,FALSE),"?"))</f>
        <v/>
      </c>
      <c r="AY611">
        <f>IF($AT611="","",IFERROR(VALUE(RIGHT($AT611,3)),""))</f>
        <v/>
      </c>
      <c r="AZ611">
        <f>IF($U611="","",IFERROR(IF(ISNUMBER($U611),$U611,DATEVALUE(TRIM($U611))),""))</f>
        <v/>
      </c>
      <c r="BA611">
        <f>IF($AZ611="","",IF(MONTH($AZ611)&gt;=12,"Cold Winter",IF(MONTH($AZ611)&gt;=10,"Post-Monsoon",IF(MONTH($AZ611)&gt;=6,"Hot Humid",IF(MONTH($AZ611)&gt;=3,"Hot Dry","Cold Winter")))))</f>
        <v/>
      </c>
      <c r="BB611">
        <f>IF($AU611="","",IFERROR(VLOOKUP($AU611,DECODE!$A$3:$C$8,2,FALSE),"?"))</f>
        <v/>
      </c>
      <c r="BC611">
        <f>IF($P611="","",UPPER(TRIM(LEFT($P611&amp;",",FIND(",",$P611&amp;",")-1))))</f>
        <v/>
      </c>
      <c r="BD611">
        <f>IF($BC611="","",MID($BC611,4,FIND("~",SUBSTITUTE($BC611,"-","~",2))-4))</f>
        <v/>
      </c>
      <c r="BE611">
        <f>IF($BC611="","",MID($BC611,FIND("~",SUBSTITUTE($BC611,"-","~",2))+1,FIND("~",SUBSTITUTE($BC611,"-","~",3))-FIND("~",SUBSTITUTE($BC611,"-","~",2))-1))</f>
        <v/>
      </c>
      <c r="BF611">
        <f>IF($BD611="","",IFERROR(VLOOKUP($BD611,DECODE!$A$3:$C$8,3,FALSE),"?"))</f>
        <v/>
      </c>
      <c r="BG611">
        <f>IF($BE611="","",IFERROR(VLOOKUP($BD611&amp;"-"&amp;$BE611,DECODE!$E$3:$F$21,2,FALSE),"?"))</f>
        <v/>
      </c>
      <c r="BH611">
        <f>IF($BC611="","",IFERROR(VALUE(RIGHT($BC611,3)),""))</f>
        <v/>
      </c>
      <c r="BI611">
        <f>IF($V611="","",IFERROR(IF(ISNUMBER($V611),$V611,DATEVALUE(TRIM($V611))),""))</f>
        <v/>
      </c>
      <c r="BJ611">
        <f>IF($BI611="","",IF(MONTH($BI611)&gt;=12,"Cold Winter",IF(MONTH($BI611)&gt;=10,"Post-Monsoon",IF(MONTH($BI611)&gt;=6,"Hot Humid",IF(MONTH($BI611)&gt;=3,"Hot Dry","Cold Winter")))))</f>
        <v/>
      </c>
      <c r="BK611">
        <f>IF($BD611="","",IFERROR(VLOOKUP($BD611,DECODE!$A$3:$C$8,2,FALSE),"?"))</f>
        <v/>
      </c>
      <c r="BL611">
        <f>IF($Q611="","",UPPER(TRIM(LEFT($Q611&amp;",",FIND(",",$Q611&amp;",")-1))))</f>
        <v/>
      </c>
      <c r="BM611">
        <f>IF($BL611="","",MID($BL611,4,FIND("~",SUBSTITUTE($BL611,"-","~",2))-4))</f>
        <v/>
      </c>
      <c r="BN611">
        <f>IF($BL611="","",MID($BL611,FIND("~",SUBSTITUTE($BL611,"-","~",2))+1,FIND("~",SUBSTITUTE($BL611,"-","~",3))-FIND("~",SUBSTITUTE($BL611,"-","~",2))-1))</f>
        <v/>
      </c>
      <c r="BO611">
        <f>IF($BM611="","",IFERROR(VLOOKUP($BM611,DECODE!$A$3:$C$8,3,FALSE),"?"))</f>
        <v/>
      </c>
      <c r="BP611">
        <f>IF($BN611="","",IFERROR(VLOOKUP($BM611&amp;"-"&amp;$BN611,DECODE!$E$3:$F$21,2,FALSE),"?"))</f>
        <v/>
      </c>
      <c r="BQ611">
        <f>IF($BL611="","",IFERROR(VALUE(RIGHT($BL611,3)),""))</f>
        <v/>
      </c>
      <c r="BR611">
        <f>IF($W611="","",IFERROR(IF(ISNUMBER($W611),$W611,DATEVALUE(TRIM($W611))),""))</f>
        <v/>
      </c>
      <c r="BS611">
        <f>IF($BR611="","",IF(MONTH($BR611)&gt;=12,"Cold Winter",IF(MONTH($BR611)&gt;=10,"Post-Monsoon",IF(MONTH($BR611)&gt;=6,"Hot Humid",IF(MONTH($BR611)&gt;=3,"Hot Dry","Cold Winter")))))</f>
        <v/>
      </c>
      <c r="BT611">
        <f>IF($BM611="","",IFERROR(VLOOKUP($BM611,DECODE!$A$3:$C$8,2,FALSE),"?"))</f>
        <v/>
      </c>
      <c r="BU611">
        <f>IF($R611="","",UPPER(TRIM(LEFT($R611&amp;",",FIND(",",$R611&amp;",")-1))))</f>
        <v/>
      </c>
      <c r="BV611">
        <f>IF($BU611="","",MID($BU611,4,FIND("~",SUBSTITUTE($BU611,"-","~",2))-4))</f>
        <v/>
      </c>
      <c r="BW611">
        <f>IF($BU611="","",MID($BU611,FIND("~",SUBSTITUTE($BU611,"-","~",2))+1,FIND("~",SUBSTITUTE($BU611,"-","~",3))-FIND("~",SUBSTITUTE($BU611,"-","~",2))-1))</f>
        <v/>
      </c>
      <c r="BX611">
        <f>IF($BV611="","",IFERROR(VLOOKUP($BV611,DECODE!$A$3:$C$8,3,FALSE),"?"))</f>
        <v/>
      </c>
      <c r="BY611">
        <f>IF($BW611="","",IFERROR(VLOOKUP($BV611&amp;"-"&amp;$BW611,DECODE!$E$3:$F$21,2,FALSE),"?"))</f>
        <v/>
      </c>
      <c r="BZ611">
        <f>IF($BU611="","",IFERROR(VALUE(RIGHT($BU611,3)),""))</f>
        <v/>
      </c>
      <c r="CA611">
        <f>IF($X611="","",IFERROR(IF(ISNUMBER($X611),$X611,DATEVALUE(TRIM($X611))),""))</f>
        <v/>
      </c>
      <c r="CB611">
        <f>IF($CA611="","",IF(MONTH($CA611)&gt;=12,"Cold Winter",IF(MONTH($CA611)&gt;=10,"Post-Monsoon",IF(MONTH($CA611)&gt;=6,"Hot Humid",IF(MONTH($CA611)&gt;=3,"Hot Dry","Cold Winter")))))</f>
        <v/>
      </c>
      <c r="CC611">
        <f>IF($BV611="","",IFERROR(VLOOKUP($BV611,DECODE!$A$3:$C$8,2,FALSE),"?"))</f>
        <v/>
      </c>
      <c r="CD611">
        <f>IF($S611="","",UPPER(TRIM(LEFT($S611&amp;",",FIND(",",$S611&amp;",")-1))))</f>
        <v/>
      </c>
      <c r="CE611">
        <f>IF($CD611="","",MID($CD611,4,FIND("~",SUBSTITUTE($CD611,"-","~",2))-4))</f>
        <v/>
      </c>
      <c r="CF611">
        <f>IF($CD611="","",MID($CD611,FIND("~",SUBSTITUTE($CD611,"-","~",2))+1,FIND("~",SUBSTITUTE($CD611,"-","~",3))-FIND("~",SUBSTITUTE($CD611,"-","~",2))-1))</f>
        <v/>
      </c>
      <c r="CG611">
        <f>IF($CE611="","",IFERROR(VLOOKUP($CE611,DECODE!$A$3:$C$8,3,FALSE),"?"))</f>
        <v/>
      </c>
      <c r="CH611">
        <f>IF($CF611="","",IFERROR(VLOOKUP($CE611&amp;"-"&amp;$CF611,DECODE!$E$3:$F$21,2,FALSE),"?"))</f>
        <v/>
      </c>
      <c r="CI611">
        <f>IF($CD611="","",IFERROR(VALUE(RIGHT($CD611,3)),""))</f>
        <v/>
      </c>
      <c r="CJ611">
        <f>IF($Y611="","",IFERROR(IF(ISNUMBER($Y611),$Y611,DATEVALUE(TRIM($Y611))),""))</f>
        <v/>
      </c>
      <c r="CK611">
        <f>IF($CJ611="","",IF(MONTH($CJ611)&gt;=12,"Cold Winter",IF(MONTH($CJ611)&gt;=10,"Post-Monsoon",IF(MONTH($CJ611)&gt;=6,"Hot Humid",IF(MONTH($CJ611)&gt;=3,"Hot Dry","Cold Winter")))))</f>
        <v/>
      </c>
      <c r="CL611">
        <f>IF($CE611="","",IFERROR(VLOOKUP($CE611,DECODE!$A$3:$C$8,2,FALSE),"?"))</f>
        <v/>
      </c>
      <c r="CM611">
        <f>IF($AN611="","",AN611)</f>
        <v/>
      </c>
      <c r="CN611">
        <f>IF($AO611="","",AO611)</f>
        <v/>
      </c>
      <c r="CO611">
        <f>IF($AP611="","",AP611)</f>
        <v/>
      </c>
      <c r="CP611">
        <f>IF($CM611="","",IF($CM611="Aloe Vera Gel","Aloe Vera Gel "&amp;$CO611&amp;"g",CN611&amp;" "&amp;$CO611&amp;"g"))</f>
        <v/>
      </c>
      <c r="CQ611">
        <f>IF($AT611="",0,1)</f>
        <v/>
      </c>
      <c r="CR611">
        <f>IF($CQ611=0,"",AW611)</f>
        <v/>
      </c>
      <c r="CS611">
        <f>IF($CQ611=0,"",AX611)</f>
        <v/>
      </c>
      <c r="CT611">
        <f>IF($CQ611=0,"",AY611)</f>
        <v/>
      </c>
      <c r="CU611">
        <f>IF($CR611="","",IF($CR611="Aloe Vera Gel","Aloe Vera Gel "&amp;$CT611&amp;"g",CS611&amp;" "&amp;$CT611&amp;"g"))</f>
        <v/>
      </c>
      <c r="CV611">
        <f>IF($CQ611=0,"",IF($CP611=$CU611,"Repeat Exact",IF($CT611&gt;$CO611,"Upsized",IF($CT611&lt;$CO611,"Downsized",IF($CM611&lt;&gt;$CR611,"Lateral","Same Size Diff Variant")))))</f>
        <v/>
      </c>
      <c r="CW611">
        <f>IF($CQ611=0,"",AZ611-AQ611)</f>
        <v/>
      </c>
      <c r="CX611">
        <f>IF($CQ611=0,0,IF(CS611=CN611,1,0))</f>
        <v/>
      </c>
      <c r="CY611">
        <f>IF($CQ611=0,0,IF(CR611=CM611,1,0))</f>
        <v/>
      </c>
      <c r="CZ611">
        <f>IF($A611="","",IF(AND(IF(DASHBOARD!$C$4="All",TRUE,$CM611=DASHBOARD!$C$4),IF(DASHBOARD!$C$6="All",TRUE,$CP611=DASHBOARD!$C$6),IF(DASHBOARD!$C$8="All",TRUE,$AF611&gt;=DASHBOARD!$C$8),IF(DASHBOARD!$C$10="All",TRUE,$AF611&lt;=DASHBOARD!$C$10),IF(DASHBOARD!$C$12="All",TRUE,$AH611=VALUE(DASHBOARD!$C$12)),IF(DASHBOARD!$C$14="All",TRUE,$AJ611=DASHBOARD!$C$14)),1,0))</f>
        <v/>
      </c>
    </row>
    <row r="612">
      <c r="A612" t="n">
        <v>262548</v>
      </c>
      <c r="B612" t="inlineStr">
        <is>
          <t>Face Malai</t>
        </is>
      </c>
      <c r="H612" t="inlineStr">
        <is>
          <t>Turmeric Nutmeg (Pigmentation)  Face Malai - 30g</t>
        </is>
      </c>
      <c r="N612" t="inlineStr">
        <is>
          <t>FC-DM-PG-030</t>
        </is>
      </c>
      <c r="T612" t="inlineStr">
        <is>
          <t>Apr 28, 2025</t>
        </is>
      </c>
      <c r="AE612" t="inlineStr">
        <is>
          <t>New Delhi</t>
        </is>
      </c>
      <c r="AF612" t="inlineStr">
        <is>
          <t>2025-04</t>
        </is>
      </c>
      <c r="AG612" t="n">
        <v>4</v>
      </c>
      <c r="AH612" t="n">
        <v>1</v>
      </c>
      <c r="AI612" t="n">
        <v>0</v>
      </c>
      <c r="AJ612">
        <f>IF($AE612="","",IFERROR(VLOOKUP(TRIM($AE612),DECODE!$H$3:$I$60,2,FALSE),"Rest of India"))</f>
        <v/>
      </c>
      <c r="AK612">
        <f>IF($N612="","",UPPER(TRIM(LEFT($N612&amp;",",FIND(",",$N612&amp;",")-1))))</f>
        <v/>
      </c>
      <c r="AL612">
        <f>IF($AK612="","",MID($AK612,4,FIND("~",SUBSTITUTE($AK612,"-","~",2))-4))</f>
        <v/>
      </c>
      <c r="AM612">
        <f>IF($AK612="","",MID($AK612,FIND("~",SUBSTITUTE($AK612,"-","~",2))+1,FIND("~",SUBSTITUTE($AK612,"-","~",3))-FIND("~",SUBSTITUTE($AK612,"-","~",2))-1))</f>
        <v/>
      </c>
      <c r="AN612">
        <f>IF($AL612="","",IFERROR(VLOOKUP($AL612,DECODE!$A$3:$C$8,3,FALSE),"?"))</f>
        <v/>
      </c>
      <c r="AO612">
        <f>IF($AM612="","",IFERROR(VLOOKUP($AL612&amp;"-"&amp;$AM612,DECODE!$E$3:$F$21,2,FALSE),"?"))</f>
        <v/>
      </c>
      <c r="AP612">
        <f>IF($AK612="","",IFERROR(VALUE(RIGHT($AK612,3)),""))</f>
        <v/>
      </c>
      <c r="AQ612">
        <f>IF($T612="","",IFERROR(IF(ISNUMBER($T612),$T612,DATEVALUE(TRIM($T612))),""))</f>
        <v/>
      </c>
      <c r="AR612">
        <f>IF($AQ612="","",IF(MONTH($AQ612)&gt;=12,"Cold Winter",IF(MONTH($AQ612)&gt;=10,"Post-Monsoon",IF(MONTH($AQ612)&gt;=6,"Hot Humid",IF(MONTH($AQ612)&gt;=3,"Hot Dry","Cold Winter")))))</f>
        <v/>
      </c>
      <c r="AS612">
        <f>IF($AL612="","",IFERROR(VLOOKUP($AL612,DECODE!$A$3:$C$8,2,FALSE),"?"))</f>
        <v/>
      </c>
      <c r="AT612">
        <f>IF($O612="","",UPPER(TRIM(LEFT($O612&amp;",",FIND(",",$O612&amp;",")-1))))</f>
        <v/>
      </c>
      <c r="AU612">
        <f>IF($AT612="","",MID($AT612,4,FIND("~",SUBSTITUTE($AT612,"-","~",2))-4))</f>
        <v/>
      </c>
      <c r="AV612">
        <f>IF($AT612="","",MID($AT612,FIND("~",SUBSTITUTE($AT612,"-","~",2))+1,FIND("~",SUBSTITUTE($AT612,"-","~",3))-FIND("~",SUBSTITUTE($AT612,"-","~",2))-1))</f>
        <v/>
      </c>
      <c r="AW612">
        <f>IF($AU612="","",IFERROR(VLOOKUP($AU612,DECODE!$A$3:$C$8,3,FALSE),"?"))</f>
        <v/>
      </c>
      <c r="AX612">
        <f>IF($AV612="","",IFERROR(VLOOKUP($AU612&amp;"-"&amp;$AV612,DECODE!$E$3:$F$21,2,FALSE),"?"))</f>
        <v/>
      </c>
      <c r="AY612">
        <f>IF($AT612="","",IFERROR(VALUE(RIGHT($AT612,3)),""))</f>
        <v/>
      </c>
      <c r="AZ612">
        <f>IF($U612="","",IFERROR(IF(ISNUMBER($U612),$U612,DATEVALUE(TRIM($U612))),""))</f>
        <v/>
      </c>
      <c r="BA612">
        <f>IF($AZ612="","",IF(MONTH($AZ612)&gt;=12,"Cold Winter",IF(MONTH($AZ612)&gt;=10,"Post-Monsoon",IF(MONTH($AZ612)&gt;=6,"Hot Humid",IF(MONTH($AZ612)&gt;=3,"Hot Dry","Cold Winter")))))</f>
        <v/>
      </c>
      <c r="BB612">
        <f>IF($AU612="","",IFERROR(VLOOKUP($AU612,DECODE!$A$3:$C$8,2,FALSE),"?"))</f>
        <v/>
      </c>
      <c r="BC612">
        <f>IF($P612="","",UPPER(TRIM(LEFT($P612&amp;",",FIND(",",$P612&amp;",")-1))))</f>
        <v/>
      </c>
      <c r="BD612">
        <f>IF($BC612="","",MID($BC612,4,FIND("~",SUBSTITUTE($BC612,"-","~",2))-4))</f>
        <v/>
      </c>
      <c r="BE612">
        <f>IF($BC612="","",MID($BC612,FIND("~",SUBSTITUTE($BC612,"-","~",2))+1,FIND("~",SUBSTITUTE($BC612,"-","~",3))-FIND("~",SUBSTITUTE($BC612,"-","~",2))-1))</f>
        <v/>
      </c>
      <c r="BF612">
        <f>IF($BD612="","",IFERROR(VLOOKUP($BD612,DECODE!$A$3:$C$8,3,FALSE),"?"))</f>
        <v/>
      </c>
      <c r="BG612">
        <f>IF($BE612="","",IFERROR(VLOOKUP($BD612&amp;"-"&amp;$BE612,DECODE!$E$3:$F$21,2,FALSE),"?"))</f>
        <v/>
      </c>
      <c r="BH612">
        <f>IF($BC612="","",IFERROR(VALUE(RIGHT($BC612,3)),""))</f>
        <v/>
      </c>
      <c r="BI612">
        <f>IF($V612="","",IFERROR(IF(ISNUMBER($V612),$V612,DATEVALUE(TRIM($V612))),""))</f>
        <v/>
      </c>
      <c r="BJ612">
        <f>IF($BI612="","",IF(MONTH($BI612)&gt;=12,"Cold Winter",IF(MONTH($BI612)&gt;=10,"Post-Monsoon",IF(MONTH($BI612)&gt;=6,"Hot Humid",IF(MONTH($BI612)&gt;=3,"Hot Dry","Cold Winter")))))</f>
        <v/>
      </c>
      <c r="BK612">
        <f>IF($BD612="","",IFERROR(VLOOKUP($BD612,DECODE!$A$3:$C$8,2,FALSE),"?"))</f>
        <v/>
      </c>
      <c r="BL612">
        <f>IF($Q612="","",UPPER(TRIM(LEFT($Q612&amp;",",FIND(",",$Q612&amp;",")-1))))</f>
        <v/>
      </c>
      <c r="BM612">
        <f>IF($BL612="","",MID($BL612,4,FIND("~",SUBSTITUTE($BL612,"-","~",2))-4))</f>
        <v/>
      </c>
      <c r="BN612">
        <f>IF($BL612="","",MID($BL612,FIND("~",SUBSTITUTE($BL612,"-","~",2))+1,FIND("~",SUBSTITUTE($BL612,"-","~",3))-FIND("~",SUBSTITUTE($BL612,"-","~",2))-1))</f>
        <v/>
      </c>
      <c r="BO612">
        <f>IF($BM612="","",IFERROR(VLOOKUP($BM612,DECODE!$A$3:$C$8,3,FALSE),"?"))</f>
        <v/>
      </c>
      <c r="BP612">
        <f>IF($BN612="","",IFERROR(VLOOKUP($BM612&amp;"-"&amp;$BN612,DECODE!$E$3:$F$21,2,FALSE),"?"))</f>
        <v/>
      </c>
      <c r="BQ612">
        <f>IF($BL612="","",IFERROR(VALUE(RIGHT($BL612,3)),""))</f>
        <v/>
      </c>
      <c r="BR612">
        <f>IF($W612="","",IFERROR(IF(ISNUMBER($W612),$W612,DATEVALUE(TRIM($W612))),""))</f>
        <v/>
      </c>
      <c r="BS612">
        <f>IF($BR612="","",IF(MONTH($BR612)&gt;=12,"Cold Winter",IF(MONTH($BR612)&gt;=10,"Post-Monsoon",IF(MONTH($BR612)&gt;=6,"Hot Humid",IF(MONTH($BR612)&gt;=3,"Hot Dry","Cold Winter")))))</f>
        <v/>
      </c>
      <c r="BT612">
        <f>IF($BM612="","",IFERROR(VLOOKUP($BM612,DECODE!$A$3:$C$8,2,FALSE),"?"))</f>
        <v/>
      </c>
      <c r="BU612">
        <f>IF($R612="","",UPPER(TRIM(LEFT($R612&amp;",",FIND(",",$R612&amp;",")-1))))</f>
        <v/>
      </c>
      <c r="BV612">
        <f>IF($BU612="","",MID($BU612,4,FIND("~",SUBSTITUTE($BU612,"-","~",2))-4))</f>
        <v/>
      </c>
      <c r="BW612">
        <f>IF($BU612="","",MID($BU612,FIND("~",SUBSTITUTE($BU612,"-","~",2))+1,FIND("~",SUBSTITUTE($BU612,"-","~",3))-FIND("~",SUBSTITUTE($BU612,"-","~",2))-1))</f>
        <v/>
      </c>
      <c r="BX612">
        <f>IF($BV612="","",IFERROR(VLOOKUP($BV612,DECODE!$A$3:$C$8,3,FALSE),"?"))</f>
        <v/>
      </c>
      <c r="BY612">
        <f>IF($BW612="","",IFERROR(VLOOKUP($BV612&amp;"-"&amp;$BW612,DECODE!$E$3:$F$21,2,FALSE),"?"))</f>
        <v/>
      </c>
      <c r="BZ612">
        <f>IF($BU612="","",IFERROR(VALUE(RIGHT($BU612,3)),""))</f>
        <v/>
      </c>
      <c r="CA612">
        <f>IF($X612="","",IFERROR(IF(ISNUMBER($X612),$X612,DATEVALUE(TRIM($X612))),""))</f>
        <v/>
      </c>
      <c r="CB612">
        <f>IF($CA612="","",IF(MONTH($CA612)&gt;=12,"Cold Winter",IF(MONTH($CA612)&gt;=10,"Post-Monsoon",IF(MONTH($CA612)&gt;=6,"Hot Humid",IF(MONTH($CA612)&gt;=3,"Hot Dry","Cold Winter")))))</f>
        <v/>
      </c>
      <c r="CC612">
        <f>IF($BV612="","",IFERROR(VLOOKUP($BV612,DECODE!$A$3:$C$8,2,FALSE),"?"))</f>
        <v/>
      </c>
      <c r="CD612">
        <f>IF($S612="","",UPPER(TRIM(LEFT($S612&amp;",",FIND(",",$S612&amp;",")-1))))</f>
        <v/>
      </c>
      <c r="CE612">
        <f>IF($CD612="","",MID($CD612,4,FIND("~",SUBSTITUTE($CD612,"-","~",2))-4))</f>
        <v/>
      </c>
      <c r="CF612">
        <f>IF($CD612="","",MID($CD612,FIND("~",SUBSTITUTE($CD612,"-","~",2))+1,FIND("~",SUBSTITUTE($CD612,"-","~",3))-FIND("~",SUBSTITUTE($CD612,"-","~",2))-1))</f>
        <v/>
      </c>
      <c r="CG612">
        <f>IF($CE612="","",IFERROR(VLOOKUP($CE612,DECODE!$A$3:$C$8,3,FALSE),"?"))</f>
        <v/>
      </c>
      <c r="CH612">
        <f>IF($CF612="","",IFERROR(VLOOKUP($CE612&amp;"-"&amp;$CF612,DECODE!$E$3:$F$21,2,FALSE),"?"))</f>
        <v/>
      </c>
      <c r="CI612">
        <f>IF($CD612="","",IFERROR(VALUE(RIGHT($CD612,3)),""))</f>
        <v/>
      </c>
      <c r="CJ612">
        <f>IF($Y612="","",IFERROR(IF(ISNUMBER($Y612),$Y612,DATEVALUE(TRIM($Y612))),""))</f>
        <v/>
      </c>
      <c r="CK612">
        <f>IF($CJ612="","",IF(MONTH($CJ612)&gt;=12,"Cold Winter",IF(MONTH($CJ612)&gt;=10,"Post-Monsoon",IF(MONTH($CJ612)&gt;=6,"Hot Humid",IF(MONTH($CJ612)&gt;=3,"Hot Dry","Cold Winter")))))</f>
        <v/>
      </c>
      <c r="CL612">
        <f>IF($CE612="","",IFERROR(VLOOKUP($CE612,DECODE!$A$3:$C$8,2,FALSE),"?"))</f>
        <v/>
      </c>
      <c r="CM612">
        <f>IF($AN612="","",AN612)</f>
        <v/>
      </c>
      <c r="CN612">
        <f>IF($AO612="","",AO612)</f>
        <v/>
      </c>
      <c r="CO612">
        <f>IF($AP612="","",AP612)</f>
        <v/>
      </c>
      <c r="CP612">
        <f>IF($CM612="","",IF($CM612="Aloe Vera Gel","Aloe Vera Gel "&amp;$CO612&amp;"g",CN612&amp;" "&amp;$CO612&amp;"g"))</f>
        <v/>
      </c>
      <c r="CQ612">
        <f>IF($AT612="",0,1)</f>
        <v/>
      </c>
      <c r="CR612">
        <f>IF($CQ612=0,"",AW612)</f>
        <v/>
      </c>
      <c r="CS612">
        <f>IF($CQ612=0,"",AX612)</f>
        <v/>
      </c>
      <c r="CT612">
        <f>IF($CQ612=0,"",AY612)</f>
        <v/>
      </c>
      <c r="CU612">
        <f>IF($CR612="","",IF($CR612="Aloe Vera Gel","Aloe Vera Gel "&amp;$CT612&amp;"g",CS612&amp;" "&amp;$CT612&amp;"g"))</f>
        <v/>
      </c>
      <c r="CV612">
        <f>IF($CQ612=0,"",IF($CP612=$CU612,"Repeat Exact",IF($CT612&gt;$CO612,"Upsized",IF($CT612&lt;$CO612,"Downsized",IF($CM612&lt;&gt;$CR612,"Lateral","Same Size Diff Variant")))))</f>
        <v/>
      </c>
      <c r="CW612">
        <f>IF($CQ612=0,"",AZ612-AQ612)</f>
        <v/>
      </c>
      <c r="CX612">
        <f>IF($CQ612=0,0,IF(CS612=CN612,1,0))</f>
        <v/>
      </c>
      <c r="CY612">
        <f>IF($CQ612=0,0,IF(CR612=CM612,1,0))</f>
        <v/>
      </c>
      <c r="CZ612">
        <f>IF($A612="","",IF(AND(IF(DASHBOARD!$C$4="All",TRUE,$CM612=DASHBOARD!$C$4),IF(DASHBOARD!$C$6="All",TRUE,$CP612=DASHBOARD!$C$6),IF(DASHBOARD!$C$8="All",TRUE,$AF612&gt;=DASHBOARD!$C$8),IF(DASHBOARD!$C$10="All",TRUE,$AF612&lt;=DASHBOARD!$C$10),IF(DASHBOARD!$C$12="All",TRUE,$AH612=VALUE(DASHBOARD!$C$12)),IF(DASHBOARD!$C$14="All",TRUE,$AJ612=DASHBOARD!$C$14)),1,0))</f>
        <v/>
      </c>
    </row>
    <row r="613">
      <c r="A613" t="n">
        <v>262782</v>
      </c>
      <c r="B613" t="inlineStr">
        <is>
          <t>Face Malai</t>
        </is>
      </c>
      <c r="H613" t="inlineStr">
        <is>
          <t>Honey Multi-Nut (Dry &amp; Peeling Skin) Face Malai, Cocoa Mogra (Overnight) Face Malai - 30g</t>
        </is>
      </c>
      <c r="N613" t="inlineStr">
        <is>
          <t>FC-DM-DP-030, FC-DM-NR-030</t>
        </is>
      </c>
      <c r="T613" t="inlineStr">
        <is>
          <t>Jun 5, 2024</t>
        </is>
      </c>
      <c r="AE613" t="inlineStr">
        <is>
          <t>Gurgaon</t>
        </is>
      </c>
      <c r="AF613" t="inlineStr">
        <is>
          <t>2024-06</t>
        </is>
      </c>
      <c r="AG613" t="n">
        <v>6</v>
      </c>
      <c r="AH613" t="n">
        <v>1</v>
      </c>
      <c r="AI613" t="n">
        <v>0</v>
      </c>
      <c r="AJ613">
        <f>IF($AE613="","",IFERROR(VLOOKUP(TRIM($AE613),DECODE!$H$3:$I$60,2,FALSE),"Rest of India"))</f>
        <v/>
      </c>
      <c r="AK613">
        <f>IF($N613="","",UPPER(TRIM(LEFT($N613&amp;",",FIND(",",$N613&amp;",")-1))))</f>
        <v/>
      </c>
      <c r="AL613">
        <f>IF($AK613="","",MID($AK613,4,FIND("~",SUBSTITUTE($AK613,"-","~",2))-4))</f>
        <v/>
      </c>
      <c r="AM613">
        <f>IF($AK613="","",MID($AK613,FIND("~",SUBSTITUTE($AK613,"-","~",2))+1,FIND("~",SUBSTITUTE($AK613,"-","~",3))-FIND("~",SUBSTITUTE($AK613,"-","~",2))-1))</f>
        <v/>
      </c>
      <c r="AN613">
        <f>IF($AL613="","",IFERROR(VLOOKUP($AL613,DECODE!$A$3:$C$8,3,FALSE),"?"))</f>
        <v/>
      </c>
      <c r="AO613">
        <f>IF($AM613="","",IFERROR(VLOOKUP($AL613&amp;"-"&amp;$AM613,DECODE!$E$3:$F$21,2,FALSE),"?"))</f>
        <v/>
      </c>
      <c r="AP613">
        <f>IF($AK613="","",IFERROR(VALUE(RIGHT($AK613,3)),""))</f>
        <v/>
      </c>
      <c r="AQ613">
        <f>IF($T613="","",IFERROR(IF(ISNUMBER($T613),$T613,DATEVALUE(TRIM($T613))),""))</f>
        <v/>
      </c>
      <c r="AR613">
        <f>IF($AQ613="","",IF(MONTH($AQ613)&gt;=12,"Cold Winter",IF(MONTH($AQ613)&gt;=10,"Post-Monsoon",IF(MONTH($AQ613)&gt;=6,"Hot Humid",IF(MONTH($AQ613)&gt;=3,"Hot Dry","Cold Winter")))))</f>
        <v/>
      </c>
      <c r="AS613">
        <f>IF($AL613="","",IFERROR(VLOOKUP($AL613,DECODE!$A$3:$C$8,2,FALSE),"?"))</f>
        <v/>
      </c>
      <c r="AT613">
        <f>IF($O613="","",UPPER(TRIM(LEFT($O613&amp;",",FIND(",",$O613&amp;",")-1))))</f>
        <v/>
      </c>
      <c r="AU613">
        <f>IF($AT613="","",MID($AT613,4,FIND("~",SUBSTITUTE($AT613,"-","~",2))-4))</f>
        <v/>
      </c>
      <c r="AV613">
        <f>IF($AT613="","",MID($AT613,FIND("~",SUBSTITUTE($AT613,"-","~",2))+1,FIND("~",SUBSTITUTE($AT613,"-","~",3))-FIND("~",SUBSTITUTE($AT613,"-","~",2))-1))</f>
        <v/>
      </c>
      <c r="AW613">
        <f>IF($AU613="","",IFERROR(VLOOKUP($AU613,DECODE!$A$3:$C$8,3,FALSE),"?"))</f>
        <v/>
      </c>
      <c r="AX613">
        <f>IF($AV613="","",IFERROR(VLOOKUP($AU613&amp;"-"&amp;$AV613,DECODE!$E$3:$F$21,2,FALSE),"?"))</f>
        <v/>
      </c>
      <c r="AY613">
        <f>IF($AT613="","",IFERROR(VALUE(RIGHT($AT613,3)),""))</f>
        <v/>
      </c>
      <c r="AZ613">
        <f>IF($U613="","",IFERROR(IF(ISNUMBER($U613),$U613,DATEVALUE(TRIM($U613))),""))</f>
        <v/>
      </c>
      <c r="BA613">
        <f>IF($AZ613="","",IF(MONTH($AZ613)&gt;=12,"Cold Winter",IF(MONTH($AZ613)&gt;=10,"Post-Monsoon",IF(MONTH($AZ613)&gt;=6,"Hot Humid",IF(MONTH($AZ613)&gt;=3,"Hot Dry","Cold Winter")))))</f>
        <v/>
      </c>
      <c r="BB613">
        <f>IF($AU613="","",IFERROR(VLOOKUP($AU613,DECODE!$A$3:$C$8,2,FALSE),"?"))</f>
        <v/>
      </c>
      <c r="BC613">
        <f>IF($P613="","",UPPER(TRIM(LEFT($P613&amp;",",FIND(",",$P613&amp;",")-1))))</f>
        <v/>
      </c>
      <c r="BD613">
        <f>IF($BC613="","",MID($BC613,4,FIND("~",SUBSTITUTE($BC613,"-","~",2))-4))</f>
        <v/>
      </c>
      <c r="BE613">
        <f>IF($BC613="","",MID($BC613,FIND("~",SUBSTITUTE($BC613,"-","~",2))+1,FIND("~",SUBSTITUTE($BC613,"-","~",3))-FIND("~",SUBSTITUTE($BC613,"-","~",2))-1))</f>
        <v/>
      </c>
      <c r="BF613">
        <f>IF($BD613="","",IFERROR(VLOOKUP($BD613,DECODE!$A$3:$C$8,3,FALSE),"?"))</f>
        <v/>
      </c>
      <c r="BG613">
        <f>IF($BE613="","",IFERROR(VLOOKUP($BD613&amp;"-"&amp;$BE613,DECODE!$E$3:$F$21,2,FALSE),"?"))</f>
        <v/>
      </c>
      <c r="BH613">
        <f>IF($BC613="","",IFERROR(VALUE(RIGHT($BC613,3)),""))</f>
        <v/>
      </c>
      <c r="BI613">
        <f>IF($V613="","",IFERROR(IF(ISNUMBER($V613),$V613,DATEVALUE(TRIM($V613))),""))</f>
        <v/>
      </c>
      <c r="BJ613">
        <f>IF($BI613="","",IF(MONTH($BI613)&gt;=12,"Cold Winter",IF(MONTH($BI613)&gt;=10,"Post-Monsoon",IF(MONTH($BI613)&gt;=6,"Hot Humid",IF(MONTH($BI613)&gt;=3,"Hot Dry","Cold Winter")))))</f>
        <v/>
      </c>
      <c r="BK613">
        <f>IF($BD613="","",IFERROR(VLOOKUP($BD613,DECODE!$A$3:$C$8,2,FALSE),"?"))</f>
        <v/>
      </c>
      <c r="BL613">
        <f>IF($Q613="","",UPPER(TRIM(LEFT($Q613&amp;",",FIND(",",$Q613&amp;",")-1))))</f>
        <v/>
      </c>
      <c r="BM613">
        <f>IF($BL613="","",MID($BL613,4,FIND("~",SUBSTITUTE($BL613,"-","~",2))-4))</f>
        <v/>
      </c>
      <c r="BN613">
        <f>IF($BL613="","",MID($BL613,FIND("~",SUBSTITUTE($BL613,"-","~",2))+1,FIND("~",SUBSTITUTE($BL613,"-","~",3))-FIND("~",SUBSTITUTE($BL613,"-","~",2))-1))</f>
        <v/>
      </c>
      <c r="BO613">
        <f>IF($BM613="","",IFERROR(VLOOKUP($BM613,DECODE!$A$3:$C$8,3,FALSE),"?"))</f>
        <v/>
      </c>
      <c r="BP613">
        <f>IF($BN613="","",IFERROR(VLOOKUP($BM613&amp;"-"&amp;$BN613,DECODE!$E$3:$F$21,2,FALSE),"?"))</f>
        <v/>
      </c>
      <c r="BQ613">
        <f>IF($BL613="","",IFERROR(VALUE(RIGHT($BL613,3)),""))</f>
        <v/>
      </c>
      <c r="BR613">
        <f>IF($W613="","",IFERROR(IF(ISNUMBER($W613),$W613,DATEVALUE(TRIM($W613))),""))</f>
        <v/>
      </c>
      <c r="BS613">
        <f>IF($BR613="","",IF(MONTH($BR613)&gt;=12,"Cold Winter",IF(MONTH($BR613)&gt;=10,"Post-Monsoon",IF(MONTH($BR613)&gt;=6,"Hot Humid",IF(MONTH($BR613)&gt;=3,"Hot Dry","Cold Winter")))))</f>
        <v/>
      </c>
      <c r="BT613">
        <f>IF($BM613="","",IFERROR(VLOOKUP($BM613,DECODE!$A$3:$C$8,2,FALSE),"?"))</f>
        <v/>
      </c>
      <c r="BU613">
        <f>IF($R613="","",UPPER(TRIM(LEFT($R613&amp;",",FIND(",",$R613&amp;",")-1))))</f>
        <v/>
      </c>
      <c r="BV613">
        <f>IF($BU613="","",MID($BU613,4,FIND("~",SUBSTITUTE($BU613,"-","~",2))-4))</f>
        <v/>
      </c>
      <c r="BW613">
        <f>IF($BU613="","",MID($BU613,FIND("~",SUBSTITUTE($BU613,"-","~",2))+1,FIND("~",SUBSTITUTE($BU613,"-","~",3))-FIND("~",SUBSTITUTE($BU613,"-","~",2))-1))</f>
        <v/>
      </c>
      <c r="BX613">
        <f>IF($BV613="","",IFERROR(VLOOKUP($BV613,DECODE!$A$3:$C$8,3,FALSE),"?"))</f>
        <v/>
      </c>
      <c r="BY613">
        <f>IF($BW613="","",IFERROR(VLOOKUP($BV613&amp;"-"&amp;$BW613,DECODE!$E$3:$F$21,2,FALSE),"?"))</f>
        <v/>
      </c>
      <c r="BZ613">
        <f>IF($BU613="","",IFERROR(VALUE(RIGHT($BU613,3)),""))</f>
        <v/>
      </c>
      <c r="CA613">
        <f>IF($X613="","",IFERROR(IF(ISNUMBER($X613),$X613,DATEVALUE(TRIM($X613))),""))</f>
        <v/>
      </c>
      <c r="CB613">
        <f>IF($CA613="","",IF(MONTH($CA613)&gt;=12,"Cold Winter",IF(MONTH($CA613)&gt;=10,"Post-Monsoon",IF(MONTH($CA613)&gt;=6,"Hot Humid",IF(MONTH($CA613)&gt;=3,"Hot Dry","Cold Winter")))))</f>
        <v/>
      </c>
      <c r="CC613">
        <f>IF($BV613="","",IFERROR(VLOOKUP($BV613,DECODE!$A$3:$C$8,2,FALSE),"?"))</f>
        <v/>
      </c>
      <c r="CD613">
        <f>IF($S613="","",UPPER(TRIM(LEFT($S613&amp;",",FIND(",",$S613&amp;",")-1))))</f>
        <v/>
      </c>
      <c r="CE613">
        <f>IF($CD613="","",MID($CD613,4,FIND("~",SUBSTITUTE($CD613,"-","~",2))-4))</f>
        <v/>
      </c>
      <c r="CF613">
        <f>IF($CD613="","",MID($CD613,FIND("~",SUBSTITUTE($CD613,"-","~",2))+1,FIND("~",SUBSTITUTE($CD613,"-","~",3))-FIND("~",SUBSTITUTE($CD613,"-","~",2))-1))</f>
        <v/>
      </c>
      <c r="CG613">
        <f>IF($CE613="","",IFERROR(VLOOKUP($CE613,DECODE!$A$3:$C$8,3,FALSE),"?"))</f>
        <v/>
      </c>
      <c r="CH613">
        <f>IF($CF613="","",IFERROR(VLOOKUP($CE613&amp;"-"&amp;$CF613,DECODE!$E$3:$F$21,2,FALSE),"?"))</f>
        <v/>
      </c>
      <c r="CI613">
        <f>IF($CD613="","",IFERROR(VALUE(RIGHT($CD613,3)),""))</f>
        <v/>
      </c>
      <c r="CJ613">
        <f>IF($Y613="","",IFERROR(IF(ISNUMBER($Y613),$Y613,DATEVALUE(TRIM($Y613))),""))</f>
        <v/>
      </c>
      <c r="CK613">
        <f>IF($CJ613="","",IF(MONTH($CJ613)&gt;=12,"Cold Winter",IF(MONTH($CJ613)&gt;=10,"Post-Monsoon",IF(MONTH($CJ613)&gt;=6,"Hot Humid",IF(MONTH($CJ613)&gt;=3,"Hot Dry","Cold Winter")))))</f>
        <v/>
      </c>
      <c r="CL613">
        <f>IF($CE613="","",IFERROR(VLOOKUP($CE613,DECODE!$A$3:$C$8,2,FALSE),"?"))</f>
        <v/>
      </c>
      <c r="CM613">
        <f>IF($AN613="","",AN613)</f>
        <v/>
      </c>
      <c r="CN613">
        <f>IF($AO613="","",AO613)</f>
        <v/>
      </c>
      <c r="CO613">
        <f>IF($AP613="","",AP613)</f>
        <v/>
      </c>
      <c r="CP613">
        <f>IF($CM613="","",IF($CM613="Aloe Vera Gel","Aloe Vera Gel "&amp;$CO613&amp;"g",CN613&amp;" "&amp;$CO613&amp;"g"))</f>
        <v/>
      </c>
      <c r="CQ613">
        <f>IF($AT613="",0,1)</f>
        <v/>
      </c>
      <c r="CR613">
        <f>IF($CQ613=0,"",AW613)</f>
        <v/>
      </c>
      <c r="CS613">
        <f>IF($CQ613=0,"",AX613)</f>
        <v/>
      </c>
      <c r="CT613">
        <f>IF($CQ613=0,"",AY613)</f>
        <v/>
      </c>
      <c r="CU613">
        <f>IF($CR613="","",IF($CR613="Aloe Vera Gel","Aloe Vera Gel "&amp;$CT613&amp;"g",CS613&amp;" "&amp;$CT613&amp;"g"))</f>
        <v/>
      </c>
      <c r="CV613">
        <f>IF($CQ613=0,"",IF($CP613=$CU613,"Repeat Exact",IF($CT613&gt;$CO613,"Upsized",IF($CT613&lt;$CO613,"Downsized",IF($CM613&lt;&gt;$CR613,"Lateral","Same Size Diff Variant")))))</f>
        <v/>
      </c>
      <c r="CW613">
        <f>IF($CQ613=0,"",AZ613-AQ613)</f>
        <v/>
      </c>
      <c r="CX613">
        <f>IF($CQ613=0,0,IF(CS613=CN613,1,0))</f>
        <v/>
      </c>
      <c r="CY613">
        <f>IF($CQ613=0,0,IF(CR613=CM613,1,0))</f>
        <v/>
      </c>
      <c r="CZ613">
        <f>IF($A613="","",IF(AND(IF(DASHBOARD!$C$4="All",TRUE,$CM613=DASHBOARD!$C$4),IF(DASHBOARD!$C$6="All",TRUE,$CP613=DASHBOARD!$C$6),IF(DASHBOARD!$C$8="All",TRUE,$AF613&gt;=DASHBOARD!$C$8),IF(DASHBOARD!$C$10="All",TRUE,$AF613&lt;=DASHBOARD!$C$10),IF(DASHBOARD!$C$12="All",TRUE,$AH613=VALUE(DASHBOARD!$C$12)),IF(DASHBOARD!$C$14="All",TRUE,$AJ613=DASHBOARD!$C$14)),1,0))</f>
        <v/>
      </c>
    </row>
    <row r="614">
      <c r="A614" t="n">
        <v>264236</v>
      </c>
      <c r="B614" t="inlineStr">
        <is>
          <t>Aloe Vera Gel</t>
        </is>
      </c>
      <c r="C614" t="inlineStr">
        <is>
          <t>Face Malai</t>
        </is>
      </c>
      <c r="D614" t="inlineStr">
        <is>
          <t>Aloe Vera Gel</t>
        </is>
      </c>
      <c r="H614" t="inlineStr">
        <is>
          <t>Aloe Vera Gel - 40 gms</t>
        </is>
      </c>
      <c r="I614" t="inlineStr">
        <is>
          <t>Flax Walnut (Cold) 35+ Face Malai</t>
        </is>
      </c>
      <c r="J614" t="inlineStr">
        <is>
          <t>Aloe Vera Gel - 80 gms</t>
        </is>
      </c>
      <c r="N614" t="inlineStr">
        <is>
          <t>FC-HG-PA-040</t>
        </is>
      </c>
      <c r="O614" t="inlineStr">
        <is>
          <t>FC-CWDM-FW-030</t>
        </is>
      </c>
      <c r="P614" t="inlineStr">
        <is>
          <t>FC-HG-PA-080</t>
        </is>
      </c>
      <c r="T614" t="inlineStr">
        <is>
          <t>May 19, 2024</t>
        </is>
      </c>
      <c r="U614" t="inlineStr">
        <is>
          <t>Oct 12, 2024</t>
        </is>
      </c>
      <c r="V614" t="inlineStr">
        <is>
          <t>Dec 28, 2025</t>
        </is>
      </c>
      <c r="Z614" t="n">
        <v>146</v>
      </c>
      <c r="AA614" t="n">
        <v>442</v>
      </c>
      <c r="AE614" t="inlineStr">
        <is>
          <t>Kota</t>
        </is>
      </c>
      <c r="AF614" t="inlineStr">
        <is>
          <t>2024-05</t>
        </is>
      </c>
      <c r="AG614" t="n">
        <v>5</v>
      </c>
      <c r="AH614" t="n">
        <v>3</v>
      </c>
      <c r="AI614" t="n">
        <v>1</v>
      </c>
      <c r="AJ614">
        <f>IF($AE614="","",IFERROR(VLOOKUP(TRIM($AE614),DECODE!$H$3:$I$60,2,FALSE),"Rest of India"))</f>
        <v/>
      </c>
      <c r="AK614">
        <f>IF($N614="","",UPPER(TRIM(LEFT($N614&amp;",",FIND(",",$N614&amp;",")-1))))</f>
        <v/>
      </c>
      <c r="AL614">
        <f>IF($AK614="","",MID($AK614,4,FIND("~",SUBSTITUTE($AK614,"-","~",2))-4))</f>
        <v/>
      </c>
      <c r="AM614">
        <f>IF($AK614="","",MID($AK614,FIND("~",SUBSTITUTE($AK614,"-","~",2))+1,FIND("~",SUBSTITUTE($AK614,"-","~",3))-FIND("~",SUBSTITUTE($AK614,"-","~",2))-1))</f>
        <v/>
      </c>
      <c r="AN614">
        <f>IF($AL614="","",IFERROR(VLOOKUP($AL614,DECODE!$A$3:$C$8,3,FALSE),"?"))</f>
        <v/>
      </c>
      <c r="AO614">
        <f>IF($AM614="","",IFERROR(VLOOKUP($AL614&amp;"-"&amp;$AM614,DECODE!$E$3:$F$21,2,FALSE),"?"))</f>
        <v/>
      </c>
      <c r="AP614">
        <f>IF($AK614="","",IFERROR(VALUE(RIGHT($AK614,3)),""))</f>
        <v/>
      </c>
      <c r="AQ614">
        <f>IF($T614="","",IFERROR(IF(ISNUMBER($T614),$T614,DATEVALUE(TRIM($T614))),""))</f>
        <v/>
      </c>
      <c r="AR614">
        <f>IF($AQ614="","",IF(MONTH($AQ614)&gt;=12,"Cold Winter",IF(MONTH($AQ614)&gt;=10,"Post-Monsoon",IF(MONTH($AQ614)&gt;=6,"Hot Humid",IF(MONTH($AQ614)&gt;=3,"Hot Dry","Cold Winter")))))</f>
        <v/>
      </c>
      <c r="AS614">
        <f>IF($AL614="","",IFERROR(VLOOKUP($AL614,DECODE!$A$3:$C$8,2,FALSE),"?"))</f>
        <v/>
      </c>
      <c r="AT614">
        <f>IF($O614="","",UPPER(TRIM(LEFT($O614&amp;",",FIND(",",$O614&amp;",")-1))))</f>
        <v/>
      </c>
      <c r="AU614">
        <f>IF($AT614="","",MID($AT614,4,FIND("~",SUBSTITUTE($AT614,"-","~",2))-4))</f>
        <v/>
      </c>
      <c r="AV614">
        <f>IF($AT614="","",MID($AT614,FIND("~",SUBSTITUTE($AT614,"-","~",2))+1,FIND("~",SUBSTITUTE($AT614,"-","~",3))-FIND("~",SUBSTITUTE($AT614,"-","~",2))-1))</f>
        <v/>
      </c>
      <c r="AW614">
        <f>IF($AU614="","",IFERROR(VLOOKUP($AU614,DECODE!$A$3:$C$8,3,FALSE),"?"))</f>
        <v/>
      </c>
      <c r="AX614">
        <f>IF($AV614="","",IFERROR(VLOOKUP($AU614&amp;"-"&amp;$AV614,DECODE!$E$3:$F$21,2,FALSE),"?"))</f>
        <v/>
      </c>
      <c r="AY614">
        <f>IF($AT614="","",IFERROR(VALUE(RIGHT($AT614,3)),""))</f>
        <v/>
      </c>
      <c r="AZ614">
        <f>IF($U614="","",IFERROR(IF(ISNUMBER($U614),$U614,DATEVALUE(TRIM($U614))),""))</f>
        <v/>
      </c>
      <c r="BA614">
        <f>IF($AZ614="","",IF(MONTH($AZ614)&gt;=12,"Cold Winter",IF(MONTH($AZ614)&gt;=10,"Post-Monsoon",IF(MONTH($AZ614)&gt;=6,"Hot Humid",IF(MONTH($AZ614)&gt;=3,"Hot Dry","Cold Winter")))))</f>
        <v/>
      </c>
      <c r="BB614">
        <f>IF($AU614="","",IFERROR(VLOOKUP($AU614,DECODE!$A$3:$C$8,2,FALSE),"?"))</f>
        <v/>
      </c>
      <c r="BC614">
        <f>IF($P614="","",UPPER(TRIM(LEFT($P614&amp;",",FIND(",",$P614&amp;",")-1))))</f>
        <v/>
      </c>
      <c r="BD614">
        <f>IF($BC614="","",MID($BC614,4,FIND("~",SUBSTITUTE($BC614,"-","~",2))-4))</f>
        <v/>
      </c>
      <c r="BE614">
        <f>IF($BC614="","",MID($BC614,FIND("~",SUBSTITUTE($BC614,"-","~",2))+1,FIND("~",SUBSTITUTE($BC614,"-","~",3))-FIND("~",SUBSTITUTE($BC614,"-","~",2))-1))</f>
        <v/>
      </c>
      <c r="BF614">
        <f>IF($BD614="","",IFERROR(VLOOKUP($BD614,DECODE!$A$3:$C$8,3,FALSE),"?"))</f>
        <v/>
      </c>
      <c r="BG614">
        <f>IF($BE614="","",IFERROR(VLOOKUP($BD614&amp;"-"&amp;$BE614,DECODE!$E$3:$F$21,2,FALSE),"?"))</f>
        <v/>
      </c>
      <c r="BH614">
        <f>IF($BC614="","",IFERROR(VALUE(RIGHT($BC614,3)),""))</f>
        <v/>
      </c>
      <c r="BI614">
        <f>IF($V614="","",IFERROR(IF(ISNUMBER($V614),$V614,DATEVALUE(TRIM($V614))),""))</f>
        <v/>
      </c>
      <c r="BJ614">
        <f>IF($BI614="","",IF(MONTH($BI614)&gt;=12,"Cold Winter",IF(MONTH($BI614)&gt;=10,"Post-Monsoon",IF(MONTH($BI614)&gt;=6,"Hot Humid",IF(MONTH($BI614)&gt;=3,"Hot Dry","Cold Winter")))))</f>
        <v/>
      </c>
      <c r="BK614">
        <f>IF($BD614="","",IFERROR(VLOOKUP($BD614,DECODE!$A$3:$C$8,2,FALSE),"?"))</f>
        <v/>
      </c>
      <c r="BL614">
        <f>IF($Q614="","",UPPER(TRIM(LEFT($Q614&amp;",",FIND(",",$Q614&amp;",")-1))))</f>
        <v/>
      </c>
      <c r="BM614">
        <f>IF($BL614="","",MID($BL614,4,FIND("~",SUBSTITUTE($BL614,"-","~",2))-4))</f>
        <v/>
      </c>
      <c r="BN614">
        <f>IF($BL614="","",MID($BL614,FIND("~",SUBSTITUTE($BL614,"-","~",2))+1,FIND("~",SUBSTITUTE($BL614,"-","~",3))-FIND("~",SUBSTITUTE($BL614,"-","~",2))-1))</f>
        <v/>
      </c>
      <c r="BO614">
        <f>IF($BM614="","",IFERROR(VLOOKUP($BM614,DECODE!$A$3:$C$8,3,FALSE),"?"))</f>
        <v/>
      </c>
      <c r="BP614">
        <f>IF($BN614="","",IFERROR(VLOOKUP($BM614&amp;"-"&amp;$BN614,DECODE!$E$3:$F$21,2,FALSE),"?"))</f>
        <v/>
      </c>
      <c r="BQ614">
        <f>IF($BL614="","",IFERROR(VALUE(RIGHT($BL614,3)),""))</f>
        <v/>
      </c>
      <c r="BR614">
        <f>IF($W614="","",IFERROR(IF(ISNUMBER($W614),$W614,DATEVALUE(TRIM($W614))),""))</f>
        <v/>
      </c>
      <c r="BS614">
        <f>IF($BR614="","",IF(MONTH($BR614)&gt;=12,"Cold Winter",IF(MONTH($BR614)&gt;=10,"Post-Monsoon",IF(MONTH($BR614)&gt;=6,"Hot Humid",IF(MONTH($BR614)&gt;=3,"Hot Dry","Cold Winter")))))</f>
        <v/>
      </c>
      <c r="BT614">
        <f>IF($BM614="","",IFERROR(VLOOKUP($BM614,DECODE!$A$3:$C$8,2,FALSE),"?"))</f>
        <v/>
      </c>
      <c r="BU614">
        <f>IF($R614="","",UPPER(TRIM(LEFT($R614&amp;",",FIND(",",$R614&amp;",")-1))))</f>
        <v/>
      </c>
      <c r="BV614">
        <f>IF($BU614="","",MID($BU614,4,FIND("~",SUBSTITUTE($BU614,"-","~",2))-4))</f>
        <v/>
      </c>
      <c r="BW614">
        <f>IF($BU614="","",MID($BU614,FIND("~",SUBSTITUTE($BU614,"-","~",2))+1,FIND("~",SUBSTITUTE($BU614,"-","~",3))-FIND("~",SUBSTITUTE($BU614,"-","~",2))-1))</f>
        <v/>
      </c>
      <c r="BX614">
        <f>IF($BV614="","",IFERROR(VLOOKUP($BV614,DECODE!$A$3:$C$8,3,FALSE),"?"))</f>
        <v/>
      </c>
      <c r="BY614">
        <f>IF($BW614="","",IFERROR(VLOOKUP($BV614&amp;"-"&amp;$BW614,DECODE!$E$3:$F$21,2,FALSE),"?"))</f>
        <v/>
      </c>
      <c r="BZ614">
        <f>IF($BU614="","",IFERROR(VALUE(RIGHT($BU614,3)),""))</f>
        <v/>
      </c>
      <c r="CA614">
        <f>IF($X614="","",IFERROR(IF(ISNUMBER($X614),$X614,DATEVALUE(TRIM($X614))),""))</f>
        <v/>
      </c>
      <c r="CB614">
        <f>IF($CA614="","",IF(MONTH($CA614)&gt;=12,"Cold Winter",IF(MONTH($CA614)&gt;=10,"Post-Monsoon",IF(MONTH($CA614)&gt;=6,"Hot Humid",IF(MONTH($CA614)&gt;=3,"Hot Dry","Cold Winter")))))</f>
        <v/>
      </c>
      <c r="CC614">
        <f>IF($BV614="","",IFERROR(VLOOKUP($BV614,DECODE!$A$3:$C$8,2,FALSE),"?"))</f>
        <v/>
      </c>
      <c r="CD614">
        <f>IF($S614="","",UPPER(TRIM(LEFT($S614&amp;",",FIND(",",$S614&amp;",")-1))))</f>
        <v/>
      </c>
      <c r="CE614">
        <f>IF($CD614="","",MID($CD614,4,FIND("~",SUBSTITUTE($CD614,"-","~",2))-4))</f>
        <v/>
      </c>
      <c r="CF614">
        <f>IF($CD614="","",MID($CD614,FIND("~",SUBSTITUTE($CD614,"-","~",2))+1,FIND("~",SUBSTITUTE($CD614,"-","~",3))-FIND("~",SUBSTITUTE($CD614,"-","~",2))-1))</f>
        <v/>
      </c>
      <c r="CG614">
        <f>IF($CE614="","",IFERROR(VLOOKUP($CE614,DECODE!$A$3:$C$8,3,FALSE),"?"))</f>
        <v/>
      </c>
      <c r="CH614">
        <f>IF($CF614="","",IFERROR(VLOOKUP($CE614&amp;"-"&amp;$CF614,DECODE!$E$3:$F$21,2,FALSE),"?"))</f>
        <v/>
      </c>
      <c r="CI614">
        <f>IF($CD614="","",IFERROR(VALUE(RIGHT($CD614,3)),""))</f>
        <v/>
      </c>
      <c r="CJ614">
        <f>IF($Y614="","",IFERROR(IF(ISNUMBER($Y614),$Y614,DATEVALUE(TRIM($Y614))),""))</f>
        <v/>
      </c>
      <c r="CK614">
        <f>IF($CJ614="","",IF(MONTH($CJ614)&gt;=12,"Cold Winter",IF(MONTH($CJ614)&gt;=10,"Post-Monsoon",IF(MONTH($CJ614)&gt;=6,"Hot Humid",IF(MONTH($CJ614)&gt;=3,"Hot Dry","Cold Winter")))))</f>
        <v/>
      </c>
      <c r="CL614">
        <f>IF($CE614="","",IFERROR(VLOOKUP($CE614,DECODE!$A$3:$C$8,2,FALSE),"?"))</f>
        <v/>
      </c>
      <c r="CM614">
        <f>IF($AN614="","",AN614)</f>
        <v/>
      </c>
      <c r="CN614">
        <f>IF($AO614="","",AO614)</f>
        <v/>
      </c>
      <c r="CO614">
        <f>IF($AP614="","",AP614)</f>
        <v/>
      </c>
      <c r="CP614">
        <f>IF($CM614="","",IF($CM614="Aloe Vera Gel","Aloe Vera Gel "&amp;$CO614&amp;"g",CN614&amp;" "&amp;$CO614&amp;"g"))</f>
        <v/>
      </c>
      <c r="CQ614">
        <f>IF($AT614="",0,1)</f>
        <v/>
      </c>
      <c r="CR614">
        <f>IF($CQ614=0,"",AW614)</f>
        <v/>
      </c>
      <c r="CS614">
        <f>IF($CQ614=0,"",AX614)</f>
        <v/>
      </c>
      <c r="CT614">
        <f>IF($CQ614=0,"",AY614)</f>
        <v/>
      </c>
      <c r="CU614">
        <f>IF($CR614="","",IF($CR614="Aloe Vera Gel","Aloe Vera Gel "&amp;$CT614&amp;"g",CS614&amp;" "&amp;$CT614&amp;"g"))</f>
        <v/>
      </c>
      <c r="CV614">
        <f>IF($CQ614=0,"",IF($CP614=$CU614,"Repeat Exact",IF($CT614&gt;$CO614,"Upsized",IF($CT614&lt;$CO614,"Downsized",IF($CM614&lt;&gt;$CR614,"Lateral","Same Size Diff Variant")))))</f>
        <v/>
      </c>
      <c r="CW614">
        <f>IF($CQ614=0,"",AZ614-AQ614)</f>
        <v/>
      </c>
      <c r="CX614">
        <f>IF($CQ614=0,0,IF(CS614=CN614,1,0))</f>
        <v/>
      </c>
      <c r="CY614">
        <f>IF($CQ614=0,0,IF(CR614=CM614,1,0))</f>
        <v/>
      </c>
      <c r="CZ614">
        <f>IF($A614="","",IF(AND(IF(DASHBOARD!$C$4="All",TRUE,$CM614=DASHBOARD!$C$4),IF(DASHBOARD!$C$6="All",TRUE,$CP614=DASHBOARD!$C$6),IF(DASHBOARD!$C$8="All",TRUE,$AF614&gt;=DASHBOARD!$C$8),IF(DASHBOARD!$C$10="All",TRUE,$AF614&lt;=DASHBOARD!$C$10),IF(DASHBOARD!$C$12="All",TRUE,$AH614=VALUE(DASHBOARD!$C$12)),IF(DASHBOARD!$C$14="All",TRUE,$AJ614=DASHBOARD!$C$14)),1,0))</f>
        <v/>
      </c>
    </row>
    <row r="615">
      <c r="A615" t="n">
        <v>264742</v>
      </c>
      <c r="B615" t="inlineStr">
        <is>
          <t>Face Malai</t>
        </is>
      </c>
      <c r="C615" t="inlineStr">
        <is>
          <t>Face Malai</t>
        </is>
      </c>
      <c r="H615" t="inlineStr">
        <is>
          <t>Clove Tea-Tree (Anti-Acne) Face Malai</t>
        </is>
      </c>
      <c r="I615" t="inlineStr">
        <is>
          <t>Turmeric Nutmeg (Pigmentation)  Face Malai - 30g</t>
        </is>
      </c>
      <c r="N615" t="inlineStr">
        <is>
          <t>FC-DM-AA-030</t>
        </is>
      </c>
      <c r="O615" t="inlineStr">
        <is>
          <t>FC-DM-PG-030</t>
        </is>
      </c>
      <c r="T615" t="inlineStr">
        <is>
          <t>May 1, 2024</t>
        </is>
      </c>
      <c r="U615" t="inlineStr">
        <is>
          <t>May 22, 2024</t>
        </is>
      </c>
      <c r="Z615" t="n">
        <v>21</v>
      </c>
      <c r="AE615" t="inlineStr">
        <is>
          <t>Bengaluru</t>
        </is>
      </c>
      <c r="AF615" t="inlineStr">
        <is>
          <t>2024-05</t>
        </is>
      </c>
      <c r="AG615" t="n">
        <v>5</v>
      </c>
      <c r="AH615" t="n">
        <v>2</v>
      </c>
      <c r="AI615" t="n">
        <v>1</v>
      </c>
      <c r="AJ615">
        <f>IF($AE615="","",IFERROR(VLOOKUP(TRIM($AE615),DECODE!$H$3:$I$60,2,FALSE),"Rest of India"))</f>
        <v/>
      </c>
      <c r="AK615">
        <f>IF($N615="","",UPPER(TRIM(LEFT($N615&amp;",",FIND(",",$N615&amp;",")-1))))</f>
        <v/>
      </c>
      <c r="AL615">
        <f>IF($AK615="","",MID($AK615,4,FIND("~",SUBSTITUTE($AK615,"-","~",2))-4))</f>
        <v/>
      </c>
      <c r="AM615">
        <f>IF($AK615="","",MID($AK615,FIND("~",SUBSTITUTE($AK615,"-","~",2))+1,FIND("~",SUBSTITUTE($AK615,"-","~",3))-FIND("~",SUBSTITUTE($AK615,"-","~",2))-1))</f>
        <v/>
      </c>
      <c r="AN615">
        <f>IF($AL615="","",IFERROR(VLOOKUP($AL615,DECODE!$A$3:$C$8,3,FALSE),"?"))</f>
        <v/>
      </c>
      <c r="AO615">
        <f>IF($AM615="","",IFERROR(VLOOKUP($AL615&amp;"-"&amp;$AM615,DECODE!$E$3:$F$21,2,FALSE),"?"))</f>
        <v/>
      </c>
      <c r="AP615">
        <f>IF($AK615="","",IFERROR(VALUE(RIGHT($AK615,3)),""))</f>
        <v/>
      </c>
      <c r="AQ615">
        <f>IF($T615="","",IFERROR(IF(ISNUMBER($T615),$T615,DATEVALUE(TRIM($T615))),""))</f>
        <v/>
      </c>
      <c r="AR615">
        <f>IF($AQ615="","",IF(MONTH($AQ615)&gt;=12,"Cold Winter",IF(MONTH($AQ615)&gt;=10,"Post-Monsoon",IF(MONTH($AQ615)&gt;=6,"Hot Humid",IF(MONTH($AQ615)&gt;=3,"Hot Dry","Cold Winter")))))</f>
        <v/>
      </c>
      <c r="AS615">
        <f>IF($AL615="","",IFERROR(VLOOKUP($AL615,DECODE!$A$3:$C$8,2,FALSE),"?"))</f>
        <v/>
      </c>
      <c r="AT615">
        <f>IF($O615="","",UPPER(TRIM(LEFT($O615&amp;",",FIND(",",$O615&amp;",")-1))))</f>
        <v/>
      </c>
      <c r="AU615">
        <f>IF($AT615="","",MID($AT615,4,FIND("~",SUBSTITUTE($AT615,"-","~",2))-4))</f>
        <v/>
      </c>
      <c r="AV615">
        <f>IF($AT615="","",MID($AT615,FIND("~",SUBSTITUTE($AT615,"-","~",2))+1,FIND("~",SUBSTITUTE($AT615,"-","~",3))-FIND("~",SUBSTITUTE($AT615,"-","~",2))-1))</f>
        <v/>
      </c>
      <c r="AW615">
        <f>IF($AU615="","",IFERROR(VLOOKUP($AU615,DECODE!$A$3:$C$8,3,FALSE),"?"))</f>
        <v/>
      </c>
      <c r="AX615">
        <f>IF($AV615="","",IFERROR(VLOOKUP($AU615&amp;"-"&amp;$AV615,DECODE!$E$3:$F$21,2,FALSE),"?"))</f>
        <v/>
      </c>
      <c r="AY615">
        <f>IF($AT615="","",IFERROR(VALUE(RIGHT($AT615,3)),""))</f>
        <v/>
      </c>
      <c r="AZ615">
        <f>IF($U615="","",IFERROR(IF(ISNUMBER($U615),$U615,DATEVALUE(TRIM($U615))),""))</f>
        <v/>
      </c>
      <c r="BA615">
        <f>IF($AZ615="","",IF(MONTH($AZ615)&gt;=12,"Cold Winter",IF(MONTH($AZ615)&gt;=10,"Post-Monsoon",IF(MONTH($AZ615)&gt;=6,"Hot Humid",IF(MONTH($AZ615)&gt;=3,"Hot Dry","Cold Winter")))))</f>
        <v/>
      </c>
      <c r="BB615">
        <f>IF($AU615="","",IFERROR(VLOOKUP($AU615,DECODE!$A$3:$C$8,2,FALSE),"?"))</f>
        <v/>
      </c>
      <c r="BC615">
        <f>IF($P615="","",UPPER(TRIM(LEFT($P615&amp;",",FIND(",",$P615&amp;",")-1))))</f>
        <v/>
      </c>
      <c r="BD615">
        <f>IF($BC615="","",MID($BC615,4,FIND("~",SUBSTITUTE($BC615,"-","~",2))-4))</f>
        <v/>
      </c>
      <c r="BE615">
        <f>IF($BC615="","",MID($BC615,FIND("~",SUBSTITUTE($BC615,"-","~",2))+1,FIND("~",SUBSTITUTE($BC615,"-","~",3))-FIND("~",SUBSTITUTE($BC615,"-","~",2))-1))</f>
        <v/>
      </c>
      <c r="BF615">
        <f>IF($BD615="","",IFERROR(VLOOKUP($BD615,DECODE!$A$3:$C$8,3,FALSE),"?"))</f>
        <v/>
      </c>
      <c r="BG615">
        <f>IF($BE615="","",IFERROR(VLOOKUP($BD615&amp;"-"&amp;$BE615,DECODE!$E$3:$F$21,2,FALSE),"?"))</f>
        <v/>
      </c>
      <c r="BH615">
        <f>IF($BC615="","",IFERROR(VALUE(RIGHT($BC615,3)),""))</f>
        <v/>
      </c>
      <c r="BI615">
        <f>IF($V615="","",IFERROR(IF(ISNUMBER($V615),$V615,DATEVALUE(TRIM($V615))),""))</f>
        <v/>
      </c>
      <c r="BJ615">
        <f>IF($BI615="","",IF(MONTH($BI615)&gt;=12,"Cold Winter",IF(MONTH($BI615)&gt;=10,"Post-Monsoon",IF(MONTH($BI615)&gt;=6,"Hot Humid",IF(MONTH($BI615)&gt;=3,"Hot Dry","Cold Winter")))))</f>
        <v/>
      </c>
      <c r="BK615">
        <f>IF($BD615="","",IFERROR(VLOOKUP($BD615,DECODE!$A$3:$C$8,2,FALSE),"?"))</f>
        <v/>
      </c>
      <c r="BL615">
        <f>IF($Q615="","",UPPER(TRIM(LEFT($Q615&amp;",",FIND(",",$Q615&amp;",")-1))))</f>
        <v/>
      </c>
      <c r="BM615">
        <f>IF($BL615="","",MID($BL615,4,FIND("~",SUBSTITUTE($BL615,"-","~",2))-4))</f>
        <v/>
      </c>
      <c r="BN615">
        <f>IF($BL615="","",MID($BL615,FIND("~",SUBSTITUTE($BL615,"-","~",2))+1,FIND("~",SUBSTITUTE($BL615,"-","~",3))-FIND("~",SUBSTITUTE($BL615,"-","~",2))-1))</f>
        <v/>
      </c>
      <c r="BO615">
        <f>IF($BM615="","",IFERROR(VLOOKUP($BM615,DECODE!$A$3:$C$8,3,FALSE),"?"))</f>
        <v/>
      </c>
      <c r="BP615">
        <f>IF($BN615="","",IFERROR(VLOOKUP($BM615&amp;"-"&amp;$BN615,DECODE!$E$3:$F$21,2,FALSE),"?"))</f>
        <v/>
      </c>
      <c r="BQ615">
        <f>IF($BL615="","",IFERROR(VALUE(RIGHT($BL615,3)),""))</f>
        <v/>
      </c>
      <c r="BR615">
        <f>IF($W615="","",IFERROR(IF(ISNUMBER($W615),$W615,DATEVALUE(TRIM($W615))),""))</f>
        <v/>
      </c>
      <c r="BS615">
        <f>IF($BR615="","",IF(MONTH($BR615)&gt;=12,"Cold Winter",IF(MONTH($BR615)&gt;=10,"Post-Monsoon",IF(MONTH($BR615)&gt;=6,"Hot Humid",IF(MONTH($BR615)&gt;=3,"Hot Dry","Cold Winter")))))</f>
        <v/>
      </c>
      <c r="BT615">
        <f>IF($BM615="","",IFERROR(VLOOKUP($BM615,DECODE!$A$3:$C$8,2,FALSE),"?"))</f>
        <v/>
      </c>
      <c r="BU615">
        <f>IF($R615="","",UPPER(TRIM(LEFT($R615&amp;",",FIND(",",$R615&amp;",")-1))))</f>
        <v/>
      </c>
      <c r="BV615">
        <f>IF($BU615="","",MID($BU615,4,FIND("~",SUBSTITUTE($BU615,"-","~",2))-4))</f>
        <v/>
      </c>
      <c r="BW615">
        <f>IF($BU615="","",MID($BU615,FIND("~",SUBSTITUTE($BU615,"-","~",2))+1,FIND("~",SUBSTITUTE($BU615,"-","~",3))-FIND("~",SUBSTITUTE($BU615,"-","~",2))-1))</f>
        <v/>
      </c>
      <c r="BX615">
        <f>IF($BV615="","",IFERROR(VLOOKUP($BV615,DECODE!$A$3:$C$8,3,FALSE),"?"))</f>
        <v/>
      </c>
      <c r="BY615">
        <f>IF($BW615="","",IFERROR(VLOOKUP($BV615&amp;"-"&amp;$BW615,DECODE!$E$3:$F$21,2,FALSE),"?"))</f>
        <v/>
      </c>
      <c r="BZ615">
        <f>IF($BU615="","",IFERROR(VALUE(RIGHT($BU615,3)),""))</f>
        <v/>
      </c>
      <c r="CA615">
        <f>IF($X615="","",IFERROR(IF(ISNUMBER($X615),$X615,DATEVALUE(TRIM($X615))),""))</f>
        <v/>
      </c>
      <c r="CB615">
        <f>IF($CA615="","",IF(MONTH($CA615)&gt;=12,"Cold Winter",IF(MONTH($CA615)&gt;=10,"Post-Monsoon",IF(MONTH($CA615)&gt;=6,"Hot Humid",IF(MONTH($CA615)&gt;=3,"Hot Dry","Cold Winter")))))</f>
        <v/>
      </c>
      <c r="CC615">
        <f>IF($BV615="","",IFERROR(VLOOKUP($BV615,DECODE!$A$3:$C$8,2,FALSE),"?"))</f>
        <v/>
      </c>
      <c r="CD615">
        <f>IF($S615="","",UPPER(TRIM(LEFT($S615&amp;",",FIND(",",$S615&amp;",")-1))))</f>
        <v/>
      </c>
      <c r="CE615">
        <f>IF($CD615="","",MID($CD615,4,FIND("~",SUBSTITUTE($CD615,"-","~",2))-4))</f>
        <v/>
      </c>
      <c r="CF615">
        <f>IF($CD615="","",MID($CD615,FIND("~",SUBSTITUTE($CD615,"-","~",2))+1,FIND("~",SUBSTITUTE($CD615,"-","~",3))-FIND("~",SUBSTITUTE($CD615,"-","~",2))-1))</f>
        <v/>
      </c>
      <c r="CG615">
        <f>IF($CE615="","",IFERROR(VLOOKUP($CE615,DECODE!$A$3:$C$8,3,FALSE),"?"))</f>
        <v/>
      </c>
      <c r="CH615">
        <f>IF($CF615="","",IFERROR(VLOOKUP($CE615&amp;"-"&amp;$CF615,DECODE!$E$3:$F$21,2,FALSE),"?"))</f>
        <v/>
      </c>
      <c r="CI615">
        <f>IF($CD615="","",IFERROR(VALUE(RIGHT($CD615,3)),""))</f>
        <v/>
      </c>
      <c r="CJ615">
        <f>IF($Y615="","",IFERROR(IF(ISNUMBER($Y615),$Y615,DATEVALUE(TRIM($Y615))),""))</f>
        <v/>
      </c>
      <c r="CK615">
        <f>IF($CJ615="","",IF(MONTH($CJ615)&gt;=12,"Cold Winter",IF(MONTH($CJ615)&gt;=10,"Post-Monsoon",IF(MONTH($CJ615)&gt;=6,"Hot Humid",IF(MONTH($CJ615)&gt;=3,"Hot Dry","Cold Winter")))))</f>
        <v/>
      </c>
      <c r="CL615">
        <f>IF($CE615="","",IFERROR(VLOOKUP($CE615,DECODE!$A$3:$C$8,2,FALSE),"?"))</f>
        <v/>
      </c>
      <c r="CM615">
        <f>IF($AN615="","",AN615)</f>
        <v/>
      </c>
      <c r="CN615">
        <f>IF($AO615="","",AO615)</f>
        <v/>
      </c>
      <c r="CO615">
        <f>IF($AP615="","",AP615)</f>
        <v/>
      </c>
      <c r="CP615">
        <f>IF($CM615="","",IF($CM615="Aloe Vera Gel","Aloe Vera Gel "&amp;$CO615&amp;"g",CN615&amp;" "&amp;$CO615&amp;"g"))</f>
        <v/>
      </c>
      <c r="CQ615">
        <f>IF($AT615="",0,1)</f>
        <v/>
      </c>
      <c r="CR615">
        <f>IF($CQ615=0,"",AW615)</f>
        <v/>
      </c>
      <c r="CS615">
        <f>IF($CQ615=0,"",AX615)</f>
        <v/>
      </c>
      <c r="CT615">
        <f>IF($CQ615=0,"",AY615)</f>
        <v/>
      </c>
      <c r="CU615">
        <f>IF($CR615="","",IF($CR615="Aloe Vera Gel","Aloe Vera Gel "&amp;$CT615&amp;"g",CS615&amp;" "&amp;$CT615&amp;"g"))</f>
        <v/>
      </c>
      <c r="CV615">
        <f>IF($CQ615=0,"",IF($CP615=$CU615,"Repeat Exact",IF($CT615&gt;$CO615,"Upsized",IF($CT615&lt;$CO615,"Downsized",IF($CM615&lt;&gt;$CR615,"Lateral","Same Size Diff Variant")))))</f>
        <v/>
      </c>
      <c r="CW615">
        <f>IF($CQ615=0,"",AZ615-AQ615)</f>
        <v/>
      </c>
      <c r="CX615">
        <f>IF($CQ615=0,0,IF(CS615=CN615,1,0))</f>
        <v/>
      </c>
      <c r="CY615">
        <f>IF($CQ615=0,0,IF(CR615=CM615,1,0))</f>
        <v/>
      </c>
      <c r="CZ615">
        <f>IF($A615="","",IF(AND(IF(DASHBOARD!$C$4="All",TRUE,$CM615=DASHBOARD!$C$4),IF(DASHBOARD!$C$6="All",TRUE,$CP615=DASHBOARD!$C$6),IF(DASHBOARD!$C$8="All",TRUE,$AF615&gt;=DASHBOARD!$C$8),IF(DASHBOARD!$C$10="All",TRUE,$AF615&lt;=DASHBOARD!$C$10),IF(DASHBOARD!$C$12="All",TRUE,$AH615=VALUE(DASHBOARD!$C$12)),IF(DASHBOARD!$C$14="All",TRUE,$AJ615=DASHBOARD!$C$14)),1,0))</f>
        <v/>
      </c>
    </row>
    <row r="616">
      <c r="A616" t="n">
        <v>264997</v>
      </c>
      <c r="B616" t="inlineStr">
        <is>
          <t>Aloe Vera Gel</t>
        </is>
      </c>
      <c r="H616" t="inlineStr">
        <is>
          <t>Aloe Vera Gel - 80 gms</t>
        </is>
      </c>
      <c r="N616" t="inlineStr">
        <is>
          <t>FC-HG-PA-080</t>
        </is>
      </c>
      <c r="T616" t="inlineStr">
        <is>
          <t>May 31, 2025</t>
        </is>
      </c>
      <c r="AE616" t="inlineStr">
        <is>
          <t>Aligarh</t>
        </is>
      </c>
      <c r="AF616" t="inlineStr">
        <is>
          <t>2025-05</t>
        </is>
      </c>
      <c r="AG616" t="n">
        <v>5</v>
      </c>
      <c r="AH616" t="n">
        <v>1</v>
      </c>
      <c r="AI616" t="n">
        <v>0</v>
      </c>
      <c r="AJ616">
        <f>IF($AE616="","",IFERROR(VLOOKUP(TRIM($AE616),DECODE!$H$3:$I$60,2,FALSE),"Rest of India"))</f>
        <v/>
      </c>
      <c r="AK616">
        <f>IF($N616="","",UPPER(TRIM(LEFT($N616&amp;",",FIND(",",$N616&amp;",")-1))))</f>
        <v/>
      </c>
      <c r="AL616">
        <f>IF($AK616="","",MID($AK616,4,FIND("~",SUBSTITUTE($AK616,"-","~",2))-4))</f>
        <v/>
      </c>
      <c r="AM616">
        <f>IF($AK616="","",MID($AK616,FIND("~",SUBSTITUTE($AK616,"-","~",2))+1,FIND("~",SUBSTITUTE($AK616,"-","~",3))-FIND("~",SUBSTITUTE($AK616,"-","~",2))-1))</f>
        <v/>
      </c>
      <c r="AN616">
        <f>IF($AL616="","",IFERROR(VLOOKUP($AL616,DECODE!$A$3:$C$8,3,FALSE),"?"))</f>
        <v/>
      </c>
      <c r="AO616">
        <f>IF($AM616="","",IFERROR(VLOOKUP($AL616&amp;"-"&amp;$AM616,DECODE!$E$3:$F$21,2,FALSE),"?"))</f>
        <v/>
      </c>
      <c r="AP616">
        <f>IF($AK616="","",IFERROR(VALUE(RIGHT($AK616,3)),""))</f>
        <v/>
      </c>
      <c r="AQ616">
        <f>IF($T616="","",IFERROR(IF(ISNUMBER($T616),$T616,DATEVALUE(TRIM($T616))),""))</f>
        <v/>
      </c>
      <c r="AR616">
        <f>IF($AQ616="","",IF(MONTH($AQ616)&gt;=12,"Cold Winter",IF(MONTH($AQ616)&gt;=10,"Post-Monsoon",IF(MONTH($AQ616)&gt;=6,"Hot Humid",IF(MONTH($AQ616)&gt;=3,"Hot Dry","Cold Winter")))))</f>
        <v/>
      </c>
      <c r="AS616">
        <f>IF($AL616="","",IFERROR(VLOOKUP($AL616,DECODE!$A$3:$C$8,2,FALSE),"?"))</f>
        <v/>
      </c>
      <c r="AT616">
        <f>IF($O616="","",UPPER(TRIM(LEFT($O616&amp;",",FIND(",",$O616&amp;",")-1))))</f>
        <v/>
      </c>
      <c r="AU616">
        <f>IF($AT616="","",MID($AT616,4,FIND("~",SUBSTITUTE($AT616,"-","~",2))-4))</f>
        <v/>
      </c>
      <c r="AV616">
        <f>IF($AT616="","",MID($AT616,FIND("~",SUBSTITUTE($AT616,"-","~",2))+1,FIND("~",SUBSTITUTE($AT616,"-","~",3))-FIND("~",SUBSTITUTE($AT616,"-","~",2))-1))</f>
        <v/>
      </c>
      <c r="AW616">
        <f>IF($AU616="","",IFERROR(VLOOKUP($AU616,DECODE!$A$3:$C$8,3,FALSE),"?"))</f>
        <v/>
      </c>
      <c r="AX616">
        <f>IF($AV616="","",IFERROR(VLOOKUP($AU616&amp;"-"&amp;$AV616,DECODE!$E$3:$F$21,2,FALSE),"?"))</f>
        <v/>
      </c>
      <c r="AY616">
        <f>IF($AT616="","",IFERROR(VALUE(RIGHT($AT616,3)),""))</f>
        <v/>
      </c>
      <c r="AZ616">
        <f>IF($U616="","",IFERROR(IF(ISNUMBER($U616),$U616,DATEVALUE(TRIM($U616))),""))</f>
        <v/>
      </c>
      <c r="BA616">
        <f>IF($AZ616="","",IF(MONTH($AZ616)&gt;=12,"Cold Winter",IF(MONTH($AZ616)&gt;=10,"Post-Monsoon",IF(MONTH($AZ616)&gt;=6,"Hot Humid",IF(MONTH($AZ616)&gt;=3,"Hot Dry","Cold Winter")))))</f>
        <v/>
      </c>
      <c r="BB616">
        <f>IF($AU616="","",IFERROR(VLOOKUP($AU616,DECODE!$A$3:$C$8,2,FALSE),"?"))</f>
        <v/>
      </c>
      <c r="BC616">
        <f>IF($P616="","",UPPER(TRIM(LEFT($P616&amp;",",FIND(",",$P616&amp;",")-1))))</f>
        <v/>
      </c>
      <c r="BD616">
        <f>IF($BC616="","",MID($BC616,4,FIND("~",SUBSTITUTE($BC616,"-","~",2))-4))</f>
        <v/>
      </c>
      <c r="BE616">
        <f>IF($BC616="","",MID($BC616,FIND("~",SUBSTITUTE($BC616,"-","~",2))+1,FIND("~",SUBSTITUTE($BC616,"-","~",3))-FIND("~",SUBSTITUTE($BC616,"-","~",2))-1))</f>
        <v/>
      </c>
      <c r="BF616">
        <f>IF($BD616="","",IFERROR(VLOOKUP($BD616,DECODE!$A$3:$C$8,3,FALSE),"?"))</f>
        <v/>
      </c>
      <c r="BG616">
        <f>IF($BE616="","",IFERROR(VLOOKUP($BD616&amp;"-"&amp;$BE616,DECODE!$E$3:$F$21,2,FALSE),"?"))</f>
        <v/>
      </c>
      <c r="BH616">
        <f>IF($BC616="","",IFERROR(VALUE(RIGHT($BC616,3)),""))</f>
        <v/>
      </c>
      <c r="BI616">
        <f>IF($V616="","",IFERROR(IF(ISNUMBER($V616),$V616,DATEVALUE(TRIM($V616))),""))</f>
        <v/>
      </c>
      <c r="BJ616">
        <f>IF($BI616="","",IF(MONTH($BI616)&gt;=12,"Cold Winter",IF(MONTH($BI616)&gt;=10,"Post-Monsoon",IF(MONTH($BI616)&gt;=6,"Hot Humid",IF(MONTH($BI616)&gt;=3,"Hot Dry","Cold Winter")))))</f>
        <v/>
      </c>
      <c r="BK616">
        <f>IF($BD616="","",IFERROR(VLOOKUP($BD616,DECODE!$A$3:$C$8,2,FALSE),"?"))</f>
        <v/>
      </c>
      <c r="BL616">
        <f>IF($Q616="","",UPPER(TRIM(LEFT($Q616&amp;",",FIND(",",$Q616&amp;",")-1))))</f>
        <v/>
      </c>
      <c r="BM616">
        <f>IF($BL616="","",MID($BL616,4,FIND("~",SUBSTITUTE($BL616,"-","~",2))-4))</f>
        <v/>
      </c>
      <c r="BN616">
        <f>IF($BL616="","",MID($BL616,FIND("~",SUBSTITUTE($BL616,"-","~",2))+1,FIND("~",SUBSTITUTE($BL616,"-","~",3))-FIND("~",SUBSTITUTE($BL616,"-","~",2))-1))</f>
        <v/>
      </c>
      <c r="BO616">
        <f>IF($BM616="","",IFERROR(VLOOKUP($BM616,DECODE!$A$3:$C$8,3,FALSE),"?"))</f>
        <v/>
      </c>
      <c r="BP616">
        <f>IF($BN616="","",IFERROR(VLOOKUP($BM616&amp;"-"&amp;$BN616,DECODE!$E$3:$F$21,2,FALSE),"?"))</f>
        <v/>
      </c>
      <c r="BQ616">
        <f>IF($BL616="","",IFERROR(VALUE(RIGHT($BL616,3)),""))</f>
        <v/>
      </c>
      <c r="BR616">
        <f>IF($W616="","",IFERROR(IF(ISNUMBER($W616),$W616,DATEVALUE(TRIM($W616))),""))</f>
        <v/>
      </c>
      <c r="BS616">
        <f>IF($BR616="","",IF(MONTH($BR616)&gt;=12,"Cold Winter",IF(MONTH($BR616)&gt;=10,"Post-Monsoon",IF(MONTH($BR616)&gt;=6,"Hot Humid",IF(MONTH($BR616)&gt;=3,"Hot Dry","Cold Winter")))))</f>
        <v/>
      </c>
      <c r="BT616">
        <f>IF($BM616="","",IFERROR(VLOOKUP($BM616,DECODE!$A$3:$C$8,2,FALSE),"?"))</f>
        <v/>
      </c>
      <c r="BU616">
        <f>IF($R616="","",UPPER(TRIM(LEFT($R616&amp;",",FIND(",",$R616&amp;",")-1))))</f>
        <v/>
      </c>
      <c r="BV616">
        <f>IF($BU616="","",MID($BU616,4,FIND("~",SUBSTITUTE($BU616,"-","~",2))-4))</f>
        <v/>
      </c>
      <c r="BW616">
        <f>IF($BU616="","",MID($BU616,FIND("~",SUBSTITUTE($BU616,"-","~",2))+1,FIND("~",SUBSTITUTE($BU616,"-","~",3))-FIND("~",SUBSTITUTE($BU616,"-","~",2))-1))</f>
        <v/>
      </c>
      <c r="BX616">
        <f>IF($BV616="","",IFERROR(VLOOKUP($BV616,DECODE!$A$3:$C$8,3,FALSE),"?"))</f>
        <v/>
      </c>
      <c r="BY616">
        <f>IF($BW616="","",IFERROR(VLOOKUP($BV616&amp;"-"&amp;$BW616,DECODE!$E$3:$F$21,2,FALSE),"?"))</f>
        <v/>
      </c>
      <c r="BZ616">
        <f>IF($BU616="","",IFERROR(VALUE(RIGHT($BU616,3)),""))</f>
        <v/>
      </c>
      <c r="CA616">
        <f>IF($X616="","",IFERROR(IF(ISNUMBER($X616),$X616,DATEVALUE(TRIM($X616))),""))</f>
        <v/>
      </c>
      <c r="CB616">
        <f>IF($CA616="","",IF(MONTH($CA616)&gt;=12,"Cold Winter",IF(MONTH($CA616)&gt;=10,"Post-Monsoon",IF(MONTH($CA616)&gt;=6,"Hot Humid",IF(MONTH($CA616)&gt;=3,"Hot Dry","Cold Winter")))))</f>
        <v/>
      </c>
      <c r="CC616">
        <f>IF($BV616="","",IFERROR(VLOOKUP($BV616,DECODE!$A$3:$C$8,2,FALSE),"?"))</f>
        <v/>
      </c>
      <c r="CD616">
        <f>IF($S616="","",UPPER(TRIM(LEFT($S616&amp;",",FIND(",",$S616&amp;",")-1))))</f>
        <v/>
      </c>
      <c r="CE616">
        <f>IF($CD616="","",MID($CD616,4,FIND("~",SUBSTITUTE($CD616,"-","~",2))-4))</f>
        <v/>
      </c>
      <c r="CF616">
        <f>IF($CD616="","",MID($CD616,FIND("~",SUBSTITUTE($CD616,"-","~",2))+1,FIND("~",SUBSTITUTE($CD616,"-","~",3))-FIND("~",SUBSTITUTE($CD616,"-","~",2))-1))</f>
        <v/>
      </c>
      <c r="CG616">
        <f>IF($CE616="","",IFERROR(VLOOKUP($CE616,DECODE!$A$3:$C$8,3,FALSE),"?"))</f>
        <v/>
      </c>
      <c r="CH616">
        <f>IF($CF616="","",IFERROR(VLOOKUP($CE616&amp;"-"&amp;$CF616,DECODE!$E$3:$F$21,2,FALSE),"?"))</f>
        <v/>
      </c>
      <c r="CI616">
        <f>IF($CD616="","",IFERROR(VALUE(RIGHT($CD616,3)),""))</f>
        <v/>
      </c>
      <c r="CJ616">
        <f>IF($Y616="","",IFERROR(IF(ISNUMBER($Y616),$Y616,DATEVALUE(TRIM($Y616))),""))</f>
        <v/>
      </c>
      <c r="CK616">
        <f>IF($CJ616="","",IF(MONTH($CJ616)&gt;=12,"Cold Winter",IF(MONTH($CJ616)&gt;=10,"Post-Monsoon",IF(MONTH($CJ616)&gt;=6,"Hot Humid",IF(MONTH($CJ616)&gt;=3,"Hot Dry","Cold Winter")))))</f>
        <v/>
      </c>
      <c r="CL616">
        <f>IF($CE616="","",IFERROR(VLOOKUP($CE616,DECODE!$A$3:$C$8,2,FALSE),"?"))</f>
        <v/>
      </c>
      <c r="CM616">
        <f>IF($AN616="","",AN616)</f>
        <v/>
      </c>
      <c r="CN616">
        <f>IF($AO616="","",AO616)</f>
        <v/>
      </c>
      <c r="CO616">
        <f>IF($AP616="","",AP616)</f>
        <v/>
      </c>
      <c r="CP616">
        <f>IF($CM616="","",IF($CM616="Aloe Vera Gel","Aloe Vera Gel "&amp;$CO616&amp;"g",CN616&amp;" "&amp;$CO616&amp;"g"))</f>
        <v/>
      </c>
      <c r="CQ616">
        <f>IF($AT616="",0,1)</f>
        <v/>
      </c>
      <c r="CR616">
        <f>IF($CQ616=0,"",AW616)</f>
        <v/>
      </c>
      <c r="CS616">
        <f>IF($CQ616=0,"",AX616)</f>
        <v/>
      </c>
      <c r="CT616">
        <f>IF($CQ616=0,"",AY616)</f>
        <v/>
      </c>
      <c r="CU616">
        <f>IF($CR616="","",IF($CR616="Aloe Vera Gel","Aloe Vera Gel "&amp;$CT616&amp;"g",CS616&amp;" "&amp;$CT616&amp;"g"))</f>
        <v/>
      </c>
      <c r="CV616">
        <f>IF($CQ616=0,"",IF($CP616=$CU616,"Repeat Exact",IF($CT616&gt;$CO616,"Upsized",IF($CT616&lt;$CO616,"Downsized",IF($CM616&lt;&gt;$CR616,"Lateral","Same Size Diff Variant")))))</f>
        <v/>
      </c>
      <c r="CW616">
        <f>IF($CQ616=0,"",AZ616-AQ616)</f>
        <v/>
      </c>
      <c r="CX616">
        <f>IF($CQ616=0,0,IF(CS616=CN616,1,0))</f>
        <v/>
      </c>
      <c r="CY616">
        <f>IF($CQ616=0,0,IF(CR616=CM616,1,0))</f>
        <v/>
      </c>
      <c r="CZ616">
        <f>IF($A616="","",IF(AND(IF(DASHBOARD!$C$4="All",TRUE,$CM616=DASHBOARD!$C$4),IF(DASHBOARD!$C$6="All",TRUE,$CP616=DASHBOARD!$C$6),IF(DASHBOARD!$C$8="All",TRUE,$AF616&gt;=DASHBOARD!$C$8),IF(DASHBOARD!$C$10="All",TRUE,$AF616&lt;=DASHBOARD!$C$10),IF(DASHBOARD!$C$12="All",TRUE,$AH616=VALUE(DASHBOARD!$C$12)),IF(DASHBOARD!$C$14="All",TRUE,$AJ616=DASHBOARD!$C$14)),1,0))</f>
        <v/>
      </c>
    </row>
    <row r="617">
      <c r="A617" t="n">
        <v>265326</v>
      </c>
      <c r="B617" t="inlineStr">
        <is>
          <t>Aloe Vera Gel</t>
        </is>
      </c>
      <c r="H617" t="inlineStr">
        <is>
          <t>Aloe Vera Gel - 40 gms</t>
        </is>
      </c>
      <c r="N617" t="inlineStr">
        <is>
          <t>FC-HG-PA-040</t>
        </is>
      </c>
      <c r="T617" t="inlineStr">
        <is>
          <t>May 6, 2024</t>
        </is>
      </c>
      <c r="AE617" t="inlineStr">
        <is>
          <t>Gurgaon</t>
        </is>
      </c>
      <c r="AF617" t="inlineStr">
        <is>
          <t>2024-05</t>
        </is>
      </c>
      <c r="AG617" t="n">
        <v>5</v>
      </c>
      <c r="AH617" t="n">
        <v>1</v>
      </c>
      <c r="AI617" t="n">
        <v>0</v>
      </c>
      <c r="AJ617">
        <f>IF($AE617="","",IFERROR(VLOOKUP(TRIM($AE617),DECODE!$H$3:$I$60,2,FALSE),"Rest of India"))</f>
        <v/>
      </c>
      <c r="AK617">
        <f>IF($N617="","",UPPER(TRIM(LEFT($N617&amp;",",FIND(",",$N617&amp;",")-1))))</f>
        <v/>
      </c>
      <c r="AL617">
        <f>IF($AK617="","",MID($AK617,4,FIND("~",SUBSTITUTE($AK617,"-","~",2))-4))</f>
        <v/>
      </c>
      <c r="AM617">
        <f>IF($AK617="","",MID($AK617,FIND("~",SUBSTITUTE($AK617,"-","~",2))+1,FIND("~",SUBSTITUTE($AK617,"-","~",3))-FIND("~",SUBSTITUTE($AK617,"-","~",2))-1))</f>
        <v/>
      </c>
      <c r="AN617">
        <f>IF($AL617="","",IFERROR(VLOOKUP($AL617,DECODE!$A$3:$C$8,3,FALSE),"?"))</f>
        <v/>
      </c>
      <c r="AO617">
        <f>IF($AM617="","",IFERROR(VLOOKUP($AL617&amp;"-"&amp;$AM617,DECODE!$E$3:$F$21,2,FALSE),"?"))</f>
        <v/>
      </c>
      <c r="AP617">
        <f>IF($AK617="","",IFERROR(VALUE(RIGHT($AK617,3)),""))</f>
        <v/>
      </c>
      <c r="AQ617">
        <f>IF($T617="","",IFERROR(IF(ISNUMBER($T617),$T617,DATEVALUE(TRIM($T617))),""))</f>
        <v/>
      </c>
      <c r="AR617">
        <f>IF($AQ617="","",IF(MONTH($AQ617)&gt;=12,"Cold Winter",IF(MONTH($AQ617)&gt;=10,"Post-Monsoon",IF(MONTH($AQ617)&gt;=6,"Hot Humid",IF(MONTH($AQ617)&gt;=3,"Hot Dry","Cold Winter")))))</f>
        <v/>
      </c>
      <c r="AS617">
        <f>IF($AL617="","",IFERROR(VLOOKUP($AL617,DECODE!$A$3:$C$8,2,FALSE),"?"))</f>
        <v/>
      </c>
      <c r="AT617">
        <f>IF($O617="","",UPPER(TRIM(LEFT($O617&amp;",",FIND(",",$O617&amp;",")-1))))</f>
        <v/>
      </c>
      <c r="AU617">
        <f>IF($AT617="","",MID($AT617,4,FIND("~",SUBSTITUTE($AT617,"-","~",2))-4))</f>
        <v/>
      </c>
      <c r="AV617">
        <f>IF($AT617="","",MID($AT617,FIND("~",SUBSTITUTE($AT617,"-","~",2))+1,FIND("~",SUBSTITUTE($AT617,"-","~",3))-FIND("~",SUBSTITUTE($AT617,"-","~",2))-1))</f>
        <v/>
      </c>
      <c r="AW617">
        <f>IF($AU617="","",IFERROR(VLOOKUP($AU617,DECODE!$A$3:$C$8,3,FALSE),"?"))</f>
        <v/>
      </c>
      <c r="AX617">
        <f>IF($AV617="","",IFERROR(VLOOKUP($AU617&amp;"-"&amp;$AV617,DECODE!$E$3:$F$21,2,FALSE),"?"))</f>
        <v/>
      </c>
      <c r="AY617">
        <f>IF($AT617="","",IFERROR(VALUE(RIGHT($AT617,3)),""))</f>
        <v/>
      </c>
      <c r="AZ617">
        <f>IF($U617="","",IFERROR(IF(ISNUMBER($U617),$U617,DATEVALUE(TRIM($U617))),""))</f>
        <v/>
      </c>
      <c r="BA617">
        <f>IF($AZ617="","",IF(MONTH($AZ617)&gt;=12,"Cold Winter",IF(MONTH($AZ617)&gt;=10,"Post-Monsoon",IF(MONTH($AZ617)&gt;=6,"Hot Humid",IF(MONTH($AZ617)&gt;=3,"Hot Dry","Cold Winter")))))</f>
        <v/>
      </c>
      <c r="BB617">
        <f>IF($AU617="","",IFERROR(VLOOKUP($AU617,DECODE!$A$3:$C$8,2,FALSE),"?"))</f>
        <v/>
      </c>
      <c r="BC617">
        <f>IF($P617="","",UPPER(TRIM(LEFT($P617&amp;",",FIND(",",$P617&amp;",")-1))))</f>
        <v/>
      </c>
      <c r="BD617">
        <f>IF($BC617="","",MID($BC617,4,FIND("~",SUBSTITUTE($BC617,"-","~",2))-4))</f>
        <v/>
      </c>
      <c r="BE617">
        <f>IF($BC617="","",MID($BC617,FIND("~",SUBSTITUTE($BC617,"-","~",2))+1,FIND("~",SUBSTITUTE($BC617,"-","~",3))-FIND("~",SUBSTITUTE($BC617,"-","~",2))-1))</f>
        <v/>
      </c>
      <c r="BF617">
        <f>IF($BD617="","",IFERROR(VLOOKUP($BD617,DECODE!$A$3:$C$8,3,FALSE),"?"))</f>
        <v/>
      </c>
      <c r="BG617">
        <f>IF($BE617="","",IFERROR(VLOOKUP($BD617&amp;"-"&amp;$BE617,DECODE!$E$3:$F$21,2,FALSE),"?"))</f>
        <v/>
      </c>
      <c r="BH617">
        <f>IF($BC617="","",IFERROR(VALUE(RIGHT($BC617,3)),""))</f>
        <v/>
      </c>
      <c r="BI617">
        <f>IF($V617="","",IFERROR(IF(ISNUMBER($V617),$V617,DATEVALUE(TRIM($V617))),""))</f>
        <v/>
      </c>
      <c r="BJ617">
        <f>IF($BI617="","",IF(MONTH($BI617)&gt;=12,"Cold Winter",IF(MONTH($BI617)&gt;=10,"Post-Monsoon",IF(MONTH($BI617)&gt;=6,"Hot Humid",IF(MONTH($BI617)&gt;=3,"Hot Dry","Cold Winter")))))</f>
        <v/>
      </c>
      <c r="BK617">
        <f>IF($BD617="","",IFERROR(VLOOKUP($BD617,DECODE!$A$3:$C$8,2,FALSE),"?"))</f>
        <v/>
      </c>
      <c r="BL617">
        <f>IF($Q617="","",UPPER(TRIM(LEFT($Q617&amp;",",FIND(",",$Q617&amp;",")-1))))</f>
        <v/>
      </c>
      <c r="BM617">
        <f>IF($BL617="","",MID($BL617,4,FIND("~",SUBSTITUTE($BL617,"-","~",2))-4))</f>
        <v/>
      </c>
      <c r="BN617">
        <f>IF($BL617="","",MID($BL617,FIND("~",SUBSTITUTE($BL617,"-","~",2))+1,FIND("~",SUBSTITUTE($BL617,"-","~",3))-FIND("~",SUBSTITUTE($BL617,"-","~",2))-1))</f>
        <v/>
      </c>
      <c r="BO617">
        <f>IF($BM617="","",IFERROR(VLOOKUP($BM617,DECODE!$A$3:$C$8,3,FALSE),"?"))</f>
        <v/>
      </c>
      <c r="BP617">
        <f>IF($BN617="","",IFERROR(VLOOKUP($BM617&amp;"-"&amp;$BN617,DECODE!$E$3:$F$21,2,FALSE),"?"))</f>
        <v/>
      </c>
      <c r="BQ617">
        <f>IF($BL617="","",IFERROR(VALUE(RIGHT($BL617,3)),""))</f>
        <v/>
      </c>
      <c r="BR617">
        <f>IF($W617="","",IFERROR(IF(ISNUMBER($W617),$W617,DATEVALUE(TRIM($W617))),""))</f>
        <v/>
      </c>
      <c r="BS617">
        <f>IF($BR617="","",IF(MONTH($BR617)&gt;=12,"Cold Winter",IF(MONTH($BR617)&gt;=10,"Post-Monsoon",IF(MONTH($BR617)&gt;=6,"Hot Humid",IF(MONTH($BR617)&gt;=3,"Hot Dry","Cold Winter")))))</f>
        <v/>
      </c>
      <c r="BT617">
        <f>IF($BM617="","",IFERROR(VLOOKUP($BM617,DECODE!$A$3:$C$8,2,FALSE),"?"))</f>
        <v/>
      </c>
      <c r="BU617">
        <f>IF($R617="","",UPPER(TRIM(LEFT($R617&amp;",",FIND(",",$R617&amp;",")-1))))</f>
        <v/>
      </c>
      <c r="BV617">
        <f>IF($BU617="","",MID($BU617,4,FIND("~",SUBSTITUTE($BU617,"-","~",2))-4))</f>
        <v/>
      </c>
      <c r="BW617">
        <f>IF($BU617="","",MID($BU617,FIND("~",SUBSTITUTE($BU617,"-","~",2))+1,FIND("~",SUBSTITUTE($BU617,"-","~",3))-FIND("~",SUBSTITUTE($BU617,"-","~",2))-1))</f>
        <v/>
      </c>
      <c r="BX617">
        <f>IF($BV617="","",IFERROR(VLOOKUP($BV617,DECODE!$A$3:$C$8,3,FALSE),"?"))</f>
        <v/>
      </c>
      <c r="BY617">
        <f>IF($BW617="","",IFERROR(VLOOKUP($BV617&amp;"-"&amp;$BW617,DECODE!$E$3:$F$21,2,FALSE),"?"))</f>
        <v/>
      </c>
      <c r="BZ617">
        <f>IF($BU617="","",IFERROR(VALUE(RIGHT($BU617,3)),""))</f>
        <v/>
      </c>
      <c r="CA617">
        <f>IF($X617="","",IFERROR(IF(ISNUMBER($X617),$X617,DATEVALUE(TRIM($X617))),""))</f>
        <v/>
      </c>
      <c r="CB617">
        <f>IF($CA617="","",IF(MONTH($CA617)&gt;=12,"Cold Winter",IF(MONTH($CA617)&gt;=10,"Post-Monsoon",IF(MONTH($CA617)&gt;=6,"Hot Humid",IF(MONTH($CA617)&gt;=3,"Hot Dry","Cold Winter")))))</f>
        <v/>
      </c>
      <c r="CC617">
        <f>IF($BV617="","",IFERROR(VLOOKUP($BV617,DECODE!$A$3:$C$8,2,FALSE),"?"))</f>
        <v/>
      </c>
      <c r="CD617">
        <f>IF($S617="","",UPPER(TRIM(LEFT($S617&amp;",",FIND(",",$S617&amp;",")-1))))</f>
        <v/>
      </c>
      <c r="CE617">
        <f>IF($CD617="","",MID($CD617,4,FIND("~",SUBSTITUTE($CD617,"-","~",2))-4))</f>
        <v/>
      </c>
      <c r="CF617">
        <f>IF($CD617="","",MID($CD617,FIND("~",SUBSTITUTE($CD617,"-","~",2))+1,FIND("~",SUBSTITUTE($CD617,"-","~",3))-FIND("~",SUBSTITUTE($CD617,"-","~",2))-1))</f>
        <v/>
      </c>
      <c r="CG617">
        <f>IF($CE617="","",IFERROR(VLOOKUP($CE617,DECODE!$A$3:$C$8,3,FALSE),"?"))</f>
        <v/>
      </c>
      <c r="CH617">
        <f>IF($CF617="","",IFERROR(VLOOKUP($CE617&amp;"-"&amp;$CF617,DECODE!$E$3:$F$21,2,FALSE),"?"))</f>
        <v/>
      </c>
      <c r="CI617">
        <f>IF($CD617="","",IFERROR(VALUE(RIGHT($CD617,3)),""))</f>
        <v/>
      </c>
      <c r="CJ617">
        <f>IF($Y617="","",IFERROR(IF(ISNUMBER($Y617),$Y617,DATEVALUE(TRIM($Y617))),""))</f>
        <v/>
      </c>
      <c r="CK617">
        <f>IF($CJ617="","",IF(MONTH($CJ617)&gt;=12,"Cold Winter",IF(MONTH($CJ617)&gt;=10,"Post-Monsoon",IF(MONTH($CJ617)&gt;=6,"Hot Humid",IF(MONTH($CJ617)&gt;=3,"Hot Dry","Cold Winter")))))</f>
        <v/>
      </c>
      <c r="CL617">
        <f>IF($CE617="","",IFERROR(VLOOKUP($CE617,DECODE!$A$3:$C$8,2,FALSE),"?"))</f>
        <v/>
      </c>
      <c r="CM617">
        <f>IF($AN617="","",AN617)</f>
        <v/>
      </c>
      <c r="CN617">
        <f>IF($AO617="","",AO617)</f>
        <v/>
      </c>
      <c r="CO617">
        <f>IF($AP617="","",AP617)</f>
        <v/>
      </c>
      <c r="CP617">
        <f>IF($CM617="","",IF($CM617="Aloe Vera Gel","Aloe Vera Gel "&amp;$CO617&amp;"g",CN617&amp;" "&amp;$CO617&amp;"g"))</f>
        <v/>
      </c>
      <c r="CQ617">
        <f>IF($AT617="",0,1)</f>
        <v/>
      </c>
      <c r="CR617">
        <f>IF($CQ617=0,"",AW617)</f>
        <v/>
      </c>
      <c r="CS617">
        <f>IF($CQ617=0,"",AX617)</f>
        <v/>
      </c>
      <c r="CT617">
        <f>IF($CQ617=0,"",AY617)</f>
        <v/>
      </c>
      <c r="CU617">
        <f>IF($CR617="","",IF($CR617="Aloe Vera Gel","Aloe Vera Gel "&amp;$CT617&amp;"g",CS617&amp;" "&amp;$CT617&amp;"g"))</f>
        <v/>
      </c>
      <c r="CV617">
        <f>IF($CQ617=0,"",IF($CP617=$CU617,"Repeat Exact",IF($CT617&gt;$CO617,"Upsized",IF($CT617&lt;$CO617,"Downsized",IF($CM617&lt;&gt;$CR617,"Lateral","Same Size Diff Variant")))))</f>
        <v/>
      </c>
      <c r="CW617">
        <f>IF($CQ617=0,"",AZ617-AQ617)</f>
        <v/>
      </c>
      <c r="CX617">
        <f>IF($CQ617=0,0,IF(CS617=CN617,1,0))</f>
        <v/>
      </c>
      <c r="CY617">
        <f>IF($CQ617=0,0,IF(CR617=CM617,1,0))</f>
        <v/>
      </c>
      <c r="CZ617">
        <f>IF($A617="","",IF(AND(IF(DASHBOARD!$C$4="All",TRUE,$CM617=DASHBOARD!$C$4),IF(DASHBOARD!$C$6="All",TRUE,$CP617=DASHBOARD!$C$6),IF(DASHBOARD!$C$8="All",TRUE,$AF617&gt;=DASHBOARD!$C$8),IF(DASHBOARD!$C$10="All",TRUE,$AF617&lt;=DASHBOARD!$C$10),IF(DASHBOARD!$C$12="All",TRUE,$AH617=VALUE(DASHBOARD!$C$12)),IF(DASHBOARD!$C$14="All",TRUE,$AJ617=DASHBOARD!$C$14)),1,0))</f>
        <v/>
      </c>
    </row>
    <row r="618">
      <c r="A618" t="n">
        <v>266071</v>
      </c>
      <c r="B618" t="inlineStr">
        <is>
          <t>Face Malai</t>
        </is>
      </c>
      <c r="H618" t="inlineStr">
        <is>
          <t>Turmeric Nutmeg (Pigmentation)  Face Malai - 30g</t>
        </is>
      </c>
      <c r="N618" t="inlineStr">
        <is>
          <t>FC-DM-PG-030</t>
        </is>
      </c>
      <c r="T618" t="inlineStr">
        <is>
          <t>Mar 5, 2025</t>
        </is>
      </c>
      <c r="AE618" t="inlineStr">
        <is>
          <t>Gautam Buddha Nagar</t>
        </is>
      </c>
      <c r="AF618" t="inlineStr">
        <is>
          <t>2025-03</t>
        </is>
      </c>
      <c r="AG618" t="n">
        <v>3</v>
      </c>
      <c r="AH618" t="n">
        <v>1</v>
      </c>
      <c r="AI618" t="n">
        <v>0</v>
      </c>
      <c r="AJ618">
        <f>IF($AE618="","",IFERROR(VLOOKUP(TRIM($AE618),DECODE!$H$3:$I$60,2,FALSE),"Rest of India"))</f>
        <v/>
      </c>
      <c r="AK618">
        <f>IF($N618="","",UPPER(TRIM(LEFT($N618&amp;",",FIND(",",$N618&amp;",")-1))))</f>
        <v/>
      </c>
      <c r="AL618">
        <f>IF($AK618="","",MID($AK618,4,FIND("~",SUBSTITUTE($AK618,"-","~",2))-4))</f>
        <v/>
      </c>
      <c r="AM618">
        <f>IF($AK618="","",MID($AK618,FIND("~",SUBSTITUTE($AK618,"-","~",2))+1,FIND("~",SUBSTITUTE($AK618,"-","~",3))-FIND("~",SUBSTITUTE($AK618,"-","~",2))-1))</f>
        <v/>
      </c>
      <c r="AN618">
        <f>IF($AL618="","",IFERROR(VLOOKUP($AL618,DECODE!$A$3:$C$8,3,FALSE),"?"))</f>
        <v/>
      </c>
      <c r="AO618">
        <f>IF($AM618="","",IFERROR(VLOOKUP($AL618&amp;"-"&amp;$AM618,DECODE!$E$3:$F$21,2,FALSE),"?"))</f>
        <v/>
      </c>
      <c r="AP618">
        <f>IF($AK618="","",IFERROR(VALUE(RIGHT($AK618,3)),""))</f>
        <v/>
      </c>
      <c r="AQ618">
        <f>IF($T618="","",IFERROR(IF(ISNUMBER($T618),$T618,DATEVALUE(TRIM($T618))),""))</f>
        <v/>
      </c>
      <c r="AR618">
        <f>IF($AQ618="","",IF(MONTH($AQ618)&gt;=12,"Cold Winter",IF(MONTH($AQ618)&gt;=10,"Post-Monsoon",IF(MONTH($AQ618)&gt;=6,"Hot Humid",IF(MONTH($AQ618)&gt;=3,"Hot Dry","Cold Winter")))))</f>
        <v/>
      </c>
      <c r="AS618">
        <f>IF($AL618="","",IFERROR(VLOOKUP($AL618,DECODE!$A$3:$C$8,2,FALSE),"?"))</f>
        <v/>
      </c>
      <c r="AT618">
        <f>IF($O618="","",UPPER(TRIM(LEFT($O618&amp;",",FIND(",",$O618&amp;",")-1))))</f>
        <v/>
      </c>
      <c r="AU618">
        <f>IF($AT618="","",MID($AT618,4,FIND("~",SUBSTITUTE($AT618,"-","~",2))-4))</f>
        <v/>
      </c>
      <c r="AV618">
        <f>IF($AT618="","",MID($AT618,FIND("~",SUBSTITUTE($AT618,"-","~",2))+1,FIND("~",SUBSTITUTE($AT618,"-","~",3))-FIND("~",SUBSTITUTE($AT618,"-","~",2))-1))</f>
        <v/>
      </c>
      <c r="AW618">
        <f>IF($AU618="","",IFERROR(VLOOKUP($AU618,DECODE!$A$3:$C$8,3,FALSE),"?"))</f>
        <v/>
      </c>
      <c r="AX618">
        <f>IF($AV618="","",IFERROR(VLOOKUP($AU618&amp;"-"&amp;$AV618,DECODE!$E$3:$F$21,2,FALSE),"?"))</f>
        <v/>
      </c>
      <c r="AY618">
        <f>IF($AT618="","",IFERROR(VALUE(RIGHT($AT618,3)),""))</f>
        <v/>
      </c>
      <c r="AZ618">
        <f>IF($U618="","",IFERROR(IF(ISNUMBER($U618),$U618,DATEVALUE(TRIM($U618))),""))</f>
        <v/>
      </c>
      <c r="BA618">
        <f>IF($AZ618="","",IF(MONTH($AZ618)&gt;=12,"Cold Winter",IF(MONTH($AZ618)&gt;=10,"Post-Monsoon",IF(MONTH($AZ618)&gt;=6,"Hot Humid",IF(MONTH($AZ618)&gt;=3,"Hot Dry","Cold Winter")))))</f>
        <v/>
      </c>
      <c r="BB618">
        <f>IF($AU618="","",IFERROR(VLOOKUP($AU618,DECODE!$A$3:$C$8,2,FALSE),"?"))</f>
        <v/>
      </c>
      <c r="BC618">
        <f>IF($P618="","",UPPER(TRIM(LEFT($P618&amp;",",FIND(",",$P618&amp;",")-1))))</f>
        <v/>
      </c>
      <c r="BD618">
        <f>IF($BC618="","",MID($BC618,4,FIND("~",SUBSTITUTE($BC618,"-","~",2))-4))</f>
        <v/>
      </c>
      <c r="BE618">
        <f>IF($BC618="","",MID($BC618,FIND("~",SUBSTITUTE($BC618,"-","~",2))+1,FIND("~",SUBSTITUTE($BC618,"-","~",3))-FIND("~",SUBSTITUTE($BC618,"-","~",2))-1))</f>
        <v/>
      </c>
      <c r="BF618">
        <f>IF($BD618="","",IFERROR(VLOOKUP($BD618,DECODE!$A$3:$C$8,3,FALSE),"?"))</f>
        <v/>
      </c>
      <c r="BG618">
        <f>IF($BE618="","",IFERROR(VLOOKUP($BD618&amp;"-"&amp;$BE618,DECODE!$E$3:$F$21,2,FALSE),"?"))</f>
        <v/>
      </c>
      <c r="BH618">
        <f>IF($BC618="","",IFERROR(VALUE(RIGHT($BC618,3)),""))</f>
        <v/>
      </c>
      <c r="BI618">
        <f>IF($V618="","",IFERROR(IF(ISNUMBER($V618),$V618,DATEVALUE(TRIM($V618))),""))</f>
        <v/>
      </c>
      <c r="BJ618">
        <f>IF($BI618="","",IF(MONTH($BI618)&gt;=12,"Cold Winter",IF(MONTH($BI618)&gt;=10,"Post-Monsoon",IF(MONTH($BI618)&gt;=6,"Hot Humid",IF(MONTH($BI618)&gt;=3,"Hot Dry","Cold Winter")))))</f>
        <v/>
      </c>
      <c r="BK618">
        <f>IF($BD618="","",IFERROR(VLOOKUP($BD618,DECODE!$A$3:$C$8,2,FALSE),"?"))</f>
        <v/>
      </c>
      <c r="BL618">
        <f>IF($Q618="","",UPPER(TRIM(LEFT($Q618&amp;",",FIND(",",$Q618&amp;",")-1))))</f>
        <v/>
      </c>
      <c r="BM618">
        <f>IF($BL618="","",MID($BL618,4,FIND("~",SUBSTITUTE($BL618,"-","~",2))-4))</f>
        <v/>
      </c>
      <c r="BN618">
        <f>IF($BL618="","",MID($BL618,FIND("~",SUBSTITUTE($BL618,"-","~",2))+1,FIND("~",SUBSTITUTE($BL618,"-","~",3))-FIND("~",SUBSTITUTE($BL618,"-","~",2))-1))</f>
        <v/>
      </c>
      <c r="BO618">
        <f>IF($BM618="","",IFERROR(VLOOKUP($BM618,DECODE!$A$3:$C$8,3,FALSE),"?"))</f>
        <v/>
      </c>
      <c r="BP618">
        <f>IF($BN618="","",IFERROR(VLOOKUP($BM618&amp;"-"&amp;$BN618,DECODE!$E$3:$F$21,2,FALSE),"?"))</f>
        <v/>
      </c>
      <c r="BQ618">
        <f>IF($BL618="","",IFERROR(VALUE(RIGHT($BL618,3)),""))</f>
        <v/>
      </c>
      <c r="BR618">
        <f>IF($W618="","",IFERROR(IF(ISNUMBER($W618),$W618,DATEVALUE(TRIM($W618))),""))</f>
        <v/>
      </c>
      <c r="BS618">
        <f>IF($BR618="","",IF(MONTH($BR618)&gt;=12,"Cold Winter",IF(MONTH($BR618)&gt;=10,"Post-Monsoon",IF(MONTH($BR618)&gt;=6,"Hot Humid",IF(MONTH($BR618)&gt;=3,"Hot Dry","Cold Winter")))))</f>
        <v/>
      </c>
      <c r="BT618">
        <f>IF($BM618="","",IFERROR(VLOOKUP($BM618,DECODE!$A$3:$C$8,2,FALSE),"?"))</f>
        <v/>
      </c>
      <c r="BU618">
        <f>IF($R618="","",UPPER(TRIM(LEFT($R618&amp;",",FIND(",",$R618&amp;",")-1))))</f>
        <v/>
      </c>
      <c r="BV618">
        <f>IF($BU618="","",MID($BU618,4,FIND("~",SUBSTITUTE($BU618,"-","~",2))-4))</f>
        <v/>
      </c>
      <c r="BW618">
        <f>IF($BU618="","",MID($BU618,FIND("~",SUBSTITUTE($BU618,"-","~",2))+1,FIND("~",SUBSTITUTE($BU618,"-","~",3))-FIND("~",SUBSTITUTE($BU618,"-","~",2))-1))</f>
        <v/>
      </c>
      <c r="BX618">
        <f>IF($BV618="","",IFERROR(VLOOKUP($BV618,DECODE!$A$3:$C$8,3,FALSE),"?"))</f>
        <v/>
      </c>
      <c r="BY618">
        <f>IF($BW618="","",IFERROR(VLOOKUP($BV618&amp;"-"&amp;$BW618,DECODE!$E$3:$F$21,2,FALSE),"?"))</f>
        <v/>
      </c>
      <c r="BZ618">
        <f>IF($BU618="","",IFERROR(VALUE(RIGHT($BU618,3)),""))</f>
        <v/>
      </c>
      <c r="CA618">
        <f>IF($X618="","",IFERROR(IF(ISNUMBER($X618),$X618,DATEVALUE(TRIM($X618))),""))</f>
        <v/>
      </c>
      <c r="CB618">
        <f>IF($CA618="","",IF(MONTH($CA618)&gt;=12,"Cold Winter",IF(MONTH($CA618)&gt;=10,"Post-Monsoon",IF(MONTH($CA618)&gt;=6,"Hot Humid",IF(MONTH($CA618)&gt;=3,"Hot Dry","Cold Winter")))))</f>
        <v/>
      </c>
      <c r="CC618">
        <f>IF($BV618="","",IFERROR(VLOOKUP($BV618,DECODE!$A$3:$C$8,2,FALSE),"?"))</f>
        <v/>
      </c>
      <c r="CD618">
        <f>IF($S618="","",UPPER(TRIM(LEFT($S618&amp;",",FIND(",",$S618&amp;",")-1))))</f>
        <v/>
      </c>
      <c r="CE618">
        <f>IF($CD618="","",MID($CD618,4,FIND("~",SUBSTITUTE($CD618,"-","~",2))-4))</f>
        <v/>
      </c>
      <c r="CF618">
        <f>IF($CD618="","",MID($CD618,FIND("~",SUBSTITUTE($CD618,"-","~",2))+1,FIND("~",SUBSTITUTE($CD618,"-","~",3))-FIND("~",SUBSTITUTE($CD618,"-","~",2))-1))</f>
        <v/>
      </c>
      <c r="CG618">
        <f>IF($CE618="","",IFERROR(VLOOKUP($CE618,DECODE!$A$3:$C$8,3,FALSE),"?"))</f>
        <v/>
      </c>
      <c r="CH618">
        <f>IF($CF618="","",IFERROR(VLOOKUP($CE618&amp;"-"&amp;$CF618,DECODE!$E$3:$F$21,2,FALSE),"?"))</f>
        <v/>
      </c>
      <c r="CI618">
        <f>IF($CD618="","",IFERROR(VALUE(RIGHT($CD618,3)),""))</f>
        <v/>
      </c>
      <c r="CJ618">
        <f>IF($Y618="","",IFERROR(IF(ISNUMBER($Y618),$Y618,DATEVALUE(TRIM($Y618))),""))</f>
        <v/>
      </c>
      <c r="CK618">
        <f>IF($CJ618="","",IF(MONTH($CJ618)&gt;=12,"Cold Winter",IF(MONTH($CJ618)&gt;=10,"Post-Monsoon",IF(MONTH($CJ618)&gt;=6,"Hot Humid",IF(MONTH($CJ618)&gt;=3,"Hot Dry","Cold Winter")))))</f>
        <v/>
      </c>
      <c r="CL618">
        <f>IF($CE618="","",IFERROR(VLOOKUP($CE618,DECODE!$A$3:$C$8,2,FALSE),"?"))</f>
        <v/>
      </c>
      <c r="CM618">
        <f>IF($AN618="","",AN618)</f>
        <v/>
      </c>
      <c r="CN618">
        <f>IF($AO618="","",AO618)</f>
        <v/>
      </c>
      <c r="CO618">
        <f>IF($AP618="","",AP618)</f>
        <v/>
      </c>
      <c r="CP618">
        <f>IF($CM618="","",IF($CM618="Aloe Vera Gel","Aloe Vera Gel "&amp;$CO618&amp;"g",CN618&amp;" "&amp;$CO618&amp;"g"))</f>
        <v/>
      </c>
      <c r="CQ618">
        <f>IF($AT618="",0,1)</f>
        <v/>
      </c>
      <c r="CR618">
        <f>IF($CQ618=0,"",AW618)</f>
        <v/>
      </c>
      <c r="CS618">
        <f>IF($CQ618=0,"",AX618)</f>
        <v/>
      </c>
      <c r="CT618">
        <f>IF($CQ618=0,"",AY618)</f>
        <v/>
      </c>
      <c r="CU618">
        <f>IF($CR618="","",IF($CR618="Aloe Vera Gel","Aloe Vera Gel "&amp;$CT618&amp;"g",CS618&amp;" "&amp;$CT618&amp;"g"))</f>
        <v/>
      </c>
      <c r="CV618">
        <f>IF($CQ618=0,"",IF($CP618=$CU618,"Repeat Exact",IF($CT618&gt;$CO618,"Upsized",IF($CT618&lt;$CO618,"Downsized",IF($CM618&lt;&gt;$CR618,"Lateral","Same Size Diff Variant")))))</f>
        <v/>
      </c>
      <c r="CW618">
        <f>IF($CQ618=0,"",AZ618-AQ618)</f>
        <v/>
      </c>
      <c r="CX618">
        <f>IF($CQ618=0,0,IF(CS618=CN618,1,0))</f>
        <v/>
      </c>
      <c r="CY618">
        <f>IF($CQ618=0,0,IF(CR618=CM618,1,0))</f>
        <v/>
      </c>
      <c r="CZ618">
        <f>IF($A618="","",IF(AND(IF(DASHBOARD!$C$4="All",TRUE,$CM618=DASHBOARD!$C$4),IF(DASHBOARD!$C$6="All",TRUE,$CP618=DASHBOARD!$C$6),IF(DASHBOARD!$C$8="All",TRUE,$AF618&gt;=DASHBOARD!$C$8),IF(DASHBOARD!$C$10="All",TRUE,$AF618&lt;=DASHBOARD!$C$10),IF(DASHBOARD!$C$12="All",TRUE,$AH618=VALUE(DASHBOARD!$C$12)),IF(DASHBOARD!$C$14="All",TRUE,$AJ618=DASHBOARD!$C$14)),1,0))</f>
        <v/>
      </c>
    </row>
    <row r="619">
      <c r="A619" t="n">
        <v>266174</v>
      </c>
      <c r="B619" t="inlineStr">
        <is>
          <t>Face Malai</t>
        </is>
      </c>
      <c r="H619" t="inlineStr">
        <is>
          <t>Turmeric Nutmeg (Pigmentation)  Face Malai - 50g</t>
        </is>
      </c>
      <c r="N619" t="inlineStr">
        <is>
          <t>FC-DM-PG-050</t>
        </is>
      </c>
      <c r="T619" t="inlineStr">
        <is>
          <t>Mar 5, 2025</t>
        </is>
      </c>
      <c r="AE619" t="inlineStr">
        <is>
          <t>Mumbai</t>
        </is>
      </c>
      <c r="AF619" t="inlineStr">
        <is>
          <t>2025-03</t>
        </is>
      </c>
      <c r="AG619" t="n">
        <v>3</v>
      </c>
      <c r="AH619" t="n">
        <v>1</v>
      </c>
      <c r="AI619" t="n">
        <v>0</v>
      </c>
      <c r="AJ619">
        <f>IF($AE619="","",IFERROR(VLOOKUP(TRIM($AE619),DECODE!$H$3:$I$60,2,FALSE),"Rest of India"))</f>
        <v/>
      </c>
      <c r="AK619">
        <f>IF($N619="","",UPPER(TRIM(LEFT($N619&amp;",",FIND(",",$N619&amp;",")-1))))</f>
        <v/>
      </c>
      <c r="AL619">
        <f>IF($AK619="","",MID($AK619,4,FIND("~",SUBSTITUTE($AK619,"-","~",2))-4))</f>
        <v/>
      </c>
      <c r="AM619">
        <f>IF($AK619="","",MID($AK619,FIND("~",SUBSTITUTE($AK619,"-","~",2))+1,FIND("~",SUBSTITUTE($AK619,"-","~",3))-FIND("~",SUBSTITUTE($AK619,"-","~",2))-1))</f>
        <v/>
      </c>
      <c r="AN619">
        <f>IF($AL619="","",IFERROR(VLOOKUP($AL619,DECODE!$A$3:$C$8,3,FALSE),"?"))</f>
        <v/>
      </c>
      <c r="AO619">
        <f>IF($AM619="","",IFERROR(VLOOKUP($AL619&amp;"-"&amp;$AM619,DECODE!$E$3:$F$21,2,FALSE),"?"))</f>
        <v/>
      </c>
      <c r="AP619">
        <f>IF($AK619="","",IFERROR(VALUE(RIGHT($AK619,3)),""))</f>
        <v/>
      </c>
      <c r="AQ619">
        <f>IF($T619="","",IFERROR(IF(ISNUMBER($T619),$T619,DATEVALUE(TRIM($T619))),""))</f>
        <v/>
      </c>
      <c r="AR619">
        <f>IF($AQ619="","",IF(MONTH($AQ619)&gt;=12,"Cold Winter",IF(MONTH($AQ619)&gt;=10,"Post-Monsoon",IF(MONTH($AQ619)&gt;=6,"Hot Humid",IF(MONTH($AQ619)&gt;=3,"Hot Dry","Cold Winter")))))</f>
        <v/>
      </c>
      <c r="AS619">
        <f>IF($AL619="","",IFERROR(VLOOKUP($AL619,DECODE!$A$3:$C$8,2,FALSE),"?"))</f>
        <v/>
      </c>
      <c r="AT619">
        <f>IF($O619="","",UPPER(TRIM(LEFT($O619&amp;",",FIND(",",$O619&amp;",")-1))))</f>
        <v/>
      </c>
      <c r="AU619">
        <f>IF($AT619="","",MID($AT619,4,FIND("~",SUBSTITUTE($AT619,"-","~",2))-4))</f>
        <v/>
      </c>
      <c r="AV619">
        <f>IF($AT619="","",MID($AT619,FIND("~",SUBSTITUTE($AT619,"-","~",2))+1,FIND("~",SUBSTITUTE($AT619,"-","~",3))-FIND("~",SUBSTITUTE($AT619,"-","~",2))-1))</f>
        <v/>
      </c>
      <c r="AW619">
        <f>IF($AU619="","",IFERROR(VLOOKUP($AU619,DECODE!$A$3:$C$8,3,FALSE),"?"))</f>
        <v/>
      </c>
      <c r="AX619">
        <f>IF($AV619="","",IFERROR(VLOOKUP($AU619&amp;"-"&amp;$AV619,DECODE!$E$3:$F$21,2,FALSE),"?"))</f>
        <v/>
      </c>
      <c r="AY619">
        <f>IF($AT619="","",IFERROR(VALUE(RIGHT($AT619,3)),""))</f>
        <v/>
      </c>
      <c r="AZ619">
        <f>IF($U619="","",IFERROR(IF(ISNUMBER($U619),$U619,DATEVALUE(TRIM($U619))),""))</f>
        <v/>
      </c>
      <c r="BA619">
        <f>IF($AZ619="","",IF(MONTH($AZ619)&gt;=12,"Cold Winter",IF(MONTH($AZ619)&gt;=10,"Post-Monsoon",IF(MONTH($AZ619)&gt;=6,"Hot Humid",IF(MONTH($AZ619)&gt;=3,"Hot Dry","Cold Winter")))))</f>
        <v/>
      </c>
      <c r="BB619">
        <f>IF($AU619="","",IFERROR(VLOOKUP($AU619,DECODE!$A$3:$C$8,2,FALSE),"?"))</f>
        <v/>
      </c>
      <c r="BC619">
        <f>IF($P619="","",UPPER(TRIM(LEFT($P619&amp;",",FIND(",",$P619&amp;",")-1))))</f>
        <v/>
      </c>
      <c r="BD619">
        <f>IF($BC619="","",MID($BC619,4,FIND("~",SUBSTITUTE($BC619,"-","~",2))-4))</f>
        <v/>
      </c>
      <c r="BE619">
        <f>IF($BC619="","",MID($BC619,FIND("~",SUBSTITUTE($BC619,"-","~",2))+1,FIND("~",SUBSTITUTE($BC619,"-","~",3))-FIND("~",SUBSTITUTE($BC619,"-","~",2))-1))</f>
        <v/>
      </c>
      <c r="BF619">
        <f>IF($BD619="","",IFERROR(VLOOKUP($BD619,DECODE!$A$3:$C$8,3,FALSE),"?"))</f>
        <v/>
      </c>
      <c r="BG619">
        <f>IF($BE619="","",IFERROR(VLOOKUP($BD619&amp;"-"&amp;$BE619,DECODE!$E$3:$F$21,2,FALSE),"?"))</f>
        <v/>
      </c>
      <c r="BH619">
        <f>IF($BC619="","",IFERROR(VALUE(RIGHT($BC619,3)),""))</f>
        <v/>
      </c>
      <c r="BI619">
        <f>IF($V619="","",IFERROR(IF(ISNUMBER($V619),$V619,DATEVALUE(TRIM($V619))),""))</f>
        <v/>
      </c>
      <c r="BJ619">
        <f>IF($BI619="","",IF(MONTH($BI619)&gt;=12,"Cold Winter",IF(MONTH($BI619)&gt;=10,"Post-Monsoon",IF(MONTH($BI619)&gt;=6,"Hot Humid",IF(MONTH($BI619)&gt;=3,"Hot Dry","Cold Winter")))))</f>
        <v/>
      </c>
      <c r="BK619">
        <f>IF($BD619="","",IFERROR(VLOOKUP($BD619,DECODE!$A$3:$C$8,2,FALSE),"?"))</f>
        <v/>
      </c>
      <c r="BL619">
        <f>IF($Q619="","",UPPER(TRIM(LEFT($Q619&amp;",",FIND(",",$Q619&amp;",")-1))))</f>
        <v/>
      </c>
      <c r="BM619">
        <f>IF($BL619="","",MID($BL619,4,FIND("~",SUBSTITUTE($BL619,"-","~",2))-4))</f>
        <v/>
      </c>
      <c r="BN619">
        <f>IF($BL619="","",MID($BL619,FIND("~",SUBSTITUTE($BL619,"-","~",2))+1,FIND("~",SUBSTITUTE($BL619,"-","~",3))-FIND("~",SUBSTITUTE($BL619,"-","~",2))-1))</f>
        <v/>
      </c>
      <c r="BO619">
        <f>IF($BM619="","",IFERROR(VLOOKUP($BM619,DECODE!$A$3:$C$8,3,FALSE),"?"))</f>
        <v/>
      </c>
      <c r="BP619">
        <f>IF($BN619="","",IFERROR(VLOOKUP($BM619&amp;"-"&amp;$BN619,DECODE!$E$3:$F$21,2,FALSE),"?"))</f>
        <v/>
      </c>
      <c r="BQ619">
        <f>IF($BL619="","",IFERROR(VALUE(RIGHT($BL619,3)),""))</f>
        <v/>
      </c>
      <c r="BR619">
        <f>IF($W619="","",IFERROR(IF(ISNUMBER($W619),$W619,DATEVALUE(TRIM($W619))),""))</f>
        <v/>
      </c>
      <c r="BS619">
        <f>IF($BR619="","",IF(MONTH($BR619)&gt;=12,"Cold Winter",IF(MONTH($BR619)&gt;=10,"Post-Monsoon",IF(MONTH($BR619)&gt;=6,"Hot Humid",IF(MONTH($BR619)&gt;=3,"Hot Dry","Cold Winter")))))</f>
        <v/>
      </c>
      <c r="BT619">
        <f>IF($BM619="","",IFERROR(VLOOKUP($BM619,DECODE!$A$3:$C$8,2,FALSE),"?"))</f>
        <v/>
      </c>
      <c r="BU619">
        <f>IF($R619="","",UPPER(TRIM(LEFT($R619&amp;",",FIND(",",$R619&amp;",")-1))))</f>
        <v/>
      </c>
      <c r="BV619">
        <f>IF($BU619="","",MID($BU619,4,FIND("~",SUBSTITUTE($BU619,"-","~",2))-4))</f>
        <v/>
      </c>
      <c r="BW619">
        <f>IF($BU619="","",MID($BU619,FIND("~",SUBSTITUTE($BU619,"-","~",2))+1,FIND("~",SUBSTITUTE($BU619,"-","~",3))-FIND("~",SUBSTITUTE($BU619,"-","~",2))-1))</f>
        <v/>
      </c>
      <c r="BX619">
        <f>IF($BV619="","",IFERROR(VLOOKUP($BV619,DECODE!$A$3:$C$8,3,FALSE),"?"))</f>
        <v/>
      </c>
      <c r="BY619">
        <f>IF($BW619="","",IFERROR(VLOOKUP($BV619&amp;"-"&amp;$BW619,DECODE!$E$3:$F$21,2,FALSE),"?"))</f>
        <v/>
      </c>
      <c r="BZ619">
        <f>IF($BU619="","",IFERROR(VALUE(RIGHT($BU619,3)),""))</f>
        <v/>
      </c>
      <c r="CA619">
        <f>IF($X619="","",IFERROR(IF(ISNUMBER($X619),$X619,DATEVALUE(TRIM($X619))),""))</f>
        <v/>
      </c>
      <c r="CB619">
        <f>IF($CA619="","",IF(MONTH($CA619)&gt;=12,"Cold Winter",IF(MONTH($CA619)&gt;=10,"Post-Monsoon",IF(MONTH($CA619)&gt;=6,"Hot Humid",IF(MONTH($CA619)&gt;=3,"Hot Dry","Cold Winter")))))</f>
        <v/>
      </c>
      <c r="CC619">
        <f>IF($BV619="","",IFERROR(VLOOKUP($BV619,DECODE!$A$3:$C$8,2,FALSE),"?"))</f>
        <v/>
      </c>
      <c r="CD619">
        <f>IF($S619="","",UPPER(TRIM(LEFT($S619&amp;",",FIND(",",$S619&amp;",")-1))))</f>
        <v/>
      </c>
      <c r="CE619">
        <f>IF($CD619="","",MID($CD619,4,FIND("~",SUBSTITUTE($CD619,"-","~",2))-4))</f>
        <v/>
      </c>
      <c r="CF619">
        <f>IF($CD619="","",MID($CD619,FIND("~",SUBSTITUTE($CD619,"-","~",2))+1,FIND("~",SUBSTITUTE($CD619,"-","~",3))-FIND("~",SUBSTITUTE($CD619,"-","~",2))-1))</f>
        <v/>
      </c>
      <c r="CG619">
        <f>IF($CE619="","",IFERROR(VLOOKUP($CE619,DECODE!$A$3:$C$8,3,FALSE),"?"))</f>
        <v/>
      </c>
      <c r="CH619">
        <f>IF($CF619="","",IFERROR(VLOOKUP($CE619&amp;"-"&amp;$CF619,DECODE!$E$3:$F$21,2,FALSE),"?"))</f>
        <v/>
      </c>
      <c r="CI619">
        <f>IF($CD619="","",IFERROR(VALUE(RIGHT($CD619,3)),""))</f>
        <v/>
      </c>
      <c r="CJ619">
        <f>IF($Y619="","",IFERROR(IF(ISNUMBER($Y619),$Y619,DATEVALUE(TRIM($Y619))),""))</f>
        <v/>
      </c>
      <c r="CK619">
        <f>IF($CJ619="","",IF(MONTH($CJ619)&gt;=12,"Cold Winter",IF(MONTH($CJ619)&gt;=10,"Post-Monsoon",IF(MONTH($CJ619)&gt;=6,"Hot Humid",IF(MONTH($CJ619)&gt;=3,"Hot Dry","Cold Winter")))))</f>
        <v/>
      </c>
      <c r="CL619">
        <f>IF($CE619="","",IFERROR(VLOOKUP($CE619,DECODE!$A$3:$C$8,2,FALSE),"?"))</f>
        <v/>
      </c>
      <c r="CM619">
        <f>IF($AN619="","",AN619)</f>
        <v/>
      </c>
      <c r="CN619">
        <f>IF($AO619="","",AO619)</f>
        <v/>
      </c>
      <c r="CO619">
        <f>IF($AP619="","",AP619)</f>
        <v/>
      </c>
      <c r="CP619">
        <f>IF($CM619="","",IF($CM619="Aloe Vera Gel","Aloe Vera Gel "&amp;$CO619&amp;"g",CN619&amp;" "&amp;$CO619&amp;"g"))</f>
        <v/>
      </c>
      <c r="CQ619">
        <f>IF($AT619="",0,1)</f>
        <v/>
      </c>
      <c r="CR619">
        <f>IF($CQ619=0,"",AW619)</f>
        <v/>
      </c>
      <c r="CS619">
        <f>IF($CQ619=0,"",AX619)</f>
        <v/>
      </c>
      <c r="CT619">
        <f>IF($CQ619=0,"",AY619)</f>
        <v/>
      </c>
      <c r="CU619">
        <f>IF($CR619="","",IF($CR619="Aloe Vera Gel","Aloe Vera Gel "&amp;$CT619&amp;"g",CS619&amp;" "&amp;$CT619&amp;"g"))</f>
        <v/>
      </c>
      <c r="CV619">
        <f>IF($CQ619=0,"",IF($CP619=$CU619,"Repeat Exact",IF($CT619&gt;$CO619,"Upsized",IF($CT619&lt;$CO619,"Downsized",IF($CM619&lt;&gt;$CR619,"Lateral","Same Size Diff Variant")))))</f>
        <v/>
      </c>
      <c r="CW619">
        <f>IF($CQ619=0,"",AZ619-AQ619)</f>
        <v/>
      </c>
      <c r="CX619">
        <f>IF($CQ619=0,0,IF(CS619=CN619,1,0))</f>
        <v/>
      </c>
      <c r="CY619">
        <f>IF($CQ619=0,0,IF(CR619=CM619,1,0))</f>
        <v/>
      </c>
      <c r="CZ619">
        <f>IF($A619="","",IF(AND(IF(DASHBOARD!$C$4="All",TRUE,$CM619=DASHBOARD!$C$4),IF(DASHBOARD!$C$6="All",TRUE,$CP619=DASHBOARD!$C$6),IF(DASHBOARD!$C$8="All",TRUE,$AF619&gt;=DASHBOARD!$C$8),IF(DASHBOARD!$C$10="All",TRUE,$AF619&lt;=DASHBOARD!$C$10),IF(DASHBOARD!$C$12="All",TRUE,$AH619=VALUE(DASHBOARD!$C$12)),IF(DASHBOARD!$C$14="All",TRUE,$AJ619=DASHBOARD!$C$14)),1,0))</f>
        <v/>
      </c>
    </row>
    <row r="620">
      <c r="A620" t="n">
        <v>267002</v>
      </c>
      <c r="B620" t="inlineStr">
        <is>
          <t>Aloe Vera Gel</t>
        </is>
      </c>
      <c r="H620" t="inlineStr">
        <is>
          <t>Aloe Vera Gel - 80 gms</t>
        </is>
      </c>
      <c r="N620" t="inlineStr">
        <is>
          <t>FC-HG-PA-080</t>
        </is>
      </c>
      <c r="T620" t="inlineStr">
        <is>
          <t>Apr 26, 2025</t>
        </is>
      </c>
      <c r="AE620" t="inlineStr">
        <is>
          <t>Bengaluru</t>
        </is>
      </c>
      <c r="AF620" t="inlineStr">
        <is>
          <t>2025-04</t>
        </is>
      </c>
      <c r="AG620" t="n">
        <v>4</v>
      </c>
      <c r="AH620" t="n">
        <v>1</v>
      </c>
      <c r="AI620" t="n">
        <v>0</v>
      </c>
      <c r="AJ620">
        <f>IF($AE620="","",IFERROR(VLOOKUP(TRIM($AE620),DECODE!$H$3:$I$60,2,FALSE),"Rest of India"))</f>
        <v/>
      </c>
      <c r="AK620">
        <f>IF($N620="","",UPPER(TRIM(LEFT($N620&amp;",",FIND(",",$N620&amp;",")-1))))</f>
        <v/>
      </c>
      <c r="AL620">
        <f>IF($AK620="","",MID($AK620,4,FIND("~",SUBSTITUTE($AK620,"-","~",2))-4))</f>
        <v/>
      </c>
      <c r="AM620">
        <f>IF($AK620="","",MID($AK620,FIND("~",SUBSTITUTE($AK620,"-","~",2))+1,FIND("~",SUBSTITUTE($AK620,"-","~",3))-FIND("~",SUBSTITUTE($AK620,"-","~",2))-1))</f>
        <v/>
      </c>
      <c r="AN620">
        <f>IF($AL620="","",IFERROR(VLOOKUP($AL620,DECODE!$A$3:$C$8,3,FALSE),"?"))</f>
        <v/>
      </c>
      <c r="AO620">
        <f>IF($AM620="","",IFERROR(VLOOKUP($AL620&amp;"-"&amp;$AM620,DECODE!$E$3:$F$21,2,FALSE),"?"))</f>
        <v/>
      </c>
      <c r="AP620">
        <f>IF($AK620="","",IFERROR(VALUE(RIGHT($AK620,3)),""))</f>
        <v/>
      </c>
      <c r="AQ620">
        <f>IF($T620="","",IFERROR(IF(ISNUMBER($T620),$T620,DATEVALUE(TRIM($T620))),""))</f>
        <v/>
      </c>
      <c r="AR620">
        <f>IF($AQ620="","",IF(MONTH($AQ620)&gt;=12,"Cold Winter",IF(MONTH($AQ620)&gt;=10,"Post-Monsoon",IF(MONTH($AQ620)&gt;=6,"Hot Humid",IF(MONTH($AQ620)&gt;=3,"Hot Dry","Cold Winter")))))</f>
        <v/>
      </c>
      <c r="AS620">
        <f>IF($AL620="","",IFERROR(VLOOKUP($AL620,DECODE!$A$3:$C$8,2,FALSE),"?"))</f>
        <v/>
      </c>
      <c r="AT620">
        <f>IF($O620="","",UPPER(TRIM(LEFT($O620&amp;",",FIND(",",$O620&amp;",")-1))))</f>
        <v/>
      </c>
      <c r="AU620">
        <f>IF($AT620="","",MID($AT620,4,FIND("~",SUBSTITUTE($AT620,"-","~",2))-4))</f>
        <v/>
      </c>
      <c r="AV620">
        <f>IF($AT620="","",MID($AT620,FIND("~",SUBSTITUTE($AT620,"-","~",2))+1,FIND("~",SUBSTITUTE($AT620,"-","~",3))-FIND("~",SUBSTITUTE($AT620,"-","~",2))-1))</f>
        <v/>
      </c>
      <c r="AW620">
        <f>IF($AU620="","",IFERROR(VLOOKUP($AU620,DECODE!$A$3:$C$8,3,FALSE),"?"))</f>
        <v/>
      </c>
      <c r="AX620">
        <f>IF($AV620="","",IFERROR(VLOOKUP($AU620&amp;"-"&amp;$AV620,DECODE!$E$3:$F$21,2,FALSE),"?"))</f>
        <v/>
      </c>
      <c r="AY620">
        <f>IF($AT620="","",IFERROR(VALUE(RIGHT($AT620,3)),""))</f>
        <v/>
      </c>
      <c r="AZ620">
        <f>IF($U620="","",IFERROR(IF(ISNUMBER($U620),$U620,DATEVALUE(TRIM($U620))),""))</f>
        <v/>
      </c>
      <c r="BA620">
        <f>IF($AZ620="","",IF(MONTH($AZ620)&gt;=12,"Cold Winter",IF(MONTH($AZ620)&gt;=10,"Post-Monsoon",IF(MONTH($AZ620)&gt;=6,"Hot Humid",IF(MONTH($AZ620)&gt;=3,"Hot Dry","Cold Winter")))))</f>
        <v/>
      </c>
      <c r="BB620">
        <f>IF($AU620="","",IFERROR(VLOOKUP($AU620,DECODE!$A$3:$C$8,2,FALSE),"?"))</f>
        <v/>
      </c>
      <c r="BC620">
        <f>IF($P620="","",UPPER(TRIM(LEFT($P620&amp;",",FIND(",",$P620&amp;",")-1))))</f>
        <v/>
      </c>
      <c r="BD620">
        <f>IF($BC620="","",MID($BC620,4,FIND("~",SUBSTITUTE($BC620,"-","~",2))-4))</f>
        <v/>
      </c>
      <c r="BE620">
        <f>IF($BC620="","",MID($BC620,FIND("~",SUBSTITUTE($BC620,"-","~",2))+1,FIND("~",SUBSTITUTE($BC620,"-","~",3))-FIND("~",SUBSTITUTE($BC620,"-","~",2))-1))</f>
        <v/>
      </c>
      <c r="BF620">
        <f>IF($BD620="","",IFERROR(VLOOKUP($BD620,DECODE!$A$3:$C$8,3,FALSE),"?"))</f>
        <v/>
      </c>
      <c r="BG620">
        <f>IF($BE620="","",IFERROR(VLOOKUP($BD620&amp;"-"&amp;$BE620,DECODE!$E$3:$F$21,2,FALSE),"?"))</f>
        <v/>
      </c>
      <c r="BH620">
        <f>IF($BC620="","",IFERROR(VALUE(RIGHT($BC620,3)),""))</f>
        <v/>
      </c>
      <c r="BI620">
        <f>IF($V620="","",IFERROR(IF(ISNUMBER($V620),$V620,DATEVALUE(TRIM($V620))),""))</f>
        <v/>
      </c>
      <c r="BJ620">
        <f>IF($BI620="","",IF(MONTH($BI620)&gt;=12,"Cold Winter",IF(MONTH($BI620)&gt;=10,"Post-Monsoon",IF(MONTH($BI620)&gt;=6,"Hot Humid",IF(MONTH($BI620)&gt;=3,"Hot Dry","Cold Winter")))))</f>
        <v/>
      </c>
      <c r="BK620">
        <f>IF($BD620="","",IFERROR(VLOOKUP($BD620,DECODE!$A$3:$C$8,2,FALSE),"?"))</f>
        <v/>
      </c>
      <c r="BL620">
        <f>IF($Q620="","",UPPER(TRIM(LEFT($Q620&amp;",",FIND(",",$Q620&amp;",")-1))))</f>
        <v/>
      </c>
      <c r="BM620">
        <f>IF($BL620="","",MID($BL620,4,FIND("~",SUBSTITUTE($BL620,"-","~",2))-4))</f>
        <v/>
      </c>
      <c r="BN620">
        <f>IF($BL620="","",MID($BL620,FIND("~",SUBSTITUTE($BL620,"-","~",2))+1,FIND("~",SUBSTITUTE($BL620,"-","~",3))-FIND("~",SUBSTITUTE($BL620,"-","~",2))-1))</f>
        <v/>
      </c>
      <c r="BO620">
        <f>IF($BM620="","",IFERROR(VLOOKUP($BM620,DECODE!$A$3:$C$8,3,FALSE),"?"))</f>
        <v/>
      </c>
      <c r="BP620">
        <f>IF($BN620="","",IFERROR(VLOOKUP($BM620&amp;"-"&amp;$BN620,DECODE!$E$3:$F$21,2,FALSE),"?"))</f>
        <v/>
      </c>
      <c r="BQ620">
        <f>IF($BL620="","",IFERROR(VALUE(RIGHT($BL620,3)),""))</f>
        <v/>
      </c>
      <c r="BR620">
        <f>IF($W620="","",IFERROR(IF(ISNUMBER($W620),$W620,DATEVALUE(TRIM($W620))),""))</f>
        <v/>
      </c>
      <c r="BS620">
        <f>IF($BR620="","",IF(MONTH($BR620)&gt;=12,"Cold Winter",IF(MONTH($BR620)&gt;=10,"Post-Monsoon",IF(MONTH($BR620)&gt;=6,"Hot Humid",IF(MONTH($BR620)&gt;=3,"Hot Dry","Cold Winter")))))</f>
        <v/>
      </c>
      <c r="BT620">
        <f>IF($BM620="","",IFERROR(VLOOKUP($BM620,DECODE!$A$3:$C$8,2,FALSE),"?"))</f>
        <v/>
      </c>
      <c r="BU620">
        <f>IF($R620="","",UPPER(TRIM(LEFT($R620&amp;",",FIND(",",$R620&amp;",")-1))))</f>
        <v/>
      </c>
      <c r="BV620">
        <f>IF($BU620="","",MID($BU620,4,FIND("~",SUBSTITUTE($BU620,"-","~",2))-4))</f>
        <v/>
      </c>
      <c r="BW620">
        <f>IF($BU620="","",MID($BU620,FIND("~",SUBSTITUTE($BU620,"-","~",2))+1,FIND("~",SUBSTITUTE($BU620,"-","~",3))-FIND("~",SUBSTITUTE($BU620,"-","~",2))-1))</f>
        <v/>
      </c>
      <c r="BX620">
        <f>IF($BV620="","",IFERROR(VLOOKUP($BV620,DECODE!$A$3:$C$8,3,FALSE),"?"))</f>
        <v/>
      </c>
      <c r="BY620">
        <f>IF($BW620="","",IFERROR(VLOOKUP($BV620&amp;"-"&amp;$BW620,DECODE!$E$3:$F$21,2,FALSE),"?"))</f>
        <v/>
      </c>
      <c r="BZ620">
        <f>IF($BU620="","",IFERROR(VALUE(RIGHT($BU620,3)),""))</f>
        <v/>
      </c>
      <c r="CA620">
        <f>IF($X620="","",IFERROR(IF(ISNUMBER($X620),$X620,DATEVALUE(TRIM($X620))),""))</f>
        <v/>
      </c>
      <c r="CB620">
        <f>IF($CA620="","",IF(MONTH($CA620)&gt;=12,"Cold Winter",IF(MONTH($CA620)&gt;=10,"Post-Monsoon",IF(MONTH($CA620)&gt;=6,"Hot Humid",IF(MONTH($CA620)&gt;=3,"Hot Dry","Cold Winter")))))</f>
        <v/>
      </c>
      <c r="CC620">
        <f>IF($BV620="","",IFERROR(VLOOKUP($BV620,DECODE!$A$3:$C$8,2,FALSE),"?"))</f>
        <v/>
      </c>
      <c r="CD620">
        <f>IF($S620="","",UPPER(TRIM(LEFT($S620&amp;",",FIND(",",$S620&amp;",")-1))))</f>
        <v/>
      </c>
      <c r="CE620">
        <f>IF($CD620="","",MID($CD620,4,FIND("~",SUBSTITUTE($CD620,"-","~",2))-4))</f>
        <v/>
      </c>
      <c r="CF620">
        <f>IF($CD620="","",MID($CD620,FIND("~",SUBSTITUTE($CD620,"-","~",2))+1,FIND("~",SUBSTITUTE($CD620,"-","~",3))-FIND("~",SUBSTITUTE($CD620,"-","~",2))-1))</f>
        <v/>
      </c>
      <c r="CG620">
        <f>IF($CE620="","",IFERROR(VLOOKUP($CE620,DECODE!$A$3:$C$8,3,FALSE),"?"))</f>
        <v/>
      </c>
      <c r="CH620">
        <f>IF($CF620="","",IFERROR(VLOOKUP($CE620&amp;"-"&amp;$CF620,DECODE!$E$3:$F$21,2,FALSE),"?"))</f>
        <v/>
      </c>
      <c r="CI620">
        <f>IF($CD620="","",IFERROR(VALUE(RIGHT($CD620,3)),""))</f>
        <v/>
      </c>
      <c r="CJ620">
        <f>IF($Y620="","",IFERROR(IF(ISNUMBER($Y620),$Y620,DATEVALUE(TRIM($Y620))),""))</f>
        <v/>
      </c>
      <c r="CK620">
        <f>IF($CJ620="","",IF(MONTH($CJ620)&gt;=12,"Cold Winter",IF(MONTH($CJ620)&gt;=10,"Post-Monsoon",IF(MONTH($CJ620)&gt;=6,"Hot Humid",IF(MONTH($CJ620)&gt;=3,"Hot Dry","Cold Winter")))))</f>
        <v/>
      </c>
      <c r="CL620">
        <f>IF($CE620="","",IFERROR(VLOOKUP($CE620,DECODE!$A$3:$C$8,2,FALSE),"?"))</f>
        <v/>
      </c>
      <c r="CM620">
        <f>IF($AN620="","",AN620)</f>
        <v/>
      </c>
      <c r="CN620">
        <f>IF($AO620="","",AO620)</f>
        <v/>
      </c>
      <c r="CO620">
        <f>IF($AP620="","",AP620)</f>
        <v/>
      </c>
      <c r="CP620">
        <f>IF($CM620="","",IF($CM620="Aloe Vera Gel","Aloe Vera Gel "&amp;$CO620&amp;"g",CN620&amp;" "&amp;$CO620&amp;"g"))</f>
        <v/>
      </c>
      <c r="CQ620">
        <f>IF($AT620="",0,1)</f>
        <v/>
      </c>
      <c r="CR620">
        <f>IF($CQ620=0,"",AW620)</f>
        <v/>
      </c>
      <c r="CS620">
        <f>IF($CQ620=0,"",AX620)</f>
        <v/>
      </c>
      <c r="CT620">
        <f>IF($CQ620=0,"",AY620)</f>
        <v/>
      </c>
      <c r="CU620">
        <f>IF($CR620="","",IF($CR620="Aloe Vera Gel","Aloe Vera Gel "&amp;$CT620&amp;"g",CS620&amp;" "&amp;$CT620&amp;"g"))</f>
        <v/>
      </c>
      <c r="CV620">
        <f>IF($CQ620=0,"",IF($CP620=$CU620,"Repeat Exact",IF($CT620&gt;$CO620,"Upsized",IF($CT620&lt;$CO620,"Downsized",IF($CM620&lt;&gt;$CR620,"Lateral","Same Size Diff Variant")))))</f>
        <v/>
      </c>
      <c r="CW620">
        <f>IF($CQ620=0,"",AZ620-AQ620)</f>
        <v/>
      </c>
      <c r="CX620">
        <f>IF($CQ620=0,0,IF(CS620=CN620,1,0))</f>
        <v/>
      </c>
      <c r="CY620">
        <f>IF($CQ620=0,0,IF(CR620=CM620,1,0))</f>
        <v/>
      </c>
      <c r="CZ620">
        <f>IF($A620="","",IF(AND(IF(DASHBOARD!$C$4="All",TRUE,$CM620=DASHBOARD!$C$4),IF(DASHBOARD!$C$6="All",TRUE,$CP620=DASHBOARD!$C$6),IF(DASHBOARD!$C$8="All",TRUE,$AF620&gt;=DASHBOARD!$C$8),IF(DASHBOARD!$C$10="All",TRUE,$AF620&lt;=DASHBOARD!$C$10),IF(DASHBOARD!$C$12="All",TRUE,$AH620=VALUE(DASHBOARD!$C$12)),IF(DASHBOARD!$C$14="All",TRUE,$AJ620=DASHBOARD!$C$14)),1,0))</f>
        <v/>
      </c>
    </row>
    <row r="621">
      <c r="A621" t="n">
        <v>267752</v>
      </c>
      <c r="B621" t="inlineStr">
        <is>
          <t>Active Gel</t>
        </is>
      </c>
      <c r="H621" t="inlineStr">
        <is>
          <t>Active Orange Kiwi Vit-C Gel</t>
        </is>
      </c>
      <c r="N621" t="inlineStr">
        <is>
          <t>FC-AC-OK-050</t>
        </is>
      </c>
      <c r="T621" t="inlineStr">
        <is>
          <t>Mar 28, 2025</t>
        </is>
      </c>
      <c r="AE621" t="inlineStr">
        <is>
          <t>Jaipur</t>
        </is>
      </c>
      <c r="AF621" t="inlineStr">
        <is>
          <t>2025-03</t>
        </is>
      </c>
      <c r="AG621" t="n">
        <v>3</v>
      </c>
      <c r="AH621" t="n">
        <v>1</v>
      </c>
      <c r="AI621" t="n">
        <v>0</v>
      </c>
      <c r="AJ621">
        <f>IF($AE621="","",IFERROR(VLOOKUP(TRIM($AE621),DECODE!$H$3:$I$60,2,FALSE),"Rest of India"))</f>
        <v/>
      </c>
      <c r="AK621">
        <f>IF($N621="","",UPPER(TRIM(LEFT($N621&amp;",",FIND(",",$N621&amp;",")-1))))</f>
        <v/>
      </c>
      <c r="AL621">
        <f>IF($AK621="","",MID($AK621,4,FIND("~",SUBSTITUTE($AK621,"-","~",2))-4))</f>
        <v/>
      </c>
      <c r="AM621">
        <f>IF($AK621="","",MID($AK621,FIND("~",SUBSTITUTE($AK621,"-","~",2))+1,FIND("~",SUBSTITUTE($AK621,"-","~",3))-FIND("~",SUBSTITUTE($AK621,"-","~",2))-1))</f>
        <v/>
      </c>
      <c r="AN621">
        <f>IF($AL621="","",IFERROR(VLOOKUP($AL621,DECODE!$A$3:$C$8,3,FALSE),"?"))</f>
        <v/>
      </c>
      <c r="AO621">
        <f>IF($AM621="","",IFERROR(VLOOKUP($AL621&amp;"-"&amp;$AM621,DECODE!$E$3:$F$21,2,FALSE),"?"))</f>
        <v/>
      </c>
      <c r="AP621">
        <f>IF($AK621="","",IFERROR(VALUE(RIGHT($AK621,3)),""))</f>
        <v/>
      </c>
      <c r="AQ621">
        <f>IF($T621="","",IFERROR(IF(ISNUMBER($T621),$T621,DATEVALUE(TRIM($T621))),""))</f>
        <v/>
      </c>
      <c r="AR621">
        <f>IF($AQ621="","",IF(MONTH($AQ621)&gt;=12,"Cold Winter",IF(MONTH($AQ621)&gt;=10,"Post-Monsoon",IF(MONTH($AQ621)&gt;=6,"Hot Humid",IF(MONTH($AQ621)&gt;=3,"Hot Dry","Cold Winter")))))</f>
        <v/>
      </c>
      <c r="AS621">
        <f>IF($AL621="","",IFERROR(VLOOKUP($AL621,DECODE!$A$3:$C$8,2,FALSE),"?"))</f>
        <v/>
      </c>
      <c r="AT621">
        <f>IF($O621="","",UPPER(TRIM(LEFT($O621&amp;",",FIND(",",$O621&amp;",")-1))))</f>
        <v/>
      </c>
      <c r="AU621">
        <f>IF($AT621="","",MID($AT621,4,FIND("~",SUBSTITUTE($AT621,"-","~",2))-4))</f>
        <v/>
      </c>
      <c r="AV621">
        <f>IF($AT621="","",MID($AT621,FIND("~",SUBSTITUTE($AT621,"-","~",2))+1,FIND("~",SUBSTITUTE($AT621,"-","~",3))-FIND("~",SUBSTITUTE($AT621,"-","~",2))-1))</f>
        <v/>
      </c>
      <c r="AW621">
        <f>IF($AU621="","",IFERROR(VLOOKUP($AU621,DECODE!$A$3:$C$8,3,FALSE),"?"))</f>
        <v/>
      </c>
      <c r="AX621">
        <f>IF($AV621="","",IFERROR(VLOOKUP($AU621&amp;"-"&amp;$AV621,DECODE!$E$3:$F$21,2,FALSE),"?"))</f>
        <v/>
      </c>
      <c r="AY621">
        <f>IF($AT621="","",IFERROR(VALUE(RIGHT($AT621,3)),""))</f>
        <v/>
      </c>
      <c r="AZ621">
        <f>IF($U621="","",IFERROR(IF(ISNUMBER($U621),$U621,DATEVALUE(TRIM($U621))),""))</f>
        <v/>
      </c>
      <c r="BA621">
        <f>IF($AZ621="","",IF(MONTH($AZ621)&gt;=12,"Cold Winter",IF(MONTH($AZ621)&gt;=10,"Post-Monsoon",IF(MONTH($AZ621)&gt;=6,"Hot Humid",IF(MONTH($AZ621)&gt;=3,"Hot Dry","Cold Winter")))))</f>
        <v/>
      </c>
      <c r="BB621">
        <f>IF($AU621="","",IFERROR(VLOOKUP($AU621,DECODE!$A$3:$C$8,2,FALSE),"?"))</f>
        <v/>
      </c>
      <c r="BC621">
        <f>IF($P621="","",UPPER(TRIM(LEFT($P621&amp;",",FIND(",",$P621&amp;",")-1))))</f>
        <v/>
      </c>
      <c r="BD621">
        <f>IF($BC621="","",MID($BC621,4,FIND("~",SUBSTITUTE($BC621,"-","~",2))-4))</f>
        <v/>
      </c>
      <c r="BE621">
        <f>IF($BC621="","",MID($BC621,FIND("~",SUBSTITUTE($BC621,"-","~",2))+1,FIND("~",SUBSTITUTE($BC621,"-","~",3))-FIND("~",SUBSTITUTE($BC621,"-","~",2))-1))</f>
        <v/>
      </c>
      <c r="BF621">
        <f>IF($BD621="","",IFERROR(VLOOKUP($BD621,DECODE!$A$3:$C$8,3,FALSE),"?"))</f>
        <v/>
      </c>
      <c r="BG621">
        <f>IF($BE621="","",IFERROR(VLOOKUP($BD621&amp;"-"&amp;$BE621,DECODE!$E$3:$F$21,2,FALSE),"?"))</f>
        <v/>
      </c>
      <c r="BH621">
        <f>IF($BC621="","",IFERROR(VALUE(RIGHT($BC621,3)),""))</f>
        <v/>
      </c>
      <c r="BI621">
        <f>IF($V621="","",IFERROR(IF(ISNUMBER($V621),$V621,DATEVALUE(TRIM($V621))),""))</f>
        <v/>
      </c>
      <c r="BJ621">
        <f>IF($BI621="","",IF(MONTH($BI621)&gt;=12,"Cold Winter",IF(MONTH($BI621)&gt;=10,"Post-Monsoon",IF(MONTH($BI621)&gt;=6,"Hot Humid",IF(MONTH($BI621)&gt;=3,"Hot Dry","Cold Winter")))))</f>
        <v/>
      </c>
      <c r="BK621">
        <f>IF($BD621="","",IFERROR(VLOOKUP($BD621,DECODE!$A$3:$C$8,2,FALSE),"?"))</f>
        <v/>
      </c>
      <c r="BL621">
        <f>IF($Q621="","",UPPER(TRIM(LEFT($Q621&amp;",",FIND(",",$Q621&amp;",")-1))))</f>
        <v/>
      </c>
      <c r="BM621">
        <f>IF($BL621="","",MID($BL621,4,FIND("~",SUBSTITUTE($BL621,"-","~",2))-4))</f>
        <v/>
      </c>
      <c r="BN621">
        <f>IF($BL621="","",MID($BL621,FIND("~",SUBSTITUTE($BL621,"-","~",2))+1,FIND("~",SUBSTITUTE($BL621,"-","~",3))-FIND("~",SUBSTITUTE($BL621,"-","~",2))-1))</f>
        <v/>
      </c>
      <c r="BO621">
        <f>IF($BM621="","",IFERROR(VLOOKUP($BM621,DECODE!$A$3:$C$8,3,FALSE),"?"))</f>
        <v/>
      </c>
      <c r="BP621">
        <f>IF($BN621="","",IFERROR(VLOOKUP($BM621&amp;"-"&amp;$BN621,DECODE!$E$3:$F$21,2,FALSE),"?"))</f>
        <v/>
      </c>
      <c r="BQ621">
        <f>IF($BL621="","",IFERROR(VALUE(RIGHT($BL621,3)),""))</f>
        <v/>
      </c>
      <c r="BR621">
        <f>IF($W621="","",IFERROR(IF(ISNUMBER($W621),$W621,DATEVALUE(TRIM($W621))),""))</f>
        <v/>
      </c>
      <c r="BS621">
        <f>IF($BR621="","",IF(MONTH($BR621)&gt;=12,"Cold Winter",IF(MONTH($BR621)&gt;=10,"Post-Monsoon",IF(MONTH($BR621)&gt;=6,"Hot Humid",IF(MONTH($BR621)&gt;=3,"Hot Dry","Cold Winter")))))</f>
        <v/>
      </c>
      <c r="BT621">
        <f>IF($BM621="","",IFERROR(VLOOKUP($BM621,DECODE!$A$3:$C$8,2,FALSE),"?"))</f>
        <v/>
      </c>
      <c r="BU621">
        <f>IF($R621="","",UPPER(TRIM(LEFT($R621&amp;",",FIND(",",$R621&amp;",")-1))))</f>
        <v/>
      </c>
      <c r="BV621">
        <f>IF($BU621="","",MID($BU621,4,FIND("~",SUBSTITUTE($BU621,"-","~",2))-4))</f>
        <v/>
      </c>
      <c r="BW621">
        <f>IF($BU621="","",MID($BU621,FIND("~",SUBSTITUTE($BU621,"-","~",2))+1,FIND("~",SUBSTITUTE($BU621,"-","~",3))-FIND("~",SUBSTITUTE($BU621,"-","~",2))-1))</f>
        <v/>
      </c>
      <c r="BX621">
        <f>IF($BV621="","",IFERROR(VLOOKUP($BV621,DECODE!$A$3:$C$8,3,FALSE),"?"))</f>
        <v/>
      </c>
      <c r="BY621">
        <f>IF($BW621="","",IFERROR(VLOOKUP($BV621&amp;"-"&amp;$BW621,DECODE!$E$3:$F$21,2,FALSE),"?"))</f>
        <v/>
      </c>
      <c r="BZ621">
        <f>IF($BU621="","",IFERROR(VALUE(RIGHT($BU621,3)),""))</f>
        <v/>
      </c>
      <c r="CA621">
        <f>IF($X621="","",IFERROR(IF(ISNUMBER($X621),$X621,DATEVALUE(TRIM($X621))),""))</f>
        <v/>
      </c>
      <c r="CB621">
        <f>IF($CA621="","",IF(MONTH($CA621)&gt;=12,"Cold Winter",IF(MONTH($CA621)&gt;=10,"Post-Monsoon",IF(MONTH($CA621)&gt;=6,"Hot Humid",IF(MONTH($CA621)&gt;=3,"Hot Dry","Cold Winter")))))</f>
        <v/>
      </c>
      <c r="CC621">
        <f>IF($BV621="","",IFERROR(VLOOKUP($BV621,DECODE!$A$3:$C$8,2,FALSE),"?"))</f>
        <v/>
      </c>
      <c r="CD621">
        <f>IF($S621="","",UPPER(TRIM(LEFT($S621&amp;",",FIND(",",$S621&amp;",")-1))))</f>
        <v/>
      </c>
      <c r="CE621">
        <f>IF($CD621="","",MID($CD621,4,FIND("~",SUBSTITUTE($CD621,"-","~",2))-4))</f>
        <v/>
      </c>
      <c r="CF621">
        <f>IF($CD621="","",MID($CD621,FIND("~",SUBSTITUTE($CD621,"-","~",2))+1,FIND("~",SUBSTITUTE($CD621,"-","~",3))-FIND("~",SUBSTITUTE($CD621,"-","~",2))-1))</f>
        <v/>
      </c>
      <c r="CG621">
        <f>IF($CE621="","",IFERROR(VLOOKUP($CE621,DECODE!$A$3:$C$8,3,FALSE),"?"))</f>
        <v/>
      </c>
      <c r="CH621">
        <f>IF($CF621="","",IFERROR(VLOOKUP($CE621&amp;"-"&amp;$CF621,DECODE!$E$3:$F$21,2,FALSE),"?"))</f>
        <v/>
      </c>
      <c r="CI621">
        <f>IF($CD621="","",IFERROR(VALUE(RIGHT($CD621,3)),""))</f>
        <v/>
      </c>
      <c r="CJ621">
        <f>IF($Y621="","",IFERROR(IF(ISNUMBER($Y621),$Y621,DATEVALUE(TRIM($Y621))),""))</f>
        <v/>
      </c>
      <c r="CK621">
        <f>IF($CJ621="","",IF(MONTH($CJ621)&gt;=12,"Cold Winter",IF(MONTH($CJ621)&gt;=10,"Post-Monsoon",IF(MONTH($CJ621)&gt;=6,"Hot Humid",IF(MONTH($CJ621)&gt;=3,"Hot Dry","Cold Winter")))))</f>
        <v/>
      </c>
      <c r="CL621">
        <f>IF($CE621="","",IFERROR(VLOOKUP($CE621,DECODE!$A$3:$C$8,2,FALSE),"?"))</f>
        <v/>
      </c>
      <c r="CM621">
        <f>IF($AN621="","",AN621)</f>
        <v/>
      </c>
      <c r="CN621">
        <f>IF($AO621="","",AO621)</f>
        <v/>
      </c>
      <c r="CO621">
        <f>IF($AP621="","",AP621)</f>
        <v/>
      </c>
      <c r="CP621">
        <f>IF($CM621="","",IF($CM621="Aloe Vera Gel","Aloe Vera Gel "&amp;$CO621&amp;"g",CN621&amp;" "&amp;$CO621&amp;"g"))</f>
        <v/>
      </c>
      <c r="CQ621">
        <f>IF($AT621="",0,1)</f>
        <v/>
      </c>
      <c r="CR621">
        <f>IF($CQ621=0,"",AW621)</f>
        <v/>
      </c>
      <c r="CS621">
        <f>IF($CQ621=0,"",AX621)</f>
        <v/>
      </c>
      <c r="CT621">
        <f>IF($CQ621=0,"",AY621)</f>
        <v/>
      </c>
      <c r="CU621">
        <f>IF($CR621="","",IF($CR621="Aloe Vera Gel","Aloe Vera Gel "&amp;$CT621&amp;"g",CS621&amp;" "&amp;$CT621&amp;"g"))</f>
        <v/>
      </c>
      <c r="CV621">
        <f>IF($CQ621=0,"",IF($CP621=$CU621,"Repeat Exact",IF($CT621&gt;$CO621,"Upsized",IF($CT621&lt;$CO621,"Downsized",IF($CM621&lt;&gt;$CR621,"Lateral","Same Size Diff Variant")))))</f>
        <v/>
      </c>
      <c r="CW621">
        <f>IF($CQ621=0,"",AZ621-AQ621)</f>
        <v/>
      </c>
      <c r="CX621">
        <f>IF($CQ621=0,0,IF(CS621=CN621,1,0))</f>
        <v/>
      </c>
      <c r="CY621">
        <f>IF($CQ621=0,0,IF(CR621=CM621,1,0))</f>
        <v/>
      </c>
      <c r="CZ621">
        <f>IF($A621="","",IF(AND(IF(DASHBOARD!$C$4="All",TRUE,$CM621=DASHBOARD!$C$4),IF(DASHBOARD!$C$6="All",TRUE,$CP621=DASHBOARD!$C$6),IF(DASHBOARD!$C$8="All",TRUE,$AF621&gt;=DASHBOARD!$C$8),IF(DASHBOARD!$C$10="All",TRUE,$AF621&lt;=DASHBOARD!$C$10),IF(DASHBOARD!$C$12="All",TRUE,$AH621=VALUE(DASHBOARD!$C$12)),IF(DASHBOARD!$C$14="All",TRUE,$AJ621=DASHBOARD!$C$14)),1,0))</f>
        <v/>
      </c>
    </row>
    <row r="622">
      <c r="A622" t="n">
        <v>268081</v>
      </c>
      <c r="B622" t="inlineStr">
        <is>
          <t>Face Malai</t>
        </is>
      </c>
      <c r="H622" t="inlineStr">
        <is>
          <t>Flax Bakuchi (Hot Dry) 35+ Face Malai - 50g</t>
        </is>
      </c>
      <c r="N622" t="inlineStr">
        <is>
          <t>FC-HDDM-FB-050</t>
        </is>
      </c>
      <c r="T622" t="inlineStr">
        <is>
          <t>Mar 4, 2026</t>
        </is>
      </c>
      <c r="AE622" t="inlineStr">
        <is>
          <t>New Delhi</t>
        </is>
      </c>
      <c r="AF622" t="inlineStr">
        <is>
          <t>2026-03</t>
        </is>
      </c>
      <c r="AG622" t="n">
        <v>3</v>
      </c>
      <c r="AH622" t="n">
        <v>1</v>
      </c>
      <c r="AI622" t="n">
        <v>0</v>
      </c>
      <c r="AJ622">
        <f>IF($AE622="","",IFERROR(VLOOKUP(TRIM($AE622),DECODE!$H$3:$I$60,2,FALSE),"Rest of India"))</f>
        <v/>
      </c>
      <c r="AK622">
        <f>IF($N622="","",UPPER(TRIM(LEFT($N622&amp;",",FIND(",",$N622&amp;",")-1))))</f>
        <v/>
      </c>
      <c r="AL622">
        <f>IF($AK622="","",MID($AK622,4,FIND("~",SUBSTITUTE($AK622,"-","~",2))-4))</f>
        <v/>
      </c>
      <c r="AM622">
        <f>IF($AK622="","",MID($AK622,FIND("~",SUBSTITUTE($AK622,"-","~",2))+1,FIND("~",SUBSTITUTE($AK622,"-","~",3))-FIND("~",SUBSTITUTE($AK622,"-","~",2))-1))</f>
        <v/>
      </c>
      <c r="AN622">
        <f>IF($AL622="","",IFERROR(VLOOKUP($AL622,DECODE!$A$3:$C$8,3,FALSE),"?"))</f>
        <v/>
      </c>
      <c r="AO622">
        <f>IF($AM622="","",IFERROR(VLOOKUP($AL622&amp;"-"&amp;$AM622,DECODE!$E$3:$F$21,2,FALSE),"?"))</f>
        <v/>
      </c>
      <c r="AP622">
        <f>IF($AK622="","",IFERROR(VALUE(RIGHT($AK622,3)),""))</f>
        <v/>
      </c>
      <c r="AQ622">
        <f>IF($T622="","",IFERROR(IF(ISNUMBER($T622),$T622,DATEVALUE(TRIM($T622))),""))</f>
        <v/>
      </c>
      <c r="AR622">
        <f>IF($AQ622="","",IF(MONTH($AQ622)&gt;=12,"Cold Winter",IF(MONTH($AQ622)&gt;=10,"Post-Monsoon",IF(MONTH($AQ622)&gt;=6,"Hot Humid",IF(MONTH($AQ622)&gt;=3,"Hot Dry","Cold Winter")))))</f>
        <v/>
      </c>
      <c r="AS622">
        <f>IF($AL622="","",IFERROR(VLOOKUP($AL622,DECODE!$A$3:$C$8,2,FALSE),"?"))</f>
        <v/>
      </c>
      <c r="AT622">
        <f>IF($O622="","",UPPER(TRIM(LEFT($O622&amp;",",FIND(",",$O622&amp;",")-1))))</f>
        <v/>
      </c>
      <c r="AU622">
        <f>IF($AT622="","",MID($AT622,4,FIND("~",SUBSTITUTE($AT622,"-","~",2))-4))</f>
        <v/>
      </c>
      <c r="AV622">
        <f>IF($AT622="","",MID($AT622,FIND("~",SUBSTITUTE($AT622,"-","~",2))+1,FIND("~",SUBSTITUTE($AT622,"-","~",3))-FIND("~",SUBSTITUTE($AT622,"-","~",2))-1))</f>
        <v/>
      </c>
      <c r="AW622">
        <f>IF($AU622="","",IFERROR(VLOOKUP($AU622,DECODE!$A$3:$C$8,3,FALSE),"?"))</f>
        <v/>
      </c>
      <c r="AX622">
        <f>IF($AV622="","",IFERROR(VLOOKUP($AU622&amp;"-"&amp;$AV622,DECODE!$E$3:$F$21,2,FALSE),"?"))</f>
        <v/>
      </c>
      <c r="AY622">
        <f>IF($AT622="","",IFERROR(VALUE(RIGHT($AT622,3)),""))</f>
        <v/>
      </c>
      <c r="AZ622">
        <f>IF($U622="","",IFERROR(IF(ISNUMBER($U622),$U622,DATEVALUE(TRIM($U622))),""))</f>
        <v/>
      </c>
      <c r="BA622">
        <f>IF($AZ622="","",IF(MONTH($AZ622)&gt;=12,"Cold Winter",IF(MONTH($AZ622)&gt;=10,"Post-Monsoon",IF(MONTH($AZ622)&gt;=6,"Hot Humid",IF(MONTH($AZ622)&gt;=3,"Hot Dry","Cold Winter")))))</f>
        <v/>
      </c>
      <c r="BB622">
        <f>IF($AU622="","",IFERROR(VLOOKUP($AU622,DECODE!$A$3:$C$8,2,FALSE),"?"))</f>
        <v/>
      </c>
      <c r="BC622">
        <f>IF($P622="","",UPPER(TRIM(LEFT($P622&amp;",",FIND(",",$P622&amp;",")-1))))</f>
        <v/>
      </c>
      <c r="BD622">
        <f>IF($BC622="","",MID($BC622,4,FIND("~",SUBSTITUTE($BC622,"-","~",2))-4))</f>
        <v/>
      </c>
      <c r="BE622">
        <f>IF($BC622="","",MID($BC622,FIND("~",SUBSTITUTE($BC622,"-","~",2))+1,FIND("~",SUBSTITUTE($BC622,"-","~",3))-FIND("~",SUBSTITUTE($BC622,"-","~",2))-1))</f>
        <v/>
      </c>
      <c r="BF622">
        <f>IF($BD622="","",IFERROR(VLOOKUP($BD622,DECODE!$A$3:$C$8,3,FALSE),"?"))</f>
        <v/>
      </c>
      <c r="BG622">
        <f>IF($BE622="","",IFERROR(VLOOKUP($BD622&amp;"-"&amp;$BE622,DECODE!$E$3:$F$21,2,FALSE),"?"))</f>
        <v/>
      </c>
      <c r="BH622">
        <f>IF($BC622="","",IFERROR(VALUE(RIGHT($BC622,3)),""))</f>
        <v/>
      </c>
      <c r="BI622">
        <f>IF($V622="","",IFERROR(IF(ISNUMBER($V622),$V622,DATEVALUE(TRIM($V622))),""))</f>
        <v/>
      </c>
      <c r="BJ622">
        <f>IF($BI622="","",IF(MONTH($BI622)&gt;=12,"Cold Winter",IF(MONTH($BI622)&gt;=10,"Post-Monsoon",IF(MONTH($BI622)&gt;=6,"Hot Humid",IF(MONTH($BI622)&gt;=3,"Hot Dry","Cold Winter")))))</f>
        <v/>
      </c>
      <c r="BK622">
        <f>IF($BD622="","",IFERROR(VLOOKUP($BD622,DECODE!$A$3:$C$8,2,FALSE),"?"))</f>
        <v/>
      </c>
      <c r="BL622">
        <f>IF($Q622="","",UPPER(TRIM(LEFT($Q622&amp;",",FIND(",",$Q622&amp;",")-1))))</f>
        <v/>
      </c>
      <c r="BM622">
        <f>IF($BL622="","",MID($BL622,4,FIND("~",SUBSTITUTE($BL622,"-","~",2))-4))</f>
        <v/>
      </c>
      <c r="BN622">
        <f>IF($BL622="","",MID($BL622,FIND("~",SUBSTITUTE($BL622,"-","~",2))+1,FIND("~",SUBSTITUTE($BL622,"-","~",3))-FIND("~",SUBSTITUTE($BL622,"-","~",2))-1))</f>
        <v/>
      </c>
      <c r="BO622">
        <f>IF($BM622="","",IFERROR(VLOOKUP($BM622,DECODE!$A$3:$C$8,3,FALSE),"?"))</f>
        <v/>
      </c>
      <c r="BP622">
        <f>IF($BN622="","",IFERROR(VLOOKUP($BM622&amp;"-"&amp;$BN622,DECODE!$E$3:$F$21,2,FALSE),"?"))</f>
        <v/>
      </c>
      <c r="BQ622">
        <f>IF($BL622="","",IFERROR(VALUE(RIGHT($BL622,3)),""))</f>
        <v/>
      </c>
      <c r="BR622">
        <f>IF($W622="","",IFERROR(IF(ISNUMBER($W622),$W622,DATEVALUE(TRIM($W622))),""))</f>
        <v/>
      </c>
      <c r="BS622">
        <f>IF($BR622="","",IF(MONTH($BR622)&gt;=12,"Cold Winter",IF(MONTH($BR622)&gt;=10,"Post-Monsoon",IF(MONTH($BR622)&gt;=6,"Hot Humid",IF(MONTH($BR622)&gt;=3,"Hot Dry","Cold Winter")))))</f>
        <v/>
      </c>
      <c r="BT622">
        <f>IF($BM622="","",IFERROR(VLOOKUP($BM622,DECODE!$A$3:$C$8,2,FALSE),"?"))</f>
        <v/>
      </c>
      <c r="BU622">
        <f>IF($R622="","",UPPER(TRIM(LEFT($R622&amp;",",FIND(",",$R622&amp;",")-1))))</f>
        <v/>
      </c>
      <c r="BV622">
        <f>IF($BU622="","",MID($BU622,4,FIND("~",SUBSTITUTE($BU622,"-","~",2))-4))</f>
        <v/>
      </c>
      <c r="BW622">
        <f>IF($BU622="","",MID($BU622,FIND("~",SUBSTITUTE($BU622,"-","~",2))+1,FIND("~",SUBSTITUTE($BU622,"-","~",3))-FIND("~",SUBSTITUTE($BU622,"-","~",2))-1))</f>
        <v/>
      </c>
      <c r="BX622">
        <f>IF($BV622="","",IFERROR(VLOOKUP($BV622,DECODE!$A$3:$C$8,3,FALSE),"?"))</f>
        <v/>
      </c>
      <c r="BY622">
        <f>IF($BW622="","",IFERROR(VLOOKUP($BV622&amp;"-"&amp;$BW622,DECODE!$E$3:$F$21,2,FALSE),"?"))</f>
        <v/>
      </c>
      <c r="BZ622">
        <f>IF($BU622="","",IFERROR(VALUE(RIGHT($BU622,3)),""))</f>
        <v/>
      </c>
      <c r="CA622">
        <f>IF($X622="","",IFERROR(IF(ISNUMBER($X622),$X622,DATEVALUE(TRIM($X622))),""))</f>
        <v/>
      </c>
      <c r="CB622">
        <f>IF($CA622="","",IF(MONTH($CA622)&gt;=12,"Cold Winter",IF(MONTH($CA622)&gt;=10,"Post-Monsoon",IF(MONTH($CA622)&gt;=6,"Hot Humid",IF(MONTH($CA622)&gt;=3,"Hot Dry","Cold Winter")))))</f>
        <v/>
      </c>
      <c r="CC622">
        <f>IF($BV622="","",IFERROR(VLOOKUP($BV622,DECODE!$A$3:$C$8,2,FALSE),"?"))</f>
        <v/>
      </c>
      <c r="CD622">
        <f>IF($S622="","",UPPER(TRIM(LEFT($S622&amp;",",FIND(",",$S622&amp;",")-1))))</f>
        <v/>
      </c>
      <c r="CE622">
        <f>IF($CD622="","",MID($CD622,4,FIND("~",SUBSTITUTE($CD622,"-","~",2))-4))</f>
        <v/>
      </c>
      <c r="CF622">
        <f>IF($CD622="","",MID($CD622,FIND("~",SUBSTITUTE($CD622,"-","~",2))+1,FIND("~",SUBSTITUTE($CD622,"-","~",3))-FIND("~",SUBSTITUTE($CD622,"-","~",2))-1))</f>
        <v/>
      </c>
      <c r="CG622">
        <f>IF($CE622="","",IFERROR(VLOOKUP($CE622,DECODE!$A$3:$C$8,3,FALSE),"?"))</f>
        <v/>
      </c>
      <c r="CH622">
        <f>IF($CF622="","",IFERROR(VLOOKUP($CE622&amp;"-"&amp;$CF622,DECODE!$E$3:$F$21,2,FALSE),"?"))</f>
        <v/>
      </c>
      <c r="CI622">
        <f>IF($CD622="","",IFERROR(VALUE(RIGHT($CD622,3)),""))</f>
        <v/>
      </c>
      <c r="CJ622">
        <f>IF($Y622="","",IFERROR(IF(ISNUMBER($Y622),$Y622,DATEVALUE(TRIM($Y622))),""))</f>
        <v/>
      </c>
      <c r="CK622">
        <f>IF($CJ622="","",IF(MONTH($CJ622)&gt;=12,"Cold Winter",IF(MONTH($CJ622)&gt;=10,"Post-Monsoon",IF(MONTH($CJ622)&gt;=6,"Hot Humid",IF(MONTH($CJ622)&gt;=3,"Hot Dry","Cold Winter")))))</f>
        <v/>
      </c>
      <c r="CL622">
        <f>IF($CE622="","",IFERROR(VLOOKUP($CE622,DECODE!$A$3:$C$8,2,FALSE),"?"))</f>
        <v/>
      </c>
      <c r="CM622">
        <f>IF($AN622="","",AN622)</f>
        <v/>
      </c>
      <c r="CN622">
        <f>IF($AO622="","",AO622)</f>
        <v/>
      </c>
      <c r="CO622">
        <f>IF($AP622="","",AP622)</f>
        <v/>
      </c>
      <c r="CP622">
        <f>IF($CM622="","",IF($CM622="Aloe Vera Gel","Aloe Vera Gel "&amp;$CO622&amp;"g",CN622&amp;" "&amp;$CO622&amp;"g"))</f>
        <v/>
      </c>
      <c r="CQ622">
        <f>IF($AT622="",0,1)</f>
        <v/>
      </c>
      <c r="CR622">
        <f>IF($CQ622=0,"",AW622)</f>
        <v/>
      </c>
      <c r="CS622">
        <f>IF($CQ622=0,"",AX622)</f>
        <v/>
      </c>
      <c r="CT622">
        <f>IF($CQ622=0,"",AY622)</f>
        <v/>
      </c>
      <c r="CU622">
        <f>IF($CR622="","",IF($CR622="Aloe Vera Gel","Aloe Vera Gel "&amp;$CT622&amp;"g",CS622&amp;" "&amp;$CT622&amp;"g"))</f>
        <v/>
      </c>
      <c r="CV622">
        <f>IF($CQ622=0,"",IF($CP622=$CU622,"Repeat Exact",IF($CT622&gt;$CO622,"Upsized",IF($CT622&lt;$CO622,"Downsized",IF($CM622&lt;&gt;$CR622,"Lateral","Same Size Diff Variant")))))</f>
        <v/>
      </c>
      <c r="CW622">
        <f>IF($CQ622=0,"",AZ622-AQ622)</f>
        <v/>
      </c>
      <c r="CX622">
        <f>IF($CQ622=0,0,IF(CS622=CN622,1,0))</f>
        <v/>
      </c>
      <c r="CY622">
        <f>IF($CQ622=0,0,IF(CR622=CM622,1,0))</f>
        <v/>
      </c>
      <c r="CZ622">
        <f>IF($A622="","",IF(AND(IF(DASHBOARD!$C$4="All",TRUE,$CM622=DASHBOARD!$C$4),IF(DASHBOARD!$C$6="All",TRUE,$CP622=DASHBOARD!$C$6),IF(DASHBOARD!$C$8="All",TRUE,$AF622&gt;=DASHBOARD!$C$8),IF(DASHBOARD!$C$10="All",TRUE,$AF622&lt;=DASHBOARD!$C$10),IF(DASHBOARD!$C$12="All",TRUE,$AH622=VALUE(DASHBOARD!$C$12)),IF(DASHBOARD!$C$14="All",TRUE,$AJ622=DASHBOARD!$C$14)),1,0))</f>
        <v/>
      </c>
    </row>
    <row r="623">
      <c r="A623" t="n">
        <v>268330</v>
      </c>
      <c r="B623" t="inlineStr">
        <is>
          <t>Face Malai</t>
        </is>
      </c>
      <c r="C623" t="inlineStr">
        <is>
          <t>Face Malai</t>
        </is>
      </c>
      <c r="H623" t="inlineStr">
        <is>
          <t>Cocoa Mogra (Overnight) Face Malai - 30g</t>
        </is>
      </c>
      <c r="I623" t="inlineStr">
        <is>
          <t>Cocoa Mogra (Overnight) Face Malai - 30g</t>
        </is>
      </c>
      <c r="N623" t="inlineStr">
        <is>
          <t>FC-DM-NR-030</t>
        </is>
      </c>
      <c r="O623" t="inlineStr">
        <is>
          <t>FC-DM-NR-030</t>
        </is>
      </c>
      <c r="T623" t="inlineStr">
        <is>
          <t>Jul 22, 2024</t>
        </is>
      </c>
      <c r="U623" t="inlineStr">
        <is>
          <t>Dec 18, 2025</t>
        </is>
      </c>
      <c r="Z623" t="n">
        <v>514</v>
      </c>
      <c r="AE623" t="inlineStr">
        <is>
          <t>Gurgaon</t>
        </is>
      </c>
      <c r="AF623" t="inlineStr">
        <is>
          <t>2024-07</t>
        </is>
      </c>
      <c r="AG623" t="n">
        <v>7</v>
      </c>
      <c r="AH623" t="n">
        <v>2</v>
      </c>
      <c r="AI623" t="n">
        <v>1</v>
      </c>
      <c r="AJ623">
        <f>IF($AE623="","",IFERROR(VLOOKUP(TRIM($AE623),DECODE!$H$3:$I$60,2,FALSE),"Rest of India"))</f>
        <v/>
      </c>
      <c r="AK623">
        <f>IF($N623="","",UPPER(TRIM(LEFT($N623&amp;",",FIND(",",$N623&amp;",")-1))))</f>
        <v/>
      </c>
      <c r="AL623">
        <f>IF($AK623="","",MID($AK623,4,FIND("~",SUBSTITUTE($AK623,"-","~",2))-4))</f>
        <v/>
      </c>
      <c r="AM623">
        <f>IF($AK623="","",MID($AK623,FIND("~",SUBSTITUTE($AK623,"-","~",2))+1,FIND("~",SUBSTITUTE($AK623,"-","~",3))-FIND("~",SUBSTITUTE($AK623,"-","~",2))-1))</f>
        <v/>
      </c>
      <c r="AN623">
        <f>IF($AL623="","",IFERROR(VLOOKUP($AL623,DECODE!$A$3:$C$8,3,FALSE),"?"))</f>
        <v/>
      </c>
      <c r="AO623">
        <f>IF($AM623="","",IFERROR(VLOOKUP($AL623&amp;"-"&amp;$AM623,DECODE!$E$3:$F$21,2,FALSE),"?"))</f>
        <v/>
      </c>
      <c r="AP623">
        <f>IF($AK623="","",IFERROR(VALUE(RIGHT($AK623,3)),""))</f>
        <v/>
      </c>
      <c r="AQ623">
        <f>IF($T623="","",IFERROR(IF(ISNUMBER($T623),$T623,DATEVALUE(TRIM($T623))),""))</f>
        <v/>
      </c>
      <c r="AR623">
        <f>IF($AQ623="","",IF(MONTH($AQ623)&gt;=12,"Cold Winter",IF(MONTH($AQ623)&gt;=10,"Post-Monsoon",IF(MONTH($AQ623)&gt;=6,"Hot Humid",IF(MONTH($AQ623)&gt;=3,"Hot Dry","Cold Winter")))))</f>
        <v/>
      </c>
      <c r="AS623">
        <f>IF($AL623="","",IFERROR(VLOOKUP($AL623,DECODE!$A$3:$C$8,2,FALSE),"?"))</f>
        <v/>
      </c>
      <c r="AT623">
        <f>IF($O623="","",UPPER(TRIM(LEFT($O623&amp;",",FIND(",",$O623&amp;",")-1))))</f>
        <v/>
      </c>
      <c r="AU623">
        <f>IF($AT623="","",MID($AT623,4,FIND("~",SUBSTITUTE($AT623,"-","~",2))-4))</f>
        <v/>
      </c>
      <c r="AV623">
        <f>IF($AT623="","",MID($AT623,FIND("~",SUBSTITUTE($AT623,"-","~",2))+1,FIND("~",SUBSTITUTE($AT623,"-","~",3))-FIND("~",SUBSTITUTE($AT623,"-","~",2))-1))</f>
        <v/>
      </c>
      <c r="AW623">
        <f>IF($AU623="","",IFERROR(VLOOKUP($AU623,DECODE!$A$3:$C$8,3,FALSE),"?"))</f>
        <v/>
      </c>
      <c r="AX623">
        <f>IF($AV623="","",IFERROR(VLOOKUP($AU623&amp;"-"&amp;$AV623,DECODE!$E$3:$F$21,2,FALSE),"?"))</f>
        <v/>
      </c>
      <c r="AY623">
        <f>IF($AT623="","",IFERROR(VALUE(RIGHT($AT623,3)),""))</f>
        <v/>
      </c>
      <c r="AZ623">
        <f>IF($U623="","",IFERROR(IF(ISNUMBER($U623),$U623,DATEVALUE(TRIM($U623))),""))</f>
        <v/>
      </c>
      <c r="BA623">
        <f>IF($AZ623="","",IF(MONTH($AZ623)&gt;=12,"Cold Winter",IF(MONTH($AZ623)&gt;=10,"Post-Monsoon",IF(MONTH($AZ623)&gt;=6,"Hot Humid",IF(MONTH($AZ623)&gt;=3,"Hot Dry","Cold Winter")))))</f>
        <v/>
      </c>
      <c r="BB623">
        <f>IF($AU623="","",IFERROR(VLOOKUP($AU623,DECODE!$A$3:$C$8,2,FALSE),"?"))</f>
        <v/>
      </c>
      <c r="BC623">
        <f>IF($P623="","",UPPER(TRIM(LEFT($P623&amp;",",FIND(",",$P623&amp;",")-1))))</f>
        <v/>
      </c>
      <c r="BD623">
        <f>IF($BC623="","",MID($BC623,4,FIND("~",SUBSTITUTE($BC623,"-","~",2))-4))</f>
        <v/>
      </c>
      <c r="BE623">
        <f>IF($BC623="","",MID($BC623,FIND("~",SUBSTITUTE($BC623,"-","~",2))+1,FIND("~",SUBSTITUTE($BC623,"-","~",3))-FIND("~",SUBSTITUTE($BC623,"-","~",2))-1))</f>
        <v/>
      </c>
      <c r="BF623">
        <f>IF($BD623="","",IFERROR(VLOOKUP($BD623,DECODE!$A$3:$C$8,3,FALSE),"?"))</f>
        <v/>
      </c>
      <c r="BG623">
        <f>IF($BE623="","",IFERROR(VLOOKUP($BD623&amp;"-"&amp;$BE623,DECODE!$E$3:$F$21,2,FALSE),"?"))</f>
        <v/>
      </c>
      <c r="BH623">
        <f>IF($BC623="","",IFERROR(VALUE(RIGHT($BC623,3)),""))</f>
        <v/>
      </c>
      <c r="BI623">
        <f>IF($V623="","",IFERROR(IF(ISNUMBER($V623),$V623,DATEVALUE(TRIM($V623))),""))</f>
        <v/>
      </c>
      <c r="BJ623">
        <f>IF($BI623="","",IF(MONTH($BI623)&gt;=12,"Cold Winter",IF(MONTH($BI623)&gt;=10,"Post-Monsoon",IF(MONTH($BI623)&gt;=6,"Hot Humid",IF(MONTH($BI623)&gt;=3,"Hot Dry","Cold Winter")))))</f>
        <v/>
      </c>
      <c r="BK623">
        <f>IF($BD623="","",IFERROR(VLOOKUP($BD623,DECODE!$A$3:$C$8,2,FALSE),"?"))</f>
        <v/>
      </c>
      <c r="BL623">
        <f>IF($Q623="","",UPPER(TRIM(LEFT($Q623&amp;",",FIND(",",$Q623&amp;",")-1))))</f>
        <v/>
      </c>
      <c r="BM623">
        <f>IF($BL623="","",MID($BL623,4,FIND("~",SUBSTITUTE($BL623,"-","~",2))-4))</f>
        <v/>
      </c>
      <c r="BN623">
        <f>IF($BL623="","",MID($BL623,FIND("~",SUBSTITUTE($BL623,"-","~",2))+1,FIND("~",SUBSTITUTE($BL623,"-","~",3))-FIND("~",SUBSTITUTE($BL623,"-","~",2))-1))</f>
        <v/>
      </c>
      <c r="BO623">
        <f>IF($BM623="","",IFERROR(VLOOKUP($BM623,DECODE!$A$3:$C$8,3,FALSE),"?"))</f>
        <v/>
      </c>
      <c r="BP623">
        <f>IF($BN623="","",IFERROR(VLOOKUP($BM623&amp;"-"&amp;$BN623,DECODE!$E$3:$F$21,2,FALSE),"?"))</f>
        <v/>
      </c>
      <c r="BQ623">
        <f>IF($BL623="","",IFERROR(VALUE(RIGHT($BL623,3)),""))</f>
        <v/>
      </c>
      <c r="BR623">
        <f>IF($W623="","",IFERROR(IF(ISNUMBER($W623),$W623,DATEVALUE(TRIM($W623))),""))</f>
        <v/>
      </c>
      <c r="BS623">
        <f>IF($BR623="","",IF(MONTH($BR623)&gt;=12,"Cold Winter",IF(MONTH($BR623)&gt;=10,"Post-Monsoon",IF(MONTH($BR623)&gt;=6,"Hot Humid",IF(MONTH($BR623)&gt;=3,"Hot Dry","Cold Winter")))))</f>
        <v/>
      </c>
      <c r="BT623">
        <f>IF($BM623="","",IFERROR(VLOOKUP($BM623,DECODE!$A$3:$C$8,2,FALSE),"?"))</f>
        <v/>
      </c>
      <c r="BU623">
        <f>IF($R623="","",UPPER(TRIM(LEFT($R623&amp;",",FIND(",",$R623&amp;",")-1))))</f>
        <v/>
      </c>
      <c r="BV623">
        <f>IF($BU623="","",MID($BU623,4,FIND("~",SUBSTITUTE($BU623,"-","~",2))-4))</f>
        <v/>
      </c>
      <c r="BW623">
        <f>IF($BU623="","",MID($BU623,FIND("~",SUBSTITUTE($BU623,"-","~",2))+1,FIND("~",SUBSTITUTE($BU623,"-","~",3))-FIND("~",SUBSTITUTE($BU623,"-","~",2))-1))</f>
        <v/>
      </c>
      <c r="BX623">
        <f>IF($BV623="","",IFERROR(VLOOKUP($BV623,DECODE!$A$3:$C$8,3,FALSE),"?"))</f>
        <v/>
      </c>
      <c r="BY623">
        <f>IF($BW623="","",IFERROR(VLOOKUP($BV623&amp;"-"&amp;$BW623,DECODE!$E$3:$F$21,2,FALSE),"?"))</f>
        <v/>
      </c>
      <c r="BZ623">
        <f>IF($BU623="","",IFERROR(VALUE(RIGHT($BU623,3)),""))</f>
        <v/>
      </c>
      <c r="CA623">
        <f>IF($X623="","",IFERROR(IF(ISNUMBER($X623),$X623,DATEVALUE(TRIM($X623))),""))</f>
        <v/>
      </c>
      <c r="CB623">
        <f>IF($CA623="","",IF(MONTH($CA623)&gt;=12,"Cold Winter",IF(MONTH($CA623)&gt;=10,"Post-Monsoon",IF(MONTH($CA623)&gt;=6,"Hot Humid",IF(MONTH($CA623)&gt;=3,"Hot Dry","Cold Winter")))))</f>
        <v/>
      </c>
      <c r="CC623">
        <f>IF($BV623="","",IFERROR(VLOOKUP($BV623,DECODE!$A$3:$C$8,2,FALSE),"?"))</f>
        <v/>
      </c>
      <c r="CD623">
        <f>IF($S623="","",UPPER(TRIM(LEFT($S623&amp;",",FIND(",",$S623&amp;",")-1))))</f>
        <v/>
      </c>
      <c r="CE623">
        <f>IF($CD623="","",MID($CD623,4,FIND("~",SUBSTITUTE($CD623,"-","~",2))-4))</f>
        <v/>
      </c>
      <c r="CF623">
        <f>IF($CD623="","",MID($CD623,FIND("~",SUBSTITUTE($CD623,"-","~",2))+1,FIND("~",SUBSTITUTE($CD623,"-","~",3))-FIND("~",SUBSTITUTE($CD623,"-","~",2))-1))</f>
        <v/>
      </c>
      <c r="CG623">
        <f>IF($CE623="","",IFERROR(VLOOKUP($CE623,DECODE!$A$3:$C$8,3,FALSE),"?"))</f>
        <v/>
      </c>
      <c r="CH623">
        <f>IF($CF623="","",IFERROR(VLOOKUP($CE623&amp;"-"&amp;$CF623,DECODE!$E$3:$F$21,2,FALSE),"?"))</f>
        <v/>
      </c>
      <c r="CI623">
        <f>IF($CD623="","",IFERROR(VALUE(RIGHT($CD623,3)),""))</f>
        <v/>
      </c>
      <c r="CJ623">
        <f>IF($Y623="","",IFERROR(IF(ISNUMBER($Y623),$Y623,DATEVALUE(TRIM($Y623))),""))</f>
        <v/>
      </c>
      <c r="CK623">
        <f>IF($CJ623="","",IF(MONTH($CJ623)&gt;=12,"Cold Winter",IF(MONTH($CJ623)&gt;=10,"Post-Monsoon",IF(MONTH($CJ623)&gt;=6,"Hot Humid",IF(MONTH($CJ623)&gt;=3,"Hot Dry","Cold Winter")))))</f>
        <v/>
      </c>
      <c r="CL623">
        <f>IF($CE623="","",IFERROR(VLOOKUP($CE623,DECODE!$A$3:$C$8,2,FALSE),"?"))</f>
        <v/>
      </c>
      <c r="CM623">
        <f>IF($AN623="","",AN623)</f>
        <v/>
      </c>
      <c r="CN623">
        <f>IF($AO623="","",AO623)</f>
        <v/>
      </c>
      <c r="CO623">
        <f>IF($AP623="","",AP623)</f>
        <v/>
      </c>
      <c r="CP623">
        <f>IF($CM623="","",IF($CM623="Aloe Vera Gel","Aloe Vera Gel "&amp;$CO623&amp;"g",CN623&amp;" "&amp;$CO623&amp;"g"))</f>
        <v/>
      </c>
      <c r="CQ623">
        <f>IF($AT623="",0,1)</f>
        <v/>
      </c>
      <c r="CR623">
        <f>IF($CQ623=0,"",AW623)</f>
        <v/>
      </c>
      <c r="CS623">
        <f>IF($CQ623=0,"",AX623)</f>
        <v/>
      </c>
      <c r="CT623">
        <f>IF($CQ623=0,"",AY623)</f>
        <v/>
      </c>
      <c r="CU623">
        <f>IF($CR623="","",IF($CR623="Aloe Vera Gel","Aloe Vera Gel "&amp;$CT623&amp;"g",CS623&amp;" "&amp;$CT623&amp;"g"))</f>
        <v/>
      </c>
      <c r="CV623">
        <f>IF($CQ623=0,"",IF($CP623=$CU623,"Repeat Exact",IF($CT623&gt;$CO623,"Upsized",IF($CT623&lt;$CO623,"Downsized",IF($CM623&lt;&gt;$CR623,"Lateral","Same Size Diff Variant")))))</f>
        <v/>
      </c>
      <c r="CW623">
        <f>IF($CQ623=0,"",AZ623-AQ623)</f>
        <v/>
      </c>
      <c r="CX623">
        <f>IF($CQ623=0,0,IF(CS623=CN623,1,0))</f>
        <v/>
      </c>
      <c r="CY623">
        <f>IF($CQ623=0,0,IF(CR623=CM623,1,0))</f>
        <v/>
      </c>
      <c r="CZ623">
        <f>IF($A623="","",IF(AND(IF(DASHBOARD!$C$4="All",TRUE,$CM623=DASHBOARD!$C$4),IF(DASHBOARD!$C$6="All",TRUE,$CP623=DASHBOARD!$C$6),IF(DASHBOARD!$C$8="All",TRUE,$AF623&gt;=DASHBOARD!$C$8),IF(DASHBOARD!$C$10="All",TRUE,$AF623&lt;=DASHBOARD!$C$10),IF(DASHBOARD!$C$12="All",TRUE,$AH623=VALUE(DASHBOARD!$C$12)),IF(DASHBOARD!$C$14="All",TRUE,$AJ623=DASHBOARD!$C$14)),1,0))</f>
        <v/>
      </c>
    </row>
    <row r="624">
      <c r="A624" t="n">
        <v>268869</v>
      </c>
      <c r="B624" t="inlineStr">
        <is>
          <t>Face Malai</t>
        </is>
      </c>
      <c r="H624" t="inlineStr">
        <is>
          <t>Turmeric Nutmeg (Pigmentation)  Face Malai - 30g</t>
        </is>
      </c>
      <c r="N624" t="inlineStr">
        <is>
          <t>FC-DM-PG-030</t>
        </is>
      </c>
      <c r="T624" t="inlineStr">
        <is>
          <t>Dec 17, 2024</t>
        </is>
      </c>
      <c r="AE624" t="inlineStr">
        <is>
          <t>Singhbhum</t>
        </is>
      </c>
      <c r="AF624" t="inlineStr">
        <is>
          <t>2024-12</t>
        </is>
      </c>
      <c r="AG624" t="n">
        <v>12</v>
      </c>
      <c r="AH624" t="n">
        <v>1</v>
      </c>
      <c r="AI624" t="n">
        <v>0</v>
      </c>
      <c r="AJ624">
        <f>IF($AE624="","",IFERROR(VLOOKUP(TRIM($AE624),DECODE!$H$3:$I$60,2,FALSE),"Rest of India"))</f>
        <v/>
      </c>
      <c r="AK624">
        <f>IF($N624="","",UPPER(TRIM(LEFT($N624&amp;",",FIND(",",$N624&amp;",")-1))))</f>
        <v/>
      </c>
      <c r="AL624">
        <f>IF($AK624="","",MID($AK624,4,FIND("~",SUBSTITUTE($AK624,"-","~",2))-4))</f>
        <v/>
      </c>
      <c r="AM624">
        <f>IF($AK624="","",MID($AK624,FIND("~",SUBSTITUTE($AK624,"-","~",2))+1,FIND("~",SUBSTITUTE($AK624,"-","~",3))-FIND("~",SUBSTITUTE($AK624,"-","~",2))-1))</f>
        <v/>
      </c>
      <c r="AN624">
        <f>IF($AL624="","",IFERROR(VLOOKUP($AL624,DECODE!$A$3:$C$8,3,FALSE),"?"))</f>
        <v/>
      </c>
      <c r="AO624">
        <f>IF($AM624="","",IFERROR(VLOOKUP($AL624&amp;"-"&amp;$AM624,DECODE!$E$3:$F$21,2,FALSE),"?"))</f>
        <v/>
      </c>
      <c r="AP624">
        <f>IF($AK624="","",IFERROR(VALUE(RIGHT($AK624,3)),""))</f>
        <v/>
      </c>
      <c r="AQ624">
        <f>IF($T624="","",IFERROR(IF(ISNUMBER($T624),$T624,DATEVALUE(TRIM($T624))),""))</f>
        <v/>
      </c>
      <c r="AR624">
        <f>IF($AQ624="","",IF(MONTH($AQ624)&gt;=12,"Cold Winter",IF(MONTH($AQ624)&gt;=10,"Post-Monsoon",IF(MONTH($AQ624)&gt;=6,"Hot Humid",IF(MONTH($AQ624)&gt;=3,"Hot Dry","Cold Winter")))))</f>
        <v/>
      </c>
      <c r="AS624">
        <f>IF($AL624="","",IFERROR(VLOOKUP($AL624,DECODE!$A$3:$C$8,2,FALSE),"?"))</f>
        <v/>
      </c>
      <c r="AT624">
        <f>IF($O624="","",UPPER(TRIM(LEFT($O624&amp;",",FIND(",",$O624&amp;",")-1))))</f>
        <v/>
      </c>
      <c r="AU624">
        <f>IF($AT624="","",MID($AT624,4,FIND("~",SUBSTITUTE($AT624,"-","~",2))-4))</f>
        <v/>
      </c>
      <c r="AV624">
        <f>IF($AT624="","",MID($AT624,FIND("~",SUBSTITUTE($AT624,"-","~",2))+1,FIND("~",SUBSTITUTE($AT624,"-","~",3))-FIND("~",SUBSTITUTE($AT624,"-","~",2))-1))</f>
        <v/>
      </c>
      <c r="AW624">
        <f>IF($AU624="","",IFERROR(VLOOKUP($AU624,DECODE!$A$3:$C$8,3,FALSE),"?"))</f>
        <v/>
      </c>
      <c r="AX624">
        <f>IF($AV624="","",IFERROR(VLOOKUP($AU624&amp;"-"&amp;$AV624,DECODE!$E$3:$F$21,2,FALSE),"?"))</f>
        <v/>
      </c>
      <c r="AY624">
        <f>IF($AT624="","",IFERROR(VALUE(RIGHT($AT624,3)),""))</f>
        <v/>
      </c>
      <c r="AZ624">
        <f>IF($U624="","",IFERROR(IF(ISNUMBER($U624),$U624,DATEVALUE(TRIM($U624))),""))</f>
        <v/>
      </c>
      <c r="BA624">
        <f>IF($AZ624="","",IF(MONTH($AZ624)&gt;=12,"Cold Winter",IF(MONTH($AZ624)&gt;=10,"Post-Monsoon",IF(MONTH($AZ624)&gt;=6,"Hot Humid",IF(MONTH($AZ624)&gt;=3,"Hot Dry","Cold Winter")))))</f>
        <v/>
      </c>
      <c r="BB624">
        <f>IF($AU624="","",IFERROR(VLOOKUP($AU624,DECODE!$A$3:$C$8,2,FALSE),"?"))</f>
        <v/>
      </c>
      <c r="BC624">
        <f>IF($P624="","",UPPER(TRIM(LEFT($P624&amp;",",FIND(",",$P624&amp;",")-1))))</f>
        <v/>
      </c>
      <c r="BD624">
        <f>IF($BC624="","",MID($BC624,4,FIND("~",SUBSTITUTE($BC624,"-","~",2))-4))</f>
        <v/>
      </c>
      <c r="BE624">
        <f>IF($BC624="","",MID($BC624,FIND("~",SUBSTITUTE($BC624,"-","~",2))+1,FIND("~",SUBSTITUTE($BC624,"-","~",3))-FIND("~",SUBSTITUTE($BC624,"-","~",2))-1))</f>
        <v/>
      </c>
      <c r="BF624">
        <f>IF($BD624="","",IFERROR(VLOOKUP($BD624,DECODE!$A$3:$C$8,3,FALSE),"?"))</f>
        <v/>
      </c>
      <c r="BG624">
        <f>IF($BE624="","",IFERROR(VLOOKUP($BD624&amp;"-"&amp;$BE624,DECODE!$E$3:$F$21,2,FALSE),"?"))</f>
        <v/>
      </c>
      <c r="BH624">
        <f>IF($BC624="","",IFERROR(VALUE(RIGHT($BC624,3)),""))</f>
        <v/>
      </c>
      <c r="BI624">
        <f>IF($V624="","",IFERROR(IF(ISNUMBER($V624),$V624,DATEVALUE(TRIM($V624))),""))</f>
        <v/>
      </c>
      <c r="BJ624">
        <f>IF($BI624="","",IF(MONTH($BI624)&gt;=12,"Cold Winter",IF(MONTH($BI624)&gt;=10,"Post-Monsoon",IF(MONTH($BI624)&gt;=6,"Hot Humid",IF(MONTH($BI624)&gt;=3,"Hot Dry","Cold Winter")))))</f>
        <v/>
      </c>
      <c r="BK624">
        <f>IF($BD624="","",IFERROR(VLOOKUP($BD624,DECODE!$A$3:$C$8,2,FALSE),"?"))</f>
        <v/>
      </c>
      <c r="BL624">
        <f>IF($Q624="","",UPPER(TRIM(LEFT($Q624&amp;",",FIND(",",$Q624&amp;",")-1))))</f>
        <v/>
      </c>
      <c r="BM624">
        <f>IF($BL624="","",MID($BL624,4,FIND("~",SUBSTITUTE($BL624,"-","~",2))-4))</f>
        <v/>
      </c>
      <c r="BN624">
        <f>IF($BL624="","",MID($BL624,FIND("~",SUBSTITUTE($BL624,"-","~",2))+1,FIND("~",SUBSTITUTE($BL624,"-","~",3))-FIND("~",SUBSTITUTE($BL624,"-","~",2))-1))</f>
        <v/>
      </c>
      <c r="BO624">
        <f>IF($BM624="","",IFERROR(VLOOKUP($BM624,DECODE!$A$3:$C$8,3,FALSE),"?"))</f>
        <v/>
      </c>
      <c r="BP624">
        <f>IF($BN624="","",IFERROR(VLOOKUP($BM624&amp;"-"&amp;$BN624,DECODE!$E$3:$F$21,2,FALSE),"?"))</f>
        <v/>
      </c>
      <c r="BQ624">
        <f>IF($BL624="","",IFERROR(VALUE(RIGHT($BL624,3)),""))</f>
        <v/>
      </c>
      <c r="BR624">
        <f>IF($W624="","",IFERROR(IF(ISNUMBER($W624),$W624,DATEVALUE(TRIM($W624))),""))</f>
        <v/>
      </c>
      <c r="BS624">
        <f>IF($BR624="","",IF(MONTH($BR624)&gt;=12,"Cold Winter",IF(MONTH($BR624)&gt;=10,"Post-Monsoon",IF(MONTH($BR624)&gt;=6,"Hot Humid",IF(MONTH($BR624)&gt;=3,"Hot Dry","Cold Winter")))))</f>
        <v/>
      </c>
      <c r="BT624">
        <f>IF($BM624="","",IFERROR(VLOOKUP($BM624,DECODE!$A$3:$C$8,2,FALSE),"?"))</f>
        <v/>
      </c>
      <c r="BU624">
        <f>IF($R624="","",UPPER(TRIM(LEFT($R624&amp;",",FIND(",",$R624&amp;",")-1))))</f>
        <v/>
      </c>
      <c r="BV624">
        <f>IF($BU624="","",MID($BU624,4,FIND("~",SUBSTITUTE($BU624,"-","~",2))-4))</f>
        <v/>
      </c>
      <c r="BW624">
        <f>IF($BU624="","",MID($BU624,FIND("~",SUBSTITUTE($BU624,"-","~",2))+1,FIND("~",SUBSTITUTE($BU624,"-","~",3))-FIND("~",SUBSTITUTE($BU624,"-","~",2))-1))</f>
        <v/>
      </c>
      <c r="BX624">
        <f>IF($BV624="","",IFERROR(VLOOKUP($BV624,DECODE!$A$3:$C$8,3,FALSE),"?"))</f>
        <v/>
      </c>
      <c r="BY624">
        <f>IF($BW624="","",IFERROR(VLOOKUP($BV624&amp;"-"&amp;$BW624,DECODE!$E$3:$F$21,2,FALSE),"?"))</f>
        <v/>
      </c>
      <c r="BZ624">
        <f>IF($BU624="","",IFERROR(VALUE(RIGHT($BU624,3)),""))</f>
        <v/>
      </c>
      <c r="CA624">
        <f>IF($X624="","",IFERROR(IF(ISNUMBER($X624),$X624,DATEVALUE(TRIM($X624))),""))</f>
        <v/>
      </c>
      <c r="CB624">
        <f>IF($CA624="","",IF(MONTH($CA624)&gt;=12,"Cold Winter",IF(MONTH($CA624)&gt;=10,"Post-Monsoon",IF(MONTH($CA624)&gt;=6,"Hot Humid",IF(MONTH($CA624)&gt;=3,"Hot Dry","Cold Winter")))))</f>
        <v/>
      </c>
      <c r="CC624">
        <f>IF($BV624="","",IFERROR(VLOOKUP($BV624,DECODE!$A$3:$C$8,2,FALSE),"?"))</f>
        <v/>
      </c>
      <c r="CD624">
        <f>IF($S624="","",UPPER(TRIM(LEFT($S624&amp;",",FIND(",",$S624&amp;",")-1))))</f>
        <v/>
      </c>
      <c r="CE624">
        <f>IF($CD624="","",MID($CD624,4,FIND("~",SUBSTITUTE($CD624,"-","~",2))-4))</f>
        <v/>
      </c>
      <c r="CF624">
        <f>IF($CD624="","",MID($CD624,FIND("~",SUBSTITUTE($CD624,"-","~",2))+1,FIND("~",SUBSTITUTE($CD624,"-","~",3))-FIND("~",SUBSTITUTE($CD624,"-","~",2))-1))</f>
        <v/>
      </c>
      <c r="CG624">
        <f>IF($CE624="","",IFERROR(VLOOKUP($CE624,DECODE!$A$3:$C$8,3,FALSE),"?"))</f>
        <v/>
      </c>
      <c r="CH624">
        <f>IF($CF624="","",IFERROR(VLOOKUP($CE624&amp;"-"&amp;$CF624,DECODE!$E$3:$F$21,2,FALSE),"?"))</f>
        <v/>
      </c>
      <c r="CI624">
        <f>IF($CD624="","",IFERROR(VALUE(RIGHT($CD624,3)),""))</f>
        <v/>
      </c>
      <c r="CJ624">
        <f>IF($Y624="","",IFERROR(IF(ISNUMBER($Y624),$Y624,DATEVALUE(TRIM($Y624))),""))</f>
        <v/>
      </c>
      <c r="CK624">
        <f>IF($CJ624="","",IF(MONTH($CJ624)&gt;=12,"Cold Winter",IF(MONTH($CJ624)&gt;=10,"Post-Monsoon",IF(MONTH($CJ624)&gt;=6,"Hot Humid",IF(MONTH($CJ624)&gt;=3,"Hot Dry","Cold Winter")))))</f>
        <v/>
      </c>
      <c r="CL624">
        <f>IF($CE624="","",IFERROR(VLOOKUP($CE624,DECODE!$A$3:$C$8,2,FALSE),"?"))</f>
        <v/>
      </c>
      <c r="CM624">
        <f>IF($AN624="","",AN624)</f>
        <v/>
      </c>
      <c r="CN624">
        <f>IF($AO624="","",AO624)</f>
        <v/>
      </c>
      <c r="CO624">
        <f>IF($AP624="","",AP624)</f>
        <v/>
      </c>
      <c r="CP624">
        <f>IF($CM624="","",IF($CM624="Aloe Vera Gel","Aloe Vera Gel "&amp;$CO624&amp;"g",CN624&amp;" "&amp;$CO624&amp;"g"))</f>
        <v/>
      </c>
      <c r="CQ624">
        <f>IF($AT624="",0,1)</f>
        <v/>
      </c>
      <c r="CR624">
        <f>IF($CQ624=0,"",AW624)</f>
        <v/>
      </c>
      <c r="CS624">
        <f>IF($CQ624=0,"",AX624)</f>
        <v/>
      </c>
      <c r="CT624">
        <f>IF($CQ624=0,"",AY624)</f>
        <v/>
      </c>
      <c r="CU624">
        <f>IF($CR624="","",IF($CR624="Aloe Vera Gel","Aloe Vera Gel "&amp;$CT624&amp;"g",CS624&amp;" "&amp;$CT624&amp;"g"))</f>
        <v/>
      </c>
      <c r="CV624">
        <f>IF($CQ624=0,"",IF($CP624=$CU624,"Repeat Exact",IF($CT624&gt;$CO624,"Upsized",IF($CT624&lt;$CO624,"Downsized",IF($CM624&lt;&gt;$CR624,"Lateral","Same Size Diff Variant")))))</f>
        <v/>
      </c>
      <c r="CW624">
        <f>IF($CQ624=0,"",AZ624-AQ624)</f>
        <v/>
      </c>
      <c r="CX624">
        <f>IF($CQ624=0,0,IF(CS624=CN624,1,0))</f>
        <v/>
      </c>
      <c r="CY624">
        <f>IF($CQ624=0,0,IF(CR624=CM624,1,0))</f>
        <v/>
      </c>
      <c r="CZ624">
        <f>IF($A624="","",IF(AND(IF(DASHBOARD!$C$4="All",TRUE,$CM624=DASHBOARD!$C$4),IF(DASHBOARD!$C$6="All",TRUE,$CP624=DASHBOARD!$C$6),IF(DASHBOARD!$C$8="All",TRUE,$AF624&gt;=DASHBOARD!$C$8),IF(DASHBOARD!$C$10="All",TRUE,$AF624&lt;=DASHBOARD!$C$10),IF(DASHBOARD!$C$12="All",TRUE,$AH624=VALUE(DASHBOARD!$C$12)),IF(DASHBOARD!$C$14="All",TRUE,$AJ624=DASHBOARD!$C$14)),1,0))</f>
        <v/>
      </c>
    </row>
    <row r="625">
      <c r="A625" t="n">
        <v>269311</v>
      </c>
      <c r="B625" t="inlineStr">
        <is>
          <t>Aloe Vera Gel, Face Malai</t>
        </is>
      </c>
      <c r="C625" t="inlineStr">
        <is>
          <t>Face Malai</t>
        </is>
      </c>
      <c r="H625" t="inlineStr">
        <is>
          <t>Aloe Vera Gel - 40 gms, Flax Bakuchi (Hot Dry) 35+ Face Malai - 30g</t>
        </is>
      </c>
      <c r="I625" t="inlineStr">
        <is>
          <t>Flax Carrot (Hot Humid) 35+ Face Malai - 30g</t>
        </is>
      </c>
      <c r="N625" t="inlineStr">
        <is>
          <t>FC-HG-PA-040, FC-HDDM-FB-030</t>
        </is>
      </c>
      <c r="O625" t="inlineStr">
        <is>
          <t>FC-HHDM-FC-030</t>
        </is>
      </c>
      <c r="T625" t="inlineStr">
        <is>
          <t>May 8, 2024</t>
        </is>
      </c>
      <c r="U625" t="inlineStr">
        <is>
          <t>Jul 28, 2024</t>
        </is>
      </c>
      <c r="Z625" t="n">
        <v>81</v>
      </c>
      <c r="AE625" t="inlineStr">
        <is>
          <t>Faridabad</t>
        </is>
      </c>
      <c r="AF625" t="inlineStr">
        <is>
          <t>2024-05</t>
        </is>
      </c>
      <c r="AG625" t="n">
        <v>5</v>
      </c>
      <c r="AH625" t="n">
        <v>2</v>
      </c>
      <c r="AI625" t="n">
        <v>1</v>
      </c>
      <c r="AJ625">
        <f>IF($AE625="","",IFERROR(VLOOKUP(TRIM($AE625),DECODE!$H$3:$I$60,2,FALSE),"Rest of India"))</f>
        <v/>
      </c>
      <c r="AK625">
        <f>IF($N625="","",UPPER(TRIM(LEFT($N625&amp;",",FIND(",",$N625&amp;",")-1))))</f>
        <v/>
      </c>
      <c r="AL625">
        <f>IF($AK625="","",MID($AK625,4,FIND("~",SUBSTITUTE($AK625,"-","~",2))-4))</f>
        <v/>
      </c>
      <c r="AM625">
        <f>IF($AK625="","",MID($AK625,FIND("~",SUBSTITUTE($AK625,"-","~",2))+1,FIND("~",SUBSTITUTE($AK625,"-","~",3))-FIND("~",SUBSTITUTE($AK625,"-","~",2))-1))</f>
        <v/>
      </c>
      <c r="AN625">
        <f>IF($AL625="","",IFERROR(VLOOKUP($AL625,DECODE!$A$3:$C$8,3,FALSE),"?"))</f>
        <v/>
      </c>
      <c r="AO625">
        <f>IF($AM625="","",IFERROR(VLOOKUP($AL625&amp;"-"&amp;$AM625,DECODE!$E$3:$F$21,2,FALSE),"?"))</f>
        <v/>
      </c>
      <c r="AP625">
        <f>IF($AK625="","",IFERROR(VALUE(RIGHT($AK625,3)),""))</f>
        <v/>
      </c>
      <c r="AQ625">
        <f>IF($T625="","",IFERROR(IF(ISNUMBER($T625),$T625,DATEVALUE(TRIM($T625))),""))</f>
        <v/>
      </c>
      <c r="AR625">
        <f>IF($AQ625="","",IF(MONTH($AQ625)&gt;=12,"Cold Winter",IF(MONTH($AQ625)&gt;=10,"Post-Monsoon",IF(MONTH($AQ625)&gt;=6,"Hot Humid",IF(MONTH($AQ625)&gt;=3,"Hot Dry","Cold Winter")))))</f>
        <v/>
      </c>
      <c r="AS625">
        <f>IF($AL625="","",IFERROR(VLOOKUP($AL625,DECODE!$A$3:$C$8,2,FALSE),"?"))</f>
        <v/>
      </c>
      <c r="AT625">
        <f>IF($O625="","",UPPER(TRIM(LEFT($O625&amp;",",FIND(",",$O625&amp;",")-1))))</f>
        <v/>
      </c>
      <c r="AU625">
        <f>IF($AT625="","",MID($AT625,4,FIND("~",SUBSTITUTE($AT625,"-","~",2))-4))</f>
        <v/>
      </c>
      <c r="AV625">
        <f>IF($AT625="","",MID($AT625,FIND("~",SUBSTITUTE($AT625,"-","~",2))+1,FIND("~",SUBSTITUTE($AT625,"-","~",3))-FIND("~",SUBSTITUTE($AT625,"-","~",2))-1))</f>
        <v/>
      </c>
      <c r="AW625">
        <f>IF($AU625="","",IFERROR(VLOOKUP($AU625,DECODE!$A$3:$C$8,3,FALSE),"?"))</f>
        <v/>
      </c>
      <c r="AX625">
        <f>IF($AV625="","",IFERROR(VLOOKUP($AU625&amp;"-"&amp;$AV625,DECODE!$E$3:$F$21,2,FALSE),"?"))</f>
        <v/>
      </c>
      <c r="AY625">
        <f>IF($AT625="","",IFERROR(VALUE(RIGHT($AT625,3)),""))</f>
        <v/>
      </c>
      <c r="AZ625">
        <f>IF($U625="","",IFERROR(IF(ISNUMBER($U625),$U625,DATEVALUE(TRIM($U625))),""))</f>
        <v/>
      </c>
      <c r="BA625">
        <f>IF($AZ625="","",IF(MONTH($AZ625)&gt;=12,"Cold Winter",IF(MONTH($AZ625)&gt;=10,"Post-Monsoon",IF(MONTH($AZ625)&gt;=6,"Hot Humid",IF(MONTH($AZ625)&gt;=3,"Hot Dry","Cold Winter")))))</f>
        <v/>
      </c>
      <c r="BB625">
        <f>IF($AU625="","",IFERROR(VLOOKUP($AU625,DECODE!$A$3:$C$8,2,FALSE),"?"))</f>
        <v/>
      </c>
      <c r="BC625">
        <f>IF($P625="","",UPPER(TRIM(LEFT($P625&amp;",",FIND(",",$P625&amp;",")-1))))</f>
        <v/>
      </c>
      <c r="BD625">
        <f>IF($BC625="","",MID($BC625,4,FIND("~",SUBSTITUTE($BC625,"-","~",2))-4))</f>
        <v/>
      </c>
      <c r="BE625">
        <f>IF($BC625="","",MID($BC625,FIND("~",SUBSTITUTE($BC625,"-","~",2))+1,FIND("~",SUBSTITUTE($BC625,"-","~",3))-FIND("~",SUBSTITUTE($BC625,"-","~",2))-1))</f>
        <v/>
      </c>
      <c r="BF625">
        <f>IF($BD625="","",IFERROR(VLOOKUP($BD625,DECODE!$A$3:$C$8,3,FALSE),"?"))</f>
        <v/>
      </c>
      <c r="BG625">
        <f>IF($BE625="","",IFERROR(VLOOKUP($BD625&amp;"-"&amp;$BE625,DECODE!$E$3:$F$21,2,FALSE),"?"))</f>
        <v/>
      </c>
      <c r="BH625">
        <f>IF($BC625="","",IFERROR(VALUE(RIGHT($BC625,3)),""))</f>
        <v/>
      </c>
      <c r="BI625">
        <f>IF($V625="","",IFERROR(IF(ISNUMBER($V625),$V625,DATEVALUE(TRIM($V625))),""))</f>
        <v/>
      </c>
      <c r="BJ625">
        <f>IF($BI625="","",IF(MONTH($BI625)&gt;=12,"Cold Winter",IF(MONTH($BI625)&gt;=10,"Post-Monsoon",IF(MONTH($BI625)&gt;=6,"Hot Humid",IF(MONTH($BI625)&gt;=3,"Hot Dry","Cold Winter")))))</f>
        <v/>
      </c>
      <c r="BK625">
        <f>IF($BD625="","",IFERROR(VLOOKUP($BD625,DECODE!$A$3:$C$8,2,FALSE),"?"))</f>
        <v/>
      </c>
      <c r="BL625">
        <f>IF($Q625="","",UPPER(TRIM(LEFT($Q625&amp;",",FIND(",",$Q625&amp;",")-1))))</f>
        <v/>
      </c>
      <c r="BM625">
        <f>IF($BL625="","",MID($BL625,4,FIND("~",SUBSTITUTE($BL625,"-","~",2))-4))</f>
        <v/>
      </c>
      <c r="BN625">
        <f>IF($BL625="","",MID($BL625,FIND("~",SUBSTITUTE($BL625,"-","~",2))+1,FIND("~",SUBSTITUTE($BL625,"-","~",3))-FIND("~",SUBSTITUTE($BL625,"-","~",2))-1))</f>
        <v/>
      </c>
      <c r="BO625">
        <f>IF($BM625="","",IFERROR(VLOOKUP($BM625,DECODE!$A$3:$C$8,3,FALSE),"?"))</f>
        <v/>
      </c>
      <c r="BP625">
        <f>IF($BN625="","",IFERROR(VLOOKUP($BM625&amp;"-"&amp;$BN625,DECODE!$E$3:$F$21,2,FALSE),"?"))</f>
        <v/>
      </c>
      <c r="BQ625">
        <f>IF($BL625="","",IFERROR(VALUE(RIGHT($BL625,3)),""))</f>
        <v/>
      </c>
      <c r="BR625">
        <f>IF($W625="","",IFERROR(IF(ISNUMBER($W625),$W625,DATEVALUE(TRIM($W625))),""))</f>
        <v/>
      </c>
      <c r="BS625">
        <f>IF($BR625="","",IF(MONTH($BR625)&gt;=12,"Cold Winter",IF(MONTH($BR625)&gt;=10,"Post-Monsoon",IF(MONTH($BR625)&gt;=6,"Hot Humid",IF(MONTH($BR625)&gt;=3,"Hot Dry","Cold Winter")))))</f>
        <v/>
      </c>
      <c r="BT625">
        <f>IF($BM625="","",IFERROR(VLOOKUP($BM625,DECODE!$A$3:$C$8,2,FALSE),"?"))</f>
        <v/>
      </c>
      <c r="BU625">
        <f>IF($R625="","",UPPER(TRIM(LEFT($R625&amp;",",FIND(",",$R625&amp;",")-1))))</f>
        <v/>
      </c>
      <c r="BV625">
        <f>IF($BU625="","",MID($BU625,4,FIND("~",SUBSTITUTE($BU625,"-","~",2))-4))</f>
        <v/>
      </c>
      <c r="BW625">
        <f>IF($BU625="","",MID($BU625,FIND("~",SUBSTITUTE($BU625,"-","~",2))+1,FIND("~",SUBSTITUTE($BU625,"-","~",3))-FIND("~",SUBSTITUTE($BU625,"-","~",2))-1))</f>
        <v/>
      </c>
      <c r="BX625">
        <f>IF($BV625="","",IFERROR(VLOOKUP($BV625,DECODE!$A$3:$C$8,3,FALSE),"?"))</f>
        <v/>
      </c>
      <c r="BY625">
        <f>IF($BW625="","",IFERROR(VLOOKUP($BV625&amp;"-"&amp;$BW625,DECODE!$E$3:$F$21,2,FALSE),"?"))</f>
        <v/>
      </c>
      <c r="BZ625">
        <f>IF($BU625="","",IFERROR(VALUE(RIGHT($BU625,3)),""))</f>
        <v/>
      </c>
      <c r="CA625">
        <f>IF($X625="","",IFERROR(IF(ISNUMBER($X625),$X625,DATEVALUE(TRIM($X625))),""))</f>
        <v/>
      </c>
      <c r="CB625">
        <f>IF($CA625="","",IF(MONTH($CA625)&gt;=12,"Cold Winter",IF(MONTH($CA625)&gt;=10,"Post-Monsoon",IF(MONTH($CA625)&gt;=6,"Hot Humid",IF(MONTH($CA625)&gt;=3,"Hot Dry","Cold Winter")))))</f>
        <v/>
      </c>
      <c r="CC625">
        <f>IF($BV625="","",IFERROR(VLOOKUP($BV625,DECODE!$A$3:$C$8,2,FALSE),"?"))</f>
        <v/>
      </c>
      <c r="CD625">
        <f>IF($S625="","",UPPER(TRIM(LEFT($S625&amp;",",FIND(",",$S625&amp;",")-1))))</f>
        <v/>
      </c>
      <c r="CE625">
        <f>IF($CD625="","",MID($CD625,4,FIND("~",SUBSTITUTE($CD625,"-","~",2))-4))</f>
        <v/>
      </c>
      <c r="CF625">
        <f>IF($CD625="","",MID($CD625,FIND("~",SUBSTITUTE($CD625,"-","~",2))+1,FIND("~",SUBSTITUTE($CD625,"-","~",3))-FIND("~",SUBSTITUTE($CD625,"-","~",2))-1))</f>
        <v/>
      </c>
      <c r="CG625">
        <f>IF($CE625="","",IFERROR(VLOOKUP($CE625,DECODE!$A$3:$C$8,3,FALSE),"?"))</f>
        <v/>
      </c>
      <c r="CH625">
        <f>IF($CF625="","",IFERROR(VLOOKUP($CE625&amp;"-"&amp;$CF625,DECODE!$E$3:$F$21,2,FALSE),"?"))</f>
        <v/>
      </c>
      <c r="CI625">
        <f>IF($CD625="","",IFERROR(VALUE(RIGHT($CD625,3)),""))</f>
        <v/>
      </c>
      <c r="CJ625">
        <f>IF($Y625="","",IFERROR(IF(ISNUMBER($Y625),$Y625,DATEVALUE(TRIM($Y625))),""))</f>
        <v/>
      </c>
      <c r="CK625">
        <f>IF($CJ625="","",IF(MONTH($CJ625)&gt;=12,"Cold Winter",IF(MONTH($CJ625)&gt;=10,"Post-Monsoon",IF(MONTH($CJ625)&gt;=6,"Hot Humid",IF(MONTH($CJ625)&gt;=3,"Hot Dry","Cold Winter")))))</f>
        <v/>
      </c>
      <c r="CL625">
        <f>IF($CE625="","",IFERROR(VLOOKUP($CE625,DECODE!$A$3:$C$8,2,FALSE),"?"))</f>
        <v/>
      </c>
      <c r="CM625">
        <f>IF($AN625="","",AN625)</f>
        <v/>
      </c>
      <c r="CN625">
        <f>IF($AO625="","",AO625)</f>
        <v/>
      </c>
      <c r="CO625">
        <f>IF($AP625="","",AP625)</f>
        <v/>
      </c>
      <c r="CP625">
        <f>IF($CM625="","",IF($CM625="Aloe Vera Gel","Aloe Vera Gel "&amp;$CO625&amp;"g",CN625&amp;" "&amp;$CO625&amp;"g"))</f>
        <v/>
      </c>
      <c r="CQ625">
        <f>IF($AT625="",0,1)</f>
        <v/>
      </c>
      <c r="CR625">
        <f>IF($CQ625=0,"",AW625)</f>
        <v/>
      </c>
      <c r="CS625">
        <f>IF($CQ625=0,"",AX625)</f>
        <v/>
      </c>
      <c r="CT625">
        <f>IF($CQ625=0,"",AY625)</f>
        <v/>
      </c>
      <c r="CU625">
        <f>IF($CR625="","",IF($CR625="Aloe Vera Gel","Aloe Vera Gel "&amp;$CT625&amp;"g",CS625&amp;" "&amp;$CT625&amp;"g"))</f>
        <v/>
      </c>
      <c r="CV625">
        <f>IF($CQ625=0,"",IF($CP625=$CU625,"Repeat Exact",IF($CT625&gt;$CO625,"Upsized",IF($CT625&lt;$CO625,"Downsized",IF($CM625&lt;&gt;$CR625,"Lateral","Same Size Diff Variant")))))</f>
        <v/>
      </c>
      <c r="CW625">
        <f>IF($CQ625=0,"",AZ625-AQ625)</f>
        <v/>
      </c>
      <c r="CX625">
        <f>IF($CQ625=0,0,IF(CS625=CN625,1,0))</f>
        <v/>
      </c>
      <c r="CY625">
        <f>IF($CQ625=0,0,IF(CR625=CM625,1,0))</f>
        <v/>
      </c>
      <c r="CZ625">
        <f>IF($A625="","",IF(AND(IF(DASHBOARD!$C$4="All",TRUE,$CM625=DASHBOARD!$C$4),IF(DASHBOARD!$C$6="All",TRUE,$CP625=DASHBOARD!$C$6),IF(DASHBOARD!$C$8="All",TRUE,$AF625&gt;=DASHBOARD!$C$8),IF(DASHBOARD!$C$10="All",TRUE,$AF625&lt;=DASHBOARD!$C$10),IF(DASHBOARD!$C$12="All",TRUE,$AH625=VALUE(DASHBOARD!$C$12)),IF(DASHBOARD!$C$14="All",TRUE,$AJ625=DASHBOARD!$C$14)),1,0))</f>
        <v/>
      </c>
    </row>
    <row r="626">
      <c r="A626" t="n">
        <v>270826</v>
      </c>
      <c r="B626" t="inlineStr">
        <is>
          <t>Aloe Vera Gel</t>
        </is>
      </c>
      <c r="H626" t="inlineStr">
        <is>
          <t>Aloe Vera Gel - 80 gms</t>
        </is>
      </c>
      <c r="N626" t="inlineStr">
        <is>
          <t>FC-HG-PA-080</t>
        </is>
      </c>
      <c r="T626" t="inlineStr">
        <is>
          <t>Mar 25, 2025</t>
        </is>
      </c>
      <c r="AE626" t="inlineStr">
        <is>
          <t>Bengaluru</t>
        </is>
      </c>
      <c r="AF626" t="inlineStr">
        <is>
          <t>2025-03</t>
        </is>
      </c>
      <c r="AG626" t="n">
        <v>3</v>
      </c>
      <c r="AH626" t="n">
        <v>1</v>
      </c>
      <c r="AI626" t="n">
        <v>0</v>
      </c>
      <c r="AJ626">
        <f>IF($AE626="","",IFERROR(VLOOKUP(TRIM($AE626),DECODE!$H$3:$I$60,2,FALSE),"Rest of India"))</f>
        <v/>
      </c>
      <c r="AK626">
        <f>IF($N626="","",UPPER(TRIM(LEFT($N626&amp;",",FIND(",",$N626&amp;",")-1))))</f>
        <v/>
      </c>
      <c r="AL626">
        <f>IF($AK626="","",MID($AK626,4,FIND("~",SUBSTITUTE($AK626,"-","~",2))-4))</f>
        <v/>
      </c>
      <c r="AM626">
        <f>IF($AK626="","",MID($AK626,FIND("~",SUBSTITUTE($AK626,"-","~",2))+1,FIND("~",SUBSTITUTE($AK626,"-","~",3))-FIND("~",SUBSTITUTE($AK626,"-","~",2))-1))</f>
        <v/>
      </c>
      <c r="AN626">
        <f>IF($AL626="","",IFERROR(VLOOKUP($AL626,DECODE!$A$3:$C$8,3,FALSE),"?"))</f>
        <v/>
      </c>
      <c r="AO626">
        <f>IF($AM626="","",IFERROR(VLOOKUP($AL626&amp;"-"&amp;$AM626,DECODE!$E$3:$F$21,2,FALSE),"?"))</f>
        <v/>
      </c>
      <c r="AP626">
        <f>IF($AK626="","",IFERROR(VALUE(RIGHT($AK626,3)),""))</f>
        <v/>
      </c>
      <c r="AQ626">
        <f>IF($T626="","",IFERROR(IF(ISNUMBER($T626),$T626,DATEVALUE(TRIM($T626))),""))</f>
        <v/>
      </c>
      <c r="AR626">
        <f>IF($AQ626="","",IF(MONTH($AQ626)&gt;=12,"Cold Winter",IF(MONTH($AQ626)&gt;=10,"Post-Monsoon",IF(MONTH($AQ626)&gt;=6,"Hot Humid",IF(MONTH($AQ626)&gt;=3,"Hot Dry","Cold Winter")))))</f>
        <v/>
      </c>
      <c r="AS626">
        <f>IF($AL626="","",IFERROR(VLOOKUP($AL626,DECODE!$A$3:$C$8,2,FALSE),"?"))</f>
        <v/>
      </c>
      <c r="AT626">
        <f>IF($O626="","",UPPER(TRIM(LEFT($O626&amp;",",FIND(",",$O626&amp;",")-1))))</f>
        <v/>
      </c>
      <c r="AU626">
        <f>IF($AT626="","",MID($AT626,4,FIND("~",SUBSTITUTE($AT626,"-","~",2))-4))</f>
        <v/>
      </c>
      <c r="AV626">
        <f>IF($AT626="","",MID($AT626,FIND("~",SUBSTITUTE($AT626,"-","~",2))+1,FIND("~",SUBSTITUTE($AT626,"-","~",3))-FIND("~",SUBSTITUTE($AT626,"-","~",2))-1))</f>
        <v/>
      </c>
      <c r="AW626">
        <f>IF($AU626="","",IFERROR(VLOOKUP($AU626,DECODE!$A$3:$C$8,3,FALSE),"?"))</f>
        <v/>
      </c>
      <c r="AX626">
        <f>IF($AV626="","",IFERROR(VLOOKUP($AU626&amp;"-"&amp;$AV626,DECODE!$E$3:$F$21,2,FALSE),"?"))</f>
        <v/>
      </c>
      <c r="AY626">
        <f>IF($AT626="","",IFERROR(VALUE(RIGHT($AT626,3)),""))</f>
        <v/>
      </c>
      <c r="AZ626">
        <f>IF($U626="","",IFERROR(IF(ISNUMBER($U626),$U626,DATEVALUE(TRIM($U626))),""))</f>
        <v/>
      </c>
      <c r="BA626">
        <f>IF($AZ626="","",IF(MONTH($AZ626)&gt;=12,"Cold Winter",IF(MONTH($AZ626)&gt;=10,"Post-Monsoon",IF(MONTH($AZ626)&gt;=6,"Hot Humid",IF(MONTH($AZ626)&gt;=3,"Hot Dry","Cold Winter")))))</f>
        <v/>
      </c>
      <c r="BB626">
        <f>IF($AU626="","",IFERROR(VLOOKUP($AU626,DECODE!$A$3:$C$8,2,FALSE),"?"))</f>
        <v/>
      </c>
      <c r="BC626">
        <f>IF($P626="","",UPPER(TRIM(LEFT($P626&amp;",",FIND(",",$P626&amp;",")-1))))</f>
        <v/>
      </c>
      <c r="BD626">
        <f>IF($BC626="","",MID($BC626,4,FIND("~",SUBSTITUTE($BC626,"-","~",2))-4))</f>
        <v/>
      </c>
      <c r="BE626">
        <f>IF($BC626="","",MID($BC626,FIND("~",SUBSTITUTE($BC626,"-","~",2))+1,FIND("~",SUBSTITUTE($BC626,"-","~",3))-FIND("~",SUBSTITUTE($BC626,"-","~",2))-1))</f>
        <v/>
      </c>
      <c r="BF626">
        <f>IF($BD626="","",IFERROR(VLOOKUP($BD626,DECODE!$A$3:$C$8,3,FALSE),"?"))</f>
        <v/>
      </c>
      <c r="BG626">
        <f>IF($BE626="","",IFERROR(VLOOKUP($BD626&amp;"-"&amp;$BE626,DECODE!$E$3:$F$21,2,FALSE),"?"))</f>
        <v/>
      </c>
      <c r="BH626">
        <f>IF($BC626="","",IFERROR(VALUE(RIGHT($BC626,3)),""))</f>
        <v/>
      </c>
      <c r="BI626">
        <f>IF($V626="","",IFERROR(IF(ISNUMBER($V626),$V626,DATEVALUE(TRIM($V626))),""))</f>
        <v/>
      </c>
      <c r="BJ626">
        <f>IF($BI626="","",IF(MONTH($BI626)&gt;=12,"Cold Winter",IF(MONTH($BI626)&gt;=10,"Post-Monsoon",IF(MONTH($BI626)&gt;=6,"Hot Humid",IF(MONTH($BI626)&gt;=3,"Hot Dry","Cold Winter")))))</f>
        <v/>
      </c>
      <c r="BK626">
        <f>IF($BD626="","",IFERROR(VLOOKUP($BD626,DECODE!$A$3:$C$8,2,FALSE),"?"))</f>
        <v/>
      </c>
      <c r="BL626">
        <f>IF($Q626="","",UPPER(TRIM(LEFT($Q626&amp;",",FIND(",",$Q626&amp;",")-1))))</f>
        <v/>
      </c>
      <c r="BM626">
        <f>IF($BL626="","",MID($BL626,4,FIND("~",SUBSTITUTE($BL626,"-","~",2))-4))</f>
        <v/>
      </c>
      <c r="BN626">
        <f>IF($BL626="","",MID($BL626,FIND("~",SUBSTITUTE($BL626,"-","~",2))+1,FIND("~",SUBSTITUTE($BL626,"-","~",3))-FIND("~",SUBSTITUTE($BL626,"-","~",2))-1))</f>
        <v/>
      </c>
      <c r="BO626">
        <f>IF($BM626="","",IFERROR(VLOOKUP($BM626,DECODE!$A$3:$C$8,3,FALSE),"?"))</f>
        <v/>
      </c>
      <c r="BP626">
        <f>IF($BN626="","",IFERROR(VLOOKUP($BM626&amp;"-"&amp;$BN626,DECODE!$E$3:$F$21,2,FALSE),"?"))</f>
        <v/>
      </c>
      <c r="BQ626">
        <f>IF($BL626="","",IFERROR(VALUE(RIGHT($BL626,3)),""))</f>
        <v/>
      </c>
      <c r="BR626">
        <f>IF($W626="","",IFERROR(IF(ISNUMBER($W626),$W626,DATEVALUE(TRIM($W626))),""))</f>
        <v/>
      </c>
      <c r="BS626">
        <f>IF($BR626="","",IF(MONTH($BR626)&gt;=12,"Cold Winter",IF(MONTH($BR626)&gt;=10,"Post-Monsoon",IF(MONTH($BR626)&gt;=6,"Hot Humid",IF(MONTH($BR626)&gt;=3,"Hot Dry","Cold Winter")))))</f>
        <v/>
      </c>
      <c r="BT626">
        <f>IF($BM626="","",IFERROR(VLOOKUP($BM626,DECODE!$A$3:$C$8,2,FALSE),"?"))</f>
        <v/>
      </c>
      <c r="BU626">
        <f>IF($R626="","",UPPER(TRIM(LEFT($R626&amp;",",FIND(",",$R626&amp;",")-1))))</f>
        <v/>
      </c>
      <c r="BV626">
        <f>IF($BU626="","",MID($BU626,4,FIND("~",SUBSTITUTE($BU626,"-","~",2))-4))</f>
        <v/>
      </c>
      <c r="BW626">
        <f>IF($BU626="","",MID($BU626,FIND("~",SUBSTITUTE($BU626,"-","~",2))+1,FIND("~",SUBSTITUTE($BU626,"-","~",3))-FIND("~",SUBSTITUTE($BU626,"-","~",2))-1))</f>
        <v/>
      </c>
      <c r="BX626">
        <f>IF($BV626="","",IFERROR(VLOOKUP($BV626,DECODE!$A$3:$C$8,3,FALSE),"?"))</f>
        <v/>
      </c>
      <c r="BY626">
        <f>IF($BW626="","",IFERROR(VLOOKUP($BV626&amp;"-"&amp;$BW626,DECODE!$E$3:$F$21,2,FALSE),"?"))</f>
        <v/>
      </c>
      <c r="BZ626">
        <f>IF($BU626="","",IFERROR(VALUE(RIGHT($BU626,3)),""))</f>
        <v/>
      </c>
      <c r="CA626">
        <f>IF($X626="","",IFERROR(IF(ISNUMBER($X626),$X626,DATEVALUE(TRIM($X626))),""))</f>
        <v/>
      </c>
      <c r="CB626">
        <f>IF($CA626="","",IF(MONTH($CA626)&gt;=12,"Cold Winter",IF(MONTH($CA626)&gt;=10,"Post-Monsoon",IF(MONTH($CA626)&gt;=6,"Hot Humid",IF(MONTH($CA626)&gt;=3,"Hot Dry","Cold Winter")))))</f>
        <v/>
      </c>
      <c r="CC626">
        <f>IF($BV626="","",IFERROR(VLOOKUP($BV626,DECODE!$A$3:$C$8,2,FALSE),"?"))</f>
        <v/>
      </c>
      <c r="CD626">
        <f>IF($S626="","",UPPER(TRIM(LEFT($S626&amp;",",FIND(",",$S626&amp;",")-1))))</f>
        <v/>
      </c>
      <c r="CE626">
        <f>IF($CD626="","",MID($CD626,4,FIND("~",SUBSTITUTE($CD626,"-","~",2))-4))</f>
        <v/>
      </c>
      <c r="CF626">
        <f>IF($CD626="","",MID($CD626,FIND("~",SUBSTITUTE($CD626,"-","~",2))+1,FIND("~",SUBSTITUTE($CD626,"-","~",3))-FIND("~",SUBSTITUTE($CD626,"-","~",2))-1))</f>
        <v/>
      </c>
      <c r="CG626">
        <f>IF($CE626="","",IFERROR(VLOOKUP($CE626,DECODE!$A$3:$C$8,3,FALSE),"?"))</f>
        <v/>
      </c>
      <c r="CH626">
        <f>IF($CF626="","",IFERROR(VLOOKUP($CE626&amp;"-"&amp;$CF626,DECODE!$E$3:$F$21,2,FALSE),"?"))</f>
        <v/>
      </c>
      <c r="CI626">
        <f>IF($CD626="","",IFERROR(VALUE(RIGHT($CD626,3)),""))</f>
        <v/>
      </c>
      <c r="CJ626">
        <f>IF($Y626="","",IFERROR(IF(ISNUMBER($Y626),$Y626,DATEVALUE(TRIM($Y626))),""))</f>
        <v/>
      </c>
      <c r="CK626">
        <f>IF($CJ626="","",IF(MONTH($CJ626)&gt;=12,"Cold Winter",IF(MONTH($CJ626)&gt;=10,"Post-Monsoon",IF(MONTH($CJ626)&gt;=6,"Hot Humid",IF(MONTH($CJ626)&gt;=3,"Hot Dry","Cold Winter")))))</f>
        <v/>
      </c>
      <c r="CL626">
        <f>IF($CE626="","",IFERROR(VLOOKUP($CE626,DECODE!$A$3:$C$8,2,FALSE),"?"))</f>
        <v/>
      </c>
      <c r="CM626">
        <f>IF($AN626="","",AN626)</f>
        <v/>
      </c>
      <c r="CN626">
        <f>IF($AO626="","",AO626)</f>
        <v/>
      </c>
      <c r="CO626">
        <f>IF($AP626="","",AP626)</f>
        <v/>
      </c>
      <c r="CP626">
        <f>IF($CM626="","",IF($CM626="Aloe Vera Gel","Aloe Vera Gel "&amp;$CO626&amp;"g",CN626&amp;" "&amp;$CO626&amp;"g"))</f>
        <v/>
      </c>
      <c r="CQ626">
        <f>IF($AT626="",0,1)</f>
        <v/>
      </c>
      <c r="CR626">
        <f>IF($CQ626=0,"",AW626)</f>
        <v/>
      </c>
      <c r="CS626">
        <f>IF($CQ626=0,"",AX626)</f>
        <v/>
      </c>
      <c r="CT626">
        <f>IF($CQ626=0,"",AY626)</f>
        <v/>
      </c>
      <c r="CU626">
        <f>IF($CR626="","",IF($CR626="Aloe Vera Gel","Aloe Vera Gel "&amp;$CT626&amp;"g",CS626&amp;" "&amp;$CT626&amp;"g"))</f>
        <v/>
      </c>
      <c r="CV626">
        <f>IF($CQ626=0,"",IF($CP626=$CU626,"Repeat Exact",IF($CT626&gt;$CO626,"Upsized",IF($CT626&lt;$CO626,"Downsized",IF($CM626&lt;&gt;$CR626,"Lateral","Same Size Diff Variant")))))</f>
        <v/>
      </c>
      <c r="CW626">
        <f>IF($CQ626=0,"",AZ626-AQ626)</f>
        <v/>
      </c>
      <c r="CX626">
        <f>IF($CQ626=0,0,IF(CS626=CN626,1,0))</f>
        <v/>
      </c>
      <c r="CY626">
        <f>IF($CQ626=0,0,IF(CR626=CM626,1,0))</f>
        <v/>
      </c>
      <c r="CZ626">
        <f>IF($A626="","",IF(AND(IF(DASHBOARD!$C$4="All",TRUE,$CM626=DASHBOARD!$C$4),IF(DASHBOARD!$C$6="All",TRUE,$CP626=DASHBOARD!$C$6),IF(DASHBOARD!$C$8="All",TRUE,$AF626&gt;=DASHBOARD!$C$8),IF(DASHBOARD!$C$10="All",TRUE,$AF626&lt;=DASHBOARD!$C$10),IF(DASHBOARD!$C$12="All",TRUE,$AH626=VALUE(DASHBOARD!$C$12)),IF(DASHBOARD!$C$14="All",TRUE,$AJ626=DASHBOARD!$C$14)),1,0))</f>
        <v/>
      </c>
    </row>
    <row r="627">
      <c r="A627" t="n">
        <v>270979</v>
      </c>
      <c r="B627" t="inlineStr">
        <is>
          <t>Aloe Vera Gel</t>
        </is>
      </c>
      <c r="H627" t="inlineStr">
        <is>
          <t>Aloe Vera Gel - 40 gms</t>
        </is>
      </c>
      <c r="N627" t="inlineStr">
        <is>
          <t>FC-HG-PA-040</t>
        </is>
      </c>
      <c r="T627" t="inlineStr">
        <is>
          <t>May 5, 2024</t>
        </is>
      </c>
      <c r="AE627" t="inlineStr">
        <is>
          <t>Pollachi</t>
        </is>
      </c>
      <c r="AF627" t="inlineStr">
        <is>
          <t>2024-05</t>
        </is>
      </c>
      <c r="AG627" t="n">
        <v>5</v>
      </c>
      <c r="AH627" t="n">
        <v>1</v>
      </c>
      <c r="AI627" t="n">
        <v>0</v>
      </c>
      <c r="AJ627">
        <f>IF($AE627="","",IFERROR(VLOOKUP(TRIM($AE627),DECODE!$H$3:$I$60,2,FALSE),"Rest of India"))</f>
        <v/>
      </c>
      <c r="AK627">
        <f>IF($N627="","",UPPER(TRIM(LEFT($N627&amp;",",FIND(",",$N627&amp;",")-1))))</f>
        <v/>
      </c>
      <c r="AL627">
        <f>IF($AK627="","",MID($AK627,4,FIND("~",SUBSTITUTE($AK627,"-","~",2))-4))</f>
        <v/>
      </c>
      <c r="AM627">
        <f>IF($AK627="","",MID($AK627,FIND("~",SUBSTITUTE($AK627,"-","~",2))+1,FIND("~",SUBSTITUTE($AK627,"-","~",3))-FIND("~",SUBSTITUTE($AK627,"-","~",2))-1))</f>
        <v/>
      </c>
      <c r="AN627">
        <f>IF($AL627="","",IFERROR(VLOOKUP($AL627,DECODE!$A$3:$C$8,3,FALSE),"?"))</f>
        <v/>
      </c>
      <c r="AO627">
        <f>IF($AM627="","",IFERROR(VLOOKUP($AL627&amp;"-"&amp;$AM627,DECODE!$E$3:$F$21,2,FALSE),"?"))</f>
        <v/>
      </c>
      <c r="AP627">
        <f>IF($AK627="","",IFERROR(VALUE(RIGHT($AK627,3)),""))</f>
        <v/>
      </c>
      <c r="AQ627">
        <f>IF($T627="","",IFERROR(IF(ISNUMBER($T627),$T627,DATEVALUE(TRIM($T627))),""))</f>
        <v/>
      </c>
      <c r="AR627">
        <f>IF($AQ627="","",IF(MONTH($AQ627)&gt;=12,"Cold Winter",IF(MONTH($AQ627)&gt;=10,"Post-Monsoon",IF(MONTH($AQ627)&gt;=6,"Hot Humid",IF(MONTH($AQ627)&gt;=3,"Hot Dry","Cold Winter")))))</f>
        <v/>
      </c>
      <c r="AS627">
        <f>IF($AL627="","",IFERROR(VLOOKUP($AL627,DECODE!$A$3:$C$8,2,FALSE),"?"))</f>
        <v/>
      </c>
      <c r="AT627">
        <f>IF($O627="","",UPPER(TRIM(LEFT($O627&amp;",",FIND(",",$O627&amp;",")-1))))</f>
        <v/>
      </c>
      <c r="AU627">
        <f>IF($AT627="","",MID($AT627,4,FIND("~",SUBSTITUTE($AT627,"-","~",2))-4))</f>
        <v/>
      </c>
      <c r="AV627">
        <f>IF($AT627="","",MID($AT627,FIND("~",SUBSTITUTE($AT627,"-","~",2))+1,FIND("~",SUBSTITUTE($AT627,"-","~",3))-FIND("~",SUBSTITUTE($AT627,"-","~",2))-1))</f>
        <v/>
      </c>
      <c r="AW627">
        <f>IF($AU627="","",IFERROR(VLOOKUP($AU627,DECODE!$A$3:$C$8,3,FALSE),"?"))</f>
        <v/>
      </c>
      <c r="AX627">
        <f>IF($AV627="","",IFERROR(VLOOKUP($AU627&amp;"-"&amp;$AV627,DECODE!$E$3:$F$21,2,FALSE),"?"))</f>
        <v/>
      </c>
      <c r="AY627">
        <f>IF($AT627="","",IFERROR(VALUE(RIGHT($AT627,3)),""))</f>
        <v/>
      </c>
      <c r="AZ627">
        <f>IF($U627="","",IFERROR(IF(ISNUMBER($U627),$U627,DATEVALUE(TRIM($U627))),""))</f>
        <v/>
      </c>
      <c r="BA627">
        <f>IF($AZ627="","",IF(MONTH($AZ627)&gt;=12,"Cold Winter",IF(MONTH($AZ627)&gt;=10,"Post-Monsoon",IF(MONTH($AZ627)&gt;=6,"Hot Humid",IF(MONTH($AZ627)&gt;=3,"Hot Dry","Cold Winter")))))</f>
        <v/>
      </c>
      <c r="BB627">
        <f>IF($AU627="","",IFERROR(VLOOKUP($AU627,DECODE!$A$3:$C$8,2,FALSE),"?"))</f>
        <v/>
      </c>
      <c r="BC627">
        <f>IF($P627="","",UPPER(TRIM(LEFT($P627&amp;",",FIND(",",$P627&amp;",")-1))))</f>
        <v/>
      </c>
      <c r="BD627">
        <f>IF($BC627="","",MID($BC627,4,FIND("~",SUBSTITUTE($BC627,"-","~",2))-4))</f>
        <v/>
      </c>
      <c r="BE627">
        <f>IF($BC627="","",MID($BC627,FIND("~",SUBSTITUTE($BC627,"-","~",2))+1,FIND("~",SUBSTITUTE($BC627,"-","~",3))-FIND("~",SUBSTITUTE($BC627,"-","~",2))-1))</f>
        <v/>
      </c>
      <c r="BF627">
        <f>IF($BD627="","",IFERROR(VLOOKUP($BD627,DECODE!$A$3:$C$8,3,FALSE),"?"))</f>
        <v/>
      </c>
      <c r="BG627">
        <f>IF($BE627="","",IFERROR(VLOOKUP($BD627&amp;"-"&amp;$BE627,DECODE!$E$3:$F$21,2,FALSE),"?"))</f>
        <v/>
      </c>
      <c r="BH627">
        <f>IF($BC627="","",IFERROR(VALUE(RIGHT($BC627,3)),""))</f>
        <v/>
      </c>
      <c r="BI627">
        <f>IF($V627="","",IFERROR(IF(ISNUMBER($V627),$V627,DATEVALUE(TRIM($V627))),""))</f>
        <v/>
      </c>
      <c r="BJ627">
        <f>IF($BI627="","",IF(MONTH($BI627)&gt;=12,"Cold Winter",IF(MONTH($BI627)&gt;=10,"Post-Monsoon",IF(MONTH($BI627)&gt;=6,"Hot Humid",IF(MONTH($BI627)&gt;=3,"Hot Dry","Cold Winter")))))</f>
        <v/>
      </c>
      <c r="BK627">
        <f>IF($BD627="","",IFERROR(VLOOKUP($BD627,DECODE!$A$3:$C$8,2,FALSE),"?"))</f>
        <v/>
      </c>
      <c r="BL627">
        <f>IF($Q627="","",UPPER(TRIM(LEFT($Q627&amp;",",FIND(",",$Q627&amp;",")-1))))</f>
        <v/>
      </c>
      <c r="BM627">
        <f>IF($BL627="","",MID($BL627,4,FIND("~",SUBSTITUTE($BL627,"-","~",2))-4))</f>
        <v/>
      </c>
      <c r="BN627">
        <f>IF($BL627="","",MID($BL627,FIND("~",SUBSTITUTE($BL627,"-","~",2))+1,FIND("~",SUBSTITUTE($BL627,"-","~",3))-FIND("~",SUBSTITUTE($BL627,"-","~",2))-1))</f>
        <v/>
      </c>
      <c r="BO627">
        <f>IF($BM627="","",IFERROR(VLOOKUP($BM627,DECODE!$A$3:$C$8,3,FALSE),"?"))</f>
        <v/>
      </c>
      <c r="BP627">
        <f>IF($BN627="","",IFERROR(VLOOKUP($BM627&amp;"-"&amp;$BN627,DECODE!$E$3:$F$21,2,FALSE),"?"))</f>
        <v/>
      </c>
      <c r="BQ627">
        <f>IF($BL627="","",IFERROR(VALUE(RIGHT($BL627,3)),""))</f>
        <v/>
      </c>
      <c r="BR627">
        <f>IF($W627="","",IFERROR(IF(ISNUMBER($W627),$W627,DATEVALUE(TRIM($W627))),""))</f>
        <v/>
      </c>
      <c r="BS627">
        <f>IF($BR627="","",IF(MONTH($BR627)&gt;=12,"Cold Winter",IF(MONTH($BR627)&gt;=10,"Post-Monsoon",IF(MONTH($BR627)&gt;=6,"Hot Humid",IF(MONTH($BR627)&gt;=3,"Hot Dry","Cold Winter")))))</f>
        <v/>
      </c>
      <c r="BT627">
        <f>IF($BM627="","",IFERROR(VLOOKUP($BM627,DECODE!$A$3:$C$8,2,FALSE),"?"))</f>
        <v/>
      </c>
      <c r="BU627">
        <f>IF($R627="","",UPPER(TRIM(LEFT($R627&amp;",",FIND(",",$R627&amp;",")-1))))</f>
        <v/>
      </c>
      <c r="BV627">
        <f>IF($BU627="","",MID($BU627,4,FIND("~",SUBSTITUTE($BU627,"-","~",2))-4))</f>
        <v/>
      </c>
      <c r="BW627">
        <f>IF($BU627="","",MID($BU627,FIND("~",SUBSTITUTE($BU627,"-","~",2))+1,FIND("~",SUBSTITUTE($BU627,"-","~",3))-FIND("~",SUBSTITUTE($BU627,"-","~",2))-1))</f>
        <v/>
      </c>
      <c r="BX627">
        <f>IF($BV627="","",IFERROR(VLOOKUP($BV627,DECODE!$A$3:$C$8,3,FALSE),"?"))</f>
        <v/>
      </c>
      <c r="BY627">
        <f>IF($BW627="","",IFERROR(VLOOKUP($BV627&amp;"-"&amp;$BW627,DECODE!$E$3:$F$21,2,FALSE),"?"))</f>
        <v/>
      </c>
      <c r="BZ627">
        <f>IF($BU627="","",IFERROR(VALUE(RIGHT($BU627,3)),""))</f>
        <v/>
      </c>
      <c r="CA627">
        <f>IF($X627="","",IFERROR(IF(ISNUMBER($X627),$X627,DATEVALUE(TRIM($X627))),""))</f>
        <v/>
      </c>
      <c r="CB627">
        <f>IF($CA627="","",IF(MONTH($CA627)&gt;=12,"Cold Winter",IF(MONTH($CA627)&gt;=10,"Post-Monsoon",IF(MONTH($CA627)&gt;=6,"Hot Humid",IF(MONTH($CA627)&gt;=3,"Hot Dry","Cold Winter")))))</f>
        <v/>
      </c>
      <c r="CC627">
        <f>IF($BV627="","",IFERROR(VLOOKUP($BV627,DECODE!$A$3:$C$8,2,FALSE),"?"))</f>
        <v/>
      </c>
      <c r="CD627">
        <f>IF($S627="","",UPPER(TRIM(LEFT($S627&amp;",",FIND(",",$S627&amp;",")-1))))</f>
        <v/>
      </c>
      <c r="CE627">
        <f>IF($CD627="","",MID($CD627,4,FIND("~",SUBSTITUTE($CD627,"-","~",2))-4))</f>
        <v/>
      </c>
      <c r="CF627">
        <f>IF($CD627="","",MID($CD627,FIND("~",SUBSTITUTE($CD627,"-","~",2))+1,FIND("~",SUBSTITUTE($CD627,"-","~",3))-FIND("~",SUBSTITUTE($CD627,"-","~",2))-1))</f>
        <v/>
      </c>
      <c r="CG627">
        <f>IF($CE627="","",IFERROR(VLOOKUP($CE627,DECODE!$A$3:$C$8,3,FALSE),"?"))</f>
        <v/>
      </c>
      <c r="CH627">
        <f>IF($CF627="","",IFERROR(VLOOKUP($CE627&amp;"-"&amp;$CF627,DECODE!$E$3:$F$21,2,FALSE),"?"))</f>
        <v/>
      </c>
      <c r="CI627">
        <f>IF($CD627="","",IFERROR(VALUE(RIGHT($CD627,3)),""))</f>
        <v/>
      </c>
      <c r="CJ627">
        <f>IF($Y627="","",IFERROR(IF(ISNUMBER($Y627),$Y627,DATEVALUE(TRIM($Y627))),""))</f>
        <v/>
      </c>
      <c r="CK627">
        <f>IF($CJ627="","",IF(MONTH($CJ627)&gt;=12,"Cold Winter",IF(MONTH($CJ627)&gt;=10,"Post-Monsoon",IF(MONTH($CJ627)&gt;=6,"Hot Humid",IF(MONTH($CJ627)&gt;=3,"Hot Dry","Cold Winter")))))</f>
        <v/>
      </c>
      <c r="CL627">
        <f>IF($CE627="","",IFERROR(VLOOKUP($CE627,DECODE!$A$3:$C$8,2,FALSE),"?"))</f>
        <v/>
      </c>
      <c r="CM627">
        <f>IF($AN627="","",AN627)</f>
        <v/>
      </c>
      <c r="CN627">
        <f>IF($AO627="","",AO627)</f>
        <v/>
      </c>
      <c r="CO627">
        <f>IF($AP627="","",AP627)</f>
        <v/>
      </c>
      <c r="CP627">
        <f>IF($CM627="","",IF($CM627="Aloe Vera Gel","Aloe Vera Gel "&amp;$CO627&amp;"g",CN627&amp;" "&amp;$CO627&amp;"g"))</f>
        <v/>
      </c>
      <c r="CQ627">
        <f>IF($AT627="",0,1)</f>
        <v/>
      </c>
      <c r="CR627">
        <f>IF($CQ627=0,"",AW627)</f>
        <v/>
      </c>
      <c r="CS627">
        <f>IF($CQ627=0,"",AX627)</f>
        <v/>
      </c>
      <c r="CT627">
        <f>IF($CQ627=0,"",AY627)</f>
        <v/>
      </c>
      <c r="CU627">
        <f>IF($CR627="","",IF($CR627="Aloe Vera Gel","Aloe Vera Gel "&amp;$CT627&amp;"g",CS627&amp;" "&amp;$CT627&amp;"g"))</f>
        <v/>
      </c>
      <c r="CV627">
        <f>IF($CQ627=0,"",IF($CP627=$CU627,"Repeat Exact",IF($CT627&gt;$CO627,"Upsized",IF($CT627&lt;$CO627,"Downsized",IF($CM627&lt;&gt;$CR627,"Lateral","Same Size Diff Variant")))))</f>
        <v/>
      </c>
      <c r="CW627">
        <f>IF($CQ627=0,"",AZ627-AQ627)</f>
        <v/>
      </c>
      <c r="CX627">
        <f>IF($CQ627=0,0,IF(CS627=CN627,1,0))</f>
        <v/>
      </c>
      <c r="CY627">
        <f>IF($CQ627=0,0,IF(CR627=CM627,1,0))</f>
        <v/>
      </c>
      <c r="CZ627">
        <f>IF($A627="","",IF(AND(IF(DASHBOARD!$C$4="All",TRUE,$CM627=DASHBOARD!$C$4),IF(DASHBOARD!$C$6="All",TRUE,$CP627=DASHBOARD!$C$6),IF(DASHBOARD!$C$8="All",TRUE,$AF627&gt;=DASHBOARD!$C$8),IF(DASHBOARD!$C$10="All",TRUE,$AF627&lt;=DASHBOARD!$C$10),IF(DASHBOARD!$C$12="All",TRUE,$AH627=VALUE(DASHBOARD!$C$12)),IF(DASHBOARD!$C$14="All",TRUE,$AJ627=DASHBOARD!$C$14)),1,0))</f>
        <v/>
      </c>
    </row>
    <row r="628">
      <c r="A628" t="n">
        <v>271439</v>
      </c>
      <c r="B628" t="inlineStr">
        <is>
          <t>Face Malai</t>
        </is>
      </c>
      <c r="H628" t="inlineStr">
        <is>
          <t>Flax Walnut (Cold) 35+ Face Malai, Tomato Patchouli (Cold) 20 - 35 Yrs Face Malai, Turmeric Nutmeg (Pigmentation)  Face Malai - 30g</t>
        </is>
      </c>
      <c r="N628" t="inlineStr">
        <is>
          <t>FC-CWDM-TP-030, FC-CWDM-FW-030, FC-DM-PG-030</t>
        </is>
      </c>
      <c r="T628" t="inlineStr">
        <is>
          <t>Jan 17, 2024</t>
        </is>
      </c>
      <c r="AE628" t="inlineStr">
        <is>
          <t>Thane</t>
        </is>
      </c>
      <c r="AF628" t="inlineStr">
        <is>
          <t>2024-01</t>
        </is>
      </c>
      <c r="AG628" t="n">
        <v>1</v>
      </c>
      <c r="AH628" t="n">
        <v>1</v>
      </c>
      <c r="AI628" t="n">
        <v>0</v>
      </c>
      <c r="AJ628">
        <f>IF($AE628="","",IFERROR(VLOOKUP(TRIM($AE628),DECODE!$H$3:$I$60,2,FALSE),"Rest of India"))</f>
        <v/>
      </c>
      <c r="AK628">
        <f>IF($N628="","",UPPER(TRIM(LEFT($N628&amp;",",FIND(",",$N628&amp;",")-1))))</f>
        <v/>
      </c>
      <c r="AL628">
        <f>IF($AK628="","",MID($AK628,4,FIND("~",SUBSTITUTE($AK628,"-","~",2))-4))</f>
        <v/>
      </c>
      <c r="AM628">
        <f>IF($AK628="","",MID($AK628,FIND("~",SUBSTITUTE($AK628,"-","~",2))+1,FIND("~",SUBSTITUTE($AK628,"-","~",3))-FIND("~",SUBSTITUTE($AK628,"-","~",2))-1))</f>
        <v/>
      </c>
      <c r="AN628">
        <f>IF($AL628="","",IFERROR(VLOOKUP($AL628,DECODE!$A$3:$C$8,3,FALSE),"?"))</f>
        <v/>
      </c>
      <c r="AO628">
        <f>IF($AM628="","",IFERROR(VLOOKUP($AL628&amp;"-"&amp;$AM628,DECODE!$E$3:$F$21,2,FALSE),"?"))</f>
        <v/>
      </c>
      <c r="AP628">
        <f>IF($AK628="","",IFERROR(VALUE(RIGHT($AK628,3)),""))</f>
        <v/>
      </c>
      <c r="AQ628">
        <f>IF($T628="","",IFERROR(IF(ISNUMBER($T628),$T628,DATEVALUE(TRIM($T628))),""))</f>
        <v/>
      </c>
      <c r="AR628">
        <f>IF($AQ628="","",IF(MONTH($AQ628)&gt;=12,"Cold Winter",IF(MONTH($AQ628)&gt;=10,"Post-Monsoon",IF(MONTH($AQ628)&gt;=6,"Hot Humid",IF(MONTH($AQ628)&gt;=3,"Hot Dry","Cold Winter")))))</f>
        <v/>
      </c>
      <c r="AS628">
        <f>IF($AL628="","",IFERROR(VLOOKUP($AL628,DECODE!$A$3:$C$8,2,FALSE),"?"))</f>
        <v/>
      </c>
      <c r="AT628">
        <f>IF($O628="","",UPPER(TRIM(LEFT($O628&amp;",",FIND(",",$O628&amp;",")-1))))</f>
        <v/>
      </c>
      <c r="AU628">
        <f>IF($AT628="","",MID($AT628,4,FIND("~",SUBSTITUTE($AT628,"-","~",2))-4))</f>
        <v/>
      </c>
      <c r="AV628">
        <f>IF($AT628="","",MID($AT628,FIND("~",SUBSTITUTE($AT628,"-","~",2))+1,FIND("~",SUBSTITUTE($AT628,"-","~",3))-FIND("~",SUBSTITUTE($AT628,"-","~",2))-1))</f>
        <v/>
      </c>
      <c r="AW628">
        <f>IF($AU628="","",IFERROR(VLOOKUP($AU628,DECODE!$A$3:$C$8,3,FALSE),"?"))</f>
        <v/>
      </c>
      <c r="AX628">
        <f>IF($AV628="","",IFERROR(VLOOKUP($AU628&amp;"-"&amp;$AV628,DECODE!$E$3:$F$21,2,FALSE),"?"))</f>
        <v/>
      </c>
      <c r="AY628">
        <f>IF($AT628="","",IFERROR(VALUE(RIGHT($AT628,3)),""))</f>
        <v/>
      </c>
      <c r="AZ628">
        <f>IF($U628="","",IFERROR(IF(ISNUMBER($U628),$U628,DATEVALUE(TRIM($U628))),""))</f>
        <v/>
      </c>
      <c r="BA628">
        <f>IF($AZ628="","",IF(MONTH($AZ628)&gt;=12,"Cold Winter",IF(MONTH($AZ628)&gt;=10,"Post-Monsoon",IF(MONTH($AZ628)&gt;=6,"Hot Humid",IF(MONTH($AZ628)&gt;=3,"Hot Dry","Cold Winter")))))</f>
        <v/>
      </c>
      <c r="BB628">
        <f>IF($AU628="","",IFERROR(VLOOKUP($AU628,DECODE!$A$3:$C$8,2,FALSE),"?"))</f>
        <v/>
      </c>
      <c r="BC628">
        <f>IF($P628="","",UPPER(TRIM(LEFT($P628&amp;",",FIND(",",$P628&amp;",")-1))))</f>
        <v/>
      </c>
      <c r="BD628">
        <f>IF($BC628="","",MID($BC628,4,FIND("~",SUBSTITUTE($BC628,"-","~",2))-4))</f>
        <v/>
      </c>
      <c r="BE628">
        <f>IF($BC628="","",MID($BC628,FIND("~",SUBSTITUTE($BC628,"-","~",2))+1,FIND("~",SUBSTITUTE($BC628,"-","~",3))-FIND("~",SUBSTITUTE($BC628,"-","~",2))-1))</f>
        <v/>
      </c>
      <c r="BF628">
        <f>IF($BD628="","",IFERROR(VLOOKUP($BD628,DECODE!$A$3:$C$8,3,FALSE),"?"))</f>
        <v/>
      </c>
      <c r="BG628">
        <f>IF($BE628="","",IFERROR(VLOOKUP($BD628&amp;"-"&amp;$BE628,DECODE!$E$3:$F$21,2,FALSE),"?"))</f>
        <v/>
      </c>
      <c r="BH628">
        <f>IF($BC628="","",IFERROR(VALUE(RIGHT($BC628,3)),""))</f>
        <v/>
      </c>
      <c r="BI628">
        <f>IF($V628="","",IFERROR(IF(ISNUMBER($V628),$V628,DATEVALUE(TRIM($V628))),""))</f>
        <v/>
      </c>
      <c r="BJ628">
        <f>IF($BI628="","",IF(MONTH($BI628)&gt;=12,"Cold Winter",IF(MONTH($BI628)&gt;=10,"Post-Monsoon",IF(MONTH($BI628)&gt;=6,"Hot Humid",IF(MONTH($BI628)&gt;=3,"Hot Dry","Cold Winter")))))</f>
        <v/>
      </c>
      <c r="BK628">
        <f>IF($BD628="","",IFERROR(VLOOKUP($BD628,DECODE!$A$3:$C$8,2,FALSE),"?"))</f>
        <v/>
      </c>
      <c r="BL628">
        <f>IF($Q628="","",UPPER(TRIM(LEFT($Q628&amp;",",FIND(",",$Q628&amp;",")-1))))</f>
        <v/>
      </c>
      <c r="BM628">
        <f>IF($BL628="","",MID($BL628,4,FIND("~",SUBSTITUTE($BL628,"-","~",2))-4))</f>
        <v/>
      </c>
      <c r="BN628">
        <f>IF($BL628="","",MID($BL628,FIND("~",SUBSTITUTE($BL628,"-","~",2))+1,FIND("~",SUBSTITUTE($BL628,"-","~",3))-FIND("~",SUBSTITUTE($BL628,"-","~",2))-1))</f>
        <v/>
      </c>
      <c r="BO628">
        <f>IF($BM628="","",IFERROR(VLOOKUP($BM628,DECODE!$A$3:$C$8,3,FALSE),"?"))</f>
        <v/>
      </c>
      <c r="BP628">
        <f>IF($BN628="","",IFERROR(VLOOKUP($BM628&amp;"-"&amp;$BN628,DECODE!$E$3:$F$21,2,FALSE),"?"))</f>
        <v/>
      </c>
      <c r="BQ628">
        <f>IF($BL628="","",IFERROR(VALUE(RIGHT($BL628,3)),""))</f>
        <v/>
      </c>
      <c r="BR628">
        <f>IF($W628="","",IFERROR(IF(ISNUMBER($W628),$W628,DATEVALUE(TRIM($W628))),""))</f>
        <v/>
      </c>
      <c r="BS628">
        <f>IF($BR628="","",IF(MONTH($BR628)&gt;=12,"Cold Winter",IF(MONTH($BR628)&gt;=10,"Post-Monsoon",IF(MONTH($BR628)&gt;=6,"Hot Humid",IF(MONTH($BR628)&gt;=3,"Hot Dry","Cold Winter")))))</f>
        <v/>
      </c>
      <c r="BT628">
        <f>IF($BM628="","",IFERROR(VLOOKUP($BM628,DECODE!$A$3:$C$8,2,FALSE),"?"))</f>
        <v/>
      </c>
      <c r="BU628">
        <f>IF($R628="","",UPPER(TRIM(LEFT($R628&amp;",",FIND(",",$R628&amp;",")-1))))</f>
        <v/>
      </c>
      <c r="BV628">
        <f>IF($BU628="","",MID($BU628,4,FIND("~",SUBSTITUTE($BU628,"-","~",2))-4))</f>
        <v/>
      </c>
      <c r="BW628">
        <f>IF($BU628="","",MID($BU628,FIND("~",SUBSTITUTE($BU628,"-","~",2))+1,FIND("~",SUBSTITUTE($BU628,"-","~",3))-FIND("~",SUBSTITUTE($BU628,"-","~",2))-1))</f>
        <v/>
      </c>
      <c r="BX628">
        <f>IF($BV628="","",IFERROR(VLOOKUP($BV628,DECODE!$A$3:$C$8,3,FALSE),"?"))</f>
        <v/>
      </c>
      <c r="BY628">
        <f>IF($BW628="","",IFERROR(VLOOKUP($BV628&amp;"-"&amp;$BW628,DECODE!$E$3:$F$21,2,FALSE),"?"))</f>
        <v/>
      </c>
      <c r="BZ628">
        <f>IF($BU628="","",IFERROR(VALUE(RIGHT($BU628,3)),""))</f>
        <v/>
      </c>
      <c r="CA628">
        <f>IF($X628="","",IFERROR(IF(ISNUMBER($X628),$X628,DATEVALUE(TRIM($X628))),""))</f>
        <v/>
      </c>
      <c r="CB628">
        <f>IF($CA628="","",IF(MONTH($CA628)&gt;=12,"Cold Winter",IF(MONTH($CA628)&gt;=10,"Post-Monsoon",IF(MONTH($CA628)&gt;=6,"Hot Humid",IF(MONTH($CA628)&gt;=3,"Hot Dry","Cold Winter")))))</f>
        <v/>
      </c>
      <c r="CC628">
        <f>IF($BV628="","",IFERROR(VLOOKUP($BV628,DECODE!$A$3:$C$8,2,FALSE),"?"))</f>
        <v/>
      </c>
      <c r="CD628">
        <f>IF($S628="","",UPPER(TRIM(LEFT($S628&amp;",",FIND(",",$S628&amp;",")-1))))</f>
        <v/>
      </c>
      <c r="CE628">
        <f>IF($CD628="","",MID($CD628,4,FIND("~",SUBSTITUTE($CD628,"-","~",2))-4))</f>
        <v/>
      </c>
      <c r="CF628">
        <f>IF($CD628="","",MID($CD628,FIND("~",SUBSTITUTE($CD628,"-","~",2))+1,FIND("~",SUBSTITUTE($CD628,"-","~",3))-FIND("~",SUBSTITUTE($CD628,"-","~",2))-1))</f>
        <v/>
      </c>
      <c r="CG628">
        <f>IF($CE628="","",IFERROR(VLOOKUP($CE628,DECODE!$A$3:$C$8,3,FALSE),"?"))</f>
        <v/>
      </c>
      <c r="CH628">
        <f>IF($CF628="","",IFERROR(VLOOKUP($CE628&amp;"-"&amp;$CF628,DECODE!$E$3:$F$21,2,FALSE),"?"))</f>
        <v/>
      </c>
      <c r="CI628">
        <f>IF($CD628="","",IFERROR(VALUE(RIGHT($CD628,3)),""))</f>
        <v/>
      </c>
      <c r="CJ628">
        <f>IF($Y628="","",IFERROR(IF(ISNUMBER($Y628),$Y628,DATEVALUE(TRIM($Y628))),""))</f>
        <v/>
      </c>
      <c r="CK628">
        <f>IF($CJ628="","",IF(MONTH($CJ628)&gt;=12,"Cold Winter",IF(MONTH($CJ628)&gt;=10,"Post-Monsoon",IF(MONTH($CJ628)&gt;=6,"Hot Humid",IF(MONTH($CJ628)&gt;=3,"Hot Dry","Cold Winter")))))</f>
        <v/>
      </c>
      <c r="CL628">
        <f>IF($CE628="","",IFERROR(VLOOKUP($CE628,DECODE!$A$3:$C$8,2,FALSE),"?"))</f>
        <v/>
      </c>
      <c r="CM628">
        <f>IF($AN628="","",AN628)</f>
        <v/>
      </c>
      <c r="CN628">
        <f>IF($AO628="","",AO628)</f>
        <v/>
      </c>
      <c r="CO628">
        <f>IF($AP628="","",AP628)</f>
        <v/>
      </c>
      <c r="CP628">
        <f>IF($CM628="","",IF($CM628="Aloe Vera Gel","Aloe Vera Gel "&amp;$CO628&amp;"g",CN628&amp;" "&amp;$CO628&amp;"g"))</f>
        <v/>
      </c>
      <c r="CQ628">
        <f>IF($AT628="",0,1)</f>
        <v/>
      </c>
      <c r="CR628">
        <f>IF($CQ628=0,"",AW628)</f>
        <v/>
      </c>
      <c r="CS628">
        <f>IF($CQ628=0,"",AX628)</f>
        <v/>
      </c>
      <c r="CT628">
        <f>IF($CQ628=0,"",AY628)</f>
        <v/>
      </c>
      <c r="CU628">
        <f>IF($CR628="","",IF($CR628="Aloe Vera Gel","Aloe Vera Gel "&amp;$CT628&amp;"g",CS628&amp;" "&amp;$CT628&amp;"g"))</f>
        <v/>
      </c>
      <c r="CV628">
        <f>IF($CQ628=0,"",IF($CP628=$CU628,"Repeat Exact",IF($CT628&gt;$CO628,"Upsized",IF($CT628&lt;$CO628,"Downsized",IF($CM628&lt;&gt;$CR628,"Lateral","Same Size Diff Variant")))))</f>
        <v/>
      </c>
      <c r="CW628">
        <f>IF($CQ628=0,"",AZ628-AQ628)</f>
        <v/>
      </c>
      <c r="CX628">
        <f>IF($CQ628=0,0,IF(CS628=CN628,1,0))</f>
        <v/>
      </c>
      <c r="CY628">
        <f>IF($CQ628=0,0,IF(CR628=CM628,1,0))</f>
        <v/>
      </c>
      <c r="CZ628">
        <f>IF($A628="","",IF(AND(IF(DASHBOARD!$C$4="All",TRUE,$CM628=DASHBOARD!$C$4),IF(DASHBOARD!$C$6="All",TRUE,$CP628=DASHBOARD!$C$6),IF(DASHBOARD!$C$8="All",TRUE,$AF628&gt;=DASHBOARD!$C$8),IF(DASHBOARD!$C$10="All",TRUE,$AF628&lt;=DASHBOARD!$C$10),IF(DASHBOARD!$C$12="All",TRUE,$AH628=VALUE(DASHBOARD!$C$12)),IF(DASHBOARD!$C$14="All",TRUE,$AJ628=DASHBOARD!$C$14)),1,0))</f>
        <v/>
      </c>
    </row>
    <row r="629">
      <c r="A629" t="n">
        <v>271959</v>
      </c>
      <c r="B629" t="inlineStr">
        <is>
          <t>Face Malai</t>
        </is>
      </c>
      <c r="H629" t="inlineStr">
        <is>
          <t>Turmeric Nutmeg (Pigmentation)  Face Malai - 30g</t>
        </is>
      </c>
      <c r="N629" t="inlineStr">
        <is>
          <t>FC-DM-PG-030</t>
        </is>
      </c>
      <c r="T629" t="inlineStr">
        <is>
          <t>Dec 6, 2024</t>
        </is>
      </c>
      <c r="AE629" t="inlineStr">
        <is>
          <t>Gautam Buddha Nagar</t>
        </is>
      </c>
      <c r="AF629" t="inlineStr">
        <is>
          <t>2024-12</t>
        </is>
      </c>
      <c r="AG629" t="n">
        <v>12</v>
      </c>
      <c r="AH629" t="n">
        <v>1</v>
      </c>
      <c r="AI629" t="n">
        <v>0</v>
      </c>
      <c r="AJ629">
        <f>IF($AE629="","",IFERROR(VLOOKUP(TRIM($AE629),DECODE!$H$3:$I$60,2,FALSE),"Rest of India"))</f>
        <v/>
      </c>
      <c r="AK629">
        <f>IF($N629="","",UPPER(TRIM(LEFT($N629&amp;",",FIND(",",$N629&amp;",")-1))))</f>
        <v/>
      </c>
      <c r="AL629">
        <f>IF($AK629="","",MID($AK629,4,FIND("~",SUBSTITUTE($AK629,"-","~",2))-4))</f>
        <v/>
      </c>
      <c r="AM629">
        <f>IF($AK629="","",MID($AK629,FIND("~",SUBSTITUTE($AK629,"-","~",2))+1,FIND("~",SUBSTITUTE($AK629,"-","~",3))-FIND("~",SUBSTITUTE($AK629,"-","~",2))-1))</f>
        <v/>
      </c>
      <c r="AN629">
        <f>IF($AL629="","",IFERROR(VLOOKUP($AL629,DECODE!$A$3:$C$8,3,FALSE),"?"))</f>
        <v/>
      </c>
      <c r="AO629">
        <f>IF($AM629="","",IFERROR(VLOOKUP($AL629&amp;"-"&amp;$AM629,DECODE!$E$3:$F$21,2,FALSE),"?"))</f>
        <v/>
      </c>
      <c r="AP629">
        <f>IF($AK629="","",IFERROR(VALUE(RIGHT($AK629,3)),""))</f>
        <v/>
      </c>
      <c r="AQ629">
        <f>IF($T629="","",IFERROR(IF(ISNUMBER($T629),$T629,DATEVALUE(TRIM($T629))),""))</f>
        <v/>
      </c>
      <c r="AR629">
        <f>IF($AQ629="","",IF(MONTH($AQ629)&gt;=12,"Cold Winter",IF(MONTH($AQ629)&gt;=10,"Post-Monsoon",IF(MONTH($AQ629)&gt;=6,"Hot Humid",IF(MONTH($AQ629)&gt;=3,"Hot Dry","Cold Winter")))))</f>
        <v/>
      </c>
      <c r="AS629">
        <f>IF($AL629="","",IFERROR(VLOOKUP($AL629,DECODE!$A$3:$C$8,2,FALSE),"?"))</f>
        <v/>
      </c>
      <c r="AT629">
        <f>IF($O629="","",UPPER(TRIM(LEFT($O629&amp;",",FIND(",",$O629&amp;",")-1))))</f>
        <v/>
      </c>
      <c r="AU629">
        <f>IF($AT629="","",MID($AT629,4,FIND("~",SUBSTITUTE($AT629,"-","~",2))-4))</f>
        <v/>
      </c>
      <c r="AV629">
        <f>IF($AT629="","",MID($AT629,FIND("~",SUBSTITUTE($AT629,"-","~",2))+1,FIND("~",SUBSTITUTE($AT629,"-","~",3))-FIND("~",SUBSTITUTE($AT629,"-","~",2))-1))</f>
        <v/>
      </c>
      <c r="AW629">
        <f>IF($AU629="","",IFERROR(VLOOKUP($AU629,DECODE!$A$3:$C$8,3,FALSE),"?"))</f>
        <v/>
      </c>
      <c r="AX629">
        <f>IF($AV629="","",IFERROR(VLOOKUP($AU629&amp;"-"&amp;$AV629,DECODE!$E$3:$F$21,2,FALSE),"?"))</f>
        <v/>
      </c>
      <c r="AY629">
        <f>IF($AT629="","",IFERROR(VALUE(RIGHT($AT629,3)),""))</f>
        <v/>
      </c>
      <c r="AZ629">
        <f>IF($U629="","",IFERROR(IF(ISNUMBER($U629),$U629,DATEVALUE(TRIM($U629))),""))</f>
        <v/>
      </c>
      <c r="BA629">
        <f>IF($AZ629="","",IF(MONTH($AZ629)&gt;=12,"Cold Winter",IF(MONTH($AZ629)&gt;=10,"Post-Monsoon",IF(MONTH($AZ629)&gt;=6,"Hot Humid",IF(MONTH($AZ629)&gt;=3,"Hot Dry","Cold Winter")))))</f>
        <v/>
      </c>
      <c r="BB629">
        <f>IF($AU629="","",IFERROR(VLOOKUP($AU629,DECODE!$A$3:$C$8,2,FALSE),"?"))</f>
        <v/>
      </c>
      <c r="BC629">
        <f>IF($P629="","",UPPER(TRIM(LEFT($P629&amp;",",FIND(",",$P629&amp;",")-1))))</f>
        <v/>
      </c>
      <c r="BD629">
        <f>IF($BC629="","",MID($BC629,4,FIND("~",SUBSTITUTE($BC629,"-","~",2))-4))</f>
        <v/>
      </c>
      <c r="BE629">
        <f>IF($BC629="","",MID($BC629,FIND("~",SUBSTITUTE($BC629,"-","~",2))+1,FIND("~",SUBSTITUTE($BC629,"-","~",3))-FIND("~",SUBSTITUTE($BC629,"-","~",2))-1))</f>
        <v/>
      </c>
      <c r="BF629">
        <f>IF($BD629="","",IFERROR(VLOOKUP($BD629,DECODE!$A$3:$C$8,3,FALSE),"?"))</f>
        <v/>
      </c>
      <c r="BG629">
        <f>IF($BE629="","",IFERROR(VLOOKUP($BD629&amp;"-"&amp;$BE629,DECODE!$E$3:$F$21,2,FALSE),"?"))</f>
        <v/>
      </c>
      <c r="BH629">
        <f>IF($BC629="","",IFERROR(VALUE(RIGHT($BC629,3)),""))</f>
        <v/>
      </c>
      <c r="BI629">
        <f>IF($V629="","",IFERROR(IF(ISNUMBER($V629),$V629,DATEVALUE(TRIM($V629))),""))</f>
        <v/>
      </c>
      <c r="BJ629">
        <f>IF($BI629="","",IF(MONTH($BI629)&gt;=12,"Cold Winter",IF(MONTH($BI629)&gt;=10,"Post-Monsoon",IF(MONTH($BI629)&gt;=6,"Hot Humid",IF(MONTH($BI629)&gt;=3,"Hot Dry","Cold Winter")))))</f>
        <v/>
      </c>
      <c r="BK629">
        <f>IF($BD629="","",IFERROR(VLOOKUP($BD629,DECODE!$A$3:$C$8,2,FALSE),"?"))</f>
        <v/>
      </c>
      <c r="BL629">
        <f>IF($Q629="","",UPPER(TRIM(LEFT($Q629&amp;",",FIND(",",$Q629&amp;",")-1))))</f>
        <v/>
      </c>
      <c r="BM629">
        <f>IF($BL629="","",MID($BL629,4,FIND("~",SUBSTITUTE($BL629,"-","~",2))-4))</f>
        <v/>
      </c>
      <c r="BN629">
        <f>IF($BL629="","",MID($BL629,FIND("~",SUBSTITUTE($BL629,"-","~",2))+1,FIND("~",SUBSTITUTE($BL629,"-","~",3))-FIND("~",SUBSTITUTE($BL629,"-","~",2))-1))</f>
        <v/>
      </c>
      <c r="BO629">
        <f>IF($BM629="","",IFERROR(VLOOKUP($BM629,DECODE!$A$3:$C$8,3,FALSE),"?"))</f>
        <v/>
      </c>
      <c r="BP629">
        <f>IF($BN629="","",IFERROR(VLOOKUP($BM629&amp;"-"&amp;$BN629,DECODE!$E$3:$F$21,2,FALSE),"?"))</f>
        <v/>
      </c>
      <c r="BQ629">
        <f>IF($BL629="","",IFERROR(VALUE(RIGHT($BL629,3)),""))</f>
        <v/>
      </c>
      <c r="BR629">
        <f>IF($W629="","",IFERROR(IF(ISNUMBER($W629),$W629,DATEVALUE(TRIM($W629))),""))</f>
        <v/>
      </c>
      <c r="BS629">
        <f>IF($BR629="","",IF(MONTH($BR629)&gt;=12,"Cold Winter",IF(MONTH($BR629)&gt;=10,"Post-Monsoon",IF(MONTH($BR629)&gt;=6,"Hot Humid",IF(MONTH($BR629)&gt;=3,"Hot Dry","Cold Winter")))))</f>
        <v/>
      </c>
      <c r="BT629">
        <f>IF($BM629="","",IFERROR(VLOOKUP($BM629,DECODE!$A$3:$C$8,2,FALSE),"?"))</f>
        <v/>
      </c>
      <c r="BU629">
        <f>IF($R629="","",UPPER(TRIM(LEFT($R629&amp;",",FIND(",",$R629&amp;",")-1))))</f>
        <v/>
      </c>
      <c r="BV629">
        <f>IF($BU629="","",MID($BU629,4,FIND("~",SUBSTITUTE($BU629,"-","~",2))-4))</f>
        <v/>
      </c>
      <c r="BW629">
        <f>IF($BU629="","",MID($BU629,FIND("~",SUBSTITUTE($BU629,"-","~",2))+1,FIND("~",SUBSTITUTE($BU629,"-","~",3))-FIND("~",SUBSTITUTE($BU629,"-","~",2))-1))</f>
        <v/>
      </c>
      <c r="BX629">
        <f>IF($BV629="","",IFERROR(VLOOKUP($BV629,DECODE!$A$3:$C$8,3,FALSE),"?"))</f>
        <v/>
      </c>
      <c r="BY629">
        <f>IF($BW629="","",IFERROR(VLOOKUP($BV629&amp;"-"&amp;$BW629,DECODE!$E$3:$F$21,2,FALSE),"?"))</f>
        <v/>
      </c>
      <c r="BZ629">
        <f>IF($BU629="","",IFERROR(VALUE(RIGHT($BU629,3)),""))</f>
        <v/>
      </c>
      <c r="CA629">
        <f>IF($X629="","",IFERROR(IF(ISNUMBER($X629),$X629,DATEVALUE(TRIM($X629))),""))</f>
        <v/>
      </c>
      <c r="CB629">
        <f>IF($CA629="","",IF(MONTH($CA629)&gt;=12,"Cold Winter",IF(MONTH($CA629)&gt;=10,"Post-Monsoon",IF(MONTH($CA629)&gt;=6,"Hot Humid",IF(MONTH($CA629)&gt;=3,"Hot Dry","Cold Winter")))))</f>
        <v/>
      </c>
      <c r="CC629">
        <f>IF($BV629="","",IFERROR(VLOOKUP($BV629,DECODE!$A$3:$C$8,2,FALSE),"?"))</f>
        <v/>
      </c>
      <c r="CD629">
        <f>IF($S629="","",UPPER(TRIM(LEFT($S629&amp;",",FIND(",",$S629&amp;",")-1))))</f>
        <v/>
      </c>
      <c r="CE629">
        <f>IF($CD629="","",MID($CD629,4,FIND("~",SUBSTITUTE($CD629,"-","~",2))-4))</f>
        <v/>
      </c>
      <c r="CF629">
        <f>IF($CD629="","",MID($CD629,FIND("~",SUBSTITUTE($CD629,"-","~",2))+1,FIND("~",SUBSTITUTE($CD629,"-","~",3))-FIND("~",SUBSTITUTE($CD629,"-","~",2))-1))</f>
        <v/>
      </c>
      <c r="CG629">
        <f>IF($CE629="","",IFERROR(VLOOKUP($CE629,DECODE!$A$3:$C$8,3,FALSE),"?"))</f>
        <v/>
      </c>
      <c r="CH629">
        <f>IF($CF629="","",IFERROR(VLOOKUP($CE629&amp;"-"&amp;$CF629,DECODE!$E$3:$F$21,2,FALSE),"?"))</f>
        <v/>
      </c>
      <c r="CI629">
        <f>IF($CD629="","",IFERROR(VALUE(RIGHT($CD629,3)),""))</f>
        <v/>
      </c>
      <c r="CJ629">
        <f>IF($Y629="","",IFERROR(IF(ISNUMBER($Y629),$Y629,DATEVALUE(TRIM($Y629))),""))</f>
        <v/>
      </c>
      <c r="CK629">
        <f>IF($CJ629="","",IF(MONTH($CJ629)&gt;=12,"Cold Winter",IF(MONTH($CJ629)&gt;=10,"Post-Monsoon",IF(MONTH($CJ629)&gt;=6,"Hot Humid",IF(MONTH($CJ629)&gt;=3,"Hot Dry","Cold Winter")))))</f>
        <v/>
      </c>
      <c r="CL629">
        <f>IF($CE629="","",IFERROR(VLOOKUP($CE629,DECODE!$A$3:$C$8,2,FALSE),"?"))</f>
        <v/>
      </c>
      <c r="CM629">
        <f>IF($AN629="","",AN629)</f>
        <v/>
      </c>
      <c r="CN629">
        <f>IF($AO629="","",AO629)</f>
        <v/>
      </c>
      <c r="CO629">
        <f>IF($AP629="","",AP629)</f>
        <v/>
      </c>
      <c r="CP629">
        <f>IF($CM629="","",IF($CM629="Aloe Vera Gel","Aloe Vera Gel "&amp;$CO629&amp;"g",CN629&amp;" "&amp;$CO629&amp;"g"))</f>
        <v/>
      </c>
      <c r="CQ629">
        <f>IF($AT629="",0,1)</f>
        <v/>
      </c>
      <c r="CR629">
        <f>IF($CQ629=0,"",AW629)</f>
        <v/>
      </c>
      <c r="CS629">
        <f>IF($CQ629=0,"",AX629)</f>
        <v/>
      </c>
      <c r="CT629">
        <f>IF($CQ629=0,"",AY629)</f>
        <v/>
      </c>
      <c r="CU629">
        <f>IF($CR629="","",IF($CR629="Aloe Vera Gel","Aloe Vera Gel "&amp;$CT629&amp;"g",CS629&amp;" "&amp;$CT629&amp;"g"))</f>
        <v/>
      </c>
      <c r="CV629">
        <f>IF($CQ629=0,"",IF($CP629=$CU629,"Repeat Exact",IF($CT629&gt;$CO629,"Upsized",IF($CT629&lt;$CO629,"Downsized",IF($CM629&lt;&gt;$CR629,"Lateral","Same Size Diff Variant")))))</f>
        <v/>
      </c>
      <c r="CW629">
        <f>IF($CQ629=0,"",AZ629-AQ629)</f>
        <v/>
      </c>
      <c r="CX629">
        <f>IF($CQ629=0,0,IF(CS629=CN629,1,0))</f>
        <v/>
      </c>
      <c r="CY629">
        <f>IF($CQ629=0,0,IF(CR629=CM629,1,0))</f>
        <v/>
      </c>
      <c r="CZ629">
        <f>IF($A629="","",IF(AND(IF(DASHBOARD!$C$4="All",TRUE,$CM629=DASHBOARD!$C$4),IF(DASHBOARD!$C$6="All",TRUE,$CP629=DASHBOARD!$C$6),IF(DASHBOARD!$C$8="All",TRUE,$AF629&gt;=DASHBOARD!$C$8),IF(DASHBOARD!$C$10="All",TRUE,$AF629&lt;=DASHBOARD!$C$10),IF(DASHBOARD!$C$12="All",TRUE,$AH629=VALUE(DASHBOARD!$C$12)),IF(DASHBOARD!$C$14="All",TRUE,$AJ629=DASHBOARD!$C$14)),1,0))</f>
        <v/>
      </c>
    </row>
    <row r="630">
      <c r="A630" t="n">
        <v>271979</v>
      </c>
      <c r="B630" t="inlineStr">
        <is>
          <t>Active Gel</t>
        </is>
      </c>
      <c r="C630" t="inlineStr">
        <is>
          <t>Face Malai</t>
        </is>
      </c>
      <c r="H630" t="inlineStr">
        <is>
          <t>Active Orange Kiwi Vit-C Gel</t>
        </is>
      </c>
      <c r="I630" t="inlineStr">
        <is>
          <t>Clove Tea-Tree (Anti-Acne) Face Malai</t>
        </is>
      </c>
      <c r="N630" t="inlineStr">
        <is>
          <t>FC-AC-OK-050</t>
        </is>
      </c>
      <c r="O630" t="inlineStr">
        <is>
          <t>FC-DM-AA-030</t>
        </is>
      </c>
      <c r="T630" t="inlineStr">
        <is>
          <t>Jul 23, 2024</t>
        </is>
      </c>
      <c r="U630" t="inlineStr">
        <is>
          <t>Mar 24, 2025</t>
        </is>
      </c>
      <c r="Z630" t="n">
        <v>244</v>
      </c>
      <c r="AE630" t="inlineStr">
        <is>
          <t>Gautam Buddha Nagar</t>
        </is>
      </c>
      <c r="AF630" t="inlineStr">
        <is>
          <t>2024-07</t>
        </is>
      </c>
      <c r="AG630" t="n">
        <v>7</v>
      </c>
      <c r="AH630" t="n">
        <v>2</v>
      </c>
      <c r="AI630" t="n">
        <v>1</v>
      </c>
      <c r="AJ630">
        <f>IF($AE630="","",IFERROR(VLOOKUP(TRIM($AE630),DECODE!$H$3:$I$60,2,FALSE),"Rest of India"))</f>
        <v/>
      </c>
      <c r="AK630">
        <f>IF($N630="","",UPPER(TRIM(LEFT($N630&amp;",",FIND(",",$N630&amp;",")-1))))</f>
        <v/>
      </c>
      <c r="AL630">
        <f>IF($AK630="","",MID($AK630,4,FIND("~",SUBSTITUTE($AK630,"-","~",2))-4))</f>
        <v/>
      </c>
      <c r="AM630">
        <f>IF($AK630="","",MID($AK630,FIND("~",SUBSTITUTE($AK630,"-","~",2))+1,FIND("~",SUBSTITUTE($AK630,"-","~",3))-FIND("~",SUBSTITUTE($AK630,"-","~",2))-1))</f>
        <v/>
      </c>
      <c r="AN630">
        <f>IF($AL630="","",IFERROR(VLOOKUP($AL630,DECODE!$A$3:$C$8,3,FALSE),"?"))</f>
        <v/>
      </c>
      <c r="AO630">
        <f>IF($AM630="","",IFERROR(VLOOKUP($AL630&amp;"-"&amp;$AM630,DECODE!$E$3:$F$21,2,FALSE),"?"))</f>
        <v/>
      </c>
      <c r="AP630">
        <f>IF($AK630="","",IFERROR(VALUE(RIGHT($AK630,3)),""))</f>
        <v/>
      </c>
      <c r="AQ630">
        <f>IF($T630="","",IFERROR(IF(ISNUMBER($T630),$T630,DATEVALUE(TRIM($T630))),""))</f>
        <v/>
      </c>
      <c r="AR630">
        <f>IF($AQ630="","",IF(MONTH($AQ630)&gt;=12,"Cold Winter",IF(MONTH($AQ630)&gt;=10,"Post-Monsoon",IF(MONTH($AQ630)&gt;=6,"Hot Humid",IF(MONTH($AQ630)&gt;=3,"Hot Dry","Cold Winter")))))</f>
        <v/>
      </c>
      <c r="AS630">
        <f>IF($AL630="","",IFERROR(VLOOKUP($AL630,DECODE!$A$3:$C$8,2,FALSE),"?"))</f>
        <v/>
      </c>
      <c r="AT630">
        <f>IF($O630="","",UPPER(TRIM(LEFT($O630&amp;",",FIND(",",$O630&amp;",")-1))))</f>
        <v/>
      </c>
      <c r="AU630">
        <f>IF($AT630="","",MID($AT630,4,FIND("~",SUBSTITUTE($AT630,"-","~",2))-4))</f>
        <v/>
      </c>
      <c r="AV630">
        <f>IF($AT630="","",MID($AT630,FIND("~",SUBSTITUTE($AT630,"-","~",2))+1,FIND("~",SUBSTITUTE($AT630,"-","~",3))-FIND("~",SUBSTITUTE($AT630,"-","~",2))-1))</f>
        <v/>
      </c>
      <c r="AW630">
        <f>IF($AU630="","",IFERROR(VLOOKUP($AU630,DECODE!$A$3:$C$8,3,FALSE),"?"))</f>
        <v/>
      </c>
      <c r="AX630">
        <f>IF($AV630="","",IFERROR(VLOOKUP($AU630&amp;"-"&amp;$AV630,DECODE!$E$3:$F$21,2,FALSE),"?"))</f>
        <v/>
      </c>
      <c r="AY630">
        <f>IF($AT630="","",IFERROR(VALUE(RIGHT($AT630,3)),""))</f>
        <v/>
      </c>
      <c r="AZ630">
        <f>IF($U630="","",IFERROR(IF(ISNUMBER($U630),$U630,DATEVALUE(TRIM($U630))),""))</f>
        <v/>
      </c>
      <c r="BA630">
        <f>IF($AZ630="","",IF(MONTH($AZ630)&gt;=12,"Cold Winter",IF(MONTH($AZ630)&gt;=10,"Post-Monsoon",IF(MONTH($AZ630)&gt;=6,"Hot Humid",IF(MONTH($AZ630)&gt;=3,"Hot Dry","Cold Winter")))))</f>
        <v/>
      </c>
      <c r="BB630">
        <f>IF($AU630="","",IFERROR(VLOOKUP($AU630,DECODE!$A$3:$C$8,2,FALSE),"?"))</f>
        <v/>
      </c>
      <c r="BC630">
        <f>IF($P630="","",UPPER(TRIM(LEFT($P630&amp;",",FIND(",",$P630&amp;",")-1))))</f>
        <v/>
      </c>
      <c r="BD630">
        <f>IF($BC630="","",MID($BC630,4,FIND("~",SUBSTITUTE($BC630,"-","~",2))-4))</f>
        <v/>
      </c>
      <c r="BE630">
        <f>IF($BC630="","",MID($BC630,FIND("~",SUBSTITUTE($BC630,"-","~",2))+1,FIND("~",SUBSTITUTE($BC630,"-","~",3))-FIND("~",SUBSTITUTE($BC630,"-","~",2))-1))</f>
        <v/>
      </c>
      <c r="BF630">
        <f>IF($BD630="","",IFERROR(VLOOKUP($BD630,DECODE!$A$3:$C$8,3,FALSE),"?"))</f>
        <v/>
      </c>
      <c r="BG630">
        <f>IF($BE630="","",IFERROR(VLOOKUP($BD630&amp;"-"&amp;$BE630,DECODE!$E$3:$F$21,2,FALSE),"?"))</f>
        <v/>
      </c>
      <c r="BH630">
        <f>IF($BC630="","",IFERROR(VALUE(RIGHT($BC630,3)),""))</f>
        <v/>
      </c>
      <c r="BI630">
        <f>IF($V630="","",IFERROR(IF(ISNUMBER($V630),$V630,DATEVALUE(TRIM($V630))),""))</f>
        <v/>
      </c>
      <c r="BJ630">
        <f>IF($BI630="","",IF(MONTH($BI630)&gt;=12,"Cold Winter",IF(MONTH($BI630)&gt;=10,"Post-Monsoon",IF(MONTH($BI630)&gt;=6,"Hot Humid",IF(MONTH($BI630)&gt;=3,"Hot Dry","Cold Winter")))))</f>
        <v/>
      </c>
      <c r="BK630">
        <f>IF($BD630="","",IFERROR(VLOOKUP($BD630,DECODE!$A$3:$C$8,2,FALSE),"?"))</f>
        <v/>
      </c>
      <c r="BL630">
        <f>IF($Q630="","",UPPER(TRIM(LEFT($Q630&amp;",",FIND(",",$Q630&amp;",")-1))))</f>
        <v/>
      </c>
      <c r="BM630">
        <f>IF($BL630="","",MID($BL630,4,FIND("~",SUBSTITUTE($BL630,"-","~",2))-4))</f>
        <v/>
      </c>
      <c r="BN630">
        <f>IF($BL630="","",MID($BL630,FIND("~",SUBSTITUTE($BL630,"-","~",2))+1,FIND("~",SUBSTITUTE($BL630,"-","~",3))-FIND("~",SUBSTITUTE($BL630,"-","~",2))-1))</f>
        <v/>
      </c>
      <c r="BO630">
        <f>IF($BM630="","",IFERROR(VLOOKUP($BM630,DECODE!$A$3:$C$8,3,FALSE),"?"))</f>
        <v/>
      </c>
      <c r="BP630">
        <f>IF($BN630="","",IFERROR(VLOOKUP($BM630&amp;"-"&amp;$BN630,DECODE!$E$3:$F$21,2,FALSE),"?"))</f>
        <v/>
      </c>
      <c r="BQ630">
        <f>IF($BL630="","",IFERROR(VALUE(RIGHT($BL630,3)),""))</f>
        <v/>
      </c>
      <c r="BR630">
        <f>IF($W630="","",IFERROR(IF(ISNUMBER($W630),$W630,DATEVALUE(TRIM($W630))),""))</f>
        <v/>
      </c>
      <c r="BS630">
        <f>IF($BR630="","",IF(MONTH($BR630)&gt;=12,"Cold Winter",IF(MONTH($BR630)&gt;=10,"Post-Monsoon",IF(MONTH($BR630)&gt;=6,"Hot Humid",IF(MONTH($BR630)&gt;=3,"Hot Dry","Cold Winter")))))</f>
        <v/>
      </c>
      <c r="BT630">
        <f>IF($BM630="","",IFERROR(VLOOKUP($BM630,DECODE!$A$3:$C$8,2,FALSE),"?"))</f>
        <v/>
      </c>
      <c r="BU630">
        <f>IF($R630="","",UPPER(TRIM(LEFT($R630&amp;",",FIND(",",$R630&amp;",")-1))))</f>
        <v/>
      </c>
      <c r="BV630">
        <f>IF($BU630="","",MID($BU630,4,FIND("~",SUBSTITUTE($BU630,"-","~",2))-4))</f>
        <v/>
      </c>
      <c r="BW630">
        <f>IF($BU630="","",MID($BU630,FIND("~",SUBSTITUTE($BU630,"-","~",2))+1,FIND("~",SUBSTITUTE($BU630,"-","~",3))-FIND("~",SUBSTITUTE($BU630,"-","~",2))-1))</f>
        <v/>
      </c>
      <c r="BX630">
        <f>IF($BV630="","",IFERROR(VLOOKUP($BV630,DECODE!$A$3:$C$8,3,FALSE),"?"))</f>
        <v/>
      </c>
      <c r="BY630">
        <f>IF($BW630="","",IFERROR(VLOOKUP($BV630&amp;"-"&amp;$BW630,DECODE!$E$3:$F$21,2,FALSE),"?"))</f>
        <v/>
      </c>
      <c r="BZ630">
        <f>IF($BU630="","",IFERROR(VALUE(RIGHT($BU630,3)),""))</f>
        <v/>
      </c>
      <c r="CA630">
        <f>IF($X630="","",IFERROR(IF(ISNUMBER($X630),$X630,DATEVALUE(TRIM($X630))),""))</f>
        <v/>
      </c>
      <c r="CB630">
        <f>IF($CA630="","",IF(MONTH($CA630)&gt;=12,"Cold Winter",IF(MONTH($CA630)&gt;=10,"Post-Monsoon",IF(MONTH($CA630)&gt;=6,"Hot Humid",IF(MONTH($CA630)&gt;=3,"Hot Dry","Cold Winter")))))</f>
        <v/>
      </c>
      <c r="CC630">
        <f>IF($BV630="","",IFERROR(VLOOKUP($BV630,DECODE!$A$3:$C$8,2,FALSE),"?"))</f>
        <v/>
      </c>
      <c r="CD630">
        <f>IF($S630="","",UPPER(TRIM(LEFT($S630&amp;",",FIND(",",$S630&amp;",")-1))))</f>
        <v/>
      </c>
      <c r="CE630">
        <f>IF($CD630="","",MID($CD630,4,FIND("~",SUBSTITUTE($CD630,"-","~",2))-4))</f>
        <v/>
      </c>
      <c r="CF630">
        <f>IF($CD630="","",MID($CD630,FIND("~",SUBSTITUTE($CD630,"-","~",2))+1,FIND("~",SUBSTITUTE($CD630,"-","~",3))-FIND("~",SUBSTITUTE($CD630,"-","~",2))-1))</f>
        <v/>
      </c>
      <c r="CG630">
        <f>IF($CE630="","",IFERROR(VLOOKUP($CE630,DECODE!$A$3:$C$8,3,FALSE),"?"))</f>
        <v/>
      </c>
      <c r="CH630">
        <f>IF($CF630="","",IFERROR(VLOOKUP($CE630&amp;"-"&amp;$CF630,DECODE!$E$3:$F$21,2,FALSE),"?"))</f>
        <v/>
      </c>
      <c r="CI630">
        <f>IF($CD630="","",IFERROR(VALUE(RIGHT($CD630,3)),""))</f>
        <v/>
      </c>
      <c r="CJ630">
        <f>IF($Y630="","",IFERROR(IF(ISNUMBER($Y630),$Y630,DATEVALUE(TRIM($Y630))),""))</f>
        <v/>
      </c>
      <c r="CK630">
        <f>IF($CJ630="","",IF(MONTH($CJ630)&gt;=12,"Cold Winter",IF(MONTH($CJ630)&gt;=10,"Post-Monsoon",IF(MONTH($CJ630)&gt;=6,"Hot Humid",IF(MONTH($CJ630)&gt;=3,"Hot Dry","Cold Winter")))))</f>
        <v/>
      </c>
      <c r="CL630">
        <f>IF($CE630="","",IFERROR(VLOOKUP($CE630,DECODE!$A$3:$C$8,2,FALSE),"?"))</f>
        <v/>
      </c>
      <c r="CM630">
        <f>IF($AN630="","",AN630)</f>
        <v/>
      </c>
      <c r="CN630">
        <f>IF($AO630="","",AO630)</f>
        <v/>
      </c>
      <c r="CO630">
        <f>IF($AP630="","",AP630)</f>
        <v/>
      </c>
      <c r="CP630">
        <f>IF($CM630="","",IF($CM630="Aloe Vera Gel","Aloe Vera Gel "&amp;$CO630&amp;"g",CN630&amp;" "&amp;$CO630&amp;"g"))</f>
        <v/>
      </c>
      <c r="CQ630">
        <f>IF($AT630="",0,1)</f>
        <v/>
      </c>
      <c r="CR630">
        <f>IF($CQ630=0,"",AW630)</f>
        <v/>
      </c>
      <c r="CS630">
        <f>IF($CQ630=0,"",AX630)</f>
        <v/>
      </c>
      <c r="CT630">
        <f>IF($CQ630=0,"",AY630)</f>
        <v/>
      </c>
      <c r="CU630">
        <f>IF($CR630="","",IF($CR630="Aloe Vera Gel","Aloe Vera Gel "&amp;$CT630&amp;"g",CS630&amp;" "&amp;$CT630&amp;"g"))</f>
        <v/>
      </c>
      <c r="CV630">
        <f>IF($CQ630=0,"",IF($CP630=$CU630,"Repeat Exact",IF($CT630&gt;$CO630,"Upsized",IF($CT630&lt;$CO630,"Downsized",IF($CM630&lt;&gt;$CR630,"Lateral","Same Size Diff Variant")))))</f>
        <v/>
      </c>
      <c r="CW630">
        <f>IF($CQ630=0,"",AZ630-AQ630)</f>
        <v/>
      </c>
      <c r="CX630">
        <f>IF($CQ630=0,0,IF(CS630=CN630,1,0))</f>
        <v/>
      </c>
      <c r="CY630">
        <f>IF($CQ630=0,0,IF(CR630=CM630,1,0))</f>
        <v/>
      </c>
      <c r="CZ630">
        <f>IF($A630="","",IF(AND(IF(DASHBOARD!$C$4="All",TRUE,$CM630=DASHBOARD!$C$4),IF(DASHBOARD!$C$6="All",TRUE,$CP630=DASHBOARD!$C$6),IF(DASHBOARD!$C$8="All",TRUE,$AF630&gt;=DASHBOARD!$C$8),IF(DASHBOARD!$C$10="All",TRUE,$AF630&lt;=DASHBOARD!$C$10),IF(DASHBOARD!$C$12="All",TRUE,$AH630=VALUE(DASHBOARD!$C$12)),IF(DASHBOARD!$C$14="All",TRUE,$AJ630=DASHBOARD!$C$14)),1,0))</f>
        <v/>
      </c>
    </row>
    <row r="631">
      <c r="A631" t="n">
        <v>272260</v>
      </c>
      <c r="B631" t="inlineStr">
        <is>
          <t>Aloe Vera Gel</t>
        </is>
      </c>
      <c r="C631" t="inlineStr">
        <is>
          <t>Active Gel</t>
        </is>
      </c>
      <c r="H631" t="inlineStr">
        <is>
          <t>Aloe Vera Gel - 40 gms</t>
        </is>
      </c>
      <c r="I631" t="inlineStr">
        <is>
          <t>Active Beetroot Tomato Vit-A Gel</t>
        </is>
      </c>
      <c r="N631" t="inlineStr">
        <is>
          <t>FC-HG-PA-040</t>
        </is>
      </c>
      <c r="O631" t="inlineStr">
        <is>
          <t>FC-AC-BT-050</t>
        </is>
      </c>
      <c r="T631" t="inlineStr">
        <is>
          <t>May 29, 2024</t>
        </is>
      </c>
      <c r="U631" t="inlineStr">
        <is>
          <t>Jan 19, 2025</t>
        </is>
      </c>
      <c r="Z631" t="n">
        <v>235</v>
      </c>
      <c r="AE631" t="inlineStr">
        <is>
          <t>Kurukshetra</t>
        </is>
      </c>
      <c r="AF631" t="inlineStr">
        <is>
          <t>2024-05</t>
        </is>
      </c>
      <c r="AG631" t="n">
        <v>5</v>
      </c>
      <c r="AH631" t="n">
        <v>2</v>
      </c>
      <c r="AI631" t="n">
        <v>1</v>
      </c>
      <c r="AJ631">
        <f>IF($AE631="","",IFERROR(VLOOKUP(TRIM($AE631),DECODE!$H$3:$I$60,2,FALSE),"Rest of India"))</f>
        <v/>
      </c>
      <c r="AK631">
        <f>IF($N631="","",UPPER(TRIM(LEFT($N631&amp;",",FIND(",",$N631&amp;",")-1))))</f>
        <v/>
      </c>
      <c r="AL631">
        <f>IF($AK631="","",MID($AK631,4,FIND("~",SUBSTITUTE($AK631,"-","~",2))-4))</f>
        <v/>
      </c>
      <c r="AM631">
        <f>IF($AK631="","",MID($AK631,FIND("~",SUBSTITUTE($AK631,"-","~",2))+1,FIND("~",SUBSTITUTE($AK631,"-","~",3))-FIND("~",SUBSTITUTE($AK631,"-","~",2))-1))</f>
        <v/>
      </c>
      <c r="AN631">
        <f>IF($AL631="","",IFERROR(VLOOKUP($AL631,DECODE!$A$3:$C$8,3,FALSE),"?"))</f>
        <v/>
      </c>
      <c r="AO631">
        <f>IF($AM631="","",IFERROR(VLOOKUP($AL631&amp;"-"&amp;$AM631,DECODE!$E$3:$F$21,2,FALSE),"?"))</f>
        <v/>
      </c>
      <c r="AP631">
        <f>IF($AK631="","",IFERROR(VALUE(RIGHT($AK631,3)),""))</f>
        <v/>
      </c>
      <c r="AQ631">
        <f>IF($T631="","",IFERROR(IF(ISNUMBER($T631),$T631,DATEVALUE(TRIM($T631))),""))</f>
        <v/>
      </c>
      <c r="AR631">
        <f>IF($AQ631="","",IF(MONTH($AQ631)&gt;=12,"Cold Winter",IF(MONTH($AQ631)&gt;=10,"Post-Monsoon",IF(MONTH($AQ631)&gt;=6,"Hot Humid",IF(MONTH($AQ631)&gt;=3,"Hot Dry","Cold Winter")))))</f>
        <v/>
      </c>
      <c r="AS631">
        <f>IF($AL631="","",IFERROR(VLOOKUP($AL631,DECODE!$A$3:$C$8,2,FALSE),"?"))</f>
        <v/>
      </c>
      <c r="AT631">
        <f>IF($O631="","",UPPER(TRIM(LEFT($O631&amp;",",FIND(",",$O631&amp;",")-1))))</f>
        <v/>
      </c>
      <c r="AU631">
        <f>IF($AT631="","",MID($AT631,4,FIND("~",SUBSTITUTE($AT631,"-","~",2))-4))</f>
        <v/>
      </c>
      <c r="AV631">
        <f>IF($AT631="","",MID($AT631,FIND("~",SUBSTITUTE($AT631,"-","~",2))+1,FIND("~",SUBSTITUTE($AT631,"-","~",3))-FIND("~",SUBSTITUTE($AT631,"-","~",2))-1))</f>
        <v/>
      </c>
      <c r="AW631">
        <f>IF($AU631="","",IFERROR(VLOOKUP($AU631,DECODE!$A$3:$C$8,3,FALSE),"?"))</f>
        <v/>
      </c>
      <c r="AX631">
        <f>IF($AV631="","",IFERROR(VLOOKUP($AU631&amp;"-"&amp;$AV631,DECODE!$E$3:$F$21,2,FALSE),"?"))</f>
        <v/>
      </c>
      <c r="AY631">
        <f>IF($AT631="","",IFERROR(VALUE(RIGHT($AT631,3)),""))</f>
        <v/>
      </c>
      <c r="AZ631">
        <f>IF($U631="","",IFERROR(IF(ISNUMBER($U631),$U631,DATEVALUE(TRIM($U631))),""))</f>
        <v/>
      </c>
      <c r="BA631">
        <f>IF($AZ631="","",IF(MONTH($AZ631)&gt;=12,"Cold Winter",IF(MONTH($AZ631)&gt;=10,"Post-Monsoon",IF(MONTH($AZ631)&gt;=6,"Hot Humid",IF(MONTH($AZ631)&gt;=3,"Hot Dry","Cold Winter")))))</f>
        <v/>
      </c>
      <c r="BB631">
        <f>IF($AU631="","",IFERROR(VLOOKUP($AU631,DECODE!$A$3:$C$8,2,FALSE),"?"))</f>
        <v/>
      </c>
      <c r="BC631">
        <f>IF($P631="","",UPPER(TRIM(LEFT($P631&amp;",",FIND(",",$P631&amp;",")-1))))</f>
        <v/>
      </c>
      <c r="BD631">
        <f>IF($BC631="","",MID($BC631,4,FIND("~",SUBSTITUTE($BC631,"-","~",2))-4))</f>
        <v/>
      </c>
      <c r="BE631">
        <f>IF($BC631="","",MID($BC631,FIND("~",SUBSTITUTE($BC631,"-","~",2))+1,FIND("~",SUBSTITUTE($BC631,"-","~",3))-FIND("~",SUBSTITUTE($BC631,"-","~",2))-1))</f>
        <v/>
      </c>
      <c r="BF631">
        <f>IF($BD631="","",IFERROR(VLOOKUP($BD631,DECODE!$A$3:$C$8,3,FALSE),"?"))</f>
        <v/>
      </c>
      <c r="BG631">
        <f>IF($BE631="","",IFERROR(VLOOKUP($BD631&amp;"-"&amp;$BE631,DECODE!$E$3:$F$21,2,FALSE),"?"))</f>
        <v/>
      </c>
      <c r="BH631">
        <f>IF($BC631="","",IFERROR(VALUE(RIGHT($BC631,3)),""))</f>
        <v/>
      </c>
      <c r="BI631">
        <f>IF($V631="","",IFERROR(IF(ISNUMBER($V631),$V631,DATEVALUE(TRIM($V631))),""))</f>
        <v/>
      </c>
      <c r="BJ631">
        <f>IF($BI631="","",IF(MONTH($BI631)&gt;=12,"Cold Winter",IF(MONTH($BI631)&gt;=10,"Post-Monsoon",IF(MONTH($BI631)&gt;=6,"Hot Humid",IF(MONTH($BI631)&gt;=3,"Hot Dry","Cold Winter")))))</f>
        <v/>
      </c>
      <c r="BK631">
        <f>IF($BD631="","",IFERROR(VLOOKUP($BD631,DECODE!$A$3:$C$8,2,FALSE),"?"))</f>
        <v/>
      </c>
      <c r="BL631">
        <f>IF($Q631="","",UPPER(TRIM(LEFT($Q631&amp;",",FIND(",",$Q631&amp;",")-1))))</f>
        <v/>
      </c>
      <c r="BM631">
        <f>IF($BL631="","",MID($BL631,4,FIND("~",SUBSTITUTE($BL631,"-","~",2))-4))</f>
        <v/>
      </c>
      <c r="BN631">
        <f>IF($BL631="","",MID($BL631,FIND("~",SUBSTITUTE($BL631,"-","~",2))+1,FIND("~",SUBSTITUTE($BL631,"-","~",3))-FIND("~",SUBSTITUTE($BL631,"-","~",2))-1))</f>
        <v/>
      </c>
      <c r="BO631">
        <f>IF($BM631="","",IFERROR(VLOOKUP($BM631,DECODE!$A$3:$C$8,3,FALSE),"?"))</f>
        <v/>
      </c>
      <c r="BP631">
        <f>IF($BN631="","",IFERROR(VLOOKUP($BM631&amp;"-"&amp;$BN631,DECODE!$E$3:$F$21,2,FALSE),"?"))</f>
        <v/>
      </c>
      <c r="BQ631">
        <f>IF($BL631="","",IFERROR(VALUE(RIGHT($BL631,3)),""))</f>
        <v/>
      </c>
      <c r="BR631">
        <f>IF($W631="","",IFERROR(IF(ISNUMBER($W631),$W631,DATEVALUE(TRIM($W631))),""))</f>
        <v/>
      </c>
      <c r="BS631">
        <f>IF($BR631="","",IF(MONTH($BR631)&gt;=12,"Cold Winter",IF(MONTH($BR631)&gt;=10,"Post-Monsoon",IF(MONTH($BR631)&gt;=6,"Hot Humid",IF(MONTH($BR631)&gt;=3,"Hot Dry","Cold Winter")))))</f>
        <v/>
      </c>
      <c r="BT631">
        <f>IF($BM631="","",IFERROR(VLOOKUP($BM631,DECODE!$A$3:$C$8,2,FALSE),"?"))</f>
        <v/>
      </c>
      <c r="BU631">
        <f>IF($R631="","",UPPER(TRIM(LEFT($R631&amp;",",FIND(",",$R631&amp;",")-1))))</f>
        <v/>
      </c>
      <c r="BV631">
        <f>IF($BU631="","",MID($BU631,4,FIND("~",SUBSTITUTE($BU631,"-","~",2))-4))</f>
        <v/>
      </c>
      <c r="BW631">
        <f>IF($BU631="","",MID($BU631,FIND("~",SUBSTITUTE($BU631,"-","~",2))+1,FIND("~",SUBSTITUTE($BU631,"-","~",3))-FIND("~",SUBSTITUTE($BU631,"-","~",2))-1))</f>
        <v/>
      </c>
      <c r="BX631">
        <f>IF($BV631="","",IFERROR(VLOOKUP($BV631,DECODE!$A$3:$C$8,3,FALSE),"?"))</f>
        <v/>
      </c>
      <c r="BY631">
        <f>IF($BW631="","",IFERROR(VLOOKUP($BV631&amp;"-"&amp;$BW631,DECODE!$E$3:$F$21,2,FALSE),"?"))</f>
        <v/>
      </c>
      <c r="BZ631">
        <f>IF($BU631="","",IFERROR(VALUE(RIGHT($BU631,3)),""))</f>
        <v/>
      </c>
      <c r="CA631">
        <f>IF($X631="","",IFERROR(IF(ISNUMBER($X631),$X631,DATEVALUE(TRIM($X631))),""))</f>
        <v/>
      </c>
      <c r="CB631">
        <f>IF($CA631="","",IF(MONTH($CA631)&gt;=12,"Cold Winter",IF(MONTH($CA631)&gt;=10,"Post-Monsoon",IF(MONTH($CA631)&gt;=6,"Hot Humid",IF(MONTH($CA631)&gt;=3,"Hot Dry","Cold Winter")))))</f>
        <v/>
      </c>
      <c r="CC631">
        <f>IF($BV631="","",IFERROR(VLOOKUP($BV631,DECODE!$A$3:$C$8,2,FALSE),"?"))</f>
        <v/>
      </c>
      <c r="CD631">
        <f>IF($S631="","",UPPER(TRIM(LEFT($S631&amp;",",FIND(",",$S631&amp;",")-1))))</f>
        <v/>
      </c>
      <c r="CE631">
        <f>IF($CD631="","",MID($CD631,4,FIND("~",SUBSTITUTE($CD631,"-","~",2))-4))</f>
        <v/>
      </c>
      <c r="CF631">
        <f>IF($CD631="","",MID($CD631,FIND("~",SUBSTITUTE($CD631,"-","~",2))+1,FIND("~",SUBSTITUTE($CD631,"-","~",3))-FIND("~",SUBSTITUTE($CD631,"-","~",2))-1))</f>
        <v/>
      </c>
      <c r="CG631">
        <f>IF($CE631="","",IFERROR(VLOOKUP($CE631,DECODE!$A$3:$C$8,3,FALSE),"?"))</f>
        <v/>
      </c>
      <c r="CH631">
        <f>IF($CF631="","",IFERROR(VLOOKUP($CE631&amp;"-"&amp;$CF631,DECODE!$E$3:$F$21,2,FALSE),"?"))</f>
        <v/>
      </c>
      <c r="CI631">
        <f>IF($CD631="","",IFERROR(VALUE(RIGHT($CD631,3)),""))</f>
        <v/>
      </c>
      <c r="CJ631">
        <f>IF($Y631="","",IFERROR(IF(ISNUMBER($Y631),$Y631,DATEVALUE(TRIM($Y631))),""))</f>
        <v/>
      </c>
      <c r="CK631">
        <f>IF($CJ631="","",IF(MONTH($CJ631)&gt;=12,"Cold Winter",IF(MONTH($CJ631)&gt;=10,"Post-Monsoon",IF(MONTH($CJ631)&gt;=6,"Hot Humid",IF(MONTH($CJ631)&gt;=3,"Hot Dry","Cold Winter")))))</f>
        <v/>
      </c>
      <c r="CL631">
        <f>IF($CE631="","",IFERROR(VLOOKUP($CE631,DECODE!$A$3:$C$8,2,FALSE),"?"))</f>
        <v/>
      </c>
      <c r="CM631">
        <f>IF($AN631="","",AN631)</f>
        <v/>
      </c>
      <c r="CN631">
        <f>IF($AO631="","",AO631)</f>
        <v/>
      </c>
      <c r="CO631">
        <f>IF($AP631="","",AP631)</f>
        <v/>
      </c>
      <c r="CP631">
        <f>IF($CM631="","",IF($CM631="Aloe Vera Gel","Aloe Vera Gel "&amp;$CO631&amp;"g",CN631&amp;" "&amp;$CO631&amp;"g"))</f>
        <v/>
      </c>
      <c r="CQ631">
        <f>IF($AT631="",0,1)</f>
        <v/>
      </c>
      <c r="CR631">
        <f>IF($CQ631=0,"",AW631)</f>
        <v/>
      </c>
      <c r="CS631">
        <f>IF($CQ631=0,"",AX631)</f>
        <v/>
      </c>
      <c r="CT631">
        <f>IF($CQ631=0,"",AY631)</f>
        <v/>
      </c>
      <c r="CU631">
        <f>IF($CR631="","",IF($CR631="Aloe Vera Gel","Aloe Vera Gel "&amp;$CT631&amp;"g",CS631&amp;" "&amp;$CT631&amp;"g"))</f>
        <v/>
      </c>
      <c r="CV631">
        <f>IF($CQ631=0,"",IF($CP631=$CU631,"Repeat Exact",IF($CT631&gt;$CO631,"Upsized",IF($CT631&lt;$CO631,"Downsized",IF($CM631&lt;&gt;$CR631,"Lateral","Same Size Diff Variant")))))</f>
        <v/>
      </c>
      <c r="CW631">
        <f>IF($CQ631=0,"",AZ631-AQ631)</f>
        <v/>
      </c>
      <c r="CX631">
        <f>IF($CQ631=0,0,IF(CS631=CN631,1,0))</f>
        <v/>
      </c>
      <c r="CY631">
        <f>IF($CQ631=0,0,IF(CR631=CM631,1,0))</f>
        <v/>
      </c>
      <c r="CZ631">
        <f>IF($A631="","",IF(AND(IF(DASHBOARD!$C$4="All",TRUE,$CM631=DASHBOARD!$C$4),IF(DASHBOARD!$C$6="All",TRUE,$CP631=DASHBOARD!$C$6),IF(DASHBOARD!$C$8="All",TRUE,$AF631&gt;=DASHBOARD!$C$8),IF(DASHBOARD!$C$10="All",TRUE,$AF631&lt;=DASHBOARD!$C$10),IF(DASHBOARD!$C$12="All",TRUE,$AH631=VALUE(DASHBOARD!$C$12)),IF(DASHBOARD!$C$14="All",TRUE,$AJ631=DASHBOARD!$C$14)),1,0))</f>
        <v/>
      </c>
    </row>
    <row r="632">
      <c r="A632" t="n">
        <v>272275</v>
      </c>
      <c r="B632" t="inlineStr">
        <is>
          <t>Aloe Vera Gel</t>
        </is>
      </c>
      <c r="H632" t="inlineStr">
        <is>
          <t>Aloe Vera Gel - 80 gms</t>
        </is>
      </c>
      <c r="N632" t="inlineStr">
        <is>
          <t>FC-HG-PA-080</t>
        </is>
      </c>
      <c r="T632" t="inlineStr">
        <is>
          <t>Jun 7, 2025</t>
        </is>
      </c>
      <c r="AE632" t="inlineStr">
        <is>
          <t>Pune</t>
        </is>
      </c>
      <c r="AF632" t="inlineStr">
        <is>
          <t>2025-06</t>
        </is>
      </c>
      <c r="AG632" t="n">
        <v>6</v>
      </c>
      <c r="AH632" t="n">
        <v>1</v>
      </c>
      <c r="AI632" t="n">
        <v>0</v>
      </c>
      <c r="AJ632">
        <f>IF($AE632="","",IFERROR(VLOOKUP(TRIM($AE632),DECODE!$H$3:$I$60,2,FALSE),"Rest of India"))</f>
        <v/>
      </c>
      <c r="AK632">
        <f>IF($N632="","",UPPER(TRIM(LEFT($N632&amp;",",FIND(",",$N632&amp;",")-1))))</f>
        <v/>
      </c>
      <c r="AL632">
        <f>IF($AK632="","",MID($AK632,4,FIND("~",SUBSTITUTE($AK632,"-","~",2))-4))</f>
        <v/>
      </c>
      <c r="AM632">
        <f>IF($AK632="","",MID($AK632,FIND("~",SUBSTITUTE($AK632,"-","~",2))+1,FIND("~",SUBSTITUTE($AK632,"-","~",3))-FIND("~",SUBSTITUTE($AK632,"-","~",2))-1))</f>
        <v/>
      </c>
      <c r="AN632">
        <f>IF($AL632="","",IFERROR(VLOOKUP($AL632,DECODE!$A$3:$C$8,3,FALSE),"?"))</f>
        <v/>
      </c>
      <c r="AO632">
        <f>IF($AM632="","",IFERROR(VLOOKUP($AL632&amp;"-"&amp;$AM632,DECODE!$E$3:$F$21,2,FALSE),"?"))</f>
        <v/>
      </c>
      <c r="AP632">
        <f>IF($AK632="","",IFERROR(VALUE(RIGHT($AK632,3)),""))</f>
        <v/>
      </c>
      <c r="AQ632">
        <f>IF($T632="","",IFERROR(IF(ISNUMBER($T632),$T632,DATEVALUE(TRIM($T632))),""))</f>
        <v/>
      </c>
      <c r="AR632">
        <f>IF($AQ632="","",IF(MONTH($AQ632)&gt;=12,"Cold Winter",IF(MONTH($AQ632)&gt;=10,"Post-Monsoon",IF(MONTH($AQ632)&gt;=6,"Hot Humid",IF(MONTH($AQ632)&gt;=3,"Hot Dry","Cold Winter")))))</f>
        <v/>
      </c>
      <c r="AS632">
        <f>IF($AL632="","",IFERROR(VLOOKUP($AL632,DECODE!$A$3:$C$8,2,FALSE),"?"))</f>
        <v/>
      </c>
      <c r="AT632">
        <f>IF($O632="","",UPPER(TRIM(LEFT($O632&amp;",",FIND(",",$O632&amp;",")-1))))</f>
        <v/>
      </c>
      <c r="AU632">
        <f>IF($AT632="","",MID($AT632,4,FIND("~",SUBSTITUTE($AT632,"-","~",2))-4))</f>
        <v/>
      </c>
      <c r="AV632">
        <f>IF($AT632="","",MID($AT632,FIND("~",SUBSTITUTE($AT632,"-","~",2))+1,FIND("~",SUBSTITUTE($AT632,"-","~",3))-FIND("~",SUBSTITUTE($AT632,"-","~",2))-1))</f>
        <v/>
      </c>
      <c r="AW632">
        <f>IF($AU632="","",IFERROR(VLOOKUP($AU632,DECODE!$A$3:$C$8,3,FALSE),"?"))</f>
        <v/>
      </c>
      <c r="AX632">
        <f>IF($AV632="","",IFERROR(VLOOKUP($AU632&amp;"-"&amp;$AV632,DECODE!$E$3:$F$21,2,FALSE),"?"))</f>
        <v/>
      </c>
      <c r="AY632">
        <f>IF($AT632="","",IFERROR(VALUE(RIGHT($AT632,3)),""))</f>
        <v/>
      </c>
      <c r="AZ632">
        <f>IF($U632="","",IFERROR(IF(ISNUMBER($U632),$U632,DATEVALUE(TRIM($U632))),""))</f>
        <v/>
      </c>
      <c r="BA632">
        <f>IF($AZ632="","",IF(MONTH($AZ632)&gt;=12,"Cold Winter",IF(MONTH($AZ632)&gt;=10,"Post-Monsoon",IF(MONTH($AZ632)&gt;=6,"Hot Humid",IF(MONTH($AZ632)&gt;=3,"Hot Dry","Cold Winter")))))</f>
        <v/>
      </c>
      <c r="BB632">
        <f>IF($AU632="","",IFERROR(VLOOKUP($AU632,DECODE!$A$3:$C$8,2,FALSE),"?"))</f>
        <v/>
      </c>
      <c r="BC632">
        <f>IF($P632="","",UPPER(TRIM(LEFT($P632&amp;",",FIND(",",$P632&amp;",")-1))))</f>
        <v/>
      </c>
      <c r="BD632">
        <f>IF($BC632="","",MID($BC632,4,FIND("~",SUBSTITUTE($BC632,"-","~",2))-4))</f>
        <v/>
      </c>
      <c r="BE632">
        <f>IF($BC632="","",MID($BC632,FIND("~",SUBSTITUTE($BC632,"-","~",2))+1,FIND("~",SUBSTITUTE($BC632,"-","~",3))-FIND("~",SUBSTITUTE($BC632,"-","~",2))-1))</f>
        <v/>
      </c>
      <c r="BF632">
        <f>IF($BD632="","",IFERROR(VLOOKUP($BD632,DECODE!$A$3:$C$8,3,FALSE),"?"))</f>
        <v/>
      </c>
      <c r="BG632">
        <f>IF($BE632="","",IFERROR(VLOOKUP($BD632&amp;"-"&amp;$BE632,DECODE!$E$3:$F$21,2,FALSE),"?"))</f>
        <v/>
      </c>
      <c r="BH632">
        <f>IF($BC632="","",IFERROR(VALUE(RIGHT($BC632,3)),""))</f>
        <v/>
      </c>
      <c r="BI632">
        <f>IF($V632="","",IFERROR(IF(ISNUMBER($V632),$V632,DATEVALUE(TRIM($V632))),""))</f>
        <v/>
      </c>
      <c r="BJ632">
        <f>IF($BI632="","",IF(MONTH($BI632)&gt;=12,"Cold Winter",IF(MONTH($BI632)&gt;=10,"Post-Monsoon",IF(MONTH($BI632)&gt;=6,"Hot Humid",IF(MONTH($BI632)&gt;=3,"Hot Dry","Cold Winter")))))</f>
        <v/>
      </c>
      <c r="BK632">
        <f>IF($BD632="","",IFERROR(VLOOKUP($BD632,DECODE!$A$3:$C$8,2,FALSE),"?"))</f>
        <v/>
      </c>
      <c r="BL632">
        <f>IF($Q632="","",UPPER(TRIM(LEFT($Q632&amp;",",FIND(",",$Q632&amp;",")-1))))</f>
        <v/>
      </c>
      <c r="BM632">
        <f>IF($BL632="","",MID($BL632,4,FIND("~",SUBSTITUTE($BL632,"-","~",2))-4))</f>
        <v/>
      </c>
      <c r="BN632">
        <f>IF($BL632="","",MID($BL632,FIND("~",SUBSTITUTE($BL632,"-","~",2))+1,FIND("~",SUBSTITUTE($BL632,"-","~",3))-FIND("~",SUBSTITUTE($BL632,"-","~",2))-1))</f>
        <v/>
      </c>
      <c r="BO632">
        <f>IF($BM632="","",IFERROR(VLOOKUP($BM632,DECODE!$A$3:$C$8,3,FALSE),"?"))</f>
        <v/>
      </c>
      <c r="BP632">
        <f>IF($BN632="","",IFERROR(VLOOKUP($BM632&amp;"-"&amp;$BN632,DECODE!$E$3:$F$21,2,FALSE),"?"))</f>
        <v/>
      </c>
      <c r="BQ632">
        <f>IF($BL632="","",IFERROR(VALUE(RIGHT($BL632,3)),""))</f>
        <v/>
      </c>
      <c r="BR632">
        <f>IF($W632="","",IFERROR(IF(ISNUMBER($W632),$W632,DATEVALUE(TRIM($W632))),""))</f>
        <v/>
      </c>
      <c r="BS632">
        <f>IF($BR632="","",IF(MONTH($BR632)&gt;=12,"Cold Winter",IF(MONTH($BR632)&gt;=10,"Post-Monsoon",IF(MONTH($BR632)&gt;=6,"Hot Humid",IF(MONTH($BR632)&gt;=3,"Hot Dry","Cold Winter")))))</f>
        <v/>
      </c>
      <c r="BT632">
        <f>IF($BM632="","",IFERROR(VLOOKUP($BM632,DECODE!$A$3:$C$8,2,FALSE),"?"))</f>
        <v/>
      </c>
      <c r="BU632">
        <f>IF($R632="","",UPPER(TRIM(LEFT($R632&amp;",",FIND(",",$R632&amp;",")-1))))</f>
        <v/>
      </c>
      <c r="BV632">
        <f>IF($BU632="","",MID($BU632,4,FIND("~",SUBSTITUTE($BU632,"-","~",2))-4))</f>
        <v/>
      </c>
      <c r="BW632">
        <f>IF($BU632="","",MID($BU632,FIND("~",SUBSTITUTE($BU632,"-","~",2))+1,FIND("~",SUBSTITUTE($BU632,"-","~",3))-FIND("~",SUBSTITUTE($BU632,"-","~",2))-1))</f>
        <v/>
      </c>
      <c r="BX632">
        <f>IF($BV632="","",IFERROR(VLOOKUP($BV632,DECODE!$A$3:$C$8,3,FALSE),"?"))</f>
        <v/>
      </c>
      <c r="BY632">
        <f>IF($BW632="","",IFERROR(VLOOKUP($BV632&amp;"-"&amp;$BW632,DECODE!$E$3:$F$21,2,FALSE),"?"))</f>
        <v/>
      </c>
      <c r="BZ632">
        <f>IF($BU632="","",IFERROR(VALUE(RIGHT($BU632,3)),""))</f>
        <v/>
      </c>
      <c r="CA632">
        <f>IF($X632="","",IFERROR(IF(ISNUMBER($X632),$X632,DATEVALUE(TRIM($X632))),""))</f>
        <v/>
      </c>
      <c r="CB632">
        <f>IF($CA632="","",IF(MONTH($CA632)&gt;=12,"Cold Winter",IF(MONTH($CA632)&gt;=10,"Post-Monsoon",IF(MONTH($CA632)&gt;=6,"Hot Humid",IF(MONTH($CA632)&gt;=3,"Hot Dry","Cold Winter")))))</f>
        <v/>
      </c>
      <c r="CC632">
        <f>IF($BV632="","",IFERROR(VLOOKUP($BV632,DECODE!$A$3:$C$8,2,FALSE),"?"))</f>
        <v/>
      </c>
      <c r="CD632">
        <f>IF($S632="","",UPPER(TRIM(LEFT($S632&amp;",",FIND(",",$S632&amp;",")-1))))</f>
        <v/>
      </c>
      <c r="CE632">
        <f>IF($CD632="","",MID($CD632,4,FIND("~",SUBSTITUTE($CD632,"-","~",2))-4))</f>
        <v/>
      </c>
      <c r="CF632">
        <f>IF($CD632="","",MID($CD632,FIND("~",SUBSTITUTE($CD632,"-","~",2))+1,FIND("~",SUBSTITUTE($CD632,"-","~",3))-FIND("~",SUBSTITUTE($CD632,"-","~",2))-1))</f>
        <v/>
      </c>
      <c r="CG632">
        <f>IF($CE632="","",IFERROR(VLOOKUP($CE632,DECODE!$A$3:$C$8,3,FALSE),"?"))</f>
        <v/>
      </c>
      <c r="CH632">
        <f>IF($CF632="","",IFERROR(VLOOKUP($CE632&amp;"-"&amp;$CF632,DECODE!$E$3:$F$21,2,FALSE),"?"))</f>
        <v/>
      </c>
      <c r="CI632">
        <f>IF($CD632="","",IFERROR(VALUE(RIGHT($CD632,3)),""))</f>
        <v/>
      </c>
      <c r="CJ632">
        <f>IF($Y632="","",IFERROR(IF(ISNUMBER($Y632),$Y632,DATEVALUE(TRIM($Y632))),""))</f>
        <v/>
      </c>
      <c r="CK632">
        <f>IF($CJ632="","",IF(MONTH($CJ632)&gt;=12,"Cold Winter",IF(MONTH($CJ632)&gt;=10,"Post-Monsoon",IF(MONTH($CJ632)&gt;=6,"Hot Humid",IF(MONTH($CJ632)&gt;=3,"Hot Dry","Cold Winter")))))</f>
        <v/>
      </c>
      <c r="CL632">
        <f>IF($CE632="","",IFERROR(VLOOKUP($CE632,DECODE!$A$3:$C$8,2,FALSE),"?"))</f>
        <v/>
      </c>
      <c r="CM632">
        <f>IF($AN632="","",AN632)</f>
        <v/>
      </c>
      <c r="CN632">
        <f>IF($AO632="","",AO632)</f>
        <v/>
      </c>
      <c r="CO632">
        <f>IF($AP632="","",AP632)</f>
        <v/>
      </c>
      <c r="CP632">
        <f>IF($CM632="","",IF($CM632="Aloe Vera Gel","Aloe Vera Gel "&amp;$CO632&amp;"g",CN632&amp;" "&amp;$CO632&amp;"g"))</f>
        <v/>
      </c>
      <c r="CQ632">
        <f>IF($AT632="",0,1)</f>
        <v/>
      </c>
      <c r="CR632">
        <f>IF($CQ632=0,"",AW632)</f>
        <v/>
      </c>
      <c r="CS632">
        <f>IF($CQ632=0,"",AX632)</f>
        <v/>
      </c>
      <c r="CT632">
        <f>IF($CQ632=0,"",AY632)</f>
        <v/>
      </c>
      <c r="CU632">
        <f>IF($CR632="","",IF($CR632="Aloe Vera Gel","Aloe Vera Gel "&amp;$CT632&amp;"g",CS632&amp;" "&amp;$CT632&amp;"g"))</f>
        <v/>
      </c>
      <c r="CV632">
        <f>IF($CQ632=0,"",IF($CP632=$CU632,"Repeat Exact",IF($CT632&gt;$CO632,"Upsized",IF($CT632&lt;$CO632,"Downsized",IF($CM632&lt;&gt;$CR632,"Lateral","Same Size Diff Variant")))))</f>
        <v/>
      </c>
      <c r="CW632">
        <f>IF($CQ632=0,"",AZ632-AQ632)</f>
        <v/>
      </c>
      <c r="CX632">
        <f>IF($CQ632=0,0,IF(CS632=CN632,1,0))</f>
        <v/>
      </c>
      <c r="CY632">
        <f>IF($CQ632=0,0,IF(CR632=CM632,1,0))</f>
        <v/>
      </c>
      <c r="CZ632">
        <f>IF($A632="","",IF(AND(IF(DASHBOARD!$C$4="All",TRUE,$CM632=DASHBOARD!$C$4),IF(DASHBOARD!$C$6="All",TRUE,$CP632=DASHBOARD!$C$6),IF(DASHBOARD!$C$8="All",TRUE,$AF632&gt;=DASHBOARD!$C$8),IF(DASHBOARD!$C$10="All",TRUE,$AF632&lt;=DASHBOARD!$C$10),IF(DASHBOARD!$C$12="All",TRUE,$AH632=VALUE(DASHBOARD!$C$12)),IF(DASHBOARD!$C$14="All",TRUE,$AJ632=DASHBOARD!$C$14)),1,0))</f>
        <v/>
      </c>
    </row>
    <row r="633">
      <c r="A633" t="n">
        <v>273393</v>
      </c>
      <c r="B633" t="inlineStr">
        <is>
          <t>Face Malai</t>
        </is>
      </c>
      <c r="H633" t="inlineStr">
        <is>
          <t>Flax Walnut (Cold) 35+ Face Malai</t>
        </is>
      </c>
      <c r="N633" t="inlineStr">
        <is>
          <t>FC-CWDM-FW-030</t>
        </is>
      </c>
      <c r="T633" t="inlineStr">
        <is>
          <t>Nov 16, 2025</t>
        </is>
      </c>
      <c r="AE633" t="inlineStr">
        <is>
          <t>Visakhapatnam</t>
        </is>
      </c>
      <c r="AF633" t="inlineStr">
        <is>
          <t>2025-11</t>
        </is>
      </c>
      <c r="AG633" t="n">
        <v>11</v>
      </c>
      <c r="AH633" t="n">
        <v>1</v>
      </c>
      <c r="AI633" t="n">
        <v>0</v>
      </c>
      <c r="AJ633">
        <f>IF($AE633="","",IFERROR(VLOOKUP(TRIM($AE633),DECODE!$H$3:$I$60,2,FALSE),"Rest of India"))</f>
        <v/>
      </c>
      <c r="AK633">
        <f>IF($N633="","",UPPER(TRIM(LEFT($N633&amp;",",FIND(",",$N633&amp;",")-1))))</f>
        <v/>
      </c>
      <c r="AL633">
        <f>IF($AK633="","",MID($AK633,4,FIND("~",SUBSTITUTE($AK633,"-","~",2))-4))</f>
        <v/>
      </c>
      <c r="AM633">
        <f>IF($AK633="","",MID($AK633,FIND("~",SUBSTITUTE($AK633,"-","~",2))+1,FIND("~",SUBSTITUTE($AK633,"-","~",3))-FIND("~",SUBSTITUTE($AK633,"-","~",2))-1))</f>
        <v/>
      </c>
      <c r="AN633">
        <f>IF($AL633="","",IFERROR(VLOOKUP($AL633,DECODE!$A$3:$C$8,3,FALSE),"?"))</f>
        <v/>
      </c>
      <c r="AO633">
        <f>IF($AM633="","",IFERROR(VLOOKUP($AL633&amp;"-"&amp;$AM633,DECODE!$E$3:$F$21,2,FALSE),"?"))</f>
        <v/>
      </c>
      <c r="AP633">
        <f>IF($AK633="","",IFERROR(VALUE(RIGHT($AK633,3)),""))</f>
        <v/>
      </c>
      <c r="AQ633">
        <f>IF($T633="","",IFERROR(IF(ISNUMBER($T633),$T633,DATEVALUE(TRIM($T633))),""))</f>
        <v/>
      </c>
      <c r="AR633">
        <f>IF($AQ633="","",IF(MONTH($AQ633)&gt;=12,"Cold Winter",IF(MONTH($AQ633)&gt;=10,"Post-Monsoon",IF(MONTH($AQ633)&gt;=6,"Hot Humid",IF(MONTH($AQ633)&gt;=3,"Hot Dry","Cold Winter")))))</f>
        <v/>
      </c>
      <c r="AS633">
        <f>IF($AL633="","",IFERROR(VLOOKUP($AL633,DECODE!$A$3:$C$8,2,FALSE),"?"))</f>
        <v/>
      </c>
      <c r="AT633">
        <f>IF($O633="","",UPPER(TRIM(LEFT($O633&amp;",",FIND(",",$O633&amp;",")-1))))</f>
        <v/>
      </c>
      <c r="AU633">
        <f>IF($AT633="","",MID($AT633,4,FIND("~",SUBSTITUTE($AT633,"-","~",2))-4))</f>
        <v/>
      </c>
      <c r="AV633">
        <f>IF($AT633="","",MID($AT633,FIND("~",SUBSTITUTE($AT633,"-","~",2))+1,FIND("~",SUBSTITUTE($AT633,"-","~",3))-FIND("~",SUBSTITUTE($AT633,"-","~",2))-1))</f>
        <v/>
      </c>
      <c r="AW633">
        <f>IF($AU633="","",IFERROR(VLOOKUP($AU633,DECODE!$A$3:$C$8,3,FALSE),"?"))</f>
        <v/>
      </c>
      <c r="AX633">
        <f>IF($AV633="","",IFERROR(VLOOKUP($AU633&amp;"-"&amp;$AV633,DECODE!$E$3:$F$21,2,FALSE),"?"))</f>
        <v/>
      </c>
      <c r="AY633">
        <f>IF($AT633="","",IFERROR(VALUE(RIGHT($AT633,3)),""))</f>
        <v/>
      </c>
      <c r="AZ633">
        <f>IF($U633="","",IFERROR(IF(ISNUMBER($U633),$U633,DATEVALUE(TRIM($U633))),""))</f>
        <v/>
      </c>
      <c r="BA633">
        <f>IF($AZ633="","",IF(MONTH($AZ633)&gt;=12,"Cold Winter",IF(MONTH($AZ633)&gt;=10,"Post-Monsoon",IF(MONTH($AZ633)&gt;=6,"Hot Humid",IF(MONTH($AZ633)&gt;=3,"Hot Dry","Cold Winter")))))</f>
        <v/>
      </c>
      <c r="BB633">
        <f>IF($AU633="","",IFERROR(VLOOKUP($AU633,DECODE!$A$3:$C$8,2,FALSE),"?"))</f>
        <v/>
      </c>
      <c r="BC633">
        <f>IF($P633="","",UPPER(TRIM(LEFT($P633&amp;",",FIND(",",$P633&amp;",")-1))))</f>
        <v/>
      </c>
      <c r="BD633">
        <f>IF($BC633="","",MID($BC633,4,FIND("~",SUBSTITUTE($BC633,"-","~",2))-4))</f>
        <v/>
      </c>
      <c r="BE633">
        <f>IF($BC633="","",MID($BC633,FIND("~",SUBSTITUTE($BC633,"-","~",2))+1,FIND("~",SUBSTITUTE($BC633,"-","~",3))-FIND("~",SUBSTITUTE($BC633,"-","~",2))-1))</f>
        <v/>
      </c>
      <c r="BF633">
        <f>IF($BD633="","",IFERROR(VLOOKUP($BD633,DECODE!$A$3:$C$8,3,FALSE),"?"))</f>
        <v/>
      </c>
      <c r="BG633">
        <f>IF($BE633="","",IFERROR(VLOOKUP($BD633&amp;"-"&amp;$BE633,DECODE!$E$3:$F$21,2,FALSE),"?"))</f>
        <v/>
      </c>
      <c r="BH633">
        <f>IF($BC633="","",IFERROR(VALUE(RIGHT($BC633,3)),""))</f>
        <v/>
      </c>
      <c r="BI633">
        <f>IF($V633="","",IFERROR(IF(ISNUMBER($V633),$V633,DATEVALUE(TRIM($V633))),""))</f>
        <v/>
      </c>
      <c r="BJ633">
        <f>IF($BI633="","",IF(MONTH($BI633)&gt;=12,"Cold Winter",IF(MONTH($BI633)&gt;=10,"Post-Monsoon",IF(MONTH($BI633)&gt;=6,"Hot Humid",IF(MONTH($BI633)&gt;=3,"Hot Dry","Cold Winter")))))</f>
        <v/>
      </c>
      <c r="BK633">
        <f>IF($BD633="","",IFERROR(VLOOKUP($BD633,DECODE!$A$3:$C$8,2,FALSE),"?"))</f>
        <v/>
      </c>
      <c r="BL633">
        <f>IF($Q633="","",UPPER(TRIM(LEFT($Q633&amp;",",FIND(",",$Q633&amp;",")-1))))</f>
        <v/>
      </c>
      <c r="BM633">
        <f>IF($BL633="","",MID($BL633,4,FIND("~",SUBSTITUTE($BL633,"-","~",2))-4))</f>
        <v/>
      </c>
      <c r="BN633">
        <f>IF($BL633="","",MID($BL633,FIND("~",SUBSTITUTE($BL633,"-","~",2))+1,FIND("~",SUBSTITUTE($BL633,"-","~",3))-FIND("~",SUBSTITUTE($BL633,"-","~",2))-1))</f>
        <v/>
      </c>
      <c r="BO633">
        <f>IF($BM633="","",IFERROR(VLOOKUP($BM633,DECODE!$A$3:$C$8,3,FALSE),"?"))</f>
        <v/>
      </c>
      <c r="BP633">
        <f>IF($BN633="","",IFERROR(VLOOKUP($BM633&amp;"-"&amp;$BN633,DECODE!$E$3:$F$21,2,FALSE),"?"))</f>
        <v/>
      </c>
      <c r="BQ633">
        <f>IF($BL633="","",IFERROR(VALUE(RIGHT($BL633,3)),""))</f>
        <v/>
      </c>
      <c r="BR633">
        <f>IF($W633="","",IFERROR(IF(ISNUMBER($W633),$W633,DATEVALUE(TRIM($W633))),""))</f>
        <v/>
      </c>
      <c r="BS633">
        <f>IF($BR633="","",IF(MONTH($BR633)&gt;=12,"Cold Winter",IF(MONTH($BR633)&gt;=10,"Post-Monsoon",IF(MONTH($BR633)&gt;=6,"Hot Humid",IF(MONTH($BR633)&gt;=3,"Hot Dry","Cold Winter")))))</f>
        <v/>
      </c>
      <c r="BT633">
        <f>IF($BM633="","",IFERROR(VLOOKUP($BM633,DECODE!$A$3:$C$8,2,FALSE),"?"))</f>
        <v/>
      </c>
      <c r="BU633">
        <f>IF($R633="","",UPPER(TRIM(LEFT($R633&amp;",",FIND(",",$R633&amp;",")-1))))</f>
        <v/>
      </c>
      <c r="BV633">
        <f>IF($BU633="","",MID($BU633,4,FIND("~",SUBSTITUTE($BU633,"-","~",2))-4))</f>
        <v/>
      </c>
      <c r="BW633">
        <f>IF($BU633="","",MID($BU633,FIND("~",SUBSTITUTE($BU633,"-","~",2))+1,FIND("~",SUBSTITUTE($BU633,"-","~",3))-FIND("~",SUBSTITUTE($BU633,"-","~",2))-1))</f>
        <v/>
      </c>
      <c r="BX633">
        <f>IF($BV633="","",IFERROR(VLOOKUP($BV633,DECODE!$A$3:$C$8,3,FALSE),"?"))</f>
        <v/>
      </c>
      <c r="BY633">
        <f>IF($BW633="","",IFERROR(VLOOKUP($BV633&amp;"-"&amp;$BW633,DECODE!$E$3:$F$21,2,FALSE),"?"))</f>
        <v/>
      </c>
      <c r="BZ633">
        <f>IF($BU633="","",IFERROR(VALUE(RIGHT($BU633,3)),""))</f>
        <v/>
      </c>
      <c r="CA633">
        <f>IF($X633="","",IFERROR(IF(ISNUMBER($X633),$X633,DATEVALUE(TRIM($X633))),""))</f>
        <v/>
      </c>
      <c r="CB633">
        <f>IF($CA633="","",IF(MONTH($CA633)&gt;=12,"Cold Winter",IF(MONTH($CA633)&gt;=10,"Post-Monsoon",IF(MONTH($CA633)&gt;=6,"Hot Humid",IF(MONTH($CA633)&gt;=3,"Hot Dry","Cold Winter")))))</f>
        <v/>
      </c>
      <c r="CC633">
        <f>IF($BV633="","",IFERROR(VLOOKUP($BV633,DECODE!$A$3:$C$8,2,FALSE),"?"))</f>
        <v/>
      </c>
      <c r="CD633">
        <f>IF($S633="","",UPPER(TRIM(LEFT($S633&amp;",",FIND(",",$S633&amp;",")-1))))</f>
        <v/>
      </c>
      <c r="CE633">
        <f>IF($CD633="","",MID($CD633,4,FIND("~",SUBSTITUTE($CD633,"-","~",2))-4))</f>
        <v/>
      </c>
      <c r="CF633">
        <f>IF($CD633="","",MID($CD633,FIND("~",SUBSTITUTE($CD633,"-","~",2))+1,FIND("~",SUBSTITUTE($CD633,"-","~",3))-FIND("~",SUBSTITUTE($CD633,"-","~",2))-1))</f>
        <v/>
      </c>
      <c r="CG633">
        <f>IF($CE633="","",IFERROR(VLOOKUP($CE633,DECODE!$A$3:$C$8,3,FALSE),"?"))</f>
        <v/>
      </c>
      <c r="CH633">
        <f>IF($CF633="","",IFERROR(VLOOKUP($CE633&amp;"-"&amp;$CF633,DECODE!$E$3:$F$21,2,FALSE),"?"))</f>
        <v/>
      </c>
      <c r="CI633">
        <f>IF($CD633="","",IFERROR(VALUE(RIGHT($CD633,3)),""))</f>
        <v/>
      </c>
      <c r="CJ633">
        <f>IF($Y633="","",IFERROR(IF(ISNUMBER($Y633),$Y633,DATEVALUE(TRIM($Y633))),""))</f>
        <v/>
      </c>
      <c r="CK633">
        <f>IF($CJ633="","",IF(MONTH($CJ633)&gt;=12,"Cold Winter",IF(MONTH($CJ633)&gt;=10,"Post-Monsoon",IF(MONTH($CJ633)&gt;=6,"Hot Humid",IF(MONTH($CJ633)&gt;=3,"Hot Dry","Cold Winter")))))</f>
        <v/>
      </c>
      <c r="CL633">
        <f>IF($CE633="","",IFERROR(VLOOKUP($CE633,DECODE!$A$3:$C$8,2,FALSE),"?"))</f>
        <v/>
      </c>
      <c r="CM633">
        <f>IF($AN633="","",AN633)</f>
        <v/>
      </c>
      <c r="CN633">
        <f>IF($AO633="","",AO633)</f>
        <v/>
      </c>
      <c r="CO633">
        <f>IF($AP633="","",AP633)</f>
        <v/>
      </c>
      <c r="CP633">
        <f>IF($CM633="","",IF($CM633="Aloe Vera Gel","Aloe Vera Gel "&amp;$CO633&amp;"g",CN633&amp;" "&amp;$CO633&amp;"g"))</f>
        <v/>
      </c>
      <c r="CQ633">
        <f>IF($AT633="",0,1)</f>
        <v/>
      </c>
      <c r="CR633">
        <f>IF($CQ633=0,"",AW633)</f>
        <v/>
      </c>
      <c r="CS633">
        <f>IF($CQ633=0,"",AX633)</f>
        <v/>
      </c>
      <c r="CT633">
        <f>IF($CQ633=0,"",AY633)</f>
        <v/>
      </c>
      <c r="CU633">
        <f>IF($CR633="","",IF($CR633="Aloe Vera Gel","Aloe Vera Gel "&amp;$CT633&amp;"g",CS633&amp;" "&amp;$CT633&amp;"g"))</f>
        <v/>
      </c>
      <c r="CV633">
        <f>IF($CQ633=0,"",IF($CP633=$CU633,"Repeat Exact",IF($CT633&gt;$CO633,"Upsized",IF($CT633&lt;$CO633,"Downsized",IF($CM633&lt;&gt;$CR633,"Lateral","Same Size Diff Variant")))))</f>
        <v/>
      </c>
      <c r="CW633">
        <f>IF($CQ633=0,"",AZ633-AQ633)</f>
        <v/>
      </c>
      <c r="CX633">
        <f>IF($CQ633=0,0,IF(CS633=CN633,1,0))</f>
        <v/>
      </c>
      <c r="CY633">
        <f>IF($CQ633=0,0,IF(CR633=CM633,1,0))</f>
        <v/>
      </c>
      <c r="CZ633">
        <f>IF($A633="","",IF(AND(IF(DASHBOARD!$C$4="All",TRUE,$CM633=DASHBOARD!$C$4),IF(DASHBOARD!$C$6="All",TRUE,$CP633=DASHBOARD!$C$6),IF(DASHBOARD!$C$8="All",TRUE,$AF633&gt;=DASHBOARD!$C$8),IF(DASHBOARD!$C$10="All",TRUE,$AF633&lt;=DASHBOARD!$C$10),IF(DASHBOARD!$C$12="All",TRUE,$AH633=VALUE(DASHBOARD!$C$12)),IF(DASHBOARD!$C$14="All",TRUE,$AJ633=DASHBOARD!$C$14)),1,0))</f>
        <v/>
      </c>
    </row>
    <row r="634">
      <c r="A634" t="n">
        <v>273424</v>
      </c>
      <c r="B634" t="inlineStr">
        <is>
          <t>Face Malai</t>
        </is>
      </c>
      <c r="H634" t="inlineStr">
        <is>
          <t>Honey Multi-Nut (Dry &amp; Peeling Skin) Face Malai</t>
        </is>
      </c>
      <c r="N634" t="inlineStr">
        <is>
          <t>FC-DM-DP-030</t>
        </is>
      </c>
      <c r="T634" t="inlineStr">
        <is>
          <t>Dec 3, 2025</t>
        </is>
      </c>
      <c r="AE634" t="inlineStr">
        <is>
          <t>Navi Mumbai</t>
        </is>
      </c>
      <c r="AF634" t="inlineStr">
        <is>
          <t>2025-12</t>
        </is>
      </c>
      <c r="AG634" t="n">
        <v>12</v>
      </c>
      <c r="AH634" t="n">
        <v>1</v>
      </c>
      <c r="AI634" t="n">
        <v>0</v>
      </c>
      <c r="AJ634">
        <f>IF($AE634="","",IFERROR(VLOOKUP(TRIM($AE634),DECODE!$H$3:$I$60,2,FALSE),"Rest of India"))</f>
        <v/>
      </c>
      <c r="AK634">
        <f>IF($N634="","",UPPER(TRIM(LEFT($N634&amp;",",FIND(",",$N634&amp;",")-1))))</f>
        <v/>
      </c>
      <c r="AL634">
        <f>IF($AK634="","",MID($AK634,4,FIND("~",SUBSTITUTE($AK634,"-","~",2))-4))</f>
        <v/>
      </c>
      <c r="AM634">
        <f>IF($AK634="","",MID($AK634,FIND("~",SUBSTITUTE($AK634,"-","~",2))+1,FIND("~",SUBSTITUTE($AK634,"-","~",3))-FIND("~",SUBSTITUTE($AK634,"-","~",2))-1))</f>
        <v/>
      </c>
      <c r="AN634">
        <f>IF($AL634="","",IFERROR(VLOOKUP($AL634,DECODE!$A$3:$C$8,3,FALSE),"?"))</f>
        <v/>
      </c>
      <c r="AO634">
        <f>IF($AM634="","",IFERROR(VLOOKUP($AL634&amp;"-"&amp;$AM634,DECODE!$E$3:$F$21,2,FALSE),"?"))</f>
        <v/>
      </c>
      <c r="AP634">
        <f>IF($AK634="","",IFERROR(VALUE(RIGHT($AK634,3)),""))</f>
        <v/>
      </c>
      <c r="AQ634">
        <f>IF($T634="","",IFERROR(IF(ISNUMBER($T634),$T634,DATEVALUE(TRIM($T634))),""))</f>
        <v/>
      </c>
      <c r="AR634">
        <f>IF($AQ634="","",IF(MONTH($AQ634)&gt;=12,"Cold Winter",IF(MONTH($AQ634)&gt;=10,"Post-Monsoon",IF(MONTH($AQ634)&gt;=6,"Hot Humid",IF(MONTH($AQ634)&gt;=3,"Hot Dry","Cold Winter")))))</f>
        <v/>
      </c>
      <c r="AS634">
        <f>IF($AL634="","",IFERROR(VLOOKUP($AL634,DECODE!$A$3:$C$8,2,FALSE),"?"))</f>
        <v/>
      </c>
      <c r="AT634">
        <f>IF($O634="","",UPPER(TRIM(LEFT($O634&amp;",",FIND(",",$O634&amp;",")-1))))</f>
        <v/>
      </c>
      <c r="AU634">
        <f>IF($AT634="","",MID($AT634,4,FIND("~",SUBSTITUTE($AT634,"-","~",2))-4))</f>
        <v/>
      </c>
      <c r="AV634">
        <f>IF($AT634="","",MID($AT634,FIND("~",SUBSTITUTE($AT634,"-","~",2))+1,FIND("~",SUBSTITUTE($AT634,"-","~",3))-FIND("~",SUBSTITUTE($AT634,"-","~",2))-1))</f>
        <v/>
      </c>
      <c r="AW634">
        <f>IF($AU634="","",IFERROR(VLOOKUP($AU634,DECODE!$A$3:$C$8,3,FALSE),"?"))</f>
        <v/>
      </c>
      <c r="AX634">
        <f>IF($AV634="","",IFERROR(VLOOKUP($AU634&amp;"-"&amp;$AV634,DECODE!$E$3:$F$21,2,FALSE),"?"))</f>
        <v/>
      </c>
      <c r="AY634">
        <f>IF($AT634="","",IFERROR(VALUE(RIGHT($AT634,3)),""))</f>
        <v/>
      </c>
      <c r="AZ634">
        <f>IF($U634="","",IFERROR(IF(ISNUMBER($U634),$U634,DATEVALUE(TRIM($U634))),""))</f>
        <v/>
      </c>
      <c r="BA634">
        <f>IF($AZ634="","",IF(MONTH($AZ634)&gt;=12,"Cold Winter",IF(MONTH($AZ634)&gt;=10,"Post-Monsoon",IF(MONTH($AZ634)&gt;=6,"Hot Humid",IF(MONTH($AZ634)&gt;=3,"Hot Dry","Cold Winter")))))</f>
        <v/>
      </c>
      <c r="BB634">
        <f>IF($AU634="","",IFERROR(VLOOKUP($AU634,DECODE!$A$3:$C$8,2,FALSE),"?"))</f>
        <v/>
      </c>
      <c r="BC634">
        <f>IF($P634="","",UPPER(TRIM(LEFT($P634&amp;",",FIND(",",$P634&amp;",")-1))))</f>
        <v/>
      </c>
      <c r="BD634">
        <f>IF($BC634="","",MID($BC634,4,FIND("~",SUBSTITUTE($BC634,"-","~",2))-4))</f>
        <v/>
      </c>
      <c r="BE634">
        <f>IF($BC634="","",MID($BC634,FIND("~",SUBSTITUTE($BC634,"-","~",2))+1,FIND("~",SUBSTITUTE($BC634,"-","~",3))-FIND("~",SUBSTITUTE($BC634,"-","~",2))-1))</f>
        <v/>
      </c>
      <c r="BF634">
        <f>IF($BD634="","",IFERROR(VLOOKUP($BD634,DECODE!$A$3:$C$8,3,FALSE),"?"))</f>
        <v/>
      </c>
      <c r="BG634">
        <f>IF($BE634="","",IFERROR(VLOOKUP($BD634&amp;"-"&amp;$BE634,DECODE!$E$3:$F$21,2,FALSE),"?"))</f>
        <v/>
      </c>
      <c r="BH634">
        <f>IF($BC634="","",IFERROR(VALUE(RIGHT($BC634,3)),""))</f>
        <v/>
      </c>
      <c r="BI634">
        <f>IF($V634="","",IFERROR(IF(ISNUMBER($V634),$V634,DATEVALUE(TRIM($V634))),""))</f>
        <v/>
      </c>
      <c r="BJ634">
        <f>IF($BI634="","",IF(MONTH($BI634)&gt;=12,"Cold Winter",IF(MONTH($BI634)&gt;=10,"Post-Monsoon",IF(MONTH($BI634)&gt;=6,"Hot Humid",IF(MONTH($BI634)&gt;=3,"Hot Dry","Cold Winter")))))</f>
        <v/>
      </c>
      <c r="BK634">
        <f>IF($BD634="","",IFERROR(VLOOKUP($BD634,DECODE!$A$3:$C$8,2,FALSE),"?"))</f>
        <v/>
      </c>
      <c r="BL634">
        <f>IF($Q634="","",UPPER(TRIM(LEFT($Q634&amp;",",FIND(",",$Q634&amp;",")-1))))</f>
        <v/>
      </c>
      <c r="BM634">
        <f>IF($BL634="","",MID($BL634,4,FIND("~",SUBSTITUTE($BL634,"-","~",2))-4))</f>
        <v/>
      </c>
      <c r="BN634">
        <f>IF($BL634="","",MID($BL634,FIND("~",SUBSTITUTE($BL634,"-","~",2))+1,FIND("~",SUBSTITUTE($BL634,"-","~",3))-FIND("~",SUBSTITUTE($BL634,"-","~",2))-1))</f>
        <v/>
      </c>
      <c r="BO634">
        <f>IF($BM634="","",IFERROR(VLOOKUP($BM634,DECODE!$A$3:$C$8,3,FALSE),"?"))</f>
        <v/>
      </c>
      <c r="BP634">
        <f>IF($BN634="","",IFERROR(VLOOKUP($BM634&amp;"-"&amp;$BN634,DECODE!$E$3:$F$21,2,FALSE),"?"))</f>
        <v/>
      </c>
      <c r="BQ634">
        <f>IF($BL634="","",IFERROR(VALUE(RIGHT($BL634,3)),""))</f>
        <v/>
      </c>
      <c r="BR634">
        <f>IF($W634="","",IFERROR(IF(ISNUMBER($W634),$W634,DATEVALUE(TRIM($W634))),""))</f>
        <v/>
      </c>
      <c r="BS634">
        <f>IF($BR634="","",IF(MONTH($BR634)&gt;=12,"Cold Winter",IF(MONTH($BR634)&gt;=10,"Post-Monsoon",IF(MONTH($BR634)&gt;=6,"Hot Humid",IF(MONTH($BR634)&gt;=3,"Hot Dry","Cold Winter")))))</f>
        <v/>
      </c>
      <c r="BT634">
        <f>IF($BM634="","",IFERROR(VLOOKUP($BM634,DECODE!$A$3:$C$8,2,FALSE),"?"))</f>
        <v/>
      </c>
      <c r="BU634">
        <f>IF($R634="","",UPPER(TRIM(LEFT($R634&amp;",",FIND(",",$R634&amp;",")-1))))</f>
        <v/>
      </c>
      <c r="BV634">
        <f>IF($BU634="","",MID($BU634,4,FIND("~",SUBSTITUTE($BU634,"-","~",2))-4))</f>
        <v/>
      </c>
      <c r="BW634">
        <f>IF($BU634="","",MID($BU634,FIND("~",SUBSTITUTE($BU634,"-","~",2))+1,FIND("~",SUBSTITUTE($BU634,"-","~",3))-FIND("~",SUBSTITUTE($BU634,"-","~",2))-1))</f>
        <v/>
      </c>
      <c r="BX634">
        <f>IF($BV634="","",IFERROR(VLOOKUP($BV634,DECODE!$A$3:$C$8,3,FALSE),"?"))</f>
        <v/>
      </c>
      <c r="BY634">
        <f>IF($BW634="","",IFERROR(VLOOKUP($BV634&amp;"-"&amp;$BW634,DECODE!$E$3:$F$21,2,FALSE),"?"))</f>
        <v/>
      </c>
      <c r="BZ634">
        <f>IF($BU634="","",IFERROR(VALUE(RIGHT($BU634,3)),""))</f>
        <v/>
      </c>
      <c r="CA634">
        <f>IF($X634="","",IFERROR(IF(ISNUMBER($X634),$X634,DATEVALUE(TRIM($X634))),""))</f>
        <v/>
      </c>
      <c r="CB634">
        <f>IF($CA634="","",IF(MONTH($CA634)&gt;=12,"Cold Winter",IF(MONTH($CA634)&gt;=10,"Post-Monsoon",IF(MONTH($CA634)&gt;=6,"Hot Humid",IF(MONTH($CA634)&gt;=3,"Hot Dry","Cold Winter")))))</f>
        <v/>
      </c>
      <c r="CC634">
        <f>IF($BV634="","",IFERROR(VLOOKUP($BV634,DECODE!$A$3:$C$8,2,FALSE),"?"))</f>
        <v/>
      </c>
      <c r="CD634">
        <f>IF($S634="","",UPPER(TRIM(LEFT($S634&amp;",",FIND(",",$S634&amp;",")-1))))</f>
        <v/>
      </c>
      <c r="CE634">
        <f>IF($CD634="","",MID($CD634,4,FIND("~",SUBSTITUTE($CD634,"-","~",2))-4))</f>
        <v/>
      </c>
      <c r="CF634">
        <f>IF($CD634="","",MID($CD634,FIND("~",SUBSTITUTE($CD634,"-","~",2))+1,FIND("~",SUBSTITUTE($CD634,"-","~",3))-FIND("~",SUBSTITUTE($CD634,"-","~",2))-1))</f>
        <v/>
      </c>
      <c r="CG634">
        <f>IF($CE634="","",IFERROR(VLOOKUP($CE634,DECODE!$A$3:$C$8,3,FALSE),"?"))</f>
        <v/>
      </c>
      <c r="CH634">
        <f>IF($CF634="","",IFERROR(VLOOKUP($CE634&amp;"-"&amp;$CF634,DECODE!$E$3:$F$21,2,FALSE),"?"))</f>
        <v/>
      </c>
      <c r="CI634">
        <f>IF($CD634="","",IFERROR(VALUE(RIGHT($CD634,3)),""))</f>
        <v/>
      </c>
      <c r="CJ634">
        <f>IF($Y634="","",IFERROR(IF(ISNUMBER($Y634),$Y634,DATEVALUE(TRIM($Y634))),""))</f>
        <v/>
      </c>
      <c r="CK634">
        <f>IF($CJ634="","",IF(MONTH($CJ634)&gt;=12,"Cold Winter",IF(MONTH($CJ634)&gt;=10,"Post-Monsoon",IF(MONTH($CJ634)&gt;=6,"Hot Humid",IF(MONTH($CJ634)&gt;=3,"Hot Dry","Cold Winter")))))</f>
        <v/>
      </c>
      <c r="CL634">
        <f>IF($CE634="","",IFERROR(VLOOKUP($CE634,DECODE!$A$3:$C$8,2,FALSE),"?"))</f>
        <v/>
      </c>
      <c r="CM634">
        <f>IF($AN634="","",AN634)</f>
        <v/>
      </c>
      <c r="CN634">
        <f>IF($AO634="","",AO634)</f>
        <v/>
      </c>
      <c r="CO634">
        <f>IF($AP634="","",AP634)</f>
        <v/>
      </c>
      <c r="CP634">
        <f>IF($CM634="","",IF($CM634="Aloe Vera Gel","Aloe Vera Gel "&amp;$CO634&amp;"g",CN634&amp;" "&amp;$CO634&amp;"g"))</f>
        <v/>
      </c>
      <c r="CQ634">
        <f>IF($AT634="",0,1)</f>
        <v/>
      </c>
      <c r="CR634">
        <f>IF($CQ634=0,"",AW634)</f>
        <v/>
      </c>
      <c r="CS634">
        <f>IF($CQ634=0,"",AX634)</f>
        <v/>
      </c>
      <c r="CT634">
        <f>IF($CQ634=0,"",AY634)</f>
        <v/>
      </c>
      <c r="CU634">
        <f>IF($CR634="","",IF($CR634="Aloe Vera Gel","Aloe Vera Gel "&amp;$CT634&amp;"g",CS634&amp;" "&amp;$CT634&amp;"g"))</f>
        <v/>
      </c>
      <c r="CV634">
        <f>IF($CQ634=0,"",IF($CP634=$CU634,"Repeat Exact",IF($CT634&gt;$CO634,"Upsized",IF($CT634&lt;$CO634,"Downsized",IF($CM634&lt;&gt;$CR634,"Lateral","Same Size Diff Variant")))))</f>
        <v/>
      </c>
      <c r="CW634">
        <f>IF($CQ634=0,"",AZ634-AQ634)</f>
        <v/>
      </c>
      <c r="CX634">
        <f>IF($CQ634=0,0,IF(CS634=CN634,1,0))</f>
        <v/>
      </c>
      <c r="CY634">
        <f>IF($CQ634=0,0,IF(CR634=CM634,1,0))</f>
        <v/>
      </c>
      <c r="CZ634">
        <f>IF($A634="","",IF(AND(IF(DASHBOARD!$C$4="All",TRUE,$CM634=DASHBOARD!$C$4),IF(DASHBOARD!$C$6="All",TRUE,$CP634=DASHBOARD!$C$6),IF(DASHBOARD!$C$8="All",TRUE,$AF634&gt;=DASHBOARD!$C$8),IF(DASHBOARD!$C$10="All",TRUE,$AF634&lt;=DASHBOARD!$C$10),IF(DASHBOARD!$C$12="All",TRUE,$AH634=VALUE(DASHBOARD!$C$12)),IF(DASHBOARD!$C$14="All",TRUE,$AJ634=DASHBOARD!$C$14)),1,0))</f>
        <v/>
      </c>
    </row>
    <row r="635">
      <c r="A635" t="n">
        <v>273568</v>
      </c>
      <c r="B635" t="inlineStr">
        <is>
          <t>Face Malai</t>
        </is>
      </c>
      <c r="H635" t="inlineStr">
        <is>
          <t>Cocoa Mogra (Overnight) Face Malai - 50g</t>
        </is>
      </c>
      <c r="N635" t="inlineStr">
        <is>
          <t>FC-DM-NR-050</t>
        </is>
      </c>
      <c r="T635" t="inlineStr">
        <is>
          <t>Aug 15, 2025</t>
        </is>
      </c>
      <c r="AE635" t="inlineStr">
        <is>
          <t>Tambaram</t>
        </is>
      </c>
      <c r="AF635" t="inlineStr">
        <is>
          <t>2025-08</t>
        </is>
      </c>
      <c r="AG635" t="n">
        <v>8</v>
      </c>
      <c r="AH635" t="n">
        <v>1</v>
      </c>
      <c r="AI635" t="n">
        <v>0</v>
      </c>
      <c r="AJ635">
        <f>IF($AE635="","",IFERROR(VLOOKUP(TRIM($AE635),DECODE!$H$3:$I$60,2,FALSE),"Rest of India"))</f>
        <v/>
      </c>
      <c r="AK635">
        <f>IF($N635="","",UPPER(TRIM(LEFT($N635&amp;",",FIND(",",$N635&amp;",")-1))))</f>
        <v/>
      </c>
      <c r="AL635">
        <f>IF($AK635="","",MID($AK635,4,FIND("~",SUBSTITUTE($AK635,"-","~",2))-4))</f>
        <v/>
      </c>
      <c r="AM635">
        <f>IF($AK635="","",MID($AK635,FIND("~",SUBSTITUTE($AK635,"-","~",2))+1,FIND("~",SUBSTITUTE($AK635,"-","~",3))-FIND("~",SUBSTITUTE($AK635,"-","~",2))-1))</f>
        <v/>
      </c>
      <c r="AN635">
        <f>IF($AL635="","",IFERROR(VLOOKUP($AL635,DECODE!$A$3:$C$8,3,FALSE),"?"))</f>
        <v/>
      </c>
      <c r="AO635">
        <f>IF($AM635="","",IFERROR(VLOOKUP($AL635&amp;"-"&amp;$AM635,DECODE!$E$3:$F$21,2,FALSE),"?"))</f>
        <v/>
      </c>
      <c r="AP635">
        <f>IF($AK635="","",IFERROR(VALUE(RIGHT($AK635,3)),""))</f>
        <v/>
      </c>
      <c r="AQ635">
        <f>IF($T635="","",IFERROR(IF(ISNUMBER($T635),$T635,DATEVALUE(TRIM($T635))),""))</f>
        <v/>
      </c>
      <c r="AR635">
        <f>IF($AQ635="","",IF(MONTH($AQ635)&gt;=12,"Cold Winter",IF(MONTH($AQ635)&gt;=10,"Post-Monsoon",IF(MONTH($AQ635)&gt;=6,"Hot Humid",IF(MONTH($AQ635)&gt;=3,"Hot Dry","Cold Winter")))))</f>
        <v/>
      </c>
      <c r="AS635">
        <f>IF($AL635="","",IFERROR(VLOOKUP($AL635,DECODE!$A$3:$C$8,2,FALSE),"?"))</f>
        <v/>
      </c>
      <c r="AT635">
        <f>IF($O635="","",UPPER(TRIM(LEFT($O635&amp;",",FIND(",",$O635&amp;",")-1))))</f>
        <v/>
      </c>
      <c r="AU635">
        <f>IF($AT635="","",MID($AT635,4,FIND("~",SUBSTITUTE($AT635,"-","~",2))-4))</f>
        <v/>
      </c>
      <c r="AV635">
        <f>IF($AT635="","",MID($AT635,FIND("~",SUBSTITUTE($AT635,"-","~",2))+1,FIND("~",SUBSTITUTE($AT635,"-","~",3))-FIND("~",SUBSTITUTE($AT635,"-","~",2))-1))</f>
        <v/>
      </c>
      <c r="AW635">
        <f>IF($AU635="","",IFERROR(VLOOKUP($AU635,DECODE!$A$3:$C$8,3,FALSE),"?"))</f>
        <v/>
      </c>
      <c r="AX635">
        <f>IF($AV635="","",IFERROR(VLOOKUP($AU635&amp;"-"&amp;$AV635,DECODE!$E$3:$F$21,2,FALSE),"?"))</f>
        <v/>
      </c>
      <c r="AY635">
        <f>IF($AT635="","",IFERROR(VALUE(RIGHT($AT635,3)),""))</f>
        <v/>
      </c>
      <c r="AZ635">
        <f>IF($U635="","",IFERROR(IF(ISNUMBER($U635),$U635,DATEVALUE(TRIM($U635))),""))</f>
        <v/>
      </c>
      <c r="BA635">
        <f>IF($AZ635="","",IF(MONTH($AZ635)&gt;=12,"Cold Winter",IF(MONTH($AZ635)&gt;=10,"Post-Monsoon",IF(MONTH($AZ635)&gt;=6,"Hot Humid",IF(MONTH($AZ635)&gt;=3,"Hot Dry","Cold Winter")))))</f>
        <v/>
      </c>
      <c r="BB635">
        <f>IF($AU635="","",IFERROR(VLOOKUP($AU635,DECODE!$A$3:$C$8,2,FALSE),"?"))</f>
        <v/>
      </c>
      <c r="BC635">
        <f>IF($P635="","",UPPER(TRIM(LEFT($P635&amp;",",FIND(",",$P635&amp;",")-1))))</f>
        <v/>
      </c>
      <c r="BD635">
        <f>IF($BC635="","",MID($BC635,4,FIND("~",SUBSTITUTE($BC635,"-","~",2))-4))</f>
        <v/>
      </c>
      <c r="BE635">
        <f>IF($BC635="","",MID($BC635,FIND("~",SUBSTITUTE($BC635,"-","~",2))+1,FIND("~",SUBSTITUTE($BC635,"-","~",3))-FIND("~",SUBSTITUTE($BC635,"-","~",2))-1))</f>
        <v/>
      </c>
      <c r="BF635">
        <f>IF($BD635="","",IFERROR(VLOOKUP($BD635,DECODE!$A$3:$C$8,3,FALSE),"?"))</f>
        <v/>
      </c>
      <c r="BG635">
        <f>IF($BE635="","",IFERROR(VLOOKUP($BD635&amp;"-"&amp;$BE635,DECODE!$E$3:$F$21,2,FALSE),"?"))</f>
        <v/>
      </c>
      <c r="BH635">
        <f>IF($BC635="","",IFERROR(VALUE(RIGHT($BC635,3)),""))</f>
        <v/>
      </c>
      <c r="BI635">
        <f>IF($V635="","",IFERROR(IF(ISNUMBER($V635),$V635,DATEVALUE(TRIM($V635))),""))</f>
        <v/>
      </c>
      <c r="BJ635">
        <f>IF($BI635="","",IF(MONTH($BI635)&gt;=12,"Cold Winter",IF(MONTH($BI635)&gt;=10,"Post-Monsoon",IF(MONTH($BI635)&gt;=6,"Hot Humid",IF(MONTH($BI635)&gt;=3,"Hot Dry","Cold Winter")))))</f>
        <v/>
      </c>
      <c r="BK635">
        <f>IF($BD635="","",IFERROR(VLOOKUP($BD635,DECODE!$A$3:$C$8,2,FALSE),"?"))</f>
        <v/>
      </c>
      <c r="BL635">
        <f>IF($Q635="","",UPPER(TRIM(LEFT($Q635&amp;",",FIND(",",$Q635&amp;",")-1))))</f>
        <v/>
      </c>
      <c r="BM635">
        <f>IF($BL635="","",MID($BL635,4,FIND("~",SUBSTITUTE($BL635,"-","~",2))-4))</f>
        <v/>
      </c>
      <c r="BN635">
        <f>IF($BL635="","",MID($BL635,FIND("~",SUBSTITUTE($BL635,"-","~",2))+1,FIND("~",SUBSTITUTE($BL635,"-","~",3))-FIND("~",SUBSTITUTE($BL635,"-","~",2))-1))</f>
        <v/>
      </c>
      <c r="BO635">
        <f>IF($BM635="","",IFERROR(VLOOKUP($BM635,DECODE!$A$3:$C$8,3,FALSE),"?"))</f>
        <v/>
      </c>
      <c r="BP635">
        <f>IF($BN635="","",IFERROR(VLOOKUP($BM635&amp;"-"&amp;$BN635,DECODE!$E$3:$F$21,2,FALSE),"?"))</f>
        <v/>
      </c>
      <c r="BQ635">
        <f>IF($BL635="","",IFERROR(VALUE(RIGHT($BL635,3)),""))</f>
        <v/>
      </c>
      <c r="BR635">
        <f>IF($W635="","",IFERROR(IF(ISNUMBER($W635),$W635,DATEVALUE(TRIM($W635))),""))</f>
        <v/>
      </c>
      <c r="BS635">
        <f>IF($BR635="","",IF(MONTH($BR635)&gt;=12,"Cold Winter",IF(MONTH($BR635)&gt;=10,"Post-Monsoon",IF(MONTH($BR635)&gt;=6,"Hot Humid",IF(MONTH($BR635)&gt;=3,"Hot Dry","Cold Winter")))))</f>
        <v/>
      </c>
      <c r="BT635">
        <f>IF($BM635="","",IFERROR(VLOOKUP($BM635,DECODE!$A$3:$C$8,2,FALSE),"?"))</f>
        <v/>
      </c>
      <c r="BU635">
        <f>IF($R635="","",UPPER(TRIM(LEFT($R635&amp;",",FIND(",",$R635&amp;",")-1))))</f>
        <v/>
      </c>
      <c r="BV635">
        <f>IF($BU635="","",MID($BU635,4,FIND("~",SUBSTITUTE($BU635,"-","~",2))-4))</f>
        <v/>
      </c>
      <c r="BW635">
        <f>IF($BU635="","",MID($BU635,FIND("~",SUBSTITUTE($BU635,"-","~",2))+1,FIND("~",SUBSTITUTE($BU635,"-","~",3))-FIND("~",SUBSTITUTE($BU635,"-","~",2))-1))</f>
        <v/>
      </c>
      <c r="BX635">
        <f>IF($BV635="","",IFERROR(VLOOKUP($BV635,DECODE!$A$3:$C$8,3,FALSE),"?"))</f>
        <v/>
      </c>
      <c r="BY635">
        <f>IF($BW635="","",IFERROR(VLOOKUP($BV635&amp;"-"&amp;$BW635,DECODE!$E$3:$F$21,2,FALSE),"?"))</f>
        <v/>
      </c>
      <c r="BZ635">
        <f>IF($BU635="","",IFERROR(VALUE(RIGHT($BU635,3)),""))</f>
        <v/>
      </c>
      <c r="CA635">
        <f>IF($X635="","",IFERROR(IF(ISNUMBER($X635),$X635,DATEVALUE(TRIM($X635))),""))</f>
        <v/>
      </c>
      <c r="CB635">
        <f>IF($CA635="","",IF(MONTH($CA635)&gt;=12,"Cold Winter",IF(MONTH($CA635)&gt;=10,"Post-Monsoon",IF(MONTH($CA635)&gt;=6,"Hot Humid",IF(MONTH($CA635)&gt;=3,"Hot Dry","Cold Winter")))))</f>
        <v/>
      </c>
      <c r="CC635">
        <f>IF($BV635="","",IFERROR(VLOOKUP($BV635,DECODE!$A$3:$C$8,2,FALSE),"?"))</f>
        <v/>
      </c>
      <c r="CD635">
        <f>IF($S635="","",UPPER(TRIM(LEFT($S635&amp;",",FIND(",",$S635&amp;",")-1))))</f>
        <v/>
      </c>
      <c r="CE635">
        <f>IF($CD635="","",MID($CD635,4,FIND("~",SUBSTITUTE($CD635,"-","~",2))-4))</f>
        <v/>
      </c>
      <c r="CF635">
        <f>IF($CD635="","",MID($CD635,FIND("~",SUBSTITUTE($CD635,"-","~",2))+1,FIND("~",SUBSTITUTE($CD635,"-","~",3))-FIND("~",SUBSTITUTE($CD635,"-","~",2))-1))</f>
        <v/>
      </c>
      <c r="CG635">
        <f>IF($CE635="","",IFERROR(VLOOKUP($CE635,DECODE!$A$3:$C$8,3,FALSE),"?"))</f>
        <v/>
      </c>
      <c r="CH635">
        <f>IF($CF635="","",IFERROR(VLOOKUP($CE635&amp;"-"&amp;$CF635,DECODE!$E$3:$F$21,2,FALSE),"?"))</f>
        <v/>
      </c>
      <c r="CI635">
        <f>IF($CD635="","",IFERROR(VALUE(RIGHT($CD635,3)),""))</f>
        <v/>
      </c>
      <c r="CJ635">
        <f>IF($Y635="","",IFERROR(IF(ISNUMBER($Y635),$Y635,DATEVALUE(TRIM($Y635))),""))</f>
        <v/>
      </c>
      <c r="CK635">
        <f>IF($CJ635="","",IF(MONTH($CJ635)&gt;=12,"Cold Winter",IF(MONTH($CJ635)&gt;=10,"Post-Monsoon",IF(MONTH($CJ635)&gt;=6,"Hot Humid",IF(MONTH($CJ635)&gt;=3,"Hot Dry","Cold Winter")))))</f>
        <v/>
      </c>
      <c r="CL635">
        <f>IF($CE635="","",IFERROR(VLOOKUP($CE635,DECODE!$A$3:$C$8,2,FALSE),"?"))</f>
        <v/>
      </c>
      <c r="CM635">
        <f>IF($AN635="","",AN635)</f>
        <v/>
      </c>
      <c r="CN635">
        <f>IF($AO635="","",AO635)</f>
        <v/>
      </c>
      <c r="CO635">
        <f>IF($AP635="","",AP635)</f>
        <v/>
      </c>
      <c r="CP635">
        <f>IF($CM635="","",IF($CM635="Aloe Vera Gel","Aloe Vera Gel "&amp;$CO635&amp;"g",CN635&amp;" "&amp;$CO635&amp;"g"))</f>
        <v/>
      </c>
      <c r="CQ635">
        <f>IF($AT635="",0,1)</f>
        <v/>
      </c>
      <c r="CR635">
        <f>IF($CQ635=0,"",AW635)</f>
        <v/>
      </c>
      <c r="CS635">
        <f>IF($CQ635=0,"",AX635)</f>
        <v/>
      </c>
      <c r="CT635">
        <f>IF($CQ635=0,"",AY635)</f>
        <v/>
      </c>
      <c r="CU635">
        <f>IF($CR635="","",IF($CR635="Aloe Vera Gel","Aloe Vera Gel "&amp;$CT635&amp;"g",CS635&amp;" "&amp;$CT635&amp;"g"))</f>
        <v/>
      </c>
      <c r="CV635">
        <f>IF($CQ635=0,"",IF($CP635=$CU635,"Repeat Exact",IF($CT635&gt;$CO635,"Upsized",IF($CT635&lt;$CO635,"Downsized",IF($CM635&lt;&gt;$CR635,"Lateral","Same Size Diff Variant")))))</f>
        <v/>
      </c>
      <c r="CW635">
        <f>IF($CQ635=0,"",AZ635-AQ635)</f>
        <v/>
      </c>
      <c r="CX635">
        <f>IF($CQ635=0,0,IF(CS635=CN635,1,0))</f>
        <v/>
      </c>
      <c r="CY635">
        <f>IF($CQ635=0,0,IF(CR635=CM635,1,0))</f>
        <v/>
      </c>
      <c r="CZ635">
        <f>IF($A635="","",IF(AND(IF(DASHBOARD!$C$4="All",TRUE,$CM635=DASHBOARD!$C$4),IF(DASHBOARD!$C$6="All",TRUE,$CP635=DASHBOARD!$C$6),IF(DASHBOARD!$C$8="All",TRUE,$AF635&gt;=DASHBOARD!$C$8),IF(DASHBOARD!$C$10="All",TRUE,$AF635&lt;=DASHBOARD!$C$10),IF(DASHBOARD!$C$12="All",TRUE,$AH635=VALUE(DASHBOARD!$C$12)),IF(DASHBOARD!$C$14="All",TRUE,$AJ635=DASHBOARD!$C$14)),1,0))</f>
        <v/>
      </c>
    </row>
    <row r="636">
      <c r="A636" t="n">
        <v>274166</v>
      </c>
      <c r="B636" t="inlineStr">
        <is>
          <t>Face Malai</t>
        </is>
      </c>
      <c r="H636" t="inlineStr">
        <is>
          <t>Cocoa Mogra (Overnight) Face Malai - 30g</t>
        </is>
      </c>
      <c r="N636" t="inlineStr">
        <is>
          <t>FC-DM-NR-030</t>
        </is>
      </c>
      <c r="T636" t="inlineStr">
        <is>
          <t>Dec 8, 2024</t>
        </is>
      </c>
      <c r="AE636" t="inlineStr">
        <is>
          <t>Meerut</t>
        </is>
      </c>
      <c r="AF636" t="inlineStr">
        <is>
          <t>2024-12</t>
        </is>
      </c>
      <c r="AG636" t="n">
        <v>12</v>
      </c>
      <c r="AH636" t="n">
        <v>1</v>
      </c>
      <c r="AI636" t="n">
        <v>0</v>
      </c>
      <c r="AJ636">
        <f>IF($AE636="","",IFERROR(VLOOKUP(TRIM($AE636),DECODE!$H$3:$I$60,2,FALSE),"Rest of India"))</f>
        <v/>
      </c>
      <c r="AK636">
        <f>IF($N636="","",UPPER(TRIM(LEFT($N636&amp;",",FIND(",",$N636&amp;",")-1))))</f>
        <v/>
      </c>
      <c r="AL636">
        <f>IF($AK636="","",MID($AK636,4,FIND("~",SUBSTITUTE($AK636,"-","~",2))-4))</f>
        <v/>
      </c>
      <c r="AM636">
        <f>IF($AK636="","",MID($AK636,FIND("~",SUBSTITUTE($AK636,"-","~",2))+1,FIND("~",SUBSTITUTE($AK636,"-","~",3))-FIND("~",SUBSTITUTE($AK636,"-","~",2))-1))</f>
        <v/>
      </c>
      <c r="AN636">
        <f>IF($AL636="","",IFERROR(VLOOKUP($AL636,DECODE!$A$3:$C$8,3,FALSE),"?"))</f>
        <v/>
      </c>
      <c r="AO636">
        <f>IF($AM636="","",IFERROR(VLOOKUP($AL636&amp;"-"&amp;$AM636,DECODE!$E$3:$F$21,2,FALSE),"?"))</f>
        <v/>
      </c>
      <c r="AP636">
        <f>IF($AK636="","",IFERROR(VALUE(RIGHT($AK636,3)),""))</f>
        <v/>
      </c>
      <c r="AQ636">
        <f>IF($T636="","",IFERROR(IF(ISNUMBER($T636),$T636,DATEVALUE(TRIM($T636))),""))</f>
        <v/>
      </c>
      <c r="AR636">
        <f>IF($AQ636="","",IF(MONTH($AQ636)&gt;=12,"Cold Winter",IF(MONTH($AQ636)&gt;=10,"Post-Monsoon",IF(MONTH($AQ636)&gt;=6,"Hot Humid",IF(MONTH($AQ636)&gt;=3,"Hot Dry","Cold Winter")))))</f>
        <v/>
      </c>
      <c r="AS636">
        <f>IF($AL636="","",IFERROR(VLOOKUP($AL636,DECODE!$A$3:$C$8,2,FALSE),"?"))</f>
        <v/>
      </c>
      <c r="AT636">
        <f>IF($O636="","",UPPER(TRIM(LEFT($O636&amp;",",FIND(",",$O636&amp;",")-1))))</f>
        <v/>
      </c>
      <c r="AU636">
        <f>IF($AT636="","",MID($AT636,4,FIND("~",SUBSTITUTE($AT636,"-","~",2))-4))</f>
        <v/>
      </c>
      <c r="AV636">
        <f>IF($AT636="","",MID($AT636,FIND("~",SUBSTITUTE($AT636,"-","~",2))+1,FIND("~",SUBSTITUTE($AT636,"-","~",3))-FIND("~",SUBSTITUTE($AT636,"-","~",2))-1))</f>
        <v/>
      </c>
      <c r="AW636">
        <f>IF($AU636="","",IFERROR(VLOOKUP($AU636,DECODE!$A$3:$C$8,3,FALSE),"?"))</f>
        <v/>
      </c>
      <c r="AX636">
        <f>IF($AV636="","",IFERROR(VLOOKUP($AU636&amp;"-"&amp;$AV636,DECODE!$E$3:$F$21,2,FALSE),"?"))</f>
        <v/>
      </c>
      <c r="AY636">
        <f>IF($AT636="","",IFERROR(VALUE(RIGHT($AT636,3)),""))</f>
        <v/>
      </c>
      <c r="AZ636">
        <f>IF($U636="","",IFERROR(IF(ISNUMBER($U636),$U636,DATEVALUE(TRIM($U636))),""))</f>
        <v/>
      </c>
      <c r="BA636">
        <f>IF($AZ636="","",IF(MONTH($AZ636)&gt;=12,"Cold Winter",IF(MONTH($AZ636)&gt;=10,"Post-Monsoon",IF(MONTH($AZ636)&gt;=6,"Hot Humid",IF(MONTH($AZ636)&gt;=3,"Hot Dry","Cold Winter")))))</f>
        <v/>
      </c>
      <c r="BB636">
        <f>IF($AU636="","",IFERROR(VLOOKUP($AU636,DECODE!$A$3:$C$8,2,FALSE),"?"))</f>
        <v/>
      </c>
      <c r="BC636">
        <f>IF($P636="","",UPPER(TRIM(LEFT($P636&amp;",",FIND(",",$P636&amp;",")-1))))</f>
        <v/>
      </c>
      <c r="BD636">
        <f>IF($BC636="","",MID($BC636,4,FIND("~",SUBSTITUTE($BC636,"-","~",2))-4))</f>
        <v/>
      </c>
      <c r="BE636">
        <f>IF($BC636="","",MID($BC636,FIND("~",SUBSTITUTE($BC636,"-","~",2))+1,FIND("~",SUBSTITUTE($BC636,"-","~",3))-FIND("~",SUBSTITUTE($BC636,"-","~",2))-1))</f>
        <v/>
      </c>
      <c r="BF636">
        <f>IF($BD636="","",IFERROR(VLOOKUP($BD636,DECODE!$A$3:$C$8,3,FALSE),"?"))</f>
        <v/>
      </c>
      <c r="BG636">
        <f>IF($BE636="","",IFERROR(VLOOKUP($BD636&amp;"-"&amp;$BE636,DECODE!$E$3:$F$21,2,FALSE),"?"))</f>
        <v/>
      </c>
      <c r="BH636">
        <f>IF($BC636="","",IFERROR(VALUE(RIGHT($BC636,3)),""))</f>
        <v/>
      </c>
      <c r="BI636">
        <f>IF($V636="","",IFERROR(IF(ISNUMBER($V636),$V636,DATEVALUE(TRIM($V636))),""))</f>
        <v/>
      </c>
      <c r="BJ636">
        <f>IF($BI636="","",IF(MONTH($BI636)&gt;=12,"Cold Winter",IF(MONTH($BI636)&gt;=10,"Post-Monsoon",IF(MONTH($BI636)&gt;=6,"Hot Humid",IF(MONTH($BI636)&gt;=3,"Hot Dry","Cold Winter")))))</f>
        <v/>
      </c>
      <c r="BK636">
        <f>IF($BD636="","",IFERROR(VLOOKUP($BD636,DECODE!$A$3:$C$8,2,FALSE),"?"))</f>
        <v/>
      </c>
      <c r="BL636">
        <f>IF($Q636="","",UPPER(TRIM(LEFT($Q636&amp;",",FIND(",",$Q636&amp;",")-1))))</f>
        <v/>
      </c>
      <c r="BM636">
        <f>IF($BL636="","",MID($BL636,4,FIND("~",SUBSTITUTE($BL636,"-","~",2))-4))</f>
        <v/>
      </c>
      <c r="BN636">
        <f>IF($BL636="","",MID($BL636,FIND("~",SUBSTITUTE($BL636,"-","~",2))+1,FIND("~",SUBSTITUTE($BL636,"-","~",3))-FIND("~",SUBSTITUTE($BL636,"-","~",2))-1))</f>
        <v/>
      </c>
      <c r="BO636">
        <f>IF($BM636="","",IFERROR(VLOOKUP($BM636,DECODE!$A$3:$C$8,3,FALSE),"?"))</f>
        <v/>
      </c>
      <c r="BP636">
        <f>IF($BN636="","",IFERROR(VLOOKUP($BM636&amp;"-"&amp;$BN636,DECODE!$E$3:$F$21,2,FALSE),"?"))</f>
        <v/>
      </c>
      <c r="BQ636">
        <f>IF($BL636="","",IFERROR(VALUE(RIGHT($BL636,3)),""))</f>
        <v/>
      </c>
      <c r="BR636">
        <f>IF($W636="","",IFERROR(IF(ISNUMBER($W636),$W636,DATEVALUE(TRIM($W636))),""))</f>
        <v/>
      </c>
      <c r="BS636">
        <f>IF($BR636="","",IF(MONTH($BR636)&gt;=12,"Cold Winter",IF(MONTH($BR636)&gt;=10,"Post-Monsoon",IF(MONTH($BR636)&gt;=6,"Hot Humid",IF(MONTH($BR636)&gt;=3,"Hot Dry","Cold Winter")))))</f>
        <v/>
      </c>
      <c r="BT636">
        <f>IF($BM636="","",IFERROR(VLOOKUP($BM636,DECODE!$A$3:$C$8,2,FALSE),"?"))</f>
        <v/>
      </c>
      <c r="BU636">
        <f>IF($R636="","",UPPER(TRIM(LEFT($R636&amp;",",FIND(",",$R636&amp;",")-1))))</f>
        <v/>
      </c>
      <c r="BV636">
        <f>IF($BU636="","",MID($BU636,4,FIND("~",SUBSTITUTE($BU636,"-","~",2))-4))</f>
        <v/>
      </c>
      <c r="BW636">
        <f>IF($BU636="","",MID($BU636,FIND("~",SUBSTITUTE($BU636,"-","~",2))+1,FIND("~",SUBSTITUTE($BU636,"-","~",3))-FIND("~",SUBSTITUTE($BU636,"-","~",2))-1))</f>
        <v/>
      </c>
      <c r="BX636">
        <f>IF($BV636="","",IFERROR(VLOOKUP($BV636,DECODE!$A$3:$C$8,3,FALSE),"?"))</f>
        <v/>
      </c>
      <c r="BY636">
        <f>IF($BW636="","",IFERROR(VLOOKUP($BV636&amp;"-"&amp;$BW636,DECODE!$E$3:$F$21,2,FALSE),"?"))</f>
        <v/>
      </c>
      <c r="BZ636">
        <f>IF($BU636="","",IFERROR(VALUE(RIGHT($BU636,3)),""))</f>
        <v/>
      </c>
      <c r="CA636">
        <f>IF($X636="","",IFERROR(IF(ISNUMBER($X636),$X636,DATEVALUE(TRIM($X636))),""))</f>
        <v/>
      </c>
      <c r="CB636">
        <f>IF($CA636="","",IF(MONTH($CA636)&gt;=12,"Cold Winter",IF(MONTH($CA636)&gt;=10,"Post-Monsoon",IF(MONTH($CA636)&gt;=6,"Hot Humid",IF(MONTH($CA636)&gt;=3,"Hot Dry","Cold Winter")))))</f>
        <v/>
      </c>
      <c r="CC636">
        <f>IF($BV636="","",IFERROR(VLOOKUP($BV636,DECODE!$A$3:$C$8,2,FALSE),"?"))</f>
        <v/>
      </c>
      <c r="CD636">
        <f>IF($S636="","",UPPER(TRIM(LEFT($S636&amp;",",FIND(",",$S636&amp;",")-1))))</f>
        <v/>
      </c>
      <c r="CE636">
        <f>IF($CD636="","",MID($CD636,4,FIND("~",SUBSTITUTE($CD636,"-","~",2))-4))</f>
        <v/>
      </c>
      <c r="CF636">
        <f>IF($CD636="","",MID($CD636,FIND("~",SUBSTITUTE($CD636,"-","~",2))+1,FIND("~",SUBSTITUTE($CD636,"-","~",3))-FIND("~",SUBSTITUTE($CD636,"-","~",2))-1))</f>
        <v/>
      </c>
      <c r="CG636">
        <f>IF($CE636="","",IFERROR(VLOOKUP($CE636,DECODE!$A$3:$C$8,3,FALSE),"?"))</f>
        <v/>
      </c>
      <c r="CH636">
        <f>IF($CF636="","",IFERROR(VLOOKUP($CE636&amp;"-"&amp;$CF636,DECODE!$E$3:$F$21,2,FALSE),"?"))</f>
        <v/>
      </c>
      <c r="CI636">
        <f>IF($CD636="","",IFERROR(VALUE(RIGHT($CD636,3)),""))</f>
        <v/>
      </c>
      <c r="CJ636">
        <f>IF($Y636="","",IFERROR(IF(ISNUMBER($Y636),$Y636,DATEVALUE(TRIM($Y636))),""))</f>
        <v/>
      </c>
      <c r="CK636">
        <f>IF($CJ636="","",IF(MONTH($CJ636)&gt;=12,"Cold Winter",IF(MONTH($CJ636)&gt;=10,"Post-Monsoon",IF(MONTH($CJ636)&gt;=6,"Hot Humid",IF(MONTH($CJ636)&gt;=3,"Hot Dry","Cold Winter")))))</f>
        <v/>
      </c>
      <c r="CL636">
        <f>IF($CE636="","",IFERROR(VLOOKUP($CE636,DECODE!$A$3:$C$8,2,FALSE),"?"))</f>
        <v/>
      </c>
      <c r="CM636">
        <f>IF($AN636="","",AN636)</f>
        <v/>
      </c>
      <c r="CN636">
        <f>IF($AO636="","",AO636)</f>
        <v/>
      </c>
      <c r="CO636">
        <f>IF($AP636="","",AP636)</f>
        <v/>
      </c>
      <c r="CP636">
        <f>IF($CM636="","",IF($CM636="Aloe Vera Gel","Aloe Vera Gel "&amp;$CO636&amp;"g",CN636&amp;" "&amp;$CO636&amp;"g"))</f>
        <v/>
      </c>
      <c r="CQ636">
        <f>IF($AT636="",0,1)</f>
        <v/>
      </c>
      <c r="CR636">
        <f>IF($CQ636=0,"",AW636)</f>
        <v/>
      </c>
      <c r="CS636">
        <f>IF($CQ636=0,"",AX636)</f>
        <v/>
      </c>
      <c r="CT636">
        <f>IF($CQ636=0,"",AY636)</f>
        <v/>
      </c>
      <c r="CU636">
        <f>IF($CR636="","",IF($CR636="Aloe Vera Gel","Aloe Vera Gel "&amp;$CT636&amp;"g",CS636&amp;" "&amp;$CT636&amp;"g"))</f>
        <v/>
      </c>
      <c r="CV636">
        <f>IF($CQ636=0,"",IF($CP636=$CU636,"Repeat Exact",IF($CT636&gt;$CO636,"Upsized",IF($CT636&lt;$CO636,"Downsized",IF($CM636&lt;&gt;$CR636,"Lateral","Same Size Diff Variant")))))</f>
        <v/>
      </c>
      <c r="CW636">
        <f>IF($CQ636=0,"",AZ636-AQ636)</f>
        <v/>
      </c>
      <c r="CX636">
        <f>IF($CQ636=0,0,IF(CS636=CN636,1,0))</f>
        <v/>
      </c>
      <c r="CY636">
        <f>IF($CQ636=0,0,IF(CR636=CM636,1,0))</f>
        <v/>
      </c>
      <c r="CZ636">
        <f>IF($A636="","",IF(AND(IF(DASHBOARD!$C$4="All",TRUE,$CM636=DASHBOARD!$C$4),IF(DASHBOARD!$C$6="All",TRUE,$CP636=DASHBOARD!$C$6),IF(DASHBOARD!$C$8="All",TRUE,$AF636&gt;=DASHBOARD!$C$8),IF(DASHBOARD!$C$10="All",TRUE,$AF636&lt;=DASHBOARD!$C$10),IF(DASHBOARD!$C$12="All",TRUE,$AH636=VALUE(DASHBOARD!$C$12)),IF(DASHBOARD!$C$14="All",TRUE,$AJ636=DASHBOARD!$C$14)),1,0))</f>
        <v/>
      </c>
    </row>
    <row r="637">
      <c r="A637" t="n">
        <v>274524</v>
      </c>
      <c r="B637" t="inlineStr">
        <is>
          <t>Face Malai</t>
        </is>
      </c>
      <c r="C637" t="inlineStr">
        <is>
          <t>Active Gel</t>
        </is>
      </c>
      <c r="D637" t="inlineStr">
        <is>
          <t>Face Malai</t>
        </is>
      </c>
      <c r="E637" t="inlineStr">
        <is>
          <t>Aloe Vera Gel</t>
        </is>
      </c>
      <c r="H637" t="inlineStr">
        <is>
          <t>Flax Walnut (Cold) 35+ Face Malai</t>
        </is>
      </c>
      <c r="I637" t="inlineStr">
        <is>
          <t>Active Olive Vit-E Night Gel</t>
        </is>
      </c>
      <c r="J637" t="inlineStr">
        <is>
          <t>Flax Walnut (Cold) 35+ Face Malai</t>
        </is>
      </c>
      <c r="K637" t="inlineStr">
        <is>
          <t>Aloe Vera Gel - 40 gms</t>
        </is>
      </c>
      <c r="N637" t="inlineStr">
        <is>
          <t>FC-CWDM-FW-030</t>
        </is>
      </c>
      <c r="O637" t="inlineStr">
        <is>
          <t>FC-AC-OV-050</t>
        </is>
      </c>
      <c r="P637" t="inlineStr">
        <is>
          <t>FC-CWDM-FW-030</t>
        </is>
      </c>
      <c r="Q637" t="inlineStr">
        <is>
          <t>FC-HG-PA-040</t>
        </is>
      </c>
      <c r="T637" t="inlineStr">
        <is>
          <t>Feb 12, 2024</t>
        </is>
      </c>
      <c r="U637" t="inlineStr">
        <is>
          <t>Aug 4, 2024</t>
        </is>
      </c>
      <c r="V637" t="inlineStr">
        <is>
          <t>Aug 4, 2024</t>
        </is>
      </c>
      <c r="W637" t="inlineStr">
        <is>
          <t>Jan 7, 2025</t>
        </is>
      </c>
      <c r="Z637" t="n">
        <v>174</v>
      </c>
      <c r="AA637" t="n">
        <v>0</v>
      </c>
      <c r="AB637" t="n">
        <v>156</v>
      </c>
      <c r="AE637" t="inlineStr">
        <is>
          <t>Irinjalakuda</t>
        </is>
      </c>
      <c r="AF637" t="inlineStr">
        <is>
          <t>2024-02</t>
        </is>
      </c>
      <c r="AG637" t="n">
        <v>2</v>
      </c>
      <c r="AH637" t="n">
        <v>4</v>
      </c>
      <c r="AI637" t="n">
        <v>1</v>
      </c>
      <c r="AJ637">
        <f>IF($AE637="","",IFERROR(VLOOKUP(TRIM($AE637),DECODE!$H$3:$I$60,2,FALSE),"Rest of India"))</f>
        <v/>
      </c>
      <c r="AK637">
        <f>IF($N637="","",UPPER(TRIM(LEFT($N637&amp;",",FIND(",",$N637&amp;",")-1))))</f>
        <v/>
      </c>
      <c r="AL637">
        <f>IF($AK637="","",MID($AK637,4,FIND("~",SUBSTITUTE($AK637,"-","~",2))-4))</f>
        <v/>
      </c>
      <c r="AM637">
        <f>IF($AK637="","",MID($AK637,FIND("~",SUBSTITUTE($AK637,"-","~",2))+1,FIND("~",SUBSTITUTE($AK637,"-","~",3))-FIND("~",SUBSTITUTE($AK637,"-","~",2))-1))</f>
        <v/>
      </c>
      <c r="AN637">
        <f>IF($AL637="","",IFERROR(VLOOKUP($AL637,DECODE!$A$3:$C$8,3,FALSE),"?"))</f>
        <v/>
      </c>
      <c r="AO637">
        <f>IF($AM637="","",IFERROR(VLOOKUP($AL637&amp;"-"&amp;$AM637,DECODE!$E$3:$F$21,2,FALSE),"?"))</f>
        <v/>
      </c>
      <c r="AP637">
        <f>IF($AK637="","",IFERROR(VALUE(RIGHT($AK637,3)),""))</f>
        <v/>
      </c>
      <c r="AQ637">
        <f>IF($T637="","",IFERROR(IF(ISNUMBER($T637),$T637,DATEVALUE(TRIM($T637))),""))</f>
        <v/>
      </c>
      <c r="AR637">
        <f>IF($AQ637="","",IF(MONTH($AQ637)&gt;=12,"Cold Winter",IF(MONTH($AQ637)&gt;=10,"Post-Monsoon",IF(MONTH($AQ637)&gt;=6,"Hot Humid",IF(MONTH($AQ637)&gt;=3,"Hot Dry","Cold Winter")))))</f>
        <v/>
      </c>
      <c r="AS637">
        <f>IF($AL637="","",IFERROR(VLOOKUP($AL637,DECODE!$A$3:$C$8,2,FALSE),"?"))</f>
        <v/>
      </c>
      <c r="AT637">
        <f>IF($O637="","",UPPER(TRIM(LEFT($O637&amp;",",FIND(",",$O637&amp;",")-1))))</f>
        <v/>
      </c>
      <c r="AU637">
        <f>IF($AT637="","",MID($AT637,4,FIND("~",SUBSTITUTE($AT637,"-","~",2))-4))</f>
        <v/>
      </c>
      <c r="AV637">
        <f>IF($AT637="","",MID($AT637,FIND("~",SUBSTITUTE($AT637,"-","~",2))+1,FIND("~",SUBSTITUTE($AT637,"-","~",3))-FIND("~",SUBSTITUTE($AT637,"-","~",2))-1))</f>
        <v/>
      </c>
      <c r="AW637">
        <f>IF($AU637="","",IFERROR(VLOOKUP($AU637,DECODE!$A$3:$C$8,3,FALSE),"?"))</f>
        <v/>
      </c>
      <c r="AX637">
        <f>IF($AV637="","",IFERROR(VLOOKUP($AU637&amp;"-"&amp;$AV637,DECODE!$E$3:$F$21,2,FALSE),"?"))</f>
        <v/>
      </c>
      <c r="AY637">
        <f>IF($AT637="","",IFERROR(VALUE(RIGHT($AT637,3)),""))</f>
        <v/>
      </c>
      <c r="AZ637">
        <f>IF($U637="","",IFERROR(IF(ISNUMBER($U637),$U637,DATEVALUE(TRIM($U637))),""))</f>
        <v/>
      </c>
      <c r="BA637">
        <f>IF($AZ637="","",IF(MONTH($AZ637)&gt;=12,"Cold Winter",IF(MONTH($AZ637)&gt;=10,"Post-Monsoon",IF(MONTH($AZ637)&gt;=6,"Hot Humid",IF(MONTH($AZ637)&gt;=3,"Hot Dry","Cold Winter")))))</f>
        <v/>
      </c>
      <c r="BB637">
        <f>IF($AU637="","",IFERROR(VLOOKUP($AU637,DECODE!$A$3:$C$8,2,FALSE),"?"))</f>
        <v/>
      </c>
      <c r="BC637">
        <f>IF($P637="","",UPPER(TRIM(LEFT($P637&amp;",",FIND(",",$P637&amp;",")-1))))</f>
        <v/>
      </c>
      <c r="BD637">
        <f>IF($BC637="","",MID($BC637,4,FIND("~",SUBSTITUTE($BC637,"-","~",2))-4))</f>
        <v/>
      </c>
      <c r="BE637">
        <f>IF($BC637="","",MID($BC637,FIND("~",SUBSTITUTE($BC637,"-","~",2))+1,FIND("~",SUBSTITUTE($BC637,"-","~",3))-FIND("~",SUBSTITUTE($BC637,"-","~",2))-1))</f>
        <v/>
      </c>
      <c r="BF637">
        <f>IF($BD637="","",IFERROR(VLOOKUP($BD637,DECODE!$A$3:$C$8,3,FALSE),"?"))</f>
        <v/>
      </c>
      <c r="BG637">
        <f>IF($BE637="","",IFERROR(VLOOKUP($BD637&amp;"-"&amp;$BE637,DECODE!$E$3:$F$21,2,FALSE),"?"))</f>
        <v/>
      </c>
      <c r="BH637">
        <f>IF($BC637="","",IFERROR(VALUE(RIGHT($BC637,3)),""))</f>
        <v/>
      </c>
      <c r="BI637">
        <f>IF($V637="","",IFERROR(IF(ISNUMBER($V637),$V637,DATEVALUE(TRIM($V637))),""))</f>
        <v/>
      </c>
      <c r="BJ637">
        <f>IF($BI637="","",IF(MONTH($BI637)&gt;=12,"Cold Winter",IF(MONTH($BI637)&gt;=10,"Post-Monsoon",IF(MONTH($BI637)&gt;=6,"Hot Humid",IF(MONTH($BI637)&gt;=3,"Hot Dry","Cold Winter")))))</f>
        <v/>
      </c>
      <c r="BK637">
        <f>IF($BD637="","",IFERROR(VLOOKUP($BD637,DECODE!$A$3:$C$8,2,FALSE),"?"))</f>
        <v/>
      </c>
      <c r="BL637">
        <f>IF($Q637="","",UPPER(TRIM(LEFT($Q637&amp;",",FIND(",",$Q637&amp;",")-1))))</f>
        <v/>
      </c>
      <c r="BM637">
        <f>IF($BL637="","",MID($BL637,4,FIND("~",SUBSTITUTE($BL637,"-","~",2))-4))</f>
        <v/>
      </c>
      <c r="BN637">
        <f>IF($BL637="","",MID($BL637,FIND("~",SUBSTITUTE($BL637,"-","~",2))+1,FIND("~",SUBSTITUTE($BL637,"-","~",3))-FIND("~",SUBSTITUTE($BL637,"-","~",2))-1))</f>
        <v/>
      </c>
      <c r="BO637">
        <f>IF($BM637="","",IFERROR(VLOOKUP($BM637,DECODE!$A$3:$C$8,3,FALSE),"?"))</f>
        <v/>
      </c>
      <c r="BP637">
        <f>IF($BN637="","",IFERROR(VLOOKUP($BM637&amp;"-"&amp;$BN637,DECODE!$E$3:$F$21,2,FALSE),"?"))</f>
        <v/>
      </c>
      <c r="BQ637">
        <f>IF($BL637="","",IFERROR(VALUE(RIGHT($BL637,3)),""))</f>
        <v/>
      </c>
      <c r="BR637">
        <f>IF($W637="","",IFERROR(IF(ISNUMBER($W637),$W637,DATEVALUE(TRIM($W637))),""))</f>
        <v/>
      </c>
      <c r="BS637">
        <f>IF($BR637="","",IF(MONTH($BR637)&gt;=12,"Cold Winter",IF(MONTH($BR637)&gt;=10,"Post-Monsoon",IF(MONTH($BR637)&gt;=6,"Hot Humid",IF(MONTH($BR637)&gt;=3,"Hot Dry","Cold Winter")))))</f>
        <v/>
      </c>
      <c r="BT637">
        <f>IF($BM637="","",IFERROR(VLOOKUP($BM637,DECODE!$A$3:$C$8,2,FALSE),"?"))</f>
        <v/>
      </c>
      <c r="BU637">
        <f>IF($R637="","",UPPER(TRIM(LEFT($R637&amp;",",FIND(",",$R637&amp;",")-1))))</f>
        <v/>
      </c>
      <c r="BV637">
        <f>IF($BU637="","",MID($BU637,4,FIND("~",SUBSTITUTE($BU637,"-","~",2))-4))</f>
        <v/>
      </c>
      <c r="BW637">
        <f>IF($BU637="","",MID($BU637,FIND("~",SUBSTITUTE($BU637,"-","~",2))+1,FIND("~",SUBSTITUTE($BU637,"-","~",3))-FIND("~",SUBSTITUTE($BU637,"-","~",2))-1))</f>
        <v/>
      </c>
      <c r="BX637">
        <f>IF($BV637="","",IFERROR(VLOOKUP($BV637,DECODE!$A$3:$C$8,3,FALSE),"?"))</f>
        <v/>
      </c>
      <c r="BY637">
        <f>IF($BW637="","",IFERROR(VLOOKUP($BV637&amp;"-"&amp;$BW637,DECODE!$E$3:$F$21,2,FALSE),"?"))</f>
        <v/>
      </c>
      <c r="BZ637">
        <f>IF($BU637="","",IFERROR(VALUE(RIGHT($BU637,3)),""))</f>
        <v/>
      </c>
      <c r="CA637">
        <f>IF($X637="","",IFERROR(IF(ISNUMBER($X637),$X637,DATEVALUE(TRIM($X637))),""))</f>
        <v/>
      </c>
      <c r="CB637">
        <f>IF($CA637="","",IF(MONTH($CA637)&gt;=12,"Cold Winter",IF(MONTH($CA637)&gt;=10,"Post-Monsoon",IF(MONTH($CA637)&gt;=6,"Hot Humid",IF(MONTH($CA637)&gt;=3,"Hot Dry","Cold Winter")))))</f>
        <v/>
      </c>
      <c r="CC637">
        <f>IF($BV637="","",IFERROR(VLOOKUP($BV637,DECODE!$A$3:$C$8,2,FALSE),"?"))</f>
        <v/>
      </c>
      <c r="CD637">
        <f>IF($S637="","",UPPER(TRIM(LEFT($S637&amp;",",FIND(",",$S637&amp;",")-1))))</f>
        <v/>
      </c>
      <c r="CE637">
        <f>IF($CD637="","",MID($CD637,4,FIND("~",SUBSTITUTE($CD637,"-","~",2))-4))</f>
        <v/>
      </c>
      <c r="CF637">
        <f>IF($CD637="","",MID($CD637,FIND("~",SUBSTITUTE($CD637,"-","~",2))+1,FIND("~",SUBSTITUTE($CD637,"-","~",3))-FIND("~",SUBSTITUTE($CD637,"-","~",2))-1))</f>
        <v/>
      </c>
      <c r="CG637">
        <f>IF($CE637="","",IFERROR(VLOOKUP($CE637,DECODE!$A$3:$C$8,3,FALSE),"?"))</f>
        <v/>
      </c>
      <c r="CH637">
        <f>IF($CF637="","",IFERROR(VLOOKUP($CE637&amp;"-"&amp;$CF637,DECODE!$E$3:$F$21,2,FALSE),"?"))</f>
        <v/>
      </c>
      <c r="CI637">
        <f>IF($CD637="","",IFERROR(VALUE(RIGHT($CD637,3)),""))</f>
        <v/>
      </c>
      <c r="CJ637">
        <f>IF($Y637="","",IFERROR(IF(ISNUMBER($Y637),$Y637,DATEVALUE(TRIM($Y637))),""))</f>
        <v/>
      </c>
      <c r="CK637">
        <f>IF($CJ637="","",IF(MONTH($CJ637)&gt;=12,"Cold Winter",IF(MONTH($CJ637)&gt;=10,"Post-Monsoon",IF(MONTH($CJ637)&gt;=6,"Hot Humid",IF(MONTH($CJ637)&gt;=3,"Hot Dry","Cold Winter")))))</f>
        <v/>
      </c>
      <c r="CL637">
        <f>IF($CE637="","",IFERROR(VLOOKUP($CE637,DECODE!$A$3:$C$8,2,FALSE),"?"))</f>
        <v/>
      </c>
      <c r="CM637">
        <f>IF($AN637="","",AN637)</f>
        <v/>
      </c>
      <c r="CN637">
        <f>IF($AO637="","",AO637)</f>
        <v/>
      </c>
      <c r="CO637">
        <f>IF($AP637="","",AP637)</f>
        <v/>
      </c>
      <c r="CP637">
        <f>IF($CM637="","",IF($CM637="Aloe Vera Gel","Aloe Vera Gel "&amp;$CO637&amp;"g",CN637&amp;" "&amp;$CO637&amp;"g"))</f>
        <v/>
      </c>
      <c r="CQ637">
        <f>IF($AT637="",0,1)</f>
        <v/>
      </c>
      <c r="CR637">
        <f>IF($CQ637=0,"",AW637)</f>
        <v/>
      </c>
      <c r="CS637">
        <f>IF($CQ637=0,"",AX637)</f>
        <v/>
      </c>
      <c r="CT637">
        <f>IF($CQ637=0,"",AY637)</f>
        <v/>
      </c>
      <c r="CU637">
        <f>IF($CR637="","",IF($CR637="Aloe Vera Gel","Aloe Vera Gel "&amp;$CT637&amp;"g",CS637&amp;" "&amp;$CT637&amp;"g"))</f>
        <v/>
      </c>
      <c r="CV637">
        <f>IF($CQ637=0,"",IF($CP637=$CU637,"Repeat Exact",IF($CT637&gt;$CO637,"Upsized",IF($CT637&lt;$CO637,"Downsized",IF($CM637&lt;&gt;$CR637,"Lateral","Same Size Diff Variant")))))</f>
        <v/>
      </c>
      <c r="CW637">
        <f>IF($CQ637=0,"",AZ637-AQ637)</f>
        <v/>
      </c>
      <c r="CX637">
        <f>IF($CQ637=0,0,IF(CS637=CN637,1,0))</f>
        <v/>
      </c>
      <c r="CY637">
        <f>IF($CQ637=0,0,IF(CR637=CM637,1,0))</f>
        <v/>
      </c>
      <c r="CZ637">
        <f>IF($A637="","",IF(AND(IF(DASHBOARD!$C$4="All",TRUE,$CM637=DASHBOARD!$C$4),IF(DASHBOARD!$C$6="All",TRUE,$CP637=DASHBOARD!$C$6),IF(DASHBOARD!$C$8="All",TRUE,$AF637&gt;=DASHBOARD!$C$8),IF(DASHBOARD!$C$10="All",TRUE,$AF637&lt;=DASHBOARD!$C$10),IF(DASHBOARD!$C$12="All",TRUE,$AH637=VALUE(DASHBOARD!$C$12)),IF(DASHBOARD!$C$14="All",TRUE,$AJ637=DASHBOARD!$C$14)),1,0))</f>
        <v/>
      </c>
    </row>
    <row r="638">
      <c r="A638" t="n">
        <v>274975</v>
      </c>
      <c r="B638" t="inlineStr">
        <is>
          <t>Face Malai</t>
        </is>
      </c>
      <c r="H638" t="inlineStr">
        <is>
          <t>Turmeric Nutmeg (Pigmentation)  Face Malai - 30g</t>
        </is>
      </c>
      <c r="N638" t="inlineStr">
        <is>
          <t>FC-DM-PG-030</t>
        </is>
      </c>
      <c r="T638" t="inlineStr">
        <is>
          <t>Jun 26, 2024</t>
        </is>
      </c>
      <c r="AE638" t="inlineStr">
        <is>
          <t>Kolkata</t>
        </is>
      </c>
      <c r="AF638" t="inlineStr">
        <is>
          <t>2024-06</t>
        </is>
      </c>
      <c r="AG638" t="n">
        <v>6</v>
      </c>
      <c r="AH638" t="n">
        <v>1</v>
      </c>
      <c r="AI638" t="n">
        <v>0</v>
      </c>
      <c r="AJ638">
        <f>IF($AE638="","",IFERROR(VLOOKUP(TRIM($AE638),DECODE!$H$3:$I$60,2,FALSE),"Rest of India"))</f>
        <v/>
      </c>
      <c r="AK638">
        <f>IF($N638="","",UPPER(TRIM(LEFT($N638&amp;",",FIND(",",$N638&amp;",")-1))))</f>
        <v/>
      </c>
      <c r="AL638">
        <f>IF($AK638="","",MID($AK638,4,FIND("~",SUBSTITUTE($AK638,"-","~",2))-4))</f>
        <v/>
      </c>
      <c r="AM638">
        <f>IF($AK638="","",MID($AK638,FIND("~",SUBSTITUTE($AK638,"-","~",2))+1,FIND("~",SUBSTITUTE($AK638,"-","~",3))-FIND("~",SUBSTITUTE($AK638,"-","~",2))-1))</f>
        <v/>
      </c>
      <c r="AN638">
        <f>IF($AL638="","",IFERROR(VLOOKUP($AL638,DECODE!$A$3:$C$8,3,FALSE),"?"))</f>
        <v/>
      </c>
      <c r="AO638">
        <f>IF($AM638="","",IFERROR(VLOOKUP($AL638&amp;"-"&amp;$AM638,DECODE!$E$3:$F$21,2,FALSE),"?"))</f>
        <v/>
      </c>
      <c r="AP638">
        <f>IF($AK638="","",IFERROR(VALUE(RIGHT($AK638,3)),""))</f>
        <v/>
      </c>
      <c r="AQ638">
        <f>IF($T638="","",IFERROR(IF(ISNUMBER($T638),$T638,DATEVALUE(TRIM($T638))),""))</f>
        <v/>
      </c>
      <c r="AR638">
        <f>IF($AQ638="","",IF(MONTH($AQ638)&gt;=12,"Cold Winter",IF(MONTH($AQ638)&gt;=10,"Post-Monsoon",IF(MONTH($AQ638)&gt;=6,"Hot Humid",IF(MONTH($AQ638)&gt;=3,"Hot Dry","Cold Winter")))))</f>
        <v/>
      </c>
      <c r="AS638">
        <f>IF($AL638="","",IFERROR(VLOOKUP($AL638,DECODE!$A$3:$C$8,2,FALSE),"?"))</f>
        <v/>
      </c>
      <c r="AT638">
        <f>IF($O638="","",UPPER(TRIM(LEFT($O638&amp;",",FIND(",",$O638&amp;",")-1))))</f>
        <v/>
      </c>
      <c r="AU638">
        <f>IF($AT638="","",MID($AT638,4,FIND("~",SUBSTITUTE($AT638,"-","~",2))-4))</f>
        <v/>
      </c>
      <c r="AV638">
        <f>IF($AT638="","",MID($AT638,FIND("~",SUBSTITUTE($AT638,"-","~",2))+1,FIND("~",SUBSTITUTE($AT638,"-","~",3))-FIND("~",SUBSTITUTE($AT638,"-","~",2))-1))</f>
        <v/>
      </c>
      <c r="AW638">
        <f>IF($AU638="","",IFERROR(VLOOKUP($AU638,DECODE!$A$3:$C$8,3,FALSE),"?"))</f>
        <v/>
      </c>
      <c r="AX638">
        <f>IF($AV638="","",IFERROR(VLOOKUP($AU638&amp;"-"&amp;$AV638,DECODE!$E$3:$F$21,2,FALSE),"?"))</f>
        <v/>
      </c>
      <c r="AY638">
        <f>IF($AT638="","",IFERROR(VALUE(RIGHT($AT638,3)),""))</f>
        <v/>
      </c>
      <c r="AZ638">
        <f>IF($U638="","",IFERROR(IF(ISNUMBER($U638),$U638,DATEVALUE(TRIM($U638))),""))</f>
        <v/>
      </c>
      <c r="BA638">
        <f>IF($AZ638="","",IF(MONTH($AZ638)&gt;=12,"Cold Winter",IF(MONTH($AZ638)&gt;=10,"Post-Monsoon",IF(MONTH($AZ638)&gt;=6,"Hot Humid",IF(MONTH($AZ638)&gt;=3,"Hot Dry","Cold Winter")))))</f>
        <v/>
      </c>
      <c r="BB638">
        <f>IF($AU638="","",IFERROR(VLOOKUP($AU638,DECODE!$A$3:$C$8,2,FALSE),"?"))</f>
        <v/>
      </c>
      <c r="BC638">
        <f>IF($P638="","",UPPER(TRIM(LEFT($P638&amp;",",FIND(",",$P638&amp;",")-1))))</f>
        <v/>
      </c>
      <c r="BD638">
        <f>IF($BC638="","",MID($BC638,4,FIND("~",SUBSTITUTE($BC638,"-","~",2))-4))</f>
        <v/>
      </c>
      <c r="BE638">
        <f>IF($BC638="","",MID($BC638,FIND("~",SUBSTITUTE($BC638,"-","~",2))+1,FIND("~",SUBSTITUTE($BC638,"-","~",3))-FIND("~",SUBSTITUTE($BC638,"-","~",2))-1))</f>
        <v/>
      </c>
      <c r="BF638">
        <f>IF($BD638="","",IFERROR(VLOOKUP($BD638,DECODE!$A$3:$C$8,3,FALSE),"?"))</f>
        <v/>
      </c>
      <c r="BG638">
        <f>IF($BE638="","",IFERROR(VLOOKUP($BD638&amp;"-"&amp;$BE638,DECODE!$E$3:$F$21,2,FALSE),"?"))</f>
        <v/>
      </c>
      <c r="BH638">
        <f>IF($BC638="","",IFERROR(VALUE(RIGHT($BC638,3)),""))</f>
        <v/>
      </c>
      <c r="BI638">
        <f>IF($V638="","",IFERROR(IF(ISNUMBER($V638),$V638,DATEVALUE(TRIM($V638))),""))</f>
        <v/>
      </c>
      <c r="BJ638">
        <f>IF($BI638="","",IF(MONTH($BI638)&gt;=12,"Cold Winter",IF(MONTH($BI638)&gt;=10,"Post-Monsoon",IF(MONTH($BI638)&gt;=6,"Hot Humid",IF(MONTH($BI638)&gt;=3,"Hot Dry","Cold Winter")))))</f>
        <v/>
      </c>
      <c r="BK638">
        <f>IF($BD638="","",IFERROR(VLOOKUP($BD638,DECODE!$A$3:$C$8,2,FALSE),"?"))</f>
        <v/>
      </c>
      <c r="BL638">
        <f>IF($Q638="","",UPPER(TRIM(LEFT($Q638&amp;",",FIND(",",$Q638&amp;",")-1))))</f>
        <v/>
      </c>
      <c r="BM638">
        <f>IF($BL638="","",MID($BL638,4,FIND("~",SUBSTITUTE($BL638,"-","~",2))-4))</f>
        <v/>
      </c>
      <c r="BN638">
        <f>IF($BL638="","",MID($BL638,FIND("~",SUBSTITUTE($BL638,"-","~",2))+1,FIND("~",SUBSTITUTE($BL638,"-","~",3))-FIND("~",SUBSTITUTE($BL638,"-","~",2))-1))</f>
        <v/>
      </c>
      <c r="BO638">
        <f>IF($BM638="","",IFERROR(VLOOKUP($BM638,DECODE!$A$3:$C$8,3,FALSE),"?"))</f>
        <v/>
      </c>
      <c r="BP638">
        <f>IF($BN638="","",IFERROR(VLOOKUP($BM638&amp;"-"&amp;$BN638,DECODE!$E$3:$F$21,2,FALSE),"?"))</f>
        <v/>
      </c>
      <c r="BQ638">
        <f>IF($BL638="","",IFERROR(VALUE(RIGHT($BL638,3)),""))</f>
        <v/>
      </c>
      <c r="BR638">
        <f>IF($W638="","",IFERROR(IF(ISNUMBER($W638),$W638,DATEVALUE(TRIM($W638))),""))</f>
        <v/>
      </c>
      <c r="BS638">
        <f>IF($BR638="","",IF(MONTH($BR638)&gt;=12,"Cold Winter",IF(MONTH($BR638)&gt;=10,"Post-Monsoon",IF(MONTH($BR638)&gt;=6,"Hot Humid",IF(MONTH($BR638)&gt;=3,"Hot Dry","Cold Winter")))))</f>
        <v/>
      </c>
      <c r="BT638">
        <f>IF($BM638="","",IFERROR(VLOOKUP($BM638,DECODE!$A$3:$C$8,2,FALSE),"?"))</f>
        <v/>
      </c>
      <c r="BU638">
        <f>IF($R638="","",UPPER(TRIM(LEFT($R638&amp;",",FIND(",",$R638&amp;",")-1))))</f>
        <v/>
      </c>
      <c r="BV638">
        <f>IF($BU638="","",MID($BU638,4,FIND("~",SUBSTITUTE($BU638,"-","~",2))-4))</f>
        <v/>
      </c>
      <c r="BW638">
        <f>IF($BU638="","",MID($BU638,FIND("~",SUBSTITUTE($BU638,"-","~",2))+1,FIND("~",SUBSTITUTE($BU638,"-","~",3))-FIND("~",SUBSTITUTE($BU638,"-","~",2))-1))</f>
        <v/>
      </c>
      <c r="BX638">
        <f>IF($BV638="","",IFERROR(VLOOKUP($BV638,DECODE!$A$3:$C$8,3,FALSE),"?"))</f>
        <v/>
      </c>
      <c r="BY638">
        <f>IF($BW638="","",IFERROR(VLOOKUP($BV638&amp;"-"&amp;$BW638,DECODE!$E$3:$F$21,2,FALSE),"?"))</f>
        <v/>
      </c>
      <c r="BZ638">
        <f>IF($BU638="","",IFERROR(VALUE(RIGHT($BU638,3)),""))</f>
        <v/>
      </c>
      <c r="CA638">
        <f>IF($X638="","",IFERROR(IF(ISNUMBER($X638),$X638,DATEVALUE(TRIM($X638))),""))</f>
        <v/>
      </c>
      <c r="CB638">
        <f>IF($CA638="","",IF(MONTH($CA638)&gt;=12,"Cold Winter",IF(MONTH($CA638)&gt;=10,"Post-Monsoon",IF(MONTH($CA638)&gt;=6,"Hot Humid",IF(MONTH($CA638)&gt;=3,"Hot Dry","Cold Winter")))))</f>
        <v/>
      </c>
      <c r="CC638">
        <f>IF($BV638="","",IFERROR(VLOOKUP($BV638,DECODE!$A$3:$C$8,2,FALSE),"?"))</f>
        <v/>
      </c>
      <c r="CD638">
        <f>IF($S638="","",UPPER(TRIM(LEFT($S638&amp;",",FIND(",",$S638&amp;",")-1))))</f>
        <v/>
      </c>
      <c r="CE638">
        <f>IF($CD638="","",MID($CD638,4,FIND("~",SUBSTITUTE($CD638,"-","~",2))-4))</f>
        <v/>
      </c>
      <c r="CF638">
        <f>IF($CD638="","",MID($CD638,FIND("~",SUBSTITUTE($CD638,"-","~",2))+1,FIND("~",SUBSTITUTE($CD638,"-","~",3))-FIND("~",SUBSTITUTE($CD638,"-","~",2))-1))</f>
        <v/>
      </c>
      <c r="CG638">
        <f>IF($CE638="","",IFERROR(VLOOKUP($CE638,DECODE!$A$3:$C$8,3,FALSE),"?"))</f>
        <v/>
      </c>
      <c r="CH638">
        <f>IF($CF638="","",IFERROR(VLOOKUP($CE638&amp;"-"&amp;$CF638,DECODE!$E$3:$F$21,2,FALSE),"?"))</f>
        <v/>
      </c>
      <c r="CI638">
        <f>IF($CD638="","",IFERROR(VALUE(RIGHT($CD638,3)),""))</f>
        <v/>
      </c>
      <c r="CJ638">
        <f>IF($Y638="","",IFERROR(IF(ISNUMBER($Y638),$Y638,DATEVALUE(TRIM($Y638))),""))</f>
        <v/>
      </c>
      <c r="CK638">
        <f>IF($CJ638="","",IF(MONTH($CJ638)&gt;=12,"Cold Winter",IF(MONTH($CJ638)&gt;=10,"Post-Monsoon",IF(MONTH($CJ638)&gt;=6,"Hot Humid",IF(MONTH($CJ638)&gt;=3,"Hot Dry","Cold Winter")))))</f>
        <v/>
      </c>
      <c r="CL638">
        <f>IF($CE638="","",IFERROR(VLOOKUP($CE638,DECODE!$A$3:$C$8,2,FALSE),"?"))</f>
        <v/>
      </c>
      <c r="CM638">
        <f>IF($AN638="","",AN638)</f>
        <v/>
      </c>
      <c r="CN638">
        <f>IF($AO638="","",AO638)</f>
        <v/>
      </c>
      <c r="CO638">
        <f>IF($AP638="","",AP638)</f>
        <v/>
      </c>
      <c r="CP638">
        <f>IF($CM638="","",IF($CM638="Aloe Vera Gel","Aloe Vera Gel "&amp;$CO638&amp;"g",CN638&amp;" "&amp;$CO638&amp;"g"))</f>
        <v/>
      </c>
      <c r="CQ638">
        <f>IF($AT638="",0,1)</f>
        <v/>
      </c>
      <c r="CR638">
        <f>IF($CQ638=0,"",AW638)</f>
        <v/>
      </c>
      <c r="CS638">
        <f>IF($CQ638=0,"",AX638)</f>
        <v/>
      </c>
      <c r="CT638">
        <f>IF($CQ638=0,"",AY638)</f>
        <v/>
      </c>
      <c r="CU638">
        <f>IF($CR638="","",IF($CR638="Aloe Vera Gel","Aloe Vera Gel "&amp;$CT638&amp;"g",CS638&amp;" "&amp;$CT638&amp;"g"))</f>
        <v/>
      </c>
      <c r="CV638">
        <f>IF($CQ638=0,"",IF($CP638=$CU638,"Repeat Exact",IF($CT638&gt;$CO638,"Upsized",IF($CT638&lt;$CO638,"Downsized",IF($CM638&lt;&gt;$CR638,"Lateral","Same Size Diff Variant")))))</f>
        <v/>
      </c>
      <c r="CW638">
        <f>IF($CQ638=0,"",AZ638-AQ638)</f>
        <v/>
      </c>
      <c r="CX638">
        <f>IF($CQ638=0,0,IF(CS638=CN638,1,0))</f>
        <v/>
      </c>
      <c r="CY638">
        <f>IF($CQ638=0,0,IF(CR638=CM638,1,0))</f>
        <v/>
      </c>
      <c r="CZ638">
        <f>IF($A638="","",IF(AND(IF(DASHBOARD!$C$4="All",TRUE,$CM638=DASHBOARD!$C$4),IF(DASHBOARD!$C$6="All",TRUE,$CP638=DASHBOARD!$C$6),IF(DASHBOARD!$C$8="All",TRUE,$AF638&gt;=DASHBOARD!$C$8),IF(DASHBOARD!$C$10="All",TRUE,$AF638&lt;=DASHBOARD!$C$10),IF(DASHBOARD!$C$12="All",TRUE,$AH638=VALUE(DASHBOARD!$C$12)),IF(DASHBOARD!$C$14="All",TRUE,$AJ638=DASHBOARD!$C$14)),1,0))</f>
        <v/>
      </c>
    </row>
    <row r="639">
      <c r="A639" t="n">
        <v>275175</v>
      </c>
      <c r="B639" t="inlineStr">
        <is>
          <t>Face Malai</t>
        </is>
      </c>
      <c r="H639" t="inlineStr">
        <is>
          <t>Flax Carrot (Hot Humid) 35+ Face Malai - 30g, Cocoa Mogra (Overnight) Face Malai - 30g</t>
        </is>
      </c>
      <c r="N639" t="inlineStr">
        <is>
          <t>FC-DM-NR-030, FC-HHDM-FC-030</t>
        </is>
      </c>
      <c r="T639" t="inlineStr">
        <is>
          <t>Jul 11, 2025</t>
        </is>
      </c>
      <c r="AE639" t="inlineStr">
        <is>
          <t>Coimbatore</t>
        </is>
      </c>
      <c r="AF639" t="inlineStr">
        <is>
          <t>2025-07</t>
        </is>
      </c>
      <c r="AG639" t="n">
        <v>7</v>
      </c>
      <c r="AH639" t="n">
        <v>1</v>
      </c>
      <c r="AI639" t="n">
        <v>0</v>
      </c>
      <c r="AJ639">
        <f>IF($AE639="","",IFERROR(VLOOKUP(TRIM($AE639),DECODE!$H$3:$I$60,2,FALSE),"Rest of India"))</f>
        <v/>
      </c>
      <c r="AK639">
        <f>IF($N639="","",UPPER(TRIM(LEFT($N639&amp;",",FIND(",",$N639&amp;",")-1))))</f>
        <v/>
      </c>
      <c r="AL639">
        <f>IF($AK639="","",MID($AK639,4,FIND("~",SUBSTITUTE($AK639,"-","~",2))-4))</f>
        <v/>
      </c>
      <c r="AM639">
        <f>IF($AK639="","",MID($AK639,FIND("~",SUBSTITUTE($AK639,"-","~",2))+1,FIND("~",SUBSTITUTE($AK639,"-","~",3))-FIND("~",SUBSTITUTE($AK639,"-","~",2))-1))</f>
        <v/>
      </c>
      <c r="AN639">
        <f>IF($AL639="","",IFERROR(VLOOKUP($AL639,DECODE!$A$3:$C$8,3,FALSE),"?"))</f>
        <v/>
      </c>
      <c r="AO639">
        <f>IF($AM639="","",IFERROR(VLOOKUP($AL639&amp;"-"&amp;$AM639,DECODE!$E$3:$F$21,2,FALSE),"?"))</f>
        <v/>
      </c>
      <c r="AP639">
        <f>IF($AK639="","",IFERROR(VALUE(RIGHT($AK639,3)),""))</f>
        <v/>
      </c>
      <c r="AQ639">
        <f>IF($T639="","",IFERROR(IF(ISNUMBER($T639),$T639,DATEVALUE(TRIM($T639))),""))</f>
        <v/>
      </c>
      <c r="AR639">
        <f>IF($AQ639="","",IF(MONTH($AQ639)&gt;=12,"Cold Winter",IF(MONTH($AQ639)&gt;=10,"Post-Monsoon",IF(MONTH($AQ639)&gt;=6,"Hot Humid",IF(MONTH($AQ639)&gt;=3,"Hot Dry","Cold Winter")))))</f>
        <v/>
      </c>
      <c r="AS639">
        <f>IF($AL639="","",IFERROR(VLOOKUP($AL639,DECODE!$A$3:$C$8,2,FALSE),"?"))</f>
        <v/>
      </c>
      <c r="AT639">
        <f>IF($O639="","",UPPER(TRIM(LEFT($O639&amp;",",FIND(",",$O639&amp;",")-1))))</f>
        <v/>
      </c>
      <c r="AU639">
        <f>IF($AT639="","",MID($AT639,4,FIND("~",SUBSTITUTE($AT639,"-","~",2))-4))</f>
        <v/>
      </c>
      <c r="AV639">
        <f>IF($AT639="","",MID($AT639,FIND("~",SUBSTITUTE($AT639,"-","~",2))+1,FIND("~",SUBSTITUTE($AT639,"-","~",3))-FIND("~",SUBSTITUTE($AT639,"-","~",2))-1))</f>
        <v/>
      </c>
      <c r="AW639">
        <f>IF($AU639="","",IFERROR(VLOOKUP($AU639,DECODE!$A$3:$C$8,3,FALSE),"?"))</f>
        <v/>
      </c>
      <c r="AX639">
        <f>IF($AV639="","",IFERROR(VLOOKUP($AU639&amp;"-"&amp;$AV639,DECODE!$E$3:$F$21,2,FALSE),"?"))</f>
        <v/>
      </c>
      <c r="AY639">
        <f>IF($AT639="","",IFERROR(VALUE(RIGHT($AT639,3)),""))</f>
        <v/>
      </c>
      <c r="AZ639">
        <f>IF($U639="","",IFERROR(IF(ISNUMBER($U639),$U639,DATEVALUE(TRIM($U639))),""))</f>
        <v/>
      </c>
      <c r="BA639">
        <f>IF($AZ639="","",IF(MONTH($AZ639)&gt;=12,"Cold Winter",IF(MONTH($AZ639)&gt;=10,"Post-Monsoon",IF(MONTH($AZ639)&gt;=6,"Hot Humid",IF(MONTH($AZ639)&gt;=3,"Hot Dry","Cold Winter")))))</f>
        <v/>
      </c>
      <c r="BB639">
        <f>IF($AU639="","",IFERROR(VLOOKUP($AU639,DECODE!$A$3:$C$8,2,FALSE),"?"))</f>
        <v/>
      </c>
      <c r="BC639">
        <f>IF($P639="","",UPPER(TRIM(LEFT($P639&amp;",",FIND(",",$P639&amp;",")-1))))</f>
        <v/>
      </c>
      <c r="BD639">
        <f>IF($BC639="","",MID($BC639,4,FIND("~",SUBSTITUTE($BC639,"-","~",2))-4))</f>
        <v/>
      </c>
      <c r="BE639">
        <f>IF($BC639="","",MID($BC639,FIND("~",SUBSTITUTE($BC639,"-","~",2))+1,FIND("~",SUBSTITUTE($BC639,"-","~",3))-FIND("~",SUBSTITUTE($BC639,"-","~",2))-1))</f>
        <v/>
      </c>
      <c r="BF639">
        <f>IF($BD639="","",IFERROR(VLOOKUP($BD639,DECODE!$A$3:$C$8,3,FALSE),"?"))</f>
        <v/>
      </c>
      <c r="BG639">
        <f>IF($BE639="","",IFERROR(VLOOKUP($BD639&amp;"-"&amp;$BE639,DECODE!$E$3:$F$21,2,FALSE),"?"))</f>
        <v/>
      </c>
      <c r="BH639">
        <f>IF($BC639="","",IFERROR(VALUE(RIGHT($BC639,3)),""))</f>
        <v/>
      </c>
      <c r="BI639">
        <f>IF($V639="","",IFERROR(IF(ISNUMBER($V639),$V639,DATEVALUE(TRIM($V639))),""))</f>
        <v/>
      </c>
      <c r="BJ639">
        <f>IF($BI639="","",IF(MONTH($BI639)&gt;=12,"Cold Winter",IF(MONTH($BI639)&gt;=10,"Post-Monsoon",IF(MONTH($BI639)&gt;=6,"Hot Humid",IF(MONTH($BI639)&gt;=3,"Hot Dry","Cold Winter")))))</f>
        <v/>
      </c>
      <c r="BK639">
        <f>IF($BD639="","",IFERROR(VLOOKUP($BD639,DECODE!$A$3:$C$8,2,FALSE),"?"))</f>
        <v/>
      </c>
      <c r="BL639">
        <f>IF($Q639="","",UPPER(TRIM(LEFT($Q639&amp;",",FIND(",",$Q639&amp;",")-1))))</f>
        <v/>
      </c>
      <c r="BM639">
        <f>IF($BL639="","",MID($BL639,4,FIND("~",SUBSTITUTE($BL639,"-","~",2))-4))</f>
        <v/>
      </c>
      <c r="BN639">
        <f>IF($BL639="","",MID($BL639,FIND("~",SUBSTITUTE($BL639,"-","~",2))+1,FIND("~",SUBSTITUTE($BL639,"-","~",3))-FIND("~",SUBSTITUTE($BL639,"-","~",2))-1))</f>
        <v/>
      </c>
      <c r="BO639">
        <f>IF($BM639="","",IFERROR(VLOOKUP($BM639,DECODE!$A$3:$C$8,3,FALSE),"?"))</f>
        <v/>
      </c>
      <c r="BP639">
        <f>IF($BN639="","",IFERROR(VLOOKUP($BM639&amp;"-"&amp;$BN639,DECODE!$E$3:$F$21,2,FALSE),"?"))</f>
        <v/>
      </c>
      <c r="BQ639">
        <f>IF($BL639="","",IFERROR(VALUE(RIGHT($BL639,3)),""))</f>
        <v/>
      </c>
      <c r="BR639">
        <f>IF($W639="","",IFERROR(IF(ISNUMBER($W639),$W639,DATEVALUE(TRIM($W639))),""))</f>
        <v/>
      </c>
      <c r="BS639">
        <f>IF($BR639="","",IF(MONTH($BR639)&gt;=12,"Cold Winter",IF(MONTH($BR639)&gt;=10,"Post-Monsoon",IF(MONTH($BR639)&gt;=6,"Hot Humid",IF(MONTH($BR639)&gt;=3,"Hot Dry","Cold Winter")))))</f>
        <v/>
      </c>
      <c r="BT639">
        <f>IF($BM639="","",IFERROR(VLOOKUP($BM639,DECODE!$A$3:$C$8,2,FALSE),"?"))</f>
        <v/>
      </c>
      <c r="BU639">
        <f>IF($R639="","",UPPER(TRIM(LEFT($R639&amp;",",FIND(",",$R639&amp;",")-1))))</f>
        <v/>
      </c>
      <c r="BV639">
        <f>IF($BU639="","",MID($BU639,4,FIND("~",SUBSTITUTE($BU639,"-","~",2))-4))</f>
        <v/>
      </c>
      <c r="BW639">
        <f>IF($BU639="","",MID($BU639,FIND("~",SUBSTITUTE($BU639,"-","~",2))+1,FIND("~",SUBSTITUTE($BU639,"-","~",3))-FIND("~",SUBSTITUTE($BU639,"-","~",2))-1))</f>
        <v/>
      </c>
      <c r="BX639">
        <f>IF($BV639="","",IFERROR(VLOOKUP($BV639,DECODE!$A$3:$C$8,3,FALSE),"?"))</f>
        <v/>
      </c>
      <c r="BY639">
        <f>IF($BW639="","",IFERROR(VLOOKUP($BV639&amp;"-"&amp;$BW639,DECODE!$E$3:$F$21,2,FALSE),"?"))</f>
        <v/>
      </c>
      <c r="BZ639">
        <f>IF($BU639="","",IFERROR(VALUE(RIGHT($BU639,3)),""))</f>
        <v/>
      </c>
      <c r="CA639">
        <f>IF($X639="","",IFERROR(IF(ISNUMBER($X639),$X639,DATEVALUE(TRIM($X639))),""))</f>
        <v/>
      </c>
      <c r="CB639">
        <f>IF($CA639="","",IF(MONTH($CA639)&gt;=12,"Cold Winter",IF(MONTH($CA639)&gt;=10,"Post-Monsoon",IF(MONTH($CA639)&gt;=6,"Hot Humid",IF(MONTH($CA639)&gt;=3,"Hot Dry","Cold Winter")))))</f>
        <v/>
      </c>
      <c r="CC639">
        <f>IF($BV639="","",IFERROR(VLOOKUP($BV639,DECODE!$A$3:$C$8,2,FALSE),"?"))</f>
        <v/>
      </c>
      <c r="CD639">
        <f>IF($S639="","",UPPER(TRIM(LEFT($S639&amp;",",FIND(",",$S639&amp;",")-1))))</f>
        <v/>
      </c>
      <c r="CE639">
        <f>IF($CD639="","",MID($CD639,4,FIND("~",SUBSTITUTE($CD639,"-","~",2))-4))</f>
        <v/>
      </c>
      <c r="CF639">
        <f>IF($CD639="","",MID($CD639,FIND("~",SUBSTITUTE($CD639,"-","~",2))+1,FIND("~",SUBSTITUTE($CD639,"-","~",3))-FIND("~",SUBSTITUTE($CD639,"-","~",2))-1))</f>
        <v/>
      </c>
      <c r="CG639">
        <f>IF($CE639="","",IFERROR(VLOOKUP($CE639,DECODE!$A$3:$C$8,3,FALSE),"?"))</f>
        <v/>
      </c>
      <c r="CH639">
        <f>IF($CF639="","",IFERROR(VLOOKUP($CE639&amp;"-"&amp;$CF639,DECODE!$E$3:$F$21,2,FALSE),"?"))</f>
        <v/>
      </c>
      <c r="CI639">
        <f>IF($CD639="","",IFERROR(VALUE(RIGHT($CD639,3)),""))</f>
        <v/>
      </c>
      <c r="CJ639">
        <f>IF($Y639="","",IFERROR(IF(ISNUMBER($Y639),$Y639,DATEVALUE(TRIM($Y639))),""))</f>
        <v/>
      </c>
      <c r="CK639">
        <f>IF($CJ639="","",IF(MONTH($CJ639)&gt;=12,"Cold Winter",IF(MONTH($CJ639)&gt;=10,"Post-Monsoon",IF(MONTH($CJ639)&gt;=6,"Hot Humid",IF(MONTH($CJ639)&gt;=3,"Hot Dry","Cold Winter")))))</f>
        <v/>
      </c>
      <c r="CL639">
        <f>IF($CE639="","",IFERROR(VLOOKUP($CE639,DECODE!$A$3:$C$8,2,FALSE),"?"))</f>
        <v/>
      </c>
      <c r="CM639">
        <f>IF($AN639="","",AN639)</f>
        <v/>
      </c>
      <c r="CN639">
        <f>IF($AO639="","",AO639)</f>
        <v/>
      </c>
      <c r="CO639">
        <f>IF($AP639="","",AP639)</f>
        <v/>
      </c>
      <c r="CP639">
        <f>IF($CM639="","",IF($CM639="Aloe Vera Gel","Aloe Vera Gel "&amp;$CO639&amp;"g",CN639&amp;" "&amp;$CO639&amp;"g"))</f>
        <v/>
      </c>
      <c r="CQ639">
        <f>IF($AT639="",0,1)</f>
        <v/>
      </c>
      <c r="CR639">
        <f>IF($CQ639=0,"",AW639)</f>
        <v/>
      </c>
      <c r="CS639">
        <f>IF($CQ639=0,"",AX639)</f>
        <v/>
      </c>
      <c r="CT639">
        <f>IF($CQ639=0,"",AY639)</f>
        <v/>
      </c>
      <c r="CU639">
        <f>IF($CR639="","",IF($CR639="Aloe Vera Gel","Aloe Vera Gel "&amp;$CT639&amp;"g",CS639&amp;" "&amp;$CT639&amp;"g"))</f>
        <v/>
      </c>
      <c r="CV639">
        <f>IF($CQ639=0,"",IF($CP639=$CU639,"Repeat Exact",IF($CT639&gt;$CO639,"Upsized",IF($CT639&lt;$CO639,"Downsized",IF($CM639&lt;&gt;$CR639,"Lateral","Same Size Diff Variant")))))</f>
        <v/>
      </c>
      <c r="CW639">
        <f>IF($CQ639=0,"",AZ639-AQ639)</f>
        <v/>
      </c>
      <c r="CX639">
        <f>IF($CQ639=0,0,IF(CS639=CN639,1,0))</f>
        <v/>
      </c>
      <c r="CY639">
        <f>IF($CQ639=0,0,IF(CR639=CM639,1,0))</f>
        <v/>
      </c>
      <c r="CZ639">
        <f>IF($A639="","",IF(AND(IF(DASHBOARD!$C$4="All",TRUE,$CM639=DASHBOARD!$C$4),IF(DASHBOARD!$C$6="All",TRUE,$CP639=DASHBOARD!$C$6),IF(DASHBOARD!$C$8="All",TRUE,$AF639&gt;=DASHBOARD!$C$8),IF(DASHBOARD!$C$10="All",TRUE,$AF639&lt;=DASHBOARD!$C$10),IF(DASHBOARD!$C$12="All",TRUE,$AH639=VALUE(DASHBOARD!$C$12)),IF(DASHBOARD!$C$14="All",TRUE,$AJ639=DASHBOARD!$C$14)),1,0))</f>
        <v/>
      </c>
    </row>
    <row r="640">
      <c r="A640" t="n">
        <v>275353</v>
      </c>
      <c r="B640" t="inlineStr">
        <is>
          <t>Face Malai</t>
        </is>
      </c>
      <c r="H640" t="inlineStr">
        <is>
          <t>Flax Carrot (Hot Humid) 35+ Face Malai - 30g</t>
        </is>
      </c>
      <c r="N640" t="inlineStr">
        <is>
          <t>FC-HHDM-FC-030</t>
        </is>
      </c>
      <c r="T640" t="inlineStr">
        <is>
          <t>Aug 11, 2024</t>
        </is>
      </c>
      <c r="AE640" t="inlineStr">
        <is>
          <t>Tirupattur</t>
        </is>
      </c>
      <c r="AF640" t="inlineStr">
        <is>
          <t>2024-08</t>
        </is>
      </c>
      <c r="AG640" t="n">
        <v>8</v>
      </c>
      <c r="AH640" t="n">
        <v>1</v>
      </c>
      <c r="AI640" t="n">
        <v>0</v>
      </c>
      <c r="AJ640">
        <f>IF($AE640="","",IFERROR(VLOOKUP(TRIM($AE640),DECODE!$H$3:$I$60,2,FALSE),"Rest of India"))</f>
        <v/>
      </c>
      <c r="AK640">
        <f>IF($N640="","",UPPER(TRIM(LEFT($N640&amp;",",FIND(",",$N640&amp;",")-1))))</f>
        <v/>
      </c>
      <c r="AL640">
        <f>IF($AK640="","",MID($AK640,4,FIND("~",SUBSTITUTE($AK640,"-","~",2))-4))</f>
        <v/>
      </c>
      <c r="AM640">
        <f>IF($AK640="","",MID($AK640,FIND("~",SUBSTITUTE($AK640,"-","~",2))+1,FIND("~",SUBSTITUTE($AK640,"-","~",3))-FIND("~",SUBSTITUTE($AK640,"-","~",2))-1))</f>
        <v/>
      </c>
      <c r="AN640">
        <f>IF($AL640="","",IFERROR(VLOOKUP($AL640,DECODE!$A$3:$C$8,3,FALSE),"?"))</f>
        <v/>
      </c>
      <c r="AO640">
        <f>IF($AM640="","",IFERROR(VLOOKUP($AL640&amp;"-"&amp;$AM640,DECODE!$E$3:$F$21,2,FALSE),"?"))</f>
        <v/>
      </c>
      <c r="AP640">
        <f>IF($AK640="","",IFERROR(VALUE(RIGHT($AK640,3)),""))</f>
        <v/>
      </c>
      <c r="AQ640">
        <f>IF($T640="","",IFERROR(IF(ISNUMBER($T640),$T640,DATEVALUE(TRIM($T640))),""))</f>
        <v/>
      </c>
      <c r="AR640">
        <f>IF($AQ640="","",IF(MONTH($AQ640)&gt;=12,"Cold Winter",IF(MONTH($AQ640)&gt;=10,"Post-Monsoon",IF(MONTH($AQ640)&gt;=6,"Hot Humid",IF(MONTH($AQ640)&gt;=3,"Hot Dry","Cold Winter")))))</f>
        <v/>
      </c>
      <c r="AS640">
        <f>IF($AL640="","",IFERROR(VLOOKUP($AL640,DECODE!$A$3:$C$8,2,FALSE),"?"))</f>
        <v/>
      </c>
      <c r="AT640">
        <f>IF($O640="","",UPPER(TRIM(LEFT($O640&amp;",",FIND(",",$O640&amp;",")-1))))</f>
        <v/>
      </c>
      <c r="AU640">
        <f>IF($AT640="","",MID($AT640,4,FIND("~",SUBSTITUTE($AT640,"-","~",2))-4))</f>
        <v/>
      </c>
      <c r="AV640">
        <f>IF($AT640="","",MID($AT640,FIND("~",SUBSTITUTE($AT640,"-","~",2))+1,FIND("~",SUBSTITUTE($AT640,"-","~",3))-FIND("~",SUBSTITUTE($AT640,"-","~",2))-1))</f>
        <v/>
      </c>
      <c r="AW640">
        <f>IF($AU640="","",IFERROR(VLOOKUP($AU640,DECODE!$A$3:$C$8,3,FALSE),"?"))</f>
        <v/>
      </c>
      <c r="AX640">
        <f>IF($AV640="","",IFERROR(VLOOKUP($AU640&amp;"-"&amp;$AV640,DECODE!$E$3:$F$21,2,FALSE),"?"))</f>
        <v/>
      </c>
      <c r="AY640">
        <f>IF($AT640="","",IFERROR(VALUE(RIGHT($AT640,3)),""))</f>
        <v/>
      </c>
      <c r="AZ640">
        <f>IF($U640="","",IFERROR(IF(ISNUMBER($U640),$U640,DATEVALUE(TRIM($U640))),""))</f>
        <v/>
      </c>
      <c r="BA640">
        <f>IF($AZ640="","",IF(MONTH($AZ640)&gt;=12,"Cold Winter",IF(MONTH($AZ640)&gt;=10,"Post-Monsoon",IF(MONTH($AZ640)&gt;=6,"Hot Humid",IF(MONTH($AZ640)&gt;=3,"Hot Dry","Cold Winter")))))</f>
        <v/>
      </c>
      <c r="BB640">
        <f>IF($AU640="","",IFERROR(VLOOKUP($AU640,DECODE!$A$3:$C$8,2,FALSE),"?"))</f>
        <v/>
      </c>
      <c r="BC640">
        <f>IF($P640="","",UPPER(TRIM(LEFT($P640&amp;",",FIND(",",$P640&amp;",")-1))))</f>
        <v/>
      </c>
      <c r="BD640">
        <f>IF($BC640="","",MID($BC640,4,FIND("~",SUBSTITUTE($BC640,"-","~",2))-4))</f>
        <v/>
      </c>
      <c r="BE640">
        <f>IF($BC640="","",MID($BC640,FIND("~",SUBSTITUTE($BC640,"-","~",2))+1,FIND("~",SUBSTITUTE($BC640,"-","~",3))-FIND("~",SUBSTITUTE($BC640,"-","~",2))-1))</f>
        <v/>
      </c>
      <c r="BF640">
        <f>IF($BD640="","",IFERROR(VLOOKUP($BD640,DECODE!$A$3:$C$8,3,FALSE),"?"))</f>
        <v/>
      </c>
      <c r="BG640">
        <f>IF($BE640="","",IFERROR(VLOOKUP($BD640&amp;"-"&amp;$BE640,DECODE!$E$3:$F$21,2,FALSE),"?"))</f>
        <v/>
      </c>
      <c r="BH640">
        <f>IF($BC640="","",IFERROR(VALUE(RIGHT($BC640,3)),""))</f>
        <v/>
      </c>
      <c r="BI640">
        <f>IF($V640="","",IFERROR(IF(ISNUMBER($V640),$V640,DATEVALUE(TRIM($V640))),""))</f>
        <v/>
      </c>
      <c r="BJ640">
        <f>IF($BI640="","",IF(MONTH($BI640)&gt;=12,"Cold Winter",IF(MONTH($BI640)&gt;=10,"Post-Monsoon",IF(MONTH($BI640)&gt;=6,"Hot Humid",IF(MONTH($BI640)&gt;=3,"Hot Dry","Cold Winter")))))</f>
        <v/>
      </c>
      <c r="BK640">
        <f>IF($BD640="","",IFERROR(VLOOKUP($BD640,DECODE!$A$3:$C$8,2,FALSE),"?"))</f>
        <v/>
      </c>
      <c r="BL640">
        <f>IF($Q640="","",UPPER(TRIM(LEFT($Q640&amp;",",FIND(",",$Q640&amp;",")-1))))</f>
        <v/>
      </c>
      <c r="BM640">
        <f>IF($BL640="","",MID($BL640,4,FIND("~",SUBSTITUTE($BL640,"-","~",2))-4))</f>
        <v/>
      </c>
      <c r="BN640">
        <f>IF($BL640="","",MID($BL640,FIND("~",SUBSTITUTE($BL640,"-","~",2))+1,FIND("~",SUBSTITUTE($BL640,"-","~",3))-FIND("~",SUBSTITUTE($BL640,"-","~",2))-1))</f>
        <v/>
      </c>
      <c r="BO640">
        <f>IF($BM640="","",IFERROR(VLOOKUP($BM640,DECODE!$A$3:$C$8,3,FALSE),"?"))</f>
        <v/>
      </c>
      <c r="BP640">
        <f>IF($BN640="","",IFERROR(VLOOKUP($BM640&amp;"-"&amp;$BN640,DECODE!$E$3:$F$21,2,FALSE),"?"))</f>
        <v/>
      </c>
      <c r="BQ640">
        <f>IF($BL640="","",IFERROR(VALUE(RIGHT($BL640,3)),""))</f>
        <v/>
      </c>
      <c r="BR640">
        <f>IF($W640="","",IFERROR(IF(ISNUMBER($W640),$W640,DATEVALUE(TRIM($W640))),""))</f>
        <v/>
      </c>
      <c r="BS640">
        <f>IF($BR640="","",IF(MONTH($BR640)&gt;=12,"Cold Winter",IF(MONTH($BR640)&gt;=10,"Post-Monsoon",IF(MONTH($BR640)&gt;=6,"Hot Humid",IF(MONTH($BR640)&gt;=3,"Hot Dry","Cold Winter")))))</f>
        <v/>
      </c>
      <c r="BT640">
        <f>IF($BM640="","",IFERROR(VLOOKUP($BM640,DECODE!$A$3:$C$8,2,FALSE),"?"))</f>
        <v/>
      </c>
      <c r="BU640">
        <f>IF($R640="","",UPPER(TRIM(LEFT($R640&amp;",",FIND(",",$R640&amp;",")-1))))</f>
        <v/>
      </c>
      <c r="BV640">
        <f>IF($BU640="","",MID($BU640,4,FIND("~",SUBSTITUTE($BU640,"-","~",2))-4))</f>
        <v/>
      </c>
      <c r="BW640">
        <f>IF($BU640="","",MID($BU640,FIND("~",SUBSTITUTE($BU640,"-","~",2))+1,FIND("~",SUBSTITUTE($BU640,"-","~",3))-FIND("~",SUBSTITUTE($BU640,"-","~",2))-1))</f>
        <v/>
      </c>
      <c r="BX640">
        <f>IF($BV640="","",IFERROR(VLOOKUP($BV640,DECODE!$A$3:$C$8,3,FALSE),"?"))</f>
        <v/>
      </c>
      <c r="BY640">
        <f>IF($BW640="","",IFERROR(VLOOKUP($BV640&amp;"-"&amp;$BW640,DECODE!$E$3:$F$21,2,FALSE),"?"))</f>
        <v/>
      </c>
      <c r="BZ640">
        <f>IF($BU640="","",IFERROR(VALUE(RIGHT($BU640,3)),""))</f>
        <v/>
      </c>
      <c r="CA640">
        <f>IF($X640="","",IFERROR(IF(ISNUMBER($X640),$X640,DATEVALUE(TRIM($X640))),""))</f>
        <v/>
      </c>
      <c r="CB640">
        <f>IF($CA640="","",IF(MONTH($CA640)&gt;=12,"Cold Winter",IF(MONTH($CA640)&gt;=10,"Post-Monsoon",IF(MONTH($CA640)&gt;=6,"Hot Humid",IF(MONTH($CA640)&gt;=3,"Hot Dry","Cold Winter")))))</f>
        <v/>
      </c>
      <c r="CC640">
        <f>IF($BV640="","",IFERROR(VLOOKUP($BV640,DECODE!$A$3:$C$8,2,FALSE),"?"))</f>
        <v/>
      </c>
      <c r="CD640">
        <f>IF($S640="","",UPPER(TRIM(LEFT($S640&amp;",",FIND(",",$S640&amp;",")-1))))</f>
        <v/>
      </c>
      <c r="CE640">
        <f>IF($CD640="","",MID($CD640,4,FIND("~",SUBSTITUTE($CD640,"-","~",2))-4))</f>
        <v/>
      </c>
      <c r="CF640">
        <f>IF($CD640="","",MID($CD640,FIND("~",SUBSTITUTE($CD640,"-","~",2))+1,FIND("~",SUBSTITUTE($CD640,"-","~",3))-FIND("~",SUBSTITUTE($CD640,"-","~",2))-1))</f>
        <v/>
      </c>
      <c r="CG640">
        <f>IF($CE640="","",IFERROR(VLOOKUP($CE640,DECODE!$A$3:$C$8,3,FALSE),"?"))</f>
        <v/>
      </c>
      <c r="CH640">
        <f>IF($CF640="","",IFERROR(VLOOKUP($CE640&amp;"-"&amp;$CF640,DECODE!$E$3:$F$21,2,FALSE),"?"))</f>
        <v/>
      </c>
      <c r="CI640">
        <f>IF($CD640="","",IFERROR(VALUE(RIGHT($CD640,3)),""))</f>
        <v/>
      </c>
      <c r="CJ640">
        <f>IF($Y640="","",IFERROR(IF(ISNUMBER($Y640),$Y640,DATEVALUE(TRIM($Y640))),""))</f>
        <v/>
      </c>
      <c r="CK640">
        <f>IF($CJ640="","",IF(MONTH($CJ640)&gt;=12,"Cold Winter",IF(MONTH($CJ640)&gt;=10,"Post-Monsoon",IF(MONTH($CJ640)&gt;=6,"Hot Humid",IF(MONTH($CJ640)&gt;=3,"Hot Dry","Cold Winter")))))</f>
        <v/>
      </c>
      <c r="CL640">
        <f>IF($CE640="","",IFERROR(VLOOKUP($CE640,DECODE!$A$3:$C$8,2,FALSE),"?"))</f>
        <v/>
      </c>
      <c r="CM640">
        <f>IF($AN640="","",AN640)</f>
        <v/>
      </c>
      <c r="CN640">
        <f>IF($AO640="","",AO640)</f>
        <v/>
      </c>
      <c r="CO640">
        <f>IF($AP640="","",AP640)</f>
        <v/>
      </c>
      <c r="CP640">
        <f>IF($CM640="","",IF($CM640="Aloe Vera Gel","Aloe Vera Gel "&amp;$CO640&amp;"g",CN640&amp;" "&amp;$CO640&amp;"g"))</f>
        <v/>
      </c>
      <c r="CQ640">
        <f>IF($AT640="",0,1)</f>
        <v/>
      </c>
      <c r="CR640">
        <f>IF($CQ640=0,"",AW640)</f>
        <v/>
      </c>
      <c r="CS640">
        <f>IF($CQ640=0,"",AX640)</f>
        <v/>
      </c>
      <c r="CT640">
        <f>IF($CQ640=0,"",AY640)</f>
        <v/>
      </c>
      <c r="CU640">
        <f>IF($CR640="","",IF($CR640="Aloe Vera Gel","Aloe Vera Gel "&amp;$CT640&amp;"g",CS640&amp;" "&amp;$CT640&amp;"g"))</f>
        <v/>
      </c>
      <c r="CV640">
        <f>IF($CQ640=0,"",IF($CP640=$CU640,"Repeat Exact",IF($CT640&gt;$CO640,"Upsized",IF($CT640&lt;$CO640,"Downsized",IF($CM640&lt;&gt;$CR640,"Lateral","Same Size Diff Variant")))))</f>
        <v/>
      </c>
      <c r="CW640">
        <f>IF($CQ640=0,"",AZ640-AQ640)</f>
        <v/>
      </c>
      <c r="CX640">
        <f>IF($CQ640=0,0,IF(CS640=CN640,1,0))</f>
        <v/>
      </c>
      <c r="CY640">
        <f>IF($CQ640=0,0,IF(CR640=CM640,1,0))</f>
        <v/>
      </c>
      <c r="CZ640">
        <f>IF($A640="","",IF(AND(IF(DASHBOARD!$C$4="All",TRUE,$CM640=DASHBOARD!$C$4),IF(DASHBOARD!$C$6="All",TRUE,$CP640=DASHBOARD!$C$6),IF(DASHBOARD!$C$8="All",TRUE,$AF640&gt;=DASHBOARD!$C$8),IF(DASHBOARD!$C$10="All",TRUE,$AF640&lt;=DASHBOARD!$C$10),IF(DASHBOARD!$C$12="All",TRUE,$AH640=VALUE(DASHBOARD!$C$12)),IF(DASHBOARD!$C$14="All",TRUE,$AJ640=DASHBOARD!$C$14)),1,0))</f>
        <v/>
      </c>
    </row>
    <row r="641">
      <c r="A641" t="n">
        <v>275494</v>
      </c>
      <c r="B641" t="inlineStr">
        <is>
          <t>Face Malai</t>
        </is>
      </c>
      <c r="H641" t="inlineStr">
        <is>
          <t>Tomato Patchouli (Cold) 20 - 35 Yrs Face Malai</t>
        </is>
      </c>
      <c r="N641" t="inlineStr">
        <is>
          <t>FC-CWDM-TP-030</t>
        </is>
      </c>
      <c r="T641" t="inlineStr">
        <is>
          <t>Jan 3, 2024</t>
        </is>
      </c>
      <c r="AE641" t="inlineStr">
        <is>
          <t>Nagpur</t>
        </is>
      </c>
      <c r="AF641" t="inlineStr">
        <is>
          <t>2024-01</t>
        </is>
      </c>
      <c r="AG641" t="n">
        <v>1</v>
      </c>
      <c r="AH641" t="n">
        <v>1</v>
      </c>
      <c r="AI641" t="n">
        <v>0</v>
      </c>
      <c r="AJ641">
        <f>IF($AE641="","",IFERROR(VLOOKUP(TRIM($AE641),DECODE!$H$3:$I$60,2,FALSE),"Rest of India"))</f>
        <v/>
      </c>
      <c r="AK641">
        <f>IF($N641="","",UPPER(TRIM(LEFT($N641&amp;",",FIND(",",$N641&amp;",")-1))))</f>
        <v/>
      </c>
      <c r="AL641">
        <f>IF($AK641="","",MID($AK641,4,FIND("~",SUBSTITUTE($AK641,"-","~",2))-4))</f>
        <v/>
      </c>
      <c r="AM641">
        <f>IF($AK641="","",MID($AK641,FIND("~",SUBSTITUTE($AK641,"-","~",2))+1,FIND("~",SUBSTITUTE($AK641,"-","~",3))-FIND("~",SUBSTITUTE($AK641,"-","~",2))-1))</f>
        <v/>
      </c>
      <c r="AN641">
        <f>IF($AL641="","",IFERROR(VLOOKUP($AL641,DECODE!$A$3:$C$8,3,FALSE),"?"))</f>
        <v/>
      </c>
      <c r="AO641">
        <f>IF($AM641="","",IFERROR(VLOOKUP($AL641&amp;"-"&amp;$AM641,DECODE!$E$3:$F$21,2,FALSE),"?"))</f>
        <v/>
      </c>
      <c r="AP641">
        <f>IF($AK641="","",IFERROR(VALUE(RIGHT($AK641,3)),""))</f>
        <v/>
      </c>
      <c r="AQ641">
        <f>IF($T641="","",IFERROR(IF(ISNUMBER($T641),$T641,DATEVALUE(TRIM($T641))),""))</f>
        <v/>
      </c>
      <c r="AR641">
        <f>IF($AQ641="","",IF(MONTH($AQ641)&gt;=12,"Cold Winter",IF(MONTH($AQ641)&gt;=10,"Post-Monsoon",IF(MONTH($AQ641)&gt;=6,"Hot Humid",IF(MONTH($AQ641)&gt;=3,"Hot Dry","Cold Winter")))))</f>
        <v/>
      </c>
      <c r="AS641">
        <f>IF($AL641="","",IFERROR(VLOOKUP($AL641,DECODE!$A$3:$C$8,2,FALSE),"?"))</f>
        <v/>
      </c>
      <c r="AT641">
        <f>IF($O641="","",UPPER(TRIM(LEFT($O641&amp;",",FIND(",",$O641&amp;",")-1))))</f>
        <v/>
      </c>
      <c r="AU641">
        <f>IF($AT641="","",MID($AT641,4,FIND("~",SUBSTITUTE($AT641,"-","~",2))-4))</f>
        <v/>
      </c>
      <c r="AV641">
        <f>IF($AT641="","",MID($AT641,FIND("~",SUBSTITUTE($AT641,"-","~",2))+1,FIND("~",SUBSTITUTE($AT641,"-","~",3))-FIND("~",SUBSTITUTE($AT641,"-","~",2))-1))</f>
        <v/>
      </c>
      <c r="AW641">
        <f>IF($AU641="","",IFERROR(VLOOKUP($AU641,DECODE!$A$3:$C$8,3,FALSE),"?"))</f>
        <v/>
      </c>
      <c r="AX641">
        <f>IF($AV641="","",IFERROR(VLOOKUP($AU641&amp;"-"&amp;$AV641,DECODE!$E$3:$F$21,2,FALSE),"?"))</f>
        <v/>
      </c>
      <c r="AY641">
        <f>IF($AT641="","",IFERROR(VALUE(RIGHT($AT641,3)),""))</f>
        <v/>
      </c>
      <c r="AZ641">
        <f>IF($U641="","",IFERROR(IF(ISNUMBER($U641),$U641,DATEVALUE(TRIM($U641))),""))</f>
        <v/>
      </c>
      <c r="BA641">
        <f>IF($AZ641="","",IF(MONTH($AZ641)&gt;=12,"Cold Winter",IF(MONTH($AZ641)&gt;=10,"Post-Monsoon",IF(MONTH($AZ641)&gt;=6,"Hot Humid",IF(MONTH($AZ641)&gt;=3,"Hot Dry","Cold Winter")))))</f>
        <v/>
      </c>
      <c r="BB641">
        <f>IF($AU641="","",IFERROR(VLOOKUP($AU641,DECODE!$A$3:$C$8,2,FALSE),"?"))</f>
        <v/>
      </c>
      <c r="BC641">
        <f>IF($P641="","",UPPER(TRIM(LEFT($P641&amp;",",FIND(",",$P641&amp;",")-1))))</f>
        <v/>
      </c>
      <c r="BD641">
        <f>IF($BC641="","",MID($BC641,4,FIND("~",SUBSTITUTE($BC641,"-","~",2))-4))</f>
        <v/>
      </c>
      <c r="BE641">
        <f>IF($BC641="","",MID($BC641,FIND("~",SUBSTITUTE($BC641,"-","~",2))+1,FIND("~",SUBSTITUTE($BC641,"-","~",3))-FIND("~",SUBSTITUTE($BC641,"-","~",2))-1))</f>
        <v/>
      </c>
      <c r="BF641">
        <f>IF($BD641="","",IFERROR(VLOOKUP($BD641,DECODE!$A$3:$C$8,3,FALSE),"?"))</f>
        <v/>
      </c>
      <c r="BG641">
        <f>IF($BE641="","",IFERROR(VLOOKUP($BD641&amp;"-"&amp;$BE641,DECODE!$E$3:$F$21,2,FALSE),"?"))</f>
        <v/>
      </c>
      <c r="BH641">
        <f>IF($BC641="","",IFERROR(VALUE(RIGHT($BC641,3)),""))</f>
        <v/>
      </c>
      <c r="BI641">
        <f>IF($V641="","",IFERROR(IF(ISNUMBER($V641),$V641,DATEVALUE(TRIM($V641))),""))</f>
        <v/>
      </c>
      <c r="BJ641">
        <f>IF($BI641="","",IF(MONTH($BI641)&gt;=12,"Cold Winter",IF(MONTH($BI641)&gt;=10,"Post-Monsoon",IF(MONTH($BI641)&gt;=6,"Hot Humid",IF(MONTH($BI641)&gt;=3,"Hot Dry","Cold Winter")))))</f>
        <v/>
      </c>
      <c r="BK641">
        <f>IF($BD641="","",IFERROR(VLOOKUP($BD641,DECODE!$A$3:$C$8,2,FALSE),"?"))</f>
        <v/>
      </c>
      <c r="BL641">
        <f>IF($Q641="","",UPPER(TRIM(LEFT($Q641&amp;",",FIND(",",$Q641&amp;",")-1))))</f>
        <v/>
      </c>
      <c r="BM641">
        <f>IF($BL641="","",MID($BL641,4,FIND("~",SUBSTITUTE($BL641,"-","~",2))-4))</f>
        <v/>
      </c>
      <c r="BN641">
        <f>IF($BL641="","",MID($BL641,FIND("~",SUBSTITUTE($BL641,"-","~",2))+1,FIND("~",SUBSTITUTE($BL641,"-","~",3))-FIND("~",SUBSTITUTE($BL641,"-","~",2))-1))</f>
        <v/>
      </c>
      <c r="BO641">
        <f>IF($BM641="","",IFERROR(VLOOKUP($BM641,DECODE!$A$3:$C$8,3,FALSE),"?"))</f>
        <v/>
      </c>
      <c r="BP641">
        <f>IF($BN641="","",IFERROR(VLOOKUP($BM641&amp;"-"&amp;$BN641,DECODE!$E$3:$F$21,2,FALSE),"?"))</f>
        <v/>
      </c>
      <c r="BQ641">
        <f>IF($BL641="","",IFERROR(VALUE(RIGHT($BL641,3)),""))</f>
        <v/>
      </c>
      <c r="BR641">
        <f>IF($W641="","",IFERROR(IF(ISNUMBER($W641),$W641,DATEVALUE(TRIM($W641))),""))</f>
        <v/>
      </c>
      <c r="BS641">
        <f>IF($BR641="","",IF(MONTH($BR641)&gt;=12,"Cold Winter",IF(MONTH($BR641)&gt;=10,"Post-Monsoon",IF(MONTH($BR641)&gt;=6,"Hot Humid",IF(MONTH($BR641)&gt;=3,"Hot Dry","Cold Winter")))))</f>
        <v/>
      </c>
      <c r="BT641">
        <f>IF($BM641="","",IFERROR(VLOOKUP($BM641,DECODE!$A$3:$C$8,2,FALSE),"?"))</f>
        <v/>
      </c>
      <c r="BU641">
        <f>IF($R641="","",UPPER(TRIM(LEFT($R641&amp;",",FIND(",",$R641&amp;",")-1))))</f>
        <v/>
      </c>
      <c r="BV641">
        <f>IF($BU641="","",MID($BU641,4,FIND("~",SUBSTITUTE($BU641,"-","~",2))-4))</f>
        <v/>
      </c>
      <c r="BW641">
        <f>IF($BU641="","",MID($BU641,FIND("~",SUBSTITUTE($BU641,"-","~",2))+1,FIND("~",SUBSTITUTE($BU641,"-","~",3))-FIND("~",SUBSTITUTE($BU641,"-","~",2))-1))</f>
        <v/>
      </c>
      <c r="BX641">
        <f>IF($BV641="","",IFERROR(VLOOKUP($BV641,DECODE!$A$3:$C$8,3,FALSE),"?"))</f>
        <v/>
      </c>
      <c r="BY641">
        <f>IF($BW641="","",IFERROR(VLOOKUP($BV641&amp;"-"&amp;$BW641,DECODE!$E$3:$F$21,2,FALSE),"?"))</f>
        <v/>
      </c>
      <c r="BZ641">
        <f>IF($BU641="","",IFERROR(VALUE(RIGHT($BU641,3)),""))</f>
        <v/>
      </c>
      <c r="CA641">
        <f>IF($X641="","",IFERROR(IF(ISNUMBER($X641),$X641,DATEVALUE(TRIM($X641))),""))</f>
        <v/>
      </c>
      <c r="CB641">
        <f>IF($CA641="","",IF(MONTH($CA641)&gt;=12,"Cold Winter",IF(MONTH($CA641)&gt;=10,"Post-Monsoon",IF(MONTH($CA641)&gt;=6,"Hot Humid",IF(MONTH($CA641)&gt;=3,"Hot Dry","Cold Winter")))))</f>
        <v/>
      </c>
      <c r="CC641">
        <f>IF($BV641="","",IFERROR(VLOOKUP($BV641,DECODE!$A$3:$C$8,2,FALSE),"?"))</f>
        <v/>
      </c>
      <c r="CD641">
        <f>IF($S641="","",UPPER(TRIM(LEFT($S641&amp;",",FIND(",",$S641&amp;",")-1))))</f>
        <v/>
      </c>
      <c r="CE641">
        <f>IF($CD641="","",MID($CD641,4,FIND("~",SUBSTITUTE($CD641,"-","~",2))-4))</f>
        <v/>
      </c>
      <c r="CF641">
        <f>IF($CD641="","",MID($CD641,FIND("~",SUBSTITUTE($CD641,"-","~",2))+1,FIND("~",SUBSTITUTE($CD641,"-","~",3))-FIND("~",SUBSTITUTE($CD641,"-","~",2))-1))</f>
        <v/>
      </c>
      <c r="CG641">
        <f>IF($CE641="","",IFERROR(VLOOKUP($CE641,DECODE!$A$3:$C$8,3,FALSE),"?"))</f>
        <v/>
      </c>
      <c r="CH641">
        <f>IF($CF641="","",IFERROR(VLOOKUP($CE641&amp;"-"&amp;$CF641,DECODE!$E$3:$F$21,2,FALSE),"?"))</f>
        <v/>
      </c>
      <c r="CI641">
        <f>IF($CD641="","",IFERROR(VALUE(RIGHT($CD641,3)),""))</f>
        <v/>
      </c>
      <c r="CJ641">
        <f>IF($Y641="","",IFERROR(IF(ISNUMBER($Y641),$Y641,DATEVALUE(TRIM($Y641))),""))</f>
        <v/>
      </c>
      <c r="CK641">
        <f>IF($CJ641="","",IF(MONTH($CJ641)&gt;=12,"Cold Winter",IF(MONTH($CJ641)&gt;=10,"Post-Monsoon",IF(MONTH($CJ641)&gt;=6,"Hot Humid",IF(MONTH($CJ641)&gt;=3,"Hot Dry","Cold Winter")))))</f>
        <v/>
      </c>
      <c r="CL641">
        <f>IF($CE641="","",IFERROR(VLOOKUP($CE641,DECODE!$A$3:$C$8,2,FALSE),"?"))</f>
        <v/>
      </c>
      <c r="CM641">
        <f>IF($AN641="","",AN641)</f>
        <v/>
      </c>
      <c r="CN641">
        <f>IF($AO641="","",AO641)</f>
        <v/>
      </c>
      <c r="CO641">
        <f>IF($AP641="","",AP641)</f>
        <v/>
      </c>
      <c r="CP641">
        <f>IF($CM641="","",IF($CM641="Aloe Vera Gel","Aloe Vera Gel "&amp;$CO641&amp;"g",CN641&amp;" "&amp;$CO641&amp;"g"))</f>
        <v/>
      </c>
      <c r="CQ641">
        <f>IF($AT641="",0,1)</f>
        <v/>
      </c>
      <c r="CR641">
        <f>IF($CQ641=0,"",AW641)</f>
        <v/>
      </c>
      <c r="CS641">
        <f>IF($CQ641=0,"",AX641)</f>
        <v/>
      </c>
      <c r="CT641">
        <f>IF($CQ641=0,"",AY641)</f>
        <v/>
      </c>
      <c r="CU641">
        <f>IF($CR641="","",IF($CR641="Aloe Vera Gel","Aloe Vera Gel "&amp;$CT641&amp;"g",CS641&amp;" "&amp;$CT641&amp;"g"))</f>
        <v/>
      </c>
      <c r="CV641">
        <f>IF($CQ641=0,"",IF($CP641=$CU641,"Repeat Exact",IF($CT641&gt;$CO641,"Upsized",IF($CT641&lt;$CO641,"Downsized",IF($CM641&lt;&gt;$CR641,"Lateral","Same Size Diff Variant")))))</f>
        <v/>
      </c>
      <c r="CW641">
        <f>IF($CQ641=0,"",AZ641-AQ641)</f>
        <v/>
      </c>
      <c r="CX641">
        <f>IF($CQ641=0,0,IF(CS641=CN641,1,0))</f>
        <v/>
      </c>
      <c r="CY641">
        <f>IF($CQ641=0,0,IF(CR641=CM641,1,0))</f>
        <v/>
      </c>
      <c r="CZ641">
        <f>IF($A641="","",IF(AND(IF(DASHBOARD!$C$4="All",TRUE,$CM641=DASHBOARD!$C$4),IF(DASHBOARD!$C$6="All",TRUE,$CP641=DASHBOARD!$C$6),IF(DASHBOARD!$C$8="All",TRUE,$AF641&gt;=DASHBOARD!$C$8),IF(DASHBOARD!$C$10="All",TRUE,$AF641&lt;=DASHBOARD!$C$10),IF(DASHBOARD!$C$12="All",TRUE,$AH641=VALUE(DASHBOARD!$C$12)),IF(DASHBOARD!$C$14="All",TRUE,$AJ641=DASHBOARD!$C$14)),1,0))</f>
        <v/>
      </c>
    </row>
    <row r="642">
      <c r="A642" t="n">
        <v>275721</v>
      </c>
      <c r="B642" t="inlineStr">
        <is>
          <t>Aloe Vera Gel</t>
        </is>
      </c>
      <c r="H642" t="inlineStr">
        <is>
          <t>Aloe Vera Gel - 80 gms</t>
        </is>
      </c>
      <c r="N642" t="inlineStr">
        <is>
          <t>FC-HG-PA-080</t>
        </is>
      </c>
      <c r="T642" t="inlineStr">
        <is>
          <t>May 20, 2026</t>
        </is>
      </c>
      <c r="AE642" t="inlineStr">
        <is>
          <t>Shahdol</t>
        </is>
      </c>
      <c r="AF642" t="inlineStr">
        <is>
          <t>2026-05</t>
        </is>
      </c>
      <c r="AG642" t="n">
        <v>5</v>
      </c>
      <c r="AH642" t="n">
        <v>1</v>
      </c>
      <c r="AI642" t="n">
        <v>0</v>
      </c>
      <c r="AJ642">
        <f>IF($AE642="","",IFERROR(VLOOKUP(TRIM($AE642),DECODE!$H$3:$I$60,2,FALSE),"Rest of India"))</f>
        <v/>
      </c>
      <c r="AK642">
        <f>IF($N642="","",UPPER(TRIM(LEFT($N642&amp;",",FIND(",",$N642&amp;",")-1))))</f>
        <v/>
      </c>
      <c r="AL642">
        <f>IF($AK642="","",MID($AK642,4,FIND("~",SUBSTITUTE($AK642,"-","~",2))-4))</f>
        <v/>
      </c>
      <c r="AM642">
        <f>IF($AK642="","",MID($AK642,FIND("~",SUBSTITUTE($AK642,"-","~",2))+1,FIND("~",SUBSTITUTE($AK642,"-","~",3))-FIND("~",SUBSTITUTE($AK642,"-","~",2))-1))</f>
        <v/>
      </c>
      <c r="AN642">
        <f>IF($AL642="","",IFERROR(VLOOKUP($AL642,DECODE!$A$3:$C$8,3,FALSE),"?"))</f>
        <v/>
      </c>
      <c r="AO642">
        <f>IF($AM642="","",IFERROR(VLOOKUP($AL642&amp;"-"&amp;$AM642,DECODE!$E$3:$F$21,2,FALSE),"?"))</f>
        <v/>
      </c>
      <c r="AP642">
        <f>IF($AK642="","",IFERROR(VALUE(RIGHT($AK642,3)),""))</f>
        <v/>
      </c>
      <c r="AQ642">
        <f>IF($T642="","",IFERROR(IF(ISNUMBER($T642),$T642,DATEVALUE(TRIM($T642))),""))</f>
        <v/>
      </c>
      <c r="AR642">
        <f>IF($AQ642="","",IF(MONTH($AQ642)&gt;=12,"Cold Winter",IF(MONTH($AQ642)&gt;=10,"Post-Monsoon",IF(MONTH($AQ642)&gt;=6,"Hot Humid",IF(MONTH($AQ642)&gt;=3,"Hot Dry","Cold Winter")))))</f>
        <v/>
      </c>
      <c r="AS642">
        <f>IF($AL642="","",IFERROR(VLOOKUP($AL642,DECODE!$A$3:$C$8,2,FALSE),"?"))</f>
        <v/>
      </c>
      <c r="AT642">
        <f>IF($O642="","",UPPER(TRIM(LEFT($O642&amp;",",FIND(",",$O642&amp;",")-1))))</f>
        <v/>
      </c>
      <c r="AU642">
        <f>IF($AT642="","",MID($AT642,4,FIND("~",SUBSTITUTE($AT642,"-","~",2))-4))</f>
        <v/>
      </c>
      <c r="AV642">
        <f>IF($AT642="","",MID($AT642,FIND("~",SUBSTITUTE($AT642,"-","~",2))+1,FIND("~",SUBSTITUTE($AT642,"-","~",3))-FIND("~",SUBSTITUTE($AT642,"-","~",2))-1))</f>
        <v/>
      </c>
      <c r="AW642">
        <f>IF($AU642="","",IFERROR(VLOOKUP($AU642,DECODE!$A$3:$C$8,3,FALSE),"?"))</f>
        <v/>
      </c>
      <c r="AX642">
        <f>IF($AV642="","",IFERROR(VLOOKUP($AU642&amp;"-"&amp;$AV642,DECODE!$E$3:$F$21,2,FALSE),"?"))</f>
        <v/>
      </c>
      <c r="AY642">
        <f>IF($AT642="","",IFERROR(VALUE(RIGHT($AT642,3)),""))</f>
        <v/>
      </c>
      <c r="AZ642">
        <f>IF($U642="","",IFERROR(IF(ISNUMBER($U642),$U642,DATEVALUE(TRIM($U642))),""))</f>
        <v/>
      </c>
      <c r="BA642">
        <f>IF($AZ642="","",IF(MONTH($AZ642)&gt;=12,"Cold Winter",IF(MONTH($AZ642)&gt;=10,"Post-Monsoon",IF(MONTH($AZ642)&gt;=6,"Hot Humid",IF(MONTH($AZ642)&gt;=3,"Hot Dry","Cold Winter")))))</f>
        <v/>
      </c>
      <c r="BB642">
        <f>IF($AU642="","",IFERROR(VLOOKUP($AU642,DECODE!$A$3:$C$8,2,FALSE),"?"))</f>
        <v/>
      </c>
      <c r="BC642">
        <f>IF($P642="","",UPPER(TRIM(LEFT($P642&amp;",",FIND(",",$P642&amp;",")-1))))</f>
        <v/>
      </c>
      <c r="BD642">
        <f>IF($BC642="","",MID($BC642,4,FIND("~",SUBSTITUTE($BC642,"-","~",2))-4))</f>
        <v/>
      </c>
      <c r="BE642">
        <f>IF($BC642="","",MID($BC642,FIND("~",SUBSTITUTE($BC642,"-","~",2))+1,FIND("~",SUBSTITUTE($BC642,"-","~",3))-FIND("~",SUBSTITUTE($BC642,"-","~",2))-1))</f>
        <v/>
      </c>
      <c r="BF642">
        <f>IF($BD642="","",IFERROR(VLOOKUP($BD642,DECODE!$A$3:$C$8,3,FALSE),"?"))</f>
        <v/>
      </c>
      <c r="BG642">
        <f>IF($BE642="","",IFERROR(VLOOKUP($BD642&amp;"-"&amp;$BE642,DECODE!$E$3:$F$21,2,FALSE),"?"))</f>
        <v/>
      </c>
      <c r="BH642">
        <f>IF($BC642="","",IFERROR(VALUE(RIGHT($BC642,3)),""))</f>
        <v/>
      </c>
      <c r="BI642">
        <f>IF($V642="","",IFERROR(IF(ISNUMBER($V642),$V642,DATEVALUE(TRIM($V642))),""))</f>
        <v/>
      </c>
      <c r="BJ642">
        <f>IF($BI642="","",IF(MONTH($BI642)&gt;=12,"Cold Winter",IF(MONTH($BI642)&gt;=10,"Post-Monsoon",IF(MONTH($BI642)&gt;=6,"Hot Humid",IF(MONTH($BI642)&gt;=3,"Hot Dry","Cold Winter")))))</f>
        <v/>
      </c>
      <c r="BK642">
        <f>IF($BD642="","",IFERROR(VLOOKUP($BD642,DECODE!$A$3:$C$8,2,FALSE),"?"))</f>
        <v/>
      </c>
      <c r="BL642">
        <f>IF($Q642="","",UPPER(TRIM(LEFT($Q642&amp;",",FIND(",",$Q642&amp;",")-1))))</f>
        <v/>
      </c>
      <c r="BM642">
        <f>IF($BL642="","",MID($BL642,4,FIND("~",SUBSTITUTE($BL642,"-","~",2))-4))</f>
        <v/>
      </c>
      <c r="BN642">
        <f>IF($BL642="","",MID($BL642,FIND("~",SUBSTITUTE($BL642,"-","~",2))+1,FIND("~",SUBSTITUTE($BL642,"-","~",3))-FIND("~",SUBSTITUTE($BL642,"-","~",2))-1))</f>
        <v/>
      </c>
      <c r="BO642">
        <f>IF($BM642="","",IFERROR(VLOOKUP($BM642,DECODE!$A$3:$C$8,3,FALSE),"?"))</f>
        <v/>
      </c>
      <c r="BP642">
        <f>IF($BN642="","",IFERROR(VLOOKUP($BM642&amp;"-"&amp;$BN642,DECODE!$E$3:$F$21,2,FALSE),"?"))</f>
        <v/>
      </c>
      <c r="BQ642">
        <f>IF($BL642="","",IFERROR(VALUE(RIGHT($BL642,3)),""))</f>
        <v/>
      </c>
      <c r="BR642">
        <f>IF($W642="","",IFERROR(IF(ISNUMBER($W642),$W642,DATEVALUE(TRIM($W642))),""))</f>
        <v/>
      </c>
      <c r="BS642">
        <f>IF($BR642="","",IF(MONTH($BR642)&gt;=12,"Cold Winter",IF(MONTH($BR642)&gt;=10,"Post-Monsoon",IF(MONTH($BR642)&gt;=6,"Hot Humid",IF(MONTH($BR642)&gt;=3,"Hot Dry","Cold Winter")))))</f>
        <v/>
      </c>
      <c r="BT642">
        <f>IF($BM642="","",IFERROR(VLOOKUP($BM642,DECODE!$A$3:$C$8,2,FALSE),"?"))</f>
        <v/>
      </c>
      <c r="BU642">
        <f>IF($R642="","",UPPER(TRIM(LEFT($R642&amp;",",FIND(",",$R642&amp;",")-1))))</f>
        <v/>
      </c>
      <c r="BV642">
        <f>IF($BU642="","",MID($BU642,4,FIND("~",SUBSTITUTE($BU642,"-","~",2))-4))</f>
        <v/>
      </c>
      <c r="BW642">
        <f>IF($BU642="","",MID($BU642,FIND("~",SUBSTITUTE($BU642,"-","~",2))+1,FIND("~",SUBSTITUTE($BU642,"-","~",3))-FIND("~",SUBSTITUTE($BU642,"-","~",2))-1))</f>
        <v/>
      </c>
      <c r="BX642">
        <f>IF($BV642="","",IFERROR(VLOOKUP($BV642,DECODE!$A$3:$C$8,3,FALSE),"?"))</f>
        <v/>
      </c>
      <c r="BY642">
        <f>IF($BW642="","",IFERROR(VLOOKUP($BV642&amp;"-"&amp;$BW642,DECODE!$E$3:$F$21,2,FALSE),"?"))</f>
        <v/>
      </c>
      <c r="BZ642">
        <f>IF($BU642="","",IFERROR(VALUE(RIGHT($BU642,3)),""))</f>
        <v/>
      </c>
      <c r="CA642">
        <f>IF($X642="","",IFERROR(IF(ISNUMBER($X642),$X642,DATEVALUE(TRIM($X642))),""))</f>
        <v/>
      </c>
      <c r="CB642">
        <f>IF($CA642="","",IF(MONTH($CA642)&gt;=12,"Cold Winter",IF(MONTH($CA642)&gt;=10,"Post-Monsoon",IF(MONTH($CA642)&gt;=6,"Hot Humid",IF(MONTH($CA642)&gt;=3,"Hot Dry","Cold Winter")))))</f>
        <v/>
      </c>
      <c r="CC642">
        <f>IF($BV642="","",IFERROR(VLOOKUP($BV642,DECODE!$A$3:$C$8,2,FALSE),"?"))</f>
        <v/>
      </c>
      <c r="CD642">
        <f>IF($S642="","",UPPER(TRIM(LEFT($S642&amp;",",FIND(",",$S642&amp;",")-1))))</f>
        <v/>
      </c>
      <c r="CE642">
        <f>IF($CD642="","",MID($CD642,4,FIND("~",SUBSTITUTE($CD642,"-","~",2))-4))</f>
        <v/>
      </c>
      <c r="CF642">
        <f>IF($CD642="","",MID($CD642,FIND("~",SUBSTITUTE($CD642,"-","~",2))+1,FIND("~",SUBSTITUTE($CD642,"-","~",3))-FIND("~",SUBSTITUTE($CD642,"-","~",2))-1))</f>
        <v/>
      </c>
      <c r="CG642">
        <f>IF($CE642="","",IFERROR(VLOOKUP($CE642,DECODE!$A$3:$C$8,3,FALSE),"?"))</f>
        <v/>
      </c>
      <c r="CH642">
        <f>IF($CF642="","",IFERROR(VLOOKUP($CE642&amp;"-"&amp;$CF642,DECODE!$E$3:$F$21,2,FALSE),"?"))</f>
        <v/>
      </c>
      <c r="CI642">
        <f>IF($CD642="","",IFERROR(VALUE(RIGHT($CD642,3)),""))</f>
        <v/>
      </c>
      <c r="CJ642">
        <f>IF($Y642="","",IFERROR(IF(ISNUMBER($Y642),$Y642,DATEVALUE(TRIM($Y642))),""))</f>
        <v/>
      </c>
      <c r="CK642">
        <f>IF($CJ642="","",IF(MONTH($CJ642)&gt;=12,"Cold Winter",IF(MONTH($CJ642)&gt;=10,"Post-Monsoon",IF(MONTH($CJ642)&gt;=6,"Hot Humid",IF(MONTH($CJ642)&gt;=3,"Hot Dry","Cold Winter")))))</f>
        <v/>
      </c>
      <c r="CL642">
        <f>IF($CE642="","",IFERROR(VLOOKUP($CE642,DECODE!$A$3:$C$8,2,FALSE),"?"))</f>
        <v/>
      </c>
      <c r="CM642">
        <f>IF($AN642="","",AN642)</f>
        <v/>
      </c>
      <c r="CN642">
        <f>IF($AO642="","",AO642)</f>
        <v/>
      </c>
      <c r="CO642">
        <f>IF($AP642="","",AP642)</f>
        <v/>
      </c>
      <c r="CP642">
        <f>IF($CM642="","",IF($CM642="Aloe Vera Gel","Aloe Vera Gel "&amp;$CO642&amp;"g",CN642&amp;" "&amp;$CO642&amp;"g"))</f>
        <v/>
      </c>
      <c r="CQ642">
        <f>IF($AT642="",0,1)</f>
        <v/>
      </c>
      <c r="CR642">
        <f>IF($CQ642=0,"",AW642)</f>
        <v/>
      </c>
      <c r="CS642">
        <f>IF($CQ642=0,"",AX642)</f>
        <v/>
      </c>
      <c r="CT642">
        <f>IF($CQ642=0,"",AY642)</f>
        <v/>
      </c>
      <c r="CU642">
        <f>IF($CR642="","",IF($CR642="Aloe Vera Gel","Aloe Vera Gel "&amp;$CT642&amp;"g",CS642&amp;" "&amp;$CT642&amp;"g"))</f>
        <v/>
      </c>
      <c r="CV642">
        <f>IF($CQ642=0,"",IF($CP642=$CU642,"Repeat Exact",IF($CT642&gt;$CO642,"Upsized",IF($CT642&lt;$CO642,"Downsized",IF($CM642&lt;&gt;$CR642,"Lateral","Same Size Diff Variant")))))</f>
        <v/>
      </c>
      <c r="CW642">
        <f>IF($CQ642=0,"",AZ642-AQ642)</f>
        <v/>
      </c>
      <c r="CX642">
        <f>IF($CQ642=0,0,IF(CS642=CN642,1,0))</f>
        <v/>
      </c>
      <c r="CY642">
        <f>IF($CQ642=0,0,IF(CR642=CM642,1,0))</f>
        <v/>
      </c>
      <c r="CZ642">
        <f>IF($A642="","",IF(AND(IF(DASHBOARD!$C$4="All",TRUE,$CM642=DASHBOARD!$C$4),IF(DASHBOARD!$C$6="All",TRUE,$CP642=DASHBOARD!$C$6),IF(DASHBOARD!$C$8="All",TRUE,$AF642&gt;=DASHBOARD!$C$8),IF(DASHBOARD!$C$10="All",TRUE,$AF642&lt;=DASHBOARD!$C$10),IF(DASHBOARD!$C$12="All",TRUE,$AH642=VALUE(DASHBOARD!$C$12)),IF(DASHBOARD!$C$14="All",TRUE,$AJ642=DASHBOARD!$C$14)),1,0))</f>
        <v/>
      </c>
    </row>
    <row r="643">
      <c r="A643" t="n">
        <v>275761</v>
      </c>
      <c r="B643" t="inlineStr">
        <is>
          <t>Face Malai</t>
        </is>
      </c>
      <c r="H643" t="inlineStr">
        <is>
          <t>Flax Walnut (Cold) 35+ Face Malai</t>
        </is>
      </c>
      <c r="N643" t="inlineStr">
        <is>
          <t>FC-CWDM-FW-030</t>
        </is>
      </c>
      <c r="T643" t="inlineStr">
        <is>
          <t>Nov 13, 2024</t>
        </is>
      </c>
      <c r="AE643" t="inlineStr">
        <is>
          <t>Hyderabad</t>
        </is>
      </c>
      <c r="AF643" t="inlineStr">
        <is>
          <t>2024-11</t>
        </is>
      </c>
      <c r="AG643" t="n">
        <v>11</v>
      </c>
      <c r="AH643" t="n">
        <v>1</v>
      </c>
      <c r="AI643" t="n">
        <v>0</v>
      </c>
      <c r="AJ643">
        <f>IF($AE643="","",IFERROR(VLOOKUP(TRIM($AE643),DECODE!$H$3:$I$60,2,FALSE),"Rest of India"))</f>
        <v/>
      </c>
      <c r="AK643">
        <f>IF($N643="","",UPPER(TRIM(LEFT($N643&amp;",",FIND(",",$N643&amp;",")-1))))</f>
        <v/>
      </c>
      <c r="AL643">
        <f>IF($AK643="","",MID($AK643,4,FIND("~",SUBSTITUTE($AK643,"-","~",2))-4))</f>
        <v/>
      </c>
      <c r="AM643">
        <f>IF($AK643="","",MID($AK643,FIND("~",SUBSTITUTE($AK643,"-","~",2))+1,FIND("~",SUBSTITUTE($AK643,"-","~",3))-FIND("~",SUBSTITUTE($AK643,"-","~",2))-1))</f>
        <v/>
      </c>
      <c r="AN643">
        <f>IF($AL643="","",IFERROR(VLOOKUP($AL643,DECODE!$A$3:$C$8,3,FALSE),"?"))</f>
        <v/>
      </c>
      <c r="AO643">
        <f>IF($AM643="","",IFERROR(VLOOKUP($AL643&amp;"-"&amp;$AM643,DECODE!$E$3:$F$21,2,FALSE),"?"))</f>
        <v/>
      </c>
      <c r="AP643">
        <f>IF($AK643="","",IFERROR(VALUE(RIGHT($AK643,3)),""))</f>
        <v/>
      </c>
      <c r="AQ643">
        <f>IF($T643="","",IFERROR(IF(ISNUMBER($T643),$T643,DATEVALUE(TRIM($T643))),""))</f>
        <v/>
      </c>
      <c r="AR643">
        <f>IF($AQ643="","",IF(MONTH($AQ643)&gt;=12,"Cold Winter",IF(MONTH($AQ643)&gt;=10,"Post-Monsoon",IF(MONTH($AQ643)&gt;=6,"Hot Humid",IF(MONTH($AQ643)&gt;=3,"Hot Dry","Cold Winter")))))</f>
        <v/>
      </c>
      <c r="AS643">
        <f>IF($AL643="","",IFERROR(VLOOKUP($AL643,DECODE!$A$3:$C$8,2,FALSE),"?"))</f>
        <v/>
      </c>
      <c r="AT643">
        <f>IF($O643="","",UPPER(TRIM(LEFT($O643&amp;",",FIND(",",$O643&amp;",")-1))))</f>
        <v/>
      </c>
      <c r="AU643">
        <f>IF($AT643="","",MID($AT643,4,FIND("~",SUBSTITUTE($AT643,"-","~",2))-4))</f>
        <v/>
      </c>
      <c r="AV643">
        <f>IF($AT643="","",MID($AT643,FIND("~",SUBSTITUTE($AT643,"-","~",2))+1,FIND("~",SUBSTITUTE($AT643,"-","~",3))-FIND("~",SUBSTITUTE($AT643,"-","~",2))-1))</f>
        <v/>
      </c>
      <c r="AW643">
        <f>IF($AU643="","",IFERROR(VLOOKUP($AU643,DECODE!$A$3:$C$8,3,FALSE),"?"))</f>
        <v/>
      </c>
      <c r="AX643">
        <f>IF($AV643="","",IFERROR(VLOOKUP($AU643&amp;"-"&amp;$AV643,DECODE!$E$3:$F$21,2,FALSE),"?"))</f>
        <v/>
      </c>
      <c r="AY643">
        <f>IF($AT643="","",IFERROR(VALUE(RIGHT($AT643,3)),""))</f>
        <v/>
      </c>
      <c r="AZ643">
        <f>IF($U643="","",IFERROR(IF(ISNUMBER($U643),$U643,DATEVALUE(TRIM($U643))),""))</f>
        <v/>
      </c>
      <c r="BA643">
        <f>IF($AZ643="","",IF(MONTH($AZ643)&gt;=12,"Cold Winter",IF(MONTH($AZ643)&gt;=10,"Post-Monsoon",IF(MONTH($AZ643)&gt;=6,"Hot Humid",IF(MONTH($AZ643)&gt;=3,"Hot Dry","Cold Winter")))))</f>
        <v/>
      </c>
      <c r="BB643">
        <f>IF($AU643="","",IFERROR(VLOOKUP($AU643,DECODE!$A$3:$C$8,2,FALSE),"?"))</f>
        <v/>
      </c>
      <c r="BC643">
        <f>IF($P643="","",UPPER(TRIM(LEFT($P643&amp;",",FIND(",",$P643&amp;",")-1))))</f>
        <v/>
      </c>
      <c r="BD643">
        <f>IF($BC643="","",MID($BC643,4,FIND("~",SUBSTITUTE($BC643,"-","~",2))-4))</f>
        <v/>
      </c>
      <c r="BE643">
        <f>IF($BC643="","",MID($BC643,FIND("~",SUBSTITUTE($BC643,"-","~",2))+1,FIND("~",SUBSTITUTE($BC643,"-","~",3))-FIND("~",SUBSTITUTE($BC643,"-","~",2))-1))</f>
        <v/>
      </c>
      <c r="BF643">
        <f>IF($BD643="","",IFERROR(VLOOKUP($BD643,DECODE!$A$3:$C$8,3,FALSE),"?"))</f>
        <v/>
      </c>
      <c r="BG643">
        <f>IF($BE643="","",IFERROR(VLOOKUP($BD643&amp;"-"&amp;$BE643,DECODE!$E$3:$F$21,2,FALSE),"?"))</f>
        <v/>
      </c>
      <c r="BH643">
        <f>IF($BC643="","",IFERROR(VALUE(RIGHT($BC643,3)),""))</f>
        <v/>
      </c>
      <c r="BI643">
        <f>IF($V643="","",IFERROR(IF(ISNUMBER($V643),$V643,DATEVALUE(TRIM($V643))),""))</f>
        <v/>
      </c>
      <c r="BJ643">
        <f>IF($BI643="","",IF(MONTH($BI643)&gt;=12,"Cold Winter",IF(MONTH($BI643)&gt;=10,"Post-Monsoon",IF(MONTH($BI643)&gt;=6,"Hot Humid",IF(MONTH($BI643)&gt;=3,"Hot Dry","Cold Winter")))))</f>
        <v/>
      </c>
      <c r="BK643">
        <f>IF($BD643="","",IFERROR(VLOOKUP($BD643,DECODE!$A$3:$C$8,2,FALSE),"?"))</f>
        <v/>
      </c>
      <c r="BL643">
        <f>IF($Q643="","",UPPER(TRIM(LEFT($Q643&amp;",",FIND(",",$Q643&amp;",")-1))))</f>
        <v/>
      </c>
      <c r="BM643">
        <f>IF($BL643="","",MID($BL643,4,FIND("~",SUBSTITUTE($BL643,"-","~",2))-4))</f>
        <v/>
      </c>
      <c r="BN643">
        <f>IF($BL643="","",MID($BL643,FIND("~",SUBSTITUTE($BL643,"-","~",2))+1,FIND("~",SUBSTITUTE($BL643,"-","~",3))-FIND("~",SUBSTITUTE($BL643,"-","~",2))-1))</f>
        <v/>
      </c>
      <c r="BO643">
        <f>IF($BM643="","",IFERROR(VLOOKUP($BM643,DECODE!$A$3:$C$8,3,FALSE),"?"))</f>
        <v/>
      </c>
      <c r="BP643">
        <f>IF($BN643="","",IFERROR(VLOOKUP($BM643&amp;"-"&amp;$BN643,DECODE!$E$3:$F$21,2,FALSE),"?"))</f>
        <v/>
      </c>
      <c r="BQ643">
        <f>IF($BL643="","",IFERROR(VALUE(RIGHT($BL643,3)),""))</f>
        <v/>
      </c>
      <c r="BR643">
        <f>IF($W643="","",IFERROR(IF(ISNUMBER($W643),$W643,DATEVALUE(TRIM($W643))),""))</f>
        <v/>
      </c>
      <c r="BS643">
        <f>IF($BR643="","",IF(MONTH($BR643)&gt;=12,"Cold Winter",IF(MONTH($BR643)&gt;=10,"Post-Monsoon",IF(MONTH($BR643)&gt;=6,"Hot Humid",IF(MONTH($BR643)&gt;=3,"Hot Dry","Cold Winter")))))</f>
        <v/>
      </c>
      <c r="BT643">
        <f>IF($BM643="","",IFERROR(VLOOKUP($BM643,DECODE!$A$3:$C$8,2,FALSE),"?"))</f>
        <v/>
      </c>
      <c r="BU643">
        <f>IF($R643="","",UPPER(TRIM(LEFT($R643&amp;",",FIND(",",$R643&amp;",")-1))))</f>
        <v/>
      </c>
      <c r="BV643">
        <f>IF($BU643="","",MID($BU643,4,FIND("~",SUBSTITUTE($BU643,"-","~",2))-4))</f>
        <v/>
      </c>
      <c r="BW643">
        <f>IF($BU643="","",MID($BU643,FIND("~",SUBSTITUTE($BU643,"-","~",2))+1,FIND("~",SUBSTITUTE($BU643,"-","~",3))-FIND("~",SUBSTITUTE($BU643,"-","~",2))-1))</f>
        <v/>
      </c>
      <c r="BX643">
        <f>IF($BV643="","",IFERROR(VLOOKUP($BV643,DECODE!$A$3:$C$8,3,FALSE),"?"))</f>
        <v/>
      </c>
      <c r="BY643">
        <f>IF($BW643="","",IFERROR(VLOOKUP($BV643&amp;"-"&amp;$BW643,DECODE!$E$3:$F$21,2,FALSE),"?"))</f>
        <v/>
      </c>
      <c r="BZ643">
        <f>IF($BU643="","",IFERROR(VALUE(RIGHT($BU643,3)),""))</f>
        <v/>
      </c>
      <c r="CA643">
        <f>IF($X643="","",IFERROR(IF(ISNUMBER($X643),$X643,DATEVALUE(TRIM($X643))),""))</f>
        <v/>
      </c>
      <c r="CB643">
        <f>IF($CA643="","",IF(MONTH($CA643)&gt;=12,"Cold Winter",IF(MONTH($CA643)&gt;=10,"Post-Monsoon",IF(MONTH($CA643)&gt;=6,"Hot Humid",IF(MONTH($CA643)&gt;=3,"Hot Dry","Cold Winter")))))</f>
        <v/>
      </c>
      <c r="CC643">
        <f>IF($BV643="","",IFERROR(VLOOKUP($BV643,DECODE!$A$3:$C$8,2,FALSE),"?"))</f>
        <v/>
      </c>
      <c r="CD643">
        <f>IF($S643="","",UPPER(TRIM(LEFT($S643&amp;",",FIND(",",$S643&amp;",")-1))))</f>
        <v/>
      </c>
      <c r="CE643">
        <f>IF($CD643="","",MID($CD643,4,FIND("~",SUBSTITUTE($CD643,"-","~",2))-4))</f>
        <v/>
      </c>
      <c r="CF643">
        <f>IF($CD643="","",MID($CD643,FIND("~",SUBSTITUTE($CD643,"-","~",2))+1,FIND("~",SUBSTITUTE($CD643,"-","~",3))-FIND("~",SUBSTITUTE($CD643,"-","~",2))-1))</f>
        <v/>
      </c>
      <c r="CG643">
        <f>IF($CE643="","",IFERROR(VLOOKUP($CE643,DECODE!$A$3:$C$8,3,FALSE),"?"))</f>
        <v/>
      </c>
      <c r="CH643">
        <f>IF($CF643="","",IFERROR(VLOOKUP($CE643&amp;"-"&amp;$CF643,DECODE!$E$3:$F$21,2,FALSE),"?"))</f>
        <v/>
      </c>
      <c r="CI643">
        <f>IF($CD643="","",IFERROR(VALUE(RIGHT($CD643,3)),""))</f>
        <v/>
      </c>
      <c r="CJ643">
        <f>IF($Y643="","",IFERROR(IF(ISNUMBER($Y643),$Y643,DATEVALUE(TRIM($Y643))),""))</f>
        <v/>
      </c>
      <c r="CK643">
        <f>IF($CJ643="","",IF(MONTH($CJ643)&gt;=12,"Cold Winter",IF(MONTH($CJ643)&gt;=10,"Post-Monsoon",IF(MONTH($CJ643)&gt;=6,"Hot Humid",IF(MONTH($CJ643)&gt;=3,"Hot Dry","Cold Winter")))))</f>
        <v/>
      </c>
      <c r="CL643">
        <f>IF($CE643="","",IFERROR(VLOOKUP($CE643,DECODE!$A$3:$C$8,2,FALSE),"?"))</f>
        <v/>
      </c>
      <c r="CM643">
        <f>IF($AN643="","",AN643)</f>
        <v/>
      </c>
      <c r="CN643">
        <f>IF($AO643="","",AO643)</f>
        <v/>
      </c>
      <c r="CO643">
        <f>IF($AP643="","",AP643)</f>
        <v/>
      </c>
      <c r="CP643">
        <f>IF($CM643="","",IF($CM643="Aloe Vera Gel","Aloe Vera Gel "&amp;$CO643&amp;"g",CN643&amp;" "&amp;$CO643&amp;"g"))</f>
        <v/>
      </c>
      <c r="CQ643">
        <f>IF($AT643="",0,1)</f>
        <v/>
      </c>
      <c r="CR643">
        <f>IF($CQ643=0,"",AW643)</f>
        <v/>
      </c>
      <c r="CS643">
        <f>IF($CQ643=0,"",AX643)</f>
        <v/>
      </c>
      <c r="CT643">
        <f>IF($CQ643=0,"",AY643)</f>
        <v/>
      </c>
      <c r="CU643">
        <f>IF($CR643="","",IF($CR643="Aloe Vera Gel","Aloe Vera Gel "&amp;$CT643&amp;"g",CS643&amp;" "&amp;$CT643&amp;"g"))</f>
        <v/>
      </c>
      <c r="CV643">
        <f>IF($CQ643=0,"",IF($CP643=$CU643,"Repeat Exact",IF($CT643&gt;$CO643,"Upsized",IF($CT643&lt;$CO643,"Downsized",IF($CM643&lt;&gt;$CR643,"Lateral","Same Size Diff Variant")))))</f>
        <v/>
      </c>
      <c r="CW643">
        <f>IF($CQ643=0,"",AZ643-AQ643)</f>
        <v/>
      </c>
      <c r="CX643">
        <f>IF($CQ643=0,0,IF(CS643=CN643,1,0))</f>
        <v/>
      </c>
      <c r="CY643">
        <f>IF($CQ643=0,0,IF(CR643=CM643,1,0))</f>
        <v/>
      </c>
      <c r="CZ643">
        <f>IF($A643="","",IF(AND(IF(DASHBOARD!$C$4="All",TRUE,$CM643=DASHBOARD!$C$4),IF(DASHBOARD!$C$6="All",TRUE,$CP643=DASHBOARD!$C$6),IF(DASHBOARD!$C$8="All",TRUE,$AF643&gt;=DASHBOARD!$C$8),IF(DASHBOARD!$C$10="All",TRUE,$AF643&lt;=DASHBOARD!$C$10),IF(DASHBOARD!$C$12="All",TRUE,$AH643=VALUE(DASHBOARD!$C$12)),IF(DASHBOARD!$C$14="All",TRUE,$AJ643=DASHBOARD!$C$14)),1,0))</f>
        <v/>
      </c>
    </row>
    <row r="644">
      <c r="A644" t="n">
        <v>275951</v>
      </c>
      <c r="B644" t="inlineStr">
        <is>
          <t>Face Malai</t>
        </is>
      </c>
      <c r="H644" t="inlineStr">
        <is>
          <t>Cocoa Mogra (Overnight) Face Malai - 30g</t>
        </is>
      </c>
      <c r="N644" t="inlineStr">
        <is>
          <t>FC-DM-NR-030</t>
        </is>
      </c>
      <c r="T644" t="inlineStr">
        <is>
          <t>Jul 27, 2024</t>
        </is>
      </c>
      <c r="AE644" t="inlineStr">
        <is>
          <t>Visakhapatnam</t>
        </is>
      </c>
      <c r="AF644" t="inlineStr">
        <is>
          <t>2024-07</t>
        </is>
      </c>
      <c r="AG644" t="n">
        <v>7</v>
      </c>
      <c r="AH644" t="n">
        <v>1</v>
      </c>
      <c r="AI644" t="n">
        <v>0</v>
      </c>
      <c r="AJ644">
        <f>IF($AE644="","",IFERROR(VLOOKUP(TRIM($AE644),DECODE!$H$3:$I$60,2,FALSE),"Rest of India"))</f>
        <v/>
      </c>
      <c r="AK644">
        <f>IF($N644="","",UPPER(TRIM(LEFT($N644&amp;",",FIND(",",$N644&amp;",")-1))))</f>
        <v/>
      </c>
      <c r="AL644">
        <f>IF($AK644="","",MID($AK644,4,FIND("~",SUBSTITUTE($AK644,"-","~",2))-4))</f>
        <v/>
      </c>
      <c r="AM644">
        <f>IF($AK644="","",MID($AK644,FIND("~",SUBSTITUTE($AK644,"-","~",2))+1,FIND("~",SUBSTITUTE($AK644,"-","~",3))-FIND("~",SUBSTITUTE($AK644,"-","~",2))-1))</f>
        <v/>
      </c>
      <c r="AN644">
        <f>IF($AL644="","",IFERROR(VLOOKUP($AL644,DECODE!$A$3:$C$8,3,FALSE),"?"))</f>
        <v/>
      </c>
      <c r="AO644">
        <f>IF($AM644="","",IFERROR(VLOOKUP($AL644&amp;"-"&amp;$AM644,DECODE!$E$3:$F$21,2,FALSE),"?"))</f>
        <v/>
      </c>
      <c r="AP644">
        <f>IF($AK644="","",IFERROR(VALUE(RIGHT($AK644,3)),""))</f>
        <v/>
      </c>
      <c r="AQ644">
        <f>IF($T644="","",IFERROR(IF(ISNUMBER($T644),$T644,DATEVALUE(TRIM($T644))),""))</f>
        <v/>
      </c>
      <c r="AR644">
        <f>IF($AQ644="","",IF(MONTH($AQ644)&gt;=12,"Cold Winter",IF(MONTH($AQ644)&gt;=10,"Post-Monsoon",IF(MONTH($AQ644)&gt;=6,"Hot Humid",IF(MONTH($AQ644)&gt;=3,"Hot Dry","Cold Winter")))))</f>
        <v/>
      </c>
      <c r="AS644">
        <f>IF($AL644="","",IFERROR(VLOOKUP($AL644,DECODE!$A$3:$C$8,2,FALSE),"?"))</f>
        <v/>
      </c>
      <c r="AT644">
        <f>IF($O644="","",UPPER(TRIM(LEFT($O644&amp;",",FIND(",",$O644&amp;",")-1))))</f>
        <v/>
      </c>
      <c r="AU644">
        <f>IF($AT644="","",MID($AT644,4,FIND("~",SUBSTITUTE($AT644,"-","~",2))-4))</f>
        <v/>
      </c>
      <c r="AV644">
        <f>IF($AT644="","",MID($AT644,FIND("~",SUBSTITUTE($AT644,"-","~",2))+1,FIND("~",SUBSTITUTE($AT644,"-","~",3))-FIND("~",SUBSTITUTE($AT644,"-","~",2))-1))</f>
        <v/>
      </c>
      <c r="AW644">
        <f>IF($AU644="","",IFERROR(VLOOKUP($AU644,DECODE!$A$3:$C$8,3,FALSE),"?"))</f>
        <v/>
      </c>
      <c r="AX644">
        <f>IF($AV644="","",IFERROR(VLOOKUP($AU644&amp;"-"&amp;$AV644,DECODE!$E$3:$F$21,2,FALSE),"?"))</f>
        <v/>
      </c>
      <c r="AY644">
        <f>IF($AT644="","",IFERROR(VALUE(RIGHT($AT644,3)),""))</f>
        <v/>
      </c>
      <c r="AZ644">
        <f>IF($U644="","",IFERROR(IF(ISNUMBER($U644),$U644,DATEVALUE(TRIM($U644))),""))</f>
        <v/>
      </c>
      <c r="BA644">
        <f>IF($AZ644="","",IF(MONTH($AZ644)&gt;=12,"Cold Winter",IF(MONTH($AZ644)&gt;=10,"Post-Monsoon",IF(MONTH($AZ644)&gt;=6,"Hot Humid",IF(MONTH($AZ644)&gt;=3,"Hot Dry","Cold Winter")))))</f>
        <v/>
      </c>
      <c r="BB644">
        <f>IF($AU644="","",IFERROR(VLOOKUP($AU644,DECODE!$A$3:$C$8,2,FALSE),"?"))</f>
        <v/>
      </c>
      <c r="BC644">
        <f>IF($P644="","",UPPER(TRIM(LEFT($P644&amp;",",FIND(",",$P644&amp;",")-1))))</f>
        <v/>
      </c>
      <c r="BD644">
        <f>IF($BC644="","",MID($BC644,4,FIND("~",SUBSTITUTE($BC644,"-","~",2))-4))</f>
        <v/>
      </c>
      <c r="BE644">
        <f>IF($BC644="","",MID($BC644,FIND("~",SUBSTITUTE($BC644,"-","~",2))+1,FIND("~",SUBSTITUTE($BC644,"-","~",3))-FIND("~",SUBSTITUTE($BC644,"-","~",2))-1))</f>
        <v/>
      </c>
      <c r="BF644">
        <f>IF($BD644="","",IFERROR(VLOOKUP($BD644,DECODE!$A$3:$C$8,3,FALSE),"?"))</f>
        <v/>
      </c>
      <c r="BG644">
        <f>IF($BE644="","",IFERROR(VLOOKUP($BD644&amp;"-"&amp;$BE644,DECODE!$E$3:$F$21,2,FALSE),"?"))</f>
        <v/>
      </c>
      <c r="BH644">
        <f>IF($BC644="","",IFERROR(VALUE(RIGHT($BC644,3)),""))</f>
        <v/>
      </c>
      <c r="BI644">
        <f>IF($V644="","",IFERROR(IF(ISNUMBER($V644),$V644,DATEVALUE(TRIM($V644))),""))</f>
        <v/>
      </c>
      <c r="BJ644">
        <f>IF($BI644="","",IF(MONTH($BI644)&gt;=12,"Cold Winter",IF(MONTH($BI644)&gt;=10,"Post-Monsoon",IF(MONTH($BI644)&gt;=6,"Hot Humid",IF(MONTH($BI644)&gt;=3,"Hot Dry","Cold Winter")))))</f>
        <v/>
      </c>
      <c r="BK644">
        <f>IF($BD644="","",IFERROR(VLOOKUP($BD644,DECODE!$A$3:$C$8,2,FALSE),"?"))</f>
        <v/>
      </c>
      <c r="BL644">
        <f>IF($Q644="","",UPPER(TRIM(LEFT($Q644&amp;",",FIND(",",$Q644&amp;",")-1))))</f>
        <v/>
      </c>
      <c r="BM644">
        <f>IF($BL644="","",MID($BL644,4,FIND("~",SUBSTITUTE($BL644,"-","~",2))-4))</f>
        <v/>
      </c>
      <c r="BN644">
        <f>IF($BL644="","",MID($BL644,FIND("~",SUBSTITUTE($BL644,"-","~",2))+1,FIND("~",SUBSTITUTE($BL644,"-","~",3))-FIND("~",SUBSTITUTE($BL644,"-","~",2))-1))</f>
        <v/>
      </c>
      <c r="BO644">
        <f>IF($BM644="","",IFERROR(VLOOKUP($BM644,DECODE!$A$3:$C$8,3,FALSE),"?"))</f>
        <v/>
      </c>
      <c r="BP644">
        <f>IF($BN644="","",IFERROR(VLOOKUP($BM644&amp;"-"&amp;$BN644,DECODE!$E$3:$F$21,2,FALSE),"?"))</f>
        <v/>
      </c>
      <c r="BQ644">
        <f>IF($BL644="","",IFERROR(VALUE(RIGHT($BL644,3)),""))</f>
        <v/>
      </c>
      <c r="BR644">
        <f>IF($W644="","",IFERROR(IF(ISNUMBER($W644),$W644,DATEVALUE(TRIM($W644))),""))</f>
        <v/>
      </c>
      <c r="BS644">
        <f>IF($BR644="","",IF(MONTH($BR644)&gt;=12,"Cold Winter",IF(MONTH($BR644)&gt;=10,"Post-Monsoon",IF(MONTH($BR644)&gt;=6,"Hot Humid",IF(MONTH($BR644)&gt;=3,"Hot Dry","Cold Winter")))))</f>
        <v/>
      </c>
      <c r="BT644">
        <f>IF($BM644="","",IFERROR(VLOOKUP($BM644,DECODE!$A$3:$C$8,2,FALSE),"?"))</f>
        <v/>
      </c>
      <c r="BU644">
        <f>IF($R644="","",UPPER(TRIM(LEFT($R644&amp;",",FIND(",",$R644&amp;",")-1))))</f>
        <v/>
      </c>
      <c r="BV644">
        <f>IF($BU644="","",MID($BU644,4,FIND("~",SUBSTITUTE($BU644,"-","~",2))-4))</f>
        <v/>
      </c>
      <c r="BW644">
        <f>IF($BU644="","",MID($BU644,FIND("~",SUBSTITUTE($BU644,"-","~",2))+1,FIND("~",SUBSTITUTE($BU644,"-","~",3))-FIND("~",SUBSTITUTE($BU644,"-","~",2))-1))</f>
        <v/>
      </c>
      <c r="BX644">
        <f>IF($BV644="","",IFERROR(VLOOKUP($BV644,DECODE!$A$3:$C$8,3,FALSE),"?"))</f>
        <v/>
      </c>
      <c r="BY644">
        <f>IF($BW644="","",IFERROR(VLOOKUP($BV644&amp;"-"&amp;$BW644,DECODE!$E$3:$F$21,2,FALSE),"?"))</f>
        <v/>
      </c>
      <c r="BZ644">
        <f>IF($BU644="","",IFERROR(VALUE(RIGHT($BU644,3)),""))</f>
        <v/>
      </c>
      <c r="CA644">
        <f>IF($X644="","",IFERROR(IF(ISNUMBER($X644),$X644,DATEVALUE(TRIM($X644))),""))</f>
        <v/>
      </c>
      <c r="CB644">
        <f>IF($CA644="","",IF(MONTH($CA644)&gt;=12,"Cold Winter",IF(MONTH($CA644)&gt;=10,"Post-Monsoon",IF(MONTH($CA644)&gt;=6,"Hot Humid",IF(MONTH($CA644)&gt;=3,"Hot Dry","Cold Winter")))))</f>
        <v/>
      </c>
      <c r="CC644">
        <f>IF($BV644="","",IFERROR(VLOOKUP($BV644,DECODE!$A$3:$C$8,2,FALSE),"?"))</f>
        <v/>
      </c>
      <c r="CD644">
        <f>IF($S644="","",UPPER(TRIM(LEFT($S644&amp;",",FIND(",",$S644&amp;",")-1))))</f>
        <v/>
      </c>
      <c r="CE644">
        <f>IF($CD644="","",MID($CD644,4,FIND("~",SUBSTITUTE($CD644,"-","~",2))-4))</f>
        <v/>
      </c>
      <c r="CF644">
        <f>IF($CD644="","",MID($CD644,FIND("~",SUBSTITUTE($CD644,"-","~",2))+1,FIND("~",SUBSTITUTE($CD644,"-","~",3))-FIND("~",SUBSTITUTE($CD644,"-","~",2))-1))</f>
        <v/>
      </c>
      <c r="CG644">
        <f>IF($CE644="","",IFERROR(VLOOKUP($CE644,DECODE!$A$3:$C$8,3,FALSE),"?"))</f>
        <v/>
      </c>
      <c r="CH644">
        <f>IF($CF644="","",IFERROR(VLOOKUP($CE644&amp;"-"&amp;$CF644,DECODE!$E$3:$F$21,2,FALSE),"?"))</f>
        <v/>
      </c>
      <c r="CI644">
        <f>IF($CD644="","",IFERROR(VALUE(RIGHT($CD644,3)),""))</f>
        <v/>
      </c>
      <c r="CJ644">
        <f>IF($Y644="","",IFERROR(IF(ISNUMBER($Y644),$Y644,DATEVALUE(TRIM($Y644))),""))</f>
        <v/>
      </c>
      <c r="CK644">
        <f>IF($CJ644="","",IF(MONTH($CJ644)&gt;=12,"Cold Winter",IF(MONTH($CJ644)&gt;=10,"Post-Monsoon",IF(MONTH($CJ644)&gt;=6,"Hot Humid",IF(MONTH($CJ644)&gt;=3,"Hot Dry","Cold Winter")))))</f>
        <v/>
      </c>
      <c r="CL644">
        <f>IF($CE644="","",IFERROR(VLOOKUP($CE644,DECODE!$A$3:$C$8,2,FALSE),"?"))</f>
        <v/>
      </c>
      <c r="CM644">
        <f>IF($AN644="","",AN644)</f>
        <v/>
      </c>
      <c r="CN644">
        <f>IF($AO644="","",AO644)</f>
        <v/>
      </c>
      <c r="CO644">
        <f>IF($AP644="","",AP644)</f>
        <v/>
      </c>
      <c r="CP644">
        <f>IF($CM644="","",IF($CM644="Aloe Vera Gel","Aloe Vera Gel "&amp;$CO644&amp;"g",CN644&amp;" "&amp;$CO644&amp;"g"))</f>
        <v/>
      </c>
      <c r="CQ644">
        <f>IF($AT644="",0,1)</f>
        <v/>
      </c>
      <c r="CR644">
        <f>IF($CQ644=0,"",AW644)</f>
        <v/>
      </c>
      <c r="CS644">
        <f>IF($CQ644=0,"",AX644)</f>
        <v/>
      </c>
      <c r="CT644">
        <f>IF($CQ644=0,"",AY644)</f>
        <v/>
      </c>
      <c r="CU644">
        <f>IF($CR644="","",IF($CR644="Aloe Vera Gel","Aloe Vera Gel "&amp;$CT644&amp;"g",CS644&amp;" "&amp;$CT644&amp;"g"))</f>
        <v/>
      </c>
      <c r="CV644">
        <f>IF($CQ644=0,"",IF($CP644=$CU644,"Repeat Exact",IF($CT644&gt;$CO644,"Upsized",IF($CT644&lt;$CO644,"Downsized",IF($CM644&lt;&gt;$CR644,"Lateral","Same Size Diff Variant")))))</f>
        <v/>
      </c>
      <c r="CW644">
        <f>IF($CQ644=0,"",AZ644-AQ644)</f>
        <v/>
      </c>
      <c r="CX644">
        <f>IF($CQ644=0,0,IF(CS644=CN644,1,0))</f>
        <v/>
      </c>
      <c r="CY644">
        <f>IF($CQ644=0,0,IF(CR644=CM644,1,0))</f>
        <v/>
      </c>
      <c r="CZ644">
        <f>IF($A644="","",IF(AND(IF(DASHBOARD!$C$4="All",TRUE,$CM644=DASHBOARD!$C$4),IF(DASHBOARD!$C$6="All",TRUE,$CP644=DASHBOARD!$C$6),IF(DASHBOARD!$C$8="All",TRUE,$AF644&gt;=DASHBOARD!$C$8),IF(DASHBOARD!$C$10="All",TRUE,$AF644&lt;=DASHBOARD!$C$10),IF(DASHBOARD!$C$12="All",TRUE,$AH644=VALUE(DASHBOARD!$C$12)),IF(DASHBOARD!$C$14="All",TRUE,$AJ644=DASHBOARD!$C$14)),1,0))</f>
        <v/>
      </c>
    </row>
    <row r="645">
      <c r="A645" t="n">
        <v>276338</v>
      </c>
      <c r="B645" t="inlineStr">
        <is>
          <t>Face Malai</t>
        </is>
      </c>
      <c r="H645" t="inlineStr">
        <is>
          <t>Clove Tea-Tree (Anti-Acne) Face Malai</t>
        </is>
      </c>
      <c r="N645" t="inlineStr">
        <is>
          <t>FC-DM-AA-030</t>
        </is>
      </c>
      <c r="T645" t="inlineStr">
        <is>
          <t>Apr 25, 2026</t>
        </is>
      </c>
      <c r="AE645" t="inlineStr">
        <is>
          <t>Bengaluru</t>
        </is>
      </c>
      <c r="AF645" t="inlineStr">
        <is>
          <t>2026-04</t>
        </is>
      </c>
      <c r="AG645" t="n">
        <v>4</v>
      </c>
      <c r="AH645" t="n">
        <v>1</v>
      </c>
      <c r="AI645" t="n">
        <v>0</v>
      </c>
      <c r="AJ645">
        <f>IF($AE645="","",IFERROR(VLOOKUP(TRIM($AE645),DECODE!$H$3:$I$60,2,FALSE),"Rest of India"))</f>
        <v/>
      </c>
      <c r="AK645">
        <f>IF($N645="","",UPPER(TRIM(LEFT($N645&amp;",",FIND(",",$N645&amp;",")-1))))</f>
        <v/>
      </c>
      <c r="AL645">
        <f>IF($AK645="","",MID($AK645,4,FIND("~",SUBSTITUTE($AK645,"-","~",2))-4))</f>
        <v/>
      </c>
      <c r="AM645">
        <f>IF($AK645="","",MID($AK645,FIND("~",SUBSTITUTE($AK645,"-","~",2))+1,FIND("~",SUBSTITUTE($AK645,"-","~",3))-FIND("~",SUBSTITUTE($AK645,"-","~",2))-1))</f>
        <v/>
      </c>
      <c r="AN645">
        <f>IF($AL645="","",IFERROR(VLOOKUP($AL645,DECODE!$A$3:$C$8,3,FALSE),"?"))</f>
        <v/>
      </c>
      <c r="AO645">
        <f>IF($AM645="","",IFERROR(VLOOKUP($AL645&amp;"-"&amp;$AM645,DECODE!$E$3:$F$21,2,FALSE),"?"))</f>
        <v/>
      </c>
      <c r="AP645">
        <f>IF($AK645="","",IFERROR(VALUE(RIGHT($AK645,3)),""))</f>
        <v/>
      </c>
      <c r="AQ645">
        <f>IF($T645="","",IFERROR(IF(ISNUMBER($T645),$T645,DATEVALUE(TRIM($T645))),""))</f>
        <v/>
      </c>
      <c r="AR645">
        <f>IF($AQ645="","",IF(MONTH($AQ645)&gt;=12,"Cold Winter",IF(MONTH($AQ645)&gt;=10,"Post-Monsoon",IF(MONTH($AQ645)&gt;=6,"Hot Humid",IF(MONTH($AQ645)&gt;=3,"Hot Dry","Cold Winter")))))</f>
        <v/>
      </c>
      <c r="AS645">
        <f>IF($AL645="","",IFERROR(VLOOKUP($AL645,DECODE!$A$3:$C$8,2,FALSE),"?"))</f>
        <v/>
      </c>
      <c r="AT645">
        <f>IF($O645="","",UPPER(TRIM(LEFT($O645&amp;",",FIND(",",$O645&amp;",")-1))))</f>
        <v/>
      </c>
      <c r="AU645">
        <f>IF($AT645="","",MID($AT645,4,FIND("~",SUBSTITUTE($AT645,"-","~",2))-4))</f>
        <v/>
      </c>
      <c r="AV645">
        <f>IF($AT645="","",MID($AT645,FIND("~",SUBSTITUTE($AT645,"-","~",2))+1,FIND("~",SUBSTITUTE($AT645,"-","~",3))-FIND("~",SUBSTITUTE($AT645,"-","~",2))-1))</f>
        <v/>
      </c>
      <c r="AW645">
        <f>IF($AU645="","",IFERROR(VLOOKUP($AU645,DECODE!$A$3:$C$8,3,FALSE),"?"))</f>
        <v/>
      </c>
      <c r="AX645">
        <f>IF($AV645="","",IFERROR(VLOOKUP($AU645&amp;"-"&amp;$AV645,DECODE!$E$3:$F$21,2,FALSE),"?"))</f>
        <v/>
      </c>
      <c r="AY645">
        <f>IF($AT645="","",IFERROR(VALUE(RIGHT($AT645,3)),""))</f>
        <v/>
      </c>
      <c r="AZ645">
        <f>IF($U645="","",IFERROR(IF(ISNUMBER($U645),$U645,DATEVALUE(TRIM($U645))),""))</f>
        <v/>
      </c>
      <c r="BA645">
        <f>IF($AZ645="","",IF(MONTH($AZ645)&gt;=12,"Cold Winter",IF(MONTH($AZ645)&gt;=10,"Post-Monsoon",IF(MONTH($AZ645)&gt;=6,"Hot Humid",IF(MONTH($AZ645)&gt;=3,"Hot Dry","Cold Winter")))))</f>
        <v/>
      </c>
      <c r="BB645">
        <f>IF($AU645="","",IFERROR(VLOOKUP($AU645,DECODE!$A$3:$C$8,2,FALSE),"?"))</f>
        <v/>
      </c>
      <c r="BC645">
        <f>IF($P645="","",UPPER(TRIM(LEFT($P645&amp;",",FIND(",",$P645&amp;",")-1))))</f>
        <v/>
      </c>
      <c r="BD645">
        <f>IF($BC645="","",MID($BC645,4,FIND("~",SUBSTITUTE($BC645,"-","~",2))-4))</f>
        <v/>
      </c>
      <c r="BE645">
        <f>IF($BC645="","",MID($BC645,FIND("~",SUBSTITUTE($BC645,"-","~",2))+1,FIND("~",SUBSTITUTE($BC645,"-","~",3))-FIND("~",SUBSTITUTE($BC645,"-","~",2))-1))</f>
        <v/>
      </c>
      <c r="BF645">
        <f>IF($BD645="","",IFERROR(VLOOKUP($BD645,DECODE!$A$3:$C$8,3,FALSE),"?"))</f>
        <v/>
      </c>
      <c r="BG645">
        <f>IF($BE645="","",IFERROR(VLOOKUP($BD645&amp;"-"&amp;$BE645,DECODE!$E$3:$F$21,2,FALSE),"?"))</f>
        <v/>
      </c>
      <c r="BH645">
        <f>IF($BC645="","",IFERROR(VALUE(RIGHT($BC645,3)),""))</f>
        <v/>
      </c>
      <c r="BI645">
        <f>IF($V645="","",IFERROR(IF(ISNUMBER($V645),$V645,DATEVALUE(TRIM($V645))),""))</f>
        <v/>
      </c>
      <c r="BJ645">
        <f>IF($BI645="","",IF(MONTH($BI645)&gt;=12,"Cold Winter",IF(MONTH($BI645)&gt;=10,"Post-Monsoon",IF(MONTH($BI645)&gt;=6,"Hot Humid",IF(MONTH($BI645)&gt;=3,"Hot Dry","Cold Winter")))))</f>
        <v/>
      </c>
      <c r="BK645">
        <f>IF($BD645="","",IFERROR(VLOOKUP($BD645,DECODE!$A$3:$C$8,2,FALSE),"?"))</f>
        <v/>
      </c>
      <c r="BL645">
        <f>IF($Q645="","",UPPER(TRIM(LEFT($Q645&amp;",",FIND(",",$Q645&amp;",")-1))))</f>
        <v/>
      </c>
      <c r="BM645">
        <f>IF($BL645="","",MID($BL645,4,FIND("~",SUBSTITUTE($BL645,"-","~",2))-4))</f>
        <v/>
      </c>
      <c r="BN645">
        <f>IF($BL645="","",MID($BL645,FIND("~",SUBSTITUTE($BL645,"-","~",2))+1,FIND("~",SUBSTITUTE($BL645,"-","~",3))-FIND("~",SUBSTITUTE($BL645,"-","~",2))-1))</f>
        <v/>
      </c>
      <c r="BO645">
        <f>IF($BM645="","",IFERROR(VLOOKUP($BM645,DECODE!$A$3:$C$8,3,FALSE),"?"))</f>
        <v/>
      </c>
      <c r="BP645">
        <f>IF($BN645="","",IFERROR(VLOOKUP($BM645&amp;"-"&amp;$BN645,DECODE!$E$3:$F$21,2,FALSE),"?"))</f>
        <v/>
      </c>
      <c r="BQ645">
        <f>IF($BL645="","",IFERROR(VALUE(RIGHT($BL645,3)),""))</f>
        <v/>
      </c>
      <c r="BR645">
        <f>IF($W645="","",IFERROR(IF(ISNUMBER($W645),$W645,DATEVALUE(TRIM($W645))),""))</f>
        <v/>
      </c>
      <c r="BS645">
        <f>IF($BR645="","",IF(MONTH($BR645)&gt;=12,"Cold Winter",IF(MONTH($BR645)&gt;=10,"Post-Monsoon",IF(MONTH($BR645)&gt;=6,"Hot Humid",IF(MONTH($BR645)&gt;=3,"Hot Dry","Cold Winter")))))</f>
        <v/>
      </c>
      <c r="BT645">
        <f>IF($BM645="","",IFERROR(VLOOKUP($BM645,DECODE!$A$3:$C$8,2,FALSE),"?"))</f>
        <v/>
      </c>
      <c r="BU645">
        <f>IF($R645="","",UPPER(TRIM(LEFT($R645&amp;",",FIND(",",$R645&amp;",")-1))))</f>
        <v/>
      </c>
      <c r="BV645">
        <f>IF($BU645="","",MID($BU645,4,FIND("~",SUBSTITUTE($BU645,"-","~",2))-4))</f>
        <v/>
      </c>
      <c r="BW645">
        <f>IF($BU645="","",MID($BU645,FIND("~",SUBSTITUTE($BU645,"-","~",2))+1,FIND("~",SUBSTITUTE($BU645,"-","~",3))-FIND("~",SUBSTITUTE($BU645,"-","~",2))-1))</f>
        <v/>
      </c>
      <c r="BX645">
        <f>IF($BV645="","",IFERROR(VLOOKUP($BV645,DECODE!$A$3:$C$8,3,FALSE),"?"))</f>
        <v/>
      </c>
      <c r="BY645">
        <f>IF($BW645="","",IFERROR(VLOOKUP($BV645&amp;"-"&amp;$BW645,DECODE!$E$3:$F$21,2,FALSE),"?"))</f>
        <v/>
      </c>
      <c r="BZ645">
        <f>IF($BU645="","",IFERROR(VALUE(RIGHT($BU645,3)),""))</f>
        <v/>
      </c>
      <c r="CA645">
        <f>IF($X645="","",IFERROR(IF(ISNUMBER($X645),$X645,DATEVALUE(TRIM($X645))),""))</f>
        <v/>
      </c>
      <c r="CB645">
        <f>IF($CA645="","",IF(MONTH($CA645)&gt;=12,"Cold Winter",IF(MONTH($CA645)&gt;=10,"Post-Monsoon",IF(MONTH($CA645)&gt;=6,"Hot Humid",IF(MONTH($CA645)&gt;=3,"Hot Dry","Cold Winter")))))</f>
        <v/>
      </c>
      <c r="CC645">
        <f>IF($BV645="","",IFERROR(VLOOKUP($BV645,DECODE!$A$3:$C$8,2,FALSE),"?"))</f>
        <v/>
      </c>
      <c r="CD645">
        <f>IF($S645="","",UPPER(TRIM(LEFT($S645&amp;",",FIND(",",$S645&amp;",")-1))))</f>
        <v/>
      </c>
      <c r="CE645">
        <f>IF($CD645="","",MID($CD645,4,FIND("~",SUBSTITUTE($CD645,"-","~",2))-4))</f>
        <v/>
      </c>
      <c r="CF645">
        <f>IF($CD645="","",MID($CD645,FIND("~",SUBSTITUTE($CD645,"-","~",2))+1,FIND("~",SUBSTITUTE($CD645,"-","~",3))-FIND("~",SUBSTITUTE($CD645,"-","~",2))-1))</f>
        <v/>
      </c>
      <c r="CG645">
        <f>IF($CE645="","",IFERROR(VLOOKUP($CE645,DECODE!$A$3:$C$8,3,FALSE),"?"))</f>
        <v/>
      </c>
      <c r="CH645">
        <f>IF($CF645="","",IFERROR(VLOOKUP($CE645&amp;"-"&amp;$CF645,DECODE!$E$3:$F$21,2,FALSE),"?"))</f>
        <v/>
      </c>
      <c r="CI645">
        <f>IF($CD645="","",IFERROR(VALUE(RIGHT($CD645,3)),""))</f>
        <v/>
      </c>
      <c r="CJ645">
        <f>IF($Y645="","",IFERROR(IF(ISNUMBER($Y645),$Y645,DATEVALUE(TRIM($Y645))),""))</f>
        <v/>
      </c>
      <c r="CK645">
        <f>IF($CJ645="","",IF(MONTH($CJ645)&gt;=12,"Cold Winter",IF(MONTH($CJ645)&gt;=10,"Post-Monsoon",IF(MONTH($CJ645)&gt;=6,"Hot Humid",IF(MONTH($CJ645)&gt;=3,"Hot Dry","Cold Winter")))))</f>
        <v/>
      </c>
      <c r="CL645">
        <f>IF($CE645="","",IFERROR(VLOOKUP($CE645,DECODE!$A$3:$C$8,2,FALSE),"?"))</f>
        <v/>
      </c>
      <c r="CM645">
        <f>IF($AN645="","",AN645)</f>
        <v/>
      </c>
      <c r="CN645">
        <f>IF($AO645="","",AO645)</f>
        <v/>
      </c>
      <c r="CO645">
        <f>IF($AP645="","",AP645)</f>
        <v/>
      </c>
      <c r="CP645">
        <f>IF($CM645="","",IF($CM645="Aloe Vera Gel","Aloe Vera Gel "&amp;$CO645&amp;"g",CN645&amp;" "&amp;$CO645&amp;"g"))</f>
        <v/>
      </c>
      <c r="CQ645">
        <f>IF($AT645="",0,1)</f>
        <v/>
      </c>
      <c r="CR645">
        <f>IF($CQ645=0,"",AW645)</f>
        <v/>
      </c>
      <c r="CS645">
        <f>IF($CQ645=0,"",AX645)</f>
        <v/>
      </c>
      <c r="CT645">
        <f>IF($CQ645=0,"",AY645)</f>
        <v/>
      </c>
      <c r="CU645">
        <f>IF($CR645="","",IF($CR645="Aloe Vera Gel","Aloe Vera Gel "&amp;$CT645&amp;"g",CS645&amp;" "&amp;$CT645&amp;"g"))</f>
        <v/>
      </c>
      <c r="CV645">
        <f>IF($CQ645=0,"",IF($CP645=$CU645,"Repeat Exact",IF($CT645&gt;$CO645,"Upsized",IF($CT645&lt;$CO645,"Downsized",IF($CM645&lt;&gt;$CR645,"Lateral","Same Size Diff Variant")))))</f>
        <v/>
      </c>
      <c r="CW645">
        <f>IF($CQ645=0,"",AZ645-AQ645)</f>
        <v/>
      </c>
      <c r="CX645">
        <f>IF($CQ645=0,0,IF(CS645=CN645,1,0))</f>
        <v/>
      </c>
      <c r="CY645">
        <f>IF($CQ645=0,0,IF(CR645=CM645,1,0))</f>
        <v/>
      </c>
      <c r="CZ645">
        <f>IF($A645="","",IF(AND(IF(DASHBOARD!$C$4="All",TRUE,$CM645=DASHBOARD!$C$4),IF(DASHBOARD!$C$6="All",TRUE,$CP645=DASHBOARD!$C$6),IF(DASHBOARD!$C$8="All",TRUE,$AF645&gt;=DASHBOARD!$C$8),IF(DASHBOARD!$C$10="All",TRUE,$AF645&lt;=DASHBOARD!$C$10),IF(DASHBOARD!$C$12="All",TRUE,$AH645=VALUE(DASHBOARD!$C$12)),IF(DASHBOARD!$C$14="All",TRUE,$AJ645=DASHBOARD!$C$14)),1,0))</f>
        <v/>
      </c>
    </row>
    <row r="646">
      <c r="A646" t="n">
        <v>276497</v>
      </c>
      <c r="B646" t="inlineStr">
        <is>
          <t>Aloe Vera Gel</t>
        </is>
      </c>
      <c r="H646" t="inlineStr">
        <is>
          <t>Aloe Vera Gel - 40 gms</t>
        </is>
      </c>
      <c r="N646" t="inlineStr">
        <is>
          <t>FC-HG-PA-040</t>
        </is>
      </c>
      <c r="T646" t="inlineStr">
        <is>
          <t>May 28, 2024</t>
        </is>
      </c>
      <c r="AE646" t="inlineStr">
        <is>
          <t>Dehradun</t>
        </is>
      </c>
      <c r="AF646" t="inlineStr">
        <is>
          <t>2024-05</t>
        </is>
      </c>
      <c r="AG646" t="n">
        <v>5</v>
      </c>
      <c r="AH646" t="n">
        <v>1</v>
      </c>
      <c r="AI646" t="n">
        <v>0</v>
      </c>
      <c r="AJ646">
        <f>IF($AE646="","",IFERROR(VLOOKUP(TRIM($AE646),DECODE!$H$3:$I$60,2,FALSE),"Rest of India"))</f>
        <v/>
      </c>
      <c r="AK646">
        <f>IF($N646="","",UPPER(TRIM(LEFT($N646&amp;",",FIND(",",$N646&amp;",")-1))))</f>
        <v/>
      </c>
      <c r="AL646">
        <f>IF($AK646="","",MID($AK646,4,FIND("~",SUBSTITUTE($AK646,"-","~",2))-4))</f>
        <v/>
      </c>
      <c r="AM646">
        <f>IF($AK646="","",MID($AK646,FIND("~",SUBSTITUTE($AK646,"-","~",2))+1,FIND("~",SUBSTITUTE($AK646,"-","~",3))-FIND("~",SUBSTITUTE($AK646,"-","~",2))-1))</f>
        <v/>
      </c>
      <c r="AN646">
        <f>IF($AL646="","",IFERROR(VLOOKUP($AL646,DECODE!$A$3:$C$8,3,FALSE),"?"))</f>
        <v/>
      </c>
      <c r="AO646">
        <f>IF($AM646="","",IFERROR(VLOOKUP($AL646&amp;"-"&amp;$AM646,DECODE!$E$3:$F$21,2,FALSE),"?"))</f>
        <v/>
      </c>
      <c r="AP646">
        <f>IF($AK646="","",IFERROR(VALUE(RIGHT($AK646,3)),""))</f>
        <v/>
      </c>
      <c r="AQ646">
        <f>IF($T646="","",IFERROR(IF(ISNUMBER($T646),$T646,DATEVALUE(TRIM($T646))),""))</f>
        <v/>
      </c>
      <c r="AR646">
        <f>IF($AQ646="","",IF(MONTH($AQ646)&gt;=12,"Cold Winter",IF(MONTH($AQ646)&gt;=10,"Post-Monsoon",IF(MONTH($AQ646)&gt;=6,"Hot Humid",IF(MONTH($AQ646)&gt;=3,"Hot Dry","Cold Winter")))))</f>
        <v/>
      </c>
      <c r="AS646">
        <f>IF($AL646="","",IFERROR(VLOOKUP($AL646,DECODE!$A$3:$C$8,2,FALSE),"?"))</f>
        <v/>
      </c>
      <c r="AT646">
        <f>IF($O646="","",UPPER(TRIM(LEFT($O646&amp;",",FIND(",",$O646&amp;",")-1))))</f>
        <v/>
      </c>
      <c r="AU646">
        <f>IF($AT646="","",MID($AT646,4,FIND("~",SUBSTITUTE($AT646,"-","~",2))-4))</f>
        <v/>
      </c>
      <c r="AV646">
        <f>IF($AT646="","",MID($AT646,FIND("~",SUBSTITUTE($AT646,"-","~",2))+1,FIND("~",SUBSTITUTE($AT646,"-","~",3))-FIND("~",SUBSTITUTE($AT646,"-","~",2))-1))</f>
        <v/>
      </c>
      <c r="AW646">
        <f>IF($AU646="","",IFERROR(VLOOKUP($AU646,DECODE!$A$3:$C$8,3,FALSE),"?"))</f>
        <v/>
      </c>
      <c r="AX646">
        <f>IF($AV646="","",IFERROR(VLOOKUP($AU646&amp;"-"&amp;$AV646,DECODE!$E$3:$F$21,2,FALSE),"?"))</f>
        <v/>
      </c>
      <c r="AY646">
        <f>IF($AT646="","",IFERROR(VALUE(RIGHT($AT646,3)),""))</f>
        <v/>
      </c>
      <c r="AZ646">
        <f>IF($U646="","",IFERROR(IF(ISNUMBER($U646),$U646,DATEVALUE(TRIM($U646))),""))</f>
        <v/>
      </c>
      <c r="BA646">
        <f>IF($AZ646="","",IF(MONTH($AZ646)&gt;=12,"Cold Winter",IF(MONTH($AZ646)&gt;=10,"Post-Monsoon",IF(MONTH($AZ646)&gt;=6,"Hot Humid",IF(MONTH($AZ646)&gt;=3,"Hot Dry","Cold Winter")))))</f>
        <v/>
      </c>
      <c r="BB646">
        <f>IF($AU646="","",IFERROR(VLOOKUP($AU646,DECODE!$A$3:$C$8,2,FALSE),"?"))</f>
        <v/>
      </c>
      <c r="BC646">
        <f>IF($P646="","",UPPER(TRIM(LEFT($P646&amp;",",FIND(",",$P646&amp;",")-1))))</f>
        <v/>
      </c>
      <c r="BD646">
        <f>IF($BC646="","",MID($BC646,4,FIND("~",SUBSTITUTE($BC646,"-","~",2))-4))</f>
        <v/>
      </c>
      <c r="BE646">
        <f>IF($BC646="","",MID($BC646,FIND("~",SUBSTITUTE($BC646,"-","~",2))+1,FIND("~",SUBSTITUTE($BC646,"-","~",3))-FIND("~",SUBSTITUTE($BC646,"-","~",2))-1))</f>
        <v/>
      </c>
      <c r="BF646">
        <f>IF($BD646="","",IFERROR(VLOOKUP($BD646,DECODE!$A$3:$C$8,3,FALSE),"?"))</f>
        <v/>
      </c>
      <c r="BG646">
        <f>IF($BE646="","",IFERROR(VLOOKUP($BD646&amp;"-"&amp;$BE646,DECODE!$E$3:$F$21,2,FALSE),"?"))</f>
        <v/>
      </c>
      <c r="BH646">
        <f>IF($BC646="","",IFERROR(VALUE(RIGHT($BC646,3)),""))</f>
        <v/>
      </c>
      <c r="BI646">
        <f>IF($V646="","",IFERROR(IF(ISNUMBER($V646),$V646,DATEVALUE(TRIM($V646))),""))</f>
        <v/>
      </c>
      <c r="BJ646">
        <f>IF($BI646="","",IF(MONTH($BI646)&gt;=12,"Cold Winter",IF(MONTH($BI646)&gt;=10,"Post-Monsoon",IF(MONTH($BI646)&gt;=6,"Hot Humid",IF(MONTH($BI646)&gt;=3,"Hot Dry","Cold Winter")))))</f>
        <v/>
      </c>
      <c r="BK646">
        <f>IF($BD646="","",IFERROR(VLOOKUP($BD646,DECODE!$A$3:$C$8,2,FALSE),"?"))</f>
        <v/>
      </c>
      <c r="BL646">
        <f>IF($Q646="","",UPPER(TRIM(LEFT($Q646&amp;",",FIND(",",$Q646&amp;",")-1))))</f>
        <v/>
      </c>
      <c r="BM646">
        <f>IF($BL646="","",MID($BL646,4,FIND("~",SUBSTITUTE($BL646,"-","~",2))-4))</f>
        <v/>
      </c>
      <c r="BN646">
        <f>IF($BL646="","",MID($BL646,FIND("~",SUBSTITUTE($BL646,"-","~",2))+1,FIND("~",SUBSTITUTE($BL646,"-","~",3))-FIND("~",SUBSTITUTE($BL646,"-","~",2))-1))</f>
        <v/>
      </c>
      <c r="BO646">
        <f>IF($BM646="","",IFERROR(VLOOKUP($BM646,DECODE!$A$3:$C$8,3,FALSE),"?"))</f>
        <v/>
      </c>
      <c r="BP646">
        <f>IF($BN646="","",IFERROR(VLOOKUP($BM646&amp;"-"&amp;$BN646,DECODE!$E$3:$F$21,2,FALSE),"?"))</f>
        <v/>
      </c>
      <c r="BQ646">
        <f>IF($BL646="","",IFERROR(VALUE(RIGHT($BL646,3)),""))</f>
        <v/>
      </c>
      <c r="BR646">
        <f>IF($W646="","",IFERROR(IF(ISNUMBER($W646),$W646,DATEVALUE(TRIM($W646))),""))</f>
        <v/>
      </c>
      <c r="BS646">
        <f>IF($BR646="","",IF(MONTH($BR646)&gt;=12,"Cold Winter",IF(MONTH($BR646)&gt;=10,"Post-Monsoon",IF(MONTH($BR646)&gt;=6,"Hot Humid",IF(MONTH($BR646)&gt;=3,"Hot Dry","Cold Winter")))))</f>
        <v/>
      </c>
      <c r="BT646">
        <f>IF($BM646="","",IFERROR(VLOOKUP($BM646,DECODE!$A$3:$C$8,2,FALSE),"?"))</f>
        <v/>
      </c>
      <c r="BU646">
        <f>IF($R646="","",UPPER(TRIM(LEFT($R646&amp;",",FIND(",",$R646&amp;",")-1))))</f>
        <v/>
      </c>
      <c r="BV646">
        <f>IF($BU646="","",MID($BU646,4,FIND("~",SUBSTITUTE($BU646,"-","~",2))-4))</f>
        <v/>
      </c>
      <c r="BW646">
        <f>IF($BU646="","",MID($BU646,FIND("~",SUBSTITUTE($BU646,"-","~",2))+1,FIND("~",SUBSTITUTE($BU646,"-","~",3))-FIND("~",SUBSTITUTE($BU646,"-","~",2))-1))</f>
        <v/>
      </c>
      <c r="BX646">
        <f>IF($BV646="","",IFERROR(VLOOKUP($BV646,DECODE!$A$3:$C$8,3,FALSE),"?"))</f>
        <v/>
      </c>
      <c r="BY646">
        <f>IF($BW646="","",IFERROR(VLOOKUP($BV646&amp;"-"&amp;$BW646,DECODE!$E$3:$F$21,2,FALSE),"?"))</f>
        <v/>
      </c>
      <c r="BZ646">
        <f>IF($BU646="","",IFERROR(VALUE(RIGHT($BU646,3)),""))</f>
        <v/>
      </c>
      <c r="CA646">
        <f>IF($X646="","",IFERROR(IF(ISNUMBER($X646),$X646,DATEVALUE(TRIM($X646))),""))</f>
        <v/>
      </c>
      <c r="CB646">
        <f>IF($CA646="","",IF(MONTH($CA646)&gt;=12,"Cold Winter",IF(MONTH($CA646)&gt;=10,"Post-Monsoon",IF(MONTH($CA646)&gt;=6,"Hot Humid",IF(MONTH($CA646)&gt;=3,"Hot Dry","Cold Winter")))))</f>
        <v/>
      </c>
      <c r="CC646">
        <f>IF($BV646="","",IFERROR(VLOOKUP($BV646,DECODE!$A$3:$C$8,2,FALSE),"?"))</f>
        <v/>
      </c>
      <c r="CD646">
        <f>IF($S646="","",UPPER(TRIM(LEFT($S646&amp;",",FIND(",",$S646&amp;",")-1))))</f>
        <v/>
      </c>
      <c r="CE646">
        <f>IF($CD646="","",MID($CD646,4,FIND("~",SUBSTITUTE($CD646,"-","~",2))-4))</f>
        <v/>
      </c>
      <c r="CF646">
        <f>IF($CD646="","",MID($CD646,FIND("~",SUBSTITUTE($CD646,"-","~",2))+1,FIND("~",SUBSTITUTE($CD646,"-","~",3))-FIND("~",SUBSTITUTE($CD646,"-","~",2))-1))</f>
        <v/>
      </c>
      <c r="CG646">
        <f>IF($CE646="","",IFERROR(VLOOKUP($CE646,DECODE!$A$3:$C$8,3,FALSE),"?"))</f>
        <v/>
      </c>
      <c r="CH646">
        <f>IF($CF646="","",IFERROR(VLOOKUP($CE646&amp;"-"&amp;$CF646,DECODE!$E$3:$F$21,2,FALSE),"?"))</f>
        <v/>
      </c>
      <c r="CI646">
        <f>IF($CD646="","",IFERROR(VALUE(RIGHT($CD646,3)),""))</f>
        <v/>
      </c>
      <c r="CJ646">
        <f>IF($Y646="","",IFERROR(IF(ISNUMBER($Y646),$Y646,DATEVALUE(TRIM($Y646))),""))</f>
        <v/>
      </c>
      <c r="CK646">
        <f>IF($CJ646="","",IF(MONTH($CJ646)&gt;=12,"Cold Winter",IF(MONTH($CJ646)&gt;=10,"Post-Monsoon",IF(MONTH($CJ646)&gt;=6,"Hot Humid",IF(MONTH($CJ646)&gt;=3,"Hot Dry","Cold Winter")))))</f>
        <v/>
      </c>
      <c r="CL646">
        <f>IF($CE646="","",IFERROR(VLOOKUP($CE646,DECODE!$A$3:$C$8,2,FALSE),"?"))</f>
        <v/>
      </c>
      <c r="CM646">
        <f>IF($AN646="","",AN646)</f>
        <v/>
      </c>
      <c r="CN646">
        <f>IF($AO646="","",AO646)</f>
        <v/>
      </c>
      <c r="CO646">
        <f>IF($AP646="","",AP646)</f>
        <v/>
      </c>
      <c r="CP646">
        <f>IF($CM646="","",IF($CM646="Aloe Vera Gel","Aloe Vera Gel "&amp;$CO646&amp;"g",CN646&amp;" "&amp;$CO646&amp;"g"))</f>
        <v/>
      </c>
      <c r="CQ646">
        <f>IF($AT646="",0,1)</f>
        <v/>
      </c>
      <c r="CR646">
        <f>IF($CQ646=0,"",AW646)</f>
        <v/>
      </c>
      <c r="CS646">
        <f>IF($CQ646=0,"",AX646)</f>
        <v/>
      </c>
      <c r="CT646">
        <f>IF($CQ646=0,"",AY646)</f>
        <v/>
      </c>
      <c r="CU646">
        <f>IF($CR646="","",IF($CR646="Aloe Vera Gel","Aloe Vera Gel "&amp;$CT646&amp;"g",CS646&amp;" "&amp;$CT646&amp;"g"))</f>
        <v/>
      </c>
      <c r="CV646">
        <f>IF($CQ646=0,"",IF($CP646=$CU646,"Repeat Exact",IF($CT646&gt;$CO646,"Upsized",IF($CT646&lt;$CO646,"Downsized",IF($CM646&lt;&gt;$CR646,"Lateral","Same Size Diff Variant")))))</f>
        <v/>
      </c>
      <c r="CW646">
        <f>IF($CQ646=0,"",AZ646-AQ646)</f>
        <v/>
      </c>
      <c r="CX646">
        <f>IF($CQ646=0,0,IF(CS646=CN646,1,0))</f>
        <v/>
      </c>
      <c r="CY646">
        <f>IF($CQ646=0,0,IF(CR646=CM646,1,0))</f>
        <v/>
      </c>
      <c r="CZ646">
        <f>IF($A646="","",IF(AND(IF(DASHBOARD!$C$4="All",TRUE,$CM646=DASHBOARD!$C$4),IF(DASHBOARD!$C$6="All",TRUE,$CP646=DASHBOARD!$C$6),IF(DASHBOARD!$C$8="All",TRUE,$AF646&gt;=DASHBOARD!$C$8),IF(DASHBOARD!$C$10="All",TRUE,$AF646&lt;=DASHBOARD!$C$10),IF(DASHBOARD!$C$12="All",TRUE,$AH646=VALUE(DASHBOARD!$C$12)),IF(DASHBOARD!$C$14="All",TRUE,$AJ646=DASHBOARD!$C$14)),1,0))</f>
        <v/>
      </c>
    </row>
    <row r="647">
      <c r="A647" t="n">
        <v>276753</v>
      </c>
      <c r="B647" t="inlineStr">
        <is>
          <t>Face Malai</t>
        </is>
      </c>
      <c r="C647" t="inlineStr">
        <is>
          <t>Face Malai</t>
        </is>
      </c>
      <c r="H647" t="inlineStr">
        <is>
          <t>Tomato Rosehip (Hot Dry) 20 - 35 Yrs Face Malai - 30g, Cocoa Mogra (Overnight) Face Malai - 30g</t>
        </is>
      </c>
      <c r="I647" t="inlineStr">
        <is>
          <t>Tomato Rosehip (Hot Dry) 20 - 35 Yrs Face Malai - 30g</t>
        </is>
      </c>
      <c r="N647" t="inlineStr">
        <is>
          <t>FC-HDDM-TR-030, FC-DM-NR-030</t>
        </is>
      </c>
      <c r="O647" t="inlineStr">
        <is>
          <t>FC-HDDM-TR-030</t>
        </is>
      </c>
      <c r="T647" t="inlineStr">
        <is>
          <t>Mar 22, 2025</t>
        </is>
      </c>
      <c r="U647" t="inlineStr">
        <is>
          <t>Oct 13, 2025</t>
        </is>
      </c>
      <c r="Z647" t="n">
        <v>205</v>
      </c>
      <c r="AE647" t="inlineStr">
        <is>
          <t>Bengaluru</t>
        </is>
      </c>
      <c r="AF647" t="inlineStr">
        <is>
          <t>2025-03</t>
        </is>
      </c>
      <c r="AG647" t="n">
        <v>3</v>
      </c>
      <c r="AH647" t="n">
        <v>2</v>
      </c>
      <c r="AI647" t="n">
        <v>1</v>
      </c>
      <c r="AJ647">
        <f>IF($AE647="","",IFERROR(VLOOKUP(TRIM($AE647),DECODE!$H$3:$I$60,2,FALSE),"Rest of India"))</f>
        <v/>
      </c>
      <c r="AK647">
        <f>IF($N647="","",UPPER(TRIM(LEFT($N647&amp;",",FIND(",",$N647&amp;",")-1))))</f>
        <v/>
      </c>
      <c r="AL647">
        <f>IF($AK647="","",MID($AK647,4,FIND("~",SUBSTITUTE($AK647,"-","~",2))-4))</f>
        <v/>
      </c>
      <c r="AM647">
        <f>IF($AK647="","",MID($AK647,FIND("~",SUBSTITUTE($AK647,"-","~",2))+1,FIND("~",SUBSTITUTE($AK647,"-","~",3))-FIND("~",SUBSTITUTE($AK647,"-","~",2))-1))</f>
        <v/>
      </c>
      <c r="AN647">
        <f>IF($AL647="","",IFERROR(VLOOKUP($AL647,DECODE!$A$3:$C$8,3,FALSE),"?"))</f>
        <v/>
      </c>
      <c r="AO647">
        <f>IF($AM647="","",IFERROR(VLOOKUP($AL647&amp;"-"&amp;$AM647,DECODE!$E$3:$F$21,2,FALSE),"?"))</f>
        <v/>
      </c>
      <c r="AP647">
        <f>IF($AK647="","",IFERROR(VALUE(RIGHT($AK647,3)),""))</f>
        <v/>
      </c>
      <c r="AQ647">
        <f>IF($T647="","",IFERROR(IF(ISNUMBER($T647),$T647,DATEVALUE(TRIM($T647))),""))</f>
        <v/>
      </c>
      <c r="AR647">
        <f>IF($AQ647="","",IF(MONTH($AQ647)&gt;=12,"Cold Winter",IF(MONTH($AQ647)&gt;=10,"Post-Monsoon",IF(MONTH($AQ647)&gt;=6,"Hot Humid",IF(MONTH($AQ647)&gt;=3,"Hot Dry","Cold Winter")))))</f>
        <v/>
      </c>
      <c r="AS647">
        <f>IF($AL647="","",IFERROR(VLOOKUP($AL647,DECODE!$A$3:$C$8,2,FALSE),"?"))</f>
        <v/>
      </c>
      <c r="AT647">
        <f>IF($O647="","",UPPER(TRIM(LEFT($O647&amp;",",FIND(",",$O647&amp;",")-1))))</f>
        <v/>
      </c>
      <c r="AU647">
        <f>IF($AT647="","",MID($AT647,4,FIND("~",SUBSTITUTE($AT647,"-","~",2))-4))</f>
        <v/>
      </c>
      <c r="AV647">
        <f>IF($AT647="","",MID($AT647,FIND("~",SUBSTITUTE($AT647,"-","~",2))+1,FIND("~",SUBSTITUTE($AT647,"-","~",3))-FIND("~",SUBSTITUTE($AT647,"-","~",2))-1))</f>
        <v/>
      </c>
      <c r="AW647">
        <f>IF($AU647="","",IFERROR(VLOOKUP($AU647,DECODE!$A$3:$C$8,3,FALSE),"?"))</f>
        <v/>
      </c>
      <c r="AX647">
        <f>IF($AV647="","",IFERROR(VLOOKUP($AU647&amp;"-"&amp;$AV647,DECODE!$E$3:$F$21,2,FALSE),"?"))</f>
        <v/>
      </c>
      <c r="AY647">
        <f>IF($AT647="","",IFERROR(VALUE(RIGHT($AT647,3)),""))</f>
        <v/>
      </c>
      <c r="AZ647">
        <f>IF($U647="","",IFERROR(IF(ISNUMBER($U647),$U647,DATEVALUE(TRIM($U647))),""))</f>
        <v/>
      </c>
      <c r="BA647">
        <f>IF($AZ647="","",IF(MONTH($AZ647)&gt;=12,"Cold Winter",IF(MONTH($AZ647)&gt;=10,"Post-Monsoon",IF(MONTH($AZ647)&gt;=6,"Hot Humid",IF(MONTH($AZ647)&gt;=3,"Hot Dry","Cold Winter")))))</f>
        <v/>
      </c>
      <c r="BB647">
        <f>IF($AU647="","",IFERROR(VLOOKUP($AU647,DECODE!$A$3:$C$8,2,FALSE),"?"))</f>
        <v/>
      </c>
      <c r="BC647">
        <f>IF($P647="","",UPPER(TRIM(LEFT($P647&amp;",",FIND(",",$P647&amp;",")-1))))</f>
        <v/>
      </c>
      <c r="BD647">
        <f>IF($BC647="","",MID($BC647,4,FIND("~",SUBSTITUTE($BC647,"-","~",2))-4))</f>
        <v/>
      </c>
      <c r="BE647">
        <f>IF($BC647="","",MID($BC647,FIND("~",SUBSTITUTE($BC647,"-","~",2))+1,FIND("~",SUBSTITUTE($BC647,"-","~",3))-FIND("~",SUBSTITUTE($BC647,"-","~",2))-1))</f>
        <v/>
      </c>
      <c r="BF647">
        <f>IF($BD647="","",IFERROR(VLOOKUP($BD647,DECODE!$A$3:$C$8,3,FALSE),"?"))</f>
        <v/>
      </c>
      <c r="BG647">
        <f>IF($BE647="","",IFERROR(VLOOKUP($BD647&amp;"-"&amp;$BE647,DECODE!$E$3:$F$21,2,FALSE),"?"))</f>
        <v/>
      </c>
      <c r="BH647">
        <f>IF($BC647="","",IFERROR(VALUE(RIGHT($BC647,3)),""))</f>
        <v/>
      </c>
      <c r="BI647">
        <f>IF($V647="","",IFERROR(IF(ISNUMBER($V647),$V647,DATEVALUE(TRIM($V647))),""))</f>
        <v/>
      </c>
      <c r="BJ647">
        <f>IF($BI647="","",IF(MONTH($BI647)&gt;=12,"Cold Winter",IF(MONTH($BI647)&gt;=10,"Post-Monsoon",IF(MONTH($BI647)&gt;=6,"Hot Humid",IF(MONTH($BI647)&gt;=3,"Hot Dry","Cold Winter")))))</f>
        <v/>
      </c>
      <c r="BK647">
        <f>IF($BD647="","",IFERROR(VLOOKUP($BD647,DECODE!$A$3:$C$8,2,FALSE),"?"))</f>
        <v/>
      </c>
      <c r="BL647">
        <f>IF($Q647="","",UPPER(TRIM(LEFT($Q647&amp;",",FIND(",",$Q647&amp;",")-1))))</f>
        <v/>
      </c>
      <c r="BM647">
        <f>IF($BL647="","",MID($BL647,4,FIND("~",SUBSTITUTE($BL647,"-","~",2))-4))</f>
        <v/>
      </c>
      <c r="BN647">
        <f>IF($BL647="","",MID($BL647,FIND("~",SUBSTITUTE($BL647,"-","~",2))+1,FIND("~",SUBSTITUTE($BL647,"-","~",3))-FIND("~",SUBSTITUTE($BL647,"-","~",2))-1))</f>
        <v/>
      </c>
      <c r="BO647">
        <f>IF($BM647="","",IFERROR(VLOOKUP($BM647,DECODE!$A$3:$C$8,3,FALSE),"?"))</f>
        <v/>
      </c>
      <c r="BP647">
        <f>IF($BN647="","",IFERROR(VLOOKUP($BM647&amp;"-"&amp;$BN647,DECODE!$E$3:$F$21,2,FALSE),"?"))</f>
        <v/>
      </c>
      <c r="BQ647">
        <f>IF($BL647="","",IFERROR(VALUE(RIGHT($BL647,3)),""))</f>
        <v/>
      </c>
      <c r="BR647">
        <f>IF($W647="","",IFERROR(IF(ISNUMBER($W647),$W647,DATEVALUE(TRIM($W647))),""))</f>
        <v/>
      </c>
      <c r="BS647">
        <f>IF($BR647="","",IF(MONTH($BR647)&gt;=12,"Cold Winter",IF(MONTH($BR647)&gt;=10,"Post-Monsoon",IF(MONTH($BR647)&gt;=6,"Hot Humid",IF(MONTH($BR647)&gt;=3,"Hot Dry","Cold Winter")))))</f>
        <v/>
      </c>
      <c r="BT647">
        <f>IF($BM647="","",IFERROR(VLOOKUP($BM647,DECODE!$A$3:$C$8,2,FALSE),"?"))</f>
        <v/>
      </c>
      <c r="BU647">
        <f>IF($R647="","",UPPER(TRIM(LEFT($R647&amp;",",FIND(",",$R647&amp;",")-1))))</f>
        <v/>
      </c>
      <c r="BV647">
        <f>IF($BU647="","",MID($BU647,4,FIND("~",SUBSTITUTE($BU647,"-","~",2))-4))</f>
        <v/>
      </c>
      <c r="BW647">
        <f>IF($BU647="","",MID($BU647,FIND("~",SUBSTITUTE($BU647,"-","~",2))+1,FIND("~",SUBSTITUTE($BU647,"-","~",3))-FIND("~",SUBSTITUTE($BU647,"-","~",2))-1))</f>
        <v/>
      </c>
      <c r="BX647">
        <f>IF($BV647="","",IFERROR(VLOOKUP($BV647,DECODE!$A$3:$C$8,3,FALSE),"?"))</f>
        <v/>
      </c>
      <c r="BY647">
        <f>IF($BW647="","",IFERROR(VLOOKUP($BV647&amp;"-"&amp;$BW647,DECODE!$E$3:$F$21,2,FALSE),"?"))</f>
        <v/>
      </c>
      <c r="BZ647">
        <f>IF($BU647="","",IFERROR(VALUE(RIGHT($BU647,3)),""))</f>
        <v/>
      </c>
      <c r="CA647">
        <f>IF($X647="","",IFERROR(IF(ISNUMBER($X647),$X647,DATEVALUE(TRIM($X647))),""))</f>
        <v/>
      </c>
      <c r="CB647">
        <f>IF($CA647="","",IF(MONTH($CA647)&gt;=12,"Cold Winter",IF(MONTH($CA647)&gt;=10,"Post-Monsoon",IF(MONTH($CA647)&gt;=6,"Hot Humid",IF(MONTH($CA647)&gt;=3,"Hot Dry","Cold Winter")))))</f>
        <v/>
      </c>
      <c r="CC647">
        <f>IF($BV647="","",IFERROR(VLOOKUP($BV647,DECODE!$A$3:$C$8,2,FALSE),"?"))</f>
        <v/>
      </c>
      <c r="CD647">
        <f>IF($S647="","",UPPER(TRIM(LEFT($S647&amp;",",FIND(",",$S647&amp;",")-1))))</f>
        <v/>
      </c>
      <c r="CE647">
        <f>IF($CD647="","",MID($CD647,4,FIND("~",SUBSTITUTE($CD647,"-","~",2))-4))</f>
        <v/>
      </c>
      <c r="CF647">
        <f>IF($CD647="","",MID($CD647,FIND("~",SUBSTITUTE($CD647,"-","~",2))+1,FIND("~",SUBSTITUTE($CD647,"-","~",3))-FIND("~",SUBSTITUTE($CD647,"-","~",2))-1))</f>
        <v/>
      </c>
      <c r="CG647">
        <f>IF($CE647="","",IFERROR(VLOOKUP($CE647,DECODE!$A$3:$C$8,3,FALSE),"?"))</f>
        <v/>
      </c>
      <c r="CH647">
        <f>IF($CF647="","",IFERROR(VLOOKUP($CE647&amp;"-"&amp;$CF647,DECODE!$E$3:$F$21,2,FALSE),"?"))</f>
        <v/>
      </c>
      <c r="CI647">
        <f>IF($CD647="","",IFERROR(VALUE(RIGHT($CD647,3)),""))</f>
        <v/>
      </c>
      <c r="CJ647">
        <f>IF($Y647="","",IFERROR(IF(ISNUMBER($Y647),$Y647,DATEVALUE(TRIM($Y647))),""))</f>
        <v/>
      </c>
      <c r="CK647">
        <f>IF($CJ647="","",IF(MONTH($CJ647)&gt;=12,"Cold Winter",IF(MONTH($CJ647)&gt;=10,"Post-Monsoon",IF(MONTH($CJ647)&gt;=6,"Hot Humid",IF(MONTH($CJ647)&gt;=3,"Hot Dry","Cold Winter")))))</f>
        <v/>
      </c>
      <c r="CL647">
        <f>IF($CE647="","",IFERROR(VLOOKUP($CE647,DECODE!$A$3:$C$8,2,FALSE),"?"))</f>
        <v/>
      </c>
      <c r="CM647">
        <f>IF($AN647="","",AN647)</f>
        <v/>
      </c>
      <c r="CN647">
        <f>IF($AO647="","",AO647)</f>
        <v/>
      </c>
      <c r="CO647">
        <f>IF($AP647="","",AP647)</f>
        <v/>
      </c>
      <c r="CP647">
        <f>IF($CM647="","",IF($CM647="Aloe Vera Gel","Aloe Vera Gel "&amp;$CO647&amp;"g",CN647&amp;" "&amp;$CO647&amp;"g"))</f>
        <v/>
      </c>
      <c r="CQ647">
        <f>IF($AT647="",0,1)</f>
        <v/>
      </c>
      <c r="CR647">
        <f>IF($CQ647=0,"",AW647)</f>
        <v/>
      </c>
      <c r="CS647">
        <f>IF($CQ647=0,"",AX647)</f>
        <v/>
      </c>
      <c r="CT647">
        <f>IF($CQ647=0,"",AY647)</f>
        <v/>
      </c>
      <c r="CU647">
        <f>IF($CR647="","",IF($CR647="Aloe Vera Gel","Aloe Vera Gel "&amp;$CT647&amp;"g",CS647&amp;" "&amp;$CT647&amp;"g"))</f>
        <v/>
      </c>
      <c r="CV647">
        <f>IF($CQ647=0,"",IF($CP647=$CU647,"Repeat Exact",IF($CT647&gt;$CO647,"Upsized",IF($CT647&lt;$CO647,"Downsized",IF($CM647&lt;&gt;$CR647,"Lateral","Same Size Diff Variant")))))</f>
        <v/>
      </c>
      <c r="CW647">
        <f>IF($CQ647=0,"",AZ647-AQ647)</f>
        <v/>
      </c>
      <c r="CX647">
        <f>IF($CQ647=0,0,IF(CS647=CN647,1,0))</f>
        <v/>
      </c>
      <c r="CY647">
        <f>IF($CQ647=0,0,IF(CR647=CM647,1,0))</f>
        <v/>
      </c>
      <c r="CZ647">
        <f>IF($A647="","",IF(AND(IF(DASHBOARD!$C$4="All",TRUE,$CM647=DASHBOARD!$C$4),IF(DASHBOARD!$C$6="All",TRUE,$CP647=DASHBOARD!$C$6),IF(DASHBOARD!$C$8="All",TRUE,$AF647&gt;=DASHBOARD!$C$8),IF(DASHBOARD!$C$10="All",TRUE,$AF647&lt;=DASHBOARD!$C$10),IF(DASHBOARD!$C$12="All",TRUE,$AH647=VALUE(DASHBOARD!$C$12)),IF(DASHBOARD!$C$14="All",TRUE,$AJ647=DASHBOARD!$C$14)),1,0))</f>
        <v/>
      </c>
    </row>
    <row r="648">
      <c r="A648" t="n">
        <v>276903</v>
      </c>
      <c r="B648" t="inlineStr">
        <is>
          <t>Aloe Vera Gel</t>
        </is>
      </c>
      <c r="H648" t="inlineStr">
        <is>
          <t>Aloe Vera Gel - 40 gms</t>
        </is>
      </c>
      <c r="N648" t="inlineStr">
        <is>
          <t>FC-HG-PA-040</t>
        </is>
      </c>
      <c r="T648" t="inlineStr">
        <is>
          <t>Feb 10, 2024</t>
        </is>
      </c>
      <c r="AE648" t="inlineStr">
        <is>
          <t>Gurgaon</t>
        </is>
      </c>
      <c r="AF648" t="inlineStr">
        <is>
          <t>2024-02</t>
        </is>
      </c>
      <c r="AG648" t="n">
        <v>2</v>
      </c>
      <c r="AH648" t="n">
        <v>1</v>
      </c>
      <c r="AI648" t="n">
        <v>0</v>
      </c>
      <c r="AJ648">
        <f>IF($AE648="","",IFERROR(VLOOKUP(TRIM($AE648),DECODE!$H$3:$I$60,2,FALSE),"Rest of India"))</f>
        <v/>
      </c>
      <c r="AK648">
        <f>IF($N648="","",UPPER(TRIM(LEFT($N648&amp;",",FIND(",",$N648&amp;",")-1))))</f>
        <v/>
      </c>
      <c r="AL648">
        <f>IF($AK648="","",MID($AK648,4,FIND("~",SUBSTITUTE($AK648,"-","~",2))-4))</f>
        <v/>
      </c>
      <c r="AM648">
        <f>IF($AK648="","",MID($AK648,FIND("~",SUBSTITUTE($AK648,"-","~",2))+1,FIND("~",SUBSTITUTE($AK648,"-","~",3))-FIND("~",SUBSTITUTE($AK648,"-","~",2))-1))</f>
        <v/>
      </c>
      <c r="AN648">
        <f>IF($AL648="","",IFERROR(VLOOKUP($AL648,DECODE!$A$3:$C$8,3,FALSE),"?"))</f>
        <v/>
      </c>
      <c r="AO648">
        <f>IF($AM648="","",IFERROR(VLOOKUP($AL648&amp;"-"&amp;$AM648,DECODE!$E$3:$F$21,2,FALSE),"?"))</f>
        <v/>
      </c>
      <c r="AP648">
        <f>IF($AK648="","",IFERROR(VALUE(RIGHT($AK648,3)),""))</f>
        <v/>
      </c>
      <c r="AQ648">
        <f>IF($T648="","",IFERROR(IF(ISNUMBER($T648),$T648,DATEVALUE(TRIM($T648))),""))</f>
        <v/>
      </c>
      <c r="AR648">
        <f>IF($AQ648="","",IF(MONTH($AQ648)&gt;=12,"Cold Winter",IF(MONTH($AQ648)&gt;=10,"Post-Monsoon",IF(MONTH($AQ648)&gt;=6,"Hot Humid",IF(MONTH($AQ648)&gt;=3,"Hot Dry","Cold Winter")))))</f>
        <v/>
      </c>
      <c r="AS648">
        <f>IF($AL648="","",IFERROR(VLOOKUP($AL648,DECODE!$A$3:$C$8,2,FALSE),"?"))</f>
        <v/>
      </c>
      <c r="AT648">
        <f>IF($O648="","",UPPER(TRIM(LEFT($O648&amp;",",FIND(",",$O648&amp;",")-1))))</f>
        <v/>
      </c>
      <c r="AU648">
        <f>IF($AT648="","",MID($AT648,4,FIND("~",SUBSTITUTE($AT648,"-","~",2))-4))</f>
        <v/>
      </c>
      <c r="AV648">
        <f>IF($AT648="","",MID($AT648,FIND("~",SUBSTITUTE($AT648,"-","~",2))+1,FIND("~",SUBSTITUTE($AT648,"-","~",3))-FIND("~",SUBSTITUTE($AT648,"-","~",2))-1))</f>
        <v/>
      </c>
      <c r="AW648">
        <f>IF($AU648="","",IFERROR(VLOOKUP($AU648,DECODE!$A$3:$C$8,3,FALSE),"?"))</f>
        <v/>
      </c>
      <c r="AX648">
        <f>IF($AV648="","",IFERROR(VLOOKUP($AU648&amp;"-"&amp;$AV648,DECODE!$E$3:$F$21,2,FALSE),"?"))</f>
        <v/>
      </c>
      <c r="AY648">
        <f>IF($AT648="","",IFERROR(VALUE(RIGHT($AT648,3)),""))</f>
        <v/>
      </c>
      <c r="AZ648">
        <f>IF($U648="","",IFERROR(IF(ISNUMBER($U648),$U648,DATEVALUE(TRIM($U648))),""))</f>
        <v/>
      </c>
      <c r="BA648">
        <f>IF($AZ648="","",IF(MONTH($AZ648)&gt;=12,"Cold Winter",IF(MONTH($AZ648)&gt;=10,"Post-Monsoon",IF(MONTH($AZ648)&gt;=6,"Hot Humid",IF(MONTH($AZ648)&gt;=3,"Hot Dry","Cold Winter")))))</f>
        <v/>
      </c>
      <c r="BB648">
        <f>IF($AU648="","",IFERROR(VLOOKUP($AU648,DECODE!$A$3:$C$8,2,FALSE),"?"))</f>
        <v/>
      </c>
      <c r="BC648">
        <f>IF($P648="","",UPPER(TRIM(LEFT($P648&amp;",",FIND(",",$P648&amp;",")-1))))</f>
        <v/>
      </c>
      <c r="BD648">
        <f>IF($BC648="","",MID($BC648,4,FIND("~",SUBSTITUTE($BC648,"-","~",2))-4))</f>
        <v/>
      </c>
      <c r="BE648">
        <f>IF($BC648="","",MID($BC648,FIND("~",SUBSTITUTE($BC648,"-","~",2))+1,FIND("~",SUBSTITUTE($BC648,"-","~",3))-FIND("~",SUBSTITUTE($BC648,"-","~",2))-1))</f>
        <v/>
      </c>
      <c r="BF648">
        <f>IF($BD648="","",IFERROR(VLOOKUP($BD648,DECODE!$A$3:$C$8,3,FALSE),"?"))</f>
        <v/>
      </c>
      <c r="BG648">
        <f>IF($BE648="","",IFERROR(VLOOKUP($BD648&amp;"-"&amp;$BE648,DECODE!$E$3:$F$21,2,FALSE),"?"))</f>
        <v/>
      </c>
      <c r="BH648">
        <f>IF($BC648="","",IFERROR(VALUE(RIGHT($BC648,3)),""))</f>
        <v/>
      </c>
      <c r="BI648">
        <f>IF($V648="","",IFERROR(IF(ISNUMBER($V648),$V648,DATEVALUE(TRIM($V648))),""))</f>
        <v/>
      </c>
      <c r="BJ648">
        <f>IF($BI648="","",IF(MONTH($BI648)&gt;=12,"Cold Winter",IF(MONTH($BI648)&gt;=10,"Post-Monsoon",IF(MONTH($BI648)&gt;=6,"Hot Humid",IF(MONTH($BI648)&gt;=3,"Hot Dry","Cold Winter")))))</f>
        <v/>
      </c>
      <c r="BK648">
        <f>IF($BD648="","",IFERROR(VLOOKUP($BD648,DECODE!$A$3:$C$8,2,FALSE),"?"))</f>
        <v/>
      </c>
      <c r="BL648">
        <f>IF($Q648="","",UPPER(TRIM(LEFT($Q648&amp;",",FIND(",",$Q648&amp;",")-1))))</f>
        <v/>
      </c>
      <c r="BM648">
        <f>IF($BL648="","",MID($BL648,4,FIND("~",SUBSTITUTE($BL648,"-","~",2))-4))</f>
        <v/>
      </c>
      <c r="BN648">
        <f>IF($BL648="","",MID($BL648,FIND("~",SUBSTITUTE($BL648,"-","~",2))+1,FIND("~",SUBSTITUTE($BL648,"-","~",3))-FIND("~",SUBSTITUTE($BL648,"-","~",2))-1))</f>
        <v/>
      </c>
      <c r="BO648">
        <f>IF($BM648="","",IFERROR(VLOOKUP($BM648,DECODE!$A$3:$C$8,3,FALSE),"?"))</f>
        <v/>
      </c>
      <c r="BP648">
        <f>IF($BN648="","",IFERROR(VLOOKUP($BM648&amp;"-"&amp;$BN648,DECODE!$E$3:$F$21,2,FALSE),"?"))</f>
        <v/>
      </c>
      <c r="BQ648">
        <f>IF($BL648="","",IFERROR(VALUE(RIGHT($BL648,3)),""))</f>
        <v/>
      </c>
      <c r="BR648">
        <f>IF($W648="","",IFERROR(IF(ISNUMBER($W648),$W648,DATEVALUE(TRIM($W648))),""))</f>
        <v/>
      </c>
      <c r="BS648">
        <f>IF($BR648="","",IF(MONTH($BR648)&gt;=12,"Cold Winter",IF(MONTH($BR648)&gt;=10,"Post-Monsoon",IF(MONTH($BR648)&gt;=6,"Hot Humid",IF(MONTH($BR648)&gt;=3,"Hot Dry","Cold Winter")))))</f>
        <v/>
      </c>
      <c r="BT648">
        <f>IF($BM648="","",IFERROR(VLOOKUP($BM648,DECODE!$A$3:$C$8,2,FALSE),"?"))</f>
        <v/>
      </c>
      <c r="BU648">
        <f>IF($R648="","",UPPER(TRIM(LEFT($R648&amp;",",FIND(",",$R648&amp;",")-1))))</f>
        <v/>
      </c>
      <c r="BV648">
        <f>IF($BU648="","",MID($BU648,4,FIND("~",SUBSTITUTE($BU648,"-","~",2))-4))</f>
        <v/>
      </c>
      <c r="BW648">
        <f>IF($BU648="","",MID($BU648,FIND("~",SUBSTITUTE($BU648,"-","~",2))+1,FIND("~",SUBSTITUTE($BU648,"-","~",3))-FIND("~",SUBSTITUTE($BU648,"-","~",2))-1))</f>
        <v/>
      </c>
      <c r="BX648">
        <f>IF($BV648="","",IFERROR(VLOOKUP($BV648,DECODE!$A$3:$C$8,3,FALSE),"?"))</f>
        <v/>
      </c>
      <c r="BY648">
        <f>IF($BW648="","",IFERROR(VLOOKUP($BV648&amp;"-"&amp;$BW648,DECODE!$E$3:$F$21,2,FALSE),"?"))</f>
        <v/>
      </c>
      <c r="BZ648">
        <f>IF($BU648="","",IFERROR(VALUE(RIGHT($BU648,3)),""))</f>
        <v/>
      </c>
      <c r="CA648">
        <f>IF($X648="","",IFERROR(IF(ISNUMBER($X648),$X648,DATEVALUE(TRIM($X648))),""))</f>
        <v/>
      </c>
      <c r="CB648">
        <f>IF($CA648="","",IF(MONTH($CA648)&gt;=12,"Cold Winter",IF(MONTH($CA648)&gt;=10,"Post-Monsoon",IF(MONTH($CA648)&gt;=6,"Hot Humid",IF(MONTH($CA648)&gt;=3,"Hot Dry","Cold Winter")))))</f>
        <v/>
      </c>
      <c r="CC648">
        <f>IF($BV648="","",IFERROR(VLOOKUP($BV648,DECODE!$A$3:$C$8,2,FALSE),"?"))</f>
        <v/>
      </c>
      <c r="CD648">
        <f>IF($S648="","",UPPER(TRIM(LEFT($S648&amp;",",FIND(",",$S648&amp;",")-1))))</f>
        <v/>
      </c>
      <c r="CE648">
        <f>IF($CD648="","",MID($CD648,4,FIND("~",SUBSTITUTE($CD648,"-","~",2))-4))</f>
        <v/>
      </c>
      <c r="CF648">
        <f>IF($CD648="","",MID($CD648,FIND("~",SUBSTITUTE($CD648,"-","~",2))+1,FIND("~",SUBSTITUTE($CD648,"-","~",3))-FIND("~",SUBSTITUTE($CD648,"-","~",2))-1))</f>
        <v/>
      </c>
      <c r="CG648">
        <f>IF($CE648="","",IFERROR(VLOOKUP($CE648,DECODE!$A$3:$C$8,3,FALSE),"?"))</f>
        <v/>
      </c>
      <c r="CH648">
        <f>IF($CF648="","",IFERROR(VLOOKUP($CE648&amp;"-"&amp;$CF648,DECODE!$E$3:$F$21,2,FALSE),"?"))</f>
        <v/>
      </c>
      <c r="CI648">
        <f>IF($CD648="","",IFERROR(VALUE(RIGHT($CD648,3)),""))</f>
        <v/>
      </c>
      <c r="CJ648">
        <f>IF($Y648="","",IFERROR(IF(ISNUMBER($Y648),$Y648,DATEVALUE(TRIM($Y648))),""))</f>
        <v/>
      </c>
      <c r="CK648">
        <f>IF($CJ648="","",IF(MONTH($CJ648)&gt;=12,"Cold Winter",IF(MONTH($CJ648)&gt;=10,"Post-Monsoon",IF(MONTH($CJ648)&gt;=6,"Hot Humid",IF(MONTH($CJ648)&gt;=3,"Hot Dry","Cold Winter")))))</f>
        <v/>
      </c>
      <c r="CL648">
        <f>IF($CE648="","",IFERROR(VLOOKUP($CE648,DECODE!$A$3:$C$8,2,FALSE),"?"))</f>
        <v/>
      </c>
      <c r="CM648">
        <f>IF($AN648="","",AN648)</f>
        <v/>
      </c>
      <c r="CN648">
        <f>IF($AO648="","",AO648)</f>
        <v/>
      </c>
      <c r="CO648">
        <f>IF($AP648="","",AP648)</f>
        <v/>
      </c>
      <c r="CP648">
        <f>IF($CM648="","",IF($CM648="Aloe Vera Gel","Aloe Vera Gel "&amp;$CO648&amp;"g",CN648&amp;" "&amp;$CO648&amp;"g"))</f>
        <v/>
      </c>
      <c r="CQ648">
        <f>IF($AT648="",0,1)</f>
        <v/>
      </c>
      <c r="CR648">
        <f>IF($CQ648=0,"",AW648)</f>
        <v/>
      </c>
      <c r="CS648">
        <f>IF($CQ648=0,"",AX648)</f>
        <v/>
      </c>
      <c r="CT648">
        <f>IF($CQ648=0,"",AY648)</f>
        <v/>
      </c>
      <c r="CU648">
        <f>IF($CR648="","",IF($CR648="Aloe Vera Gel","Aloe Vera Gel "&amp;$CT648&amp;"g",CS648&amp;" "&amp;$CT648&amp;"g"))</f>
        <v/>
      </c>
      <c r="CV648">
        <f>IF($CQ648=0,"",IF($CP648=$CU648,"Repeat Exact",IF($CT648&gt;$CO648,"Upsized",IF($CT648&lt;$CO648,"Downsized",IF($CM648&lt;&gt;$CR648,"Lateral","Same Size Diff Variant")))))</f>
        <v/>
      </c>
      <c r="CW648">
        <f>IF($CQ648=0,"",AZ648-AQ648)</f>
        <v/>
      </c>
      <c r="CX648">
        <f>IF($CQ648=0,0,IF(CS648=CN648,1,0))</f>
        <v/>
      </c>
      <c r="CY648">
        <f>IF($CQ648=0,0,IF(CR648=CM648,1,0))</f>
        <v/>
      </c>
      <c r="CZ648">
        <f>IF($A648="","",IF(AND(IF(DASHBOARD!$C$4="All",TRUE,$CM648=DASHBOARD!$C$4),IF(DASHBOARD!$C$6="All",TRUE,$CP648=DASHBOARD!$C$6),IF(DASHBOARD!$C$8="All",TRUE,$AF648&gt;=DASHBOARD!$C$8),IF(DASHBOARD!$C$10="All",TRUE,$AF648&lt;=DASHBOARD!$C$10),IF(DASHBOARD!$C$12="All",TRUE,$AH648=VALUE(DASHBOARD!$C$12)),IF(DASHBOARD!$C$14="All",TRUE,$AJ648=DASHBOARD!$C$14)),1,0))</f>
        <v/>
      </c>
    </row>
    <row r="649">
      <c r="A649" t="n">
        <v>277171</v>
      </c>
      <c r="B649" t="inlineStr">
        <is>
          <t>Face Malai</t>
        </is>
      </c>
      <c r="H649" t="inlineStr">
        <is>
          <t>Honey Multi-Nut (Dry &amp; Peeling Skin) Face Malai</t>
        </is>
      </c>
      <c r="N649" t="inlineStr">
        <is>
          <t>FC-DM-DP-030</t>
        </is>
      </c>
      <c r="T649" t="inlineStr">
        <is>
          <t>Dec 18, 2025</t>
        </is>
      </c>
      <c r="AE649" t="inlineStr">
        <is>
          <t>Pune</t>
        </is>
      </c>
      <c r="AF649" t="inlineStr">
        <is>
          <t>2025-12</t>
        </is>
      </c>
      <c r="AG649" t="n">
        <v>12</v>
      </c>
      <c r="AH649" t="n">
        <v>1</v>
      </c>
      <c r="AI649" t="n">
        <v>0</v>
      </c>
      <c r="AJ649">
        <f>IF($AE649="","",IFERROR(VLOOKUP(TRIM($AE649),DECODE!$H$3:$I$60,2,FALSE),"Rest of India"))</f>
        <v/>
      </c>
      <c r="AK649">
        <f>IF($N649="","",UPPER(TRIM(LEFT($N649&amp;",",FIND(",",$N649&amp;",")-1))))</f>
        <v/>
      </c>
      <c r="AL649">
        <f>IF($AK649="","",MID($AK649,4,FIND("~",SUBSTITUTE($AK649,"-","~",2))-4))</f>
        <v/>
      </c>
      <c r="AM649">
        <f>IF($AK649="","",MID($AK649,FIND("~",SUBSTITUTE($AK649,"-","~",2))+1,FIND("~",SUBSTITUTE($AK649,"-","~",3))-FIND("~",SUBSTITUTE($AK649,"-","~",2))-1))</f>
        <v/>
      </c>
      <c r="AN649">
        <f>IF($AL649="","",IFERROR(VLOOKUP($AL649,DECODE!$A$3:$C$8,3,FALSE),"?"))</f>
        <v/>
      </c>
      <c r="AO649">
        <f>IF($AM649="","",IFERROR(VLOOKUP($AL649&amp;"-"&amp;$AM649,DECODE!$E$3:$F$21,2,FALSE),"?"))</f>
        <v/>
      </c>
      <c r="AP649">
        <f>IF($AK649="","",IFERROR(VALUE(RIGHT($AK649,3)),""))</f>
        <v/>
      </c>
      <c r="AQ649">
        <f>IF($T649="","",IFERROR(IF(ISNUMBER($T649),$T649,DATEVALUE(TRIM($T649))),""))</f>
        <v/>
      </c>
      <c r="AR649">
        <f>IF($AQ649="","",IF(MONTH($AQ649)&gt;=12,"Cold Winter",IF(MONTH($AQ649)&gt;=10,"Post-Monsoon",IF(MONTH($AQ649)&gt;=6,"Hot Humid",IF(MONTH($AQ649)&gt;=3,"Hot Dry","Cold Winter")))))</f>
        <v/>
      </c>
      <c r="AS649">
        <f>IF($AL649="","",IFERROR(VLOOKUP($AL649,DECODE!$A$3:$C$8,2,FALSE),"?"))</f>
        <v/>
      </c>
      <c r="AT649">
        <f>IF($O649="","",UPPER(TRIM(LEFT($O649&amp;",",FIND(",",$O649&amp;",")-1))))</f>
        <v/>
      </c>
      <c r="AU649">
        <f>IF($AT649="","",MID($AT649,4,FIND("~",SUBSTITUTE($AT649,"-","~",2))-4))</f>
        <v/>
      </c>
      <c r="AV649">
        <f>IF($AT649="","",MID($AT649,FIND("~",SUBSTITUTE($AT649,"-","~",2))+1,FIND("~",SUBSTITUTE($AT649,"-","~",3))-FIND("~",SUBSTITUTE($AT649,"-","~",2))-1))</f>
        <v/>
      </c>
      <c r="AW649">
        <f>IF($AU649="","",IFERROR(VLOOKUP($AU649,DECODE!$A$3:$C$8,3,FALSE),"?"))</f>
        <v/>
      </c>
      <c r="AX649">
        <f>IF($AV649="","",IFERROR(VLOOKUP($AU649&amp;"-"&amp;$AV649,DECODE!$E$3:$F$21,2,FALSE),"?"))</f>
        <v/>
      </c>
      <c r="AY649">
        <f>IF($AT649="","",IFERROR(VALUE(RIGHT($AT649,3)),""))</f>
        <v/>
      </c>
      <c r="AZ649">
        <f>IF($U649="","",IFERROR(IF(ISNUMBER($U649),$U649,DATEVALUE(TRIM($U649))),""))</f>
        <v/>
      </c>
      <c r="BA649">
        <f>IF($AZ649="","",IF(MONTH($AZ649)&gt;=12,"Cold Winter",IF(MONTH($AZ649)&gt;=10,"Post-Monsoon",IF(MONTH($AZ649)&gt;=6,"Hot Humid",IF(MONTH($AZ649)&gt;=3,"Hot Dry","Cold Winter")))))</f>
        <v/>
      </c>
      <c r="BB649">
        <f>IF($AU649="","",IFERROR(VLOOKUP($AU649,DECODE!$A$3:$C$8,2,FALSE),"?"))</f>
        <v/>
      </c>
      <c r="BC649">
        <f>IF($P649="","",UPPER(TRIM(LEFT($P649&amp;",",FIND(",",$P649&amp;",")-1))))</f>
        <v/>
      </c>
      <c r="BD649">
        <f>IF($BC649="","",MID($BC649,4,FIND("~",SUBSTITUTE($BC649,"-","~",2))-4))</f>
        <v/>
      </c>
      <c r="BE649">
        <f>IF($BC649="","",MID($BC649,FIND("~",SUBSTITUTE($BC649,"-","~",2))+1,FIND("~",SUBSTITUTE($BC649,"-","~",3))-FIND("~",SUBSTITUTE($BC649,"-","~",2))-1))</f>
        <v/>
      </c>
      <c r="BF649">
        <f>IF($BD649="","",IFERROR(VLOOKUP($BD649,DECODE!$A$3:$C$8,3,FALSE),"?"))</f>
        <v/>
      </c>
      <c r="BG649">
        <f>IF($BE649="","",IFERROR(VLOOKUP($BD649&amp;"-"&amp;$BE649,DECODE!$E$3:$F$21,2,FALSE),"?"))</f>
        <v/>
      </c>
      <c r="BH649">
        <f>IF($BC649="","",IFERROR(VALUE(RIGHT($BC649,3)),""))</f>
        <v/>
      </c>
      <c r="BI649">
        <f>IF($V649="","",IFERROR(IF(ISNUMBER($V649),$V649,DATEVALUE(TRIM($V649))),""))</f>
        <v/>
      </c>
      <c r="BJ649">
        <f>IF($BI649="","",IF(MONTH($BI649)&gt;=12,"Cold Winter",IF(MONTH($BI649)&gt;=10,"Post-Monsoon",IF(MONTH($BI649)&gt;=6,"Hot Humid",IF(MONTH($BI649)&gt;=3,"Hot Dry","Cold Winter")))))</f>
        <v/>
      </c>
      <c r="BK649">
        <f>IF($BD649="","",IFERROR(VLOOKUP($BD649,DECODE!$A$3:$C$8,2,FALSE),"?"))</f>
        <v/>
      </c>
      <c r="BL649">
        <f>IF($Q649="","",UPPER(TRIM(LEFT($Q649&amp;",",FIND(",",$Q649&amp;",")-1))))</f>
        <v/>
      </c>
      <c r="BM649">
        <f>IF($BL649="","",MID($BL649,4,FIND("~",SUBSTITUTE($BL649,"-","~",2))-4))</f>
        <v/>
      </c>
      <c r="BN649">
        <f>IF($BL649="","",MID($BL649,FIND("~",SUBSTITUTE($BL649,"-","~",2))+1,FIND("~",SUBSTITUTE($BL649,"-","~",3))-FIND("~",SUBSTITUTE($BL649,"-","~",2))-1))</f>
        <v/>
      </c>
      <c r="BO649">
        <f>IF($BM649="","",IFERROR(VLOOKUP($BM649,DECODE!$A$3:$C$8,3,FALSE),"?"))</f>
        <v/>
      </c>
      <c r="BP649">
        <f>IF($BN649="","",IFERROR(VLOOKUP($BM649&amp;"-"&amp;$BN649,DECODE!$E$3:$F$21,2,FALSE),"?"))</f>
        <v/>
      </c>
      <c r="BQ649">
        <f>IF($BL649="","",IFERROR(VALUE(RIGHT($BL649,3)),""))</f>
        <v/>
      </c>
      <c r="BR649">
        <f>IF($W649="","",IFERROR(IF(ISNUMBER($W649),$W649,DATEVALUE(TRIM($W649))),""))</f>
        <v/>
      </c>
      <c r="BS649">
        <f>IF($BR649="","",IF(MONTH($BR649)&gt;=12,"Cold Winter",IF(MONTH($BR649)&gt;=10,"Post-Monsoon",IF(MONTH($BR649)&gt;=6,"Hot Humid",IF(MONTH($BR649)&gt;=3,"Hot Dry","Cold Winter")))))</f>
        <v/>
      </c>
      <c r="BT649">
        <f>IF($BM649="","",IFERROR(VLOOKUP($BM649,DECODE!$A$3:$C$8,2,FALSE),"?"))</f>
        <v/>
      </c>
      <c r="BU649">
        <f>IF($R649="","",UPPER(TRIM(LEFT($R649&amp;",",FIND(",",$R649&amp;",")-1))))</f>
        <v/>
      </c>
      <c r="BV649">
        <f>IF($BU649="","",MID($BU649,4,FIND("~",SUBSTITUTE($BU649,"-","~",2))-4))</f>
        <v/>
      </c>
      <c r="BW649">
        <f>IF($BU649="","",MID($BU649,FIND("~",SUBSTITUTE($BU649,"-","~",2))+1,FIND("~",SUBSTITUTE($BU649,"-","~",3))-FIND("~",SUBSTITUTE($BU649,"-","~",2))-1))</f>
        <v/>
      </c>
      <c r="BX649">
        <f>IF($BV649="","",IFERROR(VLOOKUP($BV649,DECODE!$A$3:$C$8,3,FALSE),"?"))</f>
        <v/>
      </c>
      <c r="BY649">
        <f>IF($BW649="","",IFERROR(VLOOKUP($BV649&amp;"-"&amp;$BW649,DECODE!$E$3:$F$21,2,FALSE),"?"))</f>
        <v/>
      </c>
      <c r="BZ649">
        <f>IF($BU649="","",IFERROR(VALUE(RIGHT($BU649,3)),""))</f>
        <v/>
      </c>
      <c r="CA649">
        <f>IF($X649="","",IFERROR(IF(ISNUMBER($X649),$X649,DATEVALUE(TRIM($X649))),""))</f>
        <v/>
      </c>
      <c r="CB649">
        <f>IF($CA649="","",IF(MONTH($CA649)&gt;=12,"Cold Winter",IF(MONTH($CA649)&gt;=10,"Post-Monsoon",IF(MONTH($CA649)&gt;=6,"Hot Humid",IF(MONTH($CA649)&gt;=3,"Hot Dry","Cold Winter")))))</f>
        <v/>
      </c>
      <c r="CC649">
        <f>IF($BV649="","",IFERROR(VLOOKUP($BV649,DECODE!$A$3:$C$8,2,FALSE),"?"))</f>
        <v/>
      </c>
      <c r="CD649">
        <f>IF($S649="","",UPPER(TRIM(LEFT($S649&amp;",",FIND(",",$S649&amp;",")-1))))</f>
        <v/>
      </c>
      <c r="CE649">
        <f>IF($CD649="","",MID($CD649,4,FIND("~",SUBSTITUTE($CD649,"-","~",2))-4))</f>
        <v/>
      </c>
      <c r="CF649">
        <f>IF($CD649="","",MID($CD649,FIND("~",SUBSTITUTE($CD649,"-","~",2))+1,FIND("~",SUBSTITUTE($CD649,"-","~",3))-FIND("~",SUBSTITUTE($CD649,"-","~",2))-1))</f>
        <v/>
      </c>
      <c r="CG649">
        <f>IF($CE649="","",IFERROR(VLOOKUP($CE649,DECODE!$A$3:$C$8,3,FALSE),"?"))</f>
        <v/>
      </c>
      <c r="CH649">
        <f>IF($CF649="","",IFERROR(VLOOKUP($CE649&amp;"-"&amp;$CF649,DECODE!$E$3:$F$21,2,FALSE),"?"))</f>
        <v/>
      </c>
      <c r="CI649">
        <f>IF($CD649="","",IFERROR(VALUE(RIGHT($CD649,3)),""))</f>
        <v/>
      </c>
      <c r="CJ649">
        <f>IF($Y649="","",IFERROR(IF(ISNUMBER($Y649),$Y649,DATEVALUE(TRIM($Y649))),""))</f>
        <v/>
      </c>
      <c r="CK649">
        <f>IF($CJ649="","",IF(MONTH($CJ649)&gt;=12,"Cold Winter",IF(MONTH($CJ649)&gt;=10,"Post-Monsoon",IF(MONTH($CJ649)&gt;=6,"Hot Humid",IF(MONTH($CJ649)&gt;=3,"Hot Dry","Cold Winter")))))</f>
        <v/>
      </c>
      <c r="CL649">
        <f>IF($CE649="","",IFERROR(VLOOKUP($CE649,DECODE!$A$3:$C$8,2,FALSE),"?"))</f>
        <v/>
      </c>
      <c r="CM649">
        <f>IF($AN649="","",AN649)</f>
        <v/>
      </c>
      <c r="CN649">
        <f>IF($AO649="","",AO649)</f>
        <v/>
      </c>
      <c r="CO649">
        <f>IF($AP649="","",AP649)</f>
        <v/>
      </c>
      <c r="CP649">
        <f>IF($CM649="","",IF($CM649="Aloe Vera Gel","Aloe Vera Gel "&amp;$CO649&amp;"g",CN649&amp;" "&amp;$CO649&amp;"g"))</f>
        <v/>
      </c>
      <c r="CQ649">
        <f>IF($AT649="",0,1)</f>
        <v/>
      </c>
      <c r="CR649">
        <f>IF($CQ649=0,"",AW649)</f>
        <v/>
      </c>
      <c r="CS649">
        <f>IF($CQ649=0,"",AX649)</f>
        <v/>
      </c>
      <c r="CT649">
        <f>IF($CQ649=0,"",AY649)</f>
        <v/>
      </c>
      <c r="CU649">
        <f>IF($CR649="","",IF($CR649="Aloe Vera Gel","Aloe Vera Gel "&amp;$CT649&amp;"g",CS649&amp;" "&amp;$CT649&amp;"g"))</f>
        <v/>
      </c>
      <c r="CV649">
        <f>IF($CQ649=0,"",IF($CP649=$CU649,"Repeat Exact",IF($CT649&gt;$CO649,"Upsized",IF($CT649&lt;$CO649,"Downsized",IF($CM649&lt;&gt;$CR649,"Lateral","Same Size Diff Variant")))))</f>
        <v/>
      </c>
      <c r="CW649">
        <f>IF($CQ649=0,"",AZ649-AQ649)</f>
        <v/>
      </c>
      <c r="CX649">
        <f>IF($CQ649=0,0,IF(CS649=CN649,1,0))</f>
        <v/>
      </c>
      <c r="CY649">
        <f>IF($CQ649=0,0,IF(CR649=CM649,1,0))</f>
        <v/>
      </c>
      <c r="CZ649">
        <f>IF($A649="","",IF(AND(IF(DASHBOARD!$C$4="All",TRUE,$CM649=DASHBOARD!$C$4),IF(DASHBOARD!$C$6="All",TRUE,$CP649=DASHBOARD!$C$6),IF(DASHBOARD!$C$8="All",TRUE,$AF649&gt;=DASHBOARD!$C$8),IF(DASHBOARD!$C$10="All",TRUE,$AF649&lt;=DASHBOARD!$C$10),IF(DASHBOARD!$C$12="All",TRUE,$AH649=VALUE(DASHBOARD!$C$12)),IF(DASHBOARD!$C$14="All",TRUE,$AJ649=DASHBOARD!$C$14)),1,0))</f>
        <v/>
      </c>
    </row>
    <row r="650">
      <c r="A650" t="n">
        <v>277294</v>
      </c>
      <c r="B650" t="inlineStr">
        <is>
          <t>Face Malai</t>
        </is>
      </c>
      <c r="H650" t="inlineStr">
        <is>
          <t>Flax Bakuchi (Hot Dry) 35+ Face Malai - 30g</t>
        </is>
      </c>
      <c r="N650" t="inlineStr">
        <is>
          <t>FC-HDDM-FB-030</t>
        </is>
      </c>
      <c r="T650" t="inlineStr">
        <is>
          <t>Oct 9, 2024</t>
        </is>
      </c>
      <c r="AE650" t="inlineStr">
        <is>
          <t>Gurgaon</t>
        </is>
      </c>
      <c r="AF650" t="inlineStr">
        <is>
          <t>2024-10</t>
        </is>
      </c>
      <c r="AG650" t="n">
        <v>10</v>
      </c>
      <c r="AH650" t="n">
        <v>1</v>
      </c>
      <c r="AI650" t="n">
        <v>0</v>
      </c>
      <c r="AJ650">
        <f>IF($AE650="","",IFERROR(VLOOKUP(TRIM($AE650),DECODE!$H$3:$I$60,2,FALSE),"Rest of India"))</f>
        <v/>
      </c>
      <c r="AK650">
        <f>IF($N650="","",UPPER(TRIM(LEFT($N650&amp;",",FIND(",",$N650&amp;",")-1))))</f>
        <v/>
      </c>
      <c r="AL650">
        <f>IF($AK650="","",MID($AK650,4,FIND("~",SUBSTITUTE($AK650,"-","~",2))-4))</f>
        <v/>
      </c>
      <c r="AM650">
        <f>IF($AK650="","",MID($AK650,FIND("~",SUBSTITUTE($AK650,"-","~",2))+1,FIND("~",SUBSTITUTE($AK650,"-","~",3))-FIND("~",SUBSTITUTE($AK650,"-","~",2))-1))</f>
        <v/>
      </c>
      <c r="AN650">
        <f>IF($AL650="","",IFERROR(VLOOKUP($AL650,DECODE!$A$3:$C$8,3,FALSE),"?"))</f>
        <v/>
      </c>
      <c r="AO650">
        <f>IF($AM650="","",IFERROR(VLOOKUP($AL650&amp;"-"&amp;$AM650,DECODE!$E$3:$F$21,2,FALSE),"?"))</f>
        <v/>
      </c>
      <c r="AP650">
        <f>IF($AK650="","",IFERROR(VALUE(RIGHT($AK650,3)),""))</f>
        <v/>
      </c>
      <c r="AQ650">
        <f>IF($T650="","",IFERROR(IF(ISNUMBER($T650),$T650,DATEVALUE(TRIM($T650))),""))</f>
        <v/>
      </c>
      <c r="AR650">
        <f>IF($AQ650="","",IF(MONTH($AQ650)&gt;=12,"Cold Winter",IF(MONTH($AQ650)&gt;=10,"Post-Monsoon",IF(MONTH($AQ650)&gt;=6,"Hot Humid",IF(MONTH($AQ650)&gt;=3,"Hot Dry","Cold Winter")))))</f>
        <v/>
      </c>
      <c r="AS650">
        <f>IF($AL650="","",IFERROR(VLOOKUP($AL650,DECODE!$A$3:$C$8,2,FALSE),"?"))</f>
        <v/>
      </c>
      <c r="AT650">
        <f>IF($O650="","",UPPER(TRIM(LEFT($O650&amp;",",FIND(",",$O650&amp;",")-1))))</f>
        <v/>
      </c>
      <c r="AU650">
        <f>IF($AT650="","",MID($AT650,4,FIND("~",SUBSTITUTE($AT650,"-","~",2))-4))</f>
        <v/>
      </c>
      <c r="AV650">
        <f>IF($AT650="","",MID($AT650,FIND("~",SUBSTITUTE($AT650,"-","~",2))+1,FIND("~",SUBSTITUTE($AT650,"-","~",3))-FIND("~",SUBSTITUTE($AT650,"-","~",2))-1))</f>
        <v/>
      </c>
      <c r="AW650">
        <f>IF($AU650="","",IFERROR(VLOOKUP($AU650,DECODE!$A$3:$C$8,3,FALSE),"?"))</f>
        <v/>
      </c>
      <c r="AX650">
        <f>IF($AV650="","",IFERROR(VLOOKUP($AU650&amp;"-"&amp;$AV650,DECODE!$E$3:$F$21,2,FALSE),"?"))</f>
        <v/>
      </c>
      <c r="AY650">
        <f>IF($AT650="","",IFERROR(VALUE(RIGHT($AT650,3)),""))</f>
        <v/>
      </c>
      <c r="AZ650">
        <f>IF($U650="","",IFERROR(IF(ISNUMBER($U650),$U650,DATEVALUE(TRIM($U650))),""))</f>
        <v/>
      </c>
      <c r="BA650">
        <f>IF($AZ650="","",IF(MONTH($AZ650)&gt;=12,"Cold Winter",IF(MONTH($AZ650)&gt;=10,"Post-Monsoon",IF(MONTH($AZ650)&gt;=6,"Hot Humid",IF(MONTH($AZ650)&gt;=3,"Hot Dry","Cold Winter")))))</f>
        <v/>
      </c>
      <c r="BB650">
        <f>IF($AU650="","",IFERROR(VLOOKUP($AU650,DECODE!$A$3:$C$8,2,FALSE),"?"))</f>
        <v/>
      </c>
      <c r="BC650">
        <f>IF($P650="","",UPPER(TRIM(LEFT($P650&amp;",",FIND(",",$P650&amp;",")-1))))</f>
        <v/>
      </c>
      <c r="BD650">
        <f>IF($BC650="","",MID($BC650,4,FIND("~",SUBSTITUTE($BC650,"-","~",2))-4))</f>
        <v/>
      </c>
      <c r="BE650">
        <f>IF($BC650="","",MID($BC650,FIND("~",SUBSTITUTE($BC650,"-","~",2))+1,FIND("~",SUBSTITUTE($BC650,"-","~",3))-FIND("~",SUBSTITUTE($BC650,"-","~",2))-1))</f>
        <v/>
      </c>
      <c r="BF650">
        <f>IF($BD650="","",IFERROR(VLOOKUP($BD650,DECODE!$A$3:$C$8,3,FALSE),"?"))</f>
        <v/>
      </c>
      <c r="BG650">
        <f>IF($BE650="","",IFERROR(VLOOKUP($BD650&amp;"-"&amp;$BE650,DECODE!$E$3:$F$21,2,FALSE),"?"))</f>
        <v/>
      </c>
      <c r="BH650">
        <f>IF($BC650="","",IFERROR(VALUE(RIGHT($BC650,3)),""))</f>
        <v/>
      </c>
      <c r="BI650">
        <f>IF($V650="","",IFERROR(IF(ISNUMBER($V650),$V650,DATEVALUE(TRIM($V650))),""))</f>
        <v/>
      </c>
      <c r="BJ650">
        <f>IF($BI650="","",IF(MONTH($BI650)&gt;=12,"Cold Winter",IF(MONTH($BI650)&gt;=10,"Post-Monsoon",IF(MONTH($BI650)&gt;=6,"Hot Humid",IF(MONTH($BI650)&gt;=3,"Hot Dry","Cold Winter")))))</f>
        <v/>
      </c>
      <c r="BK650">
        <f>IF($BD650="","",IFERROR(VLOOKUP($BD650,DECODE!$A$3:$C$8,2,FALSE),"?"))</f>
        <v/>
      </c>
      <c r="BL650">
        <f>IF($Q650="","",UPPER(TRIM(LEFT($Q650&amp;",",FIND(",",$Q650&amp;",")-1))))</f>
        <v/>
      </c>
      <c r="BM650">
        <f>IF($BL650="","",MID($BL650,4,FIND("~",SUBSTITUTE($BL650,"-","~",2))-4))</f>
        <v/>
      </c>
      <c r="BN650">
        <f>IF($BL650="","",MID($BL650,FIND("~",SUBSTITUTE($BL650,"-","~",2))+1,FIND("~",SUBSTITUTE($BL650,"-","~",3))-FIND("~",SUBSTITUTE($BL650,"-","~",2))-1))</f>
        <v/>
      </c>
      <c r="BO650">
        <f>IF($BM650="","",IFERROR(VLOOKUP($BM650,DECODE!$A$3:$C$8,3,FALSE),"?"))</f>
        <v/>
      </c>
      <c r="BP650">
        <f>IF($BN650="","",IFERROR(VLOOKUP($BM650&amp;"-"&amp;$BN650,DECODE!$E$3:$F$21,2,FALSE),"?"))</f>
        <v/>
      </c>
      <c r="BQ650">
        <f>IF($BL650="","",IFERROR(VALUE(RIGHT($BL650,3)),""))</f>
        <v/>
      </c>
      <c r="BR650">
        <f>IF($W650="","",IFERROR(IF(ISNUMBER($W650),$W650,DATEVALUE(TRIM($W650))),""))</f>
        <v/>
      </c>
      <c r="BS650">
        <f>IF($BR650="","",IF(MONTH($BR650)&gt;=12,"Cold Winter",IF(MONTH($BR650)&gt;=10,"Post-Monsoon",IF(MONTH($BR650)&gt;=6,"Hot Humid",IF(MONTH($BR650)&gt;=3,"Hot Dry","Cold Winter")))))</f>
        <v/>
      </c>
      <c r="BT650">
        <f>IF($BM650="","",IFERROR(VLOOKUP($BM650,DECODE!$A$3:$C$8,2,FALSE),"?"))</f>
        <v/>
      </c>
      <c r="BU650">
        <f>IF($R650="","",UPPER(TRIM(LEFT($R650&amp;",",FIND(",",$R650&amp;",")-1))))</f>
        <v/>
      </c>
      <c r="BV650">
        <f>IF($BU650="","",MID($BU650,4,FIND("~",SUBSTITUTE($BU650,"-","~",2))-4))</f>
        <v/>
      </c>
      <c r="BW650">
        <f>IF($BU650="","",MID($BU650,FIND("~",SUBSTITUTE($BU650,"-","~",2))+1,FIND("~",SUBSTITUTE($BU650,"-","~",3))-FIND("~",SUBSTITUTE($BU650,"-","~",2))-1))</f>
        <v/>
      </c>
      <c r="BX650">
        <f>IF($BV650="","",IFERROR(VLOOKUP($BV650,DECODE!$A$3:$C$8,3,FALSE),"?"))</f>
        <v/>
      </c>
      <c r="BY650">
        <f>IF($BW650="","",IFERROR(VLOOKUP($BV650&amp;"-"&amp;$BW650,DECODE!$E$3:$F$21,2,FALSE),"?"))</f>
        <v/>
      </c>
      <c r="BZ650">
        <f>IF($BU650="","",IFERROR(VALUE(RIGHT($BU650,3)),""))</f>
        <v/>
      </c>
      <c r="CA650">
        <f>IF($X650="","",IFERROR(IF(ISNUMBER($X650),$X650,DATEVALUE(TRIM($X650))),""))</f>
        <v/>
      </c>
      <c r="CB650">
        <f>IF($CA650="","",IF(MONTH($CA650)&gt;=12,"Cold Winter",IF(MONTH($CA650)&gt;=10,"Post-Monsoon",IF(MONTH($CA650)&gt;=6,"Hot Humid",IF(MONTH($CA650)&gt;=3,"Hot Dry","Cold Winter")))))</f>
        <v/>
      </c>
      <c r="CC650">
        <f>IF($BV650="","",IFERROR(VLOOKUP($BV650,DECODE!$A$3:$C$8,2,FALSE),"?"))</f>
        <v/>
      </c>
      <c r="CD650">
        <f>IF($S650="","",UPPER(TRIM(LEFT($S650&amp;",",FIND(",",$S650&amp;",")-1))))</f>
        <v/>
      </c>
      <c r="CE650">
        <f>IF($CD650="","",MID($CD650,4,FIND("~",SUBSTITUTE($CD650,"-","~",2))-4))</f>
        <v/>
      </c>
      <c r="CF650">
        <f>IF($CD650="","",MID($CD650,FIND("~",SUBSTITUTE($CD650,"-","~",2))+1,FIND("~",SUBSTITUTE($CD650,"-","~",3))-FIND("~",SUBSTITUTE($CD650,"-","~",2))-1))</f>
        <v/>
      </c>
      <c r="CG650">
        <f>IF($CE650="","",IFERROR(VLOOKUP($CE650,DECODE!$A$3:$C$8,3,FALSE),"?"))</f>
        <v/>
      </c>
      <c r="CH650">
        <f>IF($CF650="","",IFERROR(VLOOKUP($CE650&amp;"-"&amp;$CF650,DECODE!$E$3:$F$21,2,FALSE),"?"))</f>
        <v/>
      </c>
      <c r="CI650">
        <f>IF($CD650="","",IFERROR(VALUE(RIGHT($CD650,3)),""))</f>
        <v/>
      </c>
      <c r="CJ650">
        <f>IF($Y650="","",IFERROR(IF(ISNUMBER($Y650),$Y650,DATEVALUE(TRIM($Y650))),""))</f>
        <v/>
      </c>
      <c r="CK650">
        <f>IF($CJ650="","",IF(MONTH($CJ650)&gt;=12,"Cold Winter",IF(MONTH($CJ650)&gt;=10,"Post-Monsoon",IF(MONTH($CJ650)&gt;=6,"Hot Humid",IF(MONTH($CJ650)&gt;=3,"Hot Dry","Cold Winter")))))</f>
        <v/>
      </c>
      <c r="CL650">
        <f>IF($CE650="","",IFERROR(VLOOKUP($CE650,DECODE!$A$3:$C$8,2,FALSE),"?"))</f>
        <v/>
      </c>
      <c r="CM650">
        <f>IF($AN650="","",AN650)</f>
        <v/>
      </c>
      <c r="CN650">
        <f>IF($AO650="","",AO650)</f>
        <v/>
      </c>
      <c r="CO650">
        <f>IF($AP650="","",AP650)</f>
        <v/>
      </c>
      <c r="CP650">
        <f>IF($CM650="","",IF($CM650="Aloe Vera Gel","Aloe Vera Gel "&amp;$CO650&amp;"g",CN650&amp;" "&amp;$CO650&amp;"g"))</f>
        <v/>
      </c>
      <c r="CQ650">
        <f>IF($AT650="",0,1)</f>
        <v/>
      </c>
      <c r="CR650">
        <f>IF($CQ650=0,"",AW650)</f>
        <v/>
      </c>
      <c r="CS650">
        <f>IF($CQ650=0,"",AX650)</f>
        <v/>
      </c>
      <c r="CT650">
        <f>IF($CQ650=0,"",AY650)</f>
        <v/>
      </c>
      <c r="CU650">
        <f>IF($CR650="","",IF($CR650="Aloe Vera Gel","Aloe Vera Gel "&amp;$CT650&amp;"g",CS650&amp;" "&amp;$CT650&amp;"g"))</f>
        <v/>
      </c>
      <c r="CV650">
        <f>IF($CQ650=0,"",IF($CP650=$CU650,"Repeat Exact",IF($CT650&gt;$CO650,"Upsized",IF($CT650&lt;$CO650,"Downsized",IF($CM650&lt;&gt;$CR650,"Lateral","Same Size Diff Variant")))))</f>
        <v/>
      </c>
      <c r="CW650">
        <f>IF($CQ650=0,"",AZ650-AQ650)</f>
        <v/>
      </c>
      <c r="CX650">
        <f>IF($CQ650=0,0,IF(CS650=CN650,1,0))</f>
        <v/>
      </c>
      <c r="CY650">
        <f>IF($CQ650=0,0,IF(CR650=CM650,1,0))</f>
        <v/>
      </c>
      <c r="CZ650">
        <f>IF($A650="","",IF(AND(IF(DASHBOARD!$C$4="All",TRUE,$CM650=DASHBOARD!$C$4),IF(DASHBOARD!$C$6="All",TRUE,$CP650=DASHBOARD!$C$6),IF(DASHBOARD!$C$8="All",TRUE,$AF650&gt;=DASHBOARD!$C$8),IF(DASHBOARD!$C$10="All",TRUE,$AF650&lt;=DASHBOARD!$C$10),IF(DASHBOARD!$C$12="All",TRUE,$AH650=VALUE(DASHBOARD!$C$12)),IF(DASHBOARD!$C$14="All",TRUE,$AJ650=DASHBOARD!$C$14)),1,0))</f>
        <v/>
      </c>
    </row>
    <row r="651">
      <c r="A651" t="n">
        <v>278697</v>
      </c>
      <c r="B651" t="inlineStr">
        <is>
          <t>Face Malai</t>
        </is>
      </c>
      <c r="H651" t="inlineStr">
        <is>
          <t>Flax Carrot (Hot Humid) 35+ Face Malai - 30g</t>
        </is>
      </c>
      <c r="N651" t="inlineStr">
        <is>
          <t>FC-HHDM-FC-030</t>
        </is>
      </c>
      <c r="T651" t="inlineStr">
        <is>
          <t>May 1, 2024</t>
        </is>
      </c>
      <c r="AE651" t="inlineStr">
        <is>
          <t>Mumbai</t>
        </is>
      </c>
      <c r="AF651" t="inlineStr">
        <is>
          <t>2024-05</t>
        </is>
      </c>
      <c r="AG651" t="n">
        <v>5</v>
      </c>
      <c r="AH651" t="n">
        <v>1</v>
      </c>
      <c r="AI651" t="n">
        <v>0</v>
      </c>
      <c r="AJ651">
        <f>IF($AE651="","",IFERROR(VLOOKUP(TRIM($AE651),DECODE!$H$3:$I$60,2,FALSE),"Rest of India"))</f>
        <v/>
      </c>
      <c r="AK651">
        <f>IF($N651="","",UPPER(TRIM(LEFT($N651&amp;",",FIND(",",$N651&amp;",")-1))))</f>
        <v/>
      </c>
      <c r="AL651">
        <f>IF($AK651="","",MID($AK651,4,FIND("~",SUBSTITUTE($AK651,"-","~",2))-4))</f>
        <v/>
      </c>
      <c r="AM651">
        <f>IF($AK651="","",MID($AK651,FIND("~",SUBSTITUTE($AK651,"-","~",2))+1,FIND("~",SUBSTITUTE($AK651,"-","~",3))-FIND("~",SUBSTITUTE($AK651,"-","~",2))-1))</f>
        <v/>
      </c>
      <c r="AN651">
        <f>IF($AL651="","",IFERROR(VLOOKUP($AL651,DECODE!$A$3:$C$8,3,FALSE),"?"))</f>
        <v/>
      </c>
      <c r="AO651">
        <f>IF($AM651="","",IFERROR(VLOOKUP($AL651&amp;"-"&amp;$AM651,DECODE!$E$3:$F$21,2,FALSE),"?"))</f>
        <v/>
      </c>
      <c r="AP651">
        <f>IF($AK651="","",IFERROR(VALUE(RIGHT($AK651,3)),""))</f>
        <v/>
      </c>
      <c r="AQ651">
        <f>IF($T651="","",IFERROR(IF(ISNUMBER($T651),$T651,DATEVALUE(TRIM($T651))),""))</f>
        <v/>
      </c>
      <c r="AR651">
        <f>IF($AQ651="","",IF(MONTH($AQ651)&gt;=12,"Cold Winter",IF(MONTH($AQ651)&gt;=10,"Post-Monsoon",IF(MONTH($AQ651)&gt;=6,"Hot Humid",IF(MONTH($AQ651)&gt;=3,"Hot Dry","Cold Winter")))))</f>
        <v/>
      </c>
      <c r="AS651">
        <f>IF($AL651="","",IFERROR(VLOOKUP($AL651,DECODE!$A$3:$C$8,2,FALSE),"?"))</f>
        <v/>
      </c>
      <c r="AT651">
        <f>IF($O651="","",UPPER(TRIM(LEFT($O651&amp;",",FIND(",",$O651&amp;",")-1))))</f>
        <v/>
      </c>
      <c r="AU651">
        <f>IF($AT651="","",MID($AT651,4,FIND("~",SUBSTITUTE($AT651,"-","~",2))-4))</f>
        <v/>
      </c>
      <c r="AV651">
        <f>IF($AT651="","",MID($AT651,FIND("~",SUBSTITUTE($AT651,"-","~",2))+1,FIND("~",SUBSTITUTE($AT651,"-","~",3))-FIND("~",SUBSTITUTE($AT651,"-","~",2))-1))</f>
        <v/>
      </c>
      <c r="AW651">
        <f>IF($AU651="","",IFERROR(VLOOKUP($AU651,DECODE!$A$3:$C$8,3,FALSE),"?"))</f>
        <v/>
      </c>
      <c r="AX651">
        <f>IF($AV651="","",IFERROR(VLOOKUP($AU651&amp;"-"&amp;$AV651,DECODE!$E$3:$F$21,2,FALSE),"?"))</f>
        <v/>
      </c>
      <c r="AY651">
        <f>IF($AT651="","",IFERROR(VALUE(RIGHT($AT651,3)),""))</f>
        <v/>
      </c>
      <c r="AZ651">
        <f>IF($U651="","",IFERROR(IF(ISNUMBER($U651),$U651,DATEVALUE(TRIM($U651))),""))</f>
        <v/>
      </c>
      <c r="BA651">
        <f>IF($AZ651="","",IF(MONTH($AZ651)&gt;=12,"Cold Winter",IF(MONTH($AZ651)&gt;=10,"Post-Monsoon",IF(MONTH($AZ651)&gt;=6,"Hot Humid",IF(MONTH($AZ651)&gt;=3,"Hot Dry","Cold Winter")))))</f>
        <v/>
      </c>
      <c r="BB651">
        <f>IF($AU651="","",IFERROR(VLOOKUP($AU651,DECODE!$A$3:$C$8,2,FALSE),"?"))</f>
        <v/>
      </c>
      <c r="BC651">
        <f>IF($P651="","",UPPER(TRIM(LEFT($P651&amp;",",FIND(",",$P651&amp;",")-1))))</f>
        <v/>
      </c>
      <c r="BD651">
        <f>IF($BC651="","",MID($BC651,4,FIND("~",SUBSTITUTE($BC651,"-","~",2))-4))</f>
        <v/>
      </c>
      <c r="BE651">
        <f>IF($BC651="","",MID($BC651,FIND("~",SUBSTITUTE($BC651,"-","~",2))+1,FIND("~",SUBSTITUTE($BC651,"-","~",3))-FIND("~",SUBSTITUTE($BC651,"-","~",2))-1))</f>
        <v/>
      </c>
      <c r="BF651">
        <f>IF($BD651="","",IFERROR(VLOOKUP($BD651,DECODE!$A$3:$C$8,3,FALSE),"?"))</f>
        <v/>
      </c>
      <c r="BG651">
        <f>IF($BE651="","",IFERROR(VLOOKUP($BD651&amp;"-"&amp;$BE651,DECODE!$E$3:$F$21,2,FALSE),"?"))</f>
        <v/>
      </c>
      <c r="BH651">
        <f>IF($BC651="","",IFERROR(VALUE(RIGHT($BC651,3)),""))</f>
        <v/>
      </c>
      <c r="BI651">
        <f>IF($V651="","",IFERROR(IF(ISNUMBER($V651),$V651,DATEVALUE(TRIM($V651))),""))</f>
        <v/>
      </c>
      <c r="BJ651">
        <f>IF($BI651="","",IF(MONTH($BI651)&gt;=12,"Cold Winter",IF(MONTH($BI651)&gt;=10,"Post-Monsoon",IF(MONTH($BI651)&gt;=6,"Hot Humid",IF(MONTH($BI651)&gt;=3,"Hot Dry","Cold Winter")))))</f>
        <v/>
      </c>
      <c r="BK651">
        <f>IF($BD651="","",IFERROR(VLOOKUP($BD651,DECODE!$A$3:$C$8,2,FALSE),"?"))</f>
        <v/>
      </c>
      <c r="BL651">
        <f>IF($Q651="","",UPPER(TRIM(LEFT($Q651&amp;",",FIND(",",$Q651&amp;",")-1))))</f>
        <v/>
      </c>
      <c r="BM651">
        <f>IF($BL651="","",MID($BL651,4,FIND("~",SUBSTITUTE($BL651,"-","~",2))-4))</f>
        <v/>
      </c>
      <c r="BN651">
        <f>IF($BL651="","",MID($BL651,FIND("~",SUBSTITUTE($BL651,"-","~",2))+1,FIND("~",SUBSTITUTE($BL651,"-","~",3))-FIND("~",SUBSTITUTE($BL651,"-","~",2))-1))</f>
        <v/>
      </c>
      <c r="BO651">
        <f>IF($BM651="","",IFERROR(VLOOKUP($BM651,DECODE!$A$3:$C$8,3,FALSE),"?"))</f>
        <v/>
      </c>
      <c r="BP651">
        <f>IF($BN651="","",IFERROR(VLOOKUP($BM651&amp;"-"&amp;$BN651,DECODE!$E$3:$F$21,2,FALSE),"?"))</f>
        <v/>
      </c>
      <c r="BQ651">
        <f>IF($BL651="","",IFERROR(VALUE(RIGHT($BL651,3)),""))</f>
        <v/>
      </c>
      <c r="BR651">
        <f>IF($W651="","",IFERROR(IF(ISNUMBER($W651),$W651,DATEVALUE(TRIM($W651))),""))</f>
        <v/>
      </c>
      <c r="BS651">
        <f>IF($BR651="","",IF(MONTH($BR651)&gt;=12,"Cold Winter",IF(MONTH($BR651)&gt;=10,"Post-Monsoon",IF(MONTH($BR651)&gt;=6,"Hot Humid",IF(MONTH($BR651)&gt;=3,"Hot Dry","Cold Winter")))))</f>
        <v/>
      </c>
      <c r="BT651">
        <f>IF($BM651="","",IFERROR(VLOOKUP($BM651,DECODE!$A$3:$C$8,2,FALSE),"?"))</f>
        <v/>
      </c>
      <c r="BU651">
        <f>IF($R651="","",UPPER(TRIM(LEFT($R651&amp;",",FIND(",",$R651&amp;",")-1))))</f>
        <v/>
      </c>
      <c r="BV651">
        <f>IF($BU651="","",MID($BU651,4,FIND("~",SUBSTITUTE($BU651,"-","~",2))-4))</f>
        <v/>
      </c>
      <c r="BW651">
        <f>IF($BU651="","",MID($BU651,FIND("~",SUBSTITUTE($BU651,"-","~",2))+1,FIND("~",SUBSTITUTE($BU651,"-","~",3))-FIND("~",SUBSTITUTE($BU651,"-","~",2))-1))</f>
        <v/>
      </c>
      <c r="BX651">
        <f>IF($BV651="","",IFERROR(VLOOKUP($BV651,DECODE!$A$3:$C$8,3,FALSE),"?"))</f>
        <v/>
      </c>
      <c r="BY651">
        <f>IF($BW651="","",IFERROR(VLOOKUP($BV651&amp;"-"&amp;$BW651,DECODE!$E$3:$F$21,2,FALSE),"?"))</f>
        <v/>
      </c>
      <c r="BZ651">
        <f>IF($BU651="","",IFERROR(VALUE(RIGHT($BU651,3)),""))</f>
        <v/>
      </c>
      <c r="CA651">
        <f>IF($X651="","",IFERROR(IF(ISNUMBER($X651),$X651,DATEVALUE(TRIM($X651))),""))</f>
        <v/>
      </c>
      <c r="CB651">
        <f>IF($CA651="","",IF(MONTH($CA651)&gt;=12,"Cold Winter",IF(MONTH($CA651)&gt;=10,"Post-Monsoon",IF(MONTH($CA651)&gt;=6,"Hot Humid",IF(MONTH($CA651)&gt;=3,"Hot Dry","Cold Winter")))))</f>
        <v/>
      </c>
      <c r="CC651">
        <f>IF($BV651="","",IFERROR(VLOOKUP($BV651,DECODE!$A$3:$C$8,2,FALSE),"?"))</f>
        <v/>
      </c>
      <c r="CD651">
        <f>IF($S651="","",UPPER(TRIM(LEFT($S651&amp;",",FIND(",",$S651&amp;",")-1))))</f>
        <v/>
      </c>
      <c r="CE651">
        <f>IF($CD651="","",MID($CD651,4,FIND("~",SUBSTITUTE($CD651,"-","~",2))-4))</f>
        <v/>
      </c>
      <c r="CF651">
        <f>IF($CD651="","",MID($CD651,FIND("~",SUBSTITUTE($CD651,"-","~",2))+1,FIND("~",SUBSTITUTE($CD651,"-","~",3))-FIND("~",SUBSTITUTE($CD651,"-","~",2))-1))</f>
        <v/>
      </c>
      <c r="CG651">
        <f>IF($CE651="","",IFERROR(VLOOKUP($CE651,DECODE!$A$3:$C$8,3,FALSE),"?"))</f>
        <v/>
      </c>
      <c r="CH651">
        <f>IF($CF651="","",IFERROR(VLOOKUP($CE651&amp;"-"&amp;$CF651,DECODE!$E$3:$F$21,2,FALSE),"?"))</f>
        <v/>
      </c>
      <c r="CI651">
        <f>IF($CD651="","",IFERROR(VALUE(RIGHT($CD651,3)),""))</f>
        <v/>
      </c>
      <c r="CJ651">
        <f>IF($Y651="","",IFERROR(IF(ISNUMBER($Y651),$Y651,DATEVALUE(TRIM($Y651))),""))</f>
        <v/>
      </c>
      <c r="CK651">
        <f>IF($CJ651="","",IF(MONTH($CJ651)&gt;=12,"Cold Winter",IF(MONTH($CJ651)&gt;=10,"Post-Monsoon",IF(MONTH($CJ651)&gt;=6,"Hot Humid",IF(MONTH($CJ651)&gt;=3,"Hot Dry","Cold Winter")))))</f>
        <v/>
      </c>
      <c r="CL651">
        <f>IF($CE651="","",IFERROR(VLOOKUP($CE651,DECODE!$A$3:$C$8,2,FALSE),"?"))</f>
        <v/>
      </c>
      <c r="CM651">
        <f>IF($AN651="","",AN651)</f>
        <v/>
      </c>
      <c r="CN651">
        <f>IF($AO651="","",AO651)</f>
        <v/>
      </c>
      <c r="CO651">
        <f>IF($AP651="","",AP651)</f>
        <v/>
      </c>
      <c r="CP651">
        <f>IF($CM651="","",IF($CM651="Aloe Vera Gel","Aloe Vera Gel "&amp;$CO651&amp;"g",CN651&amp;" "&amp;$CO651&amp;"g"))</f>
        <v/>
      </c>
      <c r="CQ651">
        <f>IF($AT651="",0,1)</f>
        <v/>
      </c>
      <c r="CR651">
        <f>IF($CQ651=0,"",AW651)</f>
        <v/>
      </c>
      <c r="CS651">
        <f>IF($CQ651=0,"",AX651)</f>
        <v/>
      </c>
      <c r="CT651">
        <f>IF($CQ651=0,"",AY651)</f>
        <v/>
      </c>
      <c r="CU651">
        <f>IF($CR651="","",IF($CR651="Aloe Vera Gel","Aloe Vera Gel "&amp;$CT651&amp;"g",CS651&amp;" "&amp;$CT651&amp;"g"))</f>
        <v/>
      </c>
      <c r="CV651">
        <f>IF($CQ651=0,"",IF($CP651=$CU651,"Repeat Exact",IF($CT651&gt;$CO651,"Upsized",IF($CT651&lt;$CO651,"Downsized",IF($CM651&lt;&gt;$CR651,"Lateral","Same Size Diff Variant")))))</f>
        <v/>
      </c>
      <c r="CW651">
        <f>IF($CQ651=0,"",AZ651-AQ651)</f>
        <v/>
      </c>
      <c r="CX651">
        <f>IF($CQ651=0,0,IF(CS651=CN651,1,0))</f>
        <v/>
      </c>
      <c r="CY651">
        <f>IF($CQ651=0,0,IF(CR651=CM651,1,0))</f>
        <v/>
      </c>
      <c r="CZ651">
        <f>IF($A651="","",IF(AND(IF(DASHBOARD!$C$4="All",TRUE,$CM651=DASHBOARD!$C$4),IF(DASHBOARD!$C$6="All",TRUE,$CP651=DASHBOARD!$C$6),IF(DASHBOARD!$C$8="All",TRUE,$AF651&gt;=DASHBOARD!$C$8),IF(DASHBOARD!$C$10="All",TRUE,$AF651&lt;=DASHBOARD!$C$10),IF(DASHBOARD!$C$12="All",TRUE,$AH651=VALUE(DASHBOARD!$C$12)),IF(DASHBOARD!$C$14="All",TRUE,$AJ651=DASHBOARD!$C$14)),1,0))</f>
        <v/>
      </c>
    </row>
    <row r="652">
      <c r="A652" t="n">
        <v>278991</v>
      </c>
      <c r="B652" t="inlineStr">
        <is>
          <t>Active Gel, Face Malai</t>
        </is>
      </c>
      <c r="H652" t="inlineStr">
        <is>
          <t>Turmeric Nutmeg (Pigmentation)  Face Malai - 50g , Active Orange Kiwi Vit-C Gel</t>
        </is>
      </c>
      <c r="N652" t="inlineStr">
        <is>
          <t>FC-DM-PG-050, FC-AC-OK-050</t>
        </is>
      </c>
      <c r="T652" t="inlineStr">
        <is>
          <t>Aug 2, 2024</t>
        </is>
      </c>
      <c r="AE652" t="inlineStr">
        <is>
          <t>Sangrur</t>
        </is>
      </c>
      <c r="AF652" t="inlineStr">
        <is>
          <t>2024-08</t>
        </is>
      </c>
      <c r="AG652" t="n">
        <v>8</v>
      </c>
      <c r="AH652" t="n">
        <v>1</v>
      </c>
      <c r="AI652" t="n">
        <v>0</v>
      </c>
      <c r="AJ652">
        <f>IF($AE652="","",IFERROR(VLOOKUP(TRIM($AE652),DECODE!$H$3:$I$60,2,FALSE),"Rest of India"))</f>
        <v/>
      </c>
      <c r="AK652">
        <f>IF($N652="","",UPPER(TRIM(LEFT($N652&amp;",",FIND(",",$N652&amp;",")-1))))</f>
        <v/>
      </c>
      <c r="AL652">
        <f>IF($AK652="","",MID($AK652,4,FIND("~",SUBSTITUTE($AK652,"-","~",2))-4))</f>
        <v/>
      </c>
      <c r="AM652">
        <f>IF($AK652="","",MID($AK652,FIND("~",SUBSTITUTE($AK652,"-","~",2))+1,FIND("~",SUBSTITUTE($AK652,"-","~",3))-FIND("~",SUBSTITUTE($AK652,"-","~",2))-1))</f>
        <v/>
      </c>
      <c r="AN652">
        <f>IF($AL652="","",IFERROR(VLOOKUP($AL652,DECODE!$A$3:$C$8,3,FALSE),"?"))</f>
        <v/>
      </c>
      <c r="AO652">
        <f>IF($AM652="","",IFERROR(VLOOKUP($AL652&amp;"-"&amp;$AM652,DECODE!$E$3:$F$21,2,FALSE),"?"))</f>
        <v/>
      </c>
      <c r="AP652">
        <f>IF($AK652="","",IFERROR(VALUE(RIGHT($AK652,3)),""))</f>
        <v/>
      </c>
      <c r="AQ652">
        <f>IF($T652="","",IFERROR(IF(ISNUMBER($T652),$T652,DATEVALUE(TRIM($T652))),""))</f>
        <v/>
      </c>
      <c r="AR652">
        <f>IF($AQ652="","",IF(MONTH($AQ652)&gt;=12,"Cold Winter",IF(MONTH($AQ652)&gt;=10,"Post-Monsoon",IF(MONTH($AQ652)&gt;=6,"Hot Humid",IF(MONTH($AQ652)&gt;=3,"Hot Dry","Cold Winter")))))</f>
        <v/>
      </c>
      <c r="AS652">
        <f>IF($AL652="","",IFERROR(VLOOKUP($AL652,DECODE!$A$3:$C$8,2,FALSE),"?"))</f>
        <v/>
      </c>
      <c r="AT652">
        <f>IF($O652="","",UPPER(TRIM(LEFT($O652&amp;",",FIND(",",$O652&amp;",")-1))))</f>
        <v/>
      </c>
      <c r="AU652">
        <f>IF($AT652="","",MID($AT652,4,FIND("~",SUBSTITUTE($AT652,"-","~",2))-4))</f>
        <v/>
      </c>
      <c r="AV652">
        <f>IF($AT652="","",MID($AT652,FIND("~",SUBSTITUTE($AT652,"-","~",2))+1,FIND("~",SUBSTITUTE($AT652,"-","~",3))-FIND("~",SUBSTITUTE($AT652,"-","~",2))-1))</f>
        <v/>
      </c>
      <c r="AW652">
        <f>IF($AU652="","",IFERROR(VLOOKUP($AU652,DECODE!$A$3:$C$8,3,FALSE),"?"))</f>
        <v/>
      </c>
      <c r="AX652">
        <f>IF($AV652="","",IFERROR(VLOOKUP($AU652&amp;"-"&amp;$AV652,DECODE!$E$3:$F$21,2,FALSE),"?"))</f>
        <v/>
      </c>
      <c r="AY652">
        <f>IF($AT652="","",IFERROR(VALUE(RIGHT($AT652,3)),""))</f>
        <v/>
      </c>
      <c r="AZ652">
        <f>IF($U652="","",IFERROR(IF(ISNUMBER($U652),$U652,DATEVALUE(TRIM($U652))),""))</f>
        <v/>
      </c>
      <c r="BA652">
        <f>IF($AZ652="","",IF(MONTH($AZ652)&gt;=12,"Cold Winter",IF(MONTH($AZ652)&gt;=10,"Post-Monsoon",IF(MONTH($AZ652)&gt;=6,"Hot Humid",IF(MONTH($AZ652)&gt;=3,"Hot Dry","Cold Winter")))))</f>
        <v/>
      </c>
      <c r="BB652">
        <f>IF($AU652="","",IFERROR(VLOOKUP($AU652,DECODE!$A$3:$C$8,2,FALSE),"?"))</f>
        <v/>
      </c>
      <c r="BC652">
        <f>IF($P652="","",UPPER(TRIM(LEFT($P652&amp;",",FIND(",",$P652&amp;",")-1))))</f>
        <v/>
      </c>
      <c r="BD652">
        <f>IF($BC652="","",MID($BC652,4,FIND("~",SUBSTITUTE($BC652,"-","~",2))-4))</f>
        <v/>
      </c>
      <c r="BE652">
        <f>IF($BC652="","",MID($BC652,FIND("~",SUBSTITUTE($BC652,"-","~",2))+1,FIND("~",SUBSTITUTE($BC652,"-","~",3))-FIND("~",SUBSTITUTE($BC652,"-","~",2))-1))</f>
        <v/>
      </c>
      <c r="BF652">
        <f>IF($BD652="","",IFERROR(VLOOKUP($BD652,DECODE!$A$3:$C$8,3,FALSE),"?"))</f>
        <v/>
      </c>
      <c r="BG652">
        <f>IF($BE652="","",IFERROR(VLOOKUP($BD652&amp;"-"&amp;$BE652,DECODE!$E$3:$F$21,2,FALSE),"?"))</f>
        <v/>
      </c>
      <c r="BH652">
        <f>IF($BC652="","",IFERROR(VALUE(RIGHT($BC652,3)),""))</f>
        <v/>
      </c>
      <c r="BI652">
        <f>IF($V652="","",IFERROR(IF(ISNUMBER($V652),$V652,DATEVALUE(TRIM($V652))),""))</f>
        <v/>
      </c>
      <c r="BJ652">
        <f>IF($BI652="","",IF(MONTH($BI652)&gt;=12,"Cold Winter",IF(MONTH($BI652)&gt;=10,"Post-Monsoon",IF(MONTH($BI652)&gt;=6,"Hot Humid",IF(MONTH($BI652)&gt;=3,"Hot Dry","Cold Winter")))))</f>
        <v/>
      </c>
      <c r="BK652">
        <f>IF($BD652="","",IFERROR(VLOOKUP($BD652,DECODE!$A$3:$C$8,2,FALSE),"?"))</f>
        <v/>
      </c>
      <c r="BL652">
        <f>IF($Q652="","",UPPER(TRIM(LEFT($Q652&amp;",",FIND(",",$Q652&amp;",")-1))))</f>
        <v/>
      </c>
      <c r="BM652">
        <f>IF($BL652="","",MID($BL652,4,FIND("~",SUBSTITUTE($BL652,"-","~",2))-4))</f>
        <v/>
      </c>
      <c r="BN652">
        <f>IF($BL652="","",MID($BL652,FIND("~",SUBSTITUTE($BL652,"-","~",2))+1,FIND("~",SUBSTITUTE($BL652,"-","~",3))-FIND("~",SUBSTITUTE($BL652,"-","~",2))-1))</f>
        <v/>
      </c>
      <c r="BO652">
        <f>IF($BM652="","",IFERROR(VLOOKUP($BM652,DECODE!$A$3:$C$8,3,FALSE),"?"))</f>
        <v/>
      </c>
      <c r="BP652">
        <f>IF($BN652="","",IFERROR(VLOOKUP($BM652&amp;"-"&amp;$BN652,DECODE!$E$3:$F$21,2,FALSE),"?"))</f>
        <v/>
      </c>
      <c r="BQ652">
        <f>IF($BL652="","",IFERROR(VALUE(RIGHT($BL652,3)),""))</f>
        <v/>
      </c>
      <c r="BR652">
        <f>IF($W652="","",IFERROR(IF(ISNUMBER($W652),$W652,DATEVALUE(TRIM($W652))),""))</f>
        <v/>
      </c>
      <c r="BS652">
        <f>IF($BR652="","",IF(MONTH($BR652)&gt;=12,"Cold Winter",IF(MONTH($BR652)&gt;=10,"Post-Monsoon",IF(MONTH($BR652)&gt;=6,"Hot Humid",IF(MONTH($BR652)&gt;=3,"Hot Dry","Cold Winter")))))</f>
        <v/>
      </c>
      <c r="BT652">
        <f>IF($BM652="","",IFERROR(VLOOKUP($BM652,DECODE!$A$3:$C$8,2,FALSE),"?"))</f>
        <v/>
      </c>
      <c r="BU652">
        <f>IF($R652="","",UPPER(TRIM(LEFT($R652&amp;",",FIND(",",$R652&amp;",")-1))))</f>
        <v/>
      </c>
      <c r="BV652">
        <f>IF($BU652="","",MID($BU652,4,FIND("~",SUBSTITUTE($BU652,"-","~",2))-4))</f>
        <v/>
      </c>
      <c r="BW652">
        <f>IF($BU652="","",MID($BU652,FIND("~",SUBSTITUTE($BU652,"-","~",2))+1,FIND("~",SUBSTITUTE($BU652,"-","~",3))-FIND("~",SUBSTITUTE($BU652,"-","~",2))-1))</f>
        <v/>
      </c>
      <c r="BX652">
        <f>IF($BV652="","",IFERROR(VLOOKUP($BV652,DECODE!$A$3:$C$8,3,FALSE),"?"))</f>
        <v/>
      </c>
      <c r="BY652">
        <f>IF($BW652="","",IFERROR(VLOOKUP($BV652&amp;"-"&amp;$BW652,DECODE!$E$3:$F$21,2,FALSE),"?"))</f>
        <v/>
      </c>
      <c r="BZ652">
        <f>IF($BU652="","",IFERROR(VALUE(RIGHT($BU652,3)),""))</f>
        <v/>
      </c>
      <c r="CA652">
        <f>IF($X652="","",IFERROR(IF(ISNUMBER($X652),$X652,DATEVALUE(TRIM($X652))),""))</f>
        <v/>
      </c>
      <c r="CB652">
        <f>IF($CA652="","",IF(MONTH($CA652)&gt;=12,"Cold Winter",IF(MONTH($CA652)&gt;=10,"Post-Monsoon",IF(MONTH($CA652)&gt;=6,"Hot Humid",IF(MONTH($CA652)&gt;=3,"Hot Dry","Cold Winter")))))</f>
        <v/>
      </c>
      <c r="CC652">
        <f>IF($BV652="","",IFERROR(VLOOKUP($BV652,DECODE!$A$3:$C$8,2,FALSE),"?"))</f>
        <v/>
      </c>
      <c r="CD652">
        <f>IF($S652="","",UPPER(TRIM(LEFT($S652&amp;",",FIND(",",$S652&amp;",")-1))))</f>
        <v/>
      </c>
      <c r="CE652">
        <f>IF($CD652="","",MID($CD652,4,FIND("~",SUBSTITUTE($CD652,"-","~",2))-4))</f>
        <v/>
      </c>
      <c r="CF652">
        <f>IF($CD652="","",MID($CD652,FIND("~",SUBSTITUTE($CD652,"-","~",2))+1,FIND("~",SUBSTITUTE($CD652,"-","~",3))-FIND("~",SUBSTITUTE($CD652,"-","~",2))-1))</f>
        <v/>
      </c>
      <c r="CG652">
        <f>IF($CE652="","",IFERROR(VLOOKUP($CE652,DECODE!$A$3:$C$8,3,FALSE),"?"))</f>
        <v/>
      </c>
      <c r="CH652">
        <f>IF($CF652="","",IFERROR(VLOOKUP($CE652&amp;"-"&amp;$CF652,DECODE!$E$3:$F$21,2,FALSE),"?"))</f>
        <v/>
      </c>
      <c r="CI652">
        <f>IF($CD652="","",IFERROR(VALUE(RIGHT($CD652,3)),""))</f>
        <v/>
      </c>
      <c r="CJ652">
        <f>IF($Y652="","",IFERROR(IF(ISNUMBER($Y652),$Y652,DATEVALUE(TRIM($Y652))),""))</f>
        <v/>
      </c>
      <c r="CK652">
        <f>IF($CJ652="","",IF(MONTH($CJ652)&gt;=12,"Cold Winter",IF(MONTH($CJ652)&gt;=10,"Post-Monsoon",IF(MONTH($CJ652)&gt;=6,"Hot Humid",IF(MONTH($CJ652)&gt;=3,"Hot Dry","Cold Winter")))))</f>
        <v/>
      </c>
      <c r="CL652">
        <f>IF($CE652="","",IFERROR(VLOOKUP($CE652,DECODE!$A$3:$C$8,2,FALSE),"?"))</f>
        <v/>
      </c>
      <c r="CM652">
        <f>IF($AN652="","",AN652)</f>
        <v/>
      </c>
      <c r="CN652">
        <f>IF($AO652="","",AO652)</f>
        <v/>
      </c>
      <c r="CO652">
        <f>IF($AP652="","",AP652)</f>
        <v/>
      </c>
      <c r="CP652">
        <f>IF($CM652="","",IF($CM652="Aloe Vera Gel","Aloe Vera Gel "&amp;$CO652&amp;"g",CN652&amp;" "&amp;$CO652&amp;"g"))</f>
        <v/>
      </c>
      <c r="CQ652">
        <f>IF($AT652="",0,1)</f>
        <v/>
      </c>
      <c r="CR652">
        <f>IF($CQ652=0,"",AW652)</f>
        <v/>
      </c>
      <c r="CS652">
        <f>IF($CQ652=0,"",AX652)</f>
        <v/>
      </c>
      <c r="CT652">
        <f>IF($CQ652=0,"",AY652)</f>
        <v/>
      </c>
      <c r="CU652">
        <f>IF($CR652="","",IF($CR652="Aloe Vera Gel","Aloe Vera Gel "&amp;$CT652&amp;"g",CS652&amp;" "&amp;$CT652&amp;"g"))</f>
        <v/>
      </c>
      <c r="CV652">
        <f>IF($CQ652=0,"",IF($CP652=$CU652,"Repeat Exact",IF($CT652&gt;$CO652,"Upsized",IF($CT652&lt;$CO652,"Downsized",IF($CM652&lt;&gt;$CR652,"Lateral","Same Size Diff Variant")))))</f>
        <v/>
      </c>
      <c r="CW652">
        <f>IF($CQ652=0,"",AZ652-AQ652)</f>
        <v/>
      </c>
      <c r="CX652">
        <f>IF($CQ652=0,0,IF(CS652=CN652,1,0))</f>
        <v/>
      </c>
      <c r="CY652">
        <f>IF($CQ652=0,0,IF(CR652=CM652,1,0))</f>
        <v/>
      </c>
      <c r="CZ652">
        <f>IF($A652="","",IF(AND(IF(DASHBOARD!$C$4="All",TRUE,$CM652=DASHBOARD!$C$4),IF(DASHBOARD!$C$6="All",TRUE,$CP652=DASHBOARD!$C$6),IF(DASHBOARD!$C$8="All",TRUE,$AF652&gt;=DASHBOARD!$C$8),IF(DASHBOARD!$C$10="All",TRUE,$AF652&lt;=DASHBOARD!$C$10),IF(DASHBOARD!$C$12="All",TRUE,$AH652=VALUE(DASHBOARD!$C$12)),IF(DASHBOARD!$C$14="All",TRUE,$AJ652=DASHBOARD!$C$14)),1,0))</f>
        <v/>
      </c>
    </row>
    <row r="653">
      <c r="A653" t="n">
        <v>279663</v>
      </c>
      <c r="B653" t="inlineStr">
        <is>
          <t>Aloe Vera Gel</t>
        </is>
      </c>
      <c r="H653" t="inlineStr">
        <is>
          <t>Aloe Vera Gel - 40 gms</t>
        </is>
      </c>
      <c r="N653" t="inlineStr">
        <is>
          <t>FC-HG-PA-040</t>
        </is>
      </c>
      <c r="T653" t="inlineStr">
        <is>
          <t>Sep 1, 2024</t>
        </is>
      </c>
      <c r="AE653" t="inlineStr">
        <is>
          <t>Mumbai</t>
        </is>
      </c>
      <c r="AF653" t="inlineStr">
        <is>
          <t>2024-09</t>
        </is>
      </c>
      <c r="AG653" t="n">
        <v>9</v>
      </c>
      <c r="AH653" t="n">
        <v>1</v>
      </c>
      <c r="AI653" t="n">
        <v>0</v>
      </c>
      <c r="AJ653">
        <f>IF($AE653="","",IFERROR(VLOOKUP(TRIM($AE653),DECODE!$H$3:$I$60,2,FALSE),"Rest of India"))</f>
        <v/>
      </c>
      <c r="AK653">
        <f>IF($N653="","",UPPER(TRIM(LEFT($N653&amp;",",FIND(",",$N653&amp;",")-1))))</f>
        <v/>
      </c>
      <c r="AL653">
        <f>IF($AK653="","",MID($AK653,4,FIND("~",SUBSTITUTE($AK653,"-","~",2))-4))</f>
        <v/>
      </c>
      <c r="AM653">
        <f>IF($AK653="","",MID($AK653,FIND("~",SUBSTITUTE($AK653,"-","~",2))+1,FIND("~",SUBSTITUTE($AK653,"-","~",3))-FIND("~",SUBSTITUTE($AK653,"-","~",2))-1))</f>
        <v/>
      </c>
      <c r="AN653">
        <f>IF($AL653="","",IFERROR(VLOOKUP($AL653,DECODE!$A$3:$C$8,3,FALSE),"?"))</f>
        <v/>
      </c>
      <c r="AO653">
        <f>IF($AM653="","",IFERROR(VLOOKUP($AL653&amp;"-"&amp;$AM653,DECODE!$E$3:$F$21,2,FALSE),"?"))</f>
        <v/>
      </c>
      <c r="AP653">
        <f>IF($AK653="","",IFERROR(VALUE(RIGHT($AK653,3)),""))</f>
        <v/>
      </c>
      <c r="AQ653">
        <f>IF($T653="","",IFERROR(IF(ISNUMBER($T653),$T653,DATEVALUE(TRIM($T653))),""))</f>
        <v/>
      </c>
      <c r="AR653">
        <f>IF($AQ653="","",IF(MONTH($AQ653)&gt;=12,"Cold Winter",IF(MONTH($AQ653)&gt;=10,"Post-Monsoon",IF(MONTH($AQ653)&gt;=6,"Hot Humid",IF(MONTH($AQ653)&gt;=3,"Hot Dry","Cold Winter")))))</f>
        <v/>
      </c>
      <c r="AS653">
        <f>IF($AL653="","",IFERROR(VLOOKUP($AL653,DECODE!$A$3:$C$8,2,FALSE),"?"))</f>
        <v/>
      </c>
      <c r="AT653">
        <f>IF($O653="","",UPPER(TRIM(LEFT($O653&amp;",",FIND(",",$O653&amp;",")-1))))</f>
        <v/>
      </c>
      <c r="AU653">
        <f>IF($AT653="","",MID($AT653,4,FIND("~",SUBSTITUTE($AT653,"-","~",2))-4))</f>
        <v/>
      </c>
      <c r="AV653">
        <f>IF($AT653="","",MID($AT653,FIND("~",SUBSTITUTE($AT653,"-","~",2))+1,FIND("~",SUBSTITUTE($AT653,"-","~",3))-FIND("~",SUBSTITUTE($AT653,"-","~",2))-1))</f>
        <v/>
      </c>
      <c r="AW653">
        <f>IF($AU653="","",IFERROR(VLOOKUP($AU653,DECODE!$A$3:$C$8,3,FALSE),"?"))</f>
        <v/>
      </c>
      <c r="AX653">
        <f>IF($AV653="","",IFERROR(VLOOKUP($AU653&amp;"-"&amp;$AV653,DECODE!$E$3:$F$21,2,FALSE),"?"))</f>
        <v/>
      </c>
      <c r="AY653">
        <f>IF($AT653="","",IFERROR(VALUE(RIGHT($AT653,3)),""))</f>
        <v/>
      </c>
      <c r="AZ653">
        <f>IF($U653="","",IFERROR(IF(ISNUMBER($U653),$U653,DATEVALUE(TRIM($U653))),""))</f>
        <v/>
      </c>
      <c r="BA653">
        <f>IF($AZ653="","",IF(MONTH($AZ653)&gt;=12,"Cold Winter",IF(MONTH($AZ653)&gt;=10,"Post-Monsoon",IF(MONTH($AZ653)&gt;=6,"Hot Humid",IF(MONTH($AZ653)&gt;=3,"Hot Dry","Cold Winter")))))</f>
        <v/>
      </c>
      <c r="BB653">
        <f>IF($AU653="","",IFERROR(VLOOKUP($AU653,DECODE!$A$3:$C$8,2,FALSE),"?"))</f>
        <v/>
      </c>
      <c r="BC653">
        <f>IF($P653="","",UPPER(TRIM(LEFT($P653&amp;",",FIND(",",$P653&amp;",")-1))))</f>
        <v/>
      </c>
      <c r="BD653">
        <f>IF($BC653="","",MID($BC653,4,FIND("~",SUBSTITUTE($BC653,"-","~",2))-4))</f>
        <v/>
      </c>
      <c r="BE653">
        <f>IF($BC653="","",MID($BC653,FIND("~",SUBSTITUTE($BC653,"-","~",2))+1,FIND("~",SUBSTITUTE($BC653,"-","~",3))-FIND("~",SUBSTITUTE($BC653,"-","~",2))-1))</f>
        <v/>
      </c>
      <c r="BF653">
        <f>IF($BD653="","",IFERROR(VLOOKUP($BD653,DECODE!$A$3:$C$8,3,FALSE),"?"))</f>
        <v/>
      </c>
      <c r="BG653">
        <f>IF($BE653="","",IFERROR(VLOOKUP($BD653&amp;"-"&amp;$BE653,DECODE!$E$3:$F$21,2,FALSE),"?"))</f>
        <v/>
      </c>
      <c r="BH653">
        <f>IF($BC653="","",IFERROR(VALUE(RIGHT($BC653,3)),""))</f>
        <v/>
      </c>
      <c r="BI653">
        <f>IF($V653="","",IFERROR(IF(ISNUMBER($V653),$V653,DATEVALUE(TRIM($V653))),""))</f>
        <v/>
      </c>
      <c r="BJ653">
        <f>IF($BI653="","",IF(MONTH($BI653)&gt;=12,"Cold Winter",IF(MONTH($BI653)&gt;=10,"Post-Monsoon",IF(MONTH($BI653)&gt;=6,"Hot Humid",IF(MONTH($BI653)&gt;=3,"Hot Dry","Cold Winter")))))</f>
        <v/>
      </c>
      <c r="BK653">
        <f>IF($BD653="","",IFERROR(VLOOKUP($BD653,DECODE!$A$3:$C$8,2,FALSE),"?"))</f>
        <v/>
      </c>
      <c r="BL653">
        <f>IF($Q653="","",UPPER(TRIM(LEFT($Q653&amp;",",FIND(",",$Q653&amp;",")-1))))</f>
        <v/>
      </c>
      <c r="BM653">
        <f>IF($BL653="","",MID($BL653,4,FIND("~",SUBSTITUTE($BL653,"-","~",2))-4))</f>
        <v/>
      </c>
      <c r="BN653">
        <f>IF($BL653="","",MID($BL653,FIND("~",SUBSTITUTE($BL653,"-","~",2))+1,FIND("~",SUBSTITUTE($BL653,"-","~",3))-FIND("~",SUBSTITUTE($BL653,"-","~",2))-1))</f>
        <v/>
      </c>
      <c r="BO653">
        <f>IF($BM653="","",IFERROR(VLOOKUP($BM653,DECODE!$A$3:$C$8,3,FALSE),"?"))</f>
        <v/>
      </c>
      <c r="BP653">
        <f>IF($BN653="","",IFERROR(VLOOKUP($BM653&amp;"-"&amp;$BN653,DECODE!$E$3:$F$21,2,FALSE),"?"))</f>
        <v/>
      </c>
      <c r="BQ653">
        <f>IF($BL653="","",IFERROR(VALUE(RIGHT($BL653,3)),""))</f>
        <v/>
      </c>
      <c r="BR653">
        <f>IF($W653="","",IFERROR(IF(ISNUMBER($W653),$W653,DATEVALUE(TRIM($W653))),""))</f>
        <v/>
      </c>
      <c r="BS653">
        <f>IF($BR653="","",IF(MONTH($BR653)&gt;=12,"Cold Winter",IF(MONTH($BR653)&gt;=10,"Post-Monsoon",IF(MONTH($BR653)&gt;=6,"Hot Humid",IF(MONTH($BR653)&gt;=3,"Hot Dry","Cold Winter")))))</f>
        <v/>
      </c>
      <c r="BT653">
        <f>IF($BM653="","",IFERROR(VLOOKUP($BM653,DECODE!$A$3:$C$8,2,FALSE),"?"))</f>
        <v/>
      </c>
      <c r="BU653">
        <f>IF($R653="","",UPPER(TRIM(LEFT($R653&amp;",",FIND(",",$R653&amp;",")-1))))</f>
        <v/>
      </c>
      <c r="BV653">
        <f>IF($BU653="","",MID($BU653,4,FIND("~",SUBSTITUTE($BU653,"-","~",2))-4))</f>
        <v/>
      </c>
      <c r="BW653">
        <f>IF($BU653="","",MID($BU653,FIND("~",SUBSTITUTE($BU653,"-","~",2))+1,FIND("~",SUBSTITUTE($BU653,"-","~",3))-FIND("~",SUBSTITUTE($BU653,"-","~",2))-1))</f>
        <v/>
      </c>
      <c r="BX653">
        <f>IF($BV653="","",IFERROR(VLOOKUP($BV653,DECODE!$A$3:$C$8,3,FALSE),"?"))</f>
        <v/>
      </c>
      <c r="BY653">
        <f>IF($BW653="","",IFERROR(VLOOKUP($BV653&amp;"-"&amp;$BW653,DECODE!$E$3:$F$21,2,FALSE),"?"))</f>
        <v/>
      </c>
      <c r="BZ653">
        <f>IF($BU653="","",IFERROR(VALUE(RIGHT($BU653,3)),""))</f>
        <v/>
      </c>
      <c r="CA653">
        <f>IF($X653="","",IFERROR(IF(ISNUMBER($X653),$X653,DATEVALUE(TRIM($X653))),""))</f>
        <v/>
      </c>
      <c r="CB653">
        <f>IF($CA653="","",IF(MONTH($CA653)&gt;=12,"Cold Winter",IF(MONTH($CA653)&gt;=10,"Post-Monsoon",IF(MONTH($CA653)&gt;=6,"Hot Humid",IF(MONTH($CA653)&gt;=3,"Hot Dry","Cold Winter")))))</f>
        <v/>
      </c>
      <c r="CC653">
        <f>IF($BV653="","",IFERROR(VLOOKUP($BV653,DECODE!$A$3:$C$8,2,FALSE),"?"))</f>
        <v/>
      </c>
      <c r="CD653">
        <f>IF($S653="","",UPPER(TRIM(LEFT($S653&amp;",",FIND(",",$S653&amp;",")-1))))</f>
        <v/>
      </c>
      <c r="CE653">
        <f>IF($CD653="","",MID($CD653,4,FIND("~",SUBSTITUTE($CD653,"-","~",2))-4))</f>
        <v/>
      </c>
      <c r="CF653">
        <f>IF($CD653="","",MID($CD653,FIND("~",SUBSTITUTE($CD653,"-","~",2))+1,FIND("~",SUBSTITUTE($CD653,"-","~",3))-FIND("~",SUBSTITUTE($CD653,"-","~",2))-1))</f>
        <v/>
      </c>
      <c r="CG653">
        <f>IF($CE653="","",IFERROR(VLOOKUP($CE653,DECODE!$A$3:$C$8,3,FALSE),"?"))</f>
        <v/>
      </c>
      <c r="CH653">
        <f>IF($CF653="","",IFERROR(VLOOKUP($CE653&amp;"-"&amp;$CF653,DECODE!$E$3:$F$21,2,FALSE),"?"))</f>
        <v/>
      </c>
      <c r="CI653">
        <f>IF($CD653="","",IFERROR(VALUE(RIGHT($CD653,3)),""))</f>
        <v/>
      </c>
      <c r="CJ653">
        <f>IF($Y653="","",IFERROR(IF(ISNUMBER($Y653),$Y653,DATEVALUE(TRIM($Y653))),""))</f>
        <v/>
      </c>
      <c r="CK653">
        <f>IF($CJ653="","",IF(MONTH($CJ653)&gt;=12,"Cold Winter",IF(MONTH($CJ653)&gt;=10,"Post-Monsoon",IF(MONTH($CJ653)&gt;=6,"Hot Humid",IF(MONTH($CJ653)&gt;=3,"Hot Dry","Cold Winter")))))</f>
        <v/>
      </c>
      <c r="CL653">
        <f>IF($CE653="","",IFERROR(VLOOKUP($CE653,DECODE!$A$3:$C$8,2,FALSE),"?"))</f>
        <v/>
      </c>
      <c r="CM653">
        <f>IF($AN653="","",AN653)</f>
        <v/>
      </c>
      <c r="CN653">
        <f>IF($AO653="","",AO653)</f>
        <v/>
      </c>
      <c r="CO653">
        <f>IF($AP653="","",AP653)</f>
        <v/>
      </c>
      <c r="CP653">
        <f>IF($CM653="","",IF($CM653="Aloe Vera Gel","Aloe Vera Gel "&amp;$CO653&amp;"g",CN653&amp;" "&amp;$CO653&amp;"g"))</f>
        <v/>
      </c>
      <c r="CQ653">
        <f>IF($AT653="",0,1)</f>
        <v/>
      </c>
      <c r="CR653">
        <f>IF($CQ653=0,"",AW653)</f>
        <v/>
      </c>
      <c r="CS653">
        <f>IF($CQ653=0,"",AX653)</f>
        <v/>
      </c>
      <c r="CT653">
        <f>IF($CQ653=0,"",AY653)</f>
        <v/>
      </c>
      <c r="CU653">
        <f>IF($CR653="","",IF($CR653="Aloe Vera Gel","Aloe Vera Gel "&amp;$CT653&amp;"g",CS653&amp;" "&amp;$CT653&amp;"g"))</f>
        <v/>
      </c>
      <c r="CV653">
        <f>IF($CQ653=0,"",IF($CP653=$CU653,"Repeat Exact",IF($CT653&gt;$CO653,"Upsized",IF($CT653&lt;$CO653,"Downsized",IF($CM653&lt;&gt;$CR653,"Lateral","Same Size Diff Variant")))))</f>
        <v/>
      </c>
      <c r="CW653">
        <f>IF($CQ653=0,"",AZ653-AQ653)</f>
        <v/>
      </c>
      <c r="CX653">
        <f>IF($CQ653=0,0,IF(CS653=CN653,1,0))</f>
        <v/>
      </c>
      <c r="CY653">
        <f>IF($CQ653=0,0,IF(CR653=CM653,1,0))</f>
        <v/>
      </c>
      <c r="CZ653">
        <f>IF($A653="","",IF(AND(IF(DASHBOARD!$C$4="All",TRUE,$CM653=DASHBOARD!$C$4),IF(DASHBOARD!$C$6="All",TRUE,$CP653=DASHBOARD!$C$6),IF(DASHBOARD!$C$8="All",TRUE,$AF653&gt;=DASHBOARD!$C$8),IF(DASHBOARD!$C$10="All",TRUE,$AF653&lt;=DASHBOARD!$C$10),IF(DASHBOARD!$C$12="All",TRUE,$AH653=VALUE(DASHBOARD!$C$12)),IF(DASHBOARD!$C$14="All",TRUE,$AJ653=DASHBOARD!$C$14)),1,0))</f>
        <v/>
      </c>
    </row>
    <row r="654">
      <c r="A654" t="n">
        <v>279886</v>
      </c>
      <c r="B654" t="inlineStr">
        <is>
          <t>Face Malai</t>
        </is>
      </c>
      <c r="H654" t="inlineStr">
        <is>
          <t>Turmeric Nutmeg (Pigmentation)  Face Malai - 30g</t>
        </is>
      </c>
      <c r="N654" t="inlineStr">
        <is>
          <t>FC-DM-PG-030</t>
        </is>
      </c>
      <c r="T654" t="inlineStr">
        <is>
          <t>Apr 13, 2025</t>
        </is>
      </c>
      <c r="AE654" t="inlineStr">
        <is>
          <t>New Delhi</t>
        </is>
      </c>
      <c r="AF654" t="inlineStr">
        <is>
          <t>2025-04</t>
        </is>
      </c>
      <c r="AG654" t="n">
        <v>4</v>
      </c>
      <c r="AH654" t="n">
        <v>1</v>
      </c>
      <c r="AI654" t="n">
        <v>0</v>
      </c>
      <c r="AJ654">
        <f>IF($AE654="","",IFERROR(VLOOKUP(TRIM($AE654),DECODE!$H$3:$I$60,2,FALSE),"Rest of India"))</f>
        <v/>
      </c>
      <c r="AK654">
        <f>IF($N654="","",UPPER(TRIM(LEFT($N654&amp;",",FIND(",",$N654&amp;",")-1))))</f>
        <v/>
      </c>
      <c r="AL654">
        <f>IF($AK654="","",MID($AK654,4,FIND("~",SUBSTITUTE($AK654,"-","~",2))-4))</f>
        <v/>
      </c>
      <c r="AM654">
        <f>IF($AK654="","",MID($AK654,FIND("~",SUBSTITUTE($AK654,"-","~",2))+1,FIND("~",SUBSTITUTE($AK654,"-","~",3))-FIND("~",SUBSTITUTE($AK654,"-","~",2))-1))</f>
        <v/>
      </c>
      <c r="AN654">
        <f>IF($AL654="","",IFERROR(VLOOKUP($AL654,DECODE!$A$3:$C$8,3,FALSE),"?"))</f>
        <v/>
      </c>
      <c r="AO654">
        <f>IF($AM654="","",IFERROR(VLOOKUP($AL654&amp;"-"&amp;$AM654,DECODE!$E$3:$F$21,2,FALSE),"?"))</f>
        <v/>
      </c>
      <c r="AP654">
        <f>IF($AK654="","",IFERROR(VALUE(RIGHT($AK654,3)),""))</f>
        <v/>
      </c>
      <c r="AQ654">
        <f>IF($T654="","",IFERROR(IF(ISNUMBER($T654),$T654,DATEVALUE(TRIM($T654))),""))</f>
        <v/>
      </c>
      <c r="AR654">
        <f>IF($AQ654="","",IF(MONTH($AQ654)&gt;=12,"Cold Winter",IF(MONTH($AQ654)&gt;=10,"Post-Monsoon",IF(MONTH($AQ654)&gt;=6,"Hot Humid",IF(MONTH($AQ654)&gt;=3,"Hot Dry","Cold Winter")))))</f>
        <v/>
      </c>
      <c r="AS654">
        <f>IF($AL654="","",IFERROR(VLOOKUP($AL654,DECODE!$A$3:$C$8,2,FALSE),"?"))</f>
        <v/>
      </c>
      <c r="AT654">
        <f>IF($O654="","",UPPER(TRIM(LEFT($O654&amp;",",FIND(",",$O654&amp;",")-1))))</f>
        <v/>
      </c>
      <c r="AU654">
        <f>IF($AT654="","",MID($AT654,4,FIND("~",SUBSTITUTE($AT654,"-","~",2))-4))</f>
        <v/>
      </c>
      <c r="AV654">
        <f>IF($AT654="","",MID($AT654,FIND("~",SUBSTITUTE($AT654,"-","~",2))+1,FIND("~",SUBSTITUTE($AT654,"-","~",3))-FIND("~",SUBSTITUTE($AT654,"-","~",2))-1))</f>
        <v/>
      </c>
      <c r="AW654">
        <f>IF($AU654="","",IFERROR(VLOOKUP($AU654,DECODE!$A$3:$C$8,3,FALSE),"?"))</f>
        <v/>
      </c>
      <c r="AX654">
        <f>IF($AV654="","",IFERROR(VLOOKUP($AU654&amp;"-"&amp;$AV654,DECODE!$E$3:$F$21,2,FALSE),"?"))</f>
        <v/>
      </c>
      <c r="AY654">
        <f>IF($AT654="","",IFERROR(VALUE(RIGHT($AT654,3)),""))</f>
        <v/>
      </c>
      <c r="AZ654">
        <f>IF($U654="","",IFERROR(IF(ISNUMBER($U654),$U654,DATEVALUE(TRIM($U654))),""))</f>
        <v/>
      </c>
      <c r="BA654">
        <f>IF($AZ654="","",IF(MONTH($AZ654)&gt;=12,"Cold Winter",IF(MONTH($AZ654)&gt;=10,"Post-Monsoon",IF(MONTH($AZ654)&gt;=6,"Hot Humid",IF(MONTH($AZ654)&gt;=3,"Hot Dry","Cold Winter")))))</f>
        <v/>
      </c>
      <c r="BB654">
        <f>IF($AU654="","",IFERROR(VLOOKUP($AU654,DECODE!$A$3:$C$8,2,FALSE),"?"))</f>
        <v/>
      </c>
      <c r="BC654">
        <f>IF($P654="","",UPPER(TRIM(LEFT($P654&amp;",",FIND(",",$P654&amp;",")-1))))</f>
        <v/>
      </c>
      <c r="BD654">
        <f>IF($BC654="","",MID($BC654,4,FIND("~",SUBSTITUTE($BC654,"-","~",2))-4))</f>
        <v/>
      </c>
      <c r="BE654">
        <f>IF($BC654="","",MID($BC654,FIND("~",SUBSTITUTE($BC654,"-","~",2))+1,FIND("~",SUBSTITUTE($BC654,"-","~",3))-FIND("~",SUBSTITUTE($BC654,"-","~",2))-1))</f>
        <v/>
      </c>
      <c r="BF654">
        <f>IF($BD654="","",IFERROR(VLOOKUP($BD654,DECODE!$A$3:$C$8,3,FALSE),"?"))</f>
        <v/>
      </c>
      <c r="BG654">
        <f>IF($BE654="","",IFERROR(VLOOKUP($BD654&amp;"-"&amp;$BE654,DECODE!$E$3:$F$21,2,FALSE),"?"))</f>
        <v/>
      </c>
      <c r="BH654">
        <f>IF($BC654="","",IFERROR(VALUE(RIGHT($BC654,3)),""))</f>
        <v/>
      </c>
      <c r="BI654">
        <f>IF($V654="","",IFERROR(IF(ISNUMBER($V654),$V654,DATEVALUE(TRIM($V654))),""))</f>
        <v/>
      </c>
      <c r="BJ654">
        <f>IF($BI654="","",IF(MONTH($BI654)&gt;=12,"Cold Winter",IF(MONTH($BI654)&gt;=10,"Post-Monsoon",IF(MONTH($BI654)&gt;=6,"Hot Humid",IF(MONTH($BI654)&gt;=3,"Hot Dry","Cold Winter")))))</f>
        <v/>
      </c>
      <c r="BK654">
        <f>IF($BD654="","",IFERROR(VLOOKUP($BD654,DECODE!$A$3:$C$8,2,FALSE),"?"))</f>
        <v/>
      </c>
      <c r="BL654">
        <f>IF($Q654="","",UPPER(TRIM(LEFT($Q654&amp;",",FIND(",",$Q654&amp;",")-1))))</f>
        <v/>
      </c>
      <c r="BM654">
        <f>IF($BL654="","",MID($BL654,4,FIND("~",SUBSTITUTE($BL654,"-","~",2))-4))</f>
        <v/>
      </c>
      <c r="BN654">
        <f>IF($BL654="","",MID($BL654,FIND("~",SUBSTITUTE($BL654,"-","~",2))+1,FIND("~",SUBSTITUTE($BL654,"-","~",3))-FIND("~",SUBSTITUTE($BL654,"-","~",2))-1))</f>
        <v/>
      </c>
      <c r="BO654">
        <f>IF($BM654="","",IFERROR(VLOOKUP($BM654,DECODE!$A$3:$C$8,3,FALSE),"?"))</f>
        <v/>
      </c>
      <c r="BP654">
        <f>IF($BN654="","",IFERROR(VLOOKUP($BM654&amp;"-"&amp;$BN654,DECODE!$E$3:$F$21,2,FALSE),"?"))</f>
        <v/>
      </c>
      <c r="BQ654">
        <f>IF($BL654="","",IFERROR(VALUE(RIGHT($BL654,3)),""))</f>
        <v/>
      </c>
      <c r="BR654">
        <f>IF($W654="","",IFERROR(IF(ISNUMBER($W654),$W654,DATEVALUE(TRIM($W654))),""))</f>
        <v/>
      </c>
      <c r="BS654">
        <f>IF($BR654="","",IF(MONTH($BR654)&gt;=12,"Cold Winter",IF(MONTH($BR654)&gt;=10,"Post-Monsoon",IF(MONTH($BR654)&gt;=6,"Hot Humid",IF(MONTH($BR654)&gt;=3,"Hot Dry","Cold Winter")))))</f>
        <v/>
      </c>
      <c r="BT654">
        <f>IF($BM654="","",IFERROR(VLOOKUP($BM654,DECODE!$A$3:$C$8,2,FALSE),"?"))</f>
        <v/>
      </c>
      <c r="BU654">
        <f>IF($R654="","",UPPER(TRIM(LEFT($R654&amp;",",FIND(",",$R654&amp;",")-1))))</f>
        <v/>
      </c>
      <c r="BV654">
        <f>IF($BU654="","",MID($BU654,4,FIND("~",SUBSTITUTE($BU654,"-","~",2))-4))</f>
        <v/>
      </c>
      <c r="BW654">
        <f>IF($BU654="","",MID($BU654,FIND("~",SUBSTITUTE($BU654,"-","~",2))+1,FIND("~",SUBSTITUTE($BU654,"-","~",3))-FIND("~",SUBSTITUTE($BU654,"-","~",2))-1))</f>
        <v/>
      </c>
      <c r="BX654">
        <f>IF($BV654="","",IFERROR(VLOOKUP($BV654,DECODE!$A$3:$C$8,3,FALSE),"?"))</f>
        <v/>
      </c>
      <c r="BY654">
        <f>IF($BW654="","",IFERROR(VLOOKUP($BV654&amp;"-"&amp;$BW654,DECODE!$E$3:$F$21,2,FALSE),"?"))</f>
        <v/>
      </c>
      <c r="BZ654">
        <f>IF($BU654="","",IFERROR(VALUE(RIGHT($BU654,3)),""))</f>
        <v/>
      </c>
      <c r="CA654">
        <f>IF($X654="","",IFERROR(IF(ISNUMBER($X654),$X654,DATEVALUE(TRIM($X654))),""))</f>
        <v/>
      </c>
      <c r="CB654">
        <f>IF($CA654="","",IF(MONTH($CA654)&gt;=12,"Cold Winter",IF(MONTH($CA654)&gt;=10,"Post-Monsoon",IF(MONTH($CA654)&gt;=6,"Hot Humid",IF(MONTH($CA654)&gt;=3,"Hot Dry","Cold Winter")))))</f>
        <v/>
      </c>
      <c r="CC654">
        <f>IF($BV654="","",IFERROR(VLOOKUP($BV654,DECODE!$A$3:$C$8,2,FALSE),"?"))</f>
        <v/>
      </c>
      <c r="CD654">
        <f>IF($S654="","",UPPER(TRIM(LEFT($S654&amp;",",FIND(",",$S654&amp;",")-1))))</f>
        <v/>
      </c>
      <c r="CE654">
        <f>IF($CD654="","",MID($CD654,4,FIND("~",SUBSTITUTE($CD654,"-","~",2))-4))</f>
        <v/>
      </c>
      <c r="CF654">
        <f>IF($CD654="","",MID($CD654,FIND("~",SUBSTITUTE($CD654,"-","~",2))+1,FIND("~",SUBSTITUTE($CD654,"-","~",3))-FIND("~",SUBSTITUTE($CD654,"-","~",2))-1))</f>
        <v/>
      </c>
      <c r="CG654">
        <f>IF($CE654="","",IFERROR(VLOOKUP($CE654,DECODE!$A$3:$C$8,3,FALSE),"?"))</f>
        <v/>
      </c>
      <c r="CH654">
        <f>IF($CF654="","",IFERROR(VLOOKUP($CE654&amp;"-"&amp;$CF654,DECODE!$E$3:$F$21,2,FALSE),"?"))</f>
        <v/>
      </c>
      <c r="CI654">
        <f>IF($CD654="","",IFERROR(VALUE(RIGHT($CD654,3)),""))</f>
        <v/>
      </c>
      <c r="CJ654">
        <f>IF($Y654="","",IFERROR(IF(ISNUMBER($Y654),$Y654,DATEVALUE(TRIM($Y654))),""))</f>
        <v/>
      </c>
      <c r="CK654">
        <f>IF($CJ654="","",IF(MONTH($CJ654)&gt;=12,"Cold Winter",IF(MONTH($CJ654)&gt;=10,"Post-Monsoon",IF(MONTH($CJ654)&gt;=6,"Hot Humid",IF(MONTH($CJ654)&gt;=3,"Hot Dry","Cold Winter")))))</f>
        <v/>
      </c>
      <c r="CL654">
        <f>IF($CE654="","",IFERROR(VLOOKUP($CE654,DECODE!$A$3:$C$8,2,FALSE),"?"))</f>
        <v/>
      </c>
      <c r="CM654">
        <f>IF($AN654="","",AN654)</f>
        <v/>
      </c>
      <c r="CN654">
        <f>IF($AO654="","",AO654)</f>
        <v/>
      </c>
      <c r="CO654">
        <f>IF($AP654="","",AP654)</f>
        <v/>
      </c>
      <c r="CP654">
        <f>IF($CM654="","",IF($CM654="Aloe Vera Gel","Aloe Vera Gel "&amp;$CO654&amp;"g",CN654&amp;" "&amp;$CO654&amp;"g"))</f>
        <v/>
      </c>
      <c r="CQ654">
        <f>IF($AT654="",0,1)</f>
        <v/>
      </c>
      <c r="CR654">
        <f>IF($CQ654=0,"",AW654)</f>
        <v/>
      </c>
      <c r="CS654">
        <f>IF($CQ654=0,"",AX654)</f>
        <v/>
      </c>
      <c r="CT654">
        <f>IF($CQ654=0,"",AY654)</f>
        <v/>
      </c>
      <c r="CU654">
        <f>IF($CR654="","",IF($CR654="Aloe Vera Gel","Aloe Vera Gel "&amp;$CT654&amp;"g",CS654&amp;" "&amp;$CT654&amp;"g"))</f>
        <v/>
      </c>
      <c r="CV654">
        <f>IF($CQ654=0,"",IF($CP654=$CU654,"Repeat Exact",IF($CT654&gt;$CO654,"Upsized",IF($CT654&lt;$CO654,"Downsized",IF($CM654&lt;&gt;$CR654,"Lateral","Same Size Diff Variant")))))</f>
        <v/>
      </c>
      <c r="CW654">
        <f>IF($CQ654=0,"",AZ654-AQ654)</f>
        <v/>
      </c>
      <c r="CX654">
        <f>IF($CQ654=0,0,IF(CS654=CN654,1,0))</f>
        <v/>
      </c>
      <c r="CY654">
        <f>IF($CQ654=0,0,IF(CR654=CM654,1,0))</f>
        <v/>
      </c>
      <c r="CZ654">
        <f>IF($A654="","",IF(AND(IF(DASHBOARD!$C$4="All",TRUE,$CM654=DASHBOARD!$C$4),IF(DASHBOARD!$C$6="All",TRUE,$CP654=DASHBOARD!$C$6),IF(DASHBOARD!$C$8="All",TRUE,$AF654&gt;=DASHBOARD!$C$8),IF(DASHBOARD!$C$10="All",TRUE,$AF654&lt;=DASHBOARD!$C$10),IF(DASHBOARD!$C$12="All",TRUE,$AH654=VALUE(DASHBOARD!$C$12)),IF(DASHBOARD!$C$14="All",TRUE,$AJ654=DASHBOARD!$C$14)),1,0))</f>
        <v/>
      </c>
    </row>
    <row r="655">
      <c r="A655" t="n">
        <v>280672</v>
      </c>
      <c r="B655" t="inlineStr">
        <is>
          <t>Face Malai</t>
        </is>
      </c>
      <c r="C655" t="inlineStr">
        <is>
          <t>Face Malai</t>
        </is>
      </c>
      <c r="H655" t="inlineStr">
        <is>
          <t>Flax Walnut (Cold) 35+ Face Malai</t>
        </is>
      </c>
      <c r="I655" t="inlineStr">
        <is>
          <t>Turmeric Nutmeg (Pigmentation)  Face Malai - 50g</t>
        </is>
      </c>
      <c r="N655" t="inlineStr">
        <is>
          <t>FC-CWDM-FW-030</t>
        </is>
      </c>
      <c r="O655" t="inlineStr">
        <is>
          <t>FC-DM-PG-050</t>
        </is>
      </c>
      <c r="T655" t="inlineStr">
        <is>
          <t>Jan 7, 2024</t>
        </is>
      </c>
      <c r="U655" t="inlineStr">
        <is>
          <t>May 27, 2024</t>
        </is>
      </c>
      <c r="Z655" t="n">
        <v>141</v>
      </c>
      <c r="AE655" t="inlineStr">
        <is>
          <t>Mumbai</t>
        </is>
      </c>
      <c r="AF655" t="inlineStr">
        <is>
          <t>2024-01</t>
        </is>
      </c>
      <c r="AG655" t="n">
        <v>1</v>
      </c>
      <c r="AH655" t="n">
        <v>2</v>
      </c>
      <c r="AI655" t="n">
        <v>1</v>
      </c>
      <c r="AJ655">
        <f>IF($AE655="","",IFERROR(VLOOKUP(TRIM($AE655),DECODE!$H$3:$I$60,2,FALSE),"Rest of India"))</f>
        <v/>
      </c>
      <c r="AK655">
        <f>IF($N655="","",UPPER(TRIM(LEFT($N655&amp;",",FIND(",",$N655&amp;",")-1))))</f>
        <v/>
      </c>
      <c r="AL655">
        <f>IF($AK655="","",MID($AK655,4,FIND("~",SUBSTITUTE($AK655,"-","~",2))-4))</f>
        <v/>
      </c>
      <c r="AM655">
        <f>IF($AK655="","",MID($AK655,FIND("~",SUBSTITUTE($AK655,"-","~",2))+1,FIND("~",SUBSTITUTE($AK655,"-","~",3))-FIND("~",SUBSTITUTE($AK655,"-","~",2))-1))</f>
        <v/>
      </c>
      <c r="AN655">
        <f>IF($AL655="","",IFERROR(VLOOKUP($AL655,DECODE!$A$3:$C$8,3,FALSE),"?"))</f>
        <v/>
      </c>
      <c r="AO655">
        <f>IF($AM655="","",IFERROR(VLOOKUP($AL655&amp;"-"&amp;$AM655,DECODE!$E$3:$F$21,2,FALSE),"?"))</f>
        <v/>
      </c>
      <c r="AP655">
        <f>IF($AK655="","",IFERROR(VALUE(RIGHT($AK655,3)),""))</f>
        <v/>
      </c>
      <c r="AQ655">
        <f>IF($T655="","",IFERROR(IF(ISNUMBER($T655),$T655,DATEVALUE(TRIM($T655))),""))</f>
        <v/>
      </c>
      <c r="AR655">
        <f>IF($AQ655="","",IF(MONTH($AQ655)&gt;=12,"Cold Winter",IF(MONTH($AQ655)&gt;=10,"Post-Monsoon",IF(MONTH($AQ655)&gt;=6,"Hot Humid",IF(MONTH($AQ655)&gt;=3,"Hot Dry","Cold Winter")))))</f>
        <v/>
      </c>
      <c r="AS655">
        <f>IF($AL655="","",IFERROR(VLOOKUP($AL655,DECODE!$A$3:$C$8,2,FALSE),"?"))</f>
        <v/>
      </c>
      <c r="AT655">
        <f>IF($O655="","",UPPER(TRIM(LEFT($O655&amp;",",FIND(",",$O655&amp;",")-1))))</f>
        <v/>
      </c>
      <c r="AU655">
        <f>IF($AT655="","",MID($AT655,4,FIND("~",SUBSTITUTE($AT655,"-","~",2))-4))</f>
        <v/>
      </c>
      <c r="AV655">
        <f>IF($AT655="","",MID($AT655,FIND("~",SUBSTITUTE($AT655,"-","~",2))+1,FIND("~",SUBSTITUTE($AT655,"-","~",3))-FIND("~",SUBSTITUTE($AT655,"-","~",2))-1))</f>
        <v/>
      </c>
      <c r="AW655">
        <f>IF($AU655="","",IFERROR(VLOOKUP($AU655,DECODE!$A$3:$C$8,3,FALSE),"?"))</f>
        <v/>
      </c>
      <c r="AX655">
        <f>IF($AV655="","",IFERROR(VLOOKUP($AU655&amp;"-"&amp;$AV655,DECODE!$E$3:$F$21,2,FALSE),"?"))</f>
        <v/>
      </c>
      <c r="AY655">
        <f>IF($AT655="","",IFERROR(VALUE(RIGHT($AT655,3)),""))</f>
        <v/>
      </c>
      <c r="AZ655">
        <f>IF($U655="","",IFERROR(IF(ISNUMBER($U655),$U655,DATEVALUE(TRIM($U655))),""))</f>
        <v/>
      </c>
      <c r="BA655">
        <f>IF($AZ655="","",IF(MONTH($AZ655)&gt;=12,"Cold Winter",IF(MONTH($AZ655)&gt;=10,"Post-Monsoon",IF(MONTH($AZ655)&gt;=6,"Hot Humid",IF(MONTH($AZ655)&gt;=3,"Hot Dry","Cold Winter")))))</f>
        <v/>
      </c>
      <c r="BB655">
        <f>IF($AU655="","",IFERROR(VLOOKUP($AU655,DECODE!$A$3:$C$8,2,FALSE),"?"))</f>
        <v/>
      </c>
      <c r="BC655">
        <f>IF($P655="","",UPPER(TRIM(LEFT($P655&amp;",",FIND(",",$P655&amp;",")-1))))</f>
        <v/>
      </c>
      <c r="BD655">
        <f>IF($BC655="","",MID($BC655,4,FIND("~",SUBSTITUTE($BC655,"-","~",2))-4))</f>
        <v/>
      </c>
      <c r="BE655">
        <f>IF($BC655="","",MID($BC655,FIND("~",SUBSTITUTE($BC655,"-","~",2))+1,FIND("~",SUBSTITUTE($BC655,"-","~",3))-FIND("~",SUBSTITUTE($BC655,"-","~",2))-1))</f>
        <v/>
      </c>
      <c r="BF655">
        <f>IF($BD655="","",IFERROR(VLOOKUP($BD655,DECODE!$A$3:$C$8,3,FALSE),"?"))</f>
        <v/>
      </c>
      <c r="BG655">
        <f>IF($BE655="","",IFERROR(VLOOKUP($BD655&amp;"-"&amp;$BE655,DECODE!$E$3:$F$21,2,FALSE),"?"))</f>
        <v/>
      </c>
      <c r="BH655">
        <f>IF($BC655="","",IFERROR(VALUE(RIGHT($BC655,3)),""))</f>
        <v/>
      </c>
      <c r="BI655">
        <f>IF($V655="","",IFERROR(IF(ISNUMBER($V655),$V655,DATEVALUE(TRIM($V655))),""))</f>
        <v/>
      </c>
      <c r="BJ655">
        <f>IF($BI655="","",IF(MONTH($BI655)&gt;=12,"Cold Winter",IF(MONTH($BI655)&gt;=10,"Post-Monsoon",IF(MONTH($BI655)&gt;=6,"Hot Humid",IF(MONTH($BI655)&gt;=3,"Hot Dry","Cold Winter")))))</f>
        <v/>
      </c>
      <c r="BK655">
        <f>IF($BD655="","",IFERROR(VLOOKUP($BD655,DECODE!$A$3:$C$8,2,FALSE),"?"))</f>
        <v/>
      </c>
      <c r="BL655">
        <f>IF($Q655="","",UPPER(TRIM(LEFT($Q655&amp;",",FIND(",",$Q655&amp;",")-1))))</f>
        <v/>
      </c>
      <c r="BM655">
        <f>IF($BL655="","",MID($BL655,4,FIND("~",SUBSTITUTE($BL655,"-","~",2))-4))</f>
        <v/>
      </c>
      <c r="BN655">
        <f>IF($BL655="","",MID($BL655,FIND("~",SUBSTITUTE($BL655,"-","~",2))+1,FIND("~",SUBSTITUTE($BL655,"-","~",3))-FIND("~",SUBSTITUTE($BL655,"-","~",2))-1))</f>
        <v/>
      </c>
      <c r="BO655">
        <f>IF($BM655="","",IFERROR(VLOOKUP($BM655,DECODE!$A$3:$C$8,3,FALSE),"?"))</f>
        <v/>
      </c>
      <c r="BP655">
        <f>IF($BN655="","",IFERROR(VLOOKUP($BM655&amp;"-"&amp;$BN655,DECODE!$E$3:$F$21,2,FALSE),"?"))</f>
        <v/>
      </c>
      <c r="BQ655">
        <f>IF($BL655="","",IFERROR(VALUE(RIGHT($BL655,3)),""))</f>
        <v/>
      </c>
      <c r="BR655">
        <f>IF($W655="","",IFERROR(IF(ISNUMBER($W655),$W655,DATEVALUE(TRIM($W655))),""))</f>
        <v/>
      </c>
      <c r="BS655">
        <f>IF($BR655="","",IF(MONTH($BR655)&gt;=12,"Cold Winter",IF(MONTH($BR655)&gt;=10,"Post-Monsoon",IF(MONTH($BR655)&gt;=6,"Hot Humid",IF(MONTH($BR655)&gt;=3,"Hot Dry","Cold Winter")))))</f>
        <v/>
      </c>
      <c r="BT655">
        <f>IF($BM655="","",IFERROR(VLOOKUP($BM655,DECODE!$A$3:$C$8,2,FALSE),"?"))</f>
        <v/>
      </c>
      <c r="BU655">
        <f>IF($R655="","",UPPER(TRIM(LEFT($R655&amp;",",FIND(",",$R655&amp;",")-1))))</f>
        <v/>
      </c>
      <c r="BV655">
        <f>IF($BU655="","",MID($BU655,4,FIND("~",SUBSTITUTE($BU655,"-","~",2))-4))</f>
        <v/>
      </c>
      <c r="BW655">
        <f>IF($BU655="","",MID($BU655,FIND("~",SUBSTITUTE($BU655,"-","~",2))+1,FIND("~",SUBSTITUTE($BU655,"-","~",3))-FIND("~",SUBSTITUTE($BU655,"-","~",2))-1))</f>
        <v/>
      </c>
      <c r="BX655">
        <f>IF($BV655="","",IFERROR(VLOOKUP($BV655,DECODE!$A$3:$C$8,3,FALSE),"?"))</f>
        <v/>
      </c>
      <c r="BY655">
        <f>IF($BW655="","",IFERROR(VLOOKUP($BV655&amp;"-"&amp;$BW655,DECODE!$E$3:$F$21,2,FALSE),"?"))</f>
        <v/>
      </c>
      <c r="BZ655">
        <f>IF($BU655="","",IFERROR(VALUE(RIGHT($BU655,3)),""))</f>
        <v/>
      </c>
      <c r="CA655">
        <f>IF($X655="","",IFERROR(IF(ISNUMBER($X655),$X655,DATEVALUE(TRIM($X655))),""))</f>
        <v/>
      </c>
      <c r="CB655">
        <f>IF($CA655="","",IF(MONTH($CA655)&gt;=12,"Cold Winter",IF(MONTH($CA655)&gt;=10,"Post-Monsoon",IF(MONTH($CA655)&gt;=6,"Hot Humid",IF(MONTH($CA655)&gt;=3,"Hot Dry","Cold Winter")))))</f>
        <v/>
      </c>
      <c r="CC655">
        <f>IF($BV655="","",IFERROR(VLOOKUP($BV655,DECODE!$A$3:$C$8,2,FALSE),"?"))</f>
        <v/>
      </c>
      <c r="CD655">
        <f>IF($S655="","",UPPER(TRIM(LEFT($S655&amp;",",FIND(",",$S655&amp;",")-1))))</f>
        <v/>
      </c>
      <c r="CE655">
        <f>IF($CD655="","",MID($CD655,4,FIND("~",SUBSTITUTE($CD655,"-","~",2))-4))</f>
        <v/>
      </c>
      <c r="CF655">
        <f>IF($CD655="","",MID($CD655,FIND("~",SUBSTITUTE($CD655,"-","~",2))+1,FIND("~",SUBSTITUTE($CD655,"-","~",3))-FIND("~",SUBSTITUTE($CD655,"-","~",2))-1))</f>
        <v/>
      </c>
      <c r="CG655">
        <f>IF($CE655="","",IFERROR(VLOOKUP($CE655,DECODE!$A$3:$C$8,3,FALSE),"?"))</f>
        <v/>
      </c>
      <c r="CH655">
        <f>IF($CF655="","",IFERROR(VLOOKUP($CE655&amp;"-"&amp;$CF655,DECODE!$E$3:$F$21,2,FALSE),"?"))</f>
        <v/>
      </c>
      <c r="CI655">
        <f>IF($CD655="","",IFERROR(VALUE(RIGHT($CD655,3)),""))</f>
        <v/>
      </c>
      <c r="CJ655">
        <f>IF($Y655="","",IFERROR(IF(ISNUMBER($Y655),$Y655,DATEVALUE(TRIM($Y655))),""))</f>
        <v/>
      </c>
      <c r="CK655">
        <f>IF($CJ655="","",IF(MONTH($CJ655)&gt;=12,"Cold Winter",IF(MONTH($CJ655)&gt;=10,"Post-Monsoon",IF(MONTH($CJ655)&gt;=6,"Hot Humid",IF(MONTH($CJ655)&gt;=3,"Hot Dry","Cold Winter")))))</f>
        <v/>
      </c>
      <c r="CL655">
        <f>IF($CE655="","",IFERROR(VLOOKUP($CE655,DECODE!$A$3:$C$8,2,FALSE),"?"))</f>
        <v/>
      </c>
      <c r="CM655">
        <f>IF($AN655="","",AN655)</f>
        <v/>
      </c>
      <c r="CN655">
        <f>IF($AO655="","",AO655)</f>
        <v/>
      </c>
      <c r="CO655">
        <f>IF($AP655="","",AP655)</f>
        <v/>
      </c>
      <c r="CP655">
        <f>IF($CM655="","",IF($CM655="Aloe Vera Gel","Aloe Vera Gel "&amp;$CO655&amp;"g",CN655&amp;" "&amp;$CO655&amp;"g"))</f>
        <v/>
      </c>
      <c r="CQ655">
        <f>IF($AT655="",0,1)</f>
        <v/>
      </c>
      <c r="CR655">
        <f>IF($CQ655=0,"",AW655)</f>
        <v/>
      </c>
      <c r="CS655">
        <f>IF($CQ655=0,"",AX655)</f>
        <v/>
      </c>
      <c r="CT655">
        <f>IF($CQ655=0,"",AY655)</f>
        <v/>
      </c>
      <c r="CU655">
        <f>IF($CR655="","",IF($CR655="Aloe Vera Gel","Aloe Vera Gel "&amp;$CT655&amp;"g",CS655&amp;" "&amp;$CT655&amp;"g"))</f>
        <v/>
      </c>
      <c r="CV655">
        <f>IF($CQ655=0,"",IF($CP655=$CU655,"Repeat Exact",IF($CT655&gt;$CO655,"Upsized",IF($CT655&lt;$CO655,"Downsized",IF($CM655&lt;&gt;$CR655,"Lateral","Same Size Diff Variant")))))</f>
        <v/>
      </c>
      <c r="CW655">
        <f>IF($CQ655=0,"",AZ655-AQ655)</f>
        <v/>
      </c>
      <c r="CX655">
        <f>IF($CQ655=0,0,IF(CS655=CN655,1,0))</f>
        <v/>
      </c>
      <c r="CY655">
        <f>IF($CQ655=0,0,IF(CR655=CM655,1,0))</f>
        <v/>
      </c>
      <c r="CZ655">
        <f>IF($A655="","",IF(AND(IF(DASHBOARD!$C$4="All",TRUE,$CM655=DASHBOARD!$C$4),IF(DASHBOARD!$C$6="All",TRUE,$CP655=DASHBOARD!$C$6),IF(DASHBOARD!$C$8="All",TRUE,$AF655&gt;=DASHBOARD!$C$8),IF(DASHBOARD!$C$10="All",TRUE,$AF655&lt;=DASHBOARD!$C$10),IF(DASHBOARD!$C$12="All",TRUE,$AH655=VALUE(DASHBOARD!$C$12)),IF(DASHBOARD!$C$14="All",TRUE,$AJ655=DASHBOARD!$C$14)),1,0))</f>
        <v/>
      </c>
    </row>
    <row r="656">
      <c r="A656" t="n">
        <v>281559</v>
      </c>
      <c r="B656" t="inlineStr">
        <is>
          <t>Face Malai</t>
        </is>
      </c>
      <c r="H656" t="inlineStr">
        <is>
          <t>Honey Multi-Nut (Dry &amp; Peeling Skin) Face Malai</t>
        </is>
      </c>
      <c r="N656" t="inlineStr">
        <is>
          <t>FC-DM-DP-030</t>
        </is>
      </c>
      <c r="T656" t="inlineStr">
        <is>
          <t>Oct 8, 2025</t>
        </is>
      </c>
      <c r="AE656" t="inlineStr">
        <is>
          <t>New Delhi</t>
        </is>
      </c>
      <c r="AF656" t="inlineStr">
        <is>
          <t>2025-10</t>
        </is>
      </c>
      <c r="AG656" t="n">
        <v>10</v>
      </c>
      <c r="AH656" t="n">
        <v>1</v>
      </c>
      <c r="AI656" t="n">
        <v>0</v>
      </c>
      <c r="AJ656">
        <f>IF($AE656="","",IFERROR(VLOOKUP(TRIM($AE656),DECODE!$H$3:$I$60,2,FALSE),"Rest of India"))</f>
        <v/>
      </c>
      <c r="AK656">
        <f>IF($N656="","",UPPER(TRIM(LEFT($N656&amp;",",FIND(",",$N656&amp;",")-1))))</f>
        <v/>
      </c>
      <c r="AL656">
        <f>IF($AK656="","",MID($AK656,4,FIND("~",SUBSTITUTE($AK656,"-","~",2))-4))</f>
        <v/>
      </c>
      <c r="AM656">
        <f>IF($AK656="","",MID($AK656,FIND("~",SUBSTITUTE($AK656,"-","~",2))+1,FIND("~",SUBSTITUTE($AK656,"-","~",3))-FIND("~",SUBSTITUTE($AK656,"-","~",2))-1))</f>
        <v/>
      </c>
      <c r="AN656">
        <f>IF($AL656="","",IFERROR(VLOOKUP($AL656,DECODE!$A$3:$C$8,3,FALSE),"?"))</f>
        <v/>
      </c>
      <c r="AO656">
        <f>IF($AM656="","",IFERROR(VLOOKUP($AL656&amp;"-"&amp;$AM656,DECODE!$E$3:$F$21,2,FALSE),"?"))</f>
        <v/>
      </c>
      <c r="AP656">
        <f>IF($AK656="","",IFERROR(VALUE(RIGHT($AK656,3)),""))</f>
        <v/>
      </c>
      <c r="AQ656">
        <f>IF($T656="","",IFERROR(IF(ISNUMBER($T656),$T656,DATEVALUE(TRIM($T656))),""))</f>
        <v/>
      </c>
      <c r="AR656">
        <f>IF($AQ656="","",IF(MONTH($AQ656)&gt;=12,"Cold Winter",IF(MONTH($AQ656)&gt;=10,"Post-Monsoon",IF(MONTH($AQ656)&gt;=6,"Hot Humid",IF(MONTH($AQ656)&gt;=3,"Hot Dry","Cold Winter")))))</f>
        <v/>
      </c>
      <c r="AS656">
        <f>IF($AL656="","",IFERROR(VLOOKUP($AL656,DECODE!$A$3:$C$8,2,FALSE),"?"))</f>
        <v/>
      </c>
      <c r="AT656">
        <f>IF($O656="","",UPPER(TRIM(LEFT($O656&amp;",",FIND(",",$O656&amp;",")-1))))</f>
        <v/>
      </c>
      <c r="AU656">
        <f>IF($AT656="","",MID($AT656,4,FIND("~",SUBSTITUTE($AT656,"-","~",2))-4))</f>
        <v/>
      </c>
      <c r="AV656">
        <f>IF($AT656="","",MID($AT656,FIND("~",SUBSTITUTE($AT656,"-","~",2))+1,FIND("~",SUBSTITUTE($AT656,"-","~",3))-FIND("~",SUBSTITUTE($AT656,"-","~",2))-1))</f>
        <v/>
      </c>
      <c r="AW656">
        <f>IF($AU656="","",IFERROR(VLOOKUP($AU656,DECODE!$A$3:$C$8,3,FALSE),"?"))</f>
        <v/>
      </c>
      <c r="AX656">
        <f>IF($AV656="","",IFERROR(VLOOKUP($AU656&amp;"-"&amp;$AV656,DECODE!$E$3:$F$21,2,FALSE),"?"))</f>
        <v/>
      </c>
      <c r="AY656">
        <f>IF($AT656="","",IFERROR(VALUE(RIGHT($AT656,3)),""))</f>
        <v/>
      </c>
      <c r="AZ656">
        <f>IF($U656="","",IFERROR(IF(ISNUMBER($U656),$U656,DATEVALUE(TRIM($U656))),""))</f>
        <v/>
      </c>
      <c r="BA656">
        <f>IF($AZ656="","",IF(MONTH($AZ656)&gt;=12,"Cold Winter",IF(MONTH($AZ656)&gt;=10,"Post-Monsoon",IF(MONTH($AZ656)&gt;=6,"Hot Humid",IF(MONTH($AZ656)&gt;=3,"Hot Dry","Cold Winter")))))</f>
        <v/>
      </c>
      <c r="BB656">
        <f>IF($AU656="","",IFERROR(VLOOKUP($AU656,DECODE!$A$3:$C$8,2,FALSE),"?"))</f>
        <v/>
      </c>
      <c r="BC656">
        <f>IF($P656="","",UPPER(TRIM(LEFT($P656&amp;",",FIND(",",$P656&amp;",")-1))))</f>
        <v/>
      </c>
      <c r="BD656">
        <f>IF($BC656="","",MID($BC656,4,FIND("~",SUBSTITUTE($BC656,"-","~",2))-4))</f>
        <v/>
      </c>
      <c r="BE656">
        <f>IF($BC656="","",MID($BC656,FIND("~",SUBSTITUTE($BC656,"-","~",2))+1,FIND("~",SUBSTITUTE($BC656,"-","~",3))-FIND("~",SUBSTITUTE($BC656,"-","~",2))-1))</f>
        <v/>
      </c>
      <c r="BF656">
        <f>IF($BD656="","",IFERROR(VLOOKUP($BD656,DECODE!$A$3:$C$8,3,FALSE),"?"))</f>
        <v/>
      </c>
      <c r="BG656">
        <f>IF($BE656="","",IFERROR(VLOOKUP($BD656&amp;"-"&amp;$BE656,DECODE!$E$3:$F$21,2,FALSE),"?"))</f>
        <v/>
      </c>
      <c r="BH656">
        <f>IF($BC656="","",IFERROR(VALUE(RIGHT($BC656,3)),""))</f>
        <v/>
      </c>
      <c r="BI656">
        <f>IF($V656="","",IFERROR(IF(ISNUMBER($V656),$V656,DATEVALUE(TRIM($V656))),""))</f>
        <v/>
      </c>
      <c r="BJ656">
        <f>IF($BI656="","",IF(MONTH($BI656)&gt;=12,"Cold Winter",IF(MONTH($BI656)&gt;=10,"Post-Monsoon",IF(MONTH($BI656)&gt;=6,"Hot Humid",IF(MONTH($BI656)&gt;=3,"Hot Dry","Cold Winter")))))</f>
        <v/>
      </c>
      <c r="BK656">
        <f>IF($BD656="","",IFERROR(VLOOKUP($BD656,DECODE!$A$3:$C$8,2,FALSE),"?"))</f>
        <v/>
      </c>
      <c r="BL656">
        <f>IF($Q656="","",UPPER(TRIM(LEFT($Q656&amp;",",FIND(",",$Q656&amp;",")-1))))</f>
        <v/>
      </c>
      <c r="BM656">
        <f>IF($BL656="","",MID($BL656,4,FIND("~",SUBSTITUTE($BL656,"-","~",2))-4))</f>
        <v/>
      </c>
      <c r="BN656">
        <f>IF($BL656="","",MID($BL656,FIND("~",SUBSTITUTE($BL656,"-","~",2))+1,FIND("~",SUBSTITUTE($BL656,"-","~",3))-FIND("~",SUBSTITUTE($BL656,"-","~",2))-1))</f>
        <v/>
      </c>
      <c r="BO656">
        <f>IF($BM656="","",IFERROR(VLOOKUP($BM656,DECODE!$A$3:$C$8,3,FALSE),"?"))</f>
        <v/>
      </c>
      <c r="BP656">
        <f>IF($BN656="","",IFERROR(VLOOKUP($BM656&amp;"-"&amp;$BN656,DECODE!$E$3:$F$21,2,FALSE),"?"))</f>
        <v/>
      </c>
      <c r="BQ656">
        <f>IF($BL656="","",IFERROR(VALUE(RIGHT($BL656,3)),""))</f>
        <v/>
      </c>
      <c r="BR656">
        <f>IF($W656="","",IFERROR(IF(ISNUMBER($W656),$W656,DATEVALUE(TRIM($W656))),""))</f>
        <v/>
      </c>
      <c r="BS656">
        <f>IF($BR656="","",IF(MONTH($BR656)&gt;=12,"Cold Winter",IF(MONTH($BR656)&gt;=10,"Post-Monsoon",IF(MONTH($BR656)&gt;=6,"Hot Humid",IF(MONTH($BR656)&gt;=3,"Hot Dry","Cold Winter")))))</f>
        <v/>
      </c>
      <c r="BT656">
        <f>IF($BM656="","",IFERROR(VLOOKUP($BM656,DECODE!$A$3:$C$8,2,FALSE),"?"))</f>
        <v/>
      </c>
      <c r="BU656">
        <f>IF($R656="","",UPPER(TRIM(LEFT($R656&amp;",",FIND(",",$R656&amp;",")-1))))</f>
        <v/>
      </c>
      <c r="BV656">
        <f>IF($BU656="","",MID($BU656,4,FIND("~",SUBSTITUTE($BU656,"-","~",2))-4))</f>
        <v/>
      </c>
      <c r="BW656">
        <f>IF($BU656="","",MID($BU656,FIND("~",SUBSTITUTE($BU656,"-","~",2))+1,FIND("~",SUBSTITUTE($BU656,"-","~",3))-FIND("~",SUBSTITUTE($BU656,"-","~",2))-1))</f>
        <v/>
      </c>
      <c r="BX656">
        <f>IF($BV656="","",IFERROR(VLOOKUP($BV656,DECODE!$A$3:$C$8,3,FALSE),"?"))</f>
        <v/>
      </c>
      <c r="BY656">
        <f>IF($BW656="","",IFERROR(VLOOKUP($BV656&amp;"-"&amp;$BW656,DECODE!$E$3:$F$21,2,FALSE),"?"))</f>
        <v/>
      </c>
      <c r="BZ656">
        <f>IF($BU656="","",IFERROR(VALUE(RIGHT($BU656,3)),""))</f>
        <v/>
      </c>
      <c r="CA656">
        <f>IF($X656="","",IFERROR(IF(ISNUMBER($X656),$X656,DATEVALUE(TRIM($X656))),""))</f>
        <v/>
      </c>
      <c r="CB656">
        <f>IF($CA656="","",IF(MONTH($CA656)&gt;=12,"Cold Winter",IF(MONTH($CA656)&gt;=10,"Post-Monsoon",IF(MONTH($CA656)&gt;=6,"Hot Humid",IF(MONTH($CA656)&gt;=3,"Hot Dry","Cold Winter")))))</f>
        <v/>
      </c>
      <c r="CC656">
        <f>IF($BV656="","",IFERROR(VLOOKUP($BV656,DECODE!$A$3:$C$8,2,FALSE),"?"))</f>
        <v/>
      </c>
      <c r="CD656">
        <f>IF($S656="","",UPPER(TRIM(LEFT($S656&amp;",",FIND(",",$S656&amp;",")-1))))</f>
        <v/>
      </c>
      <c r="CE656">
        <f>IF($CD656="","",MID($CD656,4,FIND("~",SUBSTITUTE($CD656,"-","~",2))-4))</f>
        <v/>
      </c>
      <c r="CF656">
        <f>IF($CD656="","",MID($CD656,FIND("~",SUBSTITUTE($CD656,"-","~",2))+1,FIND("~",SUBSTITUTE($CD656,"-","~",3))-FIND("~",SUBSTITUTE($CD656,"-","~",2))-1))</f>
        <v/>
      </c>
      <c r="CG656">
        <f>IF($CE656="","",IFERROR(VLOOKUP($CE656,DECODE!$A$3:$C$8,3,FALSE),"?"))</f>
        <v/>
      </c>
      <c r="CH656">
        <f>IF($CF656="","",IFERROR(VLOOKUP($CE656&amp;"-"&amp;$CF656,DECODE!$E$3:$F$21,2,FALSE),"?"))</f>
        <v/>
      </c>
      <c r="CI656">
        <f>IF($CD656="","",IFERROR(VALUE(RIGHT($CD656,3)),""))</f>
        <v/>
      </c>
      <c r="CJ656">
        <f>IF($Y656="","",IFERROR(IF(ISNUMBER($Y656),$Y656,DATEVALUE(TRIM($Y656))),""))</f>
        <v/>
      </c>
      <c r="CK656">
        <f>IF($CJ656="","",IF(MONTH($CJ656)&gt;=12,"Cold Winter",IF(MONTH($CJ656)&gt;=10,"Post-Monsoon",IF(MONTH($CJ656)&gt;=6,"Hot Humid",IF(MONTH($CJ656)&gt;=3,"Hot Dry","Cold Winter")))))</f>
        <v/>
      </c>
      <c r="CL656">
        <f>IF($CE656="","",IFERROR(VLOOKUP($CE656,DECODE!$A$3:$C$8,2,FALSE),"?"))</f>
        <v/>
      </c>
      <c r="CM656">
        <f>IF($AN656="","",AN656)</f>
        <v/>
      </c>
      <c r="CN656">
        <f>IF($AO656="","",AO656)</f>
        <v/>
      </c>
      <c r="CO656">
        <f>IF($AP656="","",AP656)</f>
        <v/>
      </c>
      <c r="CP656">
        <f>IF($CM656="","",IF($CM656="Aloe Vera Gel","Aloe Vera Gel "&amp;$CO656&amp;"g",CN656&amp;" "&amp;$CO656&amp;"g"))</f>
        <v/>
      </c>
      <c r="CQ656">
        <f>IF($AT656="",0,1)</f>
        <v/>
      </c>
      <c r="CR656">
        <f>IF($CQ656=0,"",AW656)</f>
        <v/>
      </c>
      <c r="CS656">
        <f>IF($CQ656=0,"",AX656)</f>
        <v/>
      </c>
      <c r="CT656">
        <f>IF($CQ656=0,"",AY656)</f>
        <v/>
      </c>
      <c r="CU656">
        <f>IF($CR656="","",IF($CR656="Aloe Vera Gel","Aloe Vera Gel "&amp;$CT656&amp;"g",CS656&amp;" "&amp;$CT656&amp;"g"))</f>
        <v/>
      </c>
      <c r="CV656">
        <f>IF($CQ656=0,"",IF($CP656=$CU656,"Repeat Exact",IF($CT656&gt;$CO656,"Upsized",IF($CT656&lt;$CO656,"Downsized",IF($CM656&lt;&gt;$CR656,"Lateral","Same Size Diff Variant")))))</f>
        <v/>
      </c>
      <c r="CW656">
        <f>IF($CQ656=0,"",AZ656-AQ656)</f>
        <v/>
      </c>
      <c r="CX656">
        <f>IF($CQ656=0,0,IF(CS656=CN656,1,0))</f>
        <v/>
      </c>
      <c r="CY656">
        <f>IF($CQ656=0,0,IF(CR656=CM656,1,0))</f>
        <v/>
      </c>
      <c r="CZ656">
        <f>IF($A656="","",IF(AND(IF(DASHBOARD!$C$4="All",TRUE,$CM656=DASHBOARD!$C$4),IF(DASHBOARD!$C$6="All",TRUE,$CP656=DASHBOARD!$C$6),IF(DASHBOARD!$C$8="All",TRUE,$AF656&gt;=DASHBOARD!$C$8),IF(DASHBOARD!$C$10="All",TRUE,$AF656&lt;=DASHBOARD!$C$10),IF(DASHBOARD!$C$12="All",TRUE,$AH656=VALUE(DASHBOARD!$C$12)),IF(DASHBOARD!$C$14="All",TRUE,$AJ656=DASHBOARD!$C$14)),1,0)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5" max="5"/>
    <col width="20" customWidth="1" min="8" max="8"/>
    <col width="24" customWidth="1" min="11" max="11"/>
    <col width="14" customWidth="1" min="14" max="14"/>
    <col width="28" customWidth="1" min="15" max="15"/>
    <col width="10" customWidth="1" min="16" max="16"/>
    <col width="8" customWidth="1" min="17" max="17"/>
    <col width="12" customWidth="1" min="18" max="18"/>
  </cols>
  <sheetData>
    <row r="1">
      <c r="A1" s="5" t="inlineStr">
        <is>
          <t>LINE MAP (SKU 2nd token)</t>
        </is>
      </c>
      <c r="E1" s="5" t="inlineStr">
        <is>
          <t>VARIANT MAP (line-vcode)</t>
        </is>
      </c>
      <c r="H1" s="5" t="inlineStr">
        <is>
          <t>REGION MAP (edit freely)</t>
        </is>
      </c>
      <c r="K1" s="5" t="inlineStr">
        <is>
          <t>VARIANT → INTENDED SEASON</t>
        </is>
      </c>
      <c r="N1" s="5" t="inlineStr">
        <is>
          <t>LISTS (for dropdowns)</t>
        </is>
      </c>
    </row>
    <row r="2">
      <c r="N2" s="5" t="inlineStr">
        <is>
          <t>Category</t>
        </is>
      </c>
      <c r="O2" s="5" t="inlineStr">
        <is>
          <t>Variant SKU</t>
        </is>
      </c>
      <c r="P2" s="5" t="inlineStr">
        <is>
          <t>Month</t>
        </is>
      </c>
      <c r="Q2" s="5" t="inlineStr">
        <is>
          <t>Journey Depth</t>
        </is>
      </c>
      <c r="R2" s="5" t="inlineStr">
        <is>
          <t>Region</t>
        </is>
      </c>
    </row>
    <row r="3">
      <c r="A3" t="inlineStr">
        <is>
          <t>CWDM</t>
        </is>
      </c>
      <c r="B3" t="inlineStr">
        <is>
          <t>Cold Winter</t>
        </is>
      </c>
      <c r="C3" t="inlineStr">
        <is>
          <t>Face Malai</t>
        </is>
      </c>
      <c r="E3" t="inlineStr">
        <is>
          <t>CWDM-FW</t>
        </is>
      </c>
      <c r="F3" t="inlineStr">
        <is>
          <t>Flax Walnut</t>
        </is>
      </c>
      <c r="H3" t="inlineStr">
        <is>
          <t>New Delhi</t>
        </is>
      </c>
      <c r="I3" t="inlineStr">
        <is>
          <t>North</t>
        </is>
      </c>
      <c r="K3" t="inlineStr">
        <is>
          <t>Flax Walnut</t>
        </is>
      </c>
      <c r="L3" t="inlineStr">
        <is>
          <t>Cold Winter</t>
        </is>
      </c>
      <c r="N3" t="inlineStr">
        <is>
          <t>All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R3" t="inlineStr">
        <is>
          <t>All</t>
        </is>
      </c>
    </row>
    <row r="4">
      <c r="A4" t="inlineStr">
        <is>
          <t>HDDM</t>
        </is>
      </c>
      <c r="B4" t="inlineStr">
        <is>
          <t>Hot Dry</t>
        </is>
      </c>
      <c r="C4" t="inlineStr">
        <is>
          <t>Face Malai</t>
        </is>
      </c>
      <c r="E4" t="inlineStr">
        <is>
          <t>CWDM-TP</t>
        </is>
      </c>
      <c r="F4" t="inlineStr">
        <is>
          <t>Tomato Patchouli</t>
        </is>
      </c>
      <c r="H4" t="inlineStr">
        <is>
          <t>Delhi</t>
        </is>
      </c>
      <c r="I4" t="inlineStr">
        <is>
          <t>North</t>
        </is>
      </c>
      <c r="K4" t="inlineStr">
        <is>
          <t>Tomato Patchouli</t>
        </is>
      </c>
      <c r="L4" t="inlineStr">
        <is>
          <t>Cold Winter</t>
        </is>
      </c>
      <c r="N4" t="inlineStr">
        <is>
          <t>Face Malai</t>
        </is>
      </c>
      <c r="O4" t="inlineStr">
        <is>
          <t>Aloe Cactus Hydra Lift 50g</t>
        </is>
      </c>
      <c r="P4" t="inlineStr">
        <is>
          <t>2024-01</t>
        </is>
      </c>
      <c r="Q4" t="inlineStr">
        <is>
          <t>1</t>
        </is>
      </c>
      <c r="R4" t="inlineStr">
        <is>
          <t>North</t>
        </is>
      </c>
    </row>
    <row r="5">
      <c r="A5" t="inlineStr">
        <is>
          <t>HHDM</t>
        </is>
      </c>
      <c r="B5" t="inlineStr">
        <is>
          <t>Hot Humid</t>
        </is>
      </c>
      <c r="C5" t="inlineStr">
        <is>
          <t>Face Malai</t>
        </is>
      </c>
      <c r="E5" t="inlineStr">
        <is>
          <t>CWDM-BT</t>
        </is>
      </c>
      <c r="F5" t="inlineStr">
        <is>
          <t>Winter Blackseed</t>
        </is>
      </c>
      <c r="H5" t="inlineStr">
        <is>
          <t>Gurgaon</t>
        </is>
      </c>
      <c r="I5" t="inlineStr">
        <is>
          <t>North</t>
        </is>
      </c>
      <c r="K5" t="inlineStr">
        <is>
          <t>Winter Blackseed</t>
        </is>
      </c>
      <c r="L5" t="inlineStr">
        <is>
          <t>Cold Winter</t>
        </is>
      </c>
      <c r="N5" t="inlineStr">
        <is>
          <t>Active Gel</t>
        </is>
      </c>
      <c r="O5" t="inlineStr">
        <is>
          <t>Aloe Vera Gel 40g</t>
        </is>
      </c>
      <c r="P5" t="inlineStr">
        <is>
          <t>2024-02</t>
        </is>
      </c>
      <c r="Q5" t="inlineStr">
        <is>
          <t>2</t>
        </is>
      </c>
      <c r="R5" t="inlineStr">
        <is>
          <t>West</t>
        </is>
      </c>
    </row>
    <row r="6">
      <c r="A6" t="inlineStr">
        <is>
          <t>DM</t>
        </is>
      </c>
      <c r="B6" t="inlineStr">
        <is>
          <t>Non-Seasonal</t>
        </is>
      </c>
      <c r="C6" t="inlineStr">
        <is>
          <t>Face Malai</t>
        </is>
      </c>
      <c r="E6" t="inlineStr">
        <is>
          <t>HDDM-FB</t>
        </is>
      </c>
      <c r="F6" t="inlineStr">
        <is>
          <t>Flax Bakuchi</t>
        </is>
      </c>
      <c r="H6" t="inlineStr">
        <is>
          <t>Noida</t>
        </is>
      </c>
      <c r="I6" t="inlineStr">
        <is>
          <t>North</t>
        </is>
      </c>
      <c r="K6" t="inlineStr">
        <is>
          <t>Flax Bakuchi</t>
        </is>
      </c>
      <c r="L6" t="inlineStr">
        <is>
          <t>Hot Dry</t>
        </is>
      </c>
      <c r="N6" t="inlineStr">
        <is>
          <t>Aloe Vera Gel</t>
        </is>
      </c>
      <c r="O6" t="inlineStr">
        <is>
          <t>Aloe Vera Gel 80g</t>
        </is>
      </c>
      <c r="P6" t="inlineStr">
        <is>
          <t>2024-03</t>
        </is>
      </c>
      <c r="Q6" t="inlineStr">
        <is>
          <t>3</t>
        </is>
      </c>
      <c r="R6" t="inlineStr">
        <is>
          <t>South</t>
        </is>
      </c>
    </row>
    <row r="7">
      <c r="A7" t="inlineStr">
        <is>
          <t>AC</t>
        </is>
      </c>
      <c r="B7" t="inlineStr">
        <is>
          <t>Gel</t>
        </is>
      </c>
      <c r="C7" t="inlineStr">
        <is>
          <t>Active Gel</t>
        </is>
      </c>
      <c r="E7" t="inlineStr">
        <is>
          <t>HDDM-TR</t>
        </is>
      </c>
      <c r="F7" t="inlineStr">
        <is>
          <t>Tomato Rosehip</t>
        </is>
      </c>
      <c r="H7" t="inlineStr">
        <is>
          <t>Gautam Buddha Nagar</t>
        </is>
      </c>
      <c r="I7" t="inlineStr">
        <is>
          <t>North</t>
        </is>
      </c>
      <c r="K7" t="inlineStr">
        <is>
          <t>Tomato Rosehip</t>
        </is>
      </c>
      <c r="L7" t="inlineStr">
        <is>
          <t>Hot Dry</t>
        </is>
      </c>
      <c r="O7" t="inlineStr">
        <is>
          <t>Beetroot Tomato Vit-A 50g</t>
        </is>
      </c>
      <c r="P7" t="inlineStr">
        <is>
          <t>2024-04</t>
        </is>
      </c>
      <c r="Q7" t="inlineStr">
        <is>
          <t>4</t>
        </is>
      </c>
      <c r="R7" t="inlineStr">
        <is>
          <t>East</t>
        </is>
      </c>
    </row>
    <row r="8">
      <c r="A8" t="inlineStr">
        <is>
          <t>HG</t>
        </is>
      </c>
      <c r="B8" t="inlineStr">
        <is>
          <t>Gel</t>
        </is>
      </c>
      <c r="C8" t="inlineStr">
        <is>
          <t>Aloe Vera Gel</t>
        </is>
      </c>
      <c r="E8" t="inlineStr">
        <is>
          <t>HDDM-PT</t>
        </is>
      </c>
      <c r="F8" t="inlineStr">
        <is>
          <t>Pomegranate Tulsi</t>
        </is>
      </c>
      <c r="H8" t="inlineStr">
        <is>
          <t>Ghaziabad</t>
        </is>
      </c>
      <c r="I8" t="inlineStr">
        <is>
          <t>North</t>
        </is>
      </c>
      <c r="K8" t="inlineStr">
        <is>
          <t>Pomegranate Tulsi</t>
        </is>
      </c>
      <c r="L8" t="inlineStr">
        <is>
          <t>Hot Dry</t>
        </is>
      </c>
      <c r="O8" t="inlineStr">
        <is>
          <t>Clove Tea-Tree 30g</t>
        </is>
      </c>
      <c r="P8" t="inlineStr">
        <is>
          <t>2024-05</t>
        </is>
      </c>
      <c r="Q8" t="inlineStr">
        <is>
          <t>5</t>
        </is>
      </c>
      <c r="R8" t="inlineStr">
        <is>
          <t>Rest of India</t>
        </is>
      </c>
    </row>
    <row r="9">
      <c r="E9" t="inlineStr">
        <is>
          <t>HHDM-FC</t>
        </is>
      </c>
      <c r="F9" t="inlineStr">
        <is>
          <t>Flax Carrot</t>
        </is>
      </c>
      <c r="H9" t="inlineStr">
        <is>
          <t>Faridabad</t>
        </is>
      </c>
      <c r="I9" t="inlineStr">
        <is>
          <t>North</t>
        </is>
      </c>
      <c r="K9" t="inlineStr">
        <is>
          <t>Flax Carrot</t>
        </is>
      </c>
      <c r="L9" t="inlineStr">
        <is>
          <t>Hot Humid</t>
        </is>
      </c>
      <c r="O9" t="inlineStr">
        <is>
          <t>Clove Tea-Tree 50g</t>
        </is>
      </c>
      <c r="P9" t="inlineStr">
        <is>
          <t>2024-06</t>
        </is>
      </c>
      <c r="Q9" t="inlineStr">
        <is>
          <t>6</t>
        </is>
      </c>
    </row>
    <row r="10">
      <c r="E10" t="inlineStr">
        <is>
          <t>HHDM-TV</t>
        </is>
      </c>
      <c r="F10" t="inlineStr">
        <is>
          <t>Tomato Vetiver</t>
        </is>
      </c>
      <c r="H10" t="inlineStr">
        <is>
          <t>Jaipur</t>
        </is>
      </c>
      <c r="I10" t="inlineStr">
        <is>
          <t>North</t>
        </is>
      </c>
      <c r="K10" t="inlineStr">
        <is>
          <t>Tomato Vetiver</t>
        </is>
      </c>
      <c r="L10" t="inlineStr">
        <is>
          <t>Hot Humid</t>
        </is>
      </c>
      <c r="O10" t="inlineStr">
        <is>
          <t>Cocoa Mogra 30g</t>
        </is>
      </c>
      <c r="P10" t="inlineStr">
        <is>
          <t>2024-07</t>
        </is>
      </c>
    </row>
    <row r="11">
      <c r="E11" t="inlineStr">
        <is>
          <t>HHDM-GAT</t>
        </is>
      </c>
      <c r="F11" t="inlineStr">
        <is>
          <t>GreenApple Tulsi</t>
        </is>
      </c>
      <c r="H11" t="inlineStr">
        <is>
          <t>Lucknow</t>
        </is>
      </c>
      <c r="I11" t="inlineStr">
        <is>
          <t>North</t>
        </is>
      </c>
      <c r="K11" t="inlineStr">
        <is>
          <t>GreenApple Tulsi</t>
        </is>
      </c>
      <c r="L11" t="inlineStr">
        <is>
          <t>Hot Humid</t>
        </is>
      </c>
      <c r="O11" t="inlineStr">
        <is>
          <t>Cocoa Mogra 50g</t>
        </is>
      </c>
      <c r="P11" t="inlineStr">
        <is>
          <t>2024-08</t>
        </is>
      </c>
    </row>
    <row r="12">
      <c r="E12" t="inlineStr">
        <is>
          <t>DM-PG</t>
        </is>
      </c>
      <c r="F12" t="inlineStr">
        <is>
          <t>Turmeric Nutmeg</t>
        </is>
      </c>
      <c r="H12" t="inlineStr">
        <is>
          <t>Kanpur</t>
        </is>
      </c>
      <c r="I12" t="inlineStr">
        <is>
          <t>North</t>
        </is>
      </c>
      <c r="K12" t="inlineStr">
        <is>
          <t>Turmeric Nutmeg</t>
        </is>
      </c>
      <c r="L12" t="inlineStr">
        <is>
          <t>Non-Seasonal</t>
        </is>
      </c>
      <c r="O12" t="inlineStr">
        <is>
          <t>Flax Bakuchi 30g</t>
        </is>
      </c>
      <c r="P12" t="inlineStr">
        <is>
          <t>2024-09</t>
        </is>
      </c>
    </row>
    <row r="13">
      <c r="E13" t="inlineStr">
        <is>
          <t>DM-NR</t>
        </is>
      </c>
      <c r="F13" t="inlineStr">
        <is>
          <t>Cocoa Mogra</t>
        </is>
      </c>
      <c r="H13" t="inlineStr">
        <is>
          <t>Chandigarh</t>
        </is>
      </c>
      <c r="I13" t="inlineStr">
        <is>
          <t>North</t>
        </is>
      </c>
      <c r="K13" t="inlineStr">
        <is>
          <t>Cocoa Mogra</t>
        </is>
      </c>
      <c r="L13" t="inlineStr">
        <is>
          <t>Non-Seasonal</t>
        </is>
      </c>
      <c r="O13" t="inlineStr">
        <is>
          <t>Flax Bakuchi 50g</t>
        </is>
      </c>
      <c r="P13" t="inlineStr">
        <is>
          <t>2024-10</t>
        </is>
      </c>
    </row>
    <row r="14">
      <c r="E14" t="inlineStr">
        <is>
          <t>DM-DP</t>
        </is>
      </c>
      <c r="F14" t="inlineStr">
        <is>
          <t>Honey Multi-Nut</t>
        </is>
      </c>
      <c r="H14" t="inlineStr">
        <is>
          <t>Dehradun</t>
        </is>
      </c>
      <c r="I14" t="inlineStr">
        <is>
          <t>North</t>
        </is>
      </c>
      <c r="K14" t="inlineStr">
        <is>
          <t>Honey Multi-Nut</t>
        </is>
      </c>
      <c r="L14" t="inlineStr">
        <is>
          <t>Non-Seasonal</t>
        </is>
      </c>
      <c r="O14" t="inlineStr">
        <is>
          <t>Flax Carrot 30g</t>
        </is>
      </c>
      <c r="P14" t="inlineStr">
        <is>
          <t>2024-11</t>
        </is>
      </c>
    </row>
    <row r="15">
      <c r="E15" t="inlineStr">
        <is>
          <t>DM-AA</t>
        </is>
      </c>
      <c r="F15" t="inlineStr">
        <is>
          <t>Clove Tea-Tree</t>
        </is>
      </c>
      <c r="H15" t="inlineStr">
        <is>
          <t>Varanasi</t>
        </is>
      </c>
      <c r="I15" t="inlineStr">
        <is>
          <t>North</t>
        </is>
      </c>
      <c r="K15" t="inlineStr">
        <is>
          <t>Clove Tea-Tree</t>
        </is>
      </c>
      <c r="L15" t="inlineStr">
        <is>
          <t>Non-Seasonal</t>
        </is>
      </c>
      <c r="O15" t="inlineStr">
        <is>
          <t>Flax Carrot 50g</t>
        </is>
      </c>
      <c r="P15" t="inlineStr">
        <is>
          <t>2024-12</t>
        </is>
      </c>
    </row>
    <row r="16">
      <c r="E16" t="inlineStr">
        <is>
          <t>AC-NT</t>
        </is>
      </c>
      <c r="F16" t="inlineStr">
        <is>
          <t>Neem TeaTree</t>
        </is>
      </c>
      <c r="H16" t="inlineStr">
        <is>
          <t>Prayagraj</t>
        </is>
      </c>
      <c r="I16" t="inlineStr">
        <is>
          <t>North</t>
        </is>
      </c>
      <c r="K16" t="inlineStr">
        <is>
          <t>Neem TeaTree</t>
        </is>
      </c>
      <c r="L16" t="inlineStr">
        <is>
          <t>Gel</t>
        </is>
      </c>
      <c r="O16" t="inlineStr">
        <is>
          <t>Flax Walnut 30g</t>
        </is>
      </c>
      <c r="P16" t="inlineStr">
        <is>
          <t>2025-01</t>
        </is>
      </c>
    </row>
    <row r="17">
      <c r="E17" t="inlineStr">
        <is>
          <t>AC-AC</t>
        </is>
      </c>
      <c r="F17" t="inlineStr">
        <is>
          <t>Aloe Cactus Hydra Lift</t>
        </is>
      </c>
      <c r="H17" t="inlineStr">
        <is>
          <t>Agra</t>
        </is>
      </c>
      <c r="I17" t="inlineStr">
        <is>
          <t>North</t>
        </is>
      </c>
      <c r="K17" t="inlineStr">
        <is>
          <t>Aloe Cactus Hydra Lift</t>
        </is>
      </c>
      <c r="L17" t="inlineStr">
        <is>
          <t>Gel</t>
        </is>
      </c>
      <c r="O17" t="inlineStr">
        <is>
          <t>Flax Walnut 50g</t>
        </is>
      </c>
      <c r="P17" t="inlineStr">
        <is>
          <t>2025-02</t>
        </is>
      </c>
    </row>
    <row r="18">
      <c r="E18" t="inlineStr">
        <is>
          <t>AC-OV</t>
        </is>
      </c>
      <c r="F18" t="inlineStr">
        <is>
          <t>Olive Vit-E Night</t>
        </is>
      </c>
      <c r="H18" t="inlineStr">
        <is>
          <t>Meerut</t>
        </is>
      </c>
      <c r="I18" t="inlineStr">
        <is>
          <t>North</t>
        </is>
      </c>
      <c r="K18" t="inlineStr">
        <is>
          <t>Olive Vit-E Night</t>
        </is>
      </c>
      <c r="L18" t="inlineStr">
        <is>
          <t>Gel</t>
        </is>
      </c>
      <c r="O18" t="inlineStr">
        <is>
          <t>GreenApple Tulsi 30g</t>
        </is>
      </c>
      <c r="P18" t="inlineStr">
        <is>
          <t>2025-03</t>
        </is>
      </c>
    </row>
    <row r="19">
      <c r="E19" t="inlineStr">
        <is>
          <t>AC-OK</t>
        </is>
      </c>
      <c r="F19" t="inlineStr">
        <is>
          <t>Orange Kiwi Vit-C</t>
        </is>
      </c>
      <c r="H19" t="inlineStr">
        <is>
          <t>Jodhpur</t>
        </is>
      </c>
      <c r="I19" t="inlineStr">
        <is>
          <t>North</t>
        </is>
      </c>
      <c r="K19" t="inlineStr">
        <is>
          <t>Orange Kiwi Vit-C</t>
        </is>
      </c>
      <c r="L19" t="inlineStr">
        <is>
          <t>Gel</t>
        </is>
      </c>
      <c r="O19" t="inlineStr">
        <is>
          <t>GreenApple Tulsi 50g</t>
        </is>
      </c>
      <c r="P19" t="inlineStr">
        <is>
          <t>2025-04</t>
        </is>
      </c>
    </row>
    <row r="20">
      <c r="E20" t="inlineStr">
        <is>
          <t>AC-BT</t>
        </is>
      </c>
      <c r="F20" t="inlineStr">
        <is>
          <t>Beetroot Tomato Vit-A</t>
        </is>
      </c>
      <c r="H20" t="inlineStr">
        <is>
          <t>Udaipur</t>
        </is>
      </c>
      <c r="I20" t="inlineStr">
        <is>
          <t>North</t>
        </is>
      </c>
      <c r="K20" t="inlineStr">
        <is>
          <t>Beetroot Tomato Vit-A</t>
        </is>
      </c>
      <c r="L20" t="inlineStr">
        <is>
          <t>Gel</t>
        </is>
      </c>
      <c r="O20" t="inlineStr">
        <is>
          <t>Honey Multi-Nut 30g</t>
        </is>
      </c>
      <c r="P20" t="inlineStr">
        <is>
          <t>2025-05</t>
        </is>
      </c>
    </row>
    <row r="21">
      <c r="E21" t="inlineStr">
        <is>
          <t>HG-PA</t>
        </is>
      </c>
      <c r="F21" t="inlineStr">
        <is>
          <t>Aloe Vera</t>
        </is>
      </c>
      <c r="H21" t="inlineStr">
        <is>
          <t>Kota</t>
        </is>
      </c>
      <c r="I21" t="inlineStr">
        <is>
          <t>North</t>
        </is>
      </c>
      <c r="K21" t="inlineStr">
        <is>
          <t>Aloe Vera</t>
        </is>
      </c>
      <c r="L21" t="inlineStr">
        <is>
          <t>Gel</t>
        </is>
      </c>
      <c r="O21" t="inlineStr">
        <is>
          <t>Honey Multi-Nut 50g</t>
        </is>
      </c>
      <c r="P21" t="inlineStr">
        <is>
          <t>2025-06</t>
        </is>
      </c>
    </row>
    <row r="22">
      <c r="H22" t="inlineStr">
        <is>
          <t>Bhopal</t>
        </is>
      </c>
      <c r="I22" t="inlineStr">
        <is>
          <t>North</t>
        </is>
      </c>
      <c r="O22" t="inlineStr">
        <is>
          <t>Neem TeaTree 50g</t>
        </is>
      </c>
      <c r="P22" t="inlineStr">
        <is>
          <t>2025-07</t>
        </is>
      </c>
    </row>
    <row r="23">
      <c r="H23" t="inlineStr">
        <is>
          <t>Indore</t>
        </is>
      </c>
      <c r="I23" t="inlineStr">
        <is>
          <t>North</t>
        </is>
      </c>
      <c r="O23" t="inlineStr">
        <is>
          <t>Olive Vit-E Night 50g</t>
        </is>
      </c>
      <c r="P23" t="inlineStr">
        <is>
          <t>2025-08</t>
        </is>
      </c>
    </row>
    <row r="24">
      <c r="H24" t="inlineStr">
        <is>
          <t>Mumbai</t>
        </is>
      </c>
      <c r="I24" t="inlineStr">
        <is>
          <t>West</t>
        </is>
      </c>
      <c r="O24" t="inlineStr">
        <is>
          <t>Orange Kiwi Vit-C 50g</t>
        </is>
      </c>
      <c r="P24" t="inlineStr">
        <is>
          <t>2025-09</t>
        </is>
      </c>
    </row>
    <row r="25">
      <c r="H25" t="inlineStr">
        <is>
          <t>Thane</t>
        </is>
      </c>
      <c r="I25" t="inlineStr">
        <is>
          <t>West</t>
        </is>
      </c>
      <c r="O25" t="inlineStr">
        <is>
          <t>Pomegranate Tulsi 30g</t>
        </is>
      </c>
      <c r="P25" t="inlineStr">
        <is>
          <t>2025-10</t>
        </is>
      </c>
    </row>
    <row r="26">
      <c r="H26" t="inlineStr">
        <is>
          <t>Navi Mumbai</t>
        </is>
      </c>
      <c r="I26" t="inlineStr">
        <is>
          <t>West</t>
        </is>
      </c>
      <c r="O26" t="inlineStr">
        <is>
          <t>Pomegranate Tulsi 50g</t>
        </is>
      </c>
      <c r="P26" t="inlineStr">
        <is>
          <t>2025-11</t>
        </is>
      </c>
    </row>
    <row r="27">
      <c r="H27" t="inlineStr">
        <is>
          <t>Pune</t>
        </is>
      </c>
      <c r="I27" t="inlineStr">
        <is>
          <t>West</t>
        </is>
      </c>
      <c r="O27" t="inlineStr">
        <is>
          <t>Tomato Patchouli 30g</t>
        </is>
      </c>
      <c r="P27" t="inlineStr">
        <is>
          <t>2025-12</t>
        </is>
      </c>
    </row>
    <row r="28">
      <c r="H28" t="inlineStr">
        <is>
          <t>Nashik</t>
        </is>
      </c>
      <c r="I28" t="inlineStr">
        <is>
          <t>West</t>
        </is>
      </c>
      <c r="O28" t="inlineStr">
        <is>
          <t>Tomato Patchouli 50g</t>
        </is>
      </c>
      <c r="P28" t="inlineStr">
        <is>
          <t>2026-01</t>
        </is>
      </c>
    </row>
    <row r="29">
      <c r="H29" t="inlineStr">
        <is>
          <t>Nagpur</t>
        </is>
      </c>
      <c r="I29" t="inlineStr">
        <is>
          <t>West</t>
        </is>
      </c>
      <c r="O29" t="inlineStr">
        <is>
          <t>Tomato Rosehip 30g</t>
        </is>
      </c>
      <c r="P29" t="inlineStr">
        <is>
          <t>2026-02</t>
        </is>
      </c>
    </row>
    <row r="30">
      <c r="H30" t="inlineStr">
        <is>
          <t>Ahmedabad</t>
        </is>
      </c>
      <c r="I30" t="inlineStr">
        <is>
          <t>West</t>
        </is>
      </c>
      <c r="O30" t="inlineStr">
        <is>
          <t>Tomato Rosehip 50g</t>
        </is>
      </c>
      <c r="P30" t="inlineStr">
        <is>
          <t>2026-03</t>
        </is>
      </c>
    </row>
    <row r="31">
      <c r="H31" t="inlineStr">
        <is>
          <t>Surat</t>
        </is>
      </c>
      <c r="I31" t="inlineStr">
        <is>
          <t>West</t>
        </is>
      </c>
      <c r="O31" t="inlineStr">
        <is>
          <t>Tomato Vetiver 30g</t>
        </is>
      </c>
      <c r="P31" t="inlineStr">
        <is>
          <t>2026-04</t>
        </is>
      </c>
    </row>
    <row r="32">
      <c r="H32" t="inlineStr">
        <is>
          <t>Vadodara</t>
        </is>
      </c>
      <c r="I32" t="inlineStr">
        <is>
          <t>West</t>
        </is>
      </c>
      <c r="O32" t="inlineStr">
        <is>
          <t>Tomato Vetiver 50g</t>
        </is>
      </c>
      <c r="P32" t="inlineStr">
        <is>
          <t>2026-05</t>
        </is>
      </c>
    </row>
    <row r="33">
      <c r="H33" t="inlineStr">
        <is>
          <t>Rajkot</t>
        </is>
      </c>
      <c r="I33" t="inlineStr">
        <is>
          <t>West</t>
        </is>
      </c>
      <c r="O33" t="inlineStr">
        <is>
          <t>Turmeric Nutmeg 30g</t>
        </is>
      </c>
      <c r="P33" t="inlineStr">
        <is>
          <t>2026-06</t>
        </is>
      </c>
    </row>
    <row r="34">
      <c r="H34" t="inlineStr">
        <is>
          <t>Bengaluru</t>
        </is>
      </c>
      <c r="I34" t="inlineStr">
        <is>
          <t>South</t>
        </is>
      </c>
      <c r="O34" t="inlineStr">
        <is>
          <t>Turmeric Nutmeg 50g</t>
        </is>
      </c>
      <c r="P34" t="inlineStr">
        <is>
          <t>2026-07</t>
        </is>
      </c>
    </row>
    <row r="35">
      <c r="H35" t="inlineStr">
        <is>
          <t>Bangalore</t>
        </is>
      </c>
      <c r="I35" t="inlineStr">
        <is>
          <t>South</t>
        </is>
      </c>
      <c r="O35" t="inlineStr">
        <is>
          <t>Winter Blackseed 30g</t>
        </is>
      </c>
      <c r="P35" t="inlineStr">
        <is>
          <t>2026-08</t>
        </is>
      </c>
    </row>
    <row r="36">
      <c r="H36" t="inlineStr">
        <is>
          <t>Mysuru</t>
        </is>
      </c>
      <c r="I36" t="inlineStr">
        <is>
          <t>South</t>
        </is>
      </c>
      <c r="O36" t="inlineStr">
        <is>
          <t>Winter Blackseed 50g</t>
        </is>
      </c>
      <c r="P36" t="inlineStr">
        <is>
          <t>2026-09</t>
        </is>
      </c>
    </row>
    <row r="37">
      <c r="H37" t="inlineStr">
        <is>
          <t>Mangaluru</t>
        </is>
      </c>
      <c r="I37" t="inlineStr">
        <is>
          <t>South</t>
        </is>
      </c>
      <c r="P37" t="inlineStr">
        <is>
          <t>2026-10</t>
        </is>
      </c>
    </row>
    <row r="38">
      <c r="H38" t="inlineStr">
        <is>
          <t>Chennai</t>
        </is>
      </c>
      <c r="I38" t="inlineStr">
        <is>
          <t>South</t>
        </is>
      </c>
      <c r="P38" t="inlineStr">
        <is>
          <t>2026-11</t>
        </is>
      </c>
    </row>
    <row r="39">
      <c r="H39" t="inlineStr">
        <is>
          <t>Coimbatore</t>
        </is>
      </c>
      <c r="I39" t="inlineStr">
        <is>
          <t>South</t>
        </is>
      </c>
      <c r="P39" t="inlineStr">
        <is>
          <t>2026-12</t>
        </is>
      </c>
    </row>
    <row r="40">
      <c r="H40" t="inlineStr">
        <is>
          <t>Madurai</t>
        </is>
      </c>
      <c r="I40" t="inlineStr">
        <is>
          <t>South</t>
        </is>
      </c>
      <c r="P40" t="inlineStr">
        <is>
          <t>2027-01</t>
        </is>
      </c>
    </row>
    <row r="41">
      <c r="H41" t="inlineStr">
        <is>
          <t>Hyderabad</t>
        </is>
      </c>
      <c r="I41" t="inlineStr">
        <is>
          <t>South</t>
        </is>
      </c>
      <c r="P41" t="inlineStr">
        <is>
          <t>2027-02</t>
        </is>
      </c>
    </row>
    <row r="42">
      <c r="H42" t="inlineStr">
        <is>
          <t>Secunderabad</t>
        </is>
      </c>
      <c r="I42" t="inlineStr">
        <is>
          <t>South</t>
        </is>
      </c>
      <c r="P42" t="inlineStr">
        <is>
          <t>2027-03</t>
        </is>
      </c>
    </row>
    <row r="43">
      <c r="H43" t="inlineStr">
        <is>
          <t>Visakhapatnam</t>
        </is>
      </c>
      <c r="I43" t="inlineStr">
        <is>
          <t>South</t>
        </is>
      </c>
      <c r="P43" t="inlineStr">
        <is>
          <t>2027-04</t>
        </is>
      </c>
    </row>
    <row r="44">
      <c r="H44" t="inlineStr">
        <is>
          <t>Vijayawada</t>
        </is>
      </c>
      <c r="I44" t="inlineStr">
        <is>
          <t>South</t>
        </is>
      </c>
      <c r="P44" t="inlineStr">
        <is>
          <t>2027-05</t>
        </is>
      </c>
    </row>
    <row r="45">
      <c r="H45" t="inlineStr">
        <is>
          <t>Kochi</t>
        </is>
      </c>
      <c r="I45" t="inlineStr">
        <is>
          <t>South</t>
        </is>
      </c>
      <c r="P45" t="inlineStr">
        <is>
          <t>2027-06</t>
        </is>
      </c>
    </row>
    <row r="46">
      <c r="H46" t="inlineStr">
        <is>
          <t>Kozhikode</t>
        </is>
      </c>
      <c r="I46" t="inlineStr">
        <is>
          <t>South</t>
        </is>
      </c>
      <c r="P46" t="inlineStr">
        <is>
          <t>2027-07</t>
        </is>
      </c>
    </row>
    <row r="47">
      <c r="H47" t="inlineStr">
        <is>
          <t>Thiruvananthapuram</t>
        </is>
      </c>
      <c r="I47" t="inlineStr">
        <is>
          <t>South</t>
        </is>
      </c>
      <c r="P47" t="inlineStr">
        <is>
          <t>2027-08</t>
        </is>
      </c>
    </row>
    <row r="48">
      <c r="H48" t="inlineStr">
        <is>
          <t>Thrissur</t>
        </is>
      </c>
      <c r="I48" t="inlineStr">
        <is>
          <t>South</t>
        </is>
      </c>
      <c r="P48" t="inlineStr">
        <is>
          <t>2027-09</t>
        </is>
      </c>
    </row>
    <row r="49">
      <c r="H49" t="inlineStr">
        <is>
          <t>Kollam</t>
        </is>
      </c>
      <c r="I49" t="inlineStr">
        <is>
          <t>South</t>
        </is>
      </c>
      <c r="P49" t="inlineStr">
        <is>
          <t>2027-10</t>
        </is>
      </c>
    </row>
    <row r="50">
      <c r="H50" t="inlineStr">
        <is>
          <t>Palakkad</t>
        </is>
      </c>
      <c r="I50" t="inlineStr">
        <is>
          <t>South</t>
        </is>
      </c>
      <c r="P50" t="inlineStr">
        <is>
          <t>2027-11</t>
        </is>
      </c>
    </row>
    <row r="51">
      <c r="H51" t="inlineStr">
        <is>
          <t>Kannur</t>
        </is>
      </c>
      <c r="I51" t="inlineStr">
        <is>
          <t>South</t>
        </is>
      </c>
      <c r="P51" t="inlineStr">
        <is>
          <t>2027-12</t>
        </is>
      </c>
    </row>
    <row r="52">
      <c r="H52" t="inlineStr">
        <is>
          <t>Kottayam</t>
        </is>
      </c>
      <c r="I52" t="inlineStr">
        <is>
          <t>South</t>
        </is>
      </c>
    </row>
    <row r="53">
      <c r="H53" t="inlineStr">
        <is>
          <t>Kolkata</t>
        </is>
      </c>
      <c r="I53" t="inlineStr">
        <is>
          <t>East</t>
        </is>
      </c>
    </row>
    <row r="54">
      <c r="H54" t="inlineStr">
        <is>
          <t>Howrah</t>
        </is>
      </c>
      <c r="I54" t="inlineStr">
        <is>
          <t>East</t>
        </is>
      </c>
    </row>
    <row r="55">
      <c r="H55" t="inlineStr">
        <is>
          <t>Bhubaneswar</t>
        </is>
      </c>
      <c r="I55" t="inlineStr">
        <is>
          <t>East</t>
        </is>
      </c>
    </row>
    <row r="56">
      <c r="H56" t="inlineStr">
        <is>
          <t>Patna</t>
        </is>
      </c>
      <c r="I56" t="inlineStr">
        <is>
          <t>East</t>
        </is>
      </c>
    </row>
    <row r="57">
      <c r="H57" t="inlineStr">
        <is>
          <t>Ranchi</t>
        </is>
      </c>
      <c r="I57" t="inlineStr">
        <is>
          <t>East</t>
        </is>
      </c>
    </row>
    <row r="58">
      <c r="H58" t="inlineStr">
        <is>
          <t>Jamshedpur</t>
        </is>
      </c>
      <c r="I58" t="inlineStr">
        <is>
          <t>East</t>
        </is>
      </c>
    </row>
    <row r="59">
      <c r="H59" t="inlineStr">
        <is>
          <t>Guwahati</t>
        </is>
      </c>
      <c r="I59" t="inlineStr">
        <is>
          <t>East</t>
        </is>
      </c>
    </row>
    <row r="60">
      <c r="H60" t="inlineStr">
        <is>
          <t>Siliguri</t>
        </is>
      </c>
      <c r="I60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2026-08-25T09:11:58Z</dcterms:created>
  <dcterms:modified xmlns:dcterms="http://purl.org/dc/terms/" xmlns:xsi="http://www.w3.org/2001/XMLSchema-instance" xsi:type="dcterms:W3CDTF">2026-08-25T09:11:59Z</dcterms:modified>
</cp:coreProperties>
</file>